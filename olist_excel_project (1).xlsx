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Assumptions" sheetId="3" state="visible" r:id="rId5"/>
    <sheet name="State Analysis" sheetId="4" state="visible" r:id="rId6"/>
    <sheet name="Monthly Trend" sheetId="5" state="visible" r:id="rId7"/>
    <sheet name="Delivery Analysis" sheetId="6" state="visible" r:id="rId8"/>
    <sheet name="Category Analysis" sheetId="7" state="visible" r:id="rId9"/>
  </sheets>
  <definedNames>
    <definedName function="false" hidden="true" localSheetId="1" name="_xlnm._FilterDatabase" vbProcedure="false">Data!$A$1:$T$2001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<sst xmlns="http://schemas.openxmlformats.org/spreadsheetml/2006/main" count="10172" uniqueCount="2123">
  <si>
    <t xml:space="preserve">Olist E-Commerce Sales &amp; Delivery Analysis</t>
  </si>
  <si>
    <t xml:space="preserve">Excel project | Sample of 2,000 Olist-style orders (Jan 2017 - Aug 2018) | All numbers are live formulas</t>
  </si>
  <si>
    <t xml:space="preserve">Total Orders</t>
  </si>
  <si>
    <t xml:space="preserve">Revenue</t>
  </si>
  <si>
    <t xml:space="preserve">Net Profit</t>
  </si>
  <si>
    <t xml:space="preserve">Profit Margin</t>
  </si>
  <si>
    <t xml:space="preserve">Avg Delivery Days</t>
  </si>
  <si>
    <t xml:space="preserve">On-Time %</t>
  </si>
  <si>
    <t xml:space="preserve">Avg Review Score</t>
  </si>
  <si>
    <t xml:space="preserve">Top State by Orders</t>
  </si>
  <si>
    <t xml:space="preserve">Top State by Margin</t>
  </si>
  <si>
    <t xml:space="preserve">Slowest Delivery State</t>
  </si>
  <si>
    <t xml:space="preserve">Peak Sales Month</t>
  </si>
  <si>
    <t xml:space="preserve">Top Category by Profit</t>
  </si>
  <si>
    <t xml:space="preserve">States: High Volume, Low Margin</t>
  </si>
  <si>
    <t xml:space="preserve">Late Orders %</t>
  </si>
  <si>
    <t xml:space="preserve">Key Insights (auto-generated from formulas)</t>
  </si>
  <si>
    <t xml:space="preserve">State Drill-down (pick a state in the yellow cell)</t>
  </si>
  <si>
    <t xml:space="preserve">Select State</t>
  </si>
  <si>
    <t xml:space="preserve">SP</t>
  </si>
  <si>
    <t xml:space="preserve">Orders</t>
  </si>
  <si>
    <t xml:space="preserve">Volume Rank (of 12)</t>
  </si>
  <si>
    <t xml:space="preserve">Margin Rank (of 12)</t>
  </si>
  <si>
    <t xml:space="preserve">order_id</t>
  </si>
  <si>
    <t xml:space="preserve">customer_state</t>
  </si>
  <si>
    <t xml:space="preserve">purchase_date</t>
  </si>
  <si>
    <t xml:space="preserve">delivered_date</t>
  </si>
  <si>
    <t xml:space="preserve">estimated_date</t>
  </si>
  <si>
    <t xml:space="preserve">product_category</t>
  </si>
  <si>
    <t xml:space="preserve">price</t>
  </si>
  <si>
    <t xml:space="preserve">freight_value</t>
  </si>
  <si>
    <t xml:space="preserve">payment_type</t>
  </si>
  <si>
    <t xml:space="preserve">review_score</t>
  </si>
  <si>
    <t xml:space="preserve">order_status</t>
  </si>
  <si>
    <t xml:space="preserve">order_month</t>
  </si>
  <si>
    <t xml:space="preserve">delivery_days</t>
  </si>
  <si>
    <t xml:space="preserve">delay_days</t>
  </si>
  <si>
    <t xml:space="preserve">on_time</t>
  </si>
  <si>
    <t xml:space="preserve">revenue</t>
  </si>
  <si>
    <t xml:space="preserve">cogs</t>
  </si>
  <si>
    <t xml:space="preserve">freight_absorbed</t>
  </si>
  <si>
    <t xml:space="preserve">net_profit</t>
  </si>
  <si>
    <t xml:space="preserve">delivery_bucket</t>
  </si>
  <si>
    <t xml:space="preserve">ad3e8705cd525f9feb67a72c8ee0314d</t>
  </si>
  <si>
    <t xml:space="preserve">toys</t>
  </si>
  <si>
    <t xml:space="preserve">credit_card</t>
  </si>
  <si>
    <t xml:space="preserve">delivered</t>
  </si>
  <si>
    <t xml:space="preserve">63b55bfb128e92ad6b707ef6fe62314e</t>
  </si>
  <si>
    <t xml:space="preserve">PR</t>
  </si>
  <si>
    <t xml:space="preserve">health_beauty</t>
  </si>
  <si>
    <t xml:space="preserve">voucher</t>
  </si>
  <si>
    <t xml:space="preserve">c18cc4131d848484424526028f016e18</t>
  </si>
  <si>
    <t xml:space="preserve">RS</t>
  </si>
  <si>
    <t xml:space="preserve">computers_accessories</t>
  </si>
  <si>
    <t xml:space="preserve">e88188c3788f06ed3c1e919bee5a4007</t>
  </si>
  <si>
    <t xml:space="preserve">RJ</t>
  </si>
  <si>
    <t xml:space="preserve">b789593e216dfc7021965beeda3544b5</t>
  </si>
  <si>
    <t xml:space="preserve">auto</t>
  </si>
  <si>
    <t xml:space="preserve">912cf322735e81531c3892e8f2cfcd63</t>
  </si>
  <si>
    <t xml:space="preserve">sports_leisure</t>
  </si>
  <si>
    <t xml:space="preserve">boleto</t>
  </si>
  <si>
    <t xml:space="preserve">14a9ee59eb1313b795d14b6d6e9ae156</t>
  </si>
  <si>
    <t xml:space="preserve">MG</t>
  </si>
  <si>
    <t xml:space="preserve">094f51660bae6d2bfbece5d5a8856294</t>
  </si>
  <si>
    <t xml:space="preserve">watches_gifts</t>
  </si>
  <si>
    <t xml:space="preserve">0534a1018ddce71981f38dd4fd034ada</t>
  </si>
  <si>
    <t xml:space="preserve">8ff63d7ed92fcf511e8124950bd515dd</t>
  </si>
  <si>
    <t xml:space="preserve">bed_bath_table</t>
  </si>
  <si>
    <t xml:space="preserve">e3f2df80a7bbc6129a37ef9d5983ce94</t>
  </si>
  <si>
    <t xml:space="preserve">c1f857c42726c2c37af468fdfa6965f1</t>
  </si>
  <si>
    <t xml:space="preserve">582d1e50fda6d97117bd21248a994696</t>
  </si>
  <si>
    <t xml:space="preserve">e6d7e5589a117c5a8d8957fb4a357184</t>
  </si>
  <si>
    <t xml:space="preserve">c53d1af98d40aeb2aed690cc037f5347</t>
  </si>
  <si>
    <t xml:space="preserve">e1e3db63ef7ddc76b92da22b21df306f</t>
  </si>
  <si>
    <t xml:space="preserve">1aa6f7cb90c7e6aca3bfe403388c9751</t>
  </si>
  <si>
    <t xml:space="preserve">8f9afd511a58fa4437abaed786faaa83</t>
  </si>
  <si>
    <t xml:space="preserve">9b2d5a2a99bd6240a8535961632d0302</t>
  </si>
  <si>
    <t xml:space="preserve">ES</t>
  </si>
  <si>
    <t xml:space="preserve">f4184c807429a2029b4e4fb080081255</t>
  </si>
  <si>
    <t xml:space="preserve">furniture_decor</t>
  </si>
  <si>
    <t xml:space="preserve">af35fbc0e1057ec8ebf3ef9939d38f2b</t>
  </si>
  <si>
    <t xml:space="preserve">2b0f225c235ae03ad4b8a420ea5f05f4</t>
  </si>
  <si>
    <t xml:space="preserve">1da8558369cb21419505d99e2f7d987d</t>
  </si>
  <si>
    <t xml:space="preserve">82a54c5696f22a0615c5fe34f1830345</t>
  </si>
  <si>
    <t xml:space="preserve">52fb86828f45dd4c9ed55243493c0253</t>
  </si>
  <si>
    <t xml:space="preserve">3756b0058844bc0caccfb130e4872e77</t>
  </si>
  <si>
    <t xml:space="preserve">1d5206abb7e6427cbf780e3ff6b751f7</t>
  </si>
  <si>
    <t xml:space="preserve">1d8709660710d430f071d87954c63cd8</t>
  </si>
  <si>
    <t xml:space="preserve">4291c441954ad961760a58a63d8ad67b</t>
  </si>
  <si>
    <t xml:space="preserve">06cb0fb39a1de644815ef6d13b8faa18</t>
  </si>
  <si>
    <t xml:space="preserve">a391ffdb8794ac7e4aaa7f994a34041e</t>
  </si>
  <si>
    <t xml:space="preserve">e85cc86348cff1da7bbccb5d474f9205</t>
  </si>
  <si>
    <t xml:space="preserve">8ffbcc0f058729f37c03af356577aba9</t>
  </si>
  <si>
    <t xml:space="preserve">BA</t>
  </si>
  <si>
    <t xml:space="preserve">dd357f0db0427c62ce9fb2785f942c43</t>
  </si>
  <si>
    <t xml:space="preserve">950f5effdc5136e4d912d963d32a9e06</t>
  </si>
  <si>
    <t xml:space="preserve">52dcbffd59008d658b2ab7592fc6c4e6</t>
  </si>
  <si>
    <t xml:space="preserve">7eac652a78224ffa4027dfbdb1e37336</t>
  </si>
  <si>
    <t xml:space="preserve">ad1624e170a26ad8517b9145c48383a4</t>
  </si>
  <si>
    <t xml:space="preserve">c09c2ebe80da2ed7880bcb0ec8ab96ac</t>
  </si>
  <si>
    <t xml:space="preserve">311d3751507409da0242fb7ec6c977ec</t>
  </si>
  <si>
    <t xml:space="preserve">e25d36eb9e9a9f83066803ee78b2b549</t>
  </si>
  <si>
    <t xml:space="preserve">8a5a42725f90ee5724722a76f7c90c89</t>
  </si>
  <si>
    <t xml:space="preserve">DF</t>
  </si>
  <si>
    <t xml:space="preserve">debit_card</t>
  </si>
  <si>
    <t xml:space="preserve">5df4f6361a4f3f75e5fe5596df49fae7</t>
  </si>
  <si>
    <t xml:space="preserve">c1292a5f2417616910aa899c16cc39dd</t>
  </si>
  <si>
    <t xml:space="preserve">5f5ab59954d7b854b55650222994ec2d</t>
  </si>
  <si>
    <t xml:space="preserve">b263f2ae7672317d5e3b34419ef98613</t>
  </si>
  <si>
    <t xml:space="preserve">caa30b018a14c41eb25cc8c6aa6a83ff</t>
  </si>
  <si>
    <t xml:space="preserve">162534ca9b47e6394d2551ebaf95be79</t>
  </si>
  <si>
    <t xml:space="preserve">housewares</t>
  </si>
  <si>
    <t xml:space="preserve">3fac431716e827b0c552f3c55f13fb98</t>
  </si>
  <si>
    <t xml:space="preserve">bbc3553b75e8abfe6af01106e23509a8</t>
  </si>
  <si>
    <t xml:space="preserve">019c2251d59065fa795581fa1182d657</t>
  </si>
  <si>
    <t xml:space="preserve">c4cfaa8bc607560f72808d5cc1657c6e</t>
  </si>
  <si>
    <t xml:space="preserve">59ecc846697437ea5b7c57e8fdf02450</t>
  </si>
  <si>
    <t xml:space="preserve">35878f406fcd847c8eceac5693dae4ff</t>
  </si>
  <si>
    <t xml:space="preserve">bfcb33888ef4d74b2dcc4095f28f9444</t>
  </si>
  <si>
    <t xml:space="preserve">d0b2b078d3936f3e5a5f838f23ee4016</t>
  </si>
  <si>
    <t xml:space="preserve">308fb47a1dadf7889411eac6c54e412c</t>
  </si>
  <si>
    <t xml:space="preserve">5f1d3663a5c5afe189fdf534e4f078a1</t>
  </si>
  <si>
    <t xml:space="preserve">1e77c934188c6b944bb42f61212d115e</t>
  </si>
  <si>
    <t xml:space="preserve">7646c493209186d63990d7119ace5bb2</t>
  </si>
  <si>
    <t xml:space="preserve">f200a32c83c5c5100e082343eea77ea8</t>
  </si>
  <si>
    <t xml:space="preserve">e076e1694ce15a7c99755d8d76c0c89e</t>
  </si>
  <si>
    <t xml:space="preserve">7782e83f29a9b2d74e6814655ba62f73</t>
  </si>
  <si>
    <t xml:space="preserve">81986c1db9d999b6e2fef46e6a06e108</t>
  </si>
  <si>
    <t xml:space="preserve">922615b299cd0df3a873abc815aaaa3b</t>
  </si>
  <si>
    <t xml:space="preserve">b59825774e583dde807ab6589272dc48</t>
  </si>
  <si>
    <t xml:space="preserve">f1770366b658f7a0dde17cd3e8f7f4ca</t>
  </si>
  <si>
    <t xml:space="preserve">583f66bd60d8039e92aa71d561e72ff5</t>
  </si>
  <si>
    <t xml:space="preserve">b7c92e13cbd4b8db541c8f78489f3f1a</t>
  </si>
  <si>
    <t xml:space="preserve">80f6c26cf7eefd84b31c834957992f42</t>
  </si>
  <si>
    <t xml:space="preserve">SC</t>
  </si>
  <si>
    <t xml:space="preserve">72ef6cf9b762957d278d47d262a6bf49</t>
  </si>
  <si>
    <t xml:space="preserve">c3094f28fe0d40b4694986717e5533ba</t>
  </si>
  <si>
    <t xml:space="preserve">18f426dd5071ce940ff48fe8b5e9489c</t>
  </si>
  <si>
    <t xml:space="preserve">13ba8d243ebb527c1438e799242ac30f</t>
  </si>
  <si>
    <t xml:space="preserve">2cdb1625b41f572156afd9ce799f52c0</t>
  </si>
  <si>
    <t xml:space="preserve">b8b067436a02c1e2cd766247e4acda19</t>
  </si>
  <si>
    <t xml:space="preserve">2cabb9ada15dd7c43a38204b2091a706</t>
  </si>
  <si>
    <t xml:space="preserve">742b1e8540da438d171d28b0d687b993</t>
  </si>
  <si>
    <t xml:space="preserve">fff3f7ef9ddc0c0b0c25db04e4c9bdec</t>
  </si>
  <si>
    <t xml:space="preserve">cf5d337fee8d5daa8eb7c3068f73198e</t>
  </si>
  <si>
    <t xml:space="preserve">41e7ebbaf9ac1a4f42516974fdf1d205</t>
  </si>
  <si>
    <t xml:space="preserve">a998a3ee22a112b53a880cecfab8cd39</t>
  </si>
  <si>
    <t xml:space="preserve">394df2c98b575c1124ced0a1603c5f4f</t>
  </si>
  <si>
    <t xml:space="preserve">579744ba107380cb46d9e34d1feb21c7</t>
  </si>
  <si>
    <t xml:space="preserve">f51875ec01adf3952c5e405e34cf6b7f</t>
  </si>
  <si>
    <t xml:space="preserve">a555dfa1cf8be8bdd2fa9b0a333705f9</t>
  </si>
  <si>
    <t xml:space="preserve">a1e518a293d228d424655c397d4d2add</t>
  </si>
  <si>
    <t xml:space="preserve">4708203b271610c19db5428389a3c811</t>
  </si>
  <si>
    <t xml:space="preserve">f14da3ea9fafc17e92a2319db4c70241</t>
  </si>
  <si>
    <t xml:space="preserve">876796d9dfb44eef703863384c2d189b</t>
  </si>
  <si>
    <t xml:space="preserve">f5517659ed86a0c97dea9676ff6fb946</t>
  </si>
  <si>
    <t xml:space="preserve">GO</t>
  </si>
  <si>
    <t xml:space="preserve">f33bc9d72abb1647d8386f30b70bda21</t>
  </si>
  <si>
    <t xml:space="preserve">31490475e5b27ed010a0cd0fb4e91064</t>
  </si>
  <si>
    <t xml:space="preserve">29c08f2982599c87c2d67063c53d1c46</t>
  </si>
  <si>
    <t xml:space="preserve">df02774d9482b42fc0953c13f06bffa4</t>
  </si>
  <si>
    <t xml:space="preserve">d8e0713b0a813e880df3da58fe833c05</t>
  </si>
  <si>
    <t xml:space="preserve">283348ea5c94563ae9365d1b34943114</t>
  </si>
  <si>
    <t xml:space="preserve">255c429719eef9d6fdfa3cb102d493eb</t>
  </si>
  <si>
    <t xml:space="preserve">d4bf7a4b25b8a42f836b15c7e7c225da</t>
  </si>
  <si>
    <t xml:space="preserve">37a956913907bb02cc1454459c41a132</t>
  </si>
  <si>
    <t xml:space="preserve">95eb44d98459f302cd1d036e0d08da99</t>
  </si>
  <si>
    <t xml:space="preserve">53397fbe415ee12f5a57ab4661f3067a</t>
  </si>
  <si>
    <t xml:space="preserve">0a77201e77e83c585fe4d158989cda70</t>
  </si>
  <si>
    <t xml:space="preserve">670124c57a18b38f36418a2e0f004b33</t>
  </si>
  <si>
    <t xml:space="preserve">2e18b22bf44f5031a82d487987cc4d1c</t>
  </si>
  <si>
    <t xml:space="preserve">98837e3ea4c634ce3dad2abf520c31d3</t>
  </si>
  <si>
    <t xml:space="preserve">88145bde98dbf732dde4d1947c12d198</t>
  </si>
  <si>
    <t xml:space="preserve">1c6c838248c3a59dec7172e77028eb2d</t>
  </si>
  <si>
    <t xml:space="preserve">PE</t>
  </si>
  <si>
    <t xml:space="preserve">df3ad6e8f6939800459f5497abd68d74</t>
  </si>
  <si>
    <t xml:space="preserve">ef8f8421bb28a93748c43b53dee730eb</t>
  </si>
  <si>
    <t xml:space="preserve">cdf0aaba1027fbf7387770f09d99d4c5</t>
  </si>
  <si>
    <t xml:space="preserve">6bcd1399b1e155ce577cb0ac399388f9</t>
  </si>
  <si>
    <t xml:space="preserve">dd32b854f3f233b742d4f31c51c680ca</t>
  </si>
  <si>
    <t xml:space="preserve">2d085b30619a77cde2c045e664176a88</t>
  </si>
  <si>
    <t xml:space="preserve">08121b352c7efbe23c6d8133cbccd4fe</t>
  </si>
  <si>
    <t xml:space="preserve">d67df90dd79570bebf3025c3a2a30071</t>
  </si>
  <si>
    <t xml:space="preserve">d5fd40e98102d8ebb8d7529c6e659294</t>
  </si>
  <si>
    <t xml:space="preserve">c1f98e90592aa87bfd853cf8793228b9</t>
  </si>
  <si>
    <t xml:space="preserve">d7be7b4fb9676dc6d6fdd1a5f17312f4</t>
  </si>
  <si>
    <t xml:space="preserve">89272f04668d7b7232cdc1d00c99a75b</t>
  </si>
  <si>
    <t xml:space="preserve">e9119ba1c34f36da5a8b42b9cea74981</t>
  </si>
  <si>
    <t xml:space="preserve">260cb547e2280fe3722dce1347a48c42</t>
  </si>
  <si>
    <t xml:space="preserve">6a7a784128cc812a8150e0c9c948384b</t>
  </si>
  <si>
    <t xml:space="preserve">71414f58db8ec35b3c83861eddf0a0a2</t>
  </si>
  <si>
    <t xml:space="preserve">1cfb655f82c42e488cbadae57eccdaf4</t>
  </si>
  <si>
    <t xml:space="preserve">1f4db543f58b42ebdb0389976cab2214</t>
  </si>
  <si>
    <t xml:space="preserve">b723b226e83c70f38ef9d4efd9800e46</t>
  </si>
  <si>
    <t xml:space="preserve">834b8382013f37e44d49f390836d3cf3</t>
  </si>
  <si>
    <t xml:space="preserve">e648d7ae78304c6c79eb17974fb9ef37</t>
  </si>
  <si>
    <t xml:space="preserve">55a6b3ef1d3042eec323aba40cd14fc1</t>
  </si>
  <si>
    <t xml:space="preserve">00595cd26a0086475c74e1da80989251</t>
  </si>
  <si>
    <t xml:space="preserve">76883ea9a726d089f5351e2b649808e0</t>
  </si>
  <si>
    <t xml:space="preserve">e0ee5e8ab3e6f4c6d428df6c89aa4293</t>
  </si>
  <si>
    <t xml:space="preserve">db13f2ec663b4427bef7110a57f9f3a7</t>
  </si>
  <si>
    <t xml:space="preserve">CE</t>
  </si>
  <si>
    <t xml:space="preserve">c3ea13fd48d6ee51ea9d2a40142239d6</t>
  </si>
  <si>
    <t xml:space="preserve">3ed9d8e3460017c871ef7d6cfa06ae19</t>
  </si>
  <si>
    <t xml:space="preserve">d88e6b86a159b48192a6dd56b85acaf0</t>
  </si>
  <si>
    <t xml:space="preserve">cea9e905e0e4fb328c141f2316954ee6</t>
  </si>
  <si>
    <t xml:space="preserve">8e9ff74afb6503ea0f9733429b2d43a3</t>
  </si>
  <si>
    <t xml:space="preserve">93c840115c2281fef4e1048af417adc9</t>
  </si>
  <si>
    <t xml:space="preserve">ac5a61d394fc2275d4e845bcbdfe7f18</t>
  </si>
  <si>
    <t xml:space="preserve">527db562954a29b9039325354a1d8a01</t>
  </si>
  <si>
    <t xml:space="preserve">27ff97ca12049b0a9e11e71ce8ae6b4b</t>
  </si>
  <si>
    <t xml:space="preserve">90d352980cc1073ecf16f365e9dc1dbc</t>
  </si>
  <si>
    <t xml:space="preserve">11c775375639755503109f0de880d4cf</t>
  </si>
  <si>
    <t xml:space="preserve">ec285a93f5a4f270eadeae691bbcb748</t>
  </si>
  <si>
    <t xml:space="preserve">f44883858de7ad6c949077c27674456f</t>
  </si>
  <si>
    <t xml:space="preserve">dcccea619d4d8b69ef8b3927de23f191</t>
  </si>
  <si>
    <t xml:space="preserve">af92a2aef78b36a31644b00b46c462a7</t>
  </si>
  <si>
    <t xml:space="preserve">9fb209b1732fc932ab962697c1e1f813</t>
  </si>
  <si>
    <t xml:space="preserve">c7d77fbb520b7950dee4254b0afc13fb</t>
  </si>
  <si>
    <t xml:space="preserve">b2e2f3cc3873335fca3f48a4cd88e44e</t>
  </si>
  <si>
    <t xml:space="preserve">02bf8d3f6b186f2f35b5b64c034b1d43</t>
  </si>
  <si>
    <t xml:space="preserve">bdd427f32cea49944219ae92e8e67bc0</t>
  </si>
  <si>
    <t xml:space="preserve">0df83e12a56b61e04ba8a4ca6449cb6f</t>
  </si>
  <si>
    <t xml:space="preserve">696f90744084a2907e50a000c474e1c0</t>
  </si>
  <si>
    <t xml:space="preserve">ef3e9770390ae185128dfb8215ab1a47</t>
  </si>
  <si>
    <t xml:space="preserve">f243b5c6833d75956fa1c2327eecdc53</t>
  </si>
  <si>
    <t xml:space="preserve">7e19cad732af7b95adc4b86da180ee9b</t>
  </si>
  <si>
    <t xml:space="preserve">7fd7559e44c08b4eacd5f173904fa87a</t>
  </si>
  <si>
    <t xml:space="preserve">263bda8d86782d01974b18d99aca56fc</t>
  </si>
  <si>
    <t xml:space="preserve">98a21f1c914dcfaef10013a7c6deb2f0</t>
  </si>
  <si>
    <t xml:space="preserve">dac9d4a4b43bf88cc6f434688d78e1c8</t>
  </si>
  <si>
    <t xml:space="preserve">9785db5af31b74f8163b600117f931b6</t>
  </si>
  <si>
    <t xml:space="preserve">d3778853079a8055aac16b4258d6e90d</t>
  </si>
  <si>
    <t xml:space="preserve">42be7d36a9230810c34604f98bed0104</t>
  </si>
  <si>
    <t xml:space="preserve">1667b920926e6991aa82cac85b74c4d1</t>
  </si>
  <si>
    <t xml:space="preserve">1cf146542ab202c2cc0243c6e2d903c8</t>
  </si>
  <si>
    <t xml:space="preserve">004e07210cc8fa21b601e5b201c363cd</t>
  </si>
  <si>
    <t xml:space="preserve">921f266fc450205286a8f21a010e622b</t>
  </si>
  <si>
    <t xml:space="preserve">ea7c8b0cdefa6d4a474ca8796f96bbff</t>
  </si>
  <si>
    <t xml:space="preserve">b50f2f5c2d6acdd45aeb90f64faa8036</t>
  </si>
  <si>
    <t xml:space="preserve">3f612028cb4a9aa4e52053b68faa2da8</t>
  </si>
  <si>
    <t xml:space="preserve">1bd8978e92714fea6fad74602ef38ed1</t>
  </si>
  <si>
    <t xml:space="preserve">8c6743e15f9209eccc027d43d622d179</t>
  </si>
  <si>
    <t xml:space="preserve">3ae56c8d536016e7e5fbc1c0ad463549</t>
  </si>
  <si>
    <t xml:space="preserve">61a71114d994f7ba4b7faa4c0d5d2f64</t>
  </si>
  <si>
    <t xml:space="preserve">b54ec3231e53a5da0780b3eedcfa02a9</t>
  </si>
  <si>
    <t xml:space="preserve">ba65ccc02eac9f8561e47a6e1d5036a8</t>
  </si>
  <si>
    <t xml:space="preserve">edc78d7ba63f89b5078c7f1d2e659eb1</t>
  </si>
  <si>
    <t xml:space="preserve">8620a10ae0099d7aca226c566fc8503c</t>
  </si>
  <si>
    <t xml:space="preserve">a8f0d5136650bc24f84b241f0466b04d</t>
  </si>
  <si>
    <t xml:space="preserve">2c154804099759a37919955c9be4f19f</t>
  </si>
  <si>
    <t xml:space="preserve">199ae3daaae39bc04a1954ec4a3fcfda</t>
  </si>
  <si>
    <t xml:space="preserve">06fb22acc342adc9df09451fd173bd6d</t>
  </si>
  <si>
    <t xml:space="preserve">89020a97128cc17a4c055b0a823b7845</t>
  </si>
  <si>
    <t xml:space="preserve">41e0cfaf52ca9cedc5268f0fc516e394</t>
  </si>
  <si>
    <t xml:space="preserve">7dd7fc59b58674b5e631a9ee754f595f</t>
  </si>
  <si>
    <t xml:space="preserve">6a961ac0865162a60fe917808b8c6b6e</t>
  </si>
  <si>
    <t xml:space="preserve">7a4a902f21d63b0fb1ac040d6c1cc405</t>
  </si>
  <si>
    <t xml:space="preserve">fc8ade6a9051385e0b7ce5c690968629</t>
  </si>
  <si>
    <t xml:space="preserve">d533e78253c50458a4f9315f6f4da8c9</t>
  </si>
  <si>
    <t xml:space="preserve">36f51698cbee70fb1de2ea80f90d3083</t>
  </si>
  <si>
    <t xml:space="preserve">77fc97031fd5a423706c5c5649e2623d</t>
  </si>
  <si>
    <t xml:space="preserve">eb5c4ed85ef6840e9ef8b5a9b792ff65</t>
  </si>
  <si>
    <t xml:space="preserve">5f0e75e78772338901a4b9bd7572765a</t>
  </si>
  <si>
    <t xml:space="preserve">1e9d095bd17ad9bdb1ba0beaf9690579</t>
  </si>
  <si>
    <t xml:space="preserve">38ac7355f495dd711802f730e8ec6834</t>
  </si>
  <si>
    <t xml:space="preserve">d9a3742a83c28870adde98b619f620a2</t>
  </si>
  <si>
    <t xml:space="preserve">72ebde4e95c4fab0e97f995d9bc8d6f6</t>
  </si>
  <si>
    <t xml:space="preserve">a7b4d7c9bfbff3150507a453098fd17b</t>
  </si>
  <si>
    <t xml:space="preserve">a8e56e0c20de435d2031d750c40db9b4</t>
  </si>
  <si>
    <t xml:space="preserve">621285e3407ad92f660d63f3eaf590ed</t>
  </si>
  <si>
    <t xml:space="preserve">15bd18badcaaf6a5451ea1dbe06a46b2</t>
  </si>
  <si>
    <t xml:space="preserve">55e456f0eb8a720715183e2c3ccabde2</t>
  </si>
  <si>
    <t xml:space="preserve">8bdeb84a6c1c0ab60f8034cc13d29821</t>
  </si>
  <si>
    <t xml:space="preserve">c8d8e631e65cb372d71990246c09f3f0</t>
  </si>
  <si>
    <t xml:space="preserve">09af9883eed21f940038dc84a3ed033a</t>
  </si>
  <si>
    <t xml:space="preserve">12d5dfe569eb337c059ef8d8cba20d38</t>
  </si>
  <si>
    <t xml:space="preserve">5b5cd6c54b11c1812dc1214344698c04</t>
  </si>
  <si>
    <t xml:space="preserve">42da860946e1ee40dc8ab6a7533c2ed5</t>
  </si>
  <si>
    <t xml:space="preserve">cf1af57524b6a91c5df1f49be59a3a64</t>
  </si>
  <si>
    <t xml:space="preserve">0bfe68af3a87b3e2dbafd3b150ff1ea7</t>
  </si>
  <si>
    <t xml:space="preserve">2bba25b5eaab212d13732d84f9350fc2</t>
  </si>
  <si>
    <t xml:space="preserve">89fab5cc95b04f8ad64f10b584d6b400</t>
  </si>
  <si>
    <t xml:space="preserve">5fa9b21a504b10c8f3b937f29fe7e068</t>
  </si>
  <si>
    <t xml:space="preserve">ee4401c971afc5ff5bbdcdb6f117bec0</t>
  </si>
  <si>
    <t xml:space="preserve">34f735edb2398791d10f5d4aba209b9d</t>
  </si>
  <si>
    <t xml:space="preserve">8468b74d85e3ade558c1aad6f3f8dea4</t>
  </si>
  <si>
    <t xml:space="preserve">73a44f97e6faa03b2c85ef207db8aa1c</t>
  </si>
  <si>
    <t xml:space="preserve">1f0110853727a7a5f89f057b0873cccf</t>
  </si>
  <si>
    <t xml:space="preserve">49b7e0374425dea7c83924d7d03bcbfc</t>
  </si>
  <si>
    <t xml:space="preserve">cc654e5f370336f9c23b4ffaf69face8</t>
  </si>
  <si>
    <t xml:space="preserve">6328143e2d9563ed747a48299c03d65c</t>
  </si>
  <si>
    <t xml:space="preserve">cf0523c50c23abb7890bbcd25600c174</t>
  </si>
  <si>
    <t xml:space="preserve">34cb7b9a933882b320fa15b70a054950</t>
  </si>
  <si>
    <t xml:space="preserve">e2682c9f3b482d28b7ed2c13f3ebe658</t>
  </si>
  <si>
    <t xml:space="preserve">73eb0a4e0e4b4dbfcf4180b1b7e8b0a4</t>
  </si>
  <si>
    <t xml:space="preserve">5cae9610c72c1fe372c22a1679eb4168</t>
  </si>
  <si>
    <t xml:space="preserve">bc8cfa8fc655a5977ccc63de82ac7e1d</t>
  </si>
  <si>
    <t xml:space="preserve">730f8b28ecaf549ed37dcef34949ded7</t>
  </si>
  <si>
    <t xml:space="preserve">1f16a10e56685b027387d896c3d08178</t>
  </si>
  <si>
    <t xml:space="preserve">0ccfd7fb438279e7ecf8022f2ed1027f</t>
  </si>
  <si>
    <t xml:space="preserve">d83df6ae42fbc4a0ab5f69c9357cc20c</t>
  </si>
  <si>
    <t xml:space="preserve">6f3312ce71e7ac0c70a2302345a937a9</t>
  </si>
  <si>
    <t xml:space="preserve">40ef2762212b770912dee9714dafde3f</t>
  </si>
  <si>
    <t xml:space="preserve">a8c34b2544cca0575c9808f446368d12</t>
  </si>
  <si>
    <t xml:space="preserve">7d2b87148de0b52ac2d0af1f43eb756f</t>
  </si>
  <si>
    <t xml:space="preserve">5e45295681e4ee990c286323d27f6d1f</t>
  </si>
  <si>
    <t xml:space="preserve">befb3cb8c578f4f49b18276a1d7b8363</t>
  </si>
  <si>
    <t xml:space="preserve">169f915e59828abf9c2ce814250e3556</t>
  </si>
  <si>
    <t xml:space="preserve">1b970c2328fd74e1c416b2781c74ca36</t>
  </si>
  <si>
    <t xml:space="preserve">703c1286b71714cd200291bb44e9f8fb</t>
  </si>
  <si>
    <t xml:space="preserve">1396a289c29a988f18a952109f8c2c51</t>
  </si>
  <si>
    <t xml:space="preserve">16efacdf9375ee61ec94503eaf4afcdd</t>
  </si>
  <si>
    <t xml:space="preserve">e6766b0a3b9a3daf6321d75368dd66fd</t>
  </si>
  <si>
    <t xml:space="preserve">23167b59cfbbf4e3e160e35b4da7f632</t>
  </si>
  <si>
    <t xml:space="preserve">b0f1d20979432f6fda554d255d144588</t>
  </si>
  <si>
    <t xml:space="preserve">0fd5522406544239fbc3038797f33322</t>
  </si>
  <si>
    <t xml:space="preserve">4767d76c162f8a24ef43613cd4aac9a3</t>
  </si>
  <si>
    <t xml:space="preserve">78ae8d5dfe268e779b4547e072fefdc2</t>
  </si>
  <si>
    <t xml:space="preserve">9b1911122d2ae08e6c8c5d0e3eb366fd</t>
  </si>
  <si>
    <t xml:space="preserve">1a710bdf7b6de07125b08a57a4ba1e5c</t>
  </si>
  <si>
    <t xml:space="preserve">56e52992eecb09e58ff8749d49cf1e85</t>
  </si>
  <si>
    <t xml:space="preserve">b7e4d6981c360249105d48579c10f74d</t>
  </si>
  <si>
    <t xml:space="preserve">f533cc8652bacd958d73e3f854f99b39</t>
  </si>
  <si>
    <t xml:space="preserve">7a8f36a2f88cd2b020769df3356cd31f</t>
  </si>
  <si>
    <t xml:space="preserve">53e7ad0248ffeea5fb33740c06b19eec</t>
  </si>
  <si>
    <t xml:space="preserve">df83d859f13a5d893f21360a578dd65f</t>
  </si>
  <si>
    <t xml:space="preserve">fc98036a73947e22b1e2640c583cb7cb</t>
  </si>
  <si>
    <t xml:space="preserve">e134edfc97777f10f2d2393f8e85140d</t>
  </si>
  <si>
    <t xml:space="preserve">5de82b8cc23450bbc81076dd79267133</t>
  </si>
  <si>
    <t xml:space="preserve">4ea2afafe1b5eaf46f2d0a1b5c497fba</t>
  </si>
  <si>
    <t xml:space="preserve">09bb6d1a92797a73cd839265a2ba9024</t>
  </si>
  <si>
    <t xml:space="preserve">5263f8e03c5969c6a6ea0997f5a02c0a</t>
  </si>
  <si>
    <t xml:space="preserve">b63f93f646b5b8f6c51b2922ca916df7</t>
  </si>
  <si>
    <t xml:space="preserve">333b5a5d0a45f6041165ed7f8cced653</t>
  </si>
  <si>
    <t xml:space="preserve">e8f68c8199f6a8932900b3a7eac04858</t>
  </si>
  <si>
    <t xml:space="preserve">103a5cbe4a1a7220361f83dac6ed940c</t>
  </si>
  <si>
    <t xml:space="preserve">20e7118acf8da52b05e3d1071d0ffe16</t>
  </si>
  <si>
    <t xml:space="preserve">ec3e83c379613250d3752185a01989d1</t>
  </si>
  <si>
    <t xml:space="preserve">d732bacd8090661f4e02ffb304bdd646</t>
  </si>
  <si>
    <t xml:space="preserve">b964502130ff1f0f649431d1d61dcbb1</t>
  </si>
  <si>
    <t xml:space="preserve">1b3684b41b13a85f21a44c4a097c763b</t>
  </si>
  <si>
    <t xml:space="preserve">31c78f1c47c534e3831448cb053f349f</t>
  </si>
  <si>
    <t xml:space="preserve">2bc4a31953211cf18ddc5f0e523c0ed4</t>
  </si>
  <si>
    <t xml:space="preserve">0e58877025660316f39ef1bec02553ea</t>
  </si>
  <si>
    <t xml:space="preserve">3da34aca1e0724a8c28fd8cb80189536</t>
  </si>
  <si>
    <t xml:space="preserve">142ec8b0cce52711950ce8353659fa8c</t>
  </si>
  <si>
    <t xml:space="preserve">a1965413d881a73aa99e7d01e5ae81f3</t>
  </si>
  <si>
    <t xml:space="preserve">421a51df9452f39a9c7d894489f4f37c</t>
  </si>
  <si>
    <t xml:space="preserve">89b80812c69c270f86f86d78ef87bdbe</t>
  </si>
  <si>
    <t xml:space="preserve">700311ee1e99478141d5131160ae027d</t>
  </si>
  <si>
    <t xml:space="preserve">07298d477c659dc94b425bba4da273ed</t>
  </si>
  <si>
    <t xml:space="preserve">be66de49ca6d6803f75ea48f6f747d68</t>
  </si>
  <si>
    <t xml:space="preserve">33777a8232efb83d28d3e1aac23f2471</t>
  </si>
  <si>
    <t xml:space="preserve">21472a15fcce96f6250a4578fbe94499</t>
  </si>
  <si>
    <t xml:space="preserve">f2435fb4ac7edd94397f9ba7dc461101</t>
  </si>
  <si>
    <t xml:space="preserve">362f5e5c53cd6268610cf37342999aa4</t>
  </si>
  <si>
    <t xml:space="preserve">7c93f6cc97d7a560adb14670ad9fb00d</t>
  </si>
  <si>
    <t xml:space="preserve">cd638ba8f03c664b3abf9c656dd013f3</t>
  </si>
  <si>
    <t xml:space="preserve">e4c834a771ad673d5f0a8b7945fb791c</t>
  </si>
  <si>
    <t xml:space="preserve">5d4f7107911ddc7990c8042027035b27</t>
  </si>
  <si>
    <t xml:space="preserve">dc4121765b59f28ea9de5b2608ffeab0</t>
  </si>
  <si>
    <t xml:space="preserve">d7357f9d3cbb32de5a37fe116b9c7d7c</t>
  </si>
  <si>
    <t xml:space="preserve">b960df1f17152d766fc1aaeb340ce8c9</t>
  </si>
  <si>
    <t xml:space="preserve">f04dec45e6aadd6cdb27f24169a62dc2</t>
  </si>
  <si>
    <t xml:space="preserve">a1628abf1a48280302040c8155773297</t>
  </si>
  <si>
    <t xml:space="preserve">fd0d4cb1c9167a93ada63c4b1a1940e4</t>
  </si>
  <si>
    <t xml:space="preserve">0a3e49186e4f8ea3f0ad16f7db1fb4d4</t>
  </si>
  <si>
    <t xml:space="preserve">0e38c34611725478b2389847dd6952d9</t>
  </si>
  <si>
    <t xml:space="preserve">04a1dd66bce88f22af001605ae93b319</t>
  </si>
  <si>
    <t xml:space="preserve">34efa156255ab787a292bd6cdb95e988</t>
  </si>
  <si>
    <t xml:space="preserve">4236fb0e1e2f9c71b6a033e63ab5d8d0</t>
  </si>
  <si>
    <t xml:space="preserve">3345dd68e9ee045e2e27b51cf42e466d</t>
  </si>
  <si>
    <t xml:space="preserve">4db3a04428876b7f64694f537f5085e7</t>
  </si>
  <si>
    <t xml:space="preserve">43662f06f12b37c65f4e3f9c127546d6</t>
  </si>
  <si>
    <t xml:space="preserve">7321bdcbeff6c41cfe3d9753db9c26cb</t>
  </si>
  <si>
    <t xml:space="preserve">c2d031ad1bc6229e42f19c7b91f29ea4</t>
  </si>
  <si>
    <t xml:space="preserve">3b8ff9d7c22edfc4381071770acc09da</t>
  </si>
  <si>
    <t xml:space="preserve">65a8bdc130158278198f2ed192e90654</t>
  </si>
  <si>
    <t xml:space="preserve">ece9504b03d7f962f80443eec3b8d179</t>
  </si>
  <si>
    <t xml:space="preserve">083ed925c90d35aa914cc11c05f30bc5</t>
  </si>
  <si>
    <t xml:space="preserve">658064de1bc004500ddf8da34a086284</t>
  </si>
  <si>
    <t xml:space="preserve">b1f4e511e6f9c201247803a1fb4a0283</t>
  </si>
  <si>
    <t xml:space="preserve">109368fffc0ea433ba9c5a2aba900186</t>
  </si>
  <si>
    <t xml:space="preserve">ed1dedcd89caa69de741c19dceb4c025</t>
  </si>
  <si>
    <t xml:space="preserve">8085c1471e910f365f705b2592502e59</t>
  </si>
  <si>
    <t xml:space="preserve">ab7aeb66f4acc7e2fa575cea39571344</t>
  </si>
  <si>
    <t xml:space="preserve">00801ed9743480a1e212f7e18f63c2bb</t>
  </si>
  <si>
    <t xml:space="preserve">4ccf0a4b7c93243ec90b945450d3802d</t>
  </si>
  <si>
    <t xml:space="preserve">2c415f60b3c563babc9dea9702759964</t>
  </si>
  <si>
    <t xml:space="preserve">6c0046f07957595f25ee2f0f76a30eb0</t>
  </si>
  <si>
    <t xml:space="preserve">b43c7851e78dcf327e2a9f7347dfa607</t>
  </si>
  <si>
    <t xml:space="preserve">09f08f24e28f553768a64d97123c6a29</t>
  </si>
  <si>
    <t xml:space="preserve">d15f4acd97dfc472e2fba2a136df253c</t>
  </si>
  <si>
    <t xml:space="preserve">db97151da89e4fa6ae2bcab8551fe4f7</t>
  </si>
  <si>
    <t xml:space="preserve">082dc372c996a54bbcbb065803e6551e</t>
  </si>
  <si>
    <t xml:space="preserve">ebb48c9ebd1e9dd812e1725b0b94b2ab</t>
  </si>
  <si>
    <t xml:space="preserve">046606f63c7a912d2afd3660e5199bd9</t>
  </si>
  <si>
    <t xml:space="preserve">8eed8d34f3843346945f4281236603b4</t>
  </si>
  <si>
    <t xml:space="preserve">31934d22976611eed2bfbcf2d709acc3</t>
  </si>
  <si>
    <t xml:space="preserve">d4073daa68db33704cb37187eb469b21</t>
  </si>
  <si>
    <t xml:space="preserve">b0a20005981fd1de4332002227e76f64</t>
  </si>
  <si>
    <t xml:space="preserve">cc09de64233e84ac3e3f3da02f98ad33</t>
  </si>
  <si>
    <t xml:space="preserve">6d4772f8d46a77af2a736a676c461d48</t>
  </si>
  <si>
    <t xml:space="preserve">0ca37885d7607ffeaa8b73eb3cde0596</t>
  </si>
  <si>
    <t xml:space="preserve">88ad3de9018e2f1dec0bcb99ea176ff6</t>
  </si>
  <si>
    <t xml:space="preserve">218c6e1c9e374f7ac42cbc39e05b46c5</t>
  </si>
  <si>
    <t xml:space="preserve">7487d7727f0386fa13badc91a0a5fde6</t>
  </si>
  <si>
    <t xml:space="preserve">fc5c960fad39e05292a0768834b5bf07</t>
  </si>
  <si>
    <t xml:space="preserve">085e9e90f12ff03e923b6567dcdc614f</t>
  </si>
  <si>
    <t xml:space="preserve">91e610ddd72abf118f415cf0d99598fb</t>
  </si>
  <si>
    <t xml:space="preserve">ad433e2d9bdc44e5311eb154c12690a1</t>
  </si>
  <si>
    <t xml:space="preserve">5926c059bfd0b387963dbc5ef11b9c1b</t>
  </si>
  <si>
    <t xml:space="preserve">3e493f43b118f68d6786d50638ba8abc</t>
  </si>
  <si>
    <t xml:space="preserve">2cbb71d76c1de2fa88f7b88e9f863762</t>
  </si>
  <si>
    <t xml:space="preserve">01bb819c4dfe111722af711f1b628a9d</t>
  </si>
  <si>
    <t xml:space="preserve">d6de70c52ce4599df92408c32ea9ef6c</t>
  </si>
  <si>
    <t xml:space="preserve">b5d044fb2cd64d84747738793eec05dc</t>
  </si>
  <si>
    <t xml:space="preserve">17d8e814b669c307487a2d8b424c330b</t>
  </si>
  <si>
    <t xml:space="preserve">150a259157e8a949d483cb097b01e4c2</t>
  </si>
  <si>
    <t xml:space="preserve">2bf8c7bd154e343333e5a4108656eee4</t>
  </si>
  <si>
    <t xml:space="preserve">7129e2f6e06ca678c35d8f64418af089</t>
  </si>
  <si>
    <t xml:space="preserve">7565e38f3d04dd10300a1b1bfed045c4</t>
  </si>
  <si>
    <t xml:space="preserve">1bdc74a98d3a5d767caa281b4e336644</t>
  </si>
  <si>
    <t xml:space="preserve">df8b40087d01b5a30041f5d49549e631</t>
  </si>
  <si>
    <t xml:space="preserve">bc4600bd584220f1d3105f4f403e3ee2</t>
  </si>
  <si>
    <t xml:space="preserve">3457c8d7523664ef8d8b10518af35cd2</t>
  </si>
  <si>
    <t xml:space="preserve">2823442c9a87e3574b8fb475e2ebb2d2</t>
  </si>
  <si>
    <t xml:space="preserve">27e9184f07918b3577a63918acac1f3b</t>
  </si>
  <si>
    <t xml:space="preserve">26c118f2eb1c0430df114270565f8687</t>
  </si>
  <si>
    <t xml:space="preserve">ed35839bf4d62658139b4c16fbcaebdc</t>
  </si>
  <si>
    <t xml:space="preserve">d69b019039c4dffaa527e02f7b190a51</t>
  </si>
  <si>
    <t xml:space="preserve">08683cbfaa0be6875d124a2233d9014f</t>
  </si>
  <si>
    <t xml:space="preserve">1fbf23bbb33109f53078f3d0f9046be7</t>
  </si>
  <si>
    <t xml:space="preserve">7b82ff4c547304460a88bdd7cdf392f9</t>
  </si>
  <si>
    <t xml:space="preserve">fa0b14f4f3d50d58933a10eea733dfe6</t>
  </si>
  <si>
    <t xml:space="preserve">4662477c6eec28adf5c4dab44a32b32a</t>
  </si>
  <si>
    <t xml:space="preserve">1c0f0bdcac7e937c54cc1e2a5e4cb287</t>
  </si>
  <si>
    <t xml:space="preserve">6d4a125926d24d46e21734c6d36fa1c9</t>
  </si>
  <si>
    <t xml:space="preserve">55060c6923d146a9c340b86ff996cbae</t>
  </si>
  <si>
    <t xml:space="preserve">04fcea60b5999215af36e28617645034</t>
  </si>
  <si>
    <t xml:space="preserve">f1d444f26ebe44cede11e863353e83e2</t>
  </si>
  <si>
    <t xml:space="preserve">cee8efcf295c1b5938079a8e7e3beb35</t>
  </si>
  <si>
    <t xml:space="preserve">0dc4aa1006062b52688cce176d2d2c6c</t>
  </si>
  <si>
    <t xml:space="preserve">8eed7ac976f3e6e13a333fa4fed1aaf9</t>
  </si>
  <si>
    <t xml:space="preserve">5e5ffeaa0eb540787464d6f211ea2c00</t>
  </si>
  <si>
    <t xml:space="preserve">e202f0226ef7ffc37ce28b5bb8d8f272</t>
  </si>
  <si>
    <t xml:space="preserve">b30e4822f463beb70ea8fb71bd7bc80c</t>
  </si>
  <si>
    <t xml:space="preserve">b8a7417eeaed87d90614f0057654865e</t>
  </si>
  <si>
    <t xml:space="preserve">c8a723e9bfa016c2c09cb50648f1096d</t>
  </si>
  <si>
    <t xml:space="preserve">52e0234e2505a2b69dd3c15a9417e0f5</t>
  </si>
  <si>
    <t xml:space="preserve">d97bd00e3475717102b964d676d96b12</t>
  </si>
  <si>
    <t xml:space="preserve">7bfdec746441e11e3ee1db8e5fffe8e6</t>
  </si>
  <si>
    <t xml:space="preserve">b206da830956f0e5ef0c1132415155db</t>
  </si>
  <si>
    <t xml:space="preserve">b1b8106de27e9a13022b2e42cc1e713d</t>
  </si>
  <si>
    <t xml:space="preserve">039a8ed5f337b2615f8392d5bb0c7919</t>
  </si>
  <si>
    <t xml:space="preserve">219c00cb9a7fde23af59aa66e75b2113</t>
  </si>
  <si>
    <t xml:space="preserve">8f188e729696dc6c671adde586b8afef</t>
  </si>
  <si>
    <t xml:space="preserve">bb7b6c0528522ca2f9d2014a22ee7f07</t>
  </si>
  <si>
    <t xml:space="preserve">8548867bad5cba244d59616b7779857f</t>
  </si>
  <si>
    <t xml:space="preserve">37275969459b082cf8d91bd645ad48ed</t>
  </si>
  <si>
    <t xml:space="preserve">10bb794e2cef755790ad07c69a5c68ad</t>
  </si>
  <si>
    <t xml:space="preserve">080fc9b3226f93e79e5f992d39c29259</t>
  </si>
  <si>
    <t xml:space="preserve">ea8e81315603534d0e03622c110a156d</t>
  </si>
  <si>
    <t xml:space="preserve">a7bbc32d115ca8024310357dec801a6f</t>
  </si>
  <si>
    <t xml:space="preserve">0519ae3678df7714aa97ff5165fe3fdd</t>
  </si>
  <si>
    <t xml:space="preserve">91468a8cf87f7210212e5fdd941ec447</t>
  </si>
  <si>
    <t xml:space="preserve">92ebc686609c17ac40f3de91eb142767</t>
  </si>
  <si>
    <t xml:space="preserve">c0f63229725d42593c4b1eec6231ee73</t>
  </si>
  <si>
    <t xml:space="preserve">2c0ef6cf727d264a4cc4a7e5fd25bca9</t>
  </si>
  <si>
    <t xml:space="preserve">92e33940a32c5e99fd26a41b221a7c4e</t>
  </si>
  <si>
    <t xml:space="preserve">00257ad1eb2263dd87c5421eec24a3c5</t>
  </si>
  <si>
    <t xml:space="preserve">8eac0a33cdf974a7d882b5c1f79efd70</t>
  </si>
  <si>
    <t xml:space="preserve">9d4b2bf94d85e9c7a0017720200b2903</t>
  </si>
  <si>
    <t xml:space="preserve">48d9084655c551fcfba57cc8edaf3766</t>
  </si>
  <si>
    <t xml:space="preserve">015d441f8e220c2dea7719193dddd241</t>
  </si>
  <si>
    <t xml:space="preserve">ff91e34055818a4240c9f77ea45532d8</t>
  </si>
  <si>
    <t xml:space="preserve">7f7f6c0a07c0d116a394ed549e3c5a88</t>
  </si>
  <si>
    <t xml:space="preserve">38e7e019fb8986c8c7ecfe71d49347fc</t>
  </si>
  <si>
    <t xml:space="preserve">df41c15518d2bfd058622bb4f9cc596e</t>
  </si>
  <si>
    <t xml:space="preserve">f737e8bc90266418cc45e20cf48f854e</t>
  </si>
  <si>
    <t xml:space="preserve">5c009a69aa373383ef9e3c5cb340e35d</t>
  </si>
  <si>
    <t xml:space="preserve">6dc86ca7b8e725ebf38321e3d6667cff</t>
  </si>
  <si>
    <t xml:space="preserve">8217009bf29ea0cebe3ccfac0835f5f4</t>
  </si>
  <si>
    <t xml:space="preserve">016b6287b00805cca7f36ae925c73c44</t>
  </si>
  <si>
    <t xml:space="preserve">8fb8b73685406adb983ae2351891f8cf</t>
  </si>
  <si>
    <t xml:space="preserve">6dbbf0f8964f05a1a68e851a0bcfed34</t>
  </si>
  <si>
    <t xml:space="preserve">bab2b77dfa740cc8a43afb7ac40d4874</t>
  </si>
  <si>
    <t xml:space="preserve">a1aa19f0a26c2d5a742617e7fbc1085b</t>
  </si>
  <si>
    <t xml:space="preserve">9770d013b080e9957ea7ccb8b0ad194d</t>
  </si>
  <si>
    <t xml:space="preserve">54a2f8bdc228a0e7d51a8247dbc4da67</t>
  </si>
  <si>
    <t xml:space="preserve">437956f8eb8acd151f2d3573cfea9738</t>
  </si>
  <si>
    <t xml:space="preserve">4764a95699685a3ce68479846b0dd81d</t>
  </si>
  <si>
    <t xml:space="preserve">2c3a11e7c9164a3b42fd68fbcff88b63</t>
  </si>
  <si>
    <t xml:space="preserve">db721b1452c2526e737e68ed8b0409e4</t>
  </si>
  <si>
    <t xml:space="preserve">4d2954179909b9c7bf30bbb67c69797c</t>
  </si>
  <si>
    <t xml:space="preserve">32a4a8a432f9b77107997940f9adde7d</t>
  </si>
  <si>
    <t xml:space="preserve">0622a2946399839fcc0e8c1b6ecff11d</t>
  </si>
  <si>
    <t xml:space="preserve">925d5ff485664da48422edc700dc1d6c</t>
  </si>
  <si>
    <t xml:space="preserve">fe9a7df943974997fae2dcede5693bb5</t>
  </si>
  <si>
    <t xml:space="preserve">a5c8c0727a4578419d0953a0bd5ced10</t>
  </si>
  <si>
    <t xml:space="preserve">1a6cf45952f6531fa605b7c9fb07ee93</t>
  </si>
  <si>
    <t xml:space="preserve">c33ffef764bf2e8c903389b46ce052ef</t>
  </si>
  <si>
    <t xml:space="preserve">7ff72b2097eea179afd063d635dde534</t>
  </si>
  <si>
    <t xml:space="preserve">83c74cbe916baf876c27316bdd05b827</t>
  </si>
  <si>
    <t xml:space="preserve">ab73860c83f079b3f78ffd83b05ab6bf</t>
  </si>
  <si>
    <t xml:space="preserve">fd8793606593837999d8dfd21cd98e6b</t>
  </si>
  <si>
    <t xml:space="preserve">3ac2bf85b8cac62fd6e88c2ccabac975</t>
  </si>
  <si>
    <t xml:space="preserve">b3932fb84fd4c793016f2931fa1b1bac</t>
  </si>
  <si>
    <t xml:space="preserve">d0b3575ef309824633ca623ff30113f0</t>
  </si>
  <si>
    <t xml:space="preserve">0cf2b69b0577aea9f899924698de8ebb</t>
  </si>
  <si>
    <t xml:space="preserve">676d5654845e8f4ec256f22482b248b6</t>
  </si>
  <si>
    <t xml:space="preserve">babddfeae59cfdf43cbeaea26a42b826</t>
  </si>
  <si>
    <t xml:space="preserve">fcc4091bf45707c678946a15c34201db</t>
  </si>
  <si>
    <t xml:space="preserve">f64d4de0a92a9880368413397fcbcf31</t>
  </si>
  <si>
    <t xml:space="preserve">84a2092d2777fe38b58d4c9759df5bb2</t>
  </si>
  <si>
    <t xml:space="preserve">0d325a89aa088f0d02d1269daae53fff</t>
  </si>
  <si>
    <t xml:space="preserve">69f27da18971ff47114181427df782eb</t>
  </si>
  <si>
    <t xml:space="preserve">58c6d166fe65b78257c26cfdf9d59f7f</t>
  </si>
  <si>
    <t xml:space="preserve">6577b89106ecbbf336160e063ee2bae3</t>
  </si>
  <si>
    <t xml:space="preserve">dbb6c4a302e7848415c78ccb7bf80355</t>
  </si>
  <si>
    <t xml:space="preserve">6a34c85410714d5136c59dacb4d7e28e</t>
  </si>
  <si>
    <t xml:space="preserve">ca97ebf555d596afa663d2cdb6f6dbf1</t>
  </si>
  <si>
    <t xml:space="preserve">8618e40d15d6a6585ce9dbbca25291f3</t>
  </si>
  <si>
    <t xml:space="preserve">63cd0cb1a7b3b6f9135896aae2751ce6</t>
  </si>
  <si>
    <t xml:space="preserve">20156a7212e153a6932cae01d2c65ee4</t>
  </si>
  <si>
    <t xml:space="preserve">a18028d567c7955eabe015719d79c79e</t>
  </si>
  <si>
    <t xml:space="preserve">bd54da044dcd0009c8d577179055a36f</t>
  </si>
  <si>
    <t xml:space="preserve">5bf9bfad03b93598ddc096d225fc850a</t>
  </si>
  <si>
    <t xml:space="preserve">97783a80ed9ac1dcf0702886d65b7bc2</t>
  </si>
  <si>
    <t xml:space="preserve">3360d11548b51c880f635f4a2b9a118e</t>
  </si>
  <si>
    <t xml:space="preserve">f8e351ea9aebbc3ea1f7815758f34359</t>
  </si>
  <si>
    <t xml:space="preserve">66384b25a9f9f36c496d4895c8d7f25c</t>
  </si>
  <si>
    <t xml:space="preserve">09b4413ca45ca94a345298c460310461</t>
  </si>
  <si>
    <t xml:space="preserve">ce6322b6ab05347fd556b37d8f0881ee</t>
  </si>
  <si>
    <t xml:space="preserve">7af985ff8ff198865a2c41bcc2c226ff</t>
  </si>
  <si>
    <t xml:space="preserve">1b186be4578efffee4588c5ef608f37b</t>
  </si>
  <si>
    <t xml:space="preserve">5eebafad38ebf35d32389b8d2689bcec</t>
  </si>
  <si>
    <t xml:space="preserve">4c955f6a966b1964fcd6bdca5876fd09</t>
  </si>
  <si>
    <t xml:space="preserve">8874a1c508fe3f405fe191732bdf3df4</t>
  </si>
  <si>
    <t xml:space="preserve">f6d294aae55126a3cdcc049eef4d2c57</t>
  </si>
  <si>
    <t xml:space="preserve">478f8cad0bcc903239f2b7a3630a3b56</t>
  </si>
  <si>
    <t xml:space="preserve">d6793ab4eae6c3da5f2d38b83a769378</t>
  </si>
  <si>
    <t xml:space="preserve">e32e3ac453fe40e39c6c3c4e8f5b8149</t>
  </si>
  <si>
    <t xml:space="preserve">014d7938643536b3aae35cae6d13e01d</t>
  </si>
  <si>
    <t xml:space="preserve">a5c6c5ae2e2f2127babf3375f17fb786</t>
  </si>
  <si>
    <t xml:space="preserve">685183410766699f7bf2aa0610c1de9c</t>
  </si>
  <si>
    <t xml:space="preserve">bd676ba089c9c0f39dcc91b05a0fdf61</t>
  </si>
  <si>
    <t xml:space="preserve">5c2c107b20bceac5151e087bf7e04b1e</t>
  </si>
  <si>
    <t xml:space="preserve">9c83cfae10501d6538973d1553199080</t>
  </si>
  <si>
    <t xml:space="preserve">9f80bd12299606d23e14196514c4e22c</t>
  </si>
  <si>
    <t xml:space="preserve">339a34cb30fa0cb468fd116b45292253</t>
  </si>
  <si>
    <t xml:space="preserve">8d84067fce58e7fc6cc0e350f7c40cb2</t>
  </si>
  <si>
    <t xml:space="preserve">376d65f70faae5bfb9004086aa21e153</t>
  </si>
  <si>
    <t xml:space="preserve">931b5970e946033f79b22b20db8d1836</t>
  </si>
  <si>
    <t xml:space="preserve">fec52f69ac436e121480eabd9d9f2662</t>
  </si>
  <si>
    <t xml:space="preserve">6e12bda9b2ec7ff4cb59b1515dde7466</t>
  </si>
  <si>
    <t xml:space="preserve">2048ba6e72ec6f04ff8bb8911b908e3f</t>
  </si>
  <si>
    <t xml:space="preserve">57deb702b026d60ac82d4afa95be2ff6</t>
  </si>
  <si>
    <t xml:space="preserve">afc63d341dbefabd8c881f361b705635</t>
  </si>
  <si>
    <t xml:space="preserve">8f940a739c2e7760cddedd24c57dfa49</t>
  </si>
  <si>
    <t xml:space="preserve">9a26755a3f5693814119055925b9de82</t>
  </si>
  <si>
    <t xml:space="preserve">1c3da4eba012c6c2c790b84c34c993ae</t>
  </si>
  <si>
    <t xml:space="preserve">feb3a85548e61273468013786e607c2f</t>
  </si>
  <si>
    <t xml:space="preserve">74f72d9ffeea6e19328ecb96464ffd1f</t>
  </si>
  <si>
    <t xml:space="preserve">13c3fc1bd77a80b89ae6befe8f2de908</t>
  </si>
  <si>
    <t xml:space="preserve">7f2487bc8c102bc1736b8385522fb6b0</t>
  </si>
  <si>
    <t xml:space="preserve">e533f1c5d23eb130eb56fde3d839ea8d</t>
  </si>
  <si>
    <t xml:space="preserve">8a39dfaf21b84e48a96de59593a1f127</t>
  </si>
  <si>
    <t xml:space="preserve">ad5be3c80c880714837217e0657046ea</t>
  </si>
  <si>
    <t xml:space="preserve">67a0deec1a4b0992a834f352e9721813</t>
  </si>
  <si>
    <t xml:space="preserve">530f7e66f49eaaa30ef147f76a846c2c</t>
  </si>
  <si>
    <t xml:space="preserve">fed6d62dab167f5d8dcc967f9c148474</t>
  </si>
  <si>
    <t xml:space="preserve">4fb67094123cf9112bd8ad4d3eacdb28</t>
  </si>
  <si>
    <t xml:space="preserve">35d21deaefa52c8a56a049431c687714</t>
  </si>
  <si>
    <t xml:space="preserve">1af0bb9521c390e2ea8f37c74432dbd9</t>
  </si>
  <si>
    <t xml:space="preserve">79eef2c0aa7a907d41f3f1b9b81bda1d</t>
  </si>
  <si>
    <t xml:space="preserve">7e85f617f17e993d84cda1d23c32f2ee</t>
  </si>
  <si>
    <t xml:space="preserve">9d70773edcd9f69f789759ef170d5c13</t>
  </si>
  <si>
    <t xml:space="preserve">9787edf2c313e1be09a27c560128e485</t>
  </si>
  <si>
    <t xml:space="preserve">2201c38820ca516d745722800ecb845e</t>
  </si>
  <si>
    <t xml:space="preserve">4f74edc2245942f984b8fcb2c75795ba</t>
  </si>
  <si>
    <t xml:space="preserve">7537fe4f0d174a200218c6a9d29e8c00</t>
  </si>
  <si>
    <t xml:space="preserve">6e988798c2ac0d6d10c881792dc58521</t>
  </si>
  <si>
    <t xml:space="preserve">8d843ad9b0385cd1fb8671c158be6c14</t>
  </si>
  <si>
    <t xml:space="preserve">66f21e777ecbca9c6b1b8c030b7ecd79</t>
  </si>
  <si>
    <t xml:space="preserve">cd5ae324fe7c80e9a1791e933fc825ac</t>
  </si>
  <si>
    <t xml:space="preserve">798816f2e5d23d4112a1720bd1d46f58</t>
  </si>
  <si>
    <t xml:space="preserve">83370bc204595ccb6d0144d8ff843d1a</t>
  </si>
  <si>
    <t xml:space="preserve">c0d42af4f6597e63070a0069de84bcd1</t>
  </si>
  <si>
    <t xml:space="preserve">097e0cad67052038c43ecc48b6c12525</t>
  </si>
  <si>
    <t xml:space="preserve">260c037e305d0ef70d9ff83d70a32883</t>
  </si>
  <si>
    <t xml:space="preserve">40c8c7a382e847aef545dfb308a47ee1</t>
  </si>
  <si>
    <t xml:space="preserve">52d7ed321de883ef20448d4cc732ca9b</t>
  </si>
  <si>
    <t xml:space="preserve">6acaefa571880139a223b2ec387ae2d2</t>
  </si>
  <si>
    <t xml:space="preserve">9b20dac7cff7ce327649a52a0ddf6858</t>
  </si>
  <si>
    <t xml:space="preserve">32c973195e35534ea725a5e2a99b1357</t>
  </si>
  <si>
    <t xml:space="preserve">972d5d57669be896760272ba8862036f</t>
  </si>
  <si>
    <t xml:space="preserve">5e938891848c9fe63faf5eac7f97fe08</t>
  </si>
  <si>
    <t xml:space="preserve">1666bc2b053a6494314ce4b284c291a6</t>
  </si>
  <si>
    <t xml:space="preserve">f75820c17eec7024c8972af543d4d1a6</t>
  </si>
  <si>
    <t xml:space="preserve">64f22a7c87f797fa6cfa855f089b5b49</t>
  </si>
  <si>
    <t xml:space="preserve">058ac91fd07cbff24c546b59f42ad9b5</t>
  </si>
  <si>
    <t xml:space="preserve">e6a7caf754ca6897be71cd606bca4f86</t>
  </si>
  <si>
    <t xml:space="preserve">bdee5f357b51446a501da458e2b910f0</t>
  </si>
  <si>
    <t xml:space="preserve">076451d3275dd45952d36897d6442365</t>
  </si>
  <si>
    <t xml:space="preserve">366fbdddb1c8d50a1e390f218775cabf</t>
  </si>
  <si>
    <t xml:space="preserve">70fbb28e0d9bb3b5556ff3c182077e01</t>
  </si>
  <si>
    <t xml:space="preserve">18209c030a8ef99723b3b81b86174aa0</t>
  </si>
  <si>
    <t xml:space="preserve">9053317b5f4dec1d52af891a9639e2b7</t>
  </si>
  <si>
    <t xml:space="preserve">a265df650d56e00031456a6cf42323d9</t>
  </si>
  <si>
    <t xml:space="preserve">bd8e880c923ccd6417576cc8290fb2bd</t>
  </si>
  <si>
    <t xml:space="preserve">a30d5097aa189a7d49e2b4f467b28af7</t>
  </si>
  <si>
    <t xml:space="preserve">0ba6eab94639447b2067bdac88bd13d1</t>
  </si>
  <si>
    <t xml:space="preserve">e7ea8d5a31a3ac4d828c37e787d5b7be</t>
  </si>
  <si>
    <t xml:space="preserve">b73f6e64378d2f8d8761f9da039479c1</t>
  </si>
  <si>
    <t xml:space="preserve">b9291d34db6ea0ba842ca512f369c683</t>
  </si>
  <si>
    <t xml:space="preserve">cf63961d041aabfdb8949e59a4dab893</t>
  </si>
  <si>
    <t xml:space="preserve">d0887e041a187531d4b0927b1fc7aa60</t>
  </si>
  <si>
    <t xml:space="preserve">806273b3e9669f6ce89f5c90d42161da</t>
  </si>
  <si>
    <t xml:space="preserve">7d531cdcd7906117ed1d4adb01a0960b</t>
  </si>
  <si>
    <t xml:space="preserve">c8a41ff065f286794914e34efaa2bdc6</t>
  </si>
  <si>
    <t xml:space="preserve">bf1644542685602c3d8925a925d287d0</t>
  </si>
  <si>
    <t xml:space="preserve">0d92bc7eb78a2037bd46ebd582c52802</t>
  </si>
  <si>
    <t xml:space="preserve">8bab9c9cc0266d51a5c5bce0dffbdc2d</t>
  </si>
  <si>
    <t xml:space="preserve">ab1635f01e3640b11742b052f01f7382</t>
  </si>
  <si>
    <t xml:space="preserve">4775d7abd2077bc478858b6d23e7cd20</t>
  </si>
  <si>
    <t xml:space="preserve">cbacc3c6bb8ec1cbead217d1cefd7dee</t>
  </si>
  <si>
    <t xml:space="preserve">1f9d1e74049cd1603238a70896f35771</t>
  </si>
  <si>
    <t xml:space="preserve">fefac198c3d6cd548623bc7465a29cc8</t>
  </si>
  <si>
    <t xml:space="preserve">df61766abf5eabf2aa8fd30932d93235</t>
  </si>
  <si>
    <t xml:space="preserve">b95fd28824c382be9943d04b7e22329a</t>
  </si>
  <si>
    <t xml:space="preserve">f3d6b9f2d4d7b0cab08d16769d09a404</t>
  </si>
  <si>
    <t xml:space="preserve">23cd8a4471e64bce88baef4aa8be8d1f</t>
  </si>
  <si>
    <t xml:space="preserve">1357d2fe2a8f29cecd61647ccbf8b7e9</t>
  </si>
  <si>
    <t xml:space="preserve">c6ce72ab1dc4e66e2e7904592afaa00e</t>
  </si>
  <si>
    <t xml:space="preserve">47691dcbd0c9dfc1d13f24955ebc23bf</t>
  </si>
  <si>
    <t xml:space="preserve">07f2bde7eadce24462ff74f44e92078b</t>
  </si>
  <si>
    <t xml:space="preserve">41f4d834dcf5d1fccd3a7e734ce33ed4</t>
  </si>
  <si>
    <t xml:space="preserve">01462442cb0568b66d9e4e0f7155fedf</t>
  </si>
  <si>
    <t xml:space="preserve">969b666205628059568cc69b1064005c</t>
  </si>
  <si>
    <t xml:space="preserve">bea29dfec73f6e1baf908e3cdd750e98</t>
  </si>
  <si>
    <t xml:space="preserve">1eb6d3f0948841cba40cd0eed07f8c45</t>
  </si>
  <si>
    <t xml:space="preserve">02b622e9808e08d25d264b1b6593b659</t>
  </si>
  <si>
    <t xml:space="preserve">4aeedf7232256d64c9947eba25b85a8e</t>
  </si>
  <si>
    <t xml:space="preserve">e208945f04c6050953e1eeef84622ac5</t>
  </si>
  <si>
    <t xml:space="preserve">540f6345edd44660e80767cca22694a6</t>
  </si>
  <si>
    <t xml:space="preserve">8e242b1dc5736b1cc0b15ca389ae67cb</t>
  </si>
  <si>
    <t xml:space="preserve">b69f68c3e60fd4202c33350c73b911d8</t>
  </si>
  <si>
    <t xml:space="preserve">82601132c02fb24f70100d7e2a5f66e4</t>
  </si>
  <si>
    <t xml:space="preserve">2fc5229853effcdfea7ec9acae372e39</t>
  </si>
  <si>
    <t xml:space="preserve">82e52a4070f82c5d8768462a429b01a5</t>
  </si>
  <si>
    <t xml:space="preserve">7f651d8ad6d4f7ef284b73dd60e3fe8d</t>
  </si>
  <si>
    <t xml:space="preserve">76dae194439db29d4bc81c16fa2fbd74</t>
  </si>
  <si>
    <t xml:space="preserve">f5b7741490a6c5b41a70bcdbec202e90</t>
  </si>
  <si>
    <t xml:space="preserve">3e0643114b2c4073c1143151eb151b3a</t>
  </si>
  <si>
    <t xml:space="preserve">3a20bb07297c2bb12e6060c3fed6b3b6</t>
  </si>
  <si>
    <t xml:space="preserve">cedaccec56c07f2b3875c569ee85fb01</t>
  </si>
  <si>
    <t xml:space="preserve">97104075b8dbfc463a8b17bd0ac35863</t>
  </si>
  <si>
    <t xml:space="preserve">166c3d7f3dcebe0c65861976f2acf3fc</t>
  </si>
  <si>
    <t xml:space="preserve">754182e8f8cb57ff586b3c2246527e16</t>
  </si>
  <si>
    <t xml:space="preserve">a4ba0ef5284af9d8428e31edda36967d</t>
  </si>
  <si>
    <t xml:space="preserve">cdc7bd02ad3c21793a41a2bc70d294b7</t>
  </si>
  <si>
    <t xml:space="preserve">98d00c2c17d30f328de1596c5a9a206a</t>
  </si>
  <si>
    <t xml:space="preserve">3754a771aba5d1c9035c5d033664cafa</t>
  </si>
  <si>
    <t xml:space="preserve">23f2f68f476a25332d91ac23497dd968</t>
  </si>
  <si>
    <t xml:space="preserve">a69b4d21efb38c42b0901da22ec46bfe</t>
  </si>
  <si>
    <t xml:space="preserve">f9f8f5f4ce96c887f8db37f6c3bc5ca7</t>
  </si>
  <si>
    <t xml:space="preserve">e0f0200824a994d79b48c6fb333f117b</t>
  </si>
  <si>
    <t xml:space="preserve">84c84c23676e34be78bec228c455da79</t>
  </si>
  <si>
    <t xml:space="preserve">c339d513afa2c76a29d9525f793aec89</t>
  </si>
  <si>
    <t xml:space="preserve">735741e5fe1a1ba9c8969c5b45f8c28d</t>
  </si>
  <si>
    <t xml:space="preserve">72ef917e3af834f29aef9aec7bf18cf4</t>
  </si>
  <si>
    <t xml:space="preserve">172dc64717e6ae9932d8bc2913707fcb</t>
  </si>
  <si>
    <t xml:space="preserve">0182c4813bd14558af2f5f8b1a9226d6</t>
  </si>
  <si>
    <t xml:space="preserve">56aa814e779bfee4a6f70a504903528a</t>
  </si>
  <si>
    <t xml:space="preserve">aefae7b6f49ee85fafd580eb175217cb</t>
  </si>
  <si>
    <t xml:space="preserve">6e0d264835ce884149732d6c4dcabfb7</t>
  </si>
  <si>
    <t xml:space="preserve">d3616b3a7cffae922c4356677b874b4a</t>
  </si>
  <si>
    <t xml:space="preserve">124311591df56402492ca61297affdcd</t>
  </si>
  <si>
    <t xml:space="preserve">b9296f54aecb962566c6ea9bdd43fb54</t>
  </si>
  <si>
    <t xml:space="preserve">6ca6743866dc0f3ddc237929fbacb2e8</t>
  </si>
  <si>
    <t xml:space="preserve">833ba35ea5a9c1be48d3ef98b8702def</t>
  </si>
  <si>
    <t xml:space="preserve">0cba3ea338d1651188914fbff59d079f</t>
  </si>
  <si>
    <t xml:space="preserve">93d025137a045c437f97ebd8457d80a9</t>
  </si>
  <si>
    <t xml:space="preserve">3f1be0d0f5141058313839757bf33a34</t>
  </si>
  <si>
    <t xml:space="preserve">fff96acfee4205eea52fc3eceb4e2281</t>
  </si>
  <si>
    <t xml:space="preserve">b5cbe3f56a66c1847de1bf5daf4847f0</t>
  </si>
  <si>
    <t xml:space="preserve">ef2adff8cea4f9c41ecadf24f0d1fa72</t>
  </si>
  <si>
    <t xml:space="preserve">638b66acd4eee3138c487218a892ab6f</t>
  </si>
  <si>
    <t xml:space="preserve">439c725df6b90ae07395d3fc518775b3</t>
  </si>
  <si>
    <t xml:space="preserve">3b1e27d9997f14d6c829f373699f96c9</t>
  </si>
  <si>
    <t xml:space="preserve">5717876833fcfd7df605aa9c2de75a92</t>
  </si>
  <si>
    <t xml:space="preserve">ca84000350834fef6dec6bbdf69777a1</t>
  </si>
  <si>
    <t xml:space="preserve">69be173a850ef0add872f72ee5b4a1ae</t>
  </si>
  <si>
    <t xml:space="preserve">3aad584034ef71df43f19b58df6c0d60</t>
  </si>
  <si>
    <t xml:space="preserve">af73b3cf331e91f23bc5f97fd173b70b</t>
  </si>
  <si>
    <t xml:space="preserve">17cb67b86d0f74e6a174a7856f2190cb</t>
  </si>
  <si>
    <t xml:space="preserve">8e8ded4549adb07b874f7c5c9a0664b9</t>
  </si>
  <si>
    <t xml:space="preserve">82ce4e0c503eeaf204f73882e3fb8c1d</t>
  </si>
  <si>
    <t xml:space="preserve">58a44e034ac1a8f4a4ba67d7712b8f43</t>
  </si>
  <si>
    <t xml:space="preserve">d01548989187c9a0b8663c7ca92dcf4f</t>
  </si>
  <si>
    <t xml:space="preserve">585dfd17925814d9638cf9e30599e1f2</t>
  </si>
  <si>
    <t xml:space="preserve">63abd48ffdcdd45c53d32d79f632090a</t>
  </si>
  <si>
    <t xml:space="preserve">94e40f2fd957cd96678180493fcc7644</t>
  </si>
  <si>
    <t xml:space="preserve">b2a5c85ba515a145dd0885b17529a2f6</t>
  </si>
  <si>
    <t xml:space="preserve">2959b9688169d0cf5728c50d95e2b5fc</t>
  </si>
  <si>
    <t xml:space="preserve">f67839b222b5f4571860ad28d0afb235</t>
  </si>
  <si>
    <t xml:space="preserve">8faf6d4aa5a99ebcbe0ec2da396c357b</t>
  </si>
  <si>
    <t xml:space="preserve">05e9f407daada0b12f132a6d2ad55c0b</t>
  </si>
  <si>
    <t xml:space="preserve">fce5205510627761fdb536ada9da5dd7</t>
  </si>
  <si>
    <t xml:space="preserve">3defa84993364f7e83efa9f3a1c7cc8a</t>
  </si>
  <si>
    <t xml:space="preserve">f7aeede80a119bac8df21ad52d36db7e</t>
  </si>
  <si>
    <t xml:space="preserve">54d144d518ede297acb83fceb3e1511b</t>
  </si>
  <si>
    <t xml:space="preserve">5c88da6ee551da7a7011a2bece4f4c66</t>
  </si>
  <si>
    <t xml:space="preserve">4e2b952ee58d55cbcaad515c12afbaeb</t>
  </si>
  <si>
    <t xml:space="preserve">1d9ddee1e09189f1ca33dd8458c277f1</t>
  </si>
  <si>
    <t xml:space="preserve">29c036fc58eef3cfdca9fd3393dec16a</t>
  </si>
  <si>
    <t xml:space="preserve">695f30c595638ea4bbaafa3c7628aede</t>
  </si>
  <si>
    <t xml:space="preserve">0695a0ba33d5ceaf769633d743177b8e</t>
  </si>
  <si>
    <t xml:space="preserve">410bfc29be9cafcfed17f6e98cdc718d</t>
  </si>
  <si>
    <t xml:space="preserve">c5c01d052d37ba8ce7c8f28da7641ff1</t>
  </si>
  <si>
    <t xml:space="preserve">a9f99d4f9545201e6ecad0f561b0d81f</t>
  </si>
  <si>
    <t xml:space="preserve">f43006a3dd918930ec1343672e974f7a</t>
  </si>
  <si>
    <t xml:space="preserve">8995791d8ed3afeff897c7d97a077232</t>
  </si>
  <si>
    <t xml:space="preserve">0426fcc9255b30e2bdc2b74b38a56b49</t>
  </si>
  <si>
    <t xml:space="preserve">022111e588fc3da1781d5b6c49694032</t>
  </si>
  <si>
    <t xml:space="preserve">bb09e7634f39a47fb3288760a1027a45</t>
  </si>
  <si>
    <t xml:space="preserve">16b3bada122f0f9481d2645b8f8072b9</t>
  </si>
  <si>
    <t xml:space="preserve">8c3824311779a44c926aa390f4604426</t>
  </si>
  <si>
    <t xml:space="preserve">0d586c759c1890b3edd79dd87a99cb22</t>
  </si>
  <si>
    <t xml:space="preserve">ac0f680115b24e1d971546339d4edb71</t>
  </si>
  <si>
    <t xml:space="preserve">e08644187f3ef59b1638613769f35b2d</t>
  </si>
  <si>
    <t xml:space="preserve">7cc9d887639ac771b739a28a4ffd5b7a</t>
  </si>
  <si>
    <t xml:space="preserve">8a063bf5839818fc9d96bf5e4d9e9bb9</t>
  </si>
  <si>
    <t xml:space="preserve">51d3649c7fffa983081190e9fa1d8ded</t>
  </si>
  <si>
    <t xml:space="preserve">b517272df7797643becac08c53b04133</t>
  </si>
  <si>
    <t xml:space="preserve">93303626fac34112bf6247e277b09c85</t>
  </si>
  <si>
    <t xml:space="preserve">39d3a9cfcdfa76af66eb43b092d2408e</t>
  </si>
  <si>
    <t xml:space="preserve">56c76990740173c10155aa51bca2c581</t>
  </si>
  <si>
    <t xml:space="preserve">9d6932c9a9db47b9ca7ecb33787da6d7</t>
  </si>
  <si>
    <t xml:space="preserve">79468eaed3dc00ee9203c5d2351d1137</t>
  </si>
  <si>
    <t xml:space="preserve">d983dadff2e5cecf9b6c549460e0b673</t>
  </si>
  <si>
    <t xml:space="preserve">299152e6c95bc9171c01160cecc9d15a</t>
  </si>
  <si>
    <t xml:space="preserve">bbc0e8ed32dc80ee0447b659c6a22085</t>
  </si>
  <si>
    <t xml:space="preserve">9492ba69f8a5764a87c534504c787ac6</t>
  </si>
  <si>
    <t xml:space="preserve">1cd04b14dd79170f4c67c10f3db195a9</t>
  </si>
  <si>
    <t xml:space="preserve">266a8733144c3815af4d65d456a6526c</t>
  </si>
  <si>
    <t xml:space="preserve">bb100491e3fce36716ca77c89d9a7088</t>
  </si>
  <si>
    <t xml:space="preserve">3c20592fc04a96c4f3b63fe1d1843324</t>
  </si>
  <si>
    <t xml:space="preserve">5820b3f25989dd6c8d2434f9963dc8bf</t>
  </si>
  <si>
    <t xml:space="preserve">c1b0f44b29b2b32c1f27fa2c84391819</t>
  </si>
  <si>
    <t xml:space="preserve">f9c084d4d916fabeda65c703739c937a</t>
  </si>
  <si>
    <t xml:space="preserve">de61f70d76b00d9f673ad8cbf8e7158b</t>
  </si>
  <si>
    <t xml:space="preserve">bbfc3897f0271efc049fb2fd9313ea0f</t>
  </si>
  <si>
    <t xml:space="preserve">6e7eb978869d7b0161f03b994e33db37</t>
  </si>
  <si>
    <t xml:space="preserve">f273f4a4c7a5b7557a97a5df881e04ef</t>
  </si>
  <si>
    <t xml:space="preserve">902a459a224e11ba6300423aa112d6a2</t>
  </si>
  <si>
    <t xml:space="preserve">b7461b725d00df1ba83c1c2bb776e729</t>
  </si>
  <si>
    <t xml:space="preserve">c4bb4aced0c8da67bec62bbe4d7ec4b1</t>
  </si>
  <si>
    <t xml:space="preserve">e2f7da514c40a716bcf8fa8f71c01cb1</t>
  </si>
  <si>
    <t xml:space="preserve">e9c3d3719f688611033057449ae416ba</t>
  </si>
  <si>
    <t xml:space="preserve">ce54c3a983a95baeb242c5dc657c8dac</t>
  </si>
  <si>
    <t xml:space="preserve">6ded23f89d60cc7341b74316668e180e</t>
  </si>
  <si>
    <t xml:space="preserve">9c7a3fb54f601dfdb04701f9baae8df2</t>
  </si>
  <si>
    <t xml:space="preserve">014d98294e4a516f7d05955b0d9e1328</t>
  </si>
  <si>
    <t xml:space="preserve">ca3761d219504cc0cf962bfa5427becd</t>
  </si>
  <si>
    <t xml:space="preserve">b27b3d901a16342c3e2b6091a092f52a</t>
  </si>
  <si>
    <t xml:space="preserve">304b8590de9e37575260001eeecf67d2</t>
  </si>
  <si>
    <t xml:space="preserve">0c80b56fa33be6ce910220ca6e0f97b7</t>
  </si>
  <si>
    <t xml:space="preserve">8dbe81e1161aa2030216d82068195119</t>
  </si>
  <si>
    <t xml:space="preserve">4811e562a91cf19243e8644b8a45a905</t>
  </si>
  <si>
    <t xml:space="preserve">68e8f3115295ea96487b25d79cf023dd</t>
  </si>
  <si>
    <t xml:space="preserve">84c62e4b0c995e2da7a998ab103f3a46</t>
  </si>
  <si>
    <t xml:space="preserve">124038bb9bb99a3cc1ce653ac7032c2d</t>
  </si>
  <si>
    <t xml:space="preserve">54e07431cf133b65d450afa2d8e70aeb</t>
  </si>
  <si>
    <t xml:space="preserve">1ce8e12ff9287d2637c0f87aaaac826e</t>
  </si>
  <si>
    <t xml:space="preserve">072e35dd55e17880d8bb62b7c75f41dc</t>
  </si>
  <si>
    <t xml:space="preserve">275759a074516c969c2b4ca9be2f7685</t>
  </si>
  <si>
    <t xml:space="preserve">e6cfaf54ca9dc28c8d5af123085d07e6</t>
  </si>
  <si>
    <t xml:space="preserve">413e3c2c256373ffd0ed7c33a4bc556b</t>
  </si>
  <si>
    <t xml:space="preserve">c2d72b23acaae9bd30c6dff3d914b16d</t>
  </si>
  <si>
    <t xml:space="preserve">ec170298143df5b3a58e83dd548c1d84</t>
  </si>
  <si>
    <t xml:space="preserve">90441ec65ef0195ee152dc3a3894de06</t>
  </si>
  <si>
    <t xml:space="preserve">16933dc7e27d114a05e54cf09771ab1d</t>
  </si>
  <si>
    <t xml:space="preserve">ff4cc10f979c30cf33261887905881df</t>
  </si>
  <si>
    <t xml:space="preserve">ed6ae39fb5604484937749f62e2d0681</t>
  </si>
  <si>
    <t xml:space="preserve">c0539b74fa00a281dfb2591df9b5a1db</t>
  </si>
  <si>
    <t xml:space="preserve">a3b5bc49f05afb4adaa51cfb605a79a3</t>
  </si>
  <si>
    <t xml:space="preserve">a6a0b2d06293ff3bf65e166d15354005</t>
  </si>
  <si>
    <t xml:space="preserve">64425305fa87fb096f26324b3740eaf1</t>
  </si>
  <si>
    <t xml:space="preserve">96bfae6e37850b5c3ce5988c7e53d702</t>
  </si>
  <si>
    <t xml:space="preserve">1761f1ce3768d6aafd34d21e3b59475e</t>
  </si>
  <si>
    <t xml:space="preserve">76e9efdc47e4b3f364ad2b394702fe75</t>
  </si>
  <si>
    <t xml:space="preserve">347837520b3b81a9ddd652a86925f2d5</t>
  </si>
  <si>
    <t xml:space="preserve">cd1f5318331f63fbd11fc8c0297ca4ff</t>
  </si>
  <si>
    <t xml:space="preserve">8b31f4d8e073c1d09929afeb48842a14</t>
  </si>
  <si>
    <t xml:space="preserve">b9398e8e25fc57c710681724edcc6a95</t>
  </si>
  <si>
    <t xml:space="preserve">14f32e9bd4977ff67d35960301903474</t>
  </si>
  <si>
    <t xml:space="preserve">a08a6208ebec8b0a1513a64ba67a2cc7</t>
  </si>
  <si>
    <t xml:space="preserve">7677fdd887789f1b24ded4ff78a072f4</t>
  </si>
  <si>
    <t xml:space="preserve">aea398c6ec677b258f6875a3b1fbe012</t>
  </si>
  <si>
    <t xml:space="preserve">0961b31934033f089a607945e6bbba9e</t>
  </si>
  <si>
    <t xml:space="preserve">e502fd39b0e0565ab72423d687d5292c</t>
  </si>
  <si>
    <t xml:space="preserve">5e0a72ab7f5db163b12b66807f072cb9</t>
  </si>
  <si>
    <t xml:space="preserve">6274d2408e301bcc302fa247239a046d</t>
  </si>
  <si>
    <t xml:space="preserve">15c2f297ad3053cea8969e7085cd3384</t>
  </si>
  <si>
    <t xml:space="preserve">c72bf2e89bcfe969473fb005266c3392</t>
  </si>
  <si>
    <t xml:space="preserve">81a4dce0c8009f5e3139c12d3881efd7</t>
  </si>
  <si>
    <t xml:space="preserve">ebfabe59cd2ad4f53f916981f6208a2b</t>
  </si>
  <si>
    <t xml:space="preserve">2f9e3955d8f18fca8b665e8b7dd5be8f</t>
  </si>
  <si>
    <t xml:space="preserve">0a35653cf57a431e3e6b74fd9f027cbf</t>
  </si>
  <si>
    <t xml:space="preserve">4518f4c6612a9cc6cfff0d34caa81f13</t>
  </si>
  <si>
    <t xml:space="preserve">2263e16c66b768bd4f848c317954af2d</t>
  </si>
  <si>
    <t xml:space="preserve">bfd80514b6413edad327aa9722be2e23</t>
  </si>
  <si>
    <t xml:space="preserve">efede7bb5909b7d6c353b9e48aa2f756</t>
  </si>
  <si>
    <t xml:space="preserve">076f3b07a2ec377a305a1bef690903c4</t>
  </si>
  <si>
    <t xml:space="preserve">0eba6e49946cf4bee13445042964aa99</t>
  </si>
  <si>
    <t xml:space="preserve">f76e173b0ce401aac7d1b01b198774c1</t>
  </si>
  <si>
    <t xml:space="preserve">6ebd40abb7539235f2cfea1de44b847c</t>
  </si>
  <si>
    <t xml:space="preserve">2b0c456b8ab20bf4196dedc0fad34352</t>
  </si>
  <si>
    <t xml:space="preserve">b1bdd56a5e8fb079a550a4d18e27e044</t>
  </si>
  <si>
    <t xml:space="preserve">3c91accc5538b109168e8bf69f3df699</t>
  </si>
  <si>
    <t xml:space="preserve">3dc1e88207122fb9dcd6f58eb457bba6</t>
  </si>
  <si>
    <t xml:space="preserve">13ea7ae06be1de7dd31096065c969bed</t>
  </si>
  <si>
    <t xml:space="preserve">cb2b970402134726464bcffb089918a2</t>
  </si>
  <si>
    <t xml:space="preserve">bb6e3ec1e87f50875c27af1ca03d6f69</t>
  </si>
  <si>
    <t xml:space="preserve">b701492522fbe906554ed52c126aa315</t>
  </si>
  <si>
    <t xml:space="preserve">fce12a250804ccea9175fc6351f7c017</t>
  </si>
  <si>
    <t xml:space="preserve">87e6d238ad592953e24297fc8e144e1f</t>
  </si>
  <si>
    <t xml:space="preserve">04273eced1213c1bd8fc0b1eed1cf073</t>
  </si>
  <si>
    <t xml:space="preserve">5ab858a095abe7ae3d9290f06cf7dc55</t>
  </si>
  <si>
    <t xml:space="preserve">6e7ec1b28deb04141e2d5c821c33eea2</t>
  </si>
  <si>
    <t xml:space="preserve">4a1a7c2e7aededf46f302743020e2e6a</t>
  </si>
  <si>
    <t xml:space="preserve">3fa916f9eeb1ecb97008f9e0c28c36b8</t>
  </si>
  <si>
    <t xml:space="preserve">c2afaa5f019108800f5a1a7cfe4db9ea</t>
  </si>
  <si>
    <t xml:space="preserve">d7deaa33738d21e8c0a007018acfbadc</t>
  </si>
  <si>
    <t xml:space="preserve">bb822a1351936ec1e69f4f215b385a6a</t>
  </si>
  <si>
    <t xml:space="preserve">2e5b80a157a25d1c24e1d1d903f10ab7</t>
  </si>
  <si>
    <t xml:space="preserve">9677593ecdd118d00ddc0d6e7fa7f07d</t>
  </si>
  <si>
    <t xml:space="preserve">dd7edcf9fbf0bc30da6173ed594a4f2e</t>
  </si>
  <si>
    <t xml:space="preserve">c0e3befd4c71e0fe5a0cdd7cf1578470</t>
  </si>
  <si>
    <t xml:space="preserve">16509f14e5278ea2c80cd031cc214b4e</t>
  </si>
  <si>
    <t xml:space="preserve">7b4bcaf86b4a3541f123167e596a2b36</t>
  </si>
  <si>
    <t xml:space="preserve">d10c798391237a9d4f77283d94dbaa54</t>
  </si>
  <si>
    <t xml:space="preserve">bbe8793ef38b9f9eca8733db9a6b7a29</t>
  </si>
  <si>
    <t xml:space="preserve">877409a977d21e02ff01cf99988c24c9</t>
  </si>
  <si>
    <t xml:space="preserve">d41bd8bf64b078a7a4f9a67f9dc3bbee</t>
  </si>
  <si>
    <t xml:space="preserve">8e36d254d01dc98b7c7519b75fbc8473</t>
  </si>
  <si>
    <t xml:space="preserve">75912faf2a6e5a4c47aadc66c1b9f9a5</t>
  </si>
  <si>
    <t xml:space="preserve">ab48cfb7c9cf9646b8011c296c03c1b1</t>
  </si>
  <si>
    <t xml:space="preserve">a981b098b2cf952da7f333b3f7baf55e</t>
  </si>
  <si>
    <t xml:space="preserve">69b4119444d18524cf0e1567882d7fc1</t>
  </si>
  <si>
    <t xml:space="preserve">b5502e2b4bde7d883867f62dda3bce8e</t>
  </si>
  <si>
    <t xml:space="preserve">3914dce2b08307e1a9b7f1f520fed1f3</t>
  </si>
  <si>
    <t xml:space="preserve">4674a2f56818f77ea15c6648d355441e</t>
  </si>
  <si>
    <t xml:space="preserve">4e0270220cc6f6d16d66392cac05ad5c</t>
  </si>
  <si>
    <t xml:space="preserve">a45a2d29ce87cc55178ebbc2b0bcb6e5</t>
  </si>
  <si>
    <t xml:space="preserve">4d16f04944d7df9a238b05b72b64777c</t>
  </si>
  <si>
    <t xml:space="preserve">e60d7a94b483d162b043a39a4f1a84cb</t>
  </si>
  <si>
    <t xml:space="preserve">9f8d367d6cfaf2ddee28dccd9abbe46b</t>
  </si>
  <si>
    <t xml:space="preserve">84f612df5f0a74fbb6e7d214f3b5f7d7</t>
  </si>
  <si>
    <t xml:space="preserve">08699c3c1c666748999eff31387e1146</t>
  </si>
  <si>
    <t xml:space="preserve">9682d9ff910c4cb725f06b0a264ef59d</t>
  </si>
  <si>
    <t xml:space="preserve">0adbc4ffe0b55615d3b6ef1b74f76d09</t>
  </si>
  <si>
    <t xml:space="preserve">5e7e2813a9673fe17fcee629ea8e55a5</t>
  </si>
  <si>
    <t xml:space="preserve">48e80f7958eba4621976a39a507a61a9</t>
  </si>
  <si>
    <t xml:space="preserve">3c33499fc4916b7f2d9be5429bc81ea5</t>
  </si>
  <si>
    <t xml:space="preserve">105a4d407f2632df21c20510b6b2b13c</t>
  </si>
  <si>
    <t xml:space="preserve">a0909a10fb0f79e518f67e0cbd2898b0</t>
  </si>
  <si>
    <t xml:space="preserve">6963acba77bd8a1854d3e54dc2335b06</t>
  </si>
  <si>
    <t xml:space="preserve">8fe069b6eedaa8024568f42689e03e22</t>
  </si>
  <si>
    <t xml:space="preserve">bcef40f800926d61368b7d6843c6b532</t>
  </si>
  <si>
    <t xml:space="preserve">19a12723287dff8e2b7418988673cf07</t>
  </si>
  <si>
    <t xml:space="preserve">b5abf66e0e7e481143eddd879131e5c3</t>
  </si>
  <si>
    <t xml:space="preserve">35783a449611116ba54bddbb7c56ea1b</t>
  </si>
  <si>
    <t xml:space="preserve">ac651eb4d460f4be40ddcb1e784f515d</t>
  </si>
  <si>
    <t xml:space="preserve">f541a44e16ccb813263553ba4299b351</t>
  </si>
  <si>
    <t xml:space="preserve">3025f0410aa86e33d4cd45a9870d8661</t>
  </si>
  <si>
    <t xml:space="preserve">4d4e0bd1cb33e3c6a62989b923cce3bb</t>
  </si>
  <si>
    <t xml:space="preserve">1cbd0fb28dd15aebfbc7b2a5a368d7fa</t>
  </si>
  <si>
    <t xml:space="preserve">4b225d64fd3e1424782b76f41f9b41d4</t>
  </si>
  <si>
    <t xml:space="preserve">d3501f5bcb34dc5ee21eb19b2368d3c1</t>
  </si>
  <si>
    <t xml:space="preserve">19570f0cb0c2598c202e608cafde8320</t>
  </si>
  <si>
    <t xml:space="preserve">ea163354a35fc9c1980495628972abbd</t>
  </si>
  <si>
    <t xml:space="preserve">e545fcc626fa466b15733a738266557c</t>
  </si>
  <si>
    <t xml:space="preserve">147cc606d7bf06363bb18ac9d78f9cf5</t>
  </si>
  <si>
    <t xml:space="preserve">de1d4653d1128bb8e7b2df91adbd2e33</t>
  </si>
  <si>
    <t xml:space="preserve">551a7dcd4f842010a48fc1f11be40ba9</t>
  </si>
  <si>
    <t xml:space="preserve">d7021edd24940bbdb61ae1b04719c1a8</t>
  </si>
  <si>
    <t xml:space="preserve">939954133112585dfc753dd6db9a7707</t>
  </si>
  <si>
    <t xml:space="preserve">3c1e0ac4daf09b921da9c3c5c798c498</t>
  </si>
  <si>
    <t xml:space="preserve">fdb1080f37d425bbd2e54b9efef9b10b</t>
  </si>
  <si>
    <t xml:space="preserve">cdefeef209c39ca741b419ca1a2a3a8e</t>
  </si>
  <si>
    <t xml:space="preserve">a36076812bbba89d34fadee106969d48</t>
  </si>
  <si>
    <t xml:space="preserve">a12b61ae121017873429ce3b89310697</t>
  </si>
  <si>
    <t xml:space="preserve">97caeef5b8a4c19ff105c2d87acc7c3b</t>
  </si>
  <si>
    <t xml:space="preserve">e9a84c51aac782acdce2ab067a15422e</t>
  </si>
  <si>
    <t xml:space="preserve">b85975b0806272a1313250472b22d9cd</t>
  </si>
  <si>
    <t xml:space="preserve">026b5383a301ec030e5d8c6a79db7862</t>
  </si>
  <si>
    <t xml:space="preserve">bca0258eb63d65d5505c7527dc57546d</t>
  </si>
  <si>
    <t xml:space="preserve">31f090219b6fbe204b3a9a83628616f4</t>
  </si>
  <si>
    <t xml:space="preserve">baff361ab37e3c411a6275f5cf590b8e</t>
  </si>
  <si>
    <t xml:space="preserve">e00c04a33826ad580e98686d051852dc</t>
  </si>
  <si>
    <t xml:space="preserve">7b0ea5cd1f1ed5a94994d0add26b24e9</t>
  </si>
  <si>
    <t xml:space="preserve">9f04fdd0133727c0c533fd1e3f532270</t>
  </si>
  <si>
    <t xml:space="preserve">9865f96f99f8d29021abbbf24087550b</t>
  </si>
  <si>
    <t xml:space="preserve">224daafa4003d920aa05fbd528f8344e</t>
  </si>
  <si>
    <t xml:space="preserve">58f42098591cc524953b0f1fea3e072a</t>
  </si>
  <si>
    <t xml:space="preserve">d76ac5a808e945489b16acb8e7bd1db7</t>
  </si>
  <si>
    <t xml:space="preserve">216920d1b78cbafcc1a8a33b6b77fe6e</t>
  </si>
  <si>
    <t xml:space="preserve">013319d168ec88eb60d2642ea670af0f</t>
  </si>
  <si>
    <t xml:space="preserve">cf89569de550d73607806e713811b519</t>
  </si>
  <si>
    <t xml:space="preserve">3eb0b8d1e3e7e32d323eab009fe70bb8</t>
  </si>
  <si>
    <t xml:space="preserve">4ccb8ee777ea8daafc46b0719adad16b</t>
  </si>
  <si>
    <t xml:space="preserve">02f5b56384c6c9e3ca318a9c3169f269</t>
  </si>
  <si>
    <t xml:space="preserve">1b49371038de44f1973d18559a039d06</t>
  </si>
  <si>
    <t xml:space="preserve">3b1514908b949c8b5e38ff70fe602765</t>
  </si>
  <si>
    <t xml:space="preserve">379ef4678a2db2e63bfda8a6705fddf5</t>
  </si>
  <si>
    <t xml:space="preserve">8e2ac3ff3c5dba42cdd8af09451b6267</t>
  </si>
  <si>
    <t xml:space="preserve">1c7bf8eb4969b2a10361b157b1fbb587</t>
  </si>
  <si>
    <t xml:space="preserve">6f54d2b9747a2ecddf48d6faba45e0ff</t>
  </si>
  <si>
    <t xml:space="preserve">07fcb800da4954080011be30e268d92f</t>
  </si>
  <si>
    <t xml:space="preserve">a1d60cf18a95e0d84794c44dab583656</t>
  </si>
  <si>
    <t xml:space="preserve">6f35fae2c0821f39577ae5a180b6068f</t>
  </si>
  <si>
    <t xml:space="preserve">d6f34114292ff954c863453a9786eef2</t>
  </si>
  <si>
    <t xml:space="preserve">5684b61efdebd7e047e3265250942b90</t>
  </si>
  <si>
    <t xml:space="preserve">011deb990b2882a5c61c33975c6e7e01</t>
  </si>
  <si>
    <t xml:space="preserve">b42557ec800afc1e579d16cc88120589</t>
  </si>
  <si>
    <t xml:space="preserve">e310ff72ad62d0944c4d6e4024e2226c</t>
  </si>
  <si>
    <t xml:space="preserve">c7ea7fd1ff4f38081a9d7acc44087701</t>
  </si>
  <si>
    <t xml:space="preserve">abfe1fb5a6c2b716f7bd77509a7650dd</t>
  </si>
  <si>
    <t xml:space="preserve">7a52e4f6865634e3da216cf7d897de9a</t>
  </si>
  <si>
    <t xml:space="preserve">b21382b179b62e0121dfbdc3a9524bf2</t>
  </si>
  <si>
    <t xml:space="preserve">19b17e80dea4ae1754fd9ad39716108e</t>
  </si>
  <si>
    <t xml:space="preserve">06a61b3dc86e0b55acffa99ff0058f9a</t>
  </si>
  <si>
    <t xml:space="preserve">3ad4f2040d0147b0d342b5872bba374c</t>
  </si>
  <si>
    <t xml:space="preserve">462741ec08ac784fca10b49968028b3b</t>
  </si>
  <si>
    <t xml:space="preserve">41365c29c881464bc3585cfbc75fa0cf</t>
  </si>
  <si>
    <t xml:space="preserve">2b621afd502d58d99d46df4155c65dc2</t>
  </si>
  <si>
    <t xml:space="preserve">14493be43e1707b10b61783d27741bc2</t>
  </si>
  <si>
    <t xml:space="preserve">7f53a88e4efc8248e10b1a477faeb748</t>
  </si>
  <si>
    <t xml:space="preserve">d65bc676429e70e0eaaa94c8a097efe3</t>
  </si>
  <si>
    <t xml:space="preserve">5f9c11f0d5221c404b77cf1c418495a4</t>
  </si>
  <si>
    <t xml:space="preserve">cbbf77ab66ca9c9c2bffd2bff3dda144</t>
  </si>
  <si>
    <t xml:space="preserve">47d0e6eec96c209079e76f99f8f79639</t>
  </si>
  <si>
    <t xml:space="preserve">7d2e11bd1708f96ef1762fbdc37114e3</t>
  </si>
  <si>
    <t xml:space="preserve">c07c5f323e5fe7f59252a62033a83451</t>
  </si>
  <si>
    <t xml:space="preserve">ed10891ff0546821170bdd1495e7b610</t>
  </si>
  <si>
    <t xml:space="preserve">f4644b99980afee92e65e66bcfb16cfd</t>
  </si>
  <si>
    <t xml:space="preserve">7c16128db2c08394e17f29e170286046</t>
  </si>
  <si>
    <t xml:space="preserve">be98703f50261309a830b0bad43d347d</t>
  </si>
  <si>
    <t xml:space="preserve">020978dcb8116c2677489b6b97f3d71d</t>
  </si>
  <si>
    <t xml:space="preserve">b67333e08ceb424f1eca85b31c7378e6</t>
  </si>
  <si>
    <t xml:space="preserve">4de69711a9718b56b489593eebf8e648</t>
  </si>
  <si>
    <t xml:space="preserve">e8e23a61107175c2cf13ee0c56f8ad8d</t>
  </si>
  <si>
    <t xml:space="preserve">895bf8a9b1b9585a432da027a8c5792a</t>
  </si>
  <si>
    <t xml:space="preserve">4ffc1c545b0a31ea9dc6d7837222534d</t>
  </si>
  <si>
    <t xml:space="preserve">9950385808cac260b3f5a21cd3e78237</t>
  </si>
  <si>
    <t xml:space="preserve">b21eafabf64909e81e032a652346f26d</t>
  </si>
  <si>
    <t xml:space="preserve">472678ac7eaef4528eba2e783b162773</t>
  </si>
  <si>
    <t xml:space="preserve">b8427379d888dcb61ccc33c17e347f69</t>
  </si>
  <si>
    <t xml:space="preserve">6f9254fd12e184cef3276dbb5605dfb3</t>
  </si>
  <si>
    <t xml:space="preserve">284e4cd4f9c3ee050012d399a7af5545</t>
  </si>
  <si>
    <t xml:space="preserve">953922c05ea0942c3f91c419e846a9df</t>
  </si>
  <si>
    <t xml:space="preserve">db9bc56e2080293caac5e8a325679f2a</t>
  </si>
  <si>
    <t xml:space="preserve">d2296fceddf1b853e7a83acba006b58f</t>
  </si>
  <si>
    <t xml:space="preserve">5f62c1be68b6ec5bcbdae3ef089344bf</t>
  </si>
  <si>
    <t xml:space="preserve">c534ca08f6f24d1c5bb8b9c8893259f3</t>
  </si>
  <si>
    <t xml:space="preserve">260b13e04ce6929f7a44bd05cd320878</t>
  </si>
  <si>
    <t xml:space="preserve">9930300a07006af32b39e995c13ed0d3</t>
  </si>
  <si>
    <t xml:space="preserve">ae99193708464aa4bfa4cfdd01c31adc</t>
  </si>
  <si>
    <t xml:space="preserve">26696e53022c6449bcc839fbcbd363a5</t>
  </si>
  <si>
    <t xml:space="preserve">ae0136ccc6b216df7ae4395e1be0bce6</t>
  </si>
  <si>
    <t xml:space="preserve">a6fea49817c32ec613ab1631ba640f90</t>
  </si>
  <si>
    <t xml:space="preserve">399b747bdca4b19e5ffdf1cffc8e920d</t>
  </si>
  <si>
    <t xml:space="preserve">51a3dfe47962e5a87f7d7604ebd92165</t>
  </si>
  <si>
    <t xml:space="preserve">3388cf1bd0f383cd6b77548916ca7742</t>
  </si>
  <si>
    <t xml:space="preserve">88a0d69a95935df6c6c286af4affe799</t>
  </si>
  <si>
    <t xml:space="preserve">a8f806e8d49892f6b7eb09235c983385</t>
  </si>
  <si>
    <t xml:space="preserve">3bf0d9c1c156e501b30e96e8b9da5f8c</t>
  </si>
  <si>
    <t xml:space="preserve">3edec38e07179ef3312168632663ed11</t>
  </si>
  <si>
    <t xml:space="preserve">5d08c2549e6eac9cc8bc7784a8c99656</t>
  </si>
  <si>
    <t xml:space="preserve">82d8a7f546ef7aaad2376d229565bc2f</t>
  </si>
  <si>
    <t xml:space="preserve">3ec77a8f16a46b839c2d9672e3d1803c</t>
  </si>
  <si>
    <t xml:space="preserve">a535f9d743fffdea3bd9b01571127f4b</t>
  </si>
  <si>
    <t xml:space="preserve">465fd96b73b6b1439d96d6ddef145b36</t>
  </si>
  <si>
    <t xml:space="preserve">5e4815f7113a19a0a8e15405a04f3f5c</t>
  </si>
  <si>
    <t xml:space="preserve">3b9180f58daf7c9793be6e0f67764388</t>
  </si>
  <si>
    <t xml:space="preserve">aa3f75218ca9724ad481ba963e5bb677</t>
  </si>
  <si>
    <t xml:space="preserve">f6babccc0acfbd89da3ed15aa4f0708a</t>
  </si>
  <si>
    <t xml:space="preserve">94eeda02f9aa5d6db2e9d9393fbce063</t>
  </si>
  <si>
    <t xml:space="preserve">0781eccd512caa25064e97f5883e54a9</t>
  </si>
  <si>
    <t xml:space="preserve">63ef5e69b61d56f5b91633574b1bdf3b</t>
  </si>
  <si>
    <t xml:space="preserve">61a651c5faaa53fc094a8492d88d11dd</t>
  </si>
  <si>
    <t xml:space="preserve">0a7bf7f23d49d1d7bd0a239abcd7bda6</t>
  </si>
  <si>
    <t xml:space="preserve">7afb83cc4eab6bdd7fb82b3e4234e83e</t>
  </si>
  <si>
    <t xml:space="preserve">0c0004329244479fea712e4e9d06b0ab</t>
  </si>
  <si>
    <t xml:space="preserve">2f65fafab0ae8f08c31edbbcf36cb62b</t>
  </si>
  <si>
    <t xml:space="preserve">867a211ade162c17fd06a17979803efa</t>
  </si>
  <si>
    <t xml:space="preserve">f0657d730e0ec75e1b48732fdbd0f097</t>
  </si>
  <si>
    <t xml:space="preserve">6725be2592095726489fc7771b9894c5</t>
  </si>
  <si>
    <t xml:space="preserve">4c4cd8ab3320ee9459c9971671f57def</t>
  </si>
  <si>
    <t xml:space="preserve">6287729e12194d94a0970ff4dc420980</t>
  </si>
  <si>
    <t xml:space="preserve">adfc1dc4f8c43f7a30efcbd3f3cef8b7</t>
  </si>
  <si>
    <t xml:space="preserve">46b98991e14eb70db380c73a989d9d4a</t>
  </si>
  <si>
    <t xml:space="preserve">a9434aa096fc734da003cd28ca8f3653</t>
  </si>
  <si>
    <t xml:space="preserve">93fde248aac04912084d7822da948e70</t>
  </si>
  <si>
    <t xml:space="preserve">88914b26e555157009795e75671e9bb8</t>
  </si>
  <si>
    <t xml:space="preserve">0a45e44d4cd8284766b1f859adb5d5e6</t>
  </si>
  <si>
    <t xml:space="preserve">c62dbaeade70bd3000a2136794fb09f0</t>
  </si>
  <si>
    <t xml:space="preserve">cb26a809f42973f5d1d18e0b27e7a6bd</t>
  </si>
  <si>
    <t xml:space="preserve">a5310be0f3914a3648a436ae83a2a06f</t>
  </si>
  <si>
    <t xml:space="preserve">00256416b908803c73e072cb05fd35aa</t>
  </si>
  <si>
    <t xml:space="preserve">1fc905f8d4d607350e2f8958de431e06</t>
  </si>
  <si>
    <t xml:space="preserve">810a9f84cd4ebc4b9bb718a5cd7f9010</t>
  </si>
  <si>
    <t xml:space="preserve">33d8ae7b505a14fc505fb2037f140af5</t>
  </si>
  <si>
    <t xml:space="preserve">667393437cfd24be650b8d2cec2adb5f</t>
  </si>
  <si>
    <t xml:space="preserve">40d92bce7930ba208b040f49d0be73ee</t>
  </si>
  <si>
    <t xml:space="preserve">2248fe755885dca5cac5ebc79c1817a3</t>
  </si>
  <si>
    <t xml:space="preserve">8d9a58d83c7c53724d9e6b9fa3ee785f</t>
  </si>
  <si>
    <t xml:space="preserve">4a4b970c80fb89ee9e6557d072a7410e</t>
  </si>
  <si>
    <t xml:space="preserve">07f8d4f0f3ea018428f4e3ceadedda80</t>
  </si>
  <si>
    <t xml:space="preserve">13075157d8c128e7d6cd315508a8ac7f</t>
  </si>
  <si>
    <t xml:space="preserve">41c7a4069359fb5d9ac725209670efb3</t>
  </si>
  <si>
    <t xml:space="preserve">257c3b02153bd49ae84b5e24714d466c</t>
  </si>
  <si>
    <t xml:space="preserve">57d3ec63e3e103bbae8e60755eebc618</t>
  </si>
  <si>
    <t xml:space="preserve">492eb70c2f035a0c6423421be61aa316</t>
  </si>
  <si>
    <t xml:space="preserve">721e0a41be396a773454793408b625a3</t>
  </si>
  <si>
    <t xml:space="preserve">812a1f9b15969802b6dd6257fb7d9f1c</t>
  </si>
  <si>
    <t xml:space="preserve">c39bf6de704377c39e9be9e29997496b</t>
  </si>
  <si>
    <t xml:space="preserve">163a6695e7e77386c25110f87cc96b10</t>
  </si>
  <si>
    <t xml:space="preserve">5373c0730b91eff62e591333e11899a3</t>
  </si>
  <si>
    <t xml:space="preserve">812ded7e45e0dd8e3c0d541a83cd2fa7</t>
  </si>
  <si>
    <t xml:space="preserve">ae6b04559cddd7c2d25a0b3f42a1279b</t>
  </si>
  <si>
    <t xml:space="preserve">acda0a9c2c4d9dd16d91e8b9e2da32dd</t>
  </si>
  <si>
    <t xml:space="preserve">6abaefa2bbb15da9c076e606831a0705</t>
  </si>
  <si>
    <t xml:space="preserve">6f5aad529061498fe096521ea2c723d4</t>
  </si>
  <si>
    <t xml:space="preserve">ef13319e7c0d5c79e89c8fca22ffe9fc</t>
  </si>
  <si>
    <t xml:space="preserve">1ecacae925bf213d9eca381bfb95d0fc</t>
  </si>
  <si>
    <t xml:space="preserve">6035d9af4a68bbad1af4cf72da622059</t>
  </si>
  <si>
    <t xml:space="preserve">04579d6f93d3125a3a5604b37acd003a</t>
  </si>
  <si>
    <t xml:space="preserve">356bf58832c2c61a9553507b4a8c6e28</t>
  </si>
  <si>
    <t xml:space="preserve">46510367cbdc43184d85a3d2a1a27485</t>
  </si>
  <si>
    <t xml:space="preserve">5bf88d1d06ad7920aff7ff5d3b1d12cf</t>
  </si>
  <si>
    <t xml:space="preserve">0037447f0d99c071f7c8435f8c83bc68</t>
  </si>
  <si>
    <t xml:space="preserve">8356ed6163fff4b5866a0c09b4cb22f4</t>
  </si>
  <si>
    <t xml:space="preserve">a282bbabfdb09520b2f881eb754ce511</t>
  </si>
  <si>
    <t xml:space="preserve">10335eb47acf41f0902fe243b3efbaa9</t>
  </si>
  <si>
    <t xml:space="preserve">affce532d84606250effa0c12e3a9584</t>
  </si>
  <si>
    <t xml:space="preserve">65dc8a7e3756befe8e2e160ab054d5c8</t>
  </si>
  <si>
    <t xml:space="preserve">3c7cb085c784f38bba85241b77087d96</t>
  </si>
  <si>
    <t xml:space="preserve">d0ef118d9315e61eba1e47dc3cdc8310</t>
  </si>
  <si>
    <t xml:space="preserve">1e57deb08695864941ee0c2383818bda</t>
  </si>
  <si>
    <t xml:space="preserve">abff9892c722acc4bd457fdb364665ab</t>
  </si>
  <si>
    <t xml:space="preserve">0bb432b3d2e76deb10b6a6622ac1d5ca</t>
  </si>
  <si>
    <t xml:space="preserve">4a298783099c492957059671b031a179</t>
  </si>
  <si>
    <t xml:space="preserve">50ebda02ece22b67e94d11330a9ffb25</t>
  </si>
  <si>
    <t xml:space="preserve">bc5f615359d627e32af15324f914cc19</t>
  </si>
  <si>
    <t xml:space="preserve">9b1fc6d1388149dc5dc960970c90e028</t>
  </si>
  <si>
    <t xml:space="preserve">fc9dc0d0c2d94cc9dcdbf14e5ca59057</t>
  </si>
  <si>
    <t xml:space="preserve">69d533176dc75587cd40b648235398a6</t>
  </si>
  <si>
    <t xml:space="preserve">6da7c95b5d4f97154c9df0495fd2bec3</t>
  </si>
  <si>
    <t xml:space="preserve">d1c76cf135d3fe5b881fea11d36b06cd</t>
  </si>
  <si>
    <t xml:space="preserve">2bc133fba9065b41b9be1d009ba585ae</t>
  </si>
  <si>
    <t xml:space="preserve">c099739c91de413f3ee373b4e88859dd</t>
  </si>
  <si>
    <t xml:space="preserve">5512a5075f15ee3f891887a73620ab79</t>
  </si>
  <si>
    <t xml:space="preserve">38e61f158dba2c36fb0100d9d2d93182</t>
  </si>
  <si>
    <t xml:space="preserve">5315746f2e9ebcda0f2d73b932173c94</t>
  </si>
  <si>
    <t xml:space="preserve">03c72ba8d605e7708a63f881ffd0f9d5</t>
  </si>
  <si>
    <t xml:space="preserve">4b86b5a1ca6fbff8564cfbd2bc92fd81</t>
  </si>
  <si>
    <t xml:space="preserve">75d106f2849c30c6dffa28aec353ac87</t>
  </si>
  <si>
    <t xml:space="preserve">386e995d3b0148933d9d38e36e078bdc</t>
  </si>
  <si>
    <t xml:space="preserve">6576796ddf61dbe1b7146c4411b21524</t>
  </si>
  <si>
    <t xml:space="preserve">aee5b68c6093418ae4723a97a7178558</t>
  </si>
  <si>
    <t xml:space="preserve">d1e62f2eb5798280e9c7d673e3c08f2d</t>
  </si>
  <si>
    <t xml:space="preserve">eb04159c0cf173f974d9d1f508775804</t>
  </si>
  <si>
    <t xml:space="preserve">639d8fe7790b185c355cca9cfb6bf1dc</t>
  </si>
  <si>
    <t xml:space="preserve">378a8ba6e608d6d31d62c6b55d697934</t>
  </si>
  <si>
    <t xml:space="preserve">df3e03c2217244cf08081d218d204cf6</t>
  </si>
  <si>
    <t xml:space="preserve">a9ae7949c5b504dd4e28c5e937080b78</t>
  </si>
  <si>
    <t xml:space="preserve">ddc418d24a658a7dc1f5e0145fa881b0</t>
  </si>
  <si>
    <t xml:space="preserve">22498f666e51484d1b84edc3d8e049de</t>
  </si>
  <si>
    <t xml:space="preserve">d08c1e18b4a5f712a74b151c4b2cdc4e</t>
  </si>
  <si>
    <t xml:space="preserve">67f396b405109ebfb347fd7bf0e3b50f</t>
  </si>
  <si>
    <t xml:space="preserve">797486268352a5d609954fc3efb3eb37</t>
  </si>
  <si>
    <t xml:space="preserve">6f45bada81fa9da6098b5863bb4db99f</t>
  </si>
  <si>
    <t xml:space="preserve">8f9797b06d7ce3c9b4a69f3c8d3aed99</t>
  </si>
  <si>
    <t xml:space="preserve">091f73f3a046d4d3e0a8a8afd66f3fff</t>
  </si>
  <si>
    <t xml:space="preserve">41d893a5ffc7aba263719357f7a58f8d</t>
  </si>
  <si>
    <t xml:space="preserve">89ed4d64b984933d7745c60d1349ca14</t>
  </si>
  <si>
    <t xml:space="preserve">18f23779e63f174d0f4634eff98b05df</t>
  </si>
  <si>
    <t xml:space="preserve">92ecc3bd16757d7ed9fafbb9d8a712cb</t>
  </si>
  <si>
    <t xml:space="preserve">362e75cf3e573ce2a49acb023d46aa7f</t>
  </si>
  <si>
    <t xml:space="preserve">0b102144f687df9ed99989111c3de334</t>
  </si>
  <si>
    <t xml:space="preserve">4362262de07ee721e71d6ba3486dce57</t>
  </si>
  <si>
    <t xml:space="preserve">10168d654f90f91a544810de2a1b76e3</t>
  </si>
  <si>
    <t xml:space="preserve">214ba540ea041d0b1b0c90928127a8f7</t>
  </si>
  <si>
    <t xml:space="preserve">776094f625aa620faf7ead9eed5f24c3</t>
  </si>
  <si>
    <t xml:space="preserve">d21cf64348c08457464aea483150e60d</t>
  </si>
  <si>
    <t xml:space="preserve">4bdc759502af25377298dc1d07cdc1e3</t>
  </si>
  <si>
    <t xml:space="preserve">73c1f6a25e71b6622a1f7077470d8b46</t>
  </si>
  <si>
    <t xml:space="preserve">95db4721ec607079ca9d32b9c54958d7</t>
  </si>
  <si>
    <t xml:space="preserve">142ee8fe8256fea784266a0564179ff7</t>
  </si>
  <si>
    <t xml:space="preserve">ffd2f491dff389aa4c36a70c3f5e3b8c</t>
  </si>
  <si>
    <t xml:space="preserve">5bebb1c7977f199a374e65388d548038</t>
  </si>
  <si>
    <t xml:space="preserve">c46ea4cd58f1a399fbc77e9877ad0afc</t>
  </si>
  <si>
    <t xml:space="preserve">334b2922c6e9c9c4df466896cdbc3b08</t>
  </si>
  <si>
    <t xml:space="preserve">5a6f9b6b50702efc37ca273b3506880f</t>
  </si>
  <si>
    <t xml:space="preserve">95ea0734c925f7fa1484e9d65f8c2498</t>
  </si>
  <si>
    <t xml:space="preserve">c685d4ec3cbba6ad8b20658ef8a8b40f</t>
  </si>
  <si>
    <t xml:space="preserve">63b1b1812c7350caec85cb819f02e5f4</t>
  </si>
  <si>
    <t xml:space="preserve">cb80f288446f64dd5abca6e5d0b1e3eb</t>
  </si>
  <si>
    <t xml:space="preserve">05539a506facc50db2904e7372c573e9</t>
  </si>
  <si>
    <t xml:space="preserve">7b708f15ebfbc97aeefa4d760f67a174</t>
  </si>
  <si>
    <t xml:space="preserve">d2242ae57035dec53b108cbabfcbaa55</t>
  </si>
  <si>
    <t xml:space="preserve">318cac328771aa3b07cd57062560f364</t>
  </si>
  <si>
    <t xml:space="preserve">c268283ee32f2e63b7fddd71a075e927</t>
  </si>
  <si>
    <t xml:space="preserve">e14fea786e2f1d3bfd9f45f40816d739</t>
  </si>
  <si>
    <t xml:space="preserve">e9d79f8fbb02e930e4260ae1c59b7de8</t>
  </si>
  <si>
    <t xml:space="preserve">ab6b3f08a9a0f4ef2c4f54163c749c16</t>
  </si>
  <si>
    <t xml:space="preserve">d751af9cf9e6debbafe2487f4fdfaf5d</t>
  </si>
  <si>
    <t xml:space="preserve">ff16e0f09af50294b37c32d18140d0ac</t>
  </si>
  <si>
    <t xml:space="preserve">711c767385351a69dabf984e53ff8461</t>
  </si>
  <si>
    <t xml:space="preserve">bdc5a633ce5b961f585d40112e408d57</t>
  </si>
  <si>
    <t xml:space="preserve">48d40d840b653f5f74d90398c17a608e</t>
  </si>
  <si>
    <t xml:space="preserve">04aa8f68b9ae429240121516f1e7a280</t>
  </si>
  <si>
    <t xml:space="preserve">73f56452689925840ade0b418224153c</t>
  </si>
  <si>
    <t xml:space="preserve">c5388e2adec01aa2a6ba6a872c81a569</t>
  </si>
  <si>
    <t xml:space="preserve">0230861491877077e583fa3be8cc5248</t>
  </si>
  <si>
    <t xml:space="preserve">c4376d895a4eb9f3ad2e4db89defc23f</t>
  </si>
  <si>
    <t xml:space="preserve">201cbf3b0f3b5f066de28a01d12dbd50</t>
  </si>
  <si>
    <t xml:space="preserve">948be5484adb6da17b7192b0afc77dad</t>
  </si>
  <si>
    <t xml:space="preserve">97cf6e6dc25d0c74b4ea341101ca4c2e</t>
  </si>
  <si>
    <t xml:space="preserve">6160745985c7504bc693da1139c6a1ca</t>
  </si>
  <si>
    <t xml:space="preserve">93645e439a18e6bb71f6f1a886f73047</t>
  </si>
  <si>
    <t xml:space="preserve">308c4fb3c49b3bd602044acf6f75793a</t>
  </si>
  <si>
    <t xml:space="preserve">718d4d05e8e22743b65feea97d824264</t>
  </si>
  <si>
    <t xml:space="preserve">e90d21cb7f111a368c52d2710a167e18</t>
  </si>
  <si>
    <t xml:space="preserve">14503e5b2584e91255b067537995ec3f</t>
  </si>
  <si>
    <t xml:space="preserve">168843992b91aace39f180276f88e2c0</t>
  </si>
  <si>
    <t xml:space="preserve">673fb5b0ec139f071a655ef60313e3ef</t>
  </si>
  <si>
    <t xml:space="preserve">36a1b4f73d03994f2aeabc3a691973ce</t>
  </si>
  <si>
    <t xml:space="preserve">feb3034b1c56cbe0dbf54731b22c79f6</t>
  </si>
  <si>
    <t xml:space="preserve">08b6f61d316da914407c43704886274c</t>
  </si>
  <si>
    <t xml:space="preserve">e0218cafba73aa4e86c71c162cfcbb3f</t>
  </si>
  <si>
    <t xml:space="preserve">08825d14341b2c0918a0f6c0ab2d2fef</t>
  </si>
  <si>
    <t xml:space="preserve">6332472ccdccd0ec7c65182ecaec902d</t>
  </si>
  <si>
    <t xml:space="preserve">fe17e8f39700abb04bb8b91d5793f70e</t>
  </si>
  <si>
    <t xml:space="preserve">9d148109db18fefb8e534765ee6e5ef6</t>
  </si>
  <si>
    <t xml:space="preserve">fdb943886d0f881213ad147a7fe5339c</t>
  </si>
  <si>
    <t xml:space="preserve">6c267b562a9edda7761ad9144931b2d4</t>
  </si>
  <si>
    <t xml:space="preserve">54f5e2f09e9a1e40ba49ccd561853b1a</t>
  </si>
  <si>
    <t xml:space="preserve">15ab7cd271b905c8945d91a5e33d6982</t>
  </si>
  <si>
    <t xml:space="preserve">08b92ed4de94da10205b9db819dad534</t>
  </si>
  <si>
    <t xml:space="preserve">44610c94a29cc64fb8f89cbabb404bc8</t>
  </si>
  <si>
    <t xml:space="preserve">42e397d9a97b43bd00b736360c81a3cc</t>
  </si>
  <si>
    <t xml:space="preserve">1035ddda2cf0c77d7801792ba53a43d6</t>
  </si>
  <si>
    <t xml:space="preserve">efe31ce46c48923d008f03ca8a32c05e</t>
  </si>
  <si>
    <t xml:space="preserve">01cce1243a2f1b3bb8b5658f9e0fbcff</t>
  </si>
  <si>
    <t xml:space="preserve">73315c49704d628f35a758ab6aed979f</t>
  </si>
  <si>
    <t xml:space="preserve">4b814a84742f790ed4bee4e4204d3f55</t>
  </si>
  <si>
    <t xml:space="preserve">dc739cbc6e04775894eb2ddd02754eca</t>
  </si>
  <si>
    <t xml:space="preserve">fa96a00dcaf6a7d4fe8c686a9bdf9c67</t>
  </si>
  <si>
    <t xml:space="preserve">3579c1437ab99428378e65108f10d33e</t>
  </si>
  <si>
    <t xml:space="preserve">02288f07fbda05aeb2709103cfd6b161</t>
  </si>
  <si>
    <t xml:space="preserve">fe709416340a22d700bbd5435c98fd57</t>
  </si>
  <si>
    <t xml:space="preserve">701c3f0c9b43324cafd0c396bb31caeb</t>
  </si>
  <si>
    <t xml:space="preserve">65a664a23f06051f8cc9308797fcfb3a</t>
  </si>
  <si>
    <t xml:space="preserve">9ceeaf74a3f2a3db9236948e34ecb64f</t>
  </si>
  <si>
    <t xml:space="preserve">a15b293e497d1e5c3155dc875905fd87</t>
  </si>
  <si>
    <t xml:space="preserve">1cd6cf0de228d8e4e964f172a9a9bd76</t>
  </si>
  <si>
    <t xml:space="preserve">01219aeb07823bfb02851b016707065f</t>
  </si>
  <si>
    <t xml:space="preserve">bb48bbbaac735be00ceeddc22737f345</t>
  </si>
  <si>
    <t xml:space="preserve">480af4599f6f4967be876c4fa0af9f67</t>
  </si>
  <si>
    <t xml:space="preserve">ed2337951313104893b3f363d3073295</t>
  </si>
  <si>
    <t xml:space="preserve">17f4f88cddfe9121c37b24715e9d870c</t>
  </si>
  <si>
    <t xml:space="preserve">84221d34d87652b586078b108bac739c</t>
  </si>
  <si>
    <t xml:space="preserve">79a8832f60971a15c80682d3567b9583</t>
  </si>
  <si>
    <t xml:space="preserve">897bae296e919cf9c40dc418fbe6cd41</t>
  </si>
  <si>
    <t xml:space="preserve">b3a7d0e0cb08587d1963c26d6e218b09</t>
  </si>
  <si>
    <t xml:space="preserve">655ce5080592bfa5b928e23f4ee4334e</t>
  </si>
  <si>
    <t xml:space="preserve">cab24f241744ee3fd36ec1bd000b1f5e</t>
  </si>
  <si>
    <t xml:space="preserve">45708ada42b4d95573af2d34d5cd8ed2</t>
  </si>
  <si>
    <t xml:space="preserve">bd6e2570839d8c611061abba7e02bf27</t>
  </si>
  <si>
    <t xml:space="preserve">588e3ff3edb50d4c1ab52a7b7c688e33</t>
  </si>
  <si>
    <t xml:space="preserve">a2b5b4985cb85aedf5f62c976efb63b1</t>
  </si>
  <si>
    <t xml:space="preserve">7b92a41dbb19f0fec5cbfedd5268c879</t>
  </si>
  <si>
    <t xml:space="preserve">2b5997f2c447ee3f0525c1b4f73c6a1f</t>
  </si>
  <si>
    <t xml:space="preserve">36df223906bc0d7123baa2caa90ae1cd</t>
  </si>
  <si>
    <t xml:space="preserve">c76e8e041b64ef325aa288e1609c6c82</t>
  </si>
  <si>
    <t xml:space="preserve">cff287e167d135ce1a95a394ba7d3996</t>
  </si>
  <si>
    <t xml:space="preserve">f8c143756b5a967205dd49911a5cd165</t>
  </si>
  <si>
    <t xml:space="preserve">59bb814cfe35fadc0bb6014a988be34c</t>
  </si>
  <si>
    <t xml:space="preserve">964e81dd27e78bbaa4d37418581e60ef</t>
  </si>
  <si>
    <t xml:space="preserve">c9eb6e3c9860f848a74b2973794954db</t>
  </si>
  <si>
    <t xml:space="preserve">cca8f708df77c1cc45d1cfbdd2ec8e7a</t>
  </si>
  <si>
    <t xml:space="preserve">55417f438de848d5f4351ab72140da62</t>
  </si>
  <si>
    <t xml:space="preserve">bae2719803b686574777be217677a166</t>
  </si>
  <si>
    <t xml:space="preserve">d3dd8cf853a70e7d1b869a7274242892</t>
  </si>
  <si>
    <t xml:space="preserve">eefdf1cf6fa760a9c19bfe2a75176bfa</t>
  </si>
  <si>
    <t xml:space="preserve">9307b36eeeecde56dd94b1cc41797153</t>
  </si>
  <si>
    <t xml:space="preserve">108d6ac75baca4390963c291242f478f</t>
  </si>
  <si>
    <t xml:space="preserve">3cc6985fc565ad41acb0bce4164c0e98</t>
  </si>
  <si>
    <t xml:space="preserve">3d0120f722fc31db0bf6c4172404595d</t>
  </si>
  <si>
    <t xml:space="preserve">33932b6c9d37efb6eafb3e9054ec84ce</t>
  </si>
  <si>
    <t xml:space="preserve">f4c8e39396dd6c82a8909e3175175f39</t>
  </si>
  <si>
    <t xml:space="preserve">f4eae7698366c189cd8d9f751df44d3e</t>
  </si>
  <si>
    <t xml:space="preserve">7f95897c276aa6ced50755d9a5d04d53</t>
  </si>
  <si>
    <t xml:space="preserve">ecf27e7685197ff4006ed6e36fa17735</t>
  </si>
  <si>
    <t xml:space="preserve">80fd963df3d36295ee6bcb89861550f6</t>
  </si>
  <si>
    <t xml:space="preserve">76120622b0a5448837dbf5313f710a1a</t>
  </si>
  <si>
    <t xml:space="preserve">b11184e79c4c37b32caf3d2ff026a418</t>
  </si>
  <si>
    <t xml:space="preserve">3449131842d01a0b4c55542d02cb42d1</t>
  </si>
  <si>
    <t xml:space="preserve">0684e4388cd5219a6001e75db872c503</t>
  </si>
  <si>
    <t xml:space="preserve">aba024bd999328992a545726ca9d569a</t>
  </si>
  <si>
    <t xml:space="preserve">c87849c11ea34e544db7255be2e7855f</t>
  </si>
  <si>
    <t xml:space="preserve">d08d13dff3dcd264c4b27b21bc0dd6ed</t>
  </si>
  <si>
    <t xml:space="preserve">56f4927fc5eba017fe0eeda1c01b07c4</t>
  </si>
  <si>
    <t xml:space="preserve">dffd1d40c41e63d49cb11b5912456606</t>
  </si>
  <si>
    <t xml:space="preserve">96870bf14f19f81075b4849c7b2ad1ba</t>
  </si>
  <si>
    <t xml:space="preserve">59782ca7227be08908498f04b842231b</t>
  </si>
  <si>
    <t xml:space="preserve">dcd5bfaeabb316a7432997801d2c2721</t>
  </si>
  <si>
    <t xml:space="preserve">8906a4e2460cec89cda40209cd698214</t>
  </si>
  <si>
    <t xml:space="preserve">e39f6cc716f39bed74c9abd9daacfe2b</t>
  </si>
  <si>
    <t xml:space="preserve">d699f908d95a017ccb1e7a8c2269d377</t>
  </si>
  <si>
    <t xml:space="preserve">8aa499b776c968256842e7f5164679a4</t>
  </si>
  <si>
    <t xml:space="preserve">6eb6c1e08b01c9be7d27519b088fc1e1</t>
  </si>
  <si>
    <t xml:space="preserve">7c8e107bc02d24a8b5abf569b8253bbb</t>
  </si>
  <si>
    <t xml:space="preserve">d425906597792b8da519c3e8921603fe</t>
  </si>
  <si>
    <t xml:space="preserve">f76d15fd7d1645a0d253d966c36b9a0a</t>
  </si>
  <si>
    <t xml:space="preserve">a31c6761eb002062099a344a1466a2ae</t>
  </si>
  <si>
    <t xml:space="preserve">2390f607008428f51336980ee4b7405a</t>
  </si>
  <si>
    <t xml:space="preserve">274b852ab40f1f18c04a00cb58c4c481</t>
  </si>
  <si>
    <t xml:space="preserve">57f7d71f2978cc731440adec12439b0f</t>
  </si>
  <si>
    <t xml:space="preserve">5df1bf6f938bd3f88bd18d4bed3353fc</t>
  </si>
  <si>
    <t xml:space="preserve">2dee003e01d96e9601a0204714aa3ca3</t>
  </si>
  <si>
    <t xml:space="preserve">a5b5c511e7ad3be20356b6fe12e63e97</t>
  </si>
  <si>
    <t xml:space="preserve">bb926370d619e0ce69d5ddf51d95cdea</t>
  </si>
  <si>
    <t xml:space="preserve">2e783af91c1e4c10aaf2f24efe546eed</t>
  </si>
  <si>
    <t xml:space="preserve">a84510a1c2492e5e005fd0e655c3b2db</t>
  </si>
  <si>
    <t xml:space="preserve">6a25542effbd9cdd9d84d303ccb03fc5</t>
  </si>
  <si>
    <t xml:space="preserve">c576c26d98ae0666d066ad21af7d7f21</t>
  </si>
  <si>
    <t xml:space="preserve">e82399437dec46052deb57f96acac954</t>
  </si>
  <si>
    <t xml:space="preserve">b68ff0dc718bf53a3864bf75dbd7b4b4</t>
  </si>
  <si>
    <t xml:space="preserve">90e65aa43d4a49aee83f6a2a52fc6f48</t>
  </si>
  <si>
    <t xml:space="preserve">e877a70d692fe76c1a204dcc4ae8e236</t>
  </si>
  <si>
    <t xml:space="preserve">1f7e09deb79908b68095fa69db07a2a9</t>
  </si>
  <si>
    <t xml:space="preserve">250487e4ada517e3a85d81db9620ed14</t>
  </si>
  <si>
    <t xml:space="preserve">19519ab3bf5eaf8e7f12e3cdb09a96e3</t>
  </si>
  <si>
    <t xml:space="preserve">d36e8d21a113384e62e9ee6206278321</t>
  </si>
  <si>
    <t xml:space="preserve">a38295d31e0ef546b0b6dedf4f9c4027</t>
  </si>
  <si>
    <t xml:space="preserve">f77b97421e12bbed184c4178935c31d1</t>
  </si>
  <si>
    <t xml:space="preserve">eddcb5cec99d3b6872a4768ef62f7486</t>
  </si>
  <si>
    <t xml:space="preserve">68c18df945ca17afe9ea9d49bc94046e</t>
  </si>
  <si>
    <t xml:space="preserve">0341f831ea4a742b5edce3b7c9ce362d</t>
  </si>
  <si>
    <t xml:space="preserve">5b1f49796ae1dd7efce364dd55f3d1e7</t>
  </si>
  <si>
    <t xml:space="preserve">637e4b0122bae10e899ca782e3236d1a</t>
  </si>
  <si>
    <t xml:space="preserve">deaf528d2e7098380190262059dcabd0</t>
  </si>
  <si>
    <t xml:space="preserve">5763790255520712af92ef221d2467e2</t>
  </si>
  <si>
    <t xml:space="preserve">5ef981f8af927913cb50d1f598dcb918</t>
  </si>
  <si>
    <t xml:space="preserve">c39782737ce8abfb447b9b0c10fb6052</t>
  </si>
  <si>
    <t xml:space="preserve">48301db78810a1690257ac68cfc47f87</t>
  </si>
  <si>
    <t xml:space="preserve">52ce32e822b54f371b2e1e898913f2f0</t>
  </si>
  <si>
    <t xml:space="preserve">391a1488992ada0b546fc668622010bd</t>
  </si>
  <si>
    <t xml:space="preserve">b1c72493407738479e04215a9e92b9d9</t>
  </si>
  <si>
    <t xml:space="preserve">a41e13208f28b7a85d2474ab5d83baf5</t>
  </si>
  <si>
    <t xml:space="preserve">ff84faef5336723b8f96468535145890</t>
  </si>
  <si>
    <t xml:space="preserve">eba900e16a7d5d964ba172331ac3bf31</t>
  </si>
  <si>
    <t xml:space="preserve">4d950273cb2cc805d1403430567e642e</t>
  </si>
  <si>
    <t xml:space="preserve">dcf03433220f6e180b01e9636e2d9483</t>
  </si>
  <si>
    <t xml:space="preserve">d4e4085ed39c2bfc78536a36923fd0d7</t>
  </si>
  <si>
    <t xml:space="preserve">c40c5d9146fde062a33dc7afd701410d</t>
  </si>
  <si>
    <t xml:space="preserve">23ce37db7cb8b49d864b789acd9b79fd</t>
  </si>
  <si>
    <t xml:space="preserve">2126180ad586cc32d64894cd2766fe92</t>
  </si>
  <si>
    <t xml:space="preserve">4a4742f64992ac298bedaf07af8ee6b2</t>
  </si>
  <si>
    <t xml:space="preserve">e3c51ba87122d7a0d12972d323966b83</t>
  </si>
  <si>
    <t xml:space="preserve">cf3b5aa894deff78ccafa19bf8e274d8</t>
  </si>
  <si>
    <t xml:space="preserve">348b03d8c05db5447881a49263203fa9</t>
  </si>
  <si>
    <t xml:space="preserve">23a8bfbe96289af206c0965dd68b717e</t>
  </si>
  <si>
    <t xml:space="preserve">ea58341101cd8f3c7d0b57ced3d857db</t>
  </si>
  <si>
    <t xml:space="preserve">d789c6245e14901bfea59d94998c603a</t>
  </si>
  <si>
    <t xml:space="preserve">a754251d04fe52e3e98a470cb894550a</t>
  </si>
  <si>
    <t xml:space="preserve">8dcc4d112148c1f41f8a36735b8b0b44</t>
  </si>
  <si>
    <t xml:space="preserve">5e24038e92a593c81db92330f1276a5c</t>
  </si>
  <si>
    <t xml:space="preserve">d767a6da231b0c86e97c0ea5341c2d10</t>
  </si>
  <si>
    <t xml:space="preserve">760fdd9593ddbda134fe6da807e86429</t>
  </si>
  <si>
    <t xml:space="preserve">e23fcbccbb966a3d49afb037744202f2</t>
  </si>
  <si>
    <t xml:space="preserve">eb1efddc0d88893344725ab7bc44a417</t>
  </si>
  <si>
    <t xml:space="preserve">d34d09aed2e106a40d6c659989aae145</t>
  </si>
  <si>
    <t xml:space="preserve">e755b655d9162e44b0a1762147fefddb</t>
  </si>
  <si>
    <t xml:space="preserve">2e3c76796dc2d7db97637e6ccd87a06a</t>
  </si>
  <si>
    <t xml:space="preserve">a18d218df6a0e01fd969c458745d8729</t>
  </si>
  <si>
    <t xml:space="preserve">f657a9b261deebef80b6d44fc6e4472d</t>
  </si>
  <si>
    <t xml:space="preserve">74cf633f1ebb649f9ff979be3d77b36f</t>
  </si>
  <si>
    <t xml:space="preserve">207495abb1cbe822cbee18761d876a3e</t>
  </si>
  <si>
    <t xml:space="preserve">2f9209fe16c62fb849f75a249d682957</t>
  </si>
  <si>
    <t xml:space="preserve">a89e22f240afbf3f3df519674d8670bd</t>
  </si>
  <si>
    <t xml:space="preserve">8513176c1efc1c94e14110b69a920655</t>
  </si>
  <si>
    <t xml:space="preserve">77a319c6619c4a06f5d68c8f299ccd73</t>
  </si>
  <si>
    <t xml:space="preserve">670cada1c783870a421e0683dc0a1c8e</t>
  </si>
  <si>
    <t xml:space="preserve">9398daadd5274a014085fa43a7faaf3a</t>
  </si>
  <si>
    <t xml:space="preserve">5ab4f09b4de80b736ccbeb851581184d</t>
  </si>
  <si>
    <t xml:space="preserve">be153187b783e1d5d26404b923f47a55</t>
  </si>
  <si>
    <t xml:space="preserve">c4b6ae47ea0970c6907e5f2d7f13387a</t>
  </si>
  <si>
    <t xml:space="preserve">3a1ce4164b046117b2f9fa1a53c54448</t>
  </si>
  <si>
    <t xml:space="preserve">6bc475b6f310f61d7a3ea7161d199860</t>
  </si>
  <si>
    <t xml:space="preserve">adf792ffe9c7c13acb5a4d7791fda27f</t>
  </si>
  <si>
    <t xml:space="preserve">05c656cc610bbab947a9087e409238d6</t>
  </si>
  <si>
    <t xml:space="preserve">58ca8e2a3aeb35623de1dade0e122b19</t>
  </si>
  <si>
    <t xml:space="preserve">737cf8b563561add685a9f2b4236c0bf</t>
  </si>
  <si>
    <t xml:space="preserve">48ded8be031eef965f71dcc462d846d0</t>
  </si>
  <si>
    <t xml:space="preserve">f2ca2002f650885202bce2e0dfd5988e</t>
  </si>
  <si>
    <t xml:space="preserve">64b11c490c0cf61e9cc10bd87e6ae55c</t>
  </si>
  <si>
    <t xml:space="preserve">99f19675be32fa8505d0f23a5ecbb693</t>
  </si>
  <si>
    <t xml:space="preserve">d7f64255cf979ff07afd0718ebced334</t>
  </si>
  <si>
    <t xml:space="preserve">b0ddbe62aa35b738c67a56e306fe8fcf</t>
  </si>
  <si>
    <t xml:space="preserve">5e9be593525706d0fd9c635d3a540890</t>
  </si>
  <si>
    <t xml:space="preserve">e432d37d1307afb6728ea99437df79d8</t>
  </si>
  <si>
    <t xml:space="preserve">6dd5346eab2f4642db6fca2700a53ee7</t>
  </si>
  <si>
    <t xml:space="preserve">0e0f27045265072a16e5b746245c92cb</t>
  </si>
  <si>
    <t xml:space="preserve">fa7a07d7e806abcc2640dbb1de8aadf1</t>
  </si>
  <si>
    <t xml:space="preserve">15661feb05c5bf8d321a6c3f47263c24</t>
  </si>
  <si>
    <t xml:space="preserve">83f06e7ddfaa8505b0acb9bada78f4c5</t>
  </si>
  <si>
    <t xml:space="preserve">9ad10cac7c20ecf58c4d33b56d817b6b</t>
  </si>
  <si>
    <t xml:space="preserve">8bef4b48ead0a63c8424643caba6c69d</t>
  </si>
  <si>
    <t xml:space="preserve">de67a2789313b3a7e5a1c6e4e1886146</t>
  </si>
  <si>
    <t xml:space="preserve">979bc54cb67819ff9bca0ac21786e4b7</t>
  </si>
  <si>
    <t xml:space="preserve">d9210c645299607ca33f06f4fe879e56</t>
  </si>
  <si>
    <t xml:space="preserve">448bfa0a54550f9486e1d4b3dc695efe</t>
  </si>
  <si>
    <t xml:space="preserve">dc2f392ba9e26bfca769736ab15c9203</t>
  </si>
  <si>
    <t xml:space="preserve">fea82e3ab54401cb95410a9d090aaa93</t>
  </si>
  <si>
    <t xml:space="preserve">15b2c2b48cf0f97b4128d40b5fc57ff4</t>
  </si>
  <si>
    <t xml:space="preserve">6fd83533d57758f5e03c63dfc84bbdf5</t>
  </si>
  <si>
    <t xml:space="preserve">4ca9cf07b1aa0f6a2a96e1e27194eae2</t>
  </si>
  <si>
    <t xml:space="preserve">c1369c65ae2ae3413f59e4f2c3093b6e</t>
  </si>
  <si>
    <t xml:space="preserve">13769ff9578cd875d231f372bfb0942c</t>
  </si>
  <si>
    <t xml:space="preserve">05ec8e9fa09fc70024ce1460ef5a9491</t>
  </si>
  <si>
    <t xml:space="preserve">e647bcfcc288635244482593e2327c25</t>
  </si>
  <si>
    <t xml:space="preserve">63796fa5b84e203df26129777fe54edd</t>
  </si>
  <si>
    <t xml:space="preserve">6d82bf0be6a19ff8ab9a95851f737931</t>
  </si>
  <si>
    <t xml:space="preserve">e48dc8b951a59b654fbd4f39b781cf4c</t>
  </si>
  <si>
    <t xml:space="preserve">c2c26d9f4be972b52b0ee2c844b97f9c</t>
  </si>
  <si>
    <t xml:space="preserve">9297eaacfcc2ed1892aef13c963bd564</t>
  </si>
  <si>
    <t xml:space="preserve">a3c9f400ba6c557c84f16d9daf8f8cf0</t>
  </si>
  <si>
    <t xml:space="preserve">d682a0b47bb7cc429cba7bc6db872c8f</t>
  </si>
  <si>
    <t xml:space="preserve">27a4f74d3e0299f6448e811766534f79</t>
  </si>
  <si>
    <t xml:space="preserve">c473d71333353b1bb04570862877e76a</t>
  </si>
  <si>
    <t xml:space="preserve">24c778a59b4e164b5716dc2e343ada2a</t>
  </si>
  <si>
    <t xml:space="preserve">2cb37e239a940c6c1c8e806bbdce4d4d</t>
  </si>
  <si>
    <t xml:space="preserve">fb66bcaf47be30eb836fad3831286dc8</t>
  </si>
  <si>
    <t xml:space="preserve">e2293661e1534d2bf261b0827387d450</t>
  </si>
  <si>
    <t xml:space="preserve">33a5335611c6d2ab9f5165169bfe7b18</t>
  </si>
  <si>
    <t xml:space="preserve">97298a48f9b12bdf38f14931becc1545</t>
  </si>
  <si>
    <t xml:space="preserve">cee0b7f5d673d8e947bb6aec7500331b</t>
  </si>
  <si>
    <t xml:space="preserve">a48e40f1d0421dfa56ab087a8bc78e81</t>
  </si>
  <si>
    <t xml:space="preserve">423cad9d193e478302b342541b1f2eb1</t>
  </si>
  <si>
    <t xml:space="preserve">d25c7d37ef16d03b987593c3252352f6</t>
  </si>
  <si>
    <t xml:space="preserve">23c01eb1d49b862d1f7b6b19b2cc4372</t>
  </si>
  <si>
    <t xml:space="preserve">18441abdbe41635f150a5643a8c1fb64</t>
  </si>
  <si>
    <t xml:space="preserve">a525dcd008b9b2e94d81c859949e24ad</t>
  </si>
  <si>
    <t xml:space="preserve">f938c93ca38905fd3b6c4438246236fa</t>
  </si>
  <si>
    <t xml:space="preserve">4939ef9bead7bec59b4974a540d15c15</t>
  </si>
  <si>
    <t xml:space="preserve">a2d99503fa6a2e9fd86c332148eee6b2</t>
  </si>
  <si>
    <t xml:space="preserve">53172e891595310695116c5f34c4f6ad</t>
  </si>
  <si>
    <t xml:space="preserve">6c911671f5bb6837f2b2c28c2461c797</t>
  </si>
  <si>
    <t xml:space="preserve">3e896c64e117dac3119c4ea3e1805081</t>
  </si>
  <si>
    <t xml:space="preserve">f5185923e8292e3bbbfc5dc1fff446b9</t>
  </si>
  <si>
    <t xml:space="preserve">8673173ae5b58f3084868583906ae95d</t>
  </si>
  <si>
    <t xml:space="preserve">cc4282cd1474849f3b38102b7bdf1546</t>
  </si>
  <si>
    <t xml:space="preserve">a76090e77c73a16602f779797466b319</t>
  </si>
  <si>
    <t xml:space="preserve">03d0ac191df1f0f5d0f36c280b76d6f7</t>
  </si>
  <si>
    <t xml:space="preserve">3332432b3d10fa95e8a442385fe8b710</t>
  </si>
  <si>
    <t xml:space="preserve">3590874c8992b69182546e92fb5ae35a</t>
  </si>
  <si>
    <t xml:space="preserve">89b5aab0c12169db2f12b150605fb1eb</t>
  </si>
  <si>
    <t xml:space="preserve">46b821c7fe731856f1fcfc366ad3cc40</t>
  </si>
  <si>
    <t xml:space="preserve">edd97a1afa585b278ce3e7c3f6eab3a0</t>
  </si>
  <si>
    <t xml:space="preserve">7bdd41b37b142917927446b602ff9754</t>
  </si>
  <si>
    <t xml:space="preserve">85e1b28dae70f6f5015a749b686cd27d</t>
  </si>
  <si>
    <t xml:space="preserve">250d235f1feba1e73bb1591b2e832bbe</t>
  </si>
  <si>
    <t xml:space="preserve">2b105a3d7f07a2adc4c1d18113e8b22b</t>
  </si>
  <si>
    <t xml:space="preserve">3677f5b463a1bcaa0311362650f51e97</t>
  </si>
  <si>
    <t xml:space="preserve">30e5f5ebf9733885ff1d7d3439ac5f4b</t>
  </si>
  <si>
    <t xml:space="preserve">8637584475707bd6bf922ea50f417135</t>
  </si>
  <si>
    <t xml:space="preserve">2b0cba4118182465d43f46de333ad1ae</t>
  </si>
  <si>
    <t xml:space="preserve">228c4f0cc49dc4fccc641c0031b41e88</t>
  </si>
  <si>
    <t xml:space="preserve">f62e329e32c21a259317bf7bd45b1527</t>
  </si>
  <si>
    <t xml:space="preserve">69f092d810ed1570974f60309c077c09</t>
  </si>
  <si>
    <t xml:space="preserve">2926205d0d53551ab4f02f6faf3f9d9a</t>
  </si>
  <si>
    <t xml:space="preserve">9b125dfb2804335a331165e02c5cce54</t>
  </si>
  <si>
    <t xml:space="preserve">f57f2bba3fbacf5fa576db480cc46000</t>
  </si>
  <si>
    <t xml:space="preserve">4af3e1d7632cd0925b80f397f347e18d</t>
  </si>
  <si>
    <t xml:space="preserve">4b2e0335e9799c8ea5eaf9f626d3995e</t>
  </si>
  <si>
    <t xml:space="preserve">460781e5efd8dfa91b952ae5506801b9</t>
  </si>
  <si>
    <t xml:space="preserve">f17b25efa5b8f158f64c81bf77746c09</t>
  </si>
  <si>
    <t xml:space="preserve">31b53390a81a1d16129226f9f6e0a26e</t>
  </si>
  <si>
    <t xml:space="preserve">b141d1f07a6c9048075e502673ec1831</t>
  </si>
  <si>
    <t xml:space="preserve">506e50c77aa061e9336b00cbb1fead13</t>
  </si>
  <si>
    <t xml:space="preserve">0a872ac28f3f5995e468eb64f7d2a2ee</t>
  </si>
  <si>
    <t xml:space="preserve">09e8ede2da2777afa6ed0e6be43a3562</t>
  </si>
  <si>
    <t xml:space="preserve">04ae6d5ac62d7b34ddbd67b14279c1cc</t>
  </si>
  <si>
    <t xml:space="preserve">678f5465228dc4227a52cd11cb3232ab</t>
  </si>
  <si>
    <t xml:space="preserve">f7cb1a77409be03dc9ac091142073e4f</t>
  </si>
  <si>
    <t xml:space="preserve">d57e4322039663d0133ee71e2fc82f4d</t>
  </si>
  <si>
    <t xml:space="preserve">9dedb8538658c2e585123413d9e323be</t>
  </si>
  <si>
    <t xml:space="preserve">f1b159b61e8c849937d9f94a87e823e5</t>
  </si>
  <si>
    <t xml:space="preserve">ff0df117da0e862a4b3e8d2acf7415e8</t>
  </si>
  <si>
    <t xml:space="preserve">e45c500eebddcd370db5ed45fcfc7f44</t>
  </si>
  <si>
    <t xml:space="preserve">1f119c0f3967e60a823dd1075c8ac066</t>
  </si>
  <si>
    <t xml:space="preserve">d37d8533714a0ae0398e1f36ffdb3a38</t>
  </si>
  <si>
    <t xml:space="preserve">3a38b844afbffde4a0226155df695d17</t>
  </si>
  <si>
    <t xml:space="preserve">eba2a67c9c433e67871d5bfce67410de</t>
  </si>
  <si>
    <t xml:space="preserve">89953dd10976e09f15936f424d3129b3</t>
  </si>
  <si>
    <t xml:space="preserve">14a1c64bedeac5b89cc862cdbd4211d1</t>
  </si>
  <si>
    <t xml:space="preserve">d02b4c3a6610ba20f0b0c031098aef72</t>
  </si>
  <si>
    <t xml:space="preserve">0f2fea57088393111216e243634ee115</t>
  </si>
  <si>
    <t xml:space="preserve">b5c12af0a296884f541eb2a47d82e0de</t>
  </si>
  <si>
    <t xml:space="preserve">f0d2421a7605ae29865523f88ab0a9fa</t>
  </si>
  <si>
    <t xml:space="preserve">076d07c5700d5278b081391ceb035822</t>
  </si>
  <si>
    <t xml:space="preserve">ce36e92a58e9d0aac1b6edd4a50784cb</t>
  </si>
  <si>
    <t xml:space="preserve">b99b70d6bc6aa8a7be332380b7aa53b6</t>
  </si>
  <si>
    <t xml:space="preserve">e780ac62ce81d5416d4aa11691bed6c8</t>
  </si>
  <si>
    <t xml:space="preserve">c8bc1c88fe600c12da8746db8338b815</t>
  </si>
  <si>
    <t xml:space="preserve">f832cee9204612c00d11f275553d549a</t>
  </si>
  <si>
    <t xml:space="preserve">1a8777b0855fc748c6d273f94d2cd22d</t>
  </si>
  <si>
    <t xml:space="preserve">90a6dffe45bbfb02f99cf98f62d8d220</t>
  </si>
  <si>
    <t xml:space="preserve">0a121024a5a2d5ac48f8672bd60112bd</t>
  </si>
  <si>
    <t xml:space="preserve">959cc9ceba8a946af8d86c4080af677b</t>
  </si>
  <si>
    <t xml:space="preserve">806d345714dc2143702238e68841d98b</t>
  </si>
  <si>
    <t xml:space="preserve">172789242508f357474a3674ba098484</t>
  </si>
  <si>
    <t xml:space="preserve">be00565d5bad43317366c60651ae2d48</t>
  </si>
  <si>
    <t xml:space="preserve">3ee2b11c2fd2908feea163a7889dc47e</t>
  </si>
  <si>
    <t xml:space="preserve">91f97c1681b603bd48468d499ac11a87</t>
  </si>
  <si>
    <t xml:space="preserve">b38fda15f03bbd44a604efc616010fdd</t>
  </si>
  <si>
    <t xml:space="preserve">022b66839033da6587cf63fd11836c4f</t>
  </si>
  <si>
    <t xml:space="preserve">b6a787b1c3cb0c28474cfa297fc5ae23</t>
  </si>
  <si>
    <t xml:space="preserve">3c98fe89ec6ee5ca573f9ac917ee7fc7</t>
  </si>
  <si>
    <t xml:space="preserve">059d42e6b348f0fed47ebb90c79e46ae</t>
  </si>
  <si>
    <t xml:space="preserve">8d25f8e12624054343a21d52d12e73a1</t>
  </si>
  <si>
    <t xml:space="preserve">7a4c75d4dc99e04cf0e98b3b40a26c60</t>
  </si>
  <si>
    <t xml:space="preserve">97ae50f08a39068bcbede473e3ebf7c1</t>
  </si>
  <si>
    <t xml:space="preserve">b92c8a723a17d79a3a42958b65c2e80d</t>
  </si>
  <si>
    <t xml:space="preserve">5cb9635c75f73b073a4962d177e43d33</t>
  </si>
  <si>
    <t xml:space="preserve">90ea31debd95c7f5dbaa1aa2ab9c405d</t>
  </si>
  <si>
    <t xml:space="preserve">5a663824a0216b00a43ccdd56bb0c8a0</t>
  </si>
  <si>
    <t xml:space="preserve">9d2bc6aebd399a47a9cb126df5fc402b</t>
  </si>
  <si>
    <t xml:space="preserve">4d1548c64fcfc66ca5198e6fd738d6ed</t>
  </si>
  <si>
    <t xml:space="preserve">4415f0cb38cc1827d2e9bc783a411bee</t>
  </si>
  <si>
    <t xml:space="preserve">50c187fcce177b4e0837b8a3d261a7ab</t>
  </si>
  <si>
    <t xml:space="preserve">8c0b393a13335bc9bb635ff529310971</t>
  </si>
  <si>
    <t xml:space="preserve">c2fd7e2d95eef4033e72e4023a4317a1</t>
  </si>
  <si>
    <t xml:space="preserve">6d2bc99de7eca309296fc0d76a632a6b</t>
  </si>
  <si>
    <t xml:space="preserve">f701f1f4a48f93b431a9b14c7f49d0d9</t>
  </si>
  <si>
    <t xml:space="preserve">295fa092a310ca23eddc60d8e3b683d4</t>
  </si>
  <si>
    <t xml:space="preserve">2385c2218c8cbdd551ed328bdfefbce2</t>
  </si>
  <si>
    <t xml:space="preserve">c6b6020a67a559366d744a0b3f2d39c8</t>
  </si>
  <si>
    <t xml:space="preserve">9a86013df6c9dd3806a2074c61025637</t>
  </si>
  <si>
    <t xml:space="preserve">15a15a52f710900bd3c1fe3f4ce7db3f</t>
  </si>
  <si>
    <t xml:space="preserve">78e8bf15c7753db0b795e838ede652f5</t>
  </si>
  <si>
    <t xml:space="preserve">6f4a488065da20e18811812793592195</t>
  </si>
  <si>
    <t xml:space="preserve">3dfe5ff4d757d743be9bab1a769b80ab</t>
  </si>
  <si>
    <t xml:space="preserve">3fe1e8f335adde8843e4f66802ead2df</t>
  </si>
  <si>
    <t xml:space="preserve">18fc83b74b356e9a2e5eeb6a8ee9581a</t>
  </si>
  <si>
    <t xml:space="preserve">b5b71c24785ca87b1f69e2b1d45e087f</t>
  </si>
  <si>
    <t xml:space="preserve">ad8cc85c53559e80bc5e3e2fcebc1bd7</t>
  </si>
  <si>
    <t xml:space="preserve">e1a29ffab7ed70cff111be9e8545b11f</t>
  </si>
  <si>
    <t xml:space="preserve">51e117993f39562d6b06e92fb62a7941</t>
  </si>
  <si>
    <t xml:space="preserve">69d1b0370385c534b23bbe88d478f5dc</t>
  </si>
  <si>
    <t xml:space="preserve">57b525e0e222af50a131b2983292d4d1</t>
  </si>
  <si>
    <t xml:space="preserve">ef36feb1bb8f7b2bd91b1cb635eabd3e</t>
  </si>
  <si>
    <t xml:space="preserve">9df2055436ba48926c905f13ba7e6b51</t>
  </si>
  <si>
    <t xml:space="preserve">81140235f5b4aee10836a865fee33607</t>
  </si>
  <si>
    <t xml:space="preserve">c1e464fb180c2ae3783b0d47fc46d1b7</t>
  </si>
  <si>
    <t xml:space="preserve">d1d0cc642f3157fa75ca15dcc08c62fc</t>
  </si>
  <si>
    <t xml:space="preserve">b7062cfa29cc07893ff93134650e78e4</t>
  </si>
  <si>
    <t xml:space="preserve">9190c53fb2d2570a2ef634f2a8b97820</t>
  </si>
  <si>
    <t xml:space="preserve">4dd7cb5cb5a78756ef4055ddd98d213c</t>
  </si>
  <si>
    <t xml:space="preserve">0d8f808d9c0e6192f88c266401bc075c</t>
  </si>
  <si>
    <t xml:space="preserve">34a9c479c9e6dec2b80504fdc7e72b71</t>
  </si>
  <si>
    <t xml:space="preserve">6f62752490ac70630476444d0658a5a8</t>
  </si>
  <si>
    <t xml:space="preserve">4c59c04d37590e762ebf3f1f3fe8e098</t>
  </si>
  <si>
    <t xml:space="preserve">246354342fbebc777e2de03493e8b90d</t>
  </si>
  <si>
    <t xml:space="preserve">5806a961b9d707a9e74ed0b3bdce635f</t>
  </si>
  <si>
    <t xml:space="preserve">1ecf8aec9a11ddf4be1a35c9a12ac11c</t>
  </si>
  <si>
    <t xml:space="preserve">85b69e95cc009f08206faddb1a31c87e</t>
  </si>
  <si>
    <t xml:space="preserve">614996d101db80b404221bf274faebdd</t>
  </si>
  <si>
    <t xml:space="preserve">a2a5ef39c163df1bdf32f343a562f0a0</t>
  </si>
  <si>
    <t xml:space="preserve">d8bb1c4ef3e6270444087b439eead5de</t>
  </si>
  <si>
    <t xml:space="preserve">fd508f47652a176af31923cb15eb89a8</t>
  </si>
  <si>
    <t xml:space="preserve">517eaaa6406eb2c68e0b38abc5c68438</t>
  </si>
  <si>
    <t xml:space="preserve">1a2a73ed562b0f79c37459eef50bea63</t>
  </si>
  <si>
    <t xml:space="preserve">44656d6b81fb18b3c9a7d91fef2ae713</t>
  </si>
  <si>
    <t xml:space="preserve">5ca260c9eb7607c9b08a4895d4ffa666</t>
  </si>
  <si>
    <t xml:space="preserve">231d260bb362cd559b0ada0b9f6facc1</t>
  </si>
  <si>
    <t xml:space="preserve">03c50ab302a48d6e5a9efefcf07c0e77</t>
  </si>
  <si>
    <t xml:space="preserve">9c01a3459b751b4f0a6ac9304bc65ea5</t>
  </si>
  <si>
    <t xml:space="preserve">7982b4a42163e6976f643c79d840efbd</t>
  </si>
  <si>
    <t xml:space="preserve">dd0d27ddac56ade449515159cc66c8a1</t>
  </si>
  <si>
    <t xml:space="preserve">10df997455ab946da5b5cdc2a181c85e</t>
  </si>
  <si>
    <t xml:space="preserve">5dad348e57d52b789cf3137ef562037b</t>
  </si>
  <si>
    <t xml:space="preserve">eb3cc270e188d3d7a573dc3049b49625</t>
  </si>
  <si>
    <t xml:space="preserve">dc07605e57628c8427180985f2d6c18c</t>
  </si>
  <si>
    <t xml:space="preserve">f561f4c33fa58bda02abe229146f1928</t>
  </si>
  <si>
    <t xml:space="preserve">097703b3ef29d493fd7fbd90d0dd1259</t>
  </si>
  <si>
    <t xml:space="preserve">2443cd7942052edf7cb358090a662d29</t>
  </si>
  <si>
    <t xml:space="preserve">101d759e3066478c4aa0d842057fdd20</t>
  </si>
  <si>
    <t xml:space="preserve">f36c1c45a942b4d7bd2dfffffe85544c</t>
  </si>
  <si>
    <t xml:space="preserve">0af20a23e3c60f792a0e0060ae2a9c01</t>
  </si>
  <si>
    <t xml:space="preserve">0ab0b4ba412bbecbc9e5943b29c896f8</t>
  </si>
  <si>
    <t xml:space="preserve">e8273dee9d7e4eb723fd6adec17fcf19</t>
  </si>
  <si>
    <t xml:space="preserve">0ffed18429c491dd33dfeff60ef6da2a</t>
  </si>
  <si>
    <t xml:space="preserve">30890e765ffb04563516d066894b984f</t>
  </si>
  <si>
    <t xml:space="preserve">5f26946654d1332ae3082ddcc9c04b7d</t>
  </si>
  <si>
    <t xml:space="preserve">89924e2d0400e249f8bb1616418860b9</t>
  </si>
  <si>
    <t xml:space="preserve">84add36e67b3a154e67ae19a3c6736b0</t>
  </si>
  <si>
    <t xml:space="preserve">c8e8253169b7aabc06b0bb2f93e77ff9</t>
  </si>
  <si>
    <t xml:space="preserve">7feb2b418fda8d85520a9f1a06470faf</t>
  </si>
  <si>
    <t xml:space="preserve">6605de3c15c7bc834336ffe5663166a7</t>
  </si>
  <si>
    <t xml:space="preserve">c3d0bde3cfbba84a80b570137f29c9e7</t>
  </si>
  <si>
    <t xml:space="preserve">4cc6d67ecddb3f9e81300e684d45d885</t>
  </si>
  <si>
    <t xml:space="preserve">031fdae1b8ab8e09c5da3dcc4dd70974</t>
  </si>
  <si>
    <t xml:space="preserve">df2182e23056786c45a275bc8fdd7514</t>
  </si>
  <si>
    <t xml:space="preserve">6744acd4cfdfc6f9eb0f827ce82a3879</t>
  </si>
  <si>
    <t xml:space="preserve">02fb28690df80b899ce7eed1fcdfe961</t>
  </si>
  <si>
    <t xml:space="preserve">a8c62c4ddc1c4e12e4ac1e29d3c6756c</t>
  </si>
  <si>
    <t xml:space="preserve">feb9ea24933c8d0086800a0b42791490</t>
  </si>
  <si>
    <t xml:space="preserve">c98cd5fb14c62aba89c2fba5648df4c0</t>
  </si>
  <si>
    <t xml:space="preserve">66a466d494c8a69d44b1a1ee794836f2</t>
  </si>
  <si>
    <t xml:space="preserve">e81800643e447305eb55920d81d231cb</t>
  </si>
  <si>
    <t xml:space="preserve">204fcbe4adec6f15bfdc2b0d19ffa018</t>
  </si>
  <si>
    <t xml:space="preserve">db12ad2ea7366835af88761909c332ee</t>
  </si>
  <si>
    <t xml:space="preserve">4458b006332cce0a0e7da698ab95c72f</t>
  </si>
  <si>
    <t xml:space="preserve">346b544c31ccd55c18db494a56f2ce96</t>
  </si>
  <si>
    <t xml:space="preserve">fe4aa0037c06d533eeb7898191fa7144</t>
  </si>
  <si>
    <t xml:space="preserve">18eefdc360a444b84f52bf2122963760</t>
  </si>
  <si>
    <t xml:space="preserve">eb20023718c321f47ee2d7aa32a4d31a</t>
  </si>
  <si>
    <t xml:space="preserve">02472360aea4a441c47fa57ef796611f</t>
  </si>
  <si>
    <t xml:space="preserve">546f97fb0ecc8af97bab0e9ea62060b9</t>
  </si>
  <si>
    <t xml:space="preserve">bbe43aa78c58fff0a15cf032930e7347</t>
  </si>
  <si>
    <t xml:space="preserve">c8e6cd4b4febaa0edbfb491a9b0e9a7e</t>
  </si>
  <si>
    <t xml:space="preserve">8cc1e0363c253eb3e62e54eb878ab369</t>
  </si>
  <si>
    <t xml:space="preserve">8c306073e8e4c8deddd98c67dac5169d</t>
  </si>
  <si>
    <t xml:space="preserve">3f3f433d1f1540cc4d1567e80329d92d</t>
  </si>
  <si>
    <t xml:space="preserve">8a88527a25fdb59204ffd53eba5f0d52</t>
  </si>
  <si>
    <t xml:space="preserve">64315fc269464f3f514f6fd9accc1507</t>
  </si>
  <si>
    <t xml:space="preserve">1ccb27cf258e85589c01a7dea617a28c</t>
  </si>
  <si>
    <t xml:space="preserve">6c6e8796893e2b89dadfc49942e4bf01</t>
  </si>
  <si>
    <t xml:space="preserve">7d457a09402d35e81f47d9021ba84a91</t>
  </si>
  <si>
    <t xml:space="preserve">ccb6588f61b1ad358e8f4854956d92e2</t>
  </si>
  <si>
    <t xml:space="preserve">ae4c84ffa8c01f05c478f6f1b88ec318</t>
  </si>
  <si>
    <t xml:space="preserve">f17daa267357d500fcfd348c00f0f7fe</t>
  </si>
  <si>
    <t xml:space="preserve">695ae210973cb616f945cfd4678ea95f</t>
  </si>
  <si>
    <t xml:space="preserve">4a4b55630cf477ef18c8a61624108e9a</t>
  </si>
  <si>
    <t xml:space="preserve">74246baa2dcafc820660a3e9736d417c</t>
  </si>
  <si>
    <t xml:space="preserve">9136e5301f0733df7b68b323c7a2ee6f</t>
  </si>
  <si>
    <t xml:space="preserve">88b04b777feb4cf34ec77371a4b65cfa</t>
  </si>
  <si>
    <t xml:space="preserve">35b7215ecd68cb3998a0db610fa99695</t>
  </si>
  <si>
    <t xml:space="preserve">4d564ca1099c3693fe59189f3035fa61</t>
  </si>
  <si>
    <t xml:space="preserve">057eaa6f29de65e62e89a6ed7453c9c3</t>
  </si>
  <si>
    <t xml:space="preserve">dfe328d550be629444c1a38ce702c0d8</t>
  </si>
  <si>
    <t xml:space="preserve">544c14d1503ba8c3ce830e27c5efd670</t>
  </si>
  <si>
    <t xml:space="preserve">a9fb1b548fbd2cfdc651a34f5a0f3cdb</t>
  </si>
  <si>
    <t xml:space="preserve">d88a061923f1127bd7ebc00bff68728e</t>
  </si>
  <si>
    <t xml:space="preserve">5edb0d3cb0b63bcf08601833479d0cda</t>
  </si>
  <si>
    <t xml:space="preserve">e2696a738b2dfd839b5de3c9dbb9c173</t>
  </si>
  <si>
    <t xml:space="preserve">c7df66009aa0bf744e8bafc4cb208d25</t>
  </si>
  <si>
    <t xml:space="preserve">85ee751c6d0473e78adf1e46d403fd02</t>
  </si>
  <si>
    <t xml:space="preserve">a34321bf7aeee7df5bd55037f7444596</t>
  </si>
  <si>
    <t xml:space="preserve">c01ba459ec7fdc2efb0059ff563bf6e0</t>
  </si>
  <si>
    <t xml:space="preserve">a1295a39dce6ea642d5c4588c60e35b6</t>
  </si>
  <si>
    <t xml:space="preserve">52ec03caae957e1c667a63706e12d255</t>
  </si>
  <si>
    <t xml:space="preserve">6a65d16c304896aae4045f1e8ecdf68c</t>
  </si>
  <si>
    <t xml:space="preserve">878aaed9233ffc8292ec89af13aec376</t>
  </si>
  <si>
    <t xml:space="preserve">173d5030077d868859fe1c45abac7bf8</t>
  </si>
  <si>
    <t xml:space="preserve">537b84366ed9a39d5a881ca43b4d3447</t>
  </si>
  <si>
    <t xml:space="preserve">29ca6e42d09ae2dca3dd65b3998549bc</t>
  </si>
  <si>
    <t xml:space="preserve">122533fd765e3ce808676b2a0b39c366</t>
  </si>
  <si>
    <t xml:space="preserve">8be5199ee212b2e8a91a0e8b424a1f16</t>
  </si>
  <si>
    <t xml:space="preserve">f2c76b30fb7e6256a4c956c886d79a32</t>
  </si>
  <si>
    <t xml:space="preserve">efdeda89b1743e034666495fa69d152f</t>
  </si>
  <si>
    <t xml:space="preserve">c5384872deaa543e1edbbe71de2a2ddf</t>
  </si>
  <si>
    <t xml:space="preserve">e545281b15b5bc25eb7cd628ecb948f7</t>
  </si>
  <si>
    <t xml:space="preserve">d97eb35599870266dc63a196946320bc</t>
  </si>
  <si>
    <t xml:space="preserve">105fef51b0af70d24e3e4f5f04612c71</t>
  </si>
  <si>
    <t xml:space="preserve">9cc259bce4c4cc4c61a2eb14a4918bd2</t>
  </si>
  <si>
    <t xml:space="preserve">f10b394d6021a15b4207fb5152ffeff5</t>
  </si>
  <si>
    <t xml:space="preserve">6bc822f46893a38a14dd93141e32e3e1</t>
  </si>
  <si>
    <t xml:space="preserve">8d185c2ad554fadf76339d1d6694940d</t>
  </si>
  <si>
    <t xml:space="preserve">8e2d33d00097d5f0f6be5f8c78aa9c52</t>
  </si>
  <si>
    <t xml:space="preserve">c7a7a071d2621558e6dd8969aada8ba0</t>
  </si>
  <si>
    <t xml:space="preserve">f9b81e658a34b26b72cc3fc55f775a7a</t>
  </si>
  <si>
    <t xml:space="preserve">d2c4c2865a0461c9947defcf88cfc53d</t>
  </si>
  <si>
    <t xml:space="preserve">9872643b974f65f59b228880fffb0041</t>
  </si>
  <si>
    <t xml:space="preserve">ea6c32b47950d1be1cf423ead1435d59</t>
  </si>
  <si>
    <t xml:space="preserve">e03c119aa0ca381cbc3dc68a87d49f49</t>
  </si>
  <si>
    <t xml:space="preserve">7e14686b2a3b60034f54c90edb7611cd</t>
  </si>
  <si>
    <t xml:space="preserve">d85c2ff420007b10377a163b0eefde0b</t>
  </si>
  <si>
    <t xml:space="preserve">1fa2e8fcb60b299ab7c39b3fb9c1035c</t>
  </si>
  <si>
    <t xml:space="preserve">a67897538f1a5d4a72ced11f8f59748b</t>
  </si>
  <si>
    <t xml:space="preserve">0027112ab75901d03036781cc0d98272</t>
  </si>
  <si>
    <t xml:space="preserve">29723882a6d9d3d105ddf023af0caa3c</t>
  </si>
  <si>
    <t xml:space="preserve">5cdd0f45358893f1280b0996517e71e0</t>
  </si>
  <si>
    <t xml:space="preserve">b0b128a224c6ab6dd13fcc1ad9add770</t>
  </si>
  <si>
    <t xml:space="preserve">61f6dfbe114b3c79420079f51dc3c26e</t>
  </si>
  <si>
    <t xml:space="preserve">99252280b81cc43bf99a36206ee2f9bf</t>
  </si>
  <si>
    <t xml:space="preserve">4c3b4e466696c1a63e06d24cd0df7ce3</t>
  </si>
  <si>
    <t xml:space="preserve">3da70577aee1e86b9ea556aa61ee6c5b</t>
  </si>
  <si>
    <t xml:space="preserve">5d679515f8c5ef5c88f757fbd81b6bb7</t>
  </si>
  <si>
    <t xml:space="preserve">d5bccd83bb853c919ae5fbbc0f657cc9</t>
  </si>
  <si>
    <t xml:space="preserve">b677fcbe9928662561a2bcaa3791ed72</t>
  </si>
  <si>
    <t xml:space="preserve">f99f070420f0156a1e6a66289c6d52d5</t>
  </si>
  <si>
    <t xml:space="preserve">d123f7c1b7a1267e9a1e00365cbaa496</t>
  </si>
  <si>
    <t xml:space="preserve">8ca17f756b2d470a62186d103ef3d5be</t>
  </si>
  <si>
    <t xml:space="preserve">3d162ab9b01c9191e81b60ffda41a15f</t>
  </si>
  <si>
    <t xml:space="preserve">ad9f0e532e671517e8e52412660f475f</t>
  </si>
  <si>
    <t xml:space="preserve">adc25f1664b30768fdfd984e16107d90</t>
  </si>
  <si>
    <t xml:space="preserve">c4ca00d78a66de6724d4d5a31bc2197e</t>
  </si>
  <si>
    <t xml:space="preserve">7535ddc2c555b4b58eb58d5c7e8f5f03</t>
  </si>
  <si>
    <t xml:space="preserve">c098e2b47a798ed42a0bfd9ff58f9bdd</t>
  </si>
  <si>
    <t xml:space="preserve">64baaea10cd4ba10b4666d9946d5d341</t>
  </si>
  <si>
    <t xml:space="preserve">a453cfdc86d95abd044b6c425ffb3b71</t>
  </si>
  <si>
    <t xml:space="preserve">7bb3447be9aa144b9dd43675ef145064</t>
  </si>
  <si>
    <t xml:space="preserve">f83893a210f356765a853cd8cbb86be0</t>
  </si>
  <si>
    <t xml:space="preserve">0d06d89169808e3c9fa3fe4bdebf96d3</t>
  </si>
  <si>
    <t xml:space="preserve">8728066203f2ffe0c8eff82f75887389</t>
  </si>
  <si>
    <t xml:space="preserve">be9c05336d866f777d918fcbffbdefdc</t>
  </si>
  <si>
    <t xml:space="preserve">4c0980210299cb289bd53714614f2082</t>
  </si>
  <si>
    <t xml:space="preserve">7ad30e2a0413ffc7173a0c96ffbb4bcc</t>
  </si>
  <si>
    <t xml:space="preserve">fad5ab170ebd9eef0836b2d104dbe9aa</t>
  </si>
  <si>
    <t xml:space="preserve">875cf0673432327f0db04a2c2a24cab7</t>
  </si>
  <si>
    <t xml:space="preserve">e74c87ebf10a373d1407a94b0e594ba4</t>
  </si>
  <si>
    <t xml:space="preserve">67cc3176c02ac52a582f5c694be9e5d7</t>
  </si>
  <si>
    <t xml:space="preserve">5ef97dbae07d0865ef38f3cc301f5433</t>
  </si>
  <si>
    <t xml:space="preserve">d5b654383ecd088801afb939c4df5b8d</t>
  </si>
  <si>
    <t xml:space="preserve">73dd8d3140e10b51112858041243161c</t>
  </si>
  <si>
    <t xml:space="preserve">5452185cecfc912a490a4abdb18848f9</t>
  </si>
  <si>
    <t xml:space="preserve">c6a1a468afb3e3addc432ed564caa1c7</t>
  </si>
  <si>
    <t xml:space="preserve">04d999e6388211e059cda20b831c3139</t>
  </si>
  <si>
    <t xml:space="preserve">7c263cec6c22c110d4f10cf9f12ee3a3</t>
  </si>
  <si>
    <t xml:space="preserve">f473c022981b99f9c145419c74ebfa0d</t>
  </si>
  <si>
    <t xml:space="preserve">7f353843d25bb219991228bed483764a</t>
  </si>
  <si>
    <t xml:space="preserve">ee4ebb16d980a784185708fa426e08b6</t>
  </si>
  <si>
    <t xml:space="preserve">689998d64e444af9b106c45a71f6aee9</t>
  </si>
  <si>
    <t xml:space="preserve">b2a3f8e59bab29cf284e8078525aaa7d</t>
  </si>
  <si>
    <t xml:space="preserve">999413ccff9957a888adb388287e4086</t>
  </si>
  <si>
    <t xml:space="preserve">bc1cd60d7d9c03c773deaa5655eef366</t>
  </si>
  <si>
    <t xml:space="preserve">be1924aadab712f6764231c326daf6d1</t>
  </si>
  <si>
    <t xml:space="preserve">8a426ff020984689c78ae6ce0a199083</t>
  </si>
  <si>
    <t xml:space="preserve">a289499e2a6716d4ae2e7dd219a2a602</t>
  </si>
  <si>
    <t xml:space="preserve">e3fa68932cd4e76df40ab6cf31c78a33</t>
  </si>
  <si>
    <t xml:space="preserve">1e79df28794826b3a75d097838561675</t>
  </si>
  <si>
    <t xml:space="preserve">59c13918b6b0a72650399f423ec6f665</t>
  </si>
  <si>
    <t xml:space="preserve">5bda0655f06dca247bc6e121bb64a525</t>
  </si>
  <si>
    <t xml:space="preserve">3ad51382119fb03e97314c9198b6691b</t>
  </si>
  <si>
    <t xml:space="preserve">6cfb6acc2e0c5488a76f7d3c62522f26</t>
  </si>
  <si>
    <t xml:space="preserve">fcbfa2ca96a805bbb7a7d1bac6e43494</t>
  </si>
  <si>
    <t xml:space="preserve">5eb9bbd8db787079fcdc5b25a6272842</t>
  </si>
  <si>
    <t xml:space="preserve">b6ac204884308e0c3fe604f428670d3b</t>
  </si>
  <si>
    <t xml:space="preserve">d9b81389ec16ddb7fd93754aca90001c</t>
  </si>
  <si>
    <t xml:space="preserve">5f390d2b5f25210ea82e2d6137164f31</t>
  </si>
  <si>
    <t xml:space="preserve">718170c234b158aa26df6494ac1cfcfc</t>
  </si>
  <si>
    <t xml:space="preserve">9919be9116a26e585d31626349592f6e</t>
  </si>
  <si>
    <t xml:space="preserve">2e9b8fb501c90e2ae726f649e650cae5</t>
  </si>
  <si>
    <t xml:space="preserve">eb53b7a7caf5c7b4f7ffc08adbba8812</t>
  </si>
  <si>
    <t xml:space="preserve">083dd6f7638d5efe5b0d2428af9f9ce0</t>
  </si>
  <si>
    <t xml:space="preserve">eb5cf46780bacd647a0ecfea958ca9ba</t>
  </si>
  <si>
    <t xml:space="preserve">ce1e8d1f9de7df7b5594552b405a8e7e</t>
  </si>
  <si>
    <t xml:space="preserve">31120678308c523dcb7e717c217bc29e</t>
  </si>
  <si>
    <t xml:space="preserve">7e5e212d6f25222ddd6f042012377609</t>
  </si>
  <si>
    <t xml:space="preserve">673cdc9b096d4490c475301cabccd7e5</t>
  </si>
  <si>
    <t xml:space="preserve">d5dc3956931c2818f61c16616f71b9ba</t>
  </si>
  <si>
    <t xml:space="preserve">341ef40b57c700aab7b56ea735ebd32d</t>
  </si>
  <si>
    <t xml:space="preserve">33fd862d4057e470be6127a80351b09d</t>
  </si>
  <si>
    <t xml:space="preserve">0ed40264eb068b1e6fc0174f57d714f1</t>
  </si>
  <si>
    <t xml:space="preserve">35b39c0eb588489eeffbd1974d73a782</t>
  </si>
  <si>
    <t xml:space="preserve">54ea371846af357c82520d78cdbfaa37</t>
  </si>
  <si>
    <t xml:space="preserve">e4cd46e12139298b2795bf89d5b4c4a4</t>
  </si>
  <si>
    <t xml:space="preserve">f10eb0eac764f8c75e01ea7dca2e8da6</t>
  </si>
  <si>
    <t xml:space="preserve">1b36101def5ffb6ee7941ab12df3fbdd</t>
  </si>
  <si>
    <t xml:space="preserve">74b392bda0968dda8d1fe9e421f69c30</t>
  </si>
  <si>
    <t xml:space="preserve">6394eb4d54ede5c3a8c0145007adb729</t>
  </si>
  <si>
    <t xml:space="preserve">6d15f16fb7b8c1a59a45693d7227890e</t>
  </si>
  <si>
    <t xml:space="preserve">25d4a0fc61542765d756ba9cc64c9647</t>
  </si>
  <si>
    <t xml:space="preserve">c9ea356a7abfcebfd42cb1ae19f738cb</t>
  </si>
  <si>
    <t xml:space="preserve">a1298fa2227d4660293fc26697a418b8</t>
  </si>
  <si>
    <t xml:space="preserve">b31a25b55fecaa6e88917cf57d8823d2</t>
  </si>
  <si>
    <t xml:space="preserve">8352aaba4a64cfccdcf315c647a029ae</t>
  </si>
  <si>
    <t xml:space="preserve">3bbd60ea5c978975f50020580c3b491f</t>
  </si>
  <si>
    <t xml:space="preserve">6418861eb07a810a1befa085916b66de</t>
  </si>
  <si>
    <t xml:space="preserve">95e1d191ca3d02cffad6d030057f74a4</t>
  </si>
  <si>
    <t xml:space="preserve">b1299cb78b248c7e0e4ddb723e6a41f1</t>
  </si>
  <si>
    <t xml:space="preserve">731da6ec63032bd49db564b5af8422cc</t>
  </si>
  <si>
    <t xml:space="preserve">ea4cd6078e487a8ce3e479461fcfcb8e</t>
  </si>
  <si>
    <t xml:space="preserve">8c626a8f349eb0da7e509ec481db9a62</t>
  </si>
  <si>
    <t xml:space="preserve">5a4d6a5fc1c69f79f1ea44de4bb38a82</t>
  </si>
  <si>
    <t xml:space="preserve">d29ca30763b54f0456a372ff58180fb9</t>
  </si>
  <si>
    <t xml:space="preserve">39dccd07efd4a45f9e537b3b4ea58999</t>
  </si>
  <si>
    <t xml:space="preserve">090c5f871a1d23403538c7d6946930ae</t>
  </si>
  <si>
    <t xml:space="preserve">dc96925eccf3a17156dc8907ba6c34ab</t>
  </si>
  <si>
    <t xml:space="preserve">7875b1c777243aa3c438eae0b5d0b595</t>
  </si>
  <si>
    <t xml:space="preserve">9e3b37e675c41c378eea487f9d3cc9ca</t>
  </si>
  <si>
    <t xml:space="preserve">0ba9ee1e75888aa1f9e335438d1d37a3</t>
  </si>
  <si>
    <t xml:space="preserve">60040d0d5257c31b724c5cd007ac3372</t>
  </si>
  <si>
    <t xml:space="preserve">230656d1c2d52a58d791aedd60e565b6</t>
  </si>
  <si>
    <t xml:space="preserve">6889803e5913f9d3785299f4175ba98d</t>
  </si>
  <si>
    <t xml:space="preserve">e8410a39f9012b9c6057153a4067f790</t>
  </si>
  <si>
    <t xml:space="preserve">c60b340cf21a6f380eb5e5a798f3f640</t>
  </si>
  <si>
    <t xml:space="preserve">1429ef31b9b3c0eefaf2be80833bde78</t>
  </si>
  <si>
    <t xml:space="preserve">c20862274333240ad8d99ad8255f30b9</t>
  </si>
  <si>
    <t xml:space="preserve">1e22ade1a3e6bbfd65e2ebba27ae2220</t>
  </si>
  <si>
    <t xml:space="preserve">75d0a2af1c06efa6521ba1e492e7fc57</t>
  </si>
  <si>
    <t xml:space="preserve">2700b5609bd89990b786834b39c1801b</t>
  </si>
  <si>
    <t xml:space="preserve">b78707bd2a2d0813e7fee67f86899a05</t>
  </si>
  <si>
    <t xml:space="preserve">32dba0284823debeccade92e53dc4fae</t>
  </si>
  <si>
    <t xml:space="preserve">f5b350ab731bd233c011c674928a77e5</t>
  </si>
  <si>
    <t xml:space="preserve">07c81588392cbbe088e06703bc62eccf</t>
  </si>
  <si>
    <t xml:space="preserve">8ecdb5250ede357a9a3f493e7e7e2824</t>
  </si>
  <si>
    <t xml:space="preserve">80f378ccebb06b15a48803694b400975</t>
  </si>
  <si>
    <t xml:space="preserve">6070fd1ee687cc1ead123e41be58ca2d</t>
  </si>
  <si>
    <t xml:space="preserve">32ce6a3d862a76f2f15e609cb297fa7f</t>
  </si>
  <si>
    <t xml:space="preserve">a7b63925b3c120c39b0108d203711d3f</t>
  </si>
  <si>
    <t xml:space="preserve">6c543e3f171520b8f37d1ad9a282cd49</t>
  </si>
  <si>
    <t xml:space="preserve">d298453929f9a292d38418628bf12f23</t>
  </si>
  <si>
    <t xml:space="preserve">bcc57be00779250a6544e3136ea05d13</t>
  </si>
  <si>
    <t xml:space="preserve">2f7f2cd7bbd0fe6c6108ffcc8186722b</t>
  </si>
  <si>
    <t xml:space="preserve">ebcfbcfae7269390c23525c0c16f584a</t>
  </si>
  <si>
    <t xml:space="preserve">6b86e231a6f20f6aaaeac2175bc69d21</t>
  </si>
  <si>
    <t xml:space="preserve">d0437e4c34e50699c8ebe27a23a4e70e</t>
  </si>
  <si>
    <t xml:space="preserve">e6b31a27703a382b73645c1b15b9d469</t>
  </si>
  <si>
    <t xml:space="preserve">98105b901c8739d31e8ac3aaa87bd62a</t>
  </si>
  <si>
    <t xml:space="preserve">8e114e0d7e8eda3e8f7a64a53e792193</t>
  </si>
  <si>
    <t xml:space="preserve">ffdc690c4e3cbe6660c4891c66c36a49</t>
  </si>
  <si>
    <t xml:space="preserve">3fbf7901fc713b1be329a51fc370f6e7</t>
  </si>
  <si>
    <t xml:space="preserve">05d2d205789fed9673373c2f4e1c3762</t>
  </si>
  <si>
    <t xml:space="preserve">32b2d952c37637d672a9dfa122ae8888</t>
  </si>
  <si>
    <t xml:space="preserve">0b845de2f74ba82f2de92307a9ca27f7</t>
  </si>
  <si>
    <t xml:space="preserve">94a1eab0b9c037aa3289f58b1923cafc</t>
  </si>
  <si>
    <t xml:space="preserve">9be9ec861b3206f006897b1c975aae69</t>
  </si>
  <si>
    <t xml:space="preserve">37179e4565706108fc78090e2223ab94</t>
  </si>
  <si>
    <t xml:space="preserve">b03d01eb336fc177730825d1396cc19c</t>
  </si>
  <si>
    <t xml:space="preserve">820f46424e6cebb2f09d07f1eac4c60c</t>
  </si>
  <si>
    <t xml:space="preserve">24f60d624abf132d3f1734070a204f3a</t>
  </si>
  <si>
    <t xml:space="preserve">6c4a37ea490617f2747b6dbac8fe3ccd</t>
  </si>
  <si>
    <t xml:space="preserve">0bc572073e9aec8603254fbddce8e1c5</t>
  </si>
  <si>
    <t xml:space="preserve">b13a8dc792dba951f7b8895a3a099c80</t>
  </si>
  <si>
    <t xml:space="preserve">1e0bc3a2d4fb02df69ded7967a31942c</t>
  </si>
  <si>
    <t xml:space="preserve">f5808b5975b568d735eb728f57750d0f</t>
  </si>
  <si>
    <t xml:space="preserve">afe6052b136ac2c85705aed4824bef98</t>
  </si>
  <si>
    <t xml:space="preserve">a352170111d36d4051105a80414ab65f</t>
  </si>
  <si>
    <t xml:space="preserve">f50a455f3346412d9fc7d5e4757a0380</t>
  </si>
  <si>
    <t xml:space="preserve">f194c92c8864f0602642425a21281f77</t>
  </si>
  <si>
    <t xml:space="preserve">e79c797d469f2152bb815c56b95b7efe</t>
  </si>
  <si>
    <t xml:space="preserve">38cd0cedba7bc404650c5ea21f473751</t>
  </si>
  <si>
    <t xml:space="preserve">a2dcb2030626cb30699edeed7cfa000c</t>
  </si>
  <si>
    <t xml:space="preserve">07f194f9c1156d6d0a4e5b70a6d964a3</t>
  </si>
  <si>
    <t xml:space="preserve">d45a1de3731dc76f85e620fea44eb3e1</t>
  </si>
  <si>
    <t xml:space="preserve">847ccb1dd10499485f6da88484fbcda0</t>
  </si>
  <si>
    <t xml:space="preserve">43675d580b6c03c8721e54192fc3e649</t>
  </si>
  <si>
    <t xml:space="preserve">dd643387b6b38fbc6338fb2975992b0a</t>
  </si>
  <si>
    <t xml:space="preserve">1b3eaba1d771b4467ac532884053f74e</t>
  </si>
  <si>
    <t xml:space="preserve">6815760743df1c142ee066ca4af1ff74</t>
  </si>
  <si>
    <t xml:space="preserve">ea3e442f23cdec8466ed34e2c1ed3940</t>
  </si>
  <si>
    <t xml:space="preserve">fcf56188d32e6dcd83bc9478dd6ac7b8</t>
  </si>
  <si>
    <t xml:space="preserve">af4b88ff1a58c6ae78ccd78887c84346</t>
  </si>
  <si>
    <t xml:space="preserve">ff630fac16acb78e1a617efe85d8cc08</t>
  </si>
  <si>
    <t xml:space="preserve">fbc02c385e55bd482b36b6f5a2b3ee1b</t>
  </si>
  <si>
    <t xml:space="preserve">b0f9245cc07571f260ad1181c52391f2</t>
  </si>
  <si>
    <t xml:space="preserve">20e5886663380b421887fa69eabd37da</t>
  </si>
  <si>
    <t xml:space="preserve">78ab2513e03db91863c279aacf674365</t>
  </si>
  <si>
    <t xml:space="preserve">984f541976b4c117210f0001d832c732</t>
  </si>
  <si>
    <t xml:space="preserve">a10e6d9e0c4ed3f422d30f667eeaf42d</t>
  </si>
  <si>
    <t xml:space="preserve">84b9cc5a409840ba9d00841e55d56d09</t>
  </si>
  <si>
    <t xml:space="preserve">55c34e893a233ea3618f9784bb813d30</t>
  </si>
  <si>
    <t xml:space="preserve">8849066e539d5223c48d276cacae8af8</t>
  </si>
  <si>
    <t xml:space="preserve">7c959cad75e7f5311e26bc3df514083e</t>
  </si>
  <si>
    <t xml:space="preserve">654102672e49a90421e78734960144c0</t>
  </si>
  <si>
    <t xml:space="preserve">01c5380ef470c29a8c042b51655f7974</t>
  </si>
  <si>
    <t xml:space="preserve">8d4f5d272c7f0b793d67cde92834e4c0</t>
  </si>
  <si>
    <t xml:space="preserve">f06c69d99339304b9a8cb3d728a5e34d</t>
  </si>
  <si>
    <t xml:space="preserve">d076ddad317e43a4ab16b1fd14ca728c</t>
  </si>
  <si>
    <t xml:space="preserve">473eed62073f1d9100c3f2673b38387c</t>
  </si>
  <si>
    <t xml:space="preserve">c378205f9d93615cae326c53ad9e9a10</t>
  </si>
  <si>
    <t xml:space="preserve">b2204f32e2028858161891b09e86e4e8</t>
  </si>
  <si>
    <t xml:space="preserve">13b2d1abf4e580aaf5504c5249d2cac0</t>
  </si>
  <si>
    <t xml:space="preserve">5d8447149c12d6f05cd1a96075d4a3be</t>
  </si>
  <si>
    <t xml:space="preserve">6bacd409ac97e3d1d303ad2d94e74902</t>
  </si>
  <si>
    <t xml:space="preserve">ebe5841fe9c96c52098c60b3efc9909e</t>
  </si>
  <si>
    <t xml:space="preserve">232a5e8226996aabdaaf7529deeff82a</t>
  </si>
  <si>
    <t xml:space="preserve">913767ab4dd85715753ff3e271fc5136</t>
  </si>
  <si>
    <t xml:space="preserve">c4844743cc8ba7603e3a0dfc5424aae4</t>
  </si>
  <si>
    <t xml:space="preserve">0f95e5dcec9f180364f3d80f88f51390</t>
  </si>
  <si>
    <t xml:space="preserve">87e92ea5bb1e7e3a21178e9f0b44af4d</t>
  </si>
  <si>
    <t xml:space="preserve">d4814780c6676b082a82007ab0ee1d54</t>
  </si>
  <si>
    <t xml:space="preserve">aa306b9de7f3072a86a59dc38b748936</t>
  </si>
  <si>
    <t xml:space="preserve">b963f37f67814c1fcc530e36addc3e13</t>
  </si>
  <si>
    <t xml:space="preserve">4140752caa44825950018b7b6d4067f4</t>
  </si>
  <si>
    <t xml:space="preserve">fc0f94cdc2ebbaa21ce370ed685707ac</t>
  </si>
  <si>
    <t xml:space="preserve">ae5714e8d29c0131d44260d25f116839</t>
  </si>
  <si>
    <t xml:space="preserve">44e057875550f4eaa86bf8b517ccb76c</t>
  </si>
  <si>
    <t xml:space="preserve">8c12d6ef31fab84d80dd80058abcb652</t>
  </si>
  <si>
    <t xml:space="preserve">4f2e8a0863b3dfd00ef90bcc8988266f</t>
  </si>
  <si>
    <t xml:space="preserve">8249dfeb36dd9d1e03f2d0479d8ac4b9</t>
  </si>
  <si>
    <t xml:space="preserve">038d1b68d440759a004c4600b79f9bc5</t>
  </si>
  <si>
    <t xml:space="preserve">bf3c4c06434308bc89fa6a688fb5d27b</t>
  </si>
  <si>
    <t xml:space="preserve">f73360946b2b78b985c7f3bed183010f</t>
  </si>
  <si>
    <t xml:space="preserve">b1123048e128b9a8d2f629cabbe277ba</t>
  </si>
  <si>
    <t xml:space="preserve">d11756d58c0dea8b3448a24723a86b61</t>
  </si>
  <si>
    <t xml:space="preserve">ce96cc5e574aa942415a51ff2fb2a0d7</t>
  </si>
  <si>
    <t xml:space="preserve">3f0cd8c9d98c9dc34b672fac298604bc</t>
  </si>
  <si>
    <t xml:space="preserve">161bbc030cb484d4aa008ba56420a286</t>
  </si>
  <si>
    <t xml:space="preserve">a2d43fa47bc3b7b175fdb0a01b8c674a</t>
  </si>
  <si>
    <t xml:space="preserve">0bbb259911ce5dd2b45ed1f03139d32c</t>
  </si>
  <si>
    <t xml:space="preserve">59f8068e1ce62a9f79af834810bbc60d</t>
  </si>
  <si>
    <t xml:space="preserve">82e9db99b4d94221e7c10651465fe8be</t>
  </si>
  <si>
    <t xml:space="preserve">87e5f0fe5da8d6d2f8b38a8be05fb8bc</t>
  </si>
  <si>
    <t xml:space="preserve">8b040f53e63949d447c68688ecf32053</t>
  </si>
  <si>
    <t xml:space="preserve">6a97cbce673659efaa1c5dcaf0c7915e</t>
  </si>
  <si>
    <t xml:space="preserve">a672d32f5c9f0999e869839a9a36e49e</t>
  </si>
  <si>
    <t xml:space="preserve">00e0d047015162f1e07fb7511a447ac6</t>
  </si>
  <si>
    <t xml:space="preserve">452273e7af8842ecac18a9c55f82366b</t>
  </si>
  <si>
    <t xml:space="preserve">84396fc0c26e27067c059799bdae8eff</t>
  </si>
  <si>
    <t xml:space="preserve">a3840e2b60b61367f46eb787ebaf89c7</t>
  </si>
  <si>
    <t xml:space="preserve">a91decb251a3d21bf4d1183f76f8ef17</t>
  </si>
  <si>
    <t xml:space="preserve">c4ecea3290389f81ae3dc742bef8004b</t>
  </si>
  <si>
    <t xml:space="preserve">e60d400fc3b1ef08ac8d8f321477b569</t>
  </si>
  <si>
    <t xml:space="preserve">3fa7d9548bfafb8c623c2c7160562765</t>
  </si>
  <si>
    <t xml:space="preserve">f21b76e3482202f966d78e18a3473f18</t>
  </si>
  <si>
    <t xml:space="preserve">9d7c24ce85d5bed90abdbcd1782ccfec</t>
  </si>
  <si>
    <t xml:space="preserve">d14c6d19ab441946935bcc84fd030266</t>
  </si>
  <si>
    <t xml:space="preserve">b056fa5a4317abe47f33922b11ed5768</t>
  </si>
  <si>
    <t xml:space="preserve">3c3dbcd8c7050c5b5eda2838c7b95bd9</t>
  </si>
  <si>
    <t xml:space="preserve">3733a7c56c2678a1bf52d94331bdd7de</t>
  </si>
  <si>
    <t xml:space="preserve">15d80f7157b536eab23f9a7ce7b3a985</t>
  </si>
  <si>
    <t xml:space="preserve">7def181800ab5064a05cefa3a454c767</t>
  </si>
  <si>
    <t xml:space="preserve">c1eecd7a2428185a461de0171ee92d3b</t>
  </si>
  <si>
    <t xml:space="preserve">8ea359f967e69ffe5decaa980e4df5f6</t>
  </si>
  <si>
    <t xml:space="preserve">a42000aae1f599ee55143e7e157706e6</t>
  </si>
  <si>
    <t xml:space="preserve">a80cb09564077b44e55531d8f94bb175</t>
  </si>
  <si>
    <t xml:space="preserve">513a7052986f90258f15ba58fce68504</t>
  </si>
  <si>
    <t xml:space="preserve">77cf1eb679fee842e4cc70656bd7f764</t>
  </si>
  <si>
    <t xml:space="preserve">035bd879eca0a912861c53de98e1e160</t>
  </si>
  <si>
    <t xml:space="preserve">e1754cefa24015d1c30b2db620958a69</t>
  </si>
  <si>
    <t xml:space="preserve">54a1a7a84133557c0e51bc13095b6295</t>
  </si>
  <si>
    <t xml:space="preserve">4ca3795517b022c72f5a756eb5b334c4</t>
  </si>
  <si>
    <t xml:space="preserve">661f7117dd926cbfc5583a17f70d78a0</t>
  </si>
  <si>
    <t xml:space="preserve">f47e3ca0723fd85ae57b084d2b0582e0</t>
  </si>
  <si>
    <t xml:space="preserve">3c7f1fd1d3e263471ac3396746997fc2</t>
  </si>
  <si>
    <t xml:space="preserve">148b119ef45e0a21579bd4244ae4eca0</t>
  </si>
  <si>
    <t xml:space="preserve">1443314bf5c19ff1069a4fb9be14a4b7</t>
  </si>
  <si>
    <t xml:space="preserve">2d6bc88272e588e94b4f3b2e318910ec</t>
  </si>
  <si>
    <t xml:space="preserve">35845d71b221e1c535b86d0a864f36dd</t>
  </si>
  <si>
    <t xml:space="preserve">27571245b884590288973a4a33b636dc</t>
  </si>
  <si>
    <t xml:space="preserve">1987e6d09a7171aa030492b3ced89c97</t>
  </si>
  <si>
    <t xml:space="preserve">1ddca90ae7215e6ce2eb022226c68746</t>
  </si>
  <si>
    <t xml:space="preserve">d93990b64835b19428130df9c82211cb</t>
  </si>
  <si>
    <t xml:space="preserve">ce3413ea1048fc1f5e69b168e3326293</t>
  </si>
  <si>
    <t xml:space="preserve">994a04ce23fcb5bdc74d9c9452b7e822</t>
  </si>
  <si>
    <t xml:space="preserve">937bd589e4e805bd1d44999bc4f094b2</t>
  </si>
  <si>
    <t xml:space="preserve">f480b91e700e0efce4ffc31a5b86ea69</t>
  </si>
  <si>
    <t xml:space="preserve">3c28f5dcd12daea8673d292060ee64ba</t>
  </si>
  <si>
    <t xml:space="preserve">970c9eb4c4ea4ece67b6e4679432d797</t>
  </si>
  <si>
    <t xml:space="preserve">998a05a877a7aed0fb5f5290b11c7dff</t>
  </si>
  <si>
    <t xml:space="preserve">fd81a9250bfa8cd57fa797087e7279ce</t>
  </si>
  <si>
    <t xml:space="preserve">05c5581054b728fa8a60b33299fb38a9</t>
  </si>
  <si>
    <t xml:space="preserve">f6969b4ba4888a3abbdf95735d911692</t>
  </si>
  <si>
    <t xml:space="preserve">c7b5b2bc5a8aaeca1a50aec3aabc25fa</t>
  </si>
  <si>
    <t xml:space="preserve">a3d889fae5a456d82541f181f29e225b</t>
  </si>
  <si>
    <t xml:space="preserve">e21e2ae41d3208dba28f57d05612ad53</t>
  </si>
  <si>
    <t xml:space="preserve">0c44c0fde13ce64d723e860e0ae35494</t>
  </si>
  <si>
    <t xml:space="preserve">74260100f76c703e129a98a865ed7ecc</t>
  </si>
  <si>
    <t xml:space="preserve">b1586f2cd283dfa3b90f0b18d6cef975</t>
  </si>
  <si>
    <t xml:space="preserve">c0b3713afe2b7fe8346030ec341b36b5</t>
  </si>
  <si>
    <t xml:space="preserve">1febf83d8e070c16fe590f3b92e32273</t>
  </si>
  <si>
    <t xml:space="preserve">bc441fbcedb68854baae905cc8594dfb</t>
  </si>
  <si>
    <t xml:space="preserve">f1c35294e61cf9a3e0acdb752326e3d0</t>
  </si>
  <si>
    <t xml:space="preserve">cb728b16d63151519c6723382c110a43</t>
  </si>
  <si>
    <t xml:space="preserve">78bf9e2300e2f562bea32d3485c8363f</t>
  </si>
  <si>
    <t xml:space="preserve">6b07fa47c279749be575eeb5a5ea0d8f</t>
  </si>
  <si>
    <t xml:space="preserve">1ca64c3330d867cd038d5f5a2296d3f6</t>
  </si>
  <si>
    <t xml:space="preserve">3de372e9114126afce70d3f7b190dea4</t>
  </si>
  <si>
    <t xml:space="preserve">61730c4848769153c68813fe52555c75</t>
  </si>
  <si>
    <t xml:space="preserve">9255273fed0940f792174fb08e6b3085</t>
  </si>
  <si>
    <t xml:space="preserve">04e1502aa76180c77d283421243f45fe</t>
  </si>
  <si>
    <t xml:space="preserve">fabdc4aaba5916c59de67f2c57bd9ee6</t>
  </si>
  <si>
    <t xml:space="preserve">938df7c1ab0b74fc99b06cf925dfa1fb</t>
  </si>
  <si>
    <t xml:space="preserve">c73e45170b4967db4344c2697a3d7b8e</t>
  </si>
  <si>
    <t xml:space="preserve">23ee5bf60b8f6f578c6af125c2e27bb9</t>
  </si>
  <si>
    <t xml:space="preserve">813ee22dc73e77c75d3325355d994b1e</t>
  </si>
  <si>
    <t xml:space="preserve">8ff4a938f59ca4ca2f5b98e8a86e5687</t>
  </si>
  <si>
    <t xml:space="preserve">9394af394789f07731d8ba9fc32d0d15</t>
  </si>
  <si>
    <t xml:space="preserve">8f9b72aed85c16bd6dda4f8dcea60f4c</t>
  </si>
  <si>
    <t xml:space="preserve">17d71fc0092cd030ee7576375c3552b3</t>
  </si>
  <si>
    <t xml:space="preserve">397bfdd7b8a1e477e240e0600b20802f</t>
  </si>
  <si>
    <t xml:space="preserve">82550a9fdb727254ef022c922262dad8</t>
  </si>
  <si>
    <t xml:space="preserve">ff7d485c050fd4d670fe4ca28cec3149</t>
  </si>
  <si>
    <t xml:space="preserve">d02191ac5f0fdbea2801461d9ee2e829</t>
  </si>
  <si>
    <t xml:space="preserve">4d5116cd6983e150ad6bdc9b613d98d2</t>
  </si>
  <si>
    <t xml:space="preserve">dea124706620c29e6cadb4c10f782400</t>
  </si>
  <si>
    <t xml:space="preserve">3d1a85dd506e5a9ab758588dab73295b</t>
  </si>
  <si>
    <t xml:space="preserve">aa53c19cdfa4bb9f5a856750692ac139</t>
  </si>
  <si>
    <t xml:space="preserve">b362c0d264988bdecd0254dbed1115d7</t>
  </si>
  <si>
    <t xml:space="preserve">bbdb453692ef63c1781f9d3fe7f339dc</t>
  </si>
  <si>
    <t xml:space="preserve">05bcde63f667a91a71c7ebf1f9dbe07e</t>
  </si>
  <si>
    <t xml:space="preserve">5b4ee0c5cf663bc3f8c3dfcaf1df46a0</t>
  </si>
  <si>
    <t xml:space="preserve">38f1f1abcb170945be88f8e4143dbd6c</t>
  </si>
  <si>
    <t xml:space="preserve">7f5ac17aa926550e5995e5f44c8545c1</t>
  </si>
  <si>
    <t xml:space="preserve">eeec175d877236d0c39b7cb2b9e1aa73</t>
  </si>
  <si>
    <t xml:space="preserve">af84add6c463190a99cfc5aa36deece6</t>
  </si>
  <si>
    <t xml:space="preserve">c052aeb5b2764db848d9548ec87ce81d</t>
  </si>
  <si>
    <t xml:space="preserve">d963dc7205c8234b1d763a66b5f59cb0</t>
  </si>
  <si>
    <t xml:space="preserve">b7b24f20592cfe25b858e2033a52b383</t>
  </si>
  <si>
    <t xml:space="preserve">fd91aa631ca42a3ce177105f6b4203f7</t>
  </si>
  <si>
    <t xml:space="preserve">8fe5bfbed66ec8bcd75ca92da65a158b</t>
  </si>
  <si>
    <t xml:space="preserve">ceae1325ea074d80ba236c22e92a7b97</t>
  </si>
  <si>
    <t xml:space="preserve">1c99d366c8b62c18c355853eb0d9751c</t>
  </si>
  <si>
    <t xml:space="preserve">62a53193a6a1cc2b0ec5bad7b24ae6e3</t>
  </si>
  <si>
    <t xml:space="preserve">a302db2f41deca4c625cade5dbf11941</t>
  </si>
  <si>
    <t xml:space="preserve">d5b706606f768057af921b4981acc280</t>
  </si>
  <si>
    <t xml:space="preserve">5596eef92c2e53573e0420265733fba4</t>
  </si>
  <si>
    <t xml:space="preserve">1bad52a8a976dc4d0c472187fea35d37</t>
  </si>
  <si>
    <t xml:space="preserve">30b1b67b2771a42280038f26e7ab2ef7</t>
  </si>
  <si>
    <t xml:space="preserve">3c15ae1fefda21b2ecedf328e669dd22</t>
  </si>
  <si>
    <t xml:space="preserve">258ce9b4c76892ba4b7ea28d264af6f3</t>
  </si>
  <si>
    <t xml:space="preserve">dda23bfd274770a19f29f7dfd5e97619</t>
  </si>
  <si>
    <t xml:space="preserve">18ecde2b0a802167f4b3f20eaed0fb57</t>
  </si>
  <si>
    <t xml:space="preserve">e03d1b30adcde95f6f91a7be905c3fd9</t>
  </si>
  <si>
    <t xml:space="preserve">6633427e4feeea91800314a89c7ab4e3</t>
  </si>
  <si>
    <t xml:space="preserve">250a8bc0ef19117fa452cdef827b8c89</t>
  </si>
  <si>
    <t xml:space="preserve">dd3f1d3b796f32661802728004221ae9</t>
  </si>
  <si>
    <t xml:space="preserve">82ace0dced3f3aff82377bd087e555c1</t>
  </si>
  <si>
    <t xml:space="preserve">6a5a2d72af344e9d6ad14f029dd01cdb</t>
  </si>
  <si>
    <t xml:space="preserve">9b0aec9485993420198aed065bf64136</t>
  </si>
  <si>
    <t xml:space="preserve">36d55494f37fd50d2e25b5ee4f11d8dc</t>
  </si>
  <si>
    <t xml:space="preserve">ad371d9e92cf60211f33242d49ac9087</t>
  </si>
  <si>
    <t xml:space="preserve">a80494630d36f5e492a6f3e62b48c6e6</t>
  </si>
  <si>
    <t xml:space="preserve">f50f64a5971965f5239a6d42d2add2a6</t>
  </si>
  <si>
    <t xml:space="preserve">b869cac87d3843c0970189aaab607bb0</t>
  </si>
  <si>
    <t xml:space="preserve">b962c8a7b076a7dcfd0ce433ca5e151b</t>
  </si>
  <si>
    <t xml:space="preserve">7397d1a1f641940591cbbc49542ef29e</t>
  </si>
  <si>
    <t xml:space="preserve">1b912adc833334f66a6a01490b44676d</t>
  </si>
  <si>
    <t xml:space="preserve">ba99267edca2103316ec34b5cf6ad43f</t>
  </si>
  <si>
    <t xml:space="preserve">7862fa7d413853212c11e260f74fe2b9</t>
  </si>
  <si>
    <t xml:space="preserve">4c5fccfb14eae37c67b2916c461ea8aa</t>
  </si>
  <si>
    <t xml:space="preserve">4eb18c8843b63613a89f5f9de12def58</t>
  </si>
  <si>
    <t xml:space="preserve">572398eb46f8d2033b816a017b3d2792</t>
  </si>
  <si>
    <t xml:space="preserve">8989c5abfe2b34d82db0728d1e5ebe54</t>
  </si>
  <si>
    <t xml:space="preserve">5a07d758b357f3f9b4157cea07388ba4</t>
  </si>
  <si>
    <t xml:space="preserve">65ebd4dcb49b4b72c6319c165827bc1d</t>
  </si>
  <si>
    <t xml:space="preserve">bb4ccb141cc0b764b06befca56b405d7</t>
  </si>
  <si>
    <t xml:space="preserve">40f66fdeea7255845e6e187ae939f790</t>
  </si>
  <si>
    <t xml:space="preserve">03acc634296da4cd431b011f6f90d9af</t>
  </si>
  <si>
    <t xml:space="preserve">62a5aa212b3fde5dd8b4d672212552fa</t>
  </si>
  <si>
    <t xml:space="preserve">f35977e1f1cdf51a72f4c4b3453a2e55</t>
  </si>
  <si>
    <t xml:space="preserve">dbab22799ef301a6db37872300f2f636</t>
  </si>
  <si>
    <t xml:space="preserve">9cf5fe1644aa1ea739595bb255ab4e6d</t>
  </si>
  <si>
    <t xml:space="preserve">a247541dc8ad0899b630794d6147adeb</t>
  </si>
  <si>
    <t xml:space="preserve">bbfbf76c3de667f9bfc46c0eacdfe0ff</t>
  </si>
  <si>
    <t xml:space="preserve">a5500af12777a40bcff716adb85f20e5</t>
  </si>
  <si>
    <t xml:space="preserve">3aa066940610c42dc0241ac149d83188</t>
  </si>
  <si>
    <t xml:space="preserve">f01a50979ed0fe5fb3bc57914882f6eb</t>
  </si>
  <si>
    <t xml:space="preserve">b54c54f93c7bfe7e8b95e8ea80709d95</t>
  </si>
  <si>
    <t xml:space="preserve">05c62ffa79f61159020bf53bdfbc2770</t>
  </si>
  <si>
    <t xml:space="preserve">36c87c6c77b42cd65fc487a2a61149c9</t>
  </si>
  <si>
    <t xml:space="preserve">9bdf90f2ba2c0f19f0b2a5d18c7e6f42</t>
  </si>
  <si>
    <t xml:space="preserve">bcdf83028c37e264d03cd20abaaeebf8</t>
  </si>
  <si>
    <t xml:space="preserve">ce8b76a2082f2fb980e3fe4fe4fb2a3b</t>
  </si>
  <si>
    <t xml:space="preserve">434a184284d8ec6a7d5887a5a5548394</t>
  </si>
  <si>
    <t xml:space="preserve">bd1e9e72fc1b321783eb9e95d8910c36</t>
  </si>
  <si>
    <t xml:space="preserve">93403faddc4ad56bd6016237ac9ed156</t>
  </si>
  <si>
    <t xml:space="preserve">ff138c80c398c3320e500785bcaff931</t>
  </si>
  <si>
    <t xml:space="preserve">64ad19050fbc63776f1f5c6a2a112eab</t>
  </si>
  <si>
    <t xml:space="preserve">c3ab6793e30065bbe282338d27ae500a</t>
  </si>
  <si>
    <t xml:space="preserve">427288fd5513a16e2c39e3ba90080708</t>
  </si>
  <si>
    <t xml:space="preserve">14559383e4465eb17621a04369624b67</t>
  </si>
  <si>
    <t xml:space="preserve">23c8afdb83f82f16e4a4474c9b33e3a4</t>
  </si>
  <si>
    <t xml:space="preserve">fa84bb5ffa6e3743fef97d573c77ea4a</t>
  </si>
  <si>
    <t xml:space="preserve">6d8ec7578e562fbe7a9dbea0415b4add</t>
  </si>
  <si>
    <t xml:space="preserve">915fcf53d83a7dd5035d34696889bfad</t>
  </si>
  <si>
    <t xml:space="preserve">1927e3d444081f94b632b54af1984c95</t>
  </si>
  <si>
    <t xml:space="preserve">377803943700e36338bb7df49a28538b</t>
  </si>
  <si>
    <t xml:space="preserve">3f64e5eebccd9b8c8508df9160aeb372</t>
  </si>
  <si>
    <t xml:space="preserve">0d0b6920dd460c9117478b5c331bd602</t>
  </si>
  <si>
    <t xml:space="preserve">dbb464a3cec79642a13a9da294e7eb2a</t>
  </si>
  <si>
    <t xml:space="preserve">ca7cd927ef5e0d74fe2e7c0f1c68a614</t>
  </si>
  <si>
    <t xml:space="preserve">476a3991aebef7a28521e25e96fbcb7e</t>
  </si>
  <si>
    <t xml:space="preserve">f5020e2a7ecfc2269a9a9f1b8345d6d3</t>
  </si>
  <si>
    <t xml:space="preserve">d7b42669d42cef0517fc87fdaaa54056</t>
  </si>
  <si>
    <t xml:space="preserve">438806fe68f06068e087e25945071307</t>
  </si>
  <si>
    <t xml:space="preserve">2a9a762526d5db2f74b6f65aca4dbfd6</t>
  </si>
  <si>
    <t xml:space="preserve">c4e775b92dca365a2504fd28de6ae459</t>
  </si>
  <si>
    <t xml:space="preserve">00828826309a11ec706eb43a89e23a88</t>
  </si>
  <si>
    <t xml:space="preserve">b2f4f8d562f87a477ac15877aaeadea2</t>
  </si>
  <si>
    <t xml:space="preserve">c9d91a56a28b2e14450732a850924b7f</t>
  </si>
  <si>
    <t xml:space="preserve">a1bde1ac83d2863ef5736bb82c762354</t>
  </si>
  <si>
    <t xml:space="preserve">76c5a0dc7e7e7419a0c14035c5d95f51</t>
  </si>
  <si>
    <t xml:space="preserve">8c1c8b0556771f3648998e5fd40e53ce</t>
  </si>
  <si>
    <t xml:space="preserve">b0416f19bbe718354e8bf78a60ddc7f1</t>
  </si>
  <si>
    <t xml:space="preserve">0eecc013b55beaaacb53f0be5e7b4866</t>
  </si>
  <si>
    <t xml:space="preserve">a01d9aeb52060f1c630bf0db1454578f</t>
  </si>
  <si>
    <t xml:space="preserve">1bc471612ff79a573183eab07b2413e8</t>
  </si>
  <si>
    <t xml:space="preserve">0ee503e3298d4c456407675048107252</t>
  </si>
  <si>
    <t xml:space="preserve">c04cf6e6cf6d28c3f661cfdb7537fb16</t>
  </si>
  <si>
    <t xml:space="preserve">0c9f82ada7f57ee05f2090333608428a</t>
  </si>
  <si>
    <t xml:space="preserve">fe4cb3d1c2980d476902ad0571ae55b1</t>
  </si>
  <si>
    <t xml:space="preserve">7ba13fe95ab5cea8b2f1c6db6b405218</t>
  </si>
  <si>
    <t xml:space="preserve">b83cfe0be037e5edb8db0672f42d47cc</t>
  </si>
  <si>
    <t xml:space="preserve">51b3ccf588433a3846d28109495c7ac8</t>
  </si>
  <si>
    <t xml:space="preserve">90e9e294a5dd2836e65fa9fac38c2eaf</t>
  </si>
  <si>
    <t xml:space="preserve">ee1595cf35a37765bfacc63e44de950f</t>
  </si>
  <si>
    <t xml:space="preserve">de7721561f76043f9a16b8530692fe02</t>
  </si>
  <si>
    <t xml:space="preserve">16f0c19ca894b11eabb558e1cb9a6ed5</t>
  </si>
  <si>
    <t xml:space="preserve">5a71504b8380d39722212e52d6e38103</t>
  </si>
  <si>
    <t xml:space="preserve">138bfe045dd0e7a4eb2e2b86341c3b08</t>
  </si>
  <si>
    <t xml:space="preserve">26a4850d1a6b88d2cad75ebe91694fbb</t>
  </si>
  <si>
    <t xml:space="preserve">36eff2015656b5f91c6a16e051cb3f06</t>
  </si>
  <si>
    <t xml:space="preserve">fbff1829aea3798b00bd204e32714f01</t>
  </si>
  <si>
    <t xml:space="preserve">f01919d0bc72873246e53c2963ce0666</t>
  </si>
  <si>
    <t xml:space="preserve">5cacd5a685fad950636ba8a3e50ef872</t>
  </si>
  <si>
    <t xml:space="preserve">622ecdaf5a0763a1449aa2841415c20e</t>
  </si>
  <si>
    <t xml:space="preserve">818edbdfb4c0b8dee9f502a099472966</t>
  </si>
  <si>
    <t xml:space="preserve">9c68253fa654b58b3aecf60f341fe701</t>
  </si>
  <si>
    <t xml:space="preserve">d20eac174e20fd1a598336e375d66ed4</t>
  </si>
  <si>
    <t xml:space="preserve">aab97e494f2d479681d2c7de4ce1eb90</t>
  </si>
  <si>
    <t xml:space="preserve">0a398bf727a158a0efffa2f4b5ae329d</t>
  </si>
  <si>
    <t xml:space="preserve">045fea04d2d07acf7f1e6dcc955d8f95</t>
  </si>
  <si>
    <t xml:space="preserve">de8e2646477ab8874ae3ba943020366c</t>
  </si>
  <si>
    <t xml:space="preserve">8ca0a958e0005105417d4986aeefc38e</t>
  </si>
  <si>
    <t xml:space="preserve">f90fb6e4e15052f351958000c3f38c8c</t>
  </si>
  <si>
    <t xml:space="preserve">4d26657479ea5621661423a776c9aeb2</t>
  </si>
  <si>
    <t xml:space="preserve">0acfc6ac7d9704fe8dca39084a1a4219</t>
  </si>
  <si>
    <t xml:space="preserve">b14d53b0c7f7040b87184322743c6de6</t>
  </si>
  <si>
    <t xml:space="preserve">c1bac834caec1d2d63a7bc90da7f624b</t>
  </si>
  <si>
    <t xml:space="preserve">e585fc3d7bf7202ebd86a1abc16f5ca3</t>
  </si>
  <si>
    <t xml:space="preserve">76bd0773d805ee6a2d916caf9c446194</t>
  </si>
  <si>
    <t xml:space="preserve">0a37409cbb3c0b49bd08ce57f094dfd0</t>
  </si>
  <si>
    <t xml:space="preserve">f5a0cc2427d26d0cdc7a85e605d9c4d3</t>
  </si>
  <si>
    <t xml:space="preserve">0ed2ec9d3d175712d8b22277f413db19</t>
  </si>
  <si>
    <t xml:space="preserve">a7e292992bf6d9150367ee2c1ddea07d</t>
  </si>
  <si>
    <t xml:space="preserve">618e72a78d34dd8374629fb5c6e19fd7</t>
  </si>
  <si>
    <t xml:space="preserve">3b6a38cfe0df542da5b813c29619cf44</t>
  </si>
  <si>
    <t xml:space="preserve">c0ff979ebd29e827e0f2d1dc6b55ae42</t>
  </si>
  <si>
    <t xml:space="preserve">b2becd65b9f5f9037af1834d4bd814a2</t>
  </si>
  <si>
    <t xml:space="preserve">c17c0907500ac7b55b83c0a6d42c0ff9</t>
  </si>
  <si>
    <t xml:space="preserve">c3f725feb99b2b5ae00da49deffa2002</t>
  </si>
  <si>
    <t xml:space="preserve">dd7f57d1e45def2675eb0e8fa090360d</t>
  </si>
  <si>
    <t xml:space="preserve">d8718196093c3582037df82ef0a4be8a</t>
  </si>
  <si>
    <t xml:space="preserve">181d8b09d455b87e932290235a995017</t>
  </si>
  <si>
    <t xml:space="preserve">12476f57a5e5a5abaefcfad8efc89849</t>
  </si>
  <si>
    <t xml:space="preserve">e1446b45af390a9ddcd1c4130760801f</t>
  </si>
  <si>
    <t xml:space="preserve">3d9580611c36036fbeba06191b6fb706</t>
  </si>
  <si>
    <t xml:space="preserve">7b1634537042eb9e061285a7b6fac9b9</t>
  </si>
  <si>
    <t xml:space="preserve">f5fe9cc4c120478451e50918df04ea9f</t>
  </si>
  <si>
    <t xml:space="preserve">5c922fa4352b6689a39cd7300f6206f1</t>
  </si>
  <si>
    <t xml:space="preserve">9d27d39d0593b210b3c052a851cfc712</t>
  </si>
  <si>
    <t xml:space="preserve">aecc015aececb339a064c0ccbd279fd8</t>
  </si>
  <si>
    <t xml:space="preserve">73b9c2ac0134e76b0ed9fa95a26e865b</t>
  </si>
  <si>
    <t xml:space="preserve">8f31bf2ea4d78f641fb026cca5292f56</t>
  </si>
  <si>
    <t xml:space="preserve">66edef302fa80808b8f16861e3e3e73b</t>
  </si>
  <si>
    <t xml:space="preserve">728471562e8ca6bf9268b5df95bb6e09</t>
  </si>
  <si>
    <t xml:space="preserve">e60584a208f548e7c53bcc3a4c26fd27</t>
  </si>
  <si>
    <t xml:space="preserve">a7f9ead24fc1c667d9321ab30c2cef31</t>
  </si>
  <si>
    <t xml:space="preserve">188e56daafac70bc051ee74af195321d</t>
  </si>
  <si>
    <t xml:space="preserve">9578ce6b2cac5acd4b70a26c01426da5</t>
  </si>
  <si>
    <t xml:space="preserve">90060c5ae0c6dd6365791c663209256b</t>
  </si>
  <si>
    <t xml:space="preserve">e5f5c8914be318a80b39dccf7c9f3bc3</t>
  </si>
  <si>
    <t xml:space="preserve">b9dac7798079cdc9665e467fe1bb7399</t>
  </si>
  <si>
    <t xml:space="preserve">4dce488da55c67bd5ca4a0983551bf83</t>
  </si>
  <si>
    <t xml:space="preserve">66bd7b2feedab4fe4cfa768713791994</t>
  </si>
  <si>
    <t xml:space="preserve">Assumptions &amp; Notes</t>
  </si>
  <si>
    <t xml:space="preserve">Share of freight absorbed by the platform</t>
  </si>
  <si>
    <t xml:space="preserve">Assumption (editable): Olist data has no cost data, so this is my modelling input.</t>
  </si>
  <si>
    <t xml:space="preserve">Cost of goods as % of price, by category (assumed)</t>
  </si>
  <si>
    <t xml:space="preserve">Category</t>
  </si>
  <si>
    <t xml:space="preserve">Cost Ratio</t>
  </si>
  <si>
    <t xml:space="preserve">Legend: blue text / yellow fill = editable input. Change it and every sheet recalculates.</t>
  </si>
  <si>
    <t xml:space="preserve">Data note: this workbook uses a 2,000-order SAMPLE with the same column structure as the Olist Brazilian</t>
  </si>
  <si>
    <t xml:space="preserve">E-Commerce dataset (Kaggle). Replace the Data sheet (columns A-K) with real Olist rows and all formulas update.</t>
  </si>
  <si>
    <t xml:space="preserve">Profit = Price - COGS (price x category cost ratio) - absorbed freight (freight x absorb %).</t>
  </si>
  <si>
    <t xml:space="preserve">Only delivered orders are included.</t>
  </si>
  <si>
    <t xml:space="preserve">Sales &amp; Delivery Analysis by State</t>
  </si>
  <si>
    <t xml:space="preserve">All figures are formulas on the Data sheet (COUNTIFS / SUMIFS / AVERAGEIFS / RANK).</t>
  </si>
  <si>
    <t xml:space="preserve">State</t>
  </si>
  <si>
    <t xml:space="preserve">Order Share</t>
  </si>
  <si>
    <t xml:space="preserve">Profit / Order</t>
  </si>
  <si>
    <t xml:space="preserve">Avg Order Value</t>
  </si>
  <si>
    <t xml:space="preserve">Avg Freight</t>
  </si>
  <si>
    <t xml:space="preserve">Volume Rank</t>
  </si>
  <si>
    <t xml:space="preserve">Margin Rank</t>
  </si>
  <si>
    <t xml:space="preserve">Rank Gap</t>
  </si>
  <si>
    <t xml:space="preserve">Insight Flag</t>
  </si>
  <si>
    <t xml:space="preserve">Total / Avg</t>
  </si>
  <si>
    <t xml:space="preserve">Rank Gap = Margin Rank - Volume Rank. A large positive gap means high order volume but weak profitability.</t>
  </si>
  <si>
    <t xml:space="preserve">Monthly Sales Trend</t>
  </si>
  <si>
    <t xml:space="preserve">Month list uses EDATE; moving average, MoM growth and cumulative revenue are formulas.</t>
  </si>
  <si>
    <t xml:space="preserve">Month</t>
  </si>
  <si>
    <t xml:space="preserve">MoM Order Growth</t>
  </si>
  <si>
    <t xml:space="preserve">3-Mo Moving Avg Orders</t>
  </si>
  <si>
    <t xml:space="preserve">Cumulative Revenue</t>
  </si>
  <si>
    <t xml:space="preserve">Flag</t>
  </si>
  <si>
    <t xml:space="preserve">Delivery Performance Analysis</t>
  </si>
  <si>
    <t xml:space="preserve">Section 1: delivery-time buckets. Section 2: on-time vs late. Section 3: bottleneck states.</t>
  </si>
  <si>
    <t xml:space="preserve">Delivery Time Bucket</t>
  </si>
  <si>
    <t xml:space="preserve">Share of Orders</t>
  </si>
  <si>
    <t xml:space="preserve">Avg Profit / Order</t>
  </si>
  <si>
    <t xml:space="preserve">Late %</t>
  </si>
  <si>
    <t xml:space="preserve">0-7 days</t>
  </si>
  <si>
    <t xml:space="preserve">8-14 days</t>
  </si>
  <si>
    <t xml:space="preserve">15-21 days</t>
  </si>
  <si>
    <t xml:space="preserve">22+ days</t>
  </si>
  <si>
    <t xml:space="preserve">Delivery Status</t>
  </si>
  <si>
    <t xml:space="preserve">Avg Delay (days)</t>
  </si>
  <si>
    <t xml:space="preserve">On-time</t>
  </si>
  <si>
    <t xml:space="preserve">Late</t>
  </si>
  <si>
    <t xml:space="preserve">Review score drop when late</t>
  </si>
  <si>
    <t xml:space="preserve">Avg Delay of Late Orders</t>
  </si>
  <si>
    <t xml:space="preserve">Bottleneck Rating</t>
  </si>
  <si>
    <t xml:space="preserve">All-state average</t>
  </si>
  <si>
    <t xml:space="preserve">Bottleneck rating: High = avg delivery time 25%+ above the overall average; Medium = above average.</t>
  </si>
  <si>
    <t xml:space="preserve">Product Category Analysis</t>
  </si>
  <si>
    <t xml:space="preserve">Cost ratios are pulled from the Assumptions sheet with INDEX/MATCH.</t>
  </si>
  <si>
    <t xml:space="preserve">Avg Price</t>
  </si>
  <si>
    <t xml:space="preserve">Avg Review</t>
  </si>
  <si>
    <t xml:space="preserve">Profit Rank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</si>
</sst>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@"/>
    <numFmt numFmtId="170" formatCode="mmm\-yyyy"/>
    <numFmt numFmtId="171" formatCode="0"/>
    <numFmt numFmtId="172" formatCode="0%"/>
    <numFmt numFmtId="173" formatCode="yyyy\-mm\-dd"/>
    <numFmt numFmtId="174" formatCode="#,##0.00"/>
    <numFmt numFmtId="175" formatCode="mmm\-yy"/>
    <numFmt numFmtId="17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A7EBB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'State Analysis'!B4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Analysis'!$B$5:$B$16</c:f>
              <c:numCache>
                <c:formatCode>#,##0</c:formatCode>
                <c:ptCount val="12"/>
                <c:pt idx="0">
                  <c:v>909</c:v>
                </c:pt>
                <c:pt idx="1">
                  <c:v>252</c:v>
                </c:pt>
                <c:pt idx="2">
                  <c:v>241</c:v>
                </c:pt>
                <c:pt idx="3">
                  <c:v>110</c:v>
                </c:pt>
                <c:pt idx="4">
                  <c:v>115</c:v>
                </c:pt>
                <c:pt idx="5">
                  <c:v>96</c:v>
                </c:pt>
                <c:pt idx="6">
                  <c:v>65</c:v>
                </c:pt>
                <c:pt idx="7">
                  <c:v>52</c:v>
                </c:pt>
                <c:pt idx="8">
                  <c:v>60</c:v>
                </c:pt>
                <c:pt idx="9">
                  <c:v>33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</c:ser>
        <c:gapWidth val="150"/>
        <c:overlap val="0"/>
        <c:axId val="80788142"/>
        <c:axId val="24996502"/>
      </c:barChart>
      <c:catAx>
        <c:axId val="80788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96502"/>
        <c:crosses val="autoZero"/>
        <c:auto val="1"/>
        <c:lblAlgn val="ctr"/>
        <c:lblOffset val="100"/>
        <c:noMultiLvlLbl val="0"/>
      </c:catAx>
      <c:valAx>
        <c:axId val="24996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88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'State Analysis'!F4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Analysis'!$F$5:$F$16</c:f>
              <c:numCache>
                <c:formatCode>0.0%</c:formatCode>
                <c:ptCount val="12"/>
                <c:pt idx="0">
                  <c:v>0.218398509528564</c:v>
                </c:pt>
                <c:pt idx="1">
                  <c:v>0.169882557002095</c:v>
                </c:pt>
                <c:pt idx="2">
                  <c:v>0.176730539172897</c:v>
                </c:pt>
                <c:pt idx="3">
                  <c:v>0.174865611425255</c:v>
                </c:pt>
                <c:pt idx="4">
                  <c:v>0.187475072660291</c:v>
                </c:pt>
                <c:pt idx="5">
                  <c:v>0.190488110007426</c:v>
                </c:pt>
                <c:pt idx="6">
                  <c:v>0.113341977246833</c:v>
                </c:pt>
                <c:pt idx="7">
                  <c:v>0.199710683784001</c:v>
                </c:pt>
                <c:pt idx="8">
                  <c:v>0.179285491616154</c:v>
                </c:pt>
                <c:pt idx="9">
                  <c:v>0.167673383311941</c:v>
                </c:pt>
                <c:pt idx="10">
                  <c:v>0.120592434522451</c:v>
                </c:pt>
                <c:pt idx="11">
                  <c:v>0.13515556186275</c:v>
                </c:pt>
              </c:numCache>
            </c:numRef>
          </c:val>
        </c:ser>
        <c:gapWidth val="150"/>
        <c:overlap val="0"/>
        <c:axId val="10849323"/>
        <c:axId val="34397051"/>
      </c:barChart>
      <c:catAx>
        <c:axId val="10849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97051"/>
        <c:crosses val="autoZero"/>
        <c:auto val="1"/>
        <c:lblAlgn val="ctr"/>
        <c:lblOffset val="100"/>
        <c:noMultiLvlLbl val="0"/>
      </c:catAx>
      <c:valAx>
        <c:axId val="34397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49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Days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'State Analysis'!J4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Analysis'!$A$5:$A$16</c:f>
              <c:strCache>
                <c:ptCount val="12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</c:strCache>
            </c:strRef>
          </c:cat>
          <c:val>
            <c:numRef>
              <c:f>'State Analysis'!$J$5:$J$16</c:f>
              <c:numCache>
                <c:formatCode>0.0</c:formatCode>
                <c:ptCount val="12"/>
                <c:pt idx="0">
                  <c:v>8.65676567656766</c:v>
                </c:pt>
                <c:pt idx="1">
                  <c:v>16.3214285714286</c:v>
                </c:pt>
                <c:pt idx="2">
                  <c:v>12.5394190871369</c:v>
                </c:pt>
                <c:pt idx="3">
                  <c:v>16.3636363636364</c:v>
                </c:pt>
                <c:pt idx="4">
                  <c:v>13.1652173913043</c:v>
                </c:pt>
                <c:pt idx="5">
                  <c:v>14.7916666666667</c:v>
                </c:pt>
                <c:pt idx="6">
                  <c:v>20.2307692307692</c:v>
                </c:pt>
                <c:pt idx="7">
                  <c:v>13.6730769230769</c:v>
                </c:pt>
                <c:pt idx="8">
                  <c:v>17.7</c:v>
                </c:pt>
                <c:pt idx="9">
                  <c:v>15.969696969697</c:v>
                </c:pt>
                <c:pt idx="10">
                  <c:v>23.5</c:v>
                </c:pt>
                <c:pt idx="11">
                  <c:v>22.4</c:v>
                </c:pt>
              </c:numCache>
            </c:numRef>
          </c:val>
        </c:ser>
        <c:gapWidth val="150"/>
        <c:overlap val="0"/>
        <c:axId val="95087849"/>
        <c:axId val="95711776"/>
      </c:barChart>
      <c:catAx>
        <c:axId val="95087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11776"/>
        <c:crosses val="autoZero"/>
        <c:auto val="1"/>
        <c:lblAlgn val="ctr"/>
        <c:lblOffset val="100"/>
        <c:noMultiLvlLbl val="0"/>
      </c:catAx>
      <c:valAx>
        <c:axId val="95711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87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Trend'!$A$5:$A$24</c:f>
              <c:strCache>
                <c:ptCount val="20"/>
                <c:pt idx="0">
                  <c:v>Jan-17</c:v>
                </c:pt>
                <c:pt idx="1">
                  <c:v>Feb-17</c:v>
                </c:pt>
                <c:pt idx="2">
                  <c:v>Mar-17</c:v>
                </c:pt>
                <c:pt idx="3">
                  <c:v>Apr-17</c:v>
                </c:pt>
                <c:pt idx="4">
                  <c:v>May-17</c:v>
                </c:pt>
                <c:pt idx="5">
                  <c:v>Jun-17</c:v>
                </c:pt>
                <c:pt idx="6">
                  <c:v>Jul-17</c:v>
                </c:pt>
                <c:pt idx="7">
                  <c:v>Aug-17</c:v>
                </c:pt>
                <c:pt idx="8">
                  <c:v>Sep-17</c:v>
                </c:pt>
                <c:pt idx="9">
                  <c:v>Oct-17</c:v>
                </c:pt>
                <c:pt idx="10">
                  <c:v>Nov-17</c:v>
                </c:pt>
                <c:pt idx="11">
                  <c:v>Dec-17</c:v>
                </c:pt>
                <c:pt idx="12">
                  <c:v>Jan-18</c:v>
                </c:pt>
                <c:pt idx="13">
                  <c:v>Feb-18</c:v>
                </c:pt>
                <c:pt idx="14">
                  <c:v>Mar-18</c:v>
                </c:pt>
                <c:pt idx="15">
                  <c:v>Apr-18</c:v>
                </c:pt>
                <c:pt idx="16">
                  <c:v>May-18</c:v>
                </c:pt>
                <c:pt idx="17">
                  <c:v>Jun-18</c:v>
                </c:pt>
                <c:pt idx="18">
                  <c:v>Jul-18</c:v>
                </c:pt>
                <c:pt idx="19">
                  <c:v>Aug-18</c:v>
                </c:pt>
              </c:strCache>
            </c:strRef>
          </c:cat>
          <c:val>
            <c:numRef>
              <c:f>'Monthly Trend'!$C$5:$C$24</c:f>
              <c:numCache>
                <c:formatCode>#,##0</c:formatCode>
                <c:ptCount val="20"/>
                <c:pt idx="0">
                  <c:v>2172.54</c:v>
                </c:pt>
                <c:pt idx="1">
                  <c:v>3758.18</c:v>
                </c:pt>
                <c:pt idx="2">
                  <c:v>2771.36</c:v>
                </c:pt>
                <c:pt idx="3">
                  <c:v>6716.63</c:v>
                </c:pt>
                <c:pt idx="4">
                  <c:v>6607.42</c:v>
                </c:pt>
                <c:pt idx="5">
                  <c:v>7950.55</c:v>
                </c:pt>
                <c:pt idx="6">
                  <c:v>11224.26</c:v>
                </c:pt>
                <c:pt idx="7">
                  <c:v>11209.59</c:v>
                </c:pt>
                <c:pt idx="8">
                  <c:v>9815</c:v>
                </c:pt>
                <c:pt idx="9">
                  <c:v>12961.28</c:v>
                </c:pt>
                <c:pt idx="10">
                  <c:v>22385.65</c:v>
                </c:pt>
                <c:pt idx="11">
                  <c:v>17841.41</c:v>
                </c:pt>
                <c:pt idx="12">
                  <c:v>14582.56</c:v>
                </c:pt>
                <c:pt idx="13">
                  <c:v>15315.65</c:v>
                </c:pt>
                <c:pt idx="14">
                  <c:v>17123.16</c:v>
                </c:pt>
                <c:pt idx="15">
                  <c:v>16952.45</c:v>
                </c:pt>
                <c:pt idx="16">
                  <c:v>17742.95</c:v>
                </c:pt>
                <c:pt idx="17">
                  <c:v>20909.41</c:v>
                </c:pt>
                <c:pt idx="18">
                  <c:v>21264.66</c:v>
                </c:pt>
                <c:pt idx="19">
                  <c:v>25620.95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722432"/>
        <c:axId val="97524468"/>
      </c:lineChart>
      <c:catAx>
        <c:axId val="917224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24468"/>
        <c:crosses val="autoZero"/>
        <c:auto val="1"/>
        <c:lblAlgn val="ctr"/>
        <c:lblOffset val="100"/>
        <c:noMultiLvlLbl val="0"/>
      </c:catAx>
      <c:valAx>
        <c:axId val="97524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22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Trend'!$A$5:$A$24</c:f>
              <c:strCache>
                <c:ptCount val="20"/>
                <c:pt idx="0">
                  <c:v>Jan-17</c:v>
                </c:pt>
                <c:pt idx="1">
                  <c:v>Feb-17</c:v>
                </c:pt>
                <c:pt idx="2">
                  <c:v>Mar-17</c:v>
                </c:pt>
                <c:pt idx="3">
                  <c:v>Apr-17</c:v>
                </c:pt>
                <c:pt idx="4">
                  <c:v>May-17</c:v>
                </c:pt>
                <c:pt idx="5">
                  <c:v>Jun-17</c:v>
                </c:pt>
                <c:pt idx="6">
                  <c:v>Jul-17</c:v>
                </c:pt>
                <c:pt idx="7">
                  <c:v>Aug-17</c:v>
                </c:pt>
                <c:pt idx="8">
                  <c:v>Sep-17</c:v>
                </c:pt>
                <c:pt idx="9">
                  <c:v>Oct-17</c:v>
                </c:pt>
                <c:pt idx="10">
                  <c:v>Nov-17</c:v>
                </c:pt>
                <c:pt idx="11">
                  <c:v>Dec-17</c:v>
                </c:pt>
                <c:pt idx="12">
                  <c:v>Jan-18</c:v>
                </c:pt>
                <c:pt idx="13">
                  <c:v>Feb-18</c:v>
                </c:pt>
                <c:pt idx="14">
                  <c:v>Mar-18</c:v>
                </c:pt>
                <c:pt idx="15">
                  <c:v>Apr-18</c:v>
                </c:pt>
                <c:pt idx="16">
                  <c:v>May-18</c:v>
                </c:pt>
                <c:pt idx="17">
                  <c:v>Jun-18</c:v>
                </c:pt>
                <c:pt idx="18">
                  <c:v>Jul-18</c:v>
                </c:pt>
                <c:pt idx="19">
                  <c:v>Aug-18</c:v>
                </c:pt>
              </c:strCache>
            </c:strRef>
          </c:cat>
          <c:val>
            <c:numRef>
              <c:f>'Monthly Trend'!$C$5:$C$24</c:f>
              <c:numCache>
                <c:formatCode>#,##0</c:formatCode>
                <c:ptCount val="20"/>
                <c:pt idx="0">
                  <c:v>2172.54</c:v>
                </c:pt>
                <c:pt idx="1">
                  <c:v>3758.18</c:v>
                </c:pt>
                <c:pt idx="2">
                  <c:v>2771.36</c:v>
                </c:pt>
                <c:pt idx="3">
                  <c:v>6716.63</c:v>
                </c:pt>
                <c:pt idx="4">
                  <c:v>6607.42</c:v>
                </c:pt>
                <c:pt idx="5">
                  <c:v>7950.55</c:v>
                </c:pt>
                <c:pt idx="6">
                  <c:v>11224.26</c:v>
                </c:pt>
                <c:pt idx="7">
                  <c:v>11209.59</c:v>
                </c:pt>
                <c:pt idx="8">
                  <c:v>9815</c:v>
                </c:pt>
                <c:pt idx="9">
                  <c:v>12961.28</c:v>
                </c:pt>
                <c:pt idx="10">
                  <c:v>22385.65</c:v>
                </c:pt>
                <c:pt idx="11">
                  <c:v>17841.41</c:v>
                </c:pt>
                <c:pt idx="12">
                  <c:v>14582.56</c:v>
                </c:pt>
                <c:pt idx="13">
                  <c:v>15315.65</c:v>
                </c:pt>
                <c:pt idx="14">
                  <c:v>17123.16</c:v>
                </c:pt>
                <c:pt idx="15">
                  <c:v>16952.45</c:v>
                </c:pt>
                <c:pt idx="16">
                  <c:v>17742.95</c:v>
                </c:pt>
                <c:pt idx="17">
                  <c:v>20909.41</c:v>
                </c:pt>
                <c:pt idx="18">
                  <c:v>21264.66</c:v>
                </c:pt>
                <c:pt idx="19">
                  <c:v>25620.95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54770"/>
        <c:axId val="55659474"/>
      </c:lineChart>
      <c:catAx>
        <c:axId val="1055477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59474"/>
        <c:crosses val="autoZero"/>
        <c:auto val="1"/>
        <c:lblAlgn val="ctr"/>
        <c:lblOffset val="100"/>
        <c:noMultiLvlLbl val="0"/>
      </c:catAx>
      <c:valAx>
        <c:axId val="55659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547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Review Score by Delivery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'Delivery Analysis'!D4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Analysis'!$A$5:$A$8</c:f>
              <c:strCache>
                <c:ptCount val="4"/>
                <c:pt idx="0">
                  <c:v>0-7 days</c:v>
                </c:pt>
                <c:pt idx="1">
                  <c:v>8-14 days</c:v>
                </c:pt>
                <c:pt idx="2">
                  <c:v>15-21 days</c:v>
                </c:pt>
                <c:pt idx="3">
                  <c:v>22+ days</c:v>
                </c:pt>
              </c:strCache>
            </c:strRef>
          </c:cat>
          <c:val>
            <c:numRef>
              <c:f>'Delivery Analysis'!$D$5:$D$8</c:f>
              <c:numCache>
                <c:formatCode>0.00</c:formatCode>
                <c:ptCount val="4"/>
                <c:pt idx="0">
                  <c:v>4.42307692307692</c:v>
                </c:pt>
                <c:pt idx="1">
                  <c:v>4.38777660695469</c:v>
                </c:pt>
                <c:pt idx="2">
                  <c:v>4.04207920792079</c:v>
                </c:pt>
                <c:pt idx="3">
                  <c:v>3.13966480446927</c:v>
                </c:pt>
              </c:numCache>
            </c:numRef>
          </c:val>
        </c:ser>
        <c:gapWidth val="150"/>
        <c:overlap val="0"/>
        <c:axId val="40239543"/>
        <c:axId val="87434502"/>
      </c:barChart>
      <c:catAx>
        <c:axId val="4023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34502"/>
        <c:crosses val="autoZero"/>
        <c:auto val="1"/>
        <c:lblAlgn val="ctr"/>
        <c:lblOffset val="100"/>
        <c:noMultiLvlLbl val="0"/>
      </c:catAx>
      <c:valAx>
        <c:axId val="8743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395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100800</xdr:rowOff>
    </xdr:from>
    <xdr:to>
      <xdr:col>4</xdr:col>
      <xdr:colOff>42840</xdr:colOff>
      <xdr:row>41</xdr:row>
      <xdr:rowOff>133560</xdr:rowOff>
    </xdr:to>
    <xdr:graphicFrame>
      <xdr:nvGraphicFramePr>
        <xdr:cNvPr id="0" name="Chart 1"/>
        <xdr:cNvGraphicFramePr/>
      </xdr:nvGraphicFramePr>
      <xdr:xfrm>
        <a:off x="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27</xdr:row>
      <xdr:rowOff>100800</xdr:rowOff>
    </xdr:from>
    <xdr:to>
      <xdr:col>7</xdr:col>
      <xdr:colOff>42840</xdr:colOff>
      <xdr:row>41</xdr:row>
      <xdr:rowOff>133560</xdr:rowOff>
    </xdr:to>
    <xdr:graphicFrame>
      <xdr:nvGraphicFramePr>
        <xdr:cNvPr id="1" name="Chart 2"/>
        <xdr:cNvGraphicFramePr/>
      </xdr:nvGraphicFramePr>
      <xdr:xfrm>
        <a:off x="401760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101160</xdr:rowOff>
    </xdr:from>
    <xdr:to>
      <xdr:col>4</xdr:col>
      <xdr:colOff>42840</xdr:colOff>
      <xdr:row>57</xdr:row>
      <xdr:rowOff>133560</xdr:rowOff>
    </xdr:to>
    <xdr:graphicFrame>
      <xdr:nvGraphicFramePr>
        <xdr:cNvPr id="2" name="Chart 3"/>
        <xdr:cNvGraphicFramePr/>
      </xdr:nvGraphicFramePr>
      <xdr:xfrm>
        <a:off x="0" y="10096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43</xdr:row>
      <xdr:rowOff>101160</xdr:rowOff>
    </xdr:from>
    <xdr:to>
      <xdr:col>7</xdr:col>
      <xdr:colOff>42840</xdr:colOff>
      <xdr:row>57</xdr:row>
      <xdr:rowOff>133560</xdr:rowOff>
    </xdr:to>
    <xdr:graphicFrame>
      <xdr:nvGraphicFramePr>
        <xdr:cNvPr id="3" name="Chart 4"/>
        <xdr:cNvGraphicFramePr/>
      </xdr:nvGraphicFramePr>
      <xdr:xfrm>
        <a:off x="4017600" y="10096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101160</xdr:rowOff>
    </xdr:from>
    <xdr:to>
      <xdr:col>20</xdr:col>
      <xdr:colOff>255960</xdr:colOff>
      <xdr:row>15</xdr:row>
      <xdr:rowOff>114840</xdr:rowOff>
    </xdr:to>
    <xdr:graphicFrame>
      <xdr:nvGraphicFramePr>
        <xdr:cNvPr id="4" name="Chart 1"/>
        <xdr:cNvGraphicFramePr/>
      </xdr:nvGraphicFramePr>
      <xdr:xfrm>
        <a:off x="106203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101160</xdr:rowOff>
    </xdr:from>
    <xdr:to>
      <xdr:col>15</xdr:col>
      <xdr:colOff>147600</xdr:colOff>
      <xdr:row>14</xdr:row>
      <xdr:rowOff>95760</xdr:rowOff>
    </xdr:to>
    <xdr:graphicFrame>
      <xdr:nvGraphicFramePr>
        <xdr:cNvPr id="5" name="Chart 1"/>
        <xdr:cNvGraphicFramePr/>
      </xdr:nvGraphicFramePr>
      <xdr:xfrm>
        <a:off x="871740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0" hidden="false" customHeight="true" outlineLevel="0" collapsed="false">
      <c r="A5" s="4" t="n">
        <f aca="false">COUNTA(Data!$A$2:$A$2001)</f>
        <v>2000</v>
      </c>
      <c r="B5" s="4" t="n">
        <f aca="false">SUM(Data!$P$2:$P$2001)</f>
        <v>264925.66</v>
      </c>
      <c r="C5" s="4" t="n">
        <f aca="false">SUM(Data!$S$2:$S$2001)</f>
        <v>50856.5679</v>
      </c>
      <c r="D5" s="5" t="n">
        <f aca="false">C5/B5</f>
        <v>0.191965428716871</v>
      </c>
      <c r="E5" s="6" t="n">
        <f aca="false">AVERAGE(Data!$M$2:$M$2001)</f>
        <v>12.45</v>
      </c>
      <c r="F5" s="5" t="n">
        <f aca="false">SUM(Data!$O$2:$O$2001)/COUNTA(Data!$A$2:$A$2001)</f>
        <v>0.9275</v>
      </c>
      <c r="G5" s="7" t="n">
        <f aca="false">AVERAGE(Data!$J$2:$J$2001)</f>
        <v>4.2145</v>
      </c>
    </row>
    <row r="7" customFormat="false" ht="30" hidden="false" customHeight="true" outlineLevel="0" collapsed="false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</row>
    <row r="8" customFormat="false" ht="30" hidden="false" customHeight="true" outlineLevel="0" collapsed="false">
      <c r="A8" s="8" t="str">
        <f aca="false">INDEX('State Analysis'!$A$5:$A$16,MATCH(MAX('State Analysis'!$B$5:$B$16),'State Analysis'!$B$5:$B$16,0))</f>
        <v>SP</v>
      </c>
      <c r="B8" s="8" t="str">
        <f aca="false">INDEX('State Analysis'!$A$5:$A$16,MATCH(MAX('State Analysis'!$F$5:$F$16),'State Analysis'!$F$5:$F$16,0))</f>
        <v>SP</v>
      </c>
      <c r="C8" s="8" t="str">
        <f aca="false">INDEX('State Analysis'!$A$5:$A$16,MATCH(MAX('State Analysis'!$J$5:$J$16),'State Analysis'!$J$5:$J$16,0))</f>
        <v>PE</v>
      </c>
      <c r="D8" s="9" t="n">
        <f aca="false">INDEX('Monthly Trend'!$A$5:$A$24,MATCH(MAX('Monthly Trend'!$B$5:$B$24),'Monthly Trend'!$B$5:$B$24,0))</f>
        <v>43313</v>
      </c>
      <c r="E8" s="8" t="str">
        <f aca="false">INDEX('Category Analysis'!$A$5:$A$13,MATCH(1,'Category Analysis'!$I$5:$I$13,0))</f>
        <v>health_beauty</v>
      </c>
      <c r="F8" s="10" t="n">
        <f aca="false">COUNTIF('State Analysis'!$O$5:$O$16,"High volume, low margin")</f>
        <v>1</v>
      </c>
      <c r="G8" s="5" t="n">
        <f aca="false">1-F5</f>
        <v>0.0725</v>
      </c>
    </row>
    <row r="10" customFormat="false" ht="15" hidden="false" customHeight="false" outlineLevel="0" collapsed="false">
      <c r="A10" s="11" t="s">
        <v>16</v>
      </c>
    </row>
    <row r="11" customFormat="false" ht="30" hidden="false" customHeight="true" outlineLevel="0" collapsed="false">
      <c r="A11" s="12" t="str">
        <f aca="false">"1. "&amp;INDEX('State Analysis'!$A$5:$A$16,MATCH(SUMPRODUCT(MAX(('State Analysis'!$L$5:$L$16&lt;=4)*'State Analysis'!$M$5:$M$16)),'State Analysis'!$M$5:$M$16,0))&amp;" is a top-4 state by orders ("&amp;TEXT(INDEX('State Analysis'!$C$5:$C$16,MATCH(SUMPRODUCT(MAX(('State Analysis'!$L$5:$L$16&lt;=4)*'State Analysis'!$M$5:$M$16)),'State Analysis'!$M$5:$M$16,0)),"0.0%")&amp;" of volume) yet ranks #"&amp;SUMPRODUCT(MAX(('State Analysis'!$L$5:$L$16&lt;=4)*'State Analysis'!$M$5:$M$16))&amp;" of 12 on margin ("&amp;TEXT(INDEX('State Analysis'!$F$5:$F$16,MATCH(SUMPRODUCT(MAX(('State Analysis'!$L$5:$L$16&lt;=4)*'State Analysis'!$M$5:$M$16)),'State Analysis'!$M$5:$M$16,0)),"0.0%")&amp;" vs "&amp;TEXT(MAX('State Analysis'!$F$5:$F$16),"0.0%")&amp;" for "&amp;B8&amp;") - high order volume does not mean higher profit."</f>
        <v>1. RJ is a top-4 state by orders (12.6% of volume) yet ranks #8 of 12 on margin (17.0% vs 21.8% for SP) - high order volume does not mean higher profit.</v>
      </c>
      <c r="B11" s="12"/>
      <c r="C11" s="12"/>
      <c r="D11" s="12"/>
      <c r="E11" s="12"/>
      <c r="F11" s="12"/>
      <c r="G11" s="12"/>
    </row>
    <row r="12" customFormat="false" ht="30" hidden="false" customHeight="true" outlineLevel="0" collapsed="false">
      <c r="A12" s="12" t="str">
        <f aca="false">"2. "&amp;INDEX('State Analysis'!$A$5:$A$16,MATCH(MIN('State Analysis'!$F$5:$F$16),'State Analysis'!$F$5:$F$16,0))&amp;" has the weakest margin ("&amp;TEXT(MIN('State Analysis'!$F$5:$F$16),"0.0%")&amp;"): avg freight "&amp;TEXT(INDEX('State Analysis'!$I$5:$I$16,MATCH(MIN('State Analysis'!$F$5:$F$16),'State Analysis'!$F$5:$F$16,0)),"0.00")&amp;" vs "&amp;TEXT('State Analysis'!$I$17,"0.00")&amp;" overall, so shipping cost eats into profit."</f>
        <v>2. BA has the weakest margin (11.3%): avg freight 32.07 vs 21.95 overall, so shipping cost eats into profit.</v>
      </c>
      <c r="B12" s="12"/>
      <c r="C12" s="12"/>
      <c r="D12" s="12"/>
      <c r="E12" s="12"/>
      <c r="F12" s="12"/>
      <c r="G12" s="12"/>
    </row>
    <row r="13" customFormat="false" ht="30" hidden="false" customHeight="true" outlineLevel="0" collapsed="false">
      <c r="A13" s="12" t="str">
        <f aca="false">"3. "&amp;C8&amp;" is the likely delivery bottleneck: "&amp;TEXT(MAX('State Analysis'!$J$5:$J$16),"0.0")&amp;" avg days vs "&amp;TEXT(E5,"0.0")&amp;" overall, with "&amp;TEXT(INDEX('State Analysis'!$K$5:$K$16,MATCH(C8,'State Analysis'!$A$5:$A$16,0)),"0.0%")&amp;" on-time."</f>
        <v>3. PE is the likely delivery bottleneck: 23.5 avg days vs 12.5 overall, with 90.5% on-time.</v>
      </c>
      <c r="B13" s="12"/>
      <c r="C13" s="12"/>
      <c r="D13" s="12"/>
      <c r="E13" s="12"/>
      <c r="F13" s="12"/>
      <c r="G13" s="12"/>
    </row>
    <row r="14" customFormat="false" ht="30" hidden="false" customHeight="true" outlineLevel="0" collapsed="false">
      <c r="A14" s="12" t="str">
        <f aca="false">"4. Orders delivered in 22+ days score "&amp;TEXT('Delivery Analysis'!D8,"0.00")&amp;" on reviews vs "&amp;TEXT('Delivery Analysis'!D5,"0.00")&amp;" for 0-7 days; late orders lose "&amp;TEXT('Delivery Analysis'!D14,"0.00")&amp;" review points."</f>
        <v>4. Orders delivered in 22+ days score 3.14 on reviews vs 4.42 for 0-7 days; late orders lose 1.67 review points.</v>
      </c>
      <c r="B14" s="12"/>
      <c r="C14" s="12"/>
      <c r="D14" s="12"/>
      <c r="E14" s="12"/>
      <c r="F14" s="12"/>
      <c r="G14" s="12"/>
    </row>
    <row r="15" customFormat="false" ht="30" hidden="false" customHeight="true" outlineLevel="0" collapsed="false">
      <c r="A15" s="12" t="str">
        <f aca="false">"5. Peak demand was "&amp;TEXT(D8,"mmm-yyyy")&amp;"; "&amp;F8&amp;" top-4 volume state(s) rank in the bottom half for margin (see State Analysis, Insight Flag)."</f>
        <v>5. Peak demand was Aug-2018; 1 top-4 volume state(s) rank in the bottom half for margin (see State Analysis, Insight Flag).</v>
      </c>
      <c r="B15" s="12"/>
      <c r="C15" s="12"/>
      <c r="D15" s="12"/>
      <c r="E15" s="12"/>
      <c r="F15" s="12"/>
      <c r="G15" s="12"/>
    </row>
    <row r="17" customFormat="false" ht="15" hidden="false" customHeight="false" outlineLevel="0" collapsed="false">
      <c r="A17" s="11" t="s">
        <v>17</v>
      </c>
    </row>
    <row r="18" customFormat="false" ht="15" hidden="false" customHeight="false" outlineLevel="0" collapsed="false">
      <c r="A18" s="13" t="s">
        <v>18</v>
      </c>
      <c r="B18" s="14" t="s">
        <v>19</v>
      </c>
    </row>
    <row r="19" customFormat="false" ht="15" hidden="false" customHeight="false" outlineLevel="0" collapsed="false">
      <c r="A19" s="15" t="s">
        <v>20</v>
      </c>
      <c r="B19" s="16" t="n">
        <f aca="false">INDEX('State Analysis'!$B$5:$B$16,MATCH($B$18,'State Analysis'!$A$5:$A$16,0))</f>
        <v>909</v>
      </c>
    </row>
    <row r="20" customFormat="false" ht="15" hidden="false" customHeight="false" outlineLevel="0" collapsed="false">
      <c r="A20" s="15" t="s">
        <v>3</v>
      </c>
      <c r="B20" s="16" t="n">
        <f aca="false">INDEX('State Analysis'!$D$5:$D$16,MATCH($B$18,'State Analysis'!$A$5:$A$16,0))</f>
        <v>115617.11</v>
      </c>
    </row>
    <row r="21" customFormat="false" ht="15" hidden="false" customHeight="false" outlineLevel="0" collapsed="false">
      <c r="A21" s="15" t="s">
        <v>4</v>
      </c>
      <c r="B21" s="16" t="n">
        <f aca="false">INDEX('State Analysis'!$E$5:$E$16,MATCH($B$18,'State Analysis'!$A$5:$A$16,0))</f>
        <v>25250.6045</v>
      </c>
    </row>
    <row r="22" customFormat="false" ht="15" hidden="false" customHeight="false" outlineLevel="0" collapsed="false">
      <c r="A22" s="15" t="s">
        <v>5</v>
      </c>
      <c r="B22" s="17" t="n">
        <f aca="false">INDEX('State Analysis'!$F$5:$F$16,MATCH($B$18,'State Analysis'!$A$5:$A$16,0))</f>
        <v>0.218398509528564</v>
      </c>
    </row>
    <row r="23" customFormat="false" ht="15" hidden="false" customHeight="false" outlineLevel="0" collapsed="false">
      <c r="A23" s="15" t="s">
        <v>6</v>
      </c>
      <c r="B23" s="18" t="n">
        <f aca="false">INDEX('State Analysis'!$J$5:$J$16,MATCH($B$18,'State Analysis'!$A$5:$A$16,0))</f>
        <v>8.65676567656766</v>
      </c>
    </row>
    <row r="24" customFormat="false" ht="15" hidden="false" customHeight="false" outlineLevel="0" collapsed="false">
      <c r="A24" s="15" t="s">
        <v>7</v>
      </c>
      <c r="B24" s="17" t="n">
        <f aca="false">INDEX('State Analysis'!$K$5:$K$16,MATCH($B$18,'State Analysis'!$A$5:$A$16,0))</f>
        <v>0.946094609460946</v>
      </c>
    </row>
    <row r="25" customFormat="false" ht="15" hidden="false" customHeight="false" outlineLevel="0" collapsed="false">
      <c r="A25" s="15" t="s">
        <v>21</v>
      </c>
      <c r="B25" s="19" t="n">
        <f aca="false">INDEX('State Analysis'!$L$5:$L$16,MATCH($B$18,'State Analysis'!$A$5:$A$16,0))</f>
        <v>1</v>
      </c>
    </row>
    <row r="26" customFormat="false" ht="15" hidden="false" customHeight="false" outlineLevel="0" collapsed="false">
      <c r="A26" s="15" t="s">
        <v>22</v>
      </c>
      <c r="B26" s="19" t="n">
        <f aca="false">INDEX('State Analysis'!$M$5:$M$16,MATCH($B$18,'State Analysis'!$A$5:$A$16,0))</f>
        <v>1</v>
      </c>
    </row>
  </sheetData>
  <mergeCells count="5">
    <mergeCell ref="A11:G11"/>
    <mergeCell ref="A12:G12"/>
    <mergeCell ref="A13:G13"/>
    <mergeCell ref="A14:G14"/>
    <mergeCell ref="A15:G15"/>
  </mergeCells>
  <dataValidations count="1">
    <dataValidation allowBlank="false" errorStyle="stop" operator="between" showDropDown="false" showErrorMessage="false" showInputMessage="false" sqref="B18" type="list">
      <formula1>'State Analysis'!$A$5:$A$16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15"/>
  </cols>
  <sheetData>
    <row r="1" customFormat="false" ht="31.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20" t="s">
        <v>34</v>
      </c>
      <c r="M1" s="20" t="s">
        <v>35</v>
      </c>
      <c r="N1" s="20" t="s">
        <v>36</v>
      </c>
      <c r="O1" s="20" t="s">
        <v>37</v>
      </c>
      <c r="P1" s="20" t="s">
        <v>38</v>
      </c>
      <c r="Q1" s="20" t="s">
        <v>39</v>
      </c>
      <c r="R1" s="20" t="s">
        <v>40</v>
      </c>
      <c r="S1" s="20" t="s">
        <v>41</v>
      </c>
      <c r="T1" s="20" t="s">
        <v>42</v>
      </c>
    </row>
    <row r="2" customFormat="false" ht="15" hidden="false" customHeight="false" outlineLevel="0" collapsed="false">
      <c r="A2" s="21" t="s">
        <v>43</v>
      </c>
      <c r="B2" s="21" t="s">
        <v>19</v>
      </c>
      <c r="C2" s="22" t="n">
        <v>42738</v>
      </c>
      <c r="D2" s="22" t="n">
        <v>42748</v>
      </c>
      <c r="E2" s="22" t="n">
        <v>42752</v>
      </c>
      <c r="F2" s="21" t="s">
        <v>44</v>
      </c>
      <c r="G2" s="23" t="n">
        <v>83.12</v>
      </c>
      <c r="H2" s="23" t="n">
        <v>19.21</v>
      </c>
      <c r="I2" s="21" t="s">
        <v>45</v>
      </c>
      <c r="J2" s="21" t="n">
        <v>5</v>
      </c>
      <c r="K2" s="21" t="s">
        <v>46</v>
      </c>
      <c r="L2" s="24" t="n">
        <f aca="false">DATE(YEAR(C2),MONTH(C2),1)</f>
        <v>42736</v>
      </c>
      <c r="M2" s="21" t="n">
        <f aca="false">D2-C2</f>
        <v>10</v>
      </c>
      <c r="N2" s="21" t="n">
        <f aca="false">MAX(0,D2-E2)</f>
        <v>0</v>
      </c>
      <c r="O2" s="21" t="n">
        <f aca="false">IF(D2&lt;=E2,1,0)</f>
        <v>1</v>
      </c>
      <c r="P2" s="23" t="n">
        <f aca="false">G2+H2</f>
        <v>102.33</v>
      </c>
      <c r="Q2" s="23" t="n">
        <f aca="false">G2*INDEX(Assumptions!$B$8:$B$16,MATCH(F2,Assumptions!$A$8:$A$16,0))</f>
        <v>49.872</v>
      </c>
      <c r="R2" s="23" t="n">
        <f aca="false">H2*Assumptions!$B$3</f>
        <v>11.526</v>
      </c>
      <c r="S2" s="23" t="n">
        <f aca="false">G2-Q2-R2</f>
        <v>21.722</v>
      </c>
      <c r="T2" s="21" t="str">
        <f aca="false">IF(M2&lt;=7,"0-7 days",IF(M2&lt;=14,"8-14 days",IF(M2&lt;=21,"15-21 days","22+ days")))</f>
        <v>8-14 days</v>
      </c>
    </row>
    <row r="3" customFormat="false" ht="15" hidden="false" customHeight="false" outlineLevel="0" collapsed="false">
      <c r="A3" s="21" t="s">
        <v>47</v>
      </c>
      <c r="B3" s="21" t="s">
        <v>48</v>
      </c>
      <c r="C3" s="22" t="n">
        <v>42738</v>
      </c>
      <c r="D3" s="22" t="n">
        <v>42750</v>
      </c>
      <c r="E3" s="22" t="n">
        <v>42761</v>
      </c>
      <c r="F3" s="21" t="s">
        <v>49</v>
      </c>
      <c r="G3" s="23" t="n">
        <v>60.51</v>
      </c>
      <c r="H3" s="23" t="n">
        <v>16.47</v>
      </c>
      <c r="I3" s="21" t="s">
        <v>50</v>
      </c>
      <c r="J3" s="21" t="n">
        <v>4</v>
      </c>
      <c r="K3" s="21" t="s">
        <v>46</v>
      </c>
      <c r="L3" s="24" t="n">
        <f aca="false">DATE(YEAR(C3),MONTH(C3),1)</f>
        <v>42736</v>
      </c>
      <c r="M3" s="21" t="n">
        <f aca="false">D3-C3</f>
        <v>12</v>
      </c>
      <c r="N3" s="21" t="n">
        <f aca="false">MAX(0,D3-E3)</f>
        <v>0</v>
      </c>
      <c r="O3" s="21" t="n">
        <f aca="false">IF(D3&lt;=E3,1,0)</f>
        <v>1</v>
      </c>
      <c r="P3" s="23" t="n">
        <f aca="false">G3+H3</f>
        <v>76.98</v>
      </c>
      <c r="Q3" s="23" t="n">
        <f aca="false">G3*INDEX(Assumptions!$B$8:$B$16,MATCH(F3,Assumptions!$A$8:$A$16,0))</f>
        <v>35.0958</v>
      </c>
      <c r="R3" s="23" t="n">
        <f aca="false">H3*Assumptions!$B$3</f>
        <v>9.882</v>
      </c>
      <c r="S3" s="23" t="n">
        <f aca="false">G3-Q3-R3</f>
        <v>15.5322</v>
      </c>
      <c r="T3" s="21" t="str">
        <f aca="false">IF(M3&lt;=7,"0-7 days",IF(M3&lt;=14,"8-14 days",IF(M3&lt;=21,"15-21 days","22+ days")))</f>
        <v>8-14 days</v>
      </c>
    </row>
    <row r="4" customFormat="false" ht="15" hidden="false" customHeight="false" outlineLevel="0" collapsed="false">
      <c r="A4" s="21" t="s">
        <v>51</v>
      </c>
      <c r="B4" s="21" t="s">
        <v>52</v>
      </c>
      <c r="C4" s="22" t="n">
        <v>42738</v>
      </c>
      <c r="D4" s="22" t="n">
        <v>42760</v>
      </c>
      <c r="E4" s="22" t="n">
        <v>42764</v>
      </c>
      <c r="F4" s="21" t="s">
        <v>53</v>
      </c>
      <c r="G4" s="23" t="n">
        <v>134.74</v>
      </c>
      <c r="H4" s="23" t="n">
        <v>25</v>
      </c>
      <c r="I4" s="21" t="s">
        <v>45</v>
      </c>
      <c r="J4" s="21" t="n">
        <v>3</v>
      </c>
      <c r="K4" s="21" t="s">
        <v>46</v>
      </c>
      <c r="L4" s="24" t="n">
        <f aca="false">DATE(YEAR(C4),MONTH(C4),1)</f>
        <v>42736</v>
      </c>
      <c r="M4" s="21" t="n">
        <f aca="false">D4-C4</f>
        <v>22</v>
      </c>
      <c r="N4" s="21" t="n">
        <f aca="false">MAX(0,D4-E4)</f>
        <v>0</v>
      </c>
      <c r="O4" s="21" t="n">
        <f aca="false">IF(D4&lt;=E4,1,0)</f>
        <v>1</v>
      </c>
      <c r="P4" s="23" t="n">
        <f aca="false">G4+H4</f>
        <v>159.74</v>
      </c>
      <c r="Q4" s="23" t="n">
        <f aca="false">G4*INDEX(Assumptions!$B$8:$B$16,MATCH(F4,Assumptions!$A$8:$A$16,0))</f>
        <v>99.7076</v>
      </c>
      <c r="R4" s="23" t="n">
        <f aca="false">H4*Assumptions!$B$3</f>
        <v>15</v>
      </c>
      <c r="S4" s="23" t="n">
        <f aca="false">G4-Q4-R4</f>
        <v>20.0324</v>
      </c>
      <c r="T4" s="21" t="str">
        <f aca="false">IF(M4&lt;=7,"0-7 days",IF(M4&lt;=14,"8-14 days",IF(M4&lt;=21,"15-21 days","22+ days")))</f>
        <v>22+ days</v>
      </c>
    </row>
    <row r="5" customFormat="false" ht="15" hidden="false" customHeight="false" outlineLevel="0" collapsed="false">
      <c r="A5" s="21" t="s">
        <v>54</v>
      </c>
      <c r="B5" s="21" t="s">
        <v>55</v>
      </c>
      <c r="C5" s="22" t="n">
        <v>42740</v>
      </c>
      <c r="D5" s="22" t="n">
        <v>42754</v>
      </c>
      <c r="E5" s="22" t="n">
        <v>42763</v>
      </c>
      <c r="F5" s="21" t="s">
        <v>53</v>
      </c>
      <c r="G5" s="23" t="n">
        <v>40.74</v>
      </c>
      <c r="H5" s="23" t="n">
        <v>16.28</v>
      </c>
      <c r="I5" s="21" t="s">
        <v>45</v>
      </c>
      <c r="J5" s="21" t="n">
        <v>5</v>
      </c>
      <c r="K5" s="21" t="s">
        <v>46</v>
      </c>
      <c r="L5" s="24" t="n">
        <f aca="false">DATE(YEAR(C5),MONTH(C5),1)</f>
        <v>42736</v>
      </c>
      <c r="M5" s="21" t="n">
        <f aca="false">D5-C5</f>
        <v>14</v>
      </c>
      <c r="N5" s="21" t="n">
        <f aca="false">MAX(0,D5-E5)</f>
        <v>0</v>
      </c>
      <c r="O5" s="21" t="n">
        <f aca="false">IF(D5&lt;=E5,1,0)</f>
        <v>1</v>
      </c>
      <c r="P5" s="23" t="n">
        <f aca="false">G5+H5</f>
        <v>57.02</v>
      </c>
      <c r="Q5" s="23" t="n">
        <f aca="false">G5*INDEX(Assumptions!$B$8:$B$16,MATCH(F5,Assumptions!$A$8:$A$16,0))</f>
        <v>30.1476</v>
      </c>
      <c r="R5" s="23" t="n">
        <f aca="false">H5*Assumptions!$B$3</f>
        <v>9.768</v>
      </c>
      <c r="S5" s="23" t="n">
        <f aca="false">G5-Q5-R5</f>
        <v>0.824400000000001</v>
      </c>
      <c r="T5" s="21" t="str">
        <f aca="false">IF(M5&lt;=7,"0-7 days",IF(M5&lt;=14,"8-14 days",IF(M5&lt;=21,"15-21 days","22+ days")))</f>
        <v>8-14 days</v>
      </c>
    </row>
    <row r="6" customFormat="false" ht="15" hidden="false" customHeight="false" outlineLevel="0" collapsed="false">
      <c r="A6" s="21" t="s">
        <v>56</v>
      </c>
      <c r="B6" s="21" t="s">
        <v>19</v>
      </c>
      <c r="C6" s="22" t="n">
        <v>42740</v>
      </c>
      <c r="D6" s="22" t="n">
        <v>42754</v>
      </c>
      <c r="E6" s="22" t="n">
        <v>42757</v>
      </c>
      <c r="F6" s="21" t="s">
        <v>57</v>
      </c>
      <c r="G6" s="23" t="n">
        <v>47.62</v>
      </c>
      <c r="H6" s="23" t="n">
        <v>13.02</v>
      </c>
      <c r="I6" s="21" t="s">
        <v>45</v>
      </c>
      <c r="J6" s="21" t="n">
        <v>5</v>
      </c>
      <c r="K6" s="21" t="s">
        <v>46</v>
      </c>
      <c r="L6" s="24" t="n">
        <f aca="false">DATE(YEAR(C6),MONTH(C6),1)</f>
        <v>42736</v>
      </c>
      <c r="M6" s="21" t="n">
        <f aca="false">D6-C6</f>
        <v>14</v>
      </c>
      <c r="N6" s="21" t="n">
        <f aca="false">MAX(0,D6-E6)</f>
        <v>0</v>
      </c>
      <c r="O6" s="21" t="n">
        <f aca="false">IF(D6&lt;=E6,1,0)</f>
        <v>1</v>
      </c>
      <c r="P6" s="23" t="n">
        <f aca="false">G6+H6</f>
        <v>60.64</v>
      </c>
      <c r="Q6" s="23" t="n">
        <f aca="false">G6*INDEX(Assumptions!$B$8:$B$16,MATCH(F6,Assumptions!$A$8:$A$16,0))</f>
        <v>32.3816</v>
      </c>
      <c r="R6" s="23" t="n">
        <f aca="false">H6*Assumptions!$B$3</f>
        <v>7.812</v>
      </c>
      <c r="S6" s="23" t="n">
        <f aca="false">G6-Q6-R6</f>
        <v>7.4264</v>
      </c>
      <c r="T6" s="21" t="str">
        <f aca="false">IF(M6&lt;=7,"0-7 days",IF(M6&lt;=14,"8-14 days",IF(M6&lt;=21,"15-21 days","22+ days")))</f>
        <v>8-14 days</v>
      </c>
    </row>
    <row r="7" customFormat="false" ht="15" hidden="false" customHeight="false" outlineLevel="0" collapsed="false">
      <c r="A7" s="21" t="s">
        <v>58</v>
      </c>
      <c r="B7" s="21" t="s">
        <v>52</v>
      </c>
      <c r="C7" s="22" t="n">
        <v>42741</v>
      </c>
      <c r="D7" s="22" t="n">
        <v>42757</v>
      </c>
      <c r="E7" s="22" t="n">
        <v>42765</v>
      </c>
      <c r="F7" s="21" t="s">
        <v>59</v>
      </c>
      <c r="G7" s="23" t="n">
        <v>125.89</v>
      </c>
      <c r="H7" s="23" t="n">
        <v>20.72</v>
      </c>
      <c r="I7" s="21" t="s">
        <v>60</v>
      </c>
      <c r="J7" s="21" t="n">
        <v>4</v>
      </c>
      <c r="K7" s="21" t="s">
        <v>46</v>
      </c>
      <c r="L7" s="24" t="n">
        <f aca="false">DATE(YEAR(C7),MONTH(C7),1)</f>
        <v>42736</v>
      </c>
      <c r="M7" s="21" t="n">
        <f aca="false">D7-C7</f>
        <v>16</v>
      </c>
      <c r="N7" s="21" t="n">
        <f aca="false">MAX(0,D7-E7)</f>
        <v>0</v>
      </c>
      <c r="O7" s="21" t="n">
        <f aca="false">IF(D7&lt;=E7,1,0)</f>
        <v>1</v>
      </c>
      <c r="P7" s="23" t="n">
        <f aca="false">G7+H7</f>
        <v>146.61</v>
      </c>
      <c r="Q7" s="23" t="n">
        <f aca="false">G7*INDEX(Assumptions!$B$8:$B$16,MATCH(F7,Assumptions!$A$8:$A$16,0))</f>
        <v>80.5696</v>
      </c>
      <c r="R7" s="23" t="n">
        <f aca="false">H7*Assumptions!$B$3</f>
        <v>12.432</v>
      </c>
      <c r="S7" s="23" t="n">
        <f aca="false">G7-Q7-R7</f>
        <v>32.8884</v>
      </c>
      <c r="T7" s="21" t="str">
        <f aca="false">IF(M7&lt;=7,"0-7 days",IF(M7&lt;=14,"8-14 days",IF(M7&lt;=21,"15-21 days","22+ days")))</f>
        <v>15-21 days</v>
      </c>
    </row>
    <row r="8" customFormat="false" ht="15" hidden="false" customHeight="false" outlineLevel="0" collapsed="false">
      <c r="A8" s="21" t="s">
        <v>61</v>
      </c>
      <c r="B8" s="21" t="s">
        <v>62</v>
      </c>
      <c r="C8" s="22" t="n">
        <v>42744</v>
      </c>
      <c r="D8" s="22" t="n">
        <v>42761</v>
      </c>
      <c r="E8" s="22" t="n">
        <v>42767</v>
      </c>
      <c r="F8" s="21" t="s">
        <v>57</v>
      </c>
      <c r="G8" s="23" t="n">
        <v>119.5</v>
      </c>
      <c r="H8" s="23" t="n">
        <v>26.65</v>
      </c>
      <c r="I8" s="21" t="s">
        <v>45</v>
      </c>
      <c r="J8" s="21" t="n">
        <v>4</v>
      </c>
      <c r="K8" s="21" t="s">
        <v>46</v>
      </c>
      <c r="L8" s="24" t="n">
        <f aca="false">DATE(YEAR(C8),MONTH(C8),1)</f>
        <v>42736</v>
      </c>
      <c r="M8" s="21" t="n">
        <f aca="false">D8-C8</f>
        <v>17</v>
      </c>
      <c r="N8" s="21" t="n">
        <f aca="false">MAX(0,D8-E8)</f>
        <v>0</v>
      </c>
      <c r="O8" s="21" t="n">
        <f aca="false">IF(D8&lt;=E8,1,0)</f>
        <v>1</v>
      </c>
      <c r="P8" s="23" t="n">
        <f aca="false">G8+H8</f>
        <v>146.15</v>
      </c>
      <c r="Q8" s="23" t="n">
        <f aca="false">G8*INDEX(Assumptions!$B$8:$B$16,MATCH(F8,Assumptions!$A$8:$A$16,0))</f>
        <v>81.26</v>
      </c>
      <c r="R8" s="23" t="n">
        <f aca="false">H8*Assumptions!$B$3</f>
        <v>15.99</v>
      </c>
      <c r="S8" s="23" t="n">
        <f aca="false">G8-Q8-R8</f>
        <v>22.25</v>
      </c>
      <c r="T8" s="21" t="str">
        <f aca="false">IF(M8&lt;=7,"0-7 days",IF(M8&lt;=14,"8-14 days",IF(M8&lt;=21,"15-21 days","22+ days")))</f>
        <v>15-21 days</v>
      </c>
    </row>
    <row r="9" customFormat="false" ht="15" hidden="false" customHeight="false" outlineLevel="0" collapsed="false">
      <c r="A9" s="21" t="s">
        <v>63</v>
      </c>
      <c r="B9" s="21" t="s">
        <v>19</v>
      </c>
      <c r="C9" s="22" t="n">
        <v>42744</v>
      </c>
      <c r="D9" s="22" t="n">
        <v>42761</v>
      </c>
      <c r="E9" s="22" t="n">
        <v>42763</v>
      </c>
      <c r="F9" s="21" t="s">
        <v>64</v>
      </c>
      <c r="G9" s="23" t="n">
        <v>280.85</v>
      </c>
      <c r="H9" s="23" t="n">
        <v>22.93</v>
      </c>
      <c r="I9" s="21" t="s">
        <v>45</v>
      </c>
      <c r="J9" s="21" t="n">
        <v>5</v>
      </c>
      <c r="K9" s="21" t="s">
        <v>46</v>
      </c>
      <c r="L9" s="24" t="n">
        <f aca="false">DATE(YEAR(C9),MONTH(C9),1)</f>
        <v>42736</v>
      </c>
      <c r="M9" s="21" t="n">
        <f aca="false">D9-C9</f>
        <v>17</v>
      </c>
      <c r="N9" s="21" t="n">
        <f aca="false">MAX(0,D9-E9)</f>
        <v>0</v>
      </c>
      <c r="O9" s="21" t="n">
        <f aca="false">IF(D9&lt;=E9,1,0)</f>
        <v>1</v>
      </c>
      <c r="P9" s="23" t="n">
        <f aca="false">G9+H9</f>
        <v>303.78</v>
      </c>
      <c r="Q9" s="23" t="n">
        <f aca="false">G9*INDEX(Assumptions!$B$8:$B$16,MATCH(F9,Assumptions!$A$8:$A$16,0))</f>
        <v>185.361</v>
      </c>
      <c r="R9" s="23" t="n">
        <f aca="false">H9*Assumptions!$B$3</f>
        <v>13.758</v>
      </c>
      <c r="S9" s="23" t="n">
        <f aca="false">G9-Q9-R9</f>
        <v>81.731</v>
      </c>
      <c r="T9" s="21" t="str">
        <f aca="false">IF(M9&lt;=7,"0-7 days",IF(M9&lt;=14,"8-14 days",IF(M9&lt;=21,"15-21 days","22+ days")))</f>
        <v>15-21 days</v>
      </c>
    </row>
    <row r="10" customFormat="false" ht="15" hidden="false" customHeight="false" outlineLevel="0" collapsed="false">
      <c r="A10" s="21" t="s">
        <v>65</v>
      </c>
      <c r="B10" s="21" t="s">
        <v>19</v>
      </c>
      <c r="C10" s="22" t="n">
        <v>42747</v>
      </c>
      <c r="D10" s="22" t="n">
        <v>42753</v>
      </c>
      <c r="E10" s="22" t="n">
        <v>42762</v>
      </c>
      <c r="F10" s="21" t="s">
        <v>57</v>
      </c>
      <c r="G10" s="23" t="n">
        <v>42.07</v>
      </c>
      <c r="H10" s="23" t="n">
        <v>16.67</v>
      </c>
      <c r="I10" s="21" t="s">
        <v>45</v>
      </c>
      <c r="J10" s="21" t="n">
        <v>4</v>
      </c>
      <c r="K10" s="21" t="s">
        <v>46</v>
      </c>
      <c r="L10" s="24" t="n">
        <f aca="false">DATE(YEAR(C10),MONTH(C10),1)</f>
        <v>42736</v>
      </c>
      <c r="M10" s="21" t="n">
        <f aca="false">D10-C10</f>
        <v>6</v>
      </c>
      <c r="N10" s="21" t="n">
        <f aca="false">MAX(0,D10-E10)</f>
        <v>0</v>
      </c>
      <c r="O10" s="21" t="n">
        <f aca="false">IF(D10&lt;=E10,1,0)</f>
        <v>1</v>
      </c>
      <c r="P10" s="23" t="n">
        <f aca="false">G10+H10</f>
        <v>58.74</v>
      </c>
      <c r="Q10" s="23" t="n">
        <f aca="false">G10*INDEX(Assumptions!$B$8:$B$16,MATCH(F10,Assumptions!$A$8:$A$16,0))</f>
        <v>28.6076</v>
      </c>
      <c r="R10" s="23" t="n">
        <f aca="false">H10*Assumptions!$B$3</f>
        <v>10.002</v>
      </c>
      <c r="S10" s="23" t="n">
        <f aca="false">G10-Q10-R10</f>
        <v>3.4604</v>
      </c>
      <c r="T10" s="21" t="str">
        <f aca="false">IF(M10&lt;=7,"0-7 days",IF(M10&lt;=14,"8-14 days",IF(M10&lt;=21,"15-21 days","22+ days")))</f>
        <v>0-7 days</v>
      </c>
    </row>
    <row r="11" customFormat="false" ht="15" hidden="false" customHeight="false" outlineLevel="0" collapsed="false">
      <c r="A11" s="21" t="s">
        <v>66</v>
      </c>
      <c r="B11" s="21" t="s">
        <v>62</v>
      </c>
      <c r="C11" s="22" t="n">
        <v>42747</v>
      </c>
      <c r="D11" s="22" t="n">
        <v>42758</v>
      </c>
      <c r="E11" s="22" t="n">
        <v>42769</v>
      </c>
      <c r="F11" s="21" t="s">
        <v>67</v>
      </c>
      <c r="G11" s="23" t="n">
        <v>83.04</v>
      </c>
      <c r="H11" s="23" t="n">
        <v>23.66</v>
      </c>
      <c r="I11" s="21" t="s">
        <v>45</v>
      </c>
      <c r="J11" s="21" t="n">
        <v>4</v>
      </c>
      <c r="K11" s="21" t="s">
        <v>46</v>
      </c>
      <c r="L11" s="24" t="n">
        <f aca="false">DATE(YEAR(C11),MONTH(C11),1)</f>
        <v>42736</v>
      </c>
      <c r="M11" s="21" t="n">
        <f aca="false">D11-C11</f>
        <v>11</v>
      </c>
      <c r="N11" s="21" t="n">
        <f aca="false">MAX(0,D11-E11)</f>
        <v>0</v>
      </c>
      <c r="O11" s="21" t="n">
        <f aca="false">IF(D11&lt;=E11,1,0)</f>
        <v>1</v>
      </c>
      <c r="P11" s="23" t="n">
        <f aca="false">G11+H11</f>
        <v>106.7</v>
      </c>
      <c r="Q11" s="23" t="n">
        <f aca="false">G11*INDEX(Assumptions!$B$8:$B$16,MATCH(F11,Assumptions!$A$8:$A$16,0))</f>
        <v>51.4848</v>
      </c>
      <c r="R11" s="23" t="n">
        <f aca="false">H11*Assumptions!$B$3</f>
        <v>14.196</v>
      </c>
      <c r="S11" s="23" t="n">
        <f aca="false">G11-Q11-R11</f>
        <v>17.3592</v>
      </c>
      <c r="T11" s="21" t="str">
        <f aca="false">IF(M11&lt;=7,"0-7 days",IF(M11&lt;=14,"8-14 days",IF(M11&lt;=21,"15-21 days","22+ days")))</f>
        <v>8-14 days</v>
      </c>
    </row>
    <row r="12" customFormat="false" ht="15" hidden="false" customHeight="false" outlineLevel="0" collapsed="false">
      <c r="A12" s="21" t="s">
        <v>68</v>
      </c>
      <c r="B12" s="21" t="s">
        <v>19</v>
      </c>
      <c r="C12" s="22" t="n">
        <v>42749</v>
      </c>
      <c r="D12" s="22" t="n">
        <v>42761</v>
      </c>
      <c r="E12" s="22" t="n">
        <v>42765</v>
      </c>
      <c r="F12" s="21" t="s">
        <v>64</v>
      </c>
      <c r="G12" s="23" t="n">
        <v>96.56</v>
      </c>
      <c r="H12" s="23" t="n">
        <v>12.89</v>
      </c>
      <c r="I12" s="21" t="s">
        <v>45</v>
      </c>
      <c r="J12" s="21" t="n">
        <v>4</v>
      </c>
      <c r="K12" s="21" t="s">
        <v>46</v>
      </c>
      <c r="L12" s="24" t="n">
        <f aca="false">DATE(YEAR(C12),MONTH(C12),1)</f>
        <v>42736</v>
      </c>
      <c r="M12" s="21" t="n">
        <f aca="false">D12-C12</f>
        <v>12</v>
      </c>
      <c r="N12" s="21" t="n">
        <f aca="false">MAX(0,D12-E12)</f>
        <v>0</v>
      </c>
      <c r="O12" s="21" t="n">
        <f aca="false">IF(D12&lt;=E12,1,0)</f>
        <v>1</v>
      </c>
      <c r="P12" s="23" t="n">
        <f aca="false">G12+H12</f>
        <v>109.45</v>
      </c>
      <c r="Q12" s="23" t="n">
        <f aca="false">G12*INDEX(Assumptions!$B$8:$B$16,MATCH(F12,Assumptions!$A$8:$A$16,0))</f>
        <v>63.7296</v>
      </c>
      <c r="R12" s="23" t="n">
        <f aca="false">H12*Assumptions!$B$3</f>
        <v>7.734</v>
      </c>
      <c r="S12" s="23" t="n">
        <f aca="false">G12-Q12-R12</f>
        <v>25.0964</v>
      </c>
      <c r="T12" s="21" t="str">
        <f aca="false">IF(M12&lt;=7,"0-7 days",IF(M12&lt;=14,"8-14 days",IF(M12&lt;=21,"15-21 days","22+ days")))</f>
        <v>8-14 days</v>
      </c>
    </row>
    <row r="13" customFormat="false" ht="15" hidden="false" customHeight="false" outlineLevel="0" collapsed="false">
      <c r="A13" s="21" t="s">
        <v>69</v>
      </c>
      <c r="B13" s="21" t="s">
        <v>19</v>
      </c>
      <c r="C13" s="22" t="n">
        <v>42751</v>
      </c>
      <c r="D13" s="22" t="n">
        <v>42760</v>
      </c>
      <c r="E13" s="22" t="n">
        <v>42768</v>
      </c>
      <c r="F13" s="21" t="s">
        <v>59</v>
      </c>
      <c r="G13" s="23" t="n">
        <v>40.63</v>
      </c>
      <c r="H13" s="23" t="n">
        <v>17.32</v>
      </c>
      <c r="I13" s="21" t="s">
        <v>60</v>
      </c>
      <c r="J13" s="21" t="n">
        <v>4</v>
      </c>
      <c r="K13" s="21" t="s">
        <v>46</v>
      </c>
      <c r="L13" s="24" t="n">
        <f aca="false">DATE(YEAR(C13),MONTH(C13),1)</f>
        <v>42736</v>
      </c>
      <c r="M13" s="21" t="n">
        <f aca="false">D13-C13</f>
        <v>9</v>
      </c>
      <c r="N13" s="21" t="n">
        <f aca="false">MAX(0,D13-E13)</f>
        <v>0</v>
      </c>
      <c r="O13" s="21" t="n">
        <f aca="false">IF(D13&lt;=E13,1,0)</f>
        <v>1</v>
      </c>
      <c r="P13" s="23" t="n">
        <f aca="false">G13+H13</f>
        <v>57.95</v>
      </c>
      <c r="Q13" s="23" t="n">
        <f aca="false">G13*INDEX(Assumptions!$B$8:$B$16,MATCH(F13,Assumptions!$A$8:$A$16,0))</f>
        <v>26.0032</v>
      </c>
      <c r="R13" s="23" t="n">
        <f aca="false">H13*Assumptions!$B$3</f>
        <v>10.392</v>
      </c>
      <c r="S13" s="23" t="n">
        <f aca="false">G13-Q13-R13</f>
        <v>4.2348</v>
      </c>
      <c r="T13" s="21" t="str">
        <f aca="false">IF(M13&lt;=7,"0-7 days",IF(M13&lt;=14,"8-14 days",IF(M13&lt;=21,"15-21 days","22+ days")))</f>
        <v>8-14 days</v>
      </c>
    </row>
    <row r="14" customFormat="false" ht="15" hidden="false" customHeight="false" outlineLevel="0" collapsed="false">
      <c r="A14" s="21" t="s">
        <v>70</v>
      </c>
      <c r="B14" s="21" t="s">
        <v>19</v>
      </c>
      <c r="C14" s="22" t="n">
        <v>42753</v>
      </c>
      <c r="D14" s="22" t="n">
        <v>42759</v>
      </c>
      <c r="E14" s="22" t="n">
        <v>42770</v>
      </c>
      <c r="F14" s="21" t="s">
        <v>44</v>
      </c>
      <c r="G14" s="23" t="n">
        <v>60.84</v>
      </c>
      <c r="H14" s="23" t="n">
        <v>20.58</v>
      </c>
      <c r="I14" s="21" t="s">
        <v>45</v>
      </c>
      <c r="J14" s="21" t="n">
        <v>5</v>
      </c>
      <c r="K14" s="21" t="s">
        <v>46</v>
      </c>
      <c r="L14" s="24" t="n">
        <f aca="false">DATE(YEAR(C14),MONTH(C14),1)</f>
        <v>42736</v>
      </c>
      <c r="M14" s="21" t="n">
        <f aca="false">D14-C14</f>
        <v>6</v>
      </c>
      <c r="N14" s="21" t="n">
        <f aca="false">MAX(0,D14-E14)</f>
        <v>0</v>
      </c>
      <c r="O14" s="21" t="n">
        <f aca="false">IF(D14&lt;=E14,1,0)</f>
        <v>1</v>
      </c>
      <c r="P14" s="23" t="n">
        <f aca="false">G14+H14</f>
        <v>81.42</v>
      </c>
      <c r="Q14" s="23" t="n">
        <f aca="false">G14*INDEX(Assumptions!$B$8:$B$16,MATCH(F14,Assumptions!$A$8:$A$16,0))</f>
        <v>36.504</v>
      </c>
      <c r="R14" s="23" t="n">
        <f aca="false">H14*Assumptions!$B$3</f>
        <v>12.348</v>
      </c>
      <c r="S14" s="23" t="n">
        <f aca="false">G14-Q14-R14</f>
        <v>11.988</v>
      </c>
      <c r="T14" s="21" t="str">
        <f aca="false">IF(M14&lt;=7,"0-7 days",IF(M14&lt;=14,"8-14 days",IF(M14&lt;=21,"15-21 days","22+ days")))</f>
        <v>0-7 days</v>
      </c>
    </row>
    <row r="15" customFormat="false" ht="15" hidden="false" customHeight="false" outlineLevel="0" collapsed="false">
      <c r="A15" s="21" t="s">
        <v>71</v>
      </c>
      <c r="B15" s="21" t="s">
        <v>19</v>
      </c>
      <c r="C15" s="22" t="n">
        <v>42755</v>
      </c>
      <c r="D15" s="22" t="n">
        <v>42759</v>
      </c>
      <c r="E15" s="22" t="n">
        <v>42772</v>
      </c>
      <c r="F15" s="21" t="s">
        <v>59</v>
      </c>
      <c r="G15" s="23" t="n">
        <v>48.02</v>
      </c>
      <c r="H15" s="23" t="n">
        <v>15.63</v>
      </c>
      <c r="I15" s="21" t="s">
        <v>45</v>
      </c>
      <c r="J15" s="21" t="n">
        <v>3</v>
      </c>
      <c r="K15" s="21" t="s">
        <v>46</v>
      </c>
      <c r="L15" s="24" t="n">
        <f aca="false">DATE(YEAR(C15),MONTH(C15),1)</f>
        <v>42736</v>
      </c>
      <c r="M15" s="21" t="n">
        <f aca="false">D15-C15</f>
        <v>4</v>
      </c>
      <c r="N15" s="21" t="n">
        <f aca="false">MAX(0,D15-E15)</f>
        <v>0</v>
      </c>
      <c r="O15" s="21" t="n">
        <f aca="false">IF(D15&lt;=E15,1,0)</f>
        <v>1</v>
      </c>
      <c r="P15" s="23" t="n">
        <f aca="false">G15+H15</f>
        <v>63.65</v>
      </c>
      <c r="Q15" s="23" t="n">
        <f aca="false">G15*INDEX(Assumptions!$B$8:$B$16,MATCH(F15,Assumptions!$A$8:$A$16,0))</f>
        <v>30.7328</v>
      </c>
      <c r="R15" s="23" t="n">
        <f aca="false">H15*Assumptions!$B$3</f>
        <v>9.378</v>
      </c>
      <c r="S15" s="23" t="n">
        <f aca="false">G15-Q15-R15</f>
        <v>7.9092</v>
      </c>
      <c r="T15" s="21" t="str">
        <f aca="false">IF(M15&lt;=7,"0-7 days",IF(M15&lt;=14,"8-14 days",IF(M15&lt;=21,"15-21 days","22+ days")))</f>
        <v>0-7 days</v>
      </c>
    </row>
    <row r="16" customFormat="false" ht="15" hidden="false" customHeight="false" outlineLevel="0" collapsed="false">
      <c r="A16" s="21" t="s">
        <v>72</v>
      </c>
      <c r="B16" s="21" t="s">
        <v>19</v>
      </c>
      <c r="C16" s="22" t="n">
        <v>42757</v>
      </c>
      <c r="D16" s="22" t="n">
        <v>42767</v>
      </c>
      <c r="E16" s="22" t="n">
        <v>42768</v>
      </c>
      <c r="F16" s="21" t="s">
        <v>67</v>
      </c>
      <c r="G16" s="23" t="n">
        <v>61.25</v>
      </c>
      <c r="H16" s="23" t="n">
        <v>12.74</v>
      </c>
      <c r="I16" s="21" t="s">
        <v>60</v>
      </c>
      <c r="J16" s="21" t="n">
        <v>5</v>
      </c>
      <c r="K16" s="21" t="s">
        <v>46</v>
      </c>
      <c r="L16" s="24" t="n">
        <f aca="false">DATE(YEAR(C16),MONTH(C16),1)</f>
        <v>42736</v>
      </c>
      <c r="M16" s="21" t="n">
        <f aca="false">D16-C16</f>
        <v>10</v>
      </c>
      <c r="N16" s="21" t="n">
        <f aca="false">MAX(0,D16-E16)</f>
        <v>0</v>
      </c>
      <c r="O16" s="21" t="n">
        <f aca="false">IF(D16&lt;=E16,1,0)</f>
        <v>1</v>
      </c>
      <c r="P16" s="23" t="n">
        <f aca="false">G16+H16</f>
        <v>73.99</v>
      </c>
      <c r="Q16" s="23" t="n">
        <f aca="false">G16*INDEX(Assumptions!$B$8:$B$16,MATCH(F16,Assumptions!$A$8:$A$16,0))</f>
        <v>37.975</v>
      </c>
      <c r="R16" s="23" t="n">
        <f aca="false">H16*Assumptions!$B$3</f>
        <v>7.644</v>
      </c>
      <c r="S16" s="23" t="n">
        <f aca="false">G16-Q16-R16</f>
        <v>15.631</v>
      </c>
      <c r="T16" s="21" t="str">
        <f aca="false">IF(M16&lt;=7,"0-7 days",IF(M16&lt;=14,"8-14 days",IF(M16&lt;=21,"15-21 days","22+ days")))</f>
        <v>8-14 days</v>
      </c>
    </row>
    <row r="17" customFormat="false" ht="15" hidden="false" customHeight="false" outlineLevel="0" collapsed="false">
      <c r="A17" s="21" t="s">
        <v>73</v>
      </c>
      <c r="B17" s="21" t="s">
        <v>62</v>
      </c>
      <c r="C17" s="22" t="n">
        <v>42758</v>
      </c>
      <c r="D17" s="22" t="n">
        <v>42771</v>
      </c>
      <c r="E17" s="22" t="n">
        <v>42782</v>
      </c>
      <c r="F17" s="21" t="s">
        <v>67</v>
      </c>
      <c r="G17" s="23" t="n">
        <v>33.18</v>
      </c>
      <c r="H17" s="23" t="n">
        <v>17.66</v>
      </c>
      <c r="I17" s="21" t="s">
        <v>45</v>
      </c>
      <c r="J17" s="21" t="n">
        <v>4</v>
      </c>
      <c r="K17" s="21" t="s">
        <v>46</v>
      </c>
      <c r="L17" s="24" t="n">
        <f aca="false">DATE(YEAR(C17),MONTH(C17),1)</f>
        <v>42736</v>
      </c>
      <c r="M17" s="21" t="n">
        <f aca="false">D17-C17</f>
        <v>13</v>
      </c>
      <c r="N17" s="21" t="n">
        <f aca="false">MAX(0,D17-E17)</f>
        <v>0</v>
      </c>
      <c r="O17" s="21" t="n">
        <f aca="false">IF(D17&lt;=E17,1,0)</f>
        <v>1</v>
      </c>
      <c r="P17" s="23" t="n">
        <f aca="false">G17+H17</f>
        <v>50.84</v>
      </c>
      <c r="Q17" s="23" t="n">
        <f aca="false">G17*INDEX(Assumptions!$B$8:$B$16,MATCH(F17,Assumptions!$A$8:$A$16,0))</f>
        <v>20.5716</v>
      </c>
      <c r="R17" s="23" t="n">
        <f aca="false">H17*Assumptions!$B$3</f>
        <v>10.596</v>
      </c>
      <c r="S17" s="23" t="n">
        <f aca="false">G17-Q17-R17</f>
        <v>2.0124</v>
      </c>
      <c r="T17" s="21" t="str">
        <f aca="false">IF(M17&lt;=7,"0-7 days",IF(M17&lt;=14,"8-14 days",IF(M17&lt;=21,"15-21 days","22+ days")))</f>
        <v>8-14 days</v>
      </c>
    </row>
    <row r="18" customFormat="false" ht="15" hidden="false" customHeight="false" outlineLevel="0" collapsed="false">
      <c r="A18" s="21" t="s">
        <v>74</v>
      </c>
      <c r="B18" s="21" t="s">
        <v>19</v>
      </c>
      <c r="C18" s="22" t="n">
        <v>42758</v>
      </c>
      <c r="D18" s="22" t="n">
        <v>42771</v>
      </c>
      <c r="E18" s="22" t="n">
        <v>42779</v>
      </c>
      <c r="F18" s="21" t="s">
        <v>67</v>
      </c>
      <c r="G18" s="23" t="n">
        <v>250.5</v>
      </c>
      <c r="H18" s="23" t="n">
        <v>25.67</v>
      </c>
      <c r="I18" s="21" t="s">
        <v>50</v>
      </c>
      <c r="J18" s="21" t="n">
        <v>4</v>
      </c>
      <c r="K18" s="21" t="s">
        <v>46</v>
      </c>
      <c r="L18" s="24" t="n">
        <f aca="false">DATE(YEAR(C18),MONTH(C18),1)</f>
        <v>42736</v>
      </c>
      <c r="M18" s="21" t="n">
        <f aca="false">D18-C18</f>
        <v>13</v>
      </c>
      <c r="N18" s="21" t="n">
        <f aca="false">MAX(0,D18-E18)</f>
        <v>0</v>
      </c>
      <c r="O18" s="21" t="n">
        <f aca="false">IF(D18&lt;=E18,1,0)</f>
        <v>1</v>
      </c>
      <c r="P18" s="23" t="n">
        <f aca="false">G18+H18</f>
        <v>276.17</v>
      </c>
      <c r="Q18" s="23" t="n">
        <f aca="false">G18*INDEX(Assumptions!$B$8:$B$16,MATCH(F18,Assumptions!$A$8:$A$16,0))</f>
        <v>155.31</v>
      </c>
      <c r="R18" s="23" t="n">
        <f aca="false">H18*Assumptions!$B$3</f>
        <v>15.402</v>
      </c>
      <c r="S18" s="23" t="n">
        <f aca="false">G18-Q18-R18</f>
        <v>79.788</v>
      </c>
      <c r="T18" s="21" t="str">
        <f aca="false">IF(M18&lt;=7,"0-7 days",IF(M18&lt;=14,"8-14 days",IF(M18&lt;=21,"15-21 days","22+ days")))</f>
        <v>8-14 days</v>
      </c>
    </row>
    <row r="19" customFormat="false" ht="15" hidden="false" customHeight="false" outlineLevel="0" collapsed="false">
      <c r="A19" s="21" t="s">
        <v>75</v>
      </c>
      <c r="B19" s="21" t="s">
        <v>19</v>
      </c>
      <c r="C19" s="22" t="n">
        <v>42758</v>
      </c>
      <c r="D19" s="22" t="n">
        <v>42763</v>
      </c>
      <c r="E19" s="22" t="n">
        <v>42770</v>
      </c>
      <c r="F19" s="21" t="s">
        <v>44</v>
      </c>
      <c r="G19" s="23" t="n">
        <v>89.54</v>
      </c>
      <c r="H19" s="23" t="n">
        <v>18.61</v>
      </c>
      <c r="I19" s="21" t="s">
        <v>45</v>
      </c>
      <c r="J19" s="21" t="n">
        <v>5</v>
      </c>
      <c r="K19" s="21" t="s">
        <v>46</v>
      </c>
      <c r="L19" s="24" t="n">
        <f aca="false">DATE(YEAR(C19),MONTH(C19),1)</f>
        <v>42736</v>
      </c>
      <c r="M19" s="21" t="n">
        <f aca="false">D19-C19</f>
        <v>5</v>
      </c>
      <c r="N19" s="21" t="n">
        <f aca="false">MAX(0,D19-E19)</f>
        <v>0</v>
      </c>
      <c r="O19" s="21" t="n">
        <f aca="false">IF(D19&lt;=E19,1,0)</f>
        <v>1</v>
      </c>
      <c r="P19" s="23" t="n">
        <f aca="false">G19+H19</f>
        <v>108.15</v>
      </c>
      <c r="Q19" s="23" t="n">
        <f aca="false">G19*INDEX(Assumptions!$B$8:$B$16,MATCH(F19,Assumptions!$A$8:$A$16,0))</f>
        <v>53.724</v>
      </c>
      <c r="R19" s="23" t="n">
        <f aca="false">H19*Assumptions!$B$3</f>
        <v>11.166</v>
      </c>
      <c r="S19" s="23" t="n">
        <f aca="false">G19-Q19-R19</f>
        <v>24.65</v>
      </c>
      <c r="T19" s="21" t="str">
        <f aca="false">IF(M19&lt;=7,"0-7 days",IF(M19&lt;=14,"8-14 days",IF(M19&lt;=21,"15-21 days","22+ days")))</f>
        <v>0-7 days</v>
      </c>
    </row>
    <row r="20" customFormat="false" ht="15" hidden="false" customHeight="false" outlineLevel="0" collapsed="false">
      <c r="A20" s="21" t="s">
        <v>76</v>
      </c>
      <c r="B20" s="21" t="s">
        <v>77</v>
      </c>
      <c r="C20" s="22" t="n">
        <v>42759</v>
      </c>
      <c r="D20" s="22" t="n">
        <v>42782</v>
      </c>
      <c r="E20" s="22" t="n">
        <v>42779</v>
      </c>
      <c r="F20" s="21" t="s">
        <v>49</v>
      </c>
      <c r="G20" s="23" t="n">
        <v>112.6</v>
      </c>
      <c r="H20" s="23" t="n">
        <v>19.63</v>
      </c>
      <c r="I20" s="21" t="s">
        <v>60</v>
      </c>
      <c r="J20" s="21" t="n">
        <v>3</v>
      </c>
      <c r="K20" s="21" t="s">
        <v>46</v>
      </c>
      <c r="L20" s="24" t="n">
        <f aca="false">DATE(YEAR(C20),MONTH(C20),1)</f>
        <v>42736</v>
      </c>
      <c r="M20" s="21" t="n">
        <f aca="false">D20-C20</f>
        <v>23</v>
      </c>
      <c r="N20" s="21" t="n">
        <f aca="false">MAX(0,D20-E20)</f>
        <v>3</v>
      </c>
      <c r="O20" s="21" t="n">
        <f aca="false">IF(D20&lt;=E20,1,0)</f>
        <v>0</v>
      </c>
      <c r="P20" s="23" t="n">
        <f aca="false">G20+H20</f>
        <v>132.23</v>
      </c>
      <c r="Q20" s="23" t="n">
        <f aca="false">G20*INDEX(Assumptions!$B$8:$B$16,MATCH(F20,Assumptions!$A$8:$A$16,0))</f>
        <v>65.308</v>
      </c>
      <c r="R20" s="23" t="n">
        <f aca="false">H20*Assumptions!$B$3</f>
        <v>11.778</v>
      </c>
      <c r="S20" s="23" t="n">
        <f aca="false">G20-Q20-R20</f>
        <v>35.514</v>
      </c>
      <c r="T20" s="21" t="str">
        <f aca="false">IF(M20&lt;=7,"0-7 days",IF(M20&lt;=14,"8-14 days",IF(M20&lt;=21,"15-21 days","22+ days")))</f>
        <v>22+ days</v>
      </c>
    </row>
    <row r="21" customFormat="false" ht="15" hidden="false" customHeight="false" outlineLevel="0" collapsed="false">
      <c r="A21" s="21" t="s">
        <v>78</v>
      </c>
      <c r="B21" s="21" t="s">
        <v>55</v>
      </c>
      <c r="C21" s="22" t="n">
        <v>42767</v>
      </c>
      <c r="D21" s="22" t="n">
        <v>42796</v>
      </c>
      <c r="E21" s="22" t="n">
        <v>42791</v>
      </c>
      <c r="F21" s="21" t="s">
        <v>79</v>
      </c>
      <c r="G21" s="23" t="n">
        <v>85.11</v>
      </c>
      <c r="H21" s="23" t="n">
        <v>25.44</v>
      </c>
      <c r="I21" s="21" t="s">
        <v>60</v>
      </c>
      <c r="J21" s="21" t="n">
        <v>3</v>
      </c>
      <c r="K21" s="21" t="s">
        <v>46</v>
      </c>
      <c r="L21" s="24" t="n">
        <f aca="false">DATE(YEAR(C21),MONTH(C21),1)</f>
        <v>42767</v>
      </c>
      <c r="M21" s="21" t="n">
        <f aca="false">D21-C21</f>
        <v>29</v>
      </c>
      <c r="N21" s="21" t="n">
        <f aca="false">MAX(0,D21-E21)</f>
        <v>5</v>
      </c>
      <c r="O21" s="21" t="n">
        <f aca="false">IF(D21&lt;=E21,1,0)</f>
        <v>0</v>
      </c>
      <c r="P21" s="23" t="n">
        <f aca="false">G21+H21</f>
        <v>110.55</v>
      </c>
      <c r="Q21" s="23" t="n">
        <f aca="false">G21*INDEX(Assumptions!$B$8:$B$16,MATCH(F21,Assumptions!$A$8:$A$16,0))</f>
        <v>59.577</v>
      </c>
      <c r="R21" s="23" t="n">
        <f aca="false">H21*Assumptions!$B$3</f>
        <v>15.264</v>
      </c>
      <c r="S21" s="23" t="n">
        <f aca="false">G21-Q21-R21</f>
        <v>10.269</v>
      </c>
      <c r="T21" s="21" t="str">
        <f aca="false">IF(M21&lt;=7,"0-7 days",IF(M21&lt;=14,"8-14 days",IF(M21&lt;=21,"15-21 days","22+ days")))</f>
        <v>22+ days</v>
      </c>
    </row>
    <row r="22" customFormat="false" ht="15" hidden="false" customHeight="false" outlineLevel="0" collapsed="false">
      <c r="A22" s="21" t="s">
        <v>80</v>
      </c>
      <c r="B22" s="21" t="s">
        <v>55</v>
      </c>
      <c r="C22" s="22" t="n">
        <v>42768</v>
      </c>
      <c r="D22" s="22" t="n">
        <v>42778</v>
      </c>
      <c r="E22" s="22" t="n">
        <v>42789</v>
      </c>
      <c r="F22" s="21" t="s">
        <v>67</v>
      </c>
      <c r="G22" s="23" t="n">
        <v>62.55</v>
      </c>
      <c r="H22" s="23" t="n">
        <v>25.58</v>
      </c>
      <c r="I22" s="21" t="s">
        <v>45</v>
      </c>
      <c r="J22" s="21" t="n">
        <v>4</v>
      </c>
      <c r="K22" s="21" t="s">
        <v>46</v>
      </c>
      <c r="L22" s="24" t="n">
        <f aca="false">DATE(YEAR(C22),MONTH(C22),1)</f>
        <v>42767</v>
      </c>
      <c r="M22" s="21" t="n">
        <f aca="false">D22-C22</f>
        <v>10</v>
      </c>
      <c r="N22" s="21" t="n">
        <f aca="false">MAX(0,D22-E22)</f>
        <v>0</v>
      </c>
      <c r="O22" s="21" t="n">
        <f aca="false">IF(D22&lt;=E22,1,0)</f>
        <v>1</v>
      </c>
      <c r="P22" s="23" t="n">
        <f aca="false">G22+H22</f>
        <v>88.13</v>
      </c>
      <c r="Q22" s="23" t="n">
        <f aca="false">G22*INDEX(Assumptions!$B$8:$B$16,MATCH(F22,Assumptions!$A$8:$A$16,0))</f>
        <v>38.781</v>
      </c>
      <c r="R22" s="23" t="n">
        <f aca="false">H22*Assumptions!$B$3</f>
        <v>15.348</v>
      </c>
      <c r="S22" s="23" t="n">
        <f aca="false">G22-Q22-R22</f>
        <v>8.421</v>
      </c>
      <c r="T22" s="21" t="str">
        <f aca="false">IF(M22&lt;=7,"0-7 days",IF(M22&lt;=14,"8-14 days",IF(M22&lt;=21,"15-21 days","22+ days")))</f>
        <v>8-14 days</v>
      </c>
    </row>
    <row r="23" customFormat="false" ht="15" hidden="false" customHeight="false" outlineLevel="0" collapsed="false">
      <c r="A23" s="21" t="s">
        <v>81</v>
      </c>
      <c r="B23" s="21" t="s">
        <v>52</v>
      </c>
      <c r="C23" s="22" t="n">
        <v>42768</v>
      </c>
      <c r="D23" s="22" t="n">
        <v>42778</v>
      </c>
      <c r="E23" s="22" t="n">
        <v>42796</v>
      </c>
      <c r="F23" s="21" t="s">
        <v>64</v>
      </c>
      <c r="G23" s="23" t="n">
        <v>97.97</v>
      </c>
      <c r="H23" s="23" t="n">
        <v>27.76</v>
      </c>
      <c r="I23" s="21" t="s">
        <v>45</v>
      </c>
      <c r="J23" s="21" t="n">
        <v>3</v>
      </c>
      <c r="K23" s="21" t="s">
        <v>46</v>
      </c>
      <c r="L23" s="24" t="n">
        <f aca="false">DATE(YEAR(C23),MONTH(C23),1)</f>
        <v>42767</v>
      </c>
      <c r="M23" s="21" t="n">
        <f aca="false">D23-C23</f>
        <v>10</v>
      </c>
      <c r="N23" s="21" t="n">
        <f aca="false">MAX(0,D23-E23)</f>
        <v>0</v>
      </c>
      <c r="O23" s="21" t="n">
        <f aca="false">IF(D23&lt;=E23,1,0)</f>
        <v>1</v>
      </c>
      <c r="P23" s="23" t="n">
        <f aca="false">G23+H23</f>
        <v>125.73</v>
      </c>
      <c r="Q23" s="23" t="n">
        <f aca="false">G23*INDEX(Assumptions!$B$8:$B$16,MATCH(F23,Assumptions!$A$8:$A$16,0))</f>
        <v>64.6602</v>
      </c>
      <c r="R23" s="23" t="n">
        <f aca="false">H23*Assumptions!$B$3</f>
        <v>16.656</v>
      </c>
      <c r="S23" s="23" t="n">
        <f aca="false">G23-Q23-R23</f>
        <v>16.6538</v>
      </c>
      <c r="T23" s="21" t="str">
        <f aca="false">IF(M23&lt;=7,"0-7 days",IF(M23&lt;=14,"8-14 days",IF(M23&lt;=21,"15-21 days","22+ days")))</f>
        <v>8-14 days</v>
      </c>
    </row>
    <row r="24" customFormat="false" ht="15" hidden="false" customHeight="false" outlineLevel="0" collapsed="false">
      <c r="A24" s="21" t="s">
        <v>82</v>
      </c>
      <c r="B24" s="21" t="s">
        <v>19</v>
      </c>
      <c r="C24" s="22" t="n">
        <v>42769</v>
      </c>
      <c r="D24" s="22" t="n">
        <v>42778</v>
      </c>
      <c r="E24" s="22" t="n">
        <v>42779</v>
      </c>
      <c r="F24" s="21" t="s">
        <v>59</v>
      </c>
      <c r="G24" s="23" t="n">
        <v>70.84</v>
      </c>
      <c r="H24" s="23" t="n">
        <v>20.21</v>
      </c>
      <c r="I24" s="21" t="s">
        <v>45</v>
      </c>
      <c r="J24" s="21" t="n">
        <v>5</v>
      </c>
      <c r="K24" s="21" t="s">
        <v>46</v>
      </c>
      <c r="L24" s="24" t="n">
        <f aca="false">DATE(YEAR(C24),MONTH(C24),1)</f>
        <v>42767</v>
      </c>
      <c r="M24" s="21" t="n">
        <f aca="false">D24-C24</f>
        <v>9</v>
      </c>
      <c r="N24" s="21" t="n">
        <f aca="false">MAX(0,D24-E24)</f>
        <v>0</v>
      </c>
      <c r="O24" s="21" t="n">
        <f aca="false">IF(D24&lt;=E24,1,0)</f>
        <v>1</v>
      </c>
      <c r="P24" s="23" t="n">
        <f aca="false">G24+H24</f>
        <v>91.05</v>
      </c>
      <c r="Q24" s="23" t="n">
        <f aca="false">G24*INDEX(Assumptions!$B$8:$B$16,MATCH(F24,Assumptions!$A$8:$A$16,0))</f>
        <v>45.3376</v>
      </c>
      <c r="R24" s="23" t="n">
        <f aca="false">H24*Assumptions!$B$3</f>
        <v>12.126</v>
      </c>
      <c r="S24" s="23" t="n">
        <f aca="false">G24-Q24-R24</f>
        <v>13.3764</v>
      </c>
      <c r="T24" s="21" t="str">
        <f aca="false">IF(M24&lt;=7,"0-7 days",IF(M24&lt;=14,"8-14 days",IF(M24&lt;=21,"15-21 days","22+ days")))</f>
        <v>8-14 days</v>
      </c>
    </row>
    <row r="25" customFormat="false" ht="15" hidden="false" customHeight="false" outlineLevel="0" collapsed="false">
      <c r="A25" s="21" t="s">
        <v>83</v>
      </c>
      <c r="B25" s="21" t="s">
        <v>19</v>
      </c>
      <c r="C25" s="22" t="n">
        <v>42769</v>
      </c>
      <c r="D25" s="22" t="n">
        <v>42779</v>
      </c>
      <c r="E25" s="22" t="n">
        <v>42784</v>
      </c>
      <c r="F25" s="21" t="s">
        <v>67</v>
      </c>
      <c r="G25" s="23" t="n">
        <v>55.04</v>
      </c>
      <c r="H25" s="23" t="n">
        <v>14.16</v>
      </c>
      <c r="I25" s="21" t="s">
        <v>60</v>
      </c>
      <c r="J25" s="21" t="n">
        <v>5</v>
      </c>
      <c r="K25" s="21" t="s">
        <v>46</v>
      </c>
      <c r="L25" s="24" t="n">
        <f aca="false">DATE(YEAR(C25),MONTH(C25),1)</f>
        <v>42767</v>
      </c>
      <c r="M25" s="21" t="n">
        <f aca="false">D25-C25</f>
        <v>10</v>
      </c>
      <c r="N25" s="21" t="n">
        <f aca="false">MAX(0,D25-E25)</f>
        <v>0</v>
      </c>
      <c r="O25" s="21" t="n">
        <f aca="false">IF(D25&lt;=E25,1,0)</f>
        <v>1</v>
      </c>
      <c r="P25" s="23" t="n">
        <f aca="false">G25+H25</f>
        <v>69.2</v>
      </c>
      <c r="Q25" s="23" t="n">
        <f aca="false">G25*INDEX(Assumptions!$B$8:$B$16,MATCH(F25,Assumptions!$A$8:$A$16,0))</f>
        <v>34.1248</v>
      </c>
      <c r="R25" s="23" t="n">
        <f aca="false">H25*Assumptions!$B$3</f>
        <v>8.496</v>
      </c>
      <c r="S25" s="23" t="n">
        <f aca="false">G25-Q25-R25</f>
        <v>12.4192</v>
      </c>
      <c r="T25" s="21" t="str">
        <f aca="false">IF(M25&lt;=7,"0-7 days",IF(M25&lt;=14,"8-14 days",IF(M25&lt;=21,"15-21 days","22+ days")))</f>
        <v>8-14 days</v>
      </c>
    </row>
    <row r="26" customFormat="false" ht="15" hidden="false" customHeight="false" outlineLevel="0" collapsed="false">
      <c r="A26" s="21" t="s">
        <v>84</v>
      </c>
      <c r="B26" s="21" t="s">
        <v>19</v>
      </c>
      <c r="C26" s="22" t="n">
        <v>42769</v>
      </c>
      <c r="D26" s="22" t="n">
        <v>42780</v>
      </c>
      <c r="E26" s="22" t="n">
        <v>42781</v>
      </c>
      <c r="F26" s="21" t="s">
        <v>79</v>
      </c>
      <c r="G26" s="23" t="n">
        <v>67.99</v>
      </c>
      <c r="H26" s="23" t="n">
        <v>12.43</v>
      </c>
      <c r="I26" s="21" t="s">
        <v>45</v>
      </c>
      <c r="J26" s="21" t="n">
        <v>4</v>
      </c>
      <c r="K26" s="21" t="s">
        <v>46</v>
      </c>
      <c r="L26" s="24" t="n">
        <f aca="false">DATE(YEAR(C26),MONTH(C26),1)</f>
        <v>42767</v>
      </c>
      <c r="M26" s="21" t="n">
        <f aca="false">D26-C26</f>
        <v>11</v>
      </c>
      <c r="N26" s="21" t="n">
        <f aca="false">MAX(0,D26-E26)</f>
        <v>0</v>
      </c>
      <c r="O26" s="21" t="n">
        <f aca="false">IF(D26&lt;=E26,1,0)</f>
        <v>1</v>
      </c>
      <c r="P26" s="23" t="n">
        <f aca="false">G26+H26</f>
        <v>80.42</v>
      </c>
      <c r="Q26" s="23" t="n">
        <f aca="false">G26*INDEX(Assumptions!$B$8:$B$16,MATCH(F26,Assumptions!$A$8:$A$16,0))</f>
        <v>47.593</v>
      </c>
      <c r="R26" s="23" t="n">
        <f aca="false">H26*Assumptions!$B$3</f>
        <v>7.458</v>
      </c>
      <c r="S26" s="23" t="n">
        <f aca="false">G26-Q26-R26</f>
        <v>12.939</v>
      </c>
      <c r="T26" s="21" t="str">
        <f aca="false">IF(M26&lt;=7,"0-7 days",IF(M26&lt;=14,"8-14 days",IF(M26&lt;=21,"15-21 days","22+ days")))</f>
        <v>8-14 days</v>
      </c>
    </row>
    <row r="27" customFormat="false" ht="15" hidden="false" customHeight="false" outlineLevel="0" collapsed="false">
      <c r="A27" s="21" t="s">
        <v>85</v>
      </c>
      <c r="B27" s="21" t="s">
        <v>19</v>
      </c>
      <c r="C27" s="22" t="n">
        <v>42770</v>
      </c>
      <c r="D27" s="22" t="n">
        <v>42776</v>
      </c>
      <c r="E27" s="22" t="n">
        <v>42785</v>
      </c>
      <c r="F27" s="21" t="s">
        <v>64</v>
      </c>
      <c r="G27" s="23" t="n">
        <v>138.64</v>
      </c>
      <c r="H27" s="23" t="n">
        <v>20.77</v>
      </c>
      <c r="I27" s="21" t="s">
        <v>45</v>
      </c>
      <c r="J27" s="21" t="n">
        <v>4</v>
      </c>
      <c r="K27" s="21" t="s">
        <v>46</v>
      </c>
      <c r="L27" s="24" t="n">
        <f aca="false">DATE(YEAR(C27),MONTH(C27),1)</f>
        <v>42767</v>
      </c>
      <c r="M27" s="21" t="n">
        <f aca="false">D27-C27</f>
        <v>6</v>
      </c>
      <c r="N27" s="21" t="n">
        <f aca="false">MAX(0,D27-E27)</f>
        <v>0</v>
      </c>
      <c r="O27" s="21" t="n">
        <f aca="false">IF(D27&lt;=E27,1,0)</f>
        <v>1</v>
      </c>
      <c r="P27" s="23" t="n">
        <f aca="false">G27+H27</f>
        <v>159.41</v>
      </c>
      <c r="Q27" s="23" t="n">
        <f aca="false">G27*INDEX(Assumptions!$B$8:$B$16,MATCH(F27,Assumptions!$A$8:$A$16,0))</f>
        <v>91.5024</v>
      </c>
      <c r="R27" s="23" t="n">
        <f aca="false">H27*Assumptions!$B$3</f>
        <v>12.462</v>
      </c>
      <c r="S27" s="23" t="n">
        <f aca="false">G27-Q27-R27</f>
        <v>34.6756</v>
      </c>
      <c r="T27" s="21" t="str">
        <f aca="false">IF(M27&lt;=7,"0-7 days",IF(M27&lt;=14,"8-14 days",IF(M27&lt;=21,"15-21 days","22+ days")))</f>
        <v>0-7 days</v>
      </c>
    </row>
    <row r="28" customFormat="false" ht="15" hidden="false" customHeight="false" outlineLevel="0" collapsed="false">
      <c r="A28" s="21" t="s">
        <v>86</v>
      </c>
      <c r="B28" s="21" t="s">
        <v>19</v>
      </c>
      <c r="C28" s="22" t="n">
        <v>42771</v>
      </c>
      <c r="D28" s="22" t="n">
        <v>42777</v>
      </c>
      <c r="E28" s="22" t="n">
        <v>42790</v>
      </c>
      <c r="F28" s="21" t="s">
        <v>79</v>
      </c>
      <c r="G28" s="23" t="n">
        <v>69.1</v>
      </c>
      <c r="H28" s="23" t="n">
        <v>18.24</v>
      </c>
      <c r="I28" s="21" t="s">
        <v>60</v>
      </c>
      <c r="J28" s="21" t="n">
        <v>5</v>
      </c>
      <c r="K28" s="21" t="s">
        <v>46</v>
      </c>
      <c r="L28" s="24" t="n">
        <f aca="false">DATE(YEAR(C28),MONTH(C28),1)</f>
        <v>42767</v>
      </c>
      <c r="M28" s="21" t="n">
        <f aca="false">D28-C28</f>
        <v>6</v>
      </c>
      <c r="N28" s="21" t="n">
        <f aca="false">MAX(0,D28-E28)</f>
        <v>0</v>
      </c>
      <c r="O28" s="21" t="n">
        <f aca="false">IF(D28&lt;=E28,1,0)</f>
        <v>1</v>
      </c>
      <c r="P28" s="23" t="n">
        <f aca="false">G28+H28</f>
        <v>87.34</v>
      </c>
      <c r="Q28" s="23" t="n">
        <f aca="false">G28*INDEX(Assumptions!$B$8:$B$16,MATCH(F28,Assumptions!$A$8:$A$16,0))</f>
        <v>48.37</v>
      </c>
      <c r="R28" s="23" t="n">
        <f aca="false">H28*Assumptions!$B$3</f>
        <v>10.944</v>
      </c>
      <c r="S28" s="23" t="n">
        <f aca="false">G28-Q28-R28</f>
        <v>9.78600000000001</v>
      </c>
      <c r="T28" s="21" t="str">
        <f aca="false">IF(M28&lt;=7,"0-7 days",IF(M28&lt;=14,"8-14 days",IF(M28&lt;=21,"15-21 days","22+ days")))</f>
        <v>0-7 days</v>
      </c>
    </row>
    <row r="29" customFormat="false" ht="15" hidden="false" customHeight="false" outlineLevel="0" collapsed="false">
      <c r="A29" s="21" t="s">
        <v>87</v>
      </c>
      <c r="B29" s="21" t="s">
        <v>19</v>
      </c>
      <c r="C29" s="22" t="n">
        <v>42773</v>
      </c>
      <c r="D29" s="22" t="n">
        <v>42780</v>
      </c>
      <c r="E29" s="22" t="n">
        <v>42792</v>
      </c>
      <c r="F29" s="21" t="s">
        <v>59</v>
      </c>
      <c r="G29" s="23" t="n">
        <v>92.54</v>
      </c>
      <c r="H29" s="23" t="n">
        <v>21.21</v>
      </c>
      <c r="I29" s="21" t="s">
        <v>60</v>
      </c>
      <c r="J29" s="21" t="n">
        <v>5</v>
      </c>
      <c r="K29" s="21" t="s">
        <v>46</v>
      </c>
      <c r="L29" s="24" t="n">
        <f aca="false">DATE(YEAR(C29),MONTH(C29),1)</f>
        <v>42767</v>
      </c>
      <c r="M29" s="21" t="n">
        <f aca="false">D29-C29</f>
        <v>7</v>
      </c>
      <c r="N29" s="21" t="n">
        <f aca="false">MAX(0,D29-E29)</f>
        <v>0</v>
      </c>
      <c r="O29" s="21" t="n">
        <f aca="false">IF(D29&lt;=E29,1,0)</f>
        <v>1</v>
      </c>
      <c r="P29" s="23" t="n">
        <f aca="false">G29+H29</f>
        <v>113.75</v>
      </c>
      <c r="Q29" s="23" t="n">
        <f aca="false">G29*INDEX(Assumptions!$B$8:$B$16,MATCH(F29,Assumptions!$A$8:$A$16,0))</f>
        <v>59.2256</v>
      </c>
      <c r="R29" s="23" t="n">
        <f aca="false">H29*Assumptions!$B$3</f>
        <v>12.726</v>
      </c>
      <c r="S29" s="23" t="n">
        <f aca="false">G29-Q29-R29</f>
        <v>20.5884</v>
      </c>
      <c r="T29" s="21" t="str">
        <f aca="false">IF(M29&lt;=7,"0-7 days",IF(M29&lt;=14,"8-14 days",IF(M29&lt;=21,"15-21 days","22+ days")))</f>
        <v>0-7 days</v>
      </c>
    </row>
    <row r="30" customFormat="false" ht="15" hidden="false" customHeight="false" outlineLevel="0" collapsed="false">
      <c r="A30" s="21" t="s">
        <v>88</v>
      </c>
      <c r="B30" s="21" t="s">
        <v>55</v>
      </c>
      <c r="C30" s="22" t="n">
        <v>42774</v>
      </c>
      <c r="D30" s="22" t="n">
        <v>42796</v>
      </c>
      <c r="E30" s="22" t="n">
        <v>42798</v>
      </c>
      <c r="F30" s="21" t="s">
        <v>57</v>
      </c>
      <c r="G30" s="23" t="n">
        <v>146.52</v>
      </c>
      <c r="H30" s="23" t="n">
        <v>30.68</v>
      </c>
      <c r="I30" s="21" t="s">
        <v>45</v>
      </c>
      <c r="J30" s="21" t="n">
        <v>3</v>
      </c>
      <c r="K30" s="21" t="s">
        <v>46</v>
      </c>
      <c r="L30" s="24" t="n">
        <f aca="false">DATE(YEAR(C30),MONTH(C30),1)</f>
        <v>42767</v>
      </c>
      <c r="M30" s="21" t="n">
        <f aca="false">D30-C30</f>
        <v>22</v>
      </c>
      <c r="N30" s="21" t="n">
        <f aca="false">MAX(0,D30-E30)</f>
        <v>0</v>
      </c>
      <c r="O30" s="21" t="n">
        <f aca="false">IF(D30&lt;=E30,1,0)</f>
        <v>1</v>
      </c>
      <c r="P30" s="23" t="n">
        <f aca="false">G30+H30</f>
        <v>177.2</v>
      </c>
      <c r="Q30" s="23" t="n">
        <f aca="false">G30*INDEX(Assumptions!$B$8:$B$16,MATCH(F30,Assumptions!$A$8:$A$16,0))</f>
        <v>99.6336</v>
      </c>
      <c r="R30" s="23" t="n">
        <f aca="false">H30*Assumptions!$B$3</f>
        <v>18.408</v>
      </c>
      <c r="S30" s="23" t="n">
        <f aca="false">G30-Q30-R30</f>
        <v>28.4784</v>
      </c>
      <c r="T30" s="21" t="str">
        <f aca="false">IF(M30&lt;=7,"0-7 days",IF(M30&lt;=14,"8-14 days",IF(M30&lt;=21,"15-21 days","22+ days")))</f>
        <v>22+ days</v>
      </c>
    </row>
    <row r="31" customFormat="false" ht="15" hidden="false" customHeight="false" outlineLevel="0" collapsed="false">
      <c r="A31" s="21" t="s">
        <v>89</v>
      </c>
      <c r="B31" s="21" t="s">
        <v>62</v>
      </c>
      <c r="C31" s="22" t="n">
        <v>42775</v>
      </c>
      <c r="D31" s="22" t="n">
        <v>42785</v>
      </c>
      <c r="E31" s="22" t="n">
        <v>42798</v>
      </c>
      <c r="F31" s="21" t="s">
        <v>53</v>
      </c>
      <c r="G31" s="23" t="n">
        <v>114.08</v>
      </c>
      <c r="H31" s="23" t="n">
        <v>17.59</v>
      </c>
      <c r="I31" s="21" t="s">
        <v>45</v>
      </c>
      <c r="J31" s="21" t="n">
        <v>5</v>
      </c>
      <c r="K31" s="21" t="s">
        <v>46</v>
      </c>
      <c r="L31" s="24" t="n">
        <f aca="false">DATE(YEAR(C31),MONTH(C31),1)</f>
        <v>42767</v>
      </c>
      <c r="M31" s="21" t="n">
        <f aca="false">D31-C31</f>
        <v>10</v>
      </c>
      <c r="N31" s="21" t="n">
        <f aca="false">MAX(0,D31-E31)</f>
        <v>0</v>
      </c>
      <c r="O31" s="21" t="n">
        <f aca="false">IF(D31&lt;=E31,1,0)</f>
        <v>1</v>
      </c>
      <c r="P31" s="23" t="n">
        <f aca="false">G31+H31</f>
        <v>131.67</v>
      </c>
      <c r="Q31" s="23" t="n">
        <f aca="false">G31*INDEX(Assumptions!$B$8:$B$16,MATCH(F31,Assumptions!$A$8:$A$16,0))</f>
        <v>84.4192</v>
      </c>
      <c r="R31" s="23" t="n">
        <f aca="false">H31*Assumptions!$B$3</f>
        <v>10.554</v>
      </c>
      <c r="S31" s="23" t="n">
        <f aca="false">G31-Q31-R31</f>
        <v>19.1068</v>
      </c>
      <c r="T31" s="21" t="str">
        <f aca="false">IF(M31&lt;=7,"0-7 days",IF(M31&lt;=14,"8-14 days",IF(M31&lt;=21,"15-21 days","22+ days")))</f>
        <v>8-14 days</v>
      </c>
    </row>
    <row r="32" customFormat="false" ht="15" hidden="false" customHeight="false" outlineLevel="0" collapsed="false">
      <c r="A32" s="21" t="s">
        <v>90</v>
      </c>
      <c r="B32" s="21" t="s">
        <v>52</v>
      </c>
      <c r="C32" s="22" t="n">
        <v>42775</v>
      </c>
      <c r="D32" s="22" t="n">
        <v>42781</v>
      </c>
      <c r="E32" s="22" t="n">
        <v>42800</v>
      </c>
      <c r="F32" s="21" t="s">
        <v>49</v>
      </c>
      <c r="G32" s="23" t="n">
        <v>37.76</v>
      </c>
      <c r="H32" s="23" t="n">
        <v>21.64</v>
      </c>
      <c r="I32" s="21" t="s">
        <v>50</v>
      </c>
      <c r="J32" s="21" t="n">
        <v>5</v>
      </c>
      <c r="K32" s="21" t="s">
        <v>46</v>
      </c>
      <c r="L32" s="24" t="n">
        <f aca="false">DATE(YEAR(C32),MONTH(C32),1)</f>
        <v>42767</v>
      </c>
      <c r="M32" s="21" t="n">
        <f aca="false">D32-C32</f>
        <v>6</v>
      </c>
      <c r="N32" s="21" t="n">
        <f aca="false">MAX(0,D32-E32)</f>
        <v>0</v>
      </c>
      <c r="O32" s="21" t="n">
        <f aca="false">IF(D32&lt;=E32,1,0)</f>
        <v>1</v>
      </c>
      <c r="P32" s="23" t="n">
        <f aca="false">G32+H32</f>
        <v>59.4</v>
      </c>
      <c r="Q32" s="23" t="n">
        <f aca="false">G32*INDEX(Assumptions!$B$8:$B$16,MATCH(F32,Assumptions!$A$8:$A$16,0))</f>
        <v>21.9008</v>
      </c>
      <c r="R32" s="23" t="n">
        <f aca="false">H32*Assumptions!$B$3</f>
        <v>12.984</v>
      </c>
      <c r="S32" s="23" t="n">
        <f aca="false">G32-Q32-R32</f>
        <v>2.8752</v>
      </c>
      <c r="T32" s="21" t="str">
        <f aca="false">IF(M32&lt;=7,"0-7 days",IF(M32&lt;=14,"8-14 days",IF(M32&lt;=21,"15-21 days","22+ days")))</f>
        <v>0-7 days</v>
      </c>
    </row>
    <row r="33" customFormat="false" ht="15" hidden="false" customHeight="false" outlineLevel="0" collapsed="false">
      <c r="A33" s="21" t="s">
        <v>91</v>
      </c>
      <c r="B33" s="21" t="s">
        <v>55</v>
      </c>
      <c r="C33" s="22" t="n">
        <v>42775</v>
      </c>
      <c r="D33" s="22" t="n">
        <v>42790</v>
      </c>
      <c r="E33" s="22" t="n">
        <v>42802</v>
      </c>
      <c r="F33" s="21" t="s">
        <v>59</v>
      </c>
      <c r="G33" s="23" t="n">
        <v>76.03</v>
      </c>
      <c r="H33" s="23" t="n">
        <v>22.19</v>
      </c>
      <c r="I33" s="21" t="s">
        <v>45</v>
      </c>
      <c r="J33" s="21" t="n">
        <v>4</v>
      </c>
      <c r="K33" s="21" t="s">
        <v>46</v>
      </c>
      <c r="L33" s="24" t="n">
        <f aca="false">DATE(YEAR(C33),MONTH(C33),1)</f>
        <v>42767</v>
      </c>
      <c r="M33" s="21" t="n">
        <f aca="false">D33-C33</f>
        <v>15</v>
      </c>
      <c r="N33" s="21" t="n">
        <f aca="false">MAX(0,D33-E33)</f>
        <v>0</v>
      </c>
      <c r="O33" s="21" t="n">
        <f aca="false">IF(D33&lt;=E33,1,0)</f>
        <v>1</v>
      </c>
      <c r="P33" s="23" t="n">
        <f aca="false">G33+H33</f>
        <v>98.22</v>
      </c>
      <c r="Q33" s="23" t="n">
        <f aca="false">G33*INDEX(Assumptions!$B$8:$B$16,MATCH(F33,Assumptions!$A$8:$A$16,0))</f>
        <v>48.6592</v>
      </c>
      <c r="R33" s="23" t="n">
        <f aca="false">H33*Assumptions!$B$3</f>
        <v>13.314</v>
      </c>
      <c r="S33" s="23" t="n">
        <f aca="false">G33-Q33-R33</f>
        <v>14.0568</v>
      </c>
      <c r="T33" s="21" t="str">
        <f aca="false">IF(M33&lt;=7,"0-7 days",IF(M33&lt;=14,"8-14 days",IF(M33&lt;=21,"15-21 days","22+ days")))</f>
        <v>15-21 days</v>
      </c>
    </row>
    <row r="34" customFormat="false" ht="15" hidden="false" customHeight="false" outlineLevel="0" collapsed="false">
      <c r="A34" s="21" t="s">
        <v>92</v>
      </c>
      <c r="B34" s="21" t="s">
        <v>93</v>
      </c>
      <c r="C34" s="22" t="n">
        <v>42775</v>
      </c>
      <c r="D34" s="22" t="n">
        <v>42796</v>
      </c>
      <c r="E34" s="22" t="n">
        <v>42803</v>
      </c>
      <c r="F34" s="21" t="s">
        <v>57</v>
      </c>
      <c r="G34" s="23" t="n">
        <v>43.19</v>
      </c>
      <c r="H34" s="23" t="n">
        <v>32.82</v>
      </c>
      <c r="I34" s="21" t="s">
        <v>45</v>
      </c>
      <c r="J34" s="21" t="n">
        <v>4</v>
      </c>
      <c r="K34" s="21" t="s">
        <v>46</v>
      </c>
      <c r="L34" s="24" t="n">
        <f aca="false">DATE(YEAR(C34),MONTH(C34),1)</f>
        <v>42767</v>
      </c>
      <c r="M34" s="21" t="n">
        <f aca="false">D34-C34</f>
        <v>21</v>
      </c>
      <c r="N34" s="21" t="n">
        <f aca="false">MAX(0,D34-E34)</f>
        <v>0</v>
      </c>
      <c r="O34" s="21" t="n">
        <f aca="false">IF(D34&lt;=E34,1,0)</f>
        <v>1</v>
      </c>
      <c r="P34" s="23" t="n">
        <f aca="false">G34+H34</f>
        <v>76.01</v>
      </c>
      <c r="Q34" s="23" t="n">
        <f aca="false">G34*INDEX(Assumptions!$B$8:$B$16,MATCH(F34,Assumptions!$A$8:$A$16,0))</f>
        <v>29.3692</v>
      </c>
      <c r="R34" s="23" t="n">
        <f aca="false">H34*Assumptions!$B$3</f>
        <v>19.692</v>
      </c>
      <c r="S34" s="23" t="n">
        <f aca="false">G34-Q34-R34</f>
        <v>-5.8712</v>
      </c>
      <c r="T34" s="21" t="str">
        <f aca="false">IF(M34&lt;=7,"0-7 days",IF(M34&lt;=14,"8-14 days",IF(M34&lt;=21,"15-21 days","22+ days")))</f>
        <v>15-21 days</v>
      </c>
    </row>
    <row r="35" customFormat="false" ht="15" hidden="false" customHeight="false" outlineLevel="0" collapsed="false">
      <c r="A35" s="21" t="s">
        <v>94</v>
      </c>
      <c r="B35" s="21" t="s">
        <v>19</v>
      </c>
      <c r="C35" s="22" t="n">
        <v>42776</v>
      </c>
      <c r="D35" s="22" t="n">
        <v>42785</v>
      </c>
      <c r="E35" s="22" t="n">
        <v>42790</v>
      </c>
      <c r="F35" s="21" t="s">
        <v>53</v>
      </c>
      <c r="G35" s="23" t="n">
        <v>134.13</v>
      </c>
      <c r="H35" s="23" t="n">
        <v>16.76</v>
      </c>
      <c r="I35" s="21" t="s">
        <v>45</v>
      </c>
      <c r="J35" s="21" t="n">
        <v>5</v>
      </c>
      <c r="K35" s="21" t="s">
        <v>46</v>
      </c>
      <c r="L35" s="24" t="n">
        <f aca="false">DATE(YEAR(C35),MONTH(C35),1)</f>
        <v>42767</v>
      </c>
      <c r="M35" s="21" t="n">
        <f aca="false">D35-C35</f>
        <v>9</v>
      </c>
      <c r="N35" s="21" t="n">
        <f aca="false">MAX(0,D35-E35)</f>
        <v>0</v>
      </c>
      <c r="O35" s="21" t="n">
        <f aca="false">IF(D35&lt;=E35,1,0)</f>
        <v>1</v>
      </c>
      <c r="P35" s="23" t="n">
        <f aca="false">G35+H35</f>
        <v>150.89</v>
      </c>
      <c r="Q35" s="23" t="n">
        <f aca="false">G35*INDEX(Assumptions!$B$8:$B$16,MATCH(F35,Assumptions!$A$8:$A$16,0))</f>
        <v>99.2562</v>
      </c>
      <c r="R35" s="23" t="n">
        <f aca="false">H35*Assumptions!$B$3</f>
        <v>10.056</v>
      </c>
      <c r="S35" s="23" t="n">
        <f aca="false">G35-Q35-R35</f>
        <v>24.8178</v>
      </c>
      <c r="T35" s="21" t="str">
        <f aca="false">IF(M35&lt;=7,"0-7 days",IF(M35&lt;=14,"8-14 days",IF(M35&lt;=21,"15-21 days","22+ days")))</f>
        <v>8-14 days</v>
      </c>
    </row>
    <row r="36" customFormat="false" ht="15" hidden="false" customHeight="false" outlineLevel="0" collapsed="false">
      <c r="A36" s="21" t="s">
        <v>95</v>
      </c>
      <c r="B36" s="21" t="s">
        <v>19</v>
      </c>
      <c r="C36" s="22" t="n">
        <v>42777</v>
      </c>
      <c r="D36" s="22" t="n">
        <v>42783</v>
      </c>
      <c r="E36" s="22" t="n">
        <v>42794</v>
      </c>
      <c r="F36" s="21" t="s">
        <v>53</v>
      </c>
      <c r="G36" s="23" t="n">
        <v>142.46</v>
      </c>
      <c r="H36" s="23" t="n">
        <v>18.04</v>
      </c>
      <c r="I36" s="21" t="s">
        <v>45</v>
      </c>
      <c r="J36" s="21" t="n">
        <v>3</v>
      </c>
      <c r="K36" s="21" t="s">
        <v>46</v>
      </c>
      <c r="L36" s="24" t="n">
        <f aca="false">DATE(YEAR(C36),MONTH(C36),1)</f>
        <v>42767</v>
      </c>
      <c r="M36" s="21" t="n">
        <f aca="false">D36-C36</f>
        <v>6</v>
      </c>
      <c r="N36" s="21" t="n">
        <f aca="false">MAX(0,D36-E36)</f>
        <v>0</v>
      </c>
      <c r="O36" s="21" t="n">
        <f aca="false">IF(D36&lt;=E36,1,0)</f>
        <v>1</v>
      </c>
      <c r="P36" s="23" t="n">
        <f aca="false">G36+H36</f>
        <v>160.5</v>
      </c>
      <c r="Q36" s="23" t="n">
        <f aca="false">G36*INDEX(Assumptions!$B$8:$B$16,MATCH(F36,Assumptions!$A$8:$A$16,0))</f>
        <v>105.4204</v>
      </c>
      <c r="R36" s="23" t="n">
        <f aca="false">H36*Assumptions!$B$3</f>
        <v>10.824</v>
      </c>
      <c r="S36" s="23" t="n">
        <f aca="false">G36-Q36-R36</f>
        <v>26.2156</v>
      </c>
      <c r="T36" s="21" t="str">
        <f aca="false">IF(M36&lt;=7,"0-7 days",IF(M36&lt;=14,"8-14 days",IF(M36&lt;=21,"15-21 days","22+ days")))</f>
        <v>0-7 days</v>
      </c>
    </row>
    <row r="37" customFormat="false" ht="15" hidden="false" customHeight="false" outlineLevel="0" collapsed="false">
      <c r="A37" s="21" t="s">
        <v>96</v>
      </c>
      <c r="B37" s="21" t="s">
        <v>52</v>
      </c>
      <c r="C37" s="22" t="n">
        <v>42779</v>
      </c>
      <c r="D37" s="22" t="n">
        <v>42792</v>
      </c>
      <c r="E37" s="22" t="n">
        <v>42805</v>
      </c>
      <c r="F37" s="21" t="s">
        <v>79</v>
      </c>
      <c r="G37" s="23" t="n">
        <v>57.74</v>
      </c>
      <c r="H37" s="23" t="n">
        <v>19.48</v>
      </c>
      <c r="I37" s="21" t="s">
        <v>45</v>
      </c>
      <c r="J37" s="21" t="n">
        <v>4</v>
      </c>
      <c r="K37" s="21" t="s">
        <v>46</v>
      </c>
      <c r="L37" s="24" t="n">
        <f aca="false">DATE(YEAR(C37),MONTH(C37),1)</f>
        <v>42767</v>
      </c>
      <c r="M37" s="21" t="n">
        <f aca="false">D37-C37</f>
        <v>13</v>
      </c>
      <c r="N37" s="21" t="n">
        <f aca="false">MAX(0,D37-E37)</f>
        <v>0</v>
      </c>
      <c r="O37" s="21" t="n">
        <f aca="false">IF(D37&lt;=E37,1,0)</f>
        <v>1</v>
      </c>
      <c r="P37" s="23" t="n">
        <f aca="false">G37+H37</f>
        <v>77.22</v>
      </c>
      <c r="Q37" s="23" t="n">
        <f aca="false">G37*INDEX(Assumptions!$B$8:$B$16,MATCH(F37,Assumptions!$A$8:$A$16,0))</f>
        <v>40.418</v>
      </c>
      <c r="R37" s="23" t="n">
        <f aca="false">H37*Assumptions!$B$3</f>
        <v>11.688</v>
      </c>
      <c r="S37" s="23" t="n">
        <f aca="false">G37-Q37-R37</f>
        <v>5.634</v>
      </c>
      <c r="T37" s="21" t="str">
        <f aca="false">IF(M37&lt;=7,"0-7 days",IF(M37&lt;=14,"8-14 days",IF(M37&lt;=21,"15-21 days","22+ days")))</f>
        <v>8-14 days</v>
      </c>
    </row>
    <row r="38" customFormat="false" ht="15" hidden="false" customHeight="false" outlineLevel="0" collapsed="false">
      <c r="A38" s="21" t="s">
        <v>97</v>
      </c>
      <c r="B38" s="21" t="s">
        <v>52</v>
      </c>
      <c r="C38" s="22" t="n">
        <v>42780</v>
      </c>
      <c r="D38" s="22" t="n">
        <v>42793</v>
      </c>
      <c r="E38" s="22" t="n">
        <v>42804</v>
      </c>
      <c r="F38" s="21" t="s">
        <v>59</v>
      </c>
      <c r="G38" s="23" t="n">
        <v>83.82</v>
      </c>
      <c r="H38" s="23" t="n">
        <v>25.55</v>
      </c>
      <c r="I38" s="21" t="s">
        <v>45</v>
      </c>
      <c r="J38" s="21" t="n">
        <v>5</v>
      </c>
      <c r="K38" s="21" t="s">
        <v>46</v>
      </c>
      <c r="L38" s="24" t="n">
        <f aca="false">DATE(YEAR(C38),MONTH(C38),1)</f>
        <v>42767</v>
      </c>
      <c r="M38" s="21" t="n">
        <f aca="false">D38-C38</f>
        <v>13</v>
      </c>
      <c r="N38" s="21" t="n">
        <f aca="false">MAX(0,D38-E38)</f>
        <v>0</v>
      </c>
      <c r="O38" s="21" t="n">
        <f aca="false">IF(D38&lt;=E38,1,0)</f>
        <v>1</v>
      </c>
      <c r="P38" s="23" t="n">
        <f aca="false">G38+H38</f>
        <v>109.37</v>
      </c>
      <c r="Q38" s="23" t="n">
        <f aca="false">G38*INDEX(Assumptions!$B$8:$B$16,MATCH(F38,Assumptions!$A$8:$A$16,0))</f>
        <v>53.6448</v>
      </c>
      <c r="R38" s="23" t="n">
        <f aca="false">H38*Assumptions!$B$3</f>
        <v>15.33</v>
      </c>
      <c r="S38" s="23" t="n">
        <f aca="false">G38-Q38-R38</f>
        <v>14.8452</v>
      </c>
      <c r="T38" s="21" t="str">
        <f aca="false">IF(M38&lt;=7,"0-7 days",IF(M38&lt;=14,"8-14 days",IF(M38&lt;=21,"15-21 days","22+ days")))</f>
        <v>8-14 days</v>
      </c>
    </row>
    <row r="39" customFormat="false" ht="15" hidden="false" customHeight="false" outlineLevel="0" collapsed="false">
      <c r="A39" s="21" t="s">
        <v>98</v>
      </c>
      <c r="B39" s="21" t="s">
        <v>52</v>
      </c>
      <c r="C39" s="22" t="n">
        <v>42782</v>
      </c>
      <c r="D39" s="22" t="n">
        <v>42795</v>
      </c>
      <c r="E39" s="22" t="n">
        <v>42807</v>
      </c>
      <c r="F39" s="21" t="s">
        <v>64</v>
      </c>
      <c r="G39" s="23" t="n">
        <v>105.36</v>
      </c>
      <c r="H39" s="23" t="n">
        <v>28</v>
      </c>
      <c r="I39" s="21" t="s">
        <v>60</v>
      </c>
      <c r="J39" s="21" t="n">
        <v>3</v>
      </c>
      <c r="K39" s="21" t="s">
        <v>46</v>
      </c>
      <c r="L39" s="24" t="n">
        <f aca="false">DATE(YEAR(C39),MONTH(C39),1)</f>
        <v>42767</v>
      </c>
      <c r="M39" s="21" t="n">
        <f aca="false">D39-C39</f>
        <v>13</v>
      </c>
      <c r="N39" s="21" t="n">
        <f aca="false">MAX(0,D39-E39)</f>
        <v>0</v>
      </c>
      <c r="O39" s="21" t="n">
        <f aca="false">IF(D39&lt;=E39,1,0)</f>
        <v>1</v>
      </c>
      <c r="P39" s="23" t="n">
        <f aca="false">G39+H39</f>
        <v>133.36</v>
      </c>
      <c r="Q39" s="23" t="n">
        <f aca="false">G39*INDEX(Assumptions!$B$8:$B$16,MATCH(F39,Assumptions!$A$8:$A$16,0))</f>
        <v>69.5376</v>
      </c>
      <c r="R39" s="23" t="n">
        <f aca="false">H39*Assumptions!$B$3</f>
        <v>16.8</v>
      </c>
      <c r="S39" s="23" t="n">
        <f aca="false">G39-Q39-R39</f>
        <v>19.0224</v>
      </c>
      <c r="T39" s="21" t="str">
        <f aca="false">IF(M39&lt;=7,"0-7 days",IF(M39&lt;=14,"8-14 days",IF(M39&lt;=21,"15-21 days","22+ days")))</f>
        <v>8-14 days</v>
      </c>
    </row>
    <row r="40" customFormat="false" ht="15" hidden="false" customHeight="false" outlineLevel="0" collapsed="false">
      <c r="A40" s="21" t="s">
        <v>99</v>
      </c>
      <c r="B40" s="21" t="s">
        <v>19</v>
      </c>
      <c r="C40" s="22" t="n">
        <v>42783</v>
      </c>
      <c r="D40" s="22" t="n">
        <v>42796</v>
      </c>
      <c r="E40" s="22" t="n">
        <v>42797</v>
      </c>
      <c r="F40" s="21" t="s">
        <v>67</v>
      </c>
      <c r="G40" s="23" t="n">
        <v>69.47</v>
      </c>
      <c r="H40" s="23" t="n">
        <v>12.3</v>
      </c>
      <c r="I40" s="21" t="s">
        <v>45</v>
      </c>
      <c r="J40" s="21" t="n">
        <v>5</v>
      </c>
      <c r="K40" s="21" t="s">
        <v>46</v>
      </c>
      <c r="L40" s="24" t="n">
        <f aca="false">DATE(YEAR(C40),MONTH(C40),1)</f>
        <v>42767</v>
      </c>
      <c r="M40" s="21" t="n">
        <f aca="false">D40-C40</f>
        <v>13</v>
      </c>
      <c r="N40" s="21" t="n">
        <f aca="false">MAX(0,D40-E40)</f>
        <v>0</v>
      </c>
      <c r="O40" s="21" t="n">
        <f aca="false">IF(D40&lt;=E40,1,0)</f>
        <v>1</v>
      </c>
      <c r="P40" s="23" t="n">
        <f aca="false">G40+H40</f>
        <v>81.77</v>
      </c>
      <c r="Q40" s="23" t="n">
        <f aca="false">G40*INDEX(Assumptions!$B$8:$B$16,MATCH(F40,Assumptions!$A$8:$A$16,0))</f>
        <v>43.0714</v>
      </c>
      <c r="R40" s="23" t="n">
        <f aca="false">H40*Assumptions!$B$3</f>
        <v>7.38</v>
      </c>
      <c r="S40" s="23" t="n">
        <f aca="false">G40-Q40-R40</f>
        <v>19.0186</v>
      </c>
      <c r="T40" s="21" t="str">
        <f aca="false">IF(M40&lt;=7,"0-7 days",IF(M40&lt;=14,"8-14 days",IF(M40&lt;=21,"15-21 days","22+ days")))</f>
        <v>8-14 days</v>
      </c>
    </row>
    <row r="41" customFormat="false" ht="15" hidden="false" customHeight="false" outlineLevel="0" collapsed="false">
      <c r="A41" s="21" t="s">
        <v>100</v>
      </c>
      <c r="B41" s="21" t="s">
        <v>19</v>
      </c>
      <c r="C41" s="22" t="n">
        <v>42783</v>
      </c>
      <c r="D41" s="22" t="n">
        <v>42800</v>
      </c>
      <c r="E41" s="22" t="n">
        <v>42799</v>
      </c>
      <c r="F41" s="21" t="s">
        <v>59</v>
      </c>
      <c r="G41" s="23" t="n">
        <v>106.15</v>
      </c>
      <c r="H41" s="23" t="n">
        <v>22.61</v>
      </c>
      <c r="I41" s="21" t="s">
        <v>45</v>
      </c>
      <c r="J41" s="21" t="n">
        <v>3</v>
      </c>
      <c r="K41" s="21" t="s">
        <v>46</v>
      </c>
      <c r="L41" s="24" t="n">
        <f aca="false">DATE(YEAR(C41),MONTH(C41),1)</f>
        <v>42767</v>
      </c>
      <c r="M41" s="21" t="n">
        <f aca="false">D41-C41</f>
        <v>17</v>
      </c>
      <c r="N41" s="21" t="n">
        <f aca="false">MAX(0,D41-E41)</f>
        <v>1</v>
      </c>
      <c r="O41" s="21" t="n">
        <f aca="false">IF(D41&lt;=E41,1,0)</f>
        <v>0</v>
      </c>
      <c r="P41" s="23" t="n">
        <f aca="false">G41+H41</f>
        <v>128.76</v>
      </c>
      <c r="Q41" s="23" t="n">
        <f aca="false">G41*INDEX(Assumptions!$B$8:$B$16,MATCH(F41,Assumptions!$A$8:$A$16,0))</f>
        <v>67.936</v>
      </c>
      <c r="R41" s="23" t="n">
        <f aca="false">H41*Assumptions!$B$3</f>
        <v>13.566</v>
      </c>
      <c r="S41" s="23" t="n">
        <f aca="false">G41-Q41-R41</f>
        <v>24.648</v>
      </c>
      <c r="T41" s="21" t="str">
        <f aca="false">IF(M41&lt;=7,"0-7 days",IF(M41&lt;=14,"8-14 days",IF(M41&lt;=21,"15-21 days","22+ days")))</f>
        <v>15-21 days</v>
      </c>
    </row>
    <row r="42" customFormat="false" ht="15" hidden="false" customHeight="false" outlineLevel="0" collapsed="false">
      <c r="A42" s="21" t="s">
        <v>101</v>
      </c>
      <c r="B42" s="21" t="s">
        <v>48</v>
      </c>
      <c r="C42" s="22" t="n">
        <v>42784</v>
      </c>
      <c r="D42" s="22" t="n">
        <v>42792</v>
      </c>
      <c r="E42" s="22" t="n">
        <v>42805</v>
      </c>
      <c r="F42" s="21" t="s">
        <v>59</v>
      </c>
      <c r="G42" s="23" t="n">
        <v>124.13</v>
      </c>
      <c r="H42" s="23" t="n">
        <v>25.93</v>
      </c>
      <c r="I42" s="21" t="s">
        <v>50</v>
      </c>
      <c r="J42" s="21" t="n">
        <v>4</v>
      </c>
      <c r="K42" s="21" t="s">
        <v>46</v>
      </c>
      <c r="L42" s="24" t="n">
        <f aca="false">DATE(YEAR(C42),MONTH(C42),1)</f>
        <v>42767</v>
      </c>
      <c r="M42" s="21" t="n">
        <f aca="false">D42-C42</f>
        <v>8</v>
      </c>
      <c r="N42" s="21" t="n">
        <f aca="false">MAX(0,D42-E42)</f>
        <v>0</v>
      </c>
      <c r="O42" s="21" t="n">
        <f aca="false">IF(D42&lt;=E42,1,0)</f>
        <v>1</v>
      </c>
      <c r="P42" s="23" t="n">
        <f aca="false">G42+H42</f>
        <v>150.06</v>
      </c>
      <c r="Q42" s="23" t="n">
        <f aca="false">G42*INDEX(Assumptions!$B$8:$B$16,MATCH(F42,Assumptions!$A$8:$A$16,0))</f>
        <v>79.4432</v>
      </c>
      <c r="R42" s="23" t="n">
        <f aca="false">H42*Assumptions!$B$3</f>
        <v>15.558</v>
      </c>
      <c r="S42" s="23" t="n">
        <f aca="false">G42-Q42-R42</f>
        <v>29.1288</v>
      </c>
      <c r="T42" s="21" t="str">
        <f aca="false">IF(M42&lt;=7,"0-7 days",IF(M42&lt;=14,"8-14 days",IF(M42&lt;=21,"15-21 days","22+ days")))</f>
        <v>8-14 days</v>
      </c>
    </row>
    <row r="43" customFormat="false" ht="15" hidden="false" customHeight="false" outlineLevel="0" collapsed="false">
      <c r="A43" s="21" t="s">
        <v>102</v>
      </c>
      <c r="B43" s="21" t="s">
        <v>103</v>
      </c>
      <c r="C43" s="22" t="n">
        <v>42784</v>
      </c>
      <c r="D43" s="22" t="n">
        <v>42793</v>
      </c>
      <c r="E43" s="22" t="n">
        <v>42806</v>
      </c>
      <c r="F43" s="21" t="s">
        <v>59</v>
      </c>
      <c r="G43" s="23" t="n">
        <v>38.29</v>
      </c>
      <c r="H43" s="23" t="n">
        <v>18.46</v>
      </c>
      <c r="I43" s="21" t="s">
        <v>104</v>
      </c>
      <c r="J43" s="21" t="n">
        <v>4</v>
      </c>
      <c r="K43" s="21" t="s">
        <v>46</v>
      </c>
      <c r="L43" s="24" t="n">
        <f aca="false">DATE(YEAR(C43),MONTH(C43),1)</f>
        <v>42767</v>
      </c>
      <c r="M43" s="21" t="n">
        <f aca="false">D43-C43</f>
        <v>9</v>
      </c>
      <c r="N43" s="21" t="n">
        <f aca="false">MAX(0,D43-E43)</f>
        <v>0</v>
      </c>
      <c r="O43" s="21" t="n">
        <f aca="false">IF(D43&lt;=E43,1,0)</f>
        <v>1</v>
      </c>
      <c r="P43" s="23" t="n">
        <f aca="false">G43+H43</f>
        <v>56.75</v>
      </c>
      <c r="Q43" s="23" t="n">
        <f aca="false">G43*INDEX(Assumptions!$B$8:$B$16,MATCH(F43,Assumptions!$A$8:$A$16,0))</f>
        <v>24.5056</v>
      </c>
      <c r="R43" s="23" t="n">
        <f aca="false">H43*Assumptions!$B$3</f>
        <v>11.076</v>
      </c>
      <c r="S43" s="23" t="n">
        <f aca="false">G43-Q43-R43</f>
        <v>2.7084</v>
      </c>
      <c r="T43" s="21" t="str">
        <f aca="false">IF(M43&lt;=7,"0-7 days",IF(M43&lt;=14,"8-14 days",IF(M43&lt;=21,"15-21 days","22+ days")))</f>
        <v>8-14 days</v>
      </c>
    </row>
    <row r="44" customFormat="false" ht="15" hidden="false" customHeight="false" outlineLevel="0" collapsed="false">
      <c r="A44" s="21" t="s">
        <v>105</v>
      </c>
      <c r="B44" s="21" t="s">
        <v>19</v>
      </c>
      <c r="C44" s="22" t="n">
        <v>42785</v>
      </c>
      <c r="D44" s="22" t="n">
        <v>42793</v>
      </c>
      <c r="E44" s="22" t="n">
        <v>42803</v>
      </c>
      <c r="F44" s="21" t="s">
        <v>44</v>
      </c>
      <c r="G44" s="23" t="n">
        <v>85.57</v>
      </c>
      <c r="H44" s="23" t="n">
        <v>16.42</v>
      </c>
      <c r="I44" s="21" t="s">
        <v>45</v>
      </c>
      <c r="J44" s="21" t="n">
        <v>5</v>
      </c>
      <c r="K44" s="21" t="s">
        <v>46</v>
      </c>
      <c r="L44" s="24" t="n">
        <f aca="false">DATE(YEAR(C44),MONTH(C44),1)</f>
        <v>42767</v>
      </c>
      <c r="M44" s="21" t="n">
        <f aca="false">D44-C44</f>
        <v>8</v>
      </c>
      <c r="N44" s="21" t="n">
        <f aca="false">MAX(0,D44-E44)</f>
        <v>0</v>
      </c>
      <c r="O44" s="21" t="n">
        <f aca="false">IF(D44&lt;=E44,1,0)</f>
        <v>1</v>
      </c>
      <c r="P44" s="23" t="n">
        <f aca="false">G44+H44</f>
        <v>101.99</v>
      </c>
      <c r="Q44" s="23" t="n">
        <f aca="false">G44*INDEX(Assumptions!$B$8:$B$16,MATCH(F44,Assumptions!$A$8:$A$16,0))</f>
        <v>51.342</v>
      </c>
      <c r="R44" s="23" t="n">
        <f aca="false">H44*Assumptions!$B$3</f>
        <v>9.852</v>
      </c>
      <c r="S44" s="23" t="n">
        <f aca="false">G44-Q44-R44</f>
        <v>24.376</v>
      </c>
      <c r="T44" s="21" t="str">
        <f aca="false">IF(M44&lt;=7,"0-7 days",IF(M44&lt;=14,"8-14 days",IF(M44&lt;=21,"15-21 days","22+ days")))</f>
        <v>8-14 days</v>
      </c>
    </row>
    <row r="45" customFormat="false" ht="15" hidden="false" customHeight="false" outlineLevel="0" collapsed="false">
      <c r="A45" s="21" t="s">
        <v>106</v>
      </c>
      <c r="B45" s="21" t="s">
        <v>19</v>
      </c>
      <c r="C45" s="22" t="n">
        <v>42785</v>
      </c>
      <c r="D45" s="22" t="n">
        <v>42796</v>
      </c>
      <c r="E45" s="22" t="n">
        <v>42799</v>
      </c>
      <c r="F45" s="21" t="s">
        <v>53</v>
      </c>
      <c r="G45" s="23" t="n">
        <v>218.67</v>
      </c>
      <c r="H45" s="23" t="n">
        <v>18.48</v>
      </c>
      <c r="I45" s="21" t="s">
        <v>45</v>
      </c>
      <c r="J45" s="21" t="n">
        <v>4</v>
      </c>
      <c r="K45" s="21" t="s">
        <v>46</v>
      </c>
      <c r="L45" s="24" t="n">
        <f aca="false">DATE(YEAR(C45),MONTH(C45),1)</f>
        <v>42767</v>
      </c>
      <c r="M45" s="21" t="n">
        <f aca="false">D45-C45</f>
        <v>11</v>
      </c>
      <c r="N45" s="21" t="n">
        <f aca="false">MAX(0,D45-E45)</f>
        <v>0</v>
      </c>
      <c r="O45" s="21" t="n">
        <f aca="false">IF(D45&lt;=E45,1,0)</f>
        <v>1</v>
      </c>
      <c r="P45" s="23" t="n">
        <f aca="false">G45+H45</f>
        <v>237.15</v>
      </c>
      <c r="Q45" s="23" t="n">
        <f aca="false">G45*INDEX(Assumptions!$B$8:$B$16,MATCH(F45,Assumptions!$A$8:$A$16,0))</f>
        <v>161.8158</v>
      </c>
      <c r="R45" s="23" t="n">
        <f aca="false">H45*Assumptions!$B$3</f>
        <v>11.088</v>
      </c>
      <c r="S45" s="23" t="n">
        <f aca="false">G45-Q45-R45</f>
        <v>45.7662</v>
      </c>
      <c r="T45" s="21" t="str">
        <f aca="false">IF(M45&lt;=7,"0-7 days",IF(M45&lt;=14,"8-14 days",IF(M45&lt;=21,"15-21 days","22+ days")))</f>
        <v>8-14 days</v>
      </c>
    </row>
    <row r="46" customFormat="false" ht="15" hidden="false" customHeight="false" outlineLevel="0" collapsed="false">
      <c r="A46" s="21" t="s">
        <v>107</v>
      </c>
      <c r="B46" s="21" t="s">
        <v>19</v>
      </c>
      <c r="C46" s="22" t="n">
        <v>42786</v>
      </c>
      <c r="D46" s="22" t="n">
        <v>42799</v>
      </c>
      <c r="E46" s="22" t="n">
        <v>42799</v>
      </c>
      <c r="F46" s="21" t="s">
        <v>67</v>
      </c>
      <c r="G46" s="23" t="n">
        <v>95.25</v>
      </c>
      <c r="H46" s="23" t="n">
        <v>15.87</v>
      </c>
      <c r="I46" s="21" t="s">
        <v>45</v>
      </c>
      <c r="J46" s="21" t="n">
        <v>4</v>
      </c>
      <c r="K46" s="21" t="s">
        <v>46</v>
      </c>
      <c r="L46" s="24" t="n">
        <f aca="false">DATE(YEAR(C46),MONTH(C46),1)</f>
        <v>42767</v>
      </c>
      <c r="M46" s="21" t="n">
        <f aca="false">D46-C46</f>
        <v>13</v>
      </c>
      <c r="N46" s="21" t="n">
        <f aca="false">MAX(0,D46-E46)</f>
        <v>0</v>
      </c>
      <c r="O46" s="21" t="n">
        <f aca="false">IF(D46&lt;=E46,1,0)</f>
        <v>1</v>
      </c>
      <c r="P46" s="23" t="n">
        <f aca="false">G46+H46</f>
        <v>111.12</v>
      </c>
      <c r="Q46" s="23" t="n">
        <f aca="false">G46*INDEX(Assumptions!$B$8:$B$16,MATCH(F46,Assumptions!$A$8:$A$16,0))</f>
        <v>59.055</v>
      </c>
      <c r="R46" s="23" t="n">
        <f aca="false">H46*Assumptions!$B$3</f>
        <v>9.522</v>
      </c>
      <c r="S46" s="23" t="n">
        <f aca="false">G46-Q46-R46</f>
        <v>26.673</v>
      </c>
      <c r="T46" s="21" t="str">
        <f aca="false">IF(M46&lt;=7,"0-7 days",IF(M46&lt;=14,"8-14 days",IF(M46&lt;=21,"15-21 days","22+ days")))</f>
        <v>8-14 days</v>
      </c>
    </row>
    <row r="47" customFormat="false" ht="15" hidden="false" customHeight="false" outlineLevel="0" collapsed="false">
      <c r="A47" s="21" t="s">
        <v>108</v>
      </c>
      <c r="B47" s="21" t="s">
        <v>19</v>
      </c>
      <c r="C47" s="22" t="n">
        <v>42787</v>
      </c>
      <c r="D47" s="22" t="n">
        <v>42797</v>
      </c>
      <c r="E47" s="22" t="n">
        <v>42800</v>
      </c>
      <c r="F47" s="21" t="s">
        <v>57</v>
      </c>
      <c r="G47" s="23" t="n">
        <v>187.5</v>
      </c>
      <c r="H47" s="23" t="n">
        <v>18.78</v>
      </c>
      <c r="I47" s="21" t="s">
        <v>60</v>
      </c>
      <c r="J47" s="21" t="n">
        <v>4</v>
      </c>
      <c r="K47" s="21" t="s">
        <v>46</v>
      </c>
      <c r="L47" s="24" t="n">
        <f aca="false">DATE(YEAR(C47),MONTH(C47),1)</f>
        <v>42767</v>
      </c>
      <c r="M47" s="21" t="n">
        <f aca="false">D47-C47</f>
        <v>10</v>
      </c>
      <c r="N47" s="21" t="n">
        <f aca="false">MAX(0,D47-E47)</f>
        <v>0</v>
      </c>
      <c r="O47" s="21" t="n">
        <f aca="false">IF(D47&lt;=E47,1,0)</f>
        <v>1</v>
      </c>
      <c r="P47" s="23" t="n">
        <f aca="false">G47+H47</f>
        <v>206.28</v>
      </c>
      <c r="Q47" s="23" t="n">
        <f aca="false">G47*INDEX(Assumptions!$B$8:$B$16,MATCH(F47,Assumptions!$A$8:$A$16,0))</f>
        <v>127.5</v>
      </c>
      <c r="R47" s="23" t="n">
        <f aca="false">H47*Assumptions!$B$3</f>
        <v>11.268</v>
      </c>
      <c r="S47" s="23" t="n">
        <f aca="false">G47-Q47-R47</f>
        <v>48.732</v>
      </c>
      <c r="T47" s="21" t="str">
        <f aca="false">IF(M47&lt;=7,"0-7 days",IF(M47&lt;=14,"8-14 days",IF(M47&lt;=21,"15-21 days","22+ days")))</f>
        <v>8-14 days</v>
      </c>
    </row>
    <row r="48" customFormat="false" ht="15" hidden="false" customHeight="false" outlineLevel="0" collapsed="false">
      <c r="A48" s="21" t="s">
        <v>109</v>
      </c>
      <c r="B48" s="21" t="s">
        <v>19</v>
      </c>
      <c r="C48" s="22" t="n">
        <v>42787</v>
      </c>
      <c r="D48" s="22" t="n">
        <v>42796</v>
      </c>
      <c r="E48" s="22" t="n">
        <v>42803</v>
      </c>
      <c r="F48" s="21" t="s">
        <v>49</v>
      </c>
      <c r="G48" s="23" t="n">
        <v>117.45</v>
      </c>
      <c r="H48" s="23" t="n">
        <v>16.71</v>
      </c>
      <c r="I48" s="21" t="s">
        <v>45</v>
      </c>
      <c r="J48" s="21" t="n">
        <v>4</v>
      </c>
      <c r="K48" s="21" t="s">
        <v>46</v>
      </c>
      <c r="L48" s="24" t="n">
        <f aca="false">DATE(YEAR(C48),MONTH(C48),1)</f>
        <v>42767</v>
      </c>
      <c r="M48" s="21" t="n">
        <f aca="false">D48-C48</f>
        <v>9</v>
      </c>
      <c r="N48" s="21" t="n">
        <f aca="false">MAX(0,D48-E48)</f>
        <v>0</v>
      </c>
      <c r="O48" s="21" t="n">
        <f aca="false">IF(D48&lt;=E48,1,0)</f>
        <v>1</v>
      </c>
      <c r="P48" s="23" t="n">
        <f aca="false">G48+H48</f>
        <v>134.16</v>
      </c>
      <c r="Q48" s="23" t="n">
        <f aca="false">G48*INDEX(Assumptions!$B$8:$B$16,MATCH(F48,Assumptions!$A$8:$A$16,0))</f>
        <v>68.121</v>
      </c>
      <c r="R48" s="23" t="n">
        <f aca="false">H48*Assumptions!$B$3</f>
        <v>10.026</v>
      </c>
      <c r="S48" s="23" t="n">
        <f aca="false">G48-Q48-R48</f>
        <v>39.303</v>
      </c>
      <c r="T48" s="21" t="str">
        <f aca="false">IF(M48&lt;=7,"0-7 days",IF(M48&lt;=14,"8-14 days",IF(M48&lt;=21,"15-21 days","22+ days")))</f>
        <v>8-14 days</v>
      </c>
    </row>
    <row r="49" customFormat="false" ht="15" hidden="false" customHeight="false" outlineLevel="0" collapsed="false">
      <c r="A49" s="21" t="s">
        <v>110</v>
      </c>
      <c r="B49" s="21" t="s">
        <v>55</v>
      </c>
      <c r="C49" s="22" t="n">
        <v>42788</v>
      </c>
      <c r="D49" s="22" t="n">
        <v>42805</v>
      </c>
      <c r="E49" s="22" t="n">
        <v>42812</v>
      </c>
      <c r="F49" s="21" t="s">
        <v>111</v>
      </c>
      <c r="G49" s="23" t="n">
        <v>51.76</v>
      </c>
      <c r="H49" s="23" t="n">
        <v>20</v>
      </c>
      <c r="I49" s="21" t="s">
        <v>45</v>
      </c>
      <c r="J49" s="21" t="n">
        <v>4</v>
      </c>
      <c r="K49" s="21" t="s">
        <v>46</v>
      </c>
      <c r="L49" s="24" t="n">
        <f aca="false">DATE(YEAR(C49),MONTH(C49),1)</f>
        <v>42767</v>
      </c>
      <c r="M49" s="21" t="n">
        <f aca="false">D49-C49</f>
        <v>17</v>
      </c>
      <c r="N49" s="21" t="n">
        <f aca="false">MAX(0,D49-E49)</f>
        <v>0</v>
      </c>
      <c r="O49" s="21" t="n">
        <f aca="false">IF(D49&lt;=E49,1,0)</f>
        <v>1</v>
      </c>
      <c r="P49" s="23" t="n">
        <f aca="false">G49+H49</f>
        <v>71.76</v>
      </c>
      <c r="Q49" s="23" t="n">
        <f aca="false">G49*INDEX(Assumptions!$B$8:$B$16,MATCH(F49,Assumptions!$A$8:$A$16,0))</f>
        <v>32.6088</v>
      </c>
      <c r="R49" s="23" t="n">
        <f aca="false">H49*Assumptions!$B$3</f>
        <v>12</v>
      </c>
      <c r="S49" s="23" t="n">
        <f aca="false">G49-Q49-R49</f>
        <v>7.1512</v>
      </c>
      <c r="T49" s="21" t="str">
        <f aca="false">IF(M49&lt;=7,"0-7 days",IF(M49&lt;=14,"8-14 days",IF(M49&lt;=21,"15-21 days","22+ days")))</f>
        <v>15-21 days</v>
      </c>
    </row>
    <row r="50" customFormat="false" ht="15" hidden="false" customHeight="false" outlineLevel="0" collapsed="false">
      <c r="A50" s="21" t="s">
        <v>112</v>
      </c>
      <c r="B50" s="21" t="s">
        <v>55</v>
      </c>
      <c r="C50" s="22" t="n">
        <v>42792</v>
      </c>
      <c r="D50" s="22" t="n">
        <v>42805</v>
      </c>
      <c r="E50" s="22" t="n">
        <v>42817</v>
      </c>
      <c r="F50" s="21" t="s">
        <v>67</v>
      </c>
      <c r="G50" s="23" t="n">
        <v>112.88</v>
      </c>
      <c r="H50" s="23" t="n">
        <v>25.72</v>
      </c>
      <c r="I50" s="21" t="s">
        <v>45</v>
      </c>
      <c r="J50" s="21" t="n">
        <v>4</v>
      </c>
      <c r="K50" s="21" t="s">
        <v>46</v>
      </c>
      <c r="L50" s="24" t="n">
        <f aca="false">DATE(YEAR(C50),MONTH(C50),1)</f>
        <v>42767</v>
      </c>
      <c r="M50" s="21" t="n">
        <f aca="false">D50-C50</f>
        <v>13</v>
      </c>
      <c r="N50" s="21" t="n">
        <f aca="false">MAX(0,D50-E50)</f>
        <v>0</v>
      </c>
      <c r="O50" s="21" t="n">
        <f aca="false">IF(D50&lt;=E50,1,0)</f>
        <v>1</v>
      </c>
      <c r="P50" s="23" t="n">
        <f aca="false">G50+H50</f>
        <v>138.6</v>
      </c>
      <c r="Q50" s="23" t="n">
        <f aca="false">G50*INDEX(Assumptions!$B$8:$B$16,MATCH(F50,Assumptions!$A$8:$A$16,0))</f>
        <v>69.9856</v>
      </c>
      <c r="R50" s="23" t="n">
        <f aca="false">H50*Assumptions!$B$3</f>
        <v>15.432</v>
      </c>
      <c r="S50" s="23" t="n">
        <f aca="false">G50-Q50-R50</f>
        <v>27.4624</v>
      </c>
      <c r="T50" s="21" t="str">
        <f aca="false">IF(M50&lt;=7,"0-7 days",IF(M50&lt;=14,"8-14 days",IF(M50&lt;=21,"15-21 days","22+ days")))</f>
        <v>8-14 days</v>
      </c>
    </row>
    <row r="51" customFormat="false" ht="15" hidden="false" customHeight="false" outlineLevel="0" collapsed="false">
      <c r="A51" s="21" t="s">
        <v>113</v>
      </c>
      <c r="B51" s="21" t="s">
        <v>19</v>
      </c>
      <c r="C51" s="22" t="n">
        <v>42792</v>
      </c>
      <c r="D51" s="22" t="n">
        <v>42799</v>
      </c>
      <c r="E51" s="22" t="n">
        <v>42804</v>
      </c>
      <c r="F51" s="21" t="s">
        <v>111</v>
      </c>
      <c r="G51" s="23" t="n">
        <v>85.69</v>
      </c>
      <c r="H51" s="23" t="n">
        <v>16.47</v>
      </c>
      <c r="I51" s="21" t="s">
        <v>45</v>
      </c>
      <c r="J51" s="21" t="n">
        <v>5</v>
      </c>
      <c r="K51" s="21" t="s">
        <v>46</v>
      </c>
      <c r="L51" s="24" t="n">
        <f aca="false">DATE(YEAR(C51),MONTH(C51),1)</f>
        <v>42767</v>
      </c>
      <c r="M51" s="21" t="n">
        <f aca="false">D51-C51</f>
        <v>7</v>
      </c>
      <c r="N51" s="21" t="n">
        <f aca="false">MAX(0,D51-E51)</f>
        <v>0</v>
      </c>
      <c r="O51" s="21" t="n">
        <f aca="false">IF(D51&lt;=E51,1,0)</f>
        <v>1</v>
      </c>
      <c r="P51" s="23" t="n">
        <f aca="false">G51+H51</f>
        <v>102.16</v>
      </c>
      <c r="Q51" s="23" t="n">
        <f aca="false">G51*INDEX(Assumptions!$B$8:$B$16,MATCH(F51,Assumptions!$A$8:$A$16,0))</f>
        <v>53.9847</v>
      </c>
      <c r="R51" s="23" t="n">
        <f aca="false">H51*Assumptions!$B$3</f>
        <v>9.882</v>
      </c>
      <c r="S51" s="23" t="n">
        <f aca="false">G51-Q51-R51</f>
        <v>21.8233</v>
      </c>
      <c r="T51" s="21" t="str">
        <f aca="false">IF(M51&lt;=7,"0-7 days",IF(M51&lt;=14,"8-14 days",IF(M51&lt;=21,"15-21 days","22+ days")))</f>
        <v>0-7 days</v>
      </c>
    </row>
    <row r="52" customFormat="false" ht="15" hidden="false" customHeight="false" outlineLevel="0" collapsed="false">
      <c r="A52" s="21" t="s">
        <v>114</v>
      </c>
      <c r="B52" s="21" t="s">
        <v>19</v>
      </c>
      <c r="C52" s="22" t="n">
        <v>42793</v>
      </c>
      <c r="D52" s="22" t="n">
        <v>42803</v>
      </c>
      <c r="E52" s="22" t="n">
        <v>42808</v>
      </c>
      <c r="F52" s="21" t="s">
        <v>79</v>
      </c>
      <c r="G52" s="23" t="n">
        <v>114.98</v>
      </c>
      <c r="H52" s="23" t="n">
        <v>23.22</v>
      </c>
      <c r="I52" s="21" t="s">
        <v>45</v>
      </c>
      <c r="J52" s="21" t="n">
        <v>5</v>
      </c>
      <c r="K52" s="21" t="s">
        <v>46</v>
      </c>
      <c r="L52" s="24" t="n">
        <f aca="false">DATE(YEAR(C52),MONTH(C52),1)</f>
        <v>42767</v>
      </c>
      <c r="M52" s="21" t="n">
        <f aca="false">D52-C52</f>
        <v>10</v>
      </c>
      <c r="N52" s="21" t="n">
        <f aca="false">MAX(0,D52-E52)</f>
        <v>0</v>
      </c>
      <c r="O52" s="21" t="n">
        <f aca="false">IF(D52&lt;=E52,1,0)</f>
        <v>1</v>
      </c>
      <c r="P52" s="23" t="n">
        <f aca="false">G52+H52</f>
        <v>138.2</v>
      </c>
      <c r="Q52" s="23" t="n">
        <f aca="false">G52*INDEX(Assumptions!$B$8:$B$16,MATCH(F52,Assumptions!$A$8:$A$16,0))</f>
        <v>80.486</v>
      </c>
      <c r="R52" s="23" t="n">
        <f aca="false">H52*Assumptions!$B$3</f>
        <v>13.932</v>
      </c>
      <c r="S52" s="23" t="n">
        <f aca="false">G52-Q52-R52</f>
        <v>20.562</v>
      </c>
      <c r="T52" s="21" t="str">
        <f aca="false">IF(M52&lt;=7,"0-7 days",IF(M52&lt;=14,"8-14 days",IF(M52&lt;=21,"15-21 days","22+ days")))</f>
        <v>8-14 days</v>
      </c>
    </row>
    <row r="53" customFormat="false" ht="15" hidden="false" customHeight="false" outlineLevel="0" collapsed="false">
      <c r="A53" s="21" t="s">
        <v>115</v>
      </c>
      <c r="B53" s="21" t="s">
        <v>62</v>
      </c>
      <c r="C53" s="22" t="n">
        <v>42795</v>
      </c>
      <c r="D53" s="22" t="n">
        <v>42804</v>
      </c>
      <c r="E53" s="22" t="n">
        <v>42811</v>
      </c>
      <c r="F53" s="21" t="s">
        <v>67</v>
      </c>
      <c r="G53" s="23" t="n">
        <v>103.98</v>
      </c>
      <c r="H53" s="23" t="n">
        <v>20.34</v>
      </c>
      <c r="I53" s="21" t="s">
        <v>45</v>
      </c>
      <c r="J53" s="21" t="n">
        <v>5</v>
      </c>
      <c r="K53" s="21" t="s">
        <v>46</v>
      </c>
      <c r="L53" s="24" t="n">
        <f aca="false">DATE(YEAR(C53),MONTH(C53),1)</f>
        <v>42795</v>
      </c>
      <c r="M53" s="21" t="n">
        <f aca="false">D53-C53</f>
        <v>9</v>
      </c>
      <c r="N53" s="21" t="n">
        <f aca="false">MAX(0,D53-E53)</f>
        <v>0</v>
      </c>
      <c r="O53" s="21" t="n">
        <f aca="false">IF(D53&lt;=E53,1,0)</f>
        <v>1</v>
      </c>
      <c r="P53" s="23" t="n">
        <f aca="false">G53+H53</f>
        <v>124.32</v>
      </c>
      <c r="Q53" s="23" t="n">
        <f aca="false">G53*INDEX(Assumptions!$B$8:$B$16,MATCH(F53,Assumptions!$A$8:$A$16,0))</f>
        <v>64.4676</v>
      </c>
      <c r="R53" s="23" t="n">
        <f aca="false">H53*Assumptions!$B$3</f>
        <v>12.204</v>
      </c>
      <c r="S53" s="23" t="n">
        <f aca="false">G53-Q53-R53</f>
        <v>27.3084</v>
      </c>
      <c r="T53" s="21" t="str">
        <f aca="false">IF(M53&lt;=7,"0-7 days",IF(M53&lt;=14,"8-14 days",IF(M53&lt;=21,"15-21 days","22+ days")))</f>
        <v>8-14 days</v>
      </c>
    </row>
    <row r="54" customFormat="false" ht="15" hidden="false" customHeight="false" outlineLevel="0" collapsed="false">
      <c r="A54" s="21" t="s">
        <v>116</v>
      </c>
      <c r="B54" s="21" t="s">
        <v>19</v>
      </c>
      <c r="C54" s="22" t="n">
        <v>42796</v>
      </c>
      <c r="D54" s="22" t="n">
        <v>42801</v>
      </c>
      <c r="E54" s="22" t="n">
        <v>42812</v>
      </c>
      <c r="F54" s="21" t="s">
        <v>111</v>
      </c>
      <c r="G54" s="23" t="n">
        <v>89.18</v>
      </c>
      <c r="H54" s="23" t="n">
        <v>16.78</v>
      </c>
      <c r="I54" s="21" t="s">
        <v>45</v>
      </c>
      <c r="J54" s="21" t="n">
        <v>4</v>
      </c>
      <c r="K54" s="21" t="s">
        <v>46</v>
      </c>
      <c r="L54" s="24" t="n">
        <f aca="false">DATE(YEAR(C54),MONTH(C54),1)</f>
        <v>42795</v>
      </c>
      <c r="M54" s="21" t="n">
        <f aca="false">D54-C54</f>
        <v>5</v>
      </c>
      <c r="N54" s="21" t="n">
        <f aca="false">MAX(0,D54-E54)</f>
        <v>0</v>
      </c>
      <c r="O54" s="21" t="n">
        <f aca="false">IF(D54&lt;=E54,1,0)</f>
        <v>1</v>
      </c>
      <c r="P54" s="23" t="n">
        <f aca="false">G54+H54</f>
        <v>105.96</v>
      </c>
      <c r="Q54" s="23" t="n">
        <f aca="false">G54*INDEX(Assumptions!$B$8:$B$16,MATCH(F54,Assumptions!$A$8:$A$16,0))</f>
        <v>56.1834</v>
      </c>
      <c r="R54" s="23" t="n">
        <f aca="false">H54*Assumptions!$B$3</f>
        <v>10.068</v>
      </c>
      <c r="S54" s="23" t="n">
        <f aca="false">G54-Q54-R54</f>
        <v>22.9286</v>
      </c>
      <c r="T54" s="21" t="str">
        <f aca="false">IF(M54&lt;=7,"0-7 days",IF(M54&lt;=14,"8-14 days",IF(M54&lt;=21,"15-21 days","22+ days")))</f>
        <v>0-7 days</v>
      </c>
    </row>
    <row r="55" customFormat="false" ht="15" hidden="false" customHeight="false" outlineLevel="0" collapsed="false">
      <c r="A55" s="21" t="s">
        <v>117</v>
      </c>
      <c r="B55" s="21" t="s">
        <v>62</v>
      </c>
      <c r="C55" s="22" t="n">
        <v>42796</v>
      </c>
      <c r="D55" s="22" t="n">
        <v>42806</v>
      </c>
      <c r="E55" s="22" t="n">
        <v>42816</v>
      </c>
      <c r="F55" s="21" t="s">
        <v>59</v>
      </c>
      <c r="G55" s="23" t="n">
        <v>60.58</v>
      </c>
      <c r="H55" s="23" t="n">
        <v>23.12</v>
      </c>
      <c r="I55" s="21" t="s">
        <v>45</v>
      </c>
      <c r="J55" s="21" t="n">
        <v>5</v>
      </c>
      <c r="K55" s="21" t="s">
        <v>46</v>
      </c>
      <c r="L55" s="24" t="n">
        <f aca="false">DATE(YEAR(C55),MONTH(C55),1)</f>
        <v>42795</v>
      </c>
      <c r="M55" s="21" t="n">
        <f aca="false">D55-C55</f>
        <v>10</v>
      </c>
      <c r="N55" s="21" t="n">
        <f aca="false">MAX(0,D55-E55)</f>
        <v>0</v>
      </c>
      <c r="O55" s="21" t="n">
        <f aca="false">IF(D55&lt;=E55,1,0)</f>
        <v>1</v>
      </c>
      <c r="P55" s="23" t="n">
        <f aca="false">G55+H55</f>
        <v>83.7</v>
      </c>
      <c r="Q55" s="23" t="n">
        <f aca="false">G55*INDEX(Assumptions!$B$8:$B$16,MATCH(F55,Assumptions!$A$8:$A$16,0))</f>
        <v>38.7712</v>
      </c>
      <c r="R55" s="23" t="n">
        <f aca="false">H55*Assumptions!$B$3</f>
        <v>13.872</v>
      </c>
      <c r="S55" s="23" t="n">
        <f aca="false">G55-Q55-R55</f>
        <v>7.9368</v>
      </c>
      <c r="T55" s="21" t="str">
        <f aca="false">IF(M55&lt;=7,"0-7 days",IF(M55&lt;=14,"8-14 days",IF(M55&lt;=21,"15-21 days","22+ days")))</f>
        <v>8-14 days</v>
      </c>
    </row>
    <row r="56" customFormat="false" ht="15" hidden="false" customHeight="false" outlineLevel="0" collapsed="false">
      <c r="A56" s="21" t="s">
        <v>118</v>
      </c>
      <c r="B56" s="21" t="s">
        <v>19</v>
      </c>
      <c r="C56" s="22" t="n">
        <v>42797</v>
      </c>
      <c r="D56" s="22" t="n">
        <v>42802</v>
      </c>
      <c r="E56" s="22" t="n">
        <v>42814</v>
      </c>
      <c r="F56" s="21" t="s">
        <v>59</v>
      </c>
      <c r="G56" s="23" t="n">
        <v>38.71</v>
      </c>
      <c r="H56" s="23" t="n">
        <v>17.26</v>
      </c>
      <c r="I56" s="21" t="s">
        <v>45</v>
      </c>
      <c r="J56" s="21" t="n">
        <v>5</v>
      </c>
      <c r="K56" s="21" t="s">
        <v>46</v>
      </c>
      <c r="L56" s="24" t="n">
        <f aca="false">DATE(YEAR(C56),MONTH(C56),1)</f>
        <v>42795</v>
      </c>
      <c r="M56" s="21" t="n">
        <f aca="false">D56-C56</f>
        <v>5</v>
      </c>
      <c r="N56" s="21" t="n">
        <f aca="false">MAX(0,D56-E56)</f>
        <v>0</v>
      </c>
      <c r="O56" s="21" t="n">
        <f aca="false">IF(D56&lt;=E56,1,0)</f>
        <v>1</v>
      </c>
      <c r="P56" s="23" t="n">
        <f aca="false">G56+H56</f>
        <v>55.97</v>
      </c>
      <c r="Q56" s="23" t="n">
        <f aca="false">G56*INDEX(Assumptions!$B$8:$B$16,MATCH(F56,Assumptions!$A$8:$A$16,0))</f>
        <v>24.7744</v>
      </c>
      <c r="R56" s="23" t="n">
        <f aca="false">H56*Assumptions!$B$3</f>
        <v>10.356</v>
      </c>
      <c r="S56" s="23" t="n">
        <f aca="false">G56-Q56-R56</f>
        <v>3.5796</v>
      </c>
      <c r="T56" s="21" t="str">
        <f aca="false">IF(M56&lt;=7,"0-7 days",IF(M56&lt;=14,"8-14 days",IF(M56&lt;=21,"15-21 days","22+ days")))</f>
        <v>0-7 days</v>
      </c>
    </row>
    <row r="57" customFormat="false" ht="15" hidden="false" customHeight="false" outlineLevel="0" collapsed="false">
      <c r="A57" s="21" t="s">
        <v>119</v>
      </c>
      <c r="B57" s="21" t="s">
        <v>62</v>
      </c>
      <c r="C57" s="22" t="n">
        <v>42798</v>
      </c>
      <c r="D57" s="22" t="n">
        <v>42803</v>
      </c>
      <c r="E57" s="22" t="n">
        <v>42820</v>
      </c>
      <c r="F57" s="21" t="s">
        <v>49</v>
      </c>
      <c r="G57" s="23" t="n">
        <v>80.64</v>
      </c>
      <c r="H57" s="23" t="n">
        <v>21.13</v>
      </c>
      <c r="I57" s="21" t="s">
        <v>45</v>
      </c>
      <c r="J57" s="21" t="n">
        <v>4</v>
      </c>
      <c r="K57" s="21" t="s">
        <v>46</v>
      </c>
      <c r="L57" s="24" t="n">
        <f aca="false">DATE(YEAR(C57),MONTH(C57),1)</f>
        <v>42795</v>
      </c>
      <c r="M57" s="21" t="n">
        <f aca="false">D57-C57</f>
        <v>5</v>
      </c>
      <c r="N57" s="21" t="n">
        <f aca="false">MAX(0,D57-E57)</f>
        <v>0</v>
      </c>
      <c r="O57" s="21" t="n">
        <f aca="false">IF(D57&lt;=E57,1,0)</f>
        <v>1</v>
      </c>
      <c r="P57" s="23" t="n">
        <f aca="false">G57+H57</f>
        <v>101.77</v>
      </c>
      <c r="Q57" s="23" t="n">
        <f aca="false">G57*INDEX(Assumptions!$B$8:$B$16,MATCH(F57,Assumptions!$A$8:$A$16,0))</f>
        <v>46.7712</v>
      </c>
      <c r="R57" s="23" t="n">
        <f aca="false">H57*Assumptions!$B$3</f>
        <v>12.678</v>
      </c>
      <c r="S57" s="23" t="n">
        <f aca="false">G57-Q57-R57</f>
        <v>21.1908</v>
      </c>
      <c r="T57" s="21" t="str">
        <f aca="false">IF(M57&lt;=7,"0-7 days",IF(M57&lt;=14,"8-14 days",IF(M57&lt;=21,"15-21 days","22+ days")))</f>
        <v>0-7 days</v>
      </c>
    </row>
    <row r="58" customFormat="false" ht="15" hidden="false" customHeight="false" outlineLevel="0" collapsed="false">
      <c r="A58" s="21" t="s">
        <v>120</v>
      </c>
      <c r="B58" s="21" t="s">
        <v>93</v>
      </c>
      <c r="C58" s="22" t="n">
        <v>42800</v>
      </c>
      <c r="D58" s="22" t="n">
        <v>42826</v>
      </c>
      <c r="E58" s="22" t="n">
        <v>42828</v>
      </c>
      <c r="F58" s="21" t="s">
        <v>44</v>
      </c>
      <c r="G58" s="23" t="n">
        <v>159.51</v>
      </c>
      <c r="H58" s="23" t="n">
        <v>35.82</v>
      </c>
      <c r="I58" s="21" t="s">
        <v>60</v>
      </c>
      <c r="J58" s="21" t="n">
        <v>4</v>
      </c>
      <c r="K58" s="21" t="s">
        <v>46</v>
      </c>
      <c r="L58" s="24" t="n">
        <f aca="false">DATE(YEAR(C58),MONTH(C58),1)</f>
        <v>42795</v>
      </c>
      <c r="M58" s="21" t="n">
        <f aca="false">D58-C58</f>
        <v>26</v>
      </c>
      <c r="N58" s="21" t="n">
        <f aca="false">MAX(0,D58-E58)</f>
        <v>0</v>
      </c>
      <c r="O58" s="21" t="n">
        <f aca="false">IF(D58&lt;=E58,1,0)</f>
        <v>1</v>
      </c>
      <c r="P58" s="23" t="n">
        <f aca="false">G58+H58</f>
        <v>195.33</v>
      </c>
      <c r="Q58" s="23" t="n">
        <f aca="false">G58*INDEX(Assumptions!$B$8:$B$16,MATCH(F58,Assumptions!$A$8:$A$16,0))</f>
        <v>95.706</v>
      </c>
      <c r="R58" s="23" t="n">
        <f aca="false">H58*Assumptions!$B$3</f>
        <v>21.492</v>
      </c>
      <c r="S58" s="23" t="n">
        <f aca="false">G58-Q58-R58</f>
        <v>42.312</v>
      </c>
      <c r="T58" s="21" t="str">
        <f aca="false">IF(M58&lt;=7,"0-7 days",IF(M58&lt;=14,"8-14 days",IF(M58&lt;=21,"15-21 days","22+ days")))</f>
        <v>22+ days</v>
      </c>
    </row>
    <row r="59" customFormat="false" ht="15" hidden="false" customHeight="false" outlineLevel="0" collapsed="false">
      <c r="A59" s="21" t="s">
        <v>121</v>
      </c>
      <c r="B59" s="21" t="s">
        <v>48</v>
      </c>
      <c r="C59" s="22" t="n">
        <v>42805</v>
      </c>
      <c r="D59" s="22" t="n">
        <v>42810</v>
      </c>
      <c r="E59" s="22" t="n">
        <v>42825</v>
      </c>
      <c r="F59" s="21" t="s">
        <v>64</v>
      </c>
      <c r="G59" s="23" t="n">
        <v>151.43</v>
      </c>
      <c r="H59" s="23" t="n">
        <v>23.17</v>
      </c>
      <c r="I59" s="21" t="s">
        <v>45</v>
      </c>
      <c r="J59" s="21" t="n">
        <v>4</v>
      </c>
      <c r="K59" s="21" t="s">
        <v>46</v>
      </c>
      <c r="L59" s="24" t="n">
        <f aca="false">DATE(YEAR(C59),MONTH(C59),1)</f>
        <v>42795</v>
      </c>
      <c r="M59" s="21" t="n">
        <f aca="false">D59-C59</f>
        <v>5</v>
      </c>
      <c r="N59" s="21" t="n">
        <f aca="false">MAX(0,D59-E59)</f>
        <v>0</v>
      </c>
      <c r="O59" s="21" t="n">
        <f aca="false">IF(D59&lt;=E59,1,0)</f>
        <v>1</v>
      </c>
      <c r="P59" s="23" t="n">
        <f aca="false">G59+H59</f>
        <v>174.6</v>
      </c>
      <c r="Q59" s="23" t="n">
        <f aca="false">G59*INDEX(Assumptions!$B$8:$B$16,MATCH(F59,Assumptions!$A$8:$A$16,0))</f>
        <v>99.9438</v>
      </c>
      <c r="R59" s="23" t="n">
        <f aca="false">H59*Assumptions!$B$3</f>
        <v>13.902</v>
      </c>
      <c r="S59" s="23" t="n">
        <f aca="false">G59-Q59-R59</f>
        <v>37.5842</v>
      </c>
      <c r="T59" s="21" t="str">
        <f aca="false">IF(M59&lt;=7,"0-7 days",IF(M59&lt;=14,"8-14 days",IF(M59&lt;=21,"15-21 days","22+ days")))</f>
        <v>0-7 days</v>
      </c>
    </row>
    <row r="60" customFormat="false" ht="15" hidden="false" customHeight="false" outlineLevel="0" collapsed="false">
      <c r="A60" s="21" t="s">
        <v>122</v>
      </c>
      <c r="B60" s="21" t="s">
        <v>19</v>
      </c>
      <c r="C60" s="22" t="n">
        <v>42805</v>
      </c>
      <c r="D60" s="22" t="n">
        <v>42814</v>
      </c>
      <c r="E60" s="22" t="n">
        <v>42819</v>
      </c>
      <c r="F60" s="21" t="s">
        <v>57</v>
      </c>
      <c r="G60" s="23" t="n">
        <v>144.79</v>
      </c>
      <c r="H60" s="23" t="n">
        <v>13.43</v>
      </c>
      <c r="I60" s="21" t="s">
        <v>45</v>
      </c>
      <c r="J60" s="21" t="n">
        <v>5</v>
      </c>
      <c r="K60" s="21" t="s">
        <v>46</v>
      </c>
      <c r="L60" s="24" t="n">
        <f aca="false">DATE(YEAR(C60),MONTH(C60),1)</f>
        <v>42795</v>
      </c>
      <c r="M60" s="21" t="n">
        <f aca="false">D60-C60</f>
        <v>9</v>
      </c>
      <c r="N60" s="21" t="n">
        <f aca="false">MAX(0,D60-E60)</f>
        <v>0</v>
      </c>
      <c r="O60" s="21" t="n">
        <f aca="false">IF(D60&lt;=E60,1,0)</f>
        <v>1</v>
      </c>
      <c r="P60" s="23" t="n">
        <f aca="false">G60+H60</f>
        <v>158.22</v>
      </c>
      <c r="Q60" s="23" t="n">
        <f aca="false">G60*INDEX(Assumptions!$B$8:$B$16,MATCH(F60,Assumptions!$A$8:$A$16,0))</f>
        <v>98.4572</v>
      </c>
      <c r="R60" s="23" t="n">
        <f aca="false">H60*Assumptions!$B$3</f>
        <v>8.058</v>
      </c>
      <c r="S60" s="23" t="n">
        <f aca="false">G60-Q60-R60</f>
        <v>38.2748</v>
      </c>
      <c r="T60" s="21" t="str">
        <f aca="false">IF(M60&lt;=7,"0-7 days",IF(M60&lt;=14,"8-14 days",IF(M60&lt;=21,"15-21 days","22+ days")))</f>
        <v>8-14 days</v>
      </c>
    </row>
    <row r="61" customFormat="false" ht="15" hidden="false" customHeight="false" outlineLevel="0" collapsed="false">
      <c r="A61" s="21" t="s">
        <v>123</v>
      </c>
      <c r="B61" s="21" t="s">
        <v>77</v>
      </c>
      <c r="C61" s="22" t="n">
        <v>42807</v>
      </c>
      <c r="D61" s="22" t="n">
        <v>42826</v>
      </c>
      <c r="E61" s="22" t="n">
        <v>42835</v>
      </c>
      <c r="F61" s="21" t="s">
        <v>53</v>
      </c>
      <c r="G61" s="23" t="n">
        <v>66.73</v>
      </c>
      <c r="H61" s="23" t="n">
        <v>20.11</v>
      </c>
      <c r="I61" s="21" t="s">
        <v>45</v>
      </c>
      <c r="J61" s="21" t="n">
        <v>5</v>
      </c>
      <c r="K61" s="21" t="s">
        <v>46</v>
      </c>
      <c r="L61" s="24" t="n">
        <f aca="false">DATE(YEAR(C61),MONTH(C61),1)</f>
        <v>42795</v>
      </c>
      <c r="M61" s="21" t="n">
        <f aca="false">D61-C61</f>
        <v>19</v>
      </c>
      <c r="N61" s="21" t="n">
        <f aca="false">MAX(0,D61-E61)</f>
        <v>0</v>
      </c>
      <c r="O61" s="21" t="n">
        <f aca="false">IF(D61&lt;=E61,1,0)</f>
        <v>1</v>
      </c>
      <c r="P61" s="23" t="n">
        <f aca="false">G61+H61</f>
        <v>86.84</v>
      </c>
      <c r="Q61" s="23" t="n">
        <f aca="false">G61*INDEX(Assumptions!$B$8:$B$16,MATCH(F61,Assumptions!$A$8:$A$16,0))</f>
        <v>49.3802</v>
      </c>
      <c r="R61" s="23" t="n">
        <f aca="false">H61*Assumptions!$B$3</f>
        <v>12.066</v>
      </c>
      <c r="S61" s="23" t="n">
        <f aca="false">G61-Q61-R61</f>
        <v>5.2838</v>
      </c>
      <c r="T61" s="21" t="str">
        <f aca="false">IF(M61&lt;=7,"0-7 days",IF(M61&lt;=14,"8-14 days",IF(M61&lt;=21,"15-21 days","22+ days")))</f>
        <v>15-21 days</v>
      </c>
    </row>
    <row r="62" customFormat="false" ht="15" hidden="false" customHeight="false" outlineLevel="0" collapsed="false">
      <c r="A62" s="21" t="s">
        <v>124</v>
      </c>
      <c r="B62" s="21" t="s">
        <v>19</v>
      </c>
      <c r="C62" s="22" t="n">
        <v>42808</v>
      </c>
      <c r="D62" s="22" t="n">
        <v>42822</v>
      </c>
      <c r="E62" s="22" t="n">
        <v>42821</v>
      </c>
      <c r="F62" s="21" t="s">
        <v>49</v>
      </c>
      <c r="G62" s="23" t="n">
        <v>128.9</v>
      </c>
      <c r="H62" s="23" t="n">
        <v>16.6</v>
      </c>
      <c r="I62" s="21" t="s">
        <v>60</v>
      </c>
      <c r="J62" s="21" t="n">
        <v>2</v>
      </c>
      <c r="K62" s="21" t="s">
        <v>46</v>
      </c>
      <c r="L62" s="24" t="n">
        <f aca="false">DATE(YEAR(C62),MONTH(C62),1)</f>
        <v>42795</v>
      </c>
      <c r="M62" s="21" t="n">
        <f aca="false">D62-C62</f>
        <v>14</v>
      </c>
      <c r="N62" s="21" t="n">
        <f aca="false">MAX(0,D62-E62)</f>
        <v>1</v>
      </c>
      <c r="O62" s="21" t="n">
        <f aca="false">IF(D62&lt;=E62,1,0)</f>
        <v>0</v>
      </c>
      <c r="P62" s="23" t="n">
        <f aca="false">G62+H62</f>
        <v>145.5</v>
      </c>
      <c r="Q62" s="23" t="n">
        <f aca="false">G62*INDEX(Assumptions!$B$8:$B$16,MATCH(F62,Assumptions!$A$8:$A$16,0))</f>
        <v>74.762</v>
      </c>
      <c r="R62" s="23" t="n">
        <f aca="false">H62*Assumptions!$B$3</f>
        <v>9.96</v>
      </c>
      <c r="S62" s="23" t="n">
        <f aca="false">G62-Q62-R62</f>
        <v>44.178</v>
      </c>
      <c r="T62" s="21" t="str">
        <f aca="false">IF(M62&lt;=7,"0-7 days",IF(M62&lt;=14,"8-14 days",IF(M62&lt;=21,"15-21 days","22+ days")))</f>
        <v>8-14 days</v>
      </c>
    </row>
    <row r="63" customFormat="false" ht="15" hidden="false" customHeight="false" outlineLevel="0" collapsed="false">
      <c r="A63" s="21" t="s">
        <v>125</v>
      </c>
      <c r="B63" s="21" t="s">
        <v>19</v>
      </c>
      <c r="C63" s="22" t="n">
        <v>42812</v>
      </c>
      <c r="D63" s="22" t="n">
        <v>42822</v>
      </c>
      <c r="E63" s="22" t="n">
        <v>42826</v>
      </c>
      <c r="F63" s="21" t="s">
        <v>49</v>
      </c>
      <c r="G63" s="23" t="n">
        <v>60.86</v>
      </c>
      <c r="H63" s="23" t="n">
        <v>17.19</v>
      </c>
      <c r="I63" s="21" t="s">
        <v>45</v>
      </c>
      <c r="J63" s="21" t="n">
        <v>5</v>
      </c>
      <c r="K63" s="21" t="s">
        <v>46</v>
      </c>
      <c r="L63" s="24" t="n">
        <f aca="false">DATE(YEAR(C63),MONTH(C63),1)</f>
        <v>42795</v>
      </c>
      <c r="M63" s="21" t="n">
        <f aca="false">D63-C63</f>
        <v>10</v>
      </c>
      <c r="N63" s="21" t="n">
        <f aca="false">MAX(0,D63-E63)</f>
        <v>0</v>
      </c>
      <c r="O63" s="21" t="n">
        <f aca="false">IF(D63&lt;=E63,1,0)</f>
        <v>1</v>
      </c>
      <c r="P63" s="23" t="n">
        <f aca="false">G63+H63</f>
        <v>78.05</v>
      </c>
      <c r="Q63" s="23" t="n">
        <f aca="false">G63*INDEX(Assumptions!$B$8:$B$16,MATCH(F63,Assumptions!$A$8:$A$16,0))</f>
        <v>35.2988</v>
      </c>
      <c r="R63" s="23" t="n">
        <f aca="false">H63*Assumptions!$B$3</f>
        <v>10.314</v>
      </c>
      <c r="S63" s="23" t="n">
        <f aca="false">G63-Q63-R63</f>
        <v>15.2472</v>
      </c>
      <c r="T63" s="21" t="str">
        <f aca="false">IF(M63&lt;=7,"0-7 days",IF(M63&lt;=14,"8-14 days",IF(M63&lt;=21,"15-21 days","22+ days")))</f>
        <v>8-14 days</v>
      </c>
    </row>
    <row r="64" customFormat="false" ht="15" hidden="false" customHeight="false" outlineLevel="0" collapsed="false">
      <c r="A64" s="21" t="s">
        <v>126</v>
      </c>
      <c r="B64" s="21" t="s">
        <v>62</v>
      </c>
      <c r="C64" s="22" t="n">
        <v>42817</v>
      </c>
      <c r="D64" s="22" t="n">
        <v>42825</v>
      </c>
      <c r="E64" s="22" t="n">
        <v>42839</v>
      </c>
      <c r="F64" s="21" t="s">
        <v>79</v>
      </c>
      <c r="G64" s="23" t="n">
        <v>19.3</v>
      </c>
      <c r="H64" s="23" t="n">
        <v>17.01</v>
      </c>
      <c r="I64" s="21" t="s">
        <v>45</v>
      </c>
      <c r="J64" s="21" t="n">
        <v>4</v>
      </c>
      <c r="K64" s="21" t="s">
        <v>46</v>
      </c>
      <c r="L64" s="24" t="n">
        <f aca="false">DATE(YEAR(C64),MONTH(C64),1)</f>
        <v>42795</v>
      </c>
      <c r="M64" s="21" t="n">
        <f aca="false">D64-C64</f>
        <v>8</v>
      </c>
      <c r="N64" s="21" t="n">
        <f aca="false">MAX(0,D64-E64)</f>
        <v>0</v>
      </c>
      <c r="O64" s="21" t="n">
        <f aca="false">IF(D64&lt;=E64,1,0)</f>
        <v>1</v>
      </c>
      <c r="P64" s="23" t="n">
        <f aca="false">G64+H64</f>
        <v>36.31</v>
      </c>
      <c r="Q64" s="23" t="n">
        <f aca="false">G64*INDEX(Assumptions!$B$8:$B$16,MATCH(F64,Assumptions!$A$8:$A$16,0))</f>
        <v>13.51</v>
      </c>
      <c r="R64" s="23" t="n">
        <f aca="false">H64*Assumptions!$B$3</f>
        <v>10.206</v>
      </c>
      <c r="S64" s="23" t="n">
        <f aca="false">G64-Q64-R64</f>
        <v>-4.416</v>
      </c>
      <c r="T64" s="21" t="str">
        <f aca="false">IF(M64&lt;=7,"0-7 days",IF(M64&lt;=14,"8-14 days",IF(M64&lt;=21,"15-21 days","22+ days")))</f>
        <v>8-14 days</v>
      </c>
    </row>
    <row r="65" customFormat="false" ht="15" hidden="false" customHeight="false" outlineLevel="0" collapsed="false">
      <c r="A65" s="21" t="s">
        <v>127</v>
      </c>
      <c r="B65" s="21" t="s">
        <v>19</v>
      </c>
      <c r="C65" s="22" t="n">
        <v>42817</v>
      </c>
      <c r="D65" s="22" t="n">
        <v>42824</v>
      </c>
      <c r="E65" s="22" t="n">
        <v>42833</v>
      </c>
      <c r="F65" s="21" t="s">
        <v>79</v>
      </c>
      <c r="G65" s="23" t="n">
        <v>95.65</v>
      </c>
      <c r="H65" s="23" t="n">
        <v>22.27</v>
      </c>
      <c r="I65" s="21" t="s">
        <v>45</v>
      </c>
      <c r="J65" s="21" t="n">
        <v>3</v>
      </c>
      <c r="K65" s="21" t="s">
        <v>46</v>
      </c>
      <c r="L65" s="24" t="n">
        <f aca="false">DATE(YEAR(C65),MONTH(C65),1)</f>
        <v>42795</v>
      </c>
      <c r="M65" s="21" t="n">
        <f aca="false">D65-C65</f>
        <v>7</v>
      </c>
      <c r="N65" s="21" t="n">
        <f aca="false">MAX(0,D65-E65)</f>
        <v>0</v>
      </c>
      <c r="O65" s="21" t="n">
        <f aca="false">IF(D65&lt;=E65,1,0)</f>
        <v>1</v>
      </c>
      <c r="P65" s="23" t="n">
        <f aca="false">G65+H65</f>
        <v>117.92</v>
      </c>
      <c r="Q65" s="23" t="n">
        <f aca="false">G65*INDEX(Assumptions!$B$8:$B$16,MATCH(F65,Assumptions!$A$8:$A$16,0))</f>
        <v>66.955</v>
      </c>
      <c r="R65" s="23" t="n">
        <f aca="false">H65*Assumptions!$B$3</f>
        <v>13.362</v>
      </c>
      <c r="S65" s="23" t="n">
        <f aca="false">G65-Q65-R65</f>
        <v>15.333</v>
      </c>
      <c r="T65" s="21" t="str">
        <f aca="false">IF(M65&lt;=7,"0-7 days",IF(M65&lt;=14,"8-14 days",IF(M65&lt;=21,"15-21 days","22+ days")))</f>
        <v>0-7 days</v>
      </c>
    </row>
    <row r="66" customFormat="false" ht="15" hidden="false" customHeight="false" outlineLevel="0" collapsed="false">
      <c r="A66" s="21" t="s">
        <v>128</v>
      </c>
      <c r="B66" s="21" t="s">
        <v>93</v>
      </c>
      <c r="C66" s="22" t="n">
        <v>42818</v>
      </c>
      <c r="D66" s="22" t="n">
        <v>42832</v>
      </c>
      <c r="E66" s="22" t="n">
        <v>42850</v>
      </c>
      <c r="F66" s="21" t="s">
        <v>111</v>
      </c>
      <c r="G66" s="23" t="n">
        <v>49.04</v>
      </c>
      <c r="H66" s="23" t="n">
        <v>37.94</v>
      </c>
      <c r="I66" s="21" t="s">
        <v>45</v>
      </c>
      <c r="J66" s="21" t="n">
        <v>4</v>
      </c>
      <c r="K66" s="21" t="s">
        <v>46</v>
      </c>
      <c r="L66" s="24" t="n">
        <f aca="false">DATE(YEAR(C66),MONTH(C66),1)</f>
        <v>42795</v>
      </c>
      <c r="M66" s="21" t="n">
        <f aca="false">D66-C66</f>
        <v>14</v>
      </c>
      <c r="N66" s="21" t="n">
        <f aca="false">MAX(0,D66-E66)</f>
        <v>0</v>
      </c>
      <c r="O66" s="21" t="n">
        <f aca="false">IF(D66&lt;=E66,1,0)</f>
        <v>1</v>
      </c>
      <c r="P66" s="23" t="n">
        <f aca="false">G66+H66</f>
        <v>86.98</v>
      </c>
      <c r="Q66" s="23" t="n">
        <f aca="false">G66*INDEX(Assumptions!$B$8:$B$16,MATCH(F66,Assumptions!$A$8:$A$16,0))</f>
        <v>30.8952</v>
      </c>
      <c r="R66" s="23" t="n">
        <f aca="false">H66*Assumptions!$B$3</f>
        <v>22.764</v>
      </c>
      <c r="S66" s="23" t="n">
        <f aca="false">G66-Q66-R66</f>
        <v>-4.6192</v>
      </c>
      <c r="T66" s="21" t="str">
        <f aca="false">IF(M66&lt;=7,"0-7 days",IF(M66&lt;=14,"8-14 days",IF(M66&lt;=21,"15-21 days","22+ days")))</f>
        <v>8-14 days</v>
      </c>
    </row>
    <row r="67" customFormat="false" ht="15" hidden="false" customHeight="false" outlineLevel="0" collapsed="false">
      <c r="A67" s="21" t="s">
        <v>129</v>
      </c>
      <c r="B67" s="21" t="s">
        <v>93</v>
      </c>
      <c r="C67" s="22" t="n">
        <v>42819</v>
      </c>
      <c r="D67" s="22" t="n">
        <v>42834</v>
      </c>
      <c r="E67" s="22" t="n">
        <v>42847</v>
      </c>
      <c r="F67" s="21" t="s">
        <v>57</v>
      </c>
      <c r="G67" s="23" t="n">
        <v>81.39</v>
      </c>
      <c r="H67" s="23" t="n">
        <v>27.17</v>
      </c>
      <c r="I67" s="21" t="s">
        <v>45</v>
      </c>
      <c r="J67" s="21" t="n">
        <v>5</v>
      </c>
      <c r="K67" s="21" t="s">
        <v>46</v>
      </c>
      <c r="L67" s="24" t="n">
        <f aca="false">DATE(YEAR(C67),MONTH(C67),1)</f>
        <v>42795</v>
      </c>
      <c r="M67" s="21" t="n">
        <f aca="false">D67-C67</f>
        <v>15</v>
      </c>
      <c r="N67" s="21" t="n">
        <f aca="false">MAX(0,D67-E67)</f>
        <v>0</v>
      </c>
      <c r="O67" s="21" t="n">
        <f aca="false">IF(D67&lt;=E67,1,0)</f>
        <v>1</v>
      </c>
      <c r="P67" s="23" t="n">
        <f aca="false">G67+H67</f>
        <v>108.56</v>
      </c>
      <c r="Q67" s="23" t="n">
        <f aca="false">G67*INDEX(Assumptions!$B$8:$B$16,MATCH(F67,Assumptions!$A$8:$A$16,0))</f>
        <v>55.3452</v>
      </c>
      <c r="R67" s="23" t="n">
        <f aca="false">H67*Assumptions!$B$3</f>
        <v>16.302</v>
      </c>
      <c r="S67" s="23" t="n">
        <f aca="false">G67-Q67-R67</f>
        <v>9.7428</v>
      </c>
      <c r="T67" s="21" t="str">
        <f aca="false">IF(M67&lt;=7,"0-7 days",IF(M67&lt;=14,"8-14 days",IF(M67&lt;=21,"15-21 days","22+ days")))</f>
        <v>15-21 days</v>
      </c>
    </row>
    <row r="68" customFormat="false" ht="15" hidden="false" customHeight="false" outlineLevel="0" collapsed="false">
      <c r="A68" s="21" t="s">
        <v>130</v>
      </c>
      <c r="B68" s="21" t="s">
        <v>55</v>
      </c>
      <c r="C68" s="22" t="n">
        <v>42819</v>
      </c>
      <c r="D68" s="22" t="n">
        <v>42834</v>
      </c>
      <c r="E68" s="22" t="n">
        <v>42845</v>
      </c>
      <c r="F68" s="21" t="s">
        <v>111</v>
      </c>
      <c r="G68" s="23" t="n">
        <v>35.68</v>
      </c>
      <c r="H68" s="23" t="n">
        <v>24.56</v>
      </c>
      <c r="I68" s="21" t="s">
        <v>45</v>
      </c>
      <c r="J68" s="21" t="n">
        <v>5</v>
      </c>
      <c r="K68" s="21" t="s">
        <v>46</v>
      </c>
      <c r="L68" s="24" t="n">
        <f aca="false">DATE(YEAR(C68),MONTH(C68),1)</f>
        <v>42795</v>
      </c>
      <c r="M68" s="21" t="n">
        <f aca="false">D68-C68</f>
        <v>15</v>
      </c>
      <c r="N68" s="21" t="n">
        <f aca="false">MAX(0,D68-E68)</f>
        <v>0</v>
      </c>
      <c r="O68" s="21" t="n">
        <f aca="false">IF(D68&lt;=E68,1,0)</f>
        <v>1</v>
      </c>
      <c r="P68" s="23" t="n">
        <f aca="false">G68+H68</f>
        <v>60.24</v>
      </c>
      <c r="Q68" s="23" t="n">
        <f aca="false">G68*INDEX(Assumptions!$B$8:$B$16,MATCH(F68,Assumptions!$A$8:$A$16,0))</f>
        <v>22.4784</v>
      </c>
      <c r="R68" s="23" t="n">
        <f aca="false">H68*Assumptions!$B$3</f>
        <v>14.736</v>
      </c>
      <c r="S68" s="23" t="n">
        <f aca="false">G68-Q68-R68</f>
        <v>-1.5344</v>
      </c>
      <c r="T68" s="21" t="str">
        <f aca="false">IF(M68&lt;=7,"0-7 days",IF(M68&lt;=14,"8-14 days",IF(M68&lt;=21,"15-21 days","22+ days")))</f>
        <v>15-21 days</v>
      </c>
    </row>
    <row r="69" customFormat="false" ht="15" hidden="false" customHeight="false" outlineLevel="0" collapsed="false">
      <c r="A69" s="21" t="s">
        <v>131</v>
      </c>
      <c r="B69" s="21" t="s">
        <v>55</v>
      </c>
      <c r="C69" s="22" t="n">
        <v>42820</v>
      </c>
      <c r="D69" s="22" t="n">
        <v>42840</v>
      </c>
      <c r="E69" s="22" t="n">
        <v>42843</v>
      </c>
      <c r="F69" s="21" t="s">
        <v>64</v>
      </c>
      <c r="G69" s="23" t="n">
        <v>125.46</v>
      </c>
      <c r="H69" s="23" t="n">
        <v>28.73</v>
      </c>
      <c r="I69" s="21" t="s">
        <v>45</v>
      </c>
      <c r="J69" s="21" t="n">
        <v>4</v>
      </c>
      <c r="K69" s="21" t="s">
        <v>46</v>
      </c>
      <c r="L69" s="24" t="n">
        <f aca="false">DATE(YEAR(C69),MONTH(C69),1)</f>
        <v>42795</v>
      </c>
      <c r="M69" s="21" t="n">
        <f aca="false">D69-C69</f>
        <v>20</v>
      </c>
      <c r="N69" s="21" t="n">
        <f aca="false">MAX(0,D69-E69)</f>
        <v>0</v>
      </c>
      <c r="O69" s="21" t="n">
        <f aca="false">IF(D69&lt;=E69,1,0)</f>
        <v>1</v>
      </c>
      <c r="P69" s="23" t="n">
        <f aca="false">G69+H69</f>
        <v>154.19</v>
      </c>
      <c r="Q69" s="23" t="n">
        <f aca="false">G69*INDEX(Assumptions!$B$8:$B$16,MATCH(F69,Assumptions!$A$8:$A$16,0))</f>
        <v>82.8036</v>
      </c>
      <c r="R69" s="23" t="n">
        <f aca="false">H69*Assumptions!$B$3</f>
        <v>17.238</v>
      </c>
      <c r="S69" s="23" t="n">
        <f aca="false">G69-Q69-R69</f>
        <v>25.4184</v>
      </c>
      <c r="T69" s="21" t="str">
        <f aca="false">IF(M69&lt;=7,"0-7 days",IF(M69&lt;=14,"8-14 days",IF(M69&lt;=21,"15-21 days","22+ days")))</f>
        <v>15-21 days</v>
      </c>
    </row>
    <row r="70" customFormat="false" ht="15" hidden="false" customHeight="false" outlineLevel="0" collapsed="false">
      <c r="A70" s="21" t="s">
        <v>132</v>
      </c>
      <c r="B70" s="21" t="s">
        <v>19</v>
      </c>
      <c r="C70" s="22" t="n">
        <v>42820</v>
      </c>
      <c r="D70" s="22" t="n">
        <v>42826</v>
      </c>
      <c r="E70" s="22" t="n">
        <v>42833</v>
      </c>
      <c r="F70" s="21" t="s">
        <v>67</v>
      </c>
      <c r="G70" s="23" t="n">
        <v>111.28</v>
      </c>
      <c r="H70" s="23" t="n">
        <v>23.11</v>
      </c>
      <c r="I70" s="21" t="s">
        <v>45</v>
      </c>
      <c r="J70" s="21" t="n">
        <v>5</v>
      </c>
      <c r="K70" s="21" t="s">
        <v>46</v>
      </c>
      <c r="L70" s="24" t="n">
        <f aca="false">DATE(YEAR(C70),MONTH(C70),1)</f>
        <v>42795</v>
      </c>
      <c r="M70" s="21" t="n">
        <f aca="false">D70-C70</f>
        <v>6</v>
      </c>
      <c r="N70" s="21" t="n">
        <f aca="false">MAX(0,D70-E70)</f>
        <v>0</v>
      </c>
      <c r="O70" s="21" t="n">
        <f aca="false">IF(D70&lt;=E70,1,0)</f>
        <v>1</v>
      </c>
      <c r="P70" s="23" t="n">
        <f aca="false">G70+H70</f>
        <v>134.39</v>
      </c>
      <c r="Q70" s="23" t="n">
        <f aca="false">G70*INDEX(Assumptions!$B$8:$B$16,MATCH(F70,Assumptions!$A$8:$A$16,0))</f>
        <v>68.9936</v>
      </c>
      <c r="R70" s="23" t="n">
        <f aca="false">H70*Assumptions!$B$3</f>
        <v>13.866</v>
      </c>
      <c r="S70" s="23" t="n">
        <f aca="false">G70-Q70-R70</f>
        <v>28.4204</v>
      </c>
      <c r="T70" s="21" t="str">
        <f aca="false">IF(M70&lt;=7,"0-7 days",IF(M70&lt;=14,"8-14 days",IF(M70&lt;=21,"15-21 days","22+ days")))</f>
        <v>0-7 days</v>
      </c>
    </row>
    <row r="71" customFormat="false" ht="15" hidden="false" customHeight="false" outlineLevel="0" collapsed="false">
      <c r="A71" s="21" t="s">
        <v>133</v>
      </c>
      <c r="B71" s="21" t="s">
        <v>134</v>
      </c>
      <c r="C71" s="22" t="n">
        <v>42821</v>
      </c>
      <c r="D71" s="22" t="n">
        <v>42836</v>
      </c>
      <c r="E71" s="22" t="n">
        <v>42838</v>
      </c>
      <c r="F71" s="21" t="s">
        <v>79</v>
      </c>
      <c r="G71" s="23" t="n">
        <v>168.77</v>
      </c>
      <c r="H71" s="23" t="n">
        <v>22.32</v>
      </c>
      <c r="I71" s="21" t="s">
        <v>45</v>
      </c>
      <c r="J71" s="21" t="n">
        <v>3</v>
      </c>
      <c r="K71" s="21" t="s">
        <v>46</v>
      </c>
      <c r="L71" s="24" t="n">
        <f aca="false">DATE(YEAR(C71),MONTH(C71),1)</f>
        <v>42795</v>
      </c>
      <c r="M71" s="21" t="n">
        <f aca="false">D71-C71</f>
        <v>15</v>
      </c>
      <c r="N71" s="21" t="n">
        <f aca="false">MAX(0,D71-E71)</f>
        <v>0</v>
      </c>
      <c r="O71" s="21" t="n">
        <f aca="false">IF(D71&lt;=E71,1,0)</f>
        <v>1</v>
      </c>
      <c r="P71" s="23" t="n">
        <f aca="false">G71+H71</f>
        <v>191.09</v>
      </c>
      <c r="Q71" s="23" t="n">
        <f aca="false">G71*INDEX(Assumptions!$B$8:$B$16,MATCH(F71,Assumptions!$A$8:$A$16,0))</f>
        <v>118.139</v>
      </c>
      <c r="R71" s="23" t="n">
        <f aca="false">H71*Assumptions!$B$3</f>
        <v>13.392</v>
      </c>
      <c r="S71" s="23" t="n">
        <f aca="false">G71-Q71-R71</f>
        <v>37.239</v>
      </c>
      <c r="T71" s="21" t="str">
        <f aca="false">IF(M71&lt;=7,"0-7 days",IF(M71&lt;=14,"8-14 days",IF(M71&lt;=21,"15-21 days","22+ days")))</f>
        <v>15-21 days</v>
      </c>
    </row>
    <row r="72" customFormat="false" ht="15" hidden="false" customHeight="false" outlineLevel="0" collapsed="false">
      <c r="A72" s="21" t="s">
        <v>135</v>
      </c>
      <c r="B72" s="21" t="s">
        <v>77</v>
      </c>
      <c r="C72" s="22" t="n">
        <v>42822</v>
      </c>
      <c r="D72" s="22" t="n">
        <v>42831</v>
      </c>
      <c r="E72" s="22" t="n">
        <v>42850</v>
      </c>
      <c r="F72" s="21" t="s">
        <v>79</v>
      </c>
      <c r="G72" s="23" t="n">
        <v>100.09</v>
      </c>
      <c r="H72" s="23" t="n">
        <v>25.96</v>
      </c>
      <c r="I72" s="21" t="s">
        <v>45</v>
      </c>
      <c r="J72" s="21" t="n">
        <v>4</v>
      </c>
      <c r="K72" s="21" t="s">
        <v>46</v>
      </c>
      <c r="L72" s="24" t="n">
        <f aca="false">DATE(YEAR(C72),MONTH(C72),1)</f>
        <v>42795</v>
      </c>
      <c r="M72" s="21" t="n">
        <f aca="false">D72-C72</f>
        <v>9</v>
      </c>
      <c r="N72" s="21" t="n">
        <f aca="false">MAX(0,D72-E72)</f>
        <v>0</v>
      </c>
      <c r="O72" s="21" t="n">
        <f aca="false">IF(D72&lt;=E72,1,0)</f>
        <v>1</v>
      </c>
      <c r="P72" s="23" t="n">
        <f aca="false">G72+H72</f>
        <v>126.05</v>
      </c>
      <c r="Q72" s="23" t="n">
        <f aca="false">G72*INDEX(Assumptions!$B$8:$B$16,MATCH(F72,Assumptions!$A$8:$A$16,0))</f>
        <v>70.063</v>
      </c>
      <c r="R72" s="23" t="n">
        <f aca="false">H72*Assumptions!$B$3</f>
        <v>15.576</v>
      </c>
      <c r="S72" s="23" t="n">
        <f aca="false">G72-Q72-R72</f>
        <v>14.451</v>
      </c>
      <c r="T72" s="21" t="str">
        <f aca="false">IF(M72&lt;=7,"0-7 days",IF(M72&lt;=14,"8-14 days",IF(M72&lt;=21,"15-21 days","22+ days")))</f>
        <v>8-14 days</v>
      </c>
    </row>
    <row r="73" customFormat="false" ht="15" hidden="false" customHeight="false" outlineLevel="0" collapsed="false">
      <c r="A73" s="21" t="s">
        <v>136</v>
      </c>
      <c r="B73" s="21" t="s">
        <v>52</v>
      </c>
      <c r="C73" s="22" t="n">
        <v>42823</v>
      </c>
      <c r="D73" s="22" t="n">
        <v>42844</v>
      </c>
      <c r="E73" s="22" t="n">
        <v>42846</v>
      </c>
      <c r="F73" s="21" t="s">
        <v>44</v>
      </c>
      <c r="G73" s="23" t="n">
        <v>175.65</v>
      </c>
      <c r="H73" s="23" t="n">
        <v>22.26</v>
      </c>
      <c r="I73" s="21" t="s">
        <v>45</v>
      </c>
      <c r="J73" s="21" t="n">
        <v>4</v>
      </c>
      <c r="K73" s="21" t="s">
        <v>46</v>
      </c>
      <c r="L73" s="24" t="n">
        <f aca="false">DATE(YEAR(C73),MONTH(C73),1)</f>
        <v>42795</v>
      </c>
      <c r="M73" s="21" t="n">
        <f aca="false">D73-C73</f>
        <v>21</v>
      </c>
      <c r="N73" s="21" t="n">
        <f aca="false">MAX(0,D73-E73)</f>
        <v>0</v>
      </c>
      <c r="O73" s="21" t="n">
        <f aca="false">IF(D73&lt;=E73,1,0)</f>
        <v>1</v>
      </c>
      <c r="P73" s="23" t="n">
        <f aca="false">G73+H73</f>
        <v>197.91</v>
      </c>
      <c r="Q73" s="23" t="n">
        <f aca="false">G73*INDEX(Assumptions!$B$8:$B$16,MATCH(F73,Assumptions!$A$8:$A$16,0))</f>
        <v>105.39</v>
      </c>
      <c r="R73" s="23" t="n">
        <f aca="false">H73*Assumptions!$B$3</f>
        <v>13.356</v>
      </c>
      <c r="S73" s="23" t="n">
        <f aca="false">G73-Q73-R73</f>
        <v>56.904</v>
      </c>
      <c r="T73" s="21" t="str">
        <f aca="false">IF(M73&lt;=7,"0-7 days",IF(M73&lt;=14,"8-14 days",IF(M73&lt;=21,"15-21 days","22+ days")))</f>
        <v>15-21 days</v>
      </c>
    </row>
    <row r="74" customFormat="false" ht="15" hidden="false" customHeight="false" outlineLevel="0" collapsed="false">
      <c r="A74" s="21" t="s">
        <v>137</v>
      </c>
      <c r="B74" s="21" t="s">
        <v>19</v>
      </c>
      <c r="C74" s="22" t="n">
        <v>42823</v>
      </c>
      <c r="D74" s="22" t="n">
        <v>42836</v>
      </c>
      <c r="E74" s="22" t="n">
        <v>42840</v>
      </c>
      <c r="F74" s="21" t="s">
        <v>67</v>
      </c>
      <c r="G74" s="23" t="n">
        <v>105.42</v>
      </c>
      <c r="H74" s="23" t="n">
        <v>17.26</v>
      </c>
      <c r="I74" s="21" t="s">
        <v>60</v>
      </c>
      <c r="J74" s="21" t="n">
        <v>5</v>
      </c>
      <c r="K74" s="21" t="s">
        <v>46</v>
      </c>
      <c r="L74" s="24" t="n">
        <f aca="false">DATE(YEAR(C74),MONTH(C74),1)</f>
        <v>42795</v>
      </c>
      <c r="M74" s="21" t="n">
        <f aca="false">D74-C74</f>
        <v>13</v>
      </c>
      <c r="N74" s="21" t="n">
        <f aca="false">MAX(0,D74-E74)</f>
        <v>0</v>
      </c>
      <c r="O74" s="21" t="n">
        <f aca="false">IF(D74&lt;=E74,1,0)</f>
        <v>1</v>
      </c>
      <c r="P74" s="23" t="n">
        <f aca="false">G74+H74</f>
        <v>122.68</v>
      </c>
      <c r="Q74" s="23" t="n">
        <f aca="false">G74*INDEX(Assumptions!$B$8:$B$16,MATCH(F74,Assumptions!$A$8:$A$16,0))</f>
        <v>65.3604</v>
      </c>
      <c r="R74" s="23" t="n">
        <f aca="false">H74*Assumptions!$B$3</f>
        <v>10.356</v>
      </c>
      <c r="S74" s="23" t="n">
        <f aca="false">G74-Q74-R74</f>
        <v>29.7036</v>
      </c>
      <c r="T74" s="21" t="str">
        <f aca="false">IF(M74&lt;=7,"0-7 days",IF(M74&lt;=14,"8-14 days",IF(M74&lt;=21,"15-21 days","22+ days")))</f>
        <v>8-14 days</v>
      </c>
    </row>
    <row r="75" customFormat="false" ht="15" hidden="false" customHeight="false" outlineLevel="0" collapsed="false">
      <c r="A75" s="21" t="s">
        <v>138</v>
      </c>
      <c r="B75" s="21" t="s">
        <v>19</v>
      </c>
      <c r="C75" s="22" t="n">
        <v>42825</v>
      </c>
      <c r="D75" s="22" t="n">
        <v>42833</v>
      </c>
      <c r="E75" s="22" t="n">
        <v>42842</v>
      </c>
      <c r="F75" s="21" t="s">
        <v>79</v>
      </c>
      <c r="G75" s="23" t="n">
        <v>110.53</v>
      </c>
      <c r="H75" s="23" t="n">
        <v>14.25</v>
      </c>
      <c r="I75" s="21" t="s">
        <v>45</v>
      </c>
      <c r="J75" s="21" t="n">
        <v>5</v>
      </c>
      <c r="K75" s="21" t="s">
        <v>46</v>
      </c>
      <c r="L75" s="24" t="n">
        <f aca="false">DATE(YEAR(C75),MONTH(C75),1)</f>
        <v>42795</v>
      </c>
      <c r="M75" s="21" t="n">
        <f aca="false">D75-C75</f>
        <v>8</v>
      </c>
      <c r="N75" s="21" t="n">
        <f aca="false">MAX(0,D75-E75)</f>
        <v>0</v>
      </c>
      <c r="O75" s="21" t="n">
        <f aca="false">IF(D75&lt;=E75,1,0)</f>
        <v>1</v>
      </c>
      <c r="P75" s="23" t="n">
        <f aca="false">G75+H75</f>
        <v>124.78</v>
      </c>
      <c r="Q75" s="23" t="n">
        <f aca="false">G75*INDEX(Assumptions!$B$8:$B$16,MATCH(F75,Assumptions!$A$8:$A$16,0))</f>
        <v>77.371</v>
      </c>
      <c r="R75" s="23" t="n">
        <f aca="false">H75*Assumptions!$B$3</f>
        <v>8.55</v>
      </c>
      <c r="S75" s="23" t="n">
        <f aca="false">G75-Q75-R75</f>
        <v>24.609</v>
      </c>
      <c r="T75" s="21" t="str">
        <f aca="false">IF(M75&lt;=7,"0-7 days",IF(M75&lt;=14,"8-14 days",IF(M75&lt;=21,"15-21 days","22+ days")))</f>
        <v>8-14 days</v>
      </c>
    </row>
    <row r="76" customFormat="false" ht="15" hidden="false" customHeight="false" outlineLevel="0" collapsed="false">
      <c r="A76" s="21" t="s">
        <v>139</v>
      </c>
      <c r="B76" s="21" t="s">
        <v>19</v>
      </c>
      <c r="C76" s="22" t="n">
        <v>42826</v>
      </c>
      <c r="D76" s="22" t="n">
        <v>42832</v>
      </c>
      <c r="E76" s="22" t="n">
        <v>42842</v>
      </c>
      <c r="F76" s="21" t="s">
        <v>59</v>
      </c>
      <c r="G76" s="23" t="n">
        <v>227.46</v>
      </c>
      <c r="H76" s="23" t="n">
        <v>23.75</v>
      </c>
      <c r="I76" s="21" t="s">
        <v>45</v>
      </c>
      <c r="J76" s="21" t="n">
        <v>5</v>
      </c>
      <c r="K76" s="21" t="s">
        <v>46</v>
      </c>
      <c r="L76" s="24" t="n">
        <f aca="false">DATE(YEAR(C76),MONTH(C76),1)</f>
        <v>42826</v>
      </c>
      <c r="M76" s="21" t="n">
        <f aca="false">D76-C76</f>
        <v>6</v>
      </c>
      <c r="N76" s="21" t="n">
        <f aca="false">MAX(0,D76-E76)</f>
        <v>0</v>
      </c>
      <c r="O76" s="21" t="n">
        <f aca="false">IF(D76&lt;=E76,1,0)</f>
        <v>1</v>
      </c>
      <c r="P76" s="23" t="n">
        <f aca="false">G76+H76</f>
        <v>251.21</v>
      </c>
      <c r="Q76" s="23" t="n">
        <f aca="false">G76*INDEX(Assumptions!$B$8:$B$16,MATCH(F76,Assumptions!$A$8:$A$16,0))</f>
        <v>145.5744</v>
      </c>
      <c r="R76" s="23" t="n">
        <f aca="false">H76*Assumptions!$B$3</f>
        <v>14.25</v>
      </c>
      <c r="S76" s="23" t="n">
        <f aca="false">G76-Q76-R76</f>
        <v>67.6356</v>
      </c>
      <c r="T76" s="21" t="str">
        <f aca="false">IF(M76&lt;=7,"0-7 days",IF(M76&lt;=14,"8-14 days",IF(M76&lt;=21,"15-21 days","22+ days")))</f>
        <v>0-7 days</v>
      </c>
    </row>
    <row r="77" customFormat="false" ht="15" hidden="false" customHeight="false" outlineLevel="0" collapsed="false">
      <c r="A77" s="21" t="s">
        <v>140</v>
      </c>
      <c r="B77" s="21" t="s">
        <v>19</v>
      </c>
      <c r="C77" s="22" t="n">
        <v>42826</v>
      </c>
      <c r="D77" s="22" t="n">
        <v>42831</v>
      </c>
      <c r="E77" s="22" t="n">
        <v>42841</v>
      </c>
      <c r="F77" s="21" t="s">
        <v>57</v>
      </c>
      <c r="G77" s="23" t="n">
        <v>149.08</v>
      </c>
      <c r="H77" s="23" t="n">
        <v>15.96</v>
      </c>
      <c r="I77" s="21" t="s">
        <v>45</v>
      </c>
      <c r="J77" s="21" t="n">
        <v>4</v>
      </c>
      <c r="K77" s="21" t="s">
        <v>46</v>
      </c>
      <c r="L77" s="24" t="n">
        <f aca="false">DATE(YEAR(C77),MONTH(C77),1)</f>
        <v>42826</v>
      </c>
      <c r="M77" s="21" t="n">
        <f aca="false">D77-C77</f>
        <v>5</v>
      </c>
      <c r="N77" s="21" t="n">
        <f aca="false">MAX(0,D77-E77)</f>
        <v>0</v>
      </c>
      <c r="O77" s="21" t="n">
        <f aca="false">IF(D77&lt;=E77,1,0)</f>
        <v>1</v>
      </c>
      <c r="P77" s="23" t="n">
        <f aca="false">G77+H77</f>
        <v>165.04</v>
      </c>
      <c r="Q77" s="23" t="n">
        <f aca="false">G77*INDEX(Assumptions!$B$8:$B$16,MATCH(F77,Assumptions!$A$8:$A$16,0))</f>
        <v>101.3744</v>
      </c>
      <c r="R77" s="23" t="n">
        <f aca="false">H77*Assumptions!$B$3</f>
        <v>9.576</v>
      </c>
      <c r="S77" s="23" t="n">
        <f aca="false">G77-Q77-R77</f>
        <v>38.1296</v>
      </c>
      <c r="T77" s="21" t="str">
        <f aca="false">IF(M77&lt;=7,"0-7 days",IF(M77&lt;=14,"8-14 days",IF(M77&lt;=21,"15-21 days","22+ days")))</f>
        <v>0-7 days</v>
      </c>
    </row>
    <row r="78" customFormat="false" ht="15" hidden="false" customHeight="false" outlineLevel="0" collapsed="false">
      <c r="A78" s="21" t="s">
        <v>141</v>
      </c>
      <c r="B78" s="21" t="s">
        <v>19</v>
      </c>
      <c r="C78" s="22" t="n">
        <v>42828</v>
      </c>
      <c r="D78" s="22" t="n">
        <v>42834</v>
      </c>
      <c r="E78" s="22" t="n">
        <v>42843</v>
      </c>
      <c r="F78" s="21" t="s">
        <v>49</v>
      </c>
      <c r="G78" s="23" t="n">
        <v>115.2</v>
      </c>
      <c r="H78" s="23" t="n">
        <v>21.93</v>
      </c>
      <c r="I78" s="21" t="s">
        <v>45</v>
      </c>
      <c r="J78" s="21" t="n">
        <v>5</v>
      </c>
      <c r="K78" s="21" t="s">
        <v>46</v>
      </c>
      <c r="L78" s="24" t="n">
        <f aca="false">DATE(YEAR(C78),MONTH(C78),1)</f>
        <v>42826</v>
      </c>
      <c r="M78" s="21" t="n">
        <f aca="false">D78-C78</f>
        <v>6</v>
      </c>
      <c r="N78" s="21" t="n">
        <f aca="false">MAX(0,D78-E78)</f>
        <v>0</v>
      </c>
      <c r="O78" s="21" t="n">
        <f aca="false">IF(D78&lt;=E78,1,0)</f>
        <v>1</v>
      </c>
      <c r="P78" s="23" t="n">
        <f aca="false">G78+H78</f>
        <v>137.13</v>
      </c>
      <c r="Q78" s="23" t="n">
        <f aca="false">G78*INDEX(Assumptions!$B$8:$B$16,MATCH(F78,Assumptions!$A$8:$A$16,0))</f>
        <v>66.816</v>
      </c>
      <c r="R78" s="23" t="n">
        <f aca="false">H78*Assumptions!$B$3</f>
        <v>13.158</v>
      </c>
      <c r="S78" s="23" t="n">
        <f aca="false">G78-Q78-R78</f>
        <v>35.226</v>
      </c>
      <c r="T78" s="21" t="str">
        <f aca="false">IF(M78&lt;=7,"0-7 days",IF(M78&lt;=14,"8-14 days",IF(M78&lt;=21,"15-21 days","22+ days")))</f>
        <v>0-7 days</v>
      </c>
    </row>
    <row r="79" customFormat="false" ht="15" hidden="false" customHeight="false" outlineLevel="0" collapsed="false">
      <c r="A79" s="21" t="s">
        <v>142</v>
      </c>
      <c r="B79" s="21" t="s">
        <v>19</v>
      </c>
      <c r="C79" s="22" t="n">
        <v>42828</v>
      </c>
      <c r="D79" s="22" t="n">
        <v>42835</v>
      </c>
      <c r="E79" s="22" t="n">
        <v>42843</v>
      </c>
      <c r="F79" s="21" t="s">
        <v>79</v>
      </c>
      <c r="G79" s="23" t="n">
        <v>93.59</v>
      </c>
      <c r="H79" s="23" t="n">
        <v>18.17</v>
      </c>
      <c r="I79" s="21" t="s">
        <v>45</v>
      </c>
      <c r="J79" s="21" t="n">
        <v>5</v>
      </c>
      <c r="K79" s="21" t="s">
        <v>46</v>
      </c>
      <c r="L79" s="24" t="n">
        <f aca="false">DATE(YEAR(C79),MONTH(C79),1)</f>
        <v>42826</v>
      </c>
      <c r="M79" s="21" t="n">
        <f aca="false">D79-C79</f>
        <v>7</v>
      </c>
      <c r="N79" s="21" t="n">
        <f aca="false">MAX(0,D79-E79)</f>
        <v>0</v>
      </c>
      <c r="O79" s="21" t="n">
        <f aca="false">IF(D79&lt;=E79,1,0)</f>
        <v>1</v>
      </c>
      <c r="P79" s="23" t="n">
        <f aca="false">G79+H79</f>
        <v>111.76</v>
      </c>
      <c r="Q79" s="23" t="n">
        <f aca="false">G79*INDEX(Assumptions!$B$8:$B$16,MATCH(F79,Assumptions!$A$8:$A$16,0))</f>
        <v>65.513</v>
      </c>
      <c r="R79" s="23" t="n">
        <f aca="false">H79*Assumptions!$B$3</f>
        <v>10.902</v>
      </c>
      <c r="S79" s="23" t="n">
        <f aca="false">G79-Q79-R79</f>
        <v>17.175</v>
      </c>
      <c r="T79" s="21" t="str">
        <f aca="false">IF(M79&lt;=7,"0-7 days",IF(M79&lt;=14,"8-14 days",IF(M79&lt;=21,"15-21 days","22+ days")))</f>
        <v>0-7 days</v>
      </c>
    </row>
    <row r="80" customFormat="false" ht="15" hidden="false" customHeight="false" outlineLevel="0" collapsed="false">
      <c r="A80" s="21" t="s">
        <v>143</v>
      </c>
      <c r="B80" s="21" t="s">
        <v>19</v>
      </c>
      <c r="C80" s="22" t="n">
        <v>42828</v>
      </c>
      <c r="D80" s="22" t="n">
        <v>42835</v>
      </c>
      <c r="E80" s="22" t="n">
        <v>42845</v>
      </c>
      <c r="F80" s="21" t="s">
        <v>67</v>
      </c>
      <c r="G80" s="23" t="n">
        <v>69.33</v>
      </c>
      <c r="H80" s="23" t="n">
        <v>19.36</v>
      </c>
      <c r="I80" s="21" t="s">
        <v>60</v>
      </c>
      <c r="J80" s="21" t="n">
        <v>5</v>
      </c>
      <c r="K80" s="21" t="s">
        <v>46</v>
      </c>
      <c r="L80" s="24" t="n">
        <f aca="false">DATE(YEAR(C80),MONTH(C80),1)</f>
        <v>42826</v>
      </c>
      <c r="M80" s="21" t="n">
        <f aca="false">D80-C80</f>
        <v>7</v>
      </c>
      <c r="N80" s="21" t="n">
        <f aca="false">MAX(0,D80-E80)</f>
        <v>0</v>
      </c>
      <c r="O80" s="21" t="n">
        <f aca="false">IF(D80&lt;=E80,1,0)</f>
        <v>1</v>
      </c>
      <c r="P80" s="23" t="n">
        <f aca="false">G80+H80</f>
        <v>88.69</v>
      </c>
      <c r="Q80" s="23" t="n">
        <f aca="false">G80*INDEX(Assumptions!$B$8:$B$16,MATCH(F80,Assumptions!$A$8:$A$16,0))</f>
        <v>42.9846</v>
      </c>
      <c r="R80" s="23" t="n">
        <f aca="false">H80*Assumptions!$B$3</f>
        <v>11.616</v>
      </c>
      <c r="S80" s="23" t="n">
        <f aca="false">G80-Q80-R80</f>
        <v>14.7294</v>
      </c>
      <c r="T80" s="21" t="str">
        <f aca="false">IF(M80&lt;=7,"0-7 days",IF(M80&lt;=14,"8-14 days",IF(M80&lt;=21,"15-21 days","22+ days")))</f>
        <v>0-7 days</v>
      </c>
    </row>
    <row r="81" customFormat="false" ht="15" hidden="false" customHeight="false" outlineLevel="0" collapsed="false">
      <c r="A81" s="21" t="s">
        <v>144</v>
      </c>
      <c r="B81" s="21" t="s">
        <v>93</v>
      </c>
      <c r="C81" s="22" t="n">
        <v>42829</v>
      </c>
      <c r="D81" s="22" t="n">
        <v>42851</v>
      </c>
      <c r="E81" s="22" t="n">
        <v>42860</v>
      </c>
      <c r="F81" s="21" t="s">
        <v>53</v>
      </c>
      <c r="G81" s="23" t="n">
        <v>97.28</v>
      </c>
      <c r="H81" s="23" t="n">
        <v>29.57</v>
      </c>
      <c r="I81" s="21" t="s">
        <v>45</v>
      </c>
      <c r="J81" s="21" t="n">
        <v>3</v>
      </c>
      <c r="K81" s="21" t="s">
        <v>46</v>
      </c>
      <c r="L81" s="24" t="n">
        <f aca="false">DATE(YEAR(C81),MONTH(C81),1)</f>
        <v>42826</v>
      </c>
      <c r="M81" s="21" t="n">
        <f aca="false">D81-C81</f>
        <v>22</v>
      </c>
      <c r="N81" s="21" t="n">
        <f aca="false">MAX(0,D81-E81)</f>
        <v>0</v>
      </c>
      <c r="O81" s="21" t="n">
        <f aca="false">IF(D81&lt;=E81,1,0)</f>
        <v>1</v>
      </c>
      <c r="P81" s="23" t="n">
        <f aca="false">G81+H81</f>
        <v>126.85</v>
      </c>
      <c r="Q81" s="23" t="n">
        <f aca="false">G81*INDEX(Assumptions!$B$8:$B$16,MATCH(F81,Assumptions!$A$8:$A$16,0))</f>
        <v>71.9872</v>
      </c>
      <c r="R81" s="23" t="n">
        <f aca="false">H81*Assumptions!$B$3</f>
        <v>17.742</v>
      </c>
      <c r="S81" s="23" t="n">
        <f aca="false">G81-Q81-R81</f>
        <v>7.5508</v>
      </c>
      <c r="T81" s="21" t="str">
        <f aca="false">IF(M81&lt;=7,"0-7 days",IF(M81&lt;=14,"8-14 days",IF(M81&lt;=21,"15-21 days","22+ days")))</f>
        <v>22+ days</v>
      </c>
    </row>
    <row r="82" customFormat="false" ht="15" hidden="false" customHeight="false" outlineLevel="0" collapsed="false">
      <c r="A82" s="21" t="s">
        <v>145</v>
      </c>
      <c r="B82" s="21" t="s">
        <v>62</v>
      </c>
      <c r="C82" s="22" t="n">
        <v>42829</v>
      </c>
      <c r="D82" s="22" t="n">
        <v>42843</v>
      </c>
      <c r="E82" s="22" t="n">
        <v>42847</v>
      </c>
      <c r="F82" s="21" t="s">
        <v>59</v>
      </c>
      <c r="G82" s="23" t="n">
        <v>91.28</v>
      </c>
      <c r="H82" s="23" t="n">
        <v>29.15</v>
      </c>
      <c r="I82" s="21" t="s">
        <v>45</v>
      </c>
      <c r="J82" s="21" t="n">
        <v>4</v>
      </c>
      <c r="K82" s="21" t="s">
        <v>46</v>
      </c>
      <c r="L82" s="24" t="n">
        <f aca="false">DATE(YEAR(C82),MONTH(C82),1)</f>
        <v>42826</v>
      </c>
      <c r="M82" s="21" t="n">
        <f aca="false">D82-C82</f>
        <v>14</v>
      </c>
      <c r="N82" s="21" t="n">
        <f aca="false">MAX(0,D82-E82)</f>
        <v>0</v>
      </c>
      <c r="O82" s="21" t="n">
        <f aca="false">IF(D82&lt;=E82,1,0)</f>
        <v>1</v>
      </c>
      <c r="P82" s="23" t="n">
        <f aca="false">G82+H82</f>
        <v>120.43</v>
      </c>
      <c r="Q82" s="23" t="n">
        <f aca="false">G82*INDEX(Assumptions!$B$8:$B$16,MATCH(F82,Assumptions!$A$8:$A$16,0))</f>
        <v>58.4192</v>
      </c>
      <c r="R82" s="23" t="n">
        <f aca="false">H82*Assumptions!$B$3</f>
        <v>17.49</v>
      </c>
      <c r="S82" s="23" t="n">
        <f aca="false">G82-Q82-R82</f>
        <v>15.3708</v>
      </c>
      <c r="T82" s="21" t="str">
        <f aca="false">IF(M82&lt;=7,"0-7 days",IF(M82&lt;=14,"8-14 days",IF(M82&lt;=21,"15-21 days","22+ days")))</f>
        <v>8-14 days</v>
      </c>
    </row>
    <row r="83" customFormat="false" ht="15" hidden="false" customHeight="false" outlineLevel="0" collapsed="false">
      <c r="A83" s="21" t="s">
        <v>146</v>
      </c>
      <c r="B83" s="21" t="s">
        <v>19</v>
      </c>
      <c r="C83" s="22" t="n">
        <v>42829</v>
      </c>
      <c r="D83" s="22" t="n">
        <v>42840</v>
      </c>
      <c r="E83" s="22" t="n">
        <v>42846</v>
      </c>
      <c r="F83" s="21" t="s">
        <v>49</v>
      </c>
      <c r="G83" s="23" t="n">
        <v>65.22</v>
      </c>
      <c r="H83" s="23" t="n">
        <v>21.53</v>
      </c>
      <c r="I83" s="21" t="s">
        <v>50</v>
      </c>
      <c r="J83" s="21" t="n">
        <v>4</v>
      </c>
      <c r="K83" s="21" t="s">
        <v>46</v>
      </c>
      <c r="L83" s="24" t="n">
        <f aca="false">DATE(YEAR(C83),MONTH(C83),1)</f>
        <v>42826</v>
      </c>
      <c r="M83" s="21" t="n">
        <f aca="false">D83-C83</f>
        <v>11</v>
      </c>
      <c r="N83" s="21" t="n">
        <f aca="false">MAX(0,D83-E83)</f>
        <v>0</v>
      </c>
      <c r="O83" s="21" t="n">
        <f aca="false">IF(D83&lt;=E83,1,0)</f>
        <v>1</v>
      </c>
      <c r="P83" s="23" t="n">
        <f aca="false">G83+H83</f>
        <v>86.75</v>
      </c>
      <c r="Q83" s="23" t="n">
        <f aca="false">G83*INDEX(Assumptions!$B$8:$B$16,MATCH(F83,Assumptions!$A$8:$A$16,0))</f>
        <v>37.8276</v>
      </c>
      <c r="R83" s="23" t="n">
        <f aca="false">H83*Assumptions!$B$3</f>
        <v>12.918</v>
      </c>
      <c r="S83" s="23" t="n">
        <f aca="false">G83-Q83-R83</f>
        <v>14.4744</v>
      </c>
      <c r="T83" s="21" t="str">
        <f aca="false">IF(M83&lt;=7,"0-7 days",IF(M83&lt;=14,"8-14 days",IF(M83&lt;=21,"15-21 days","22+ days")))</f>
        <v>8-14 days</v>
      </c>
    </row>
    <row r="84" customFormat="false" ht="15" hidden="false" customHeight="false" outlineLevel="0" collapsed="false">
      <c r="A84" s="21" t="s">
        <v>147</v>
      </c>
      <c r="B84" s="21" t="s">
        <v>19</v>
      </c>
      <c r="C84" s="22" t="n">
        <v>42830</v>
      </c>
      <c r="D84" s="22" t="n">
        <v>42841</v>
      </c>
      <c r="E84" s="22" t="n">
        <v>42842</v>
      </c>
      <c r="F84" s="21" t="s">
        <v>49</v>
      </c>
      <c r="G84" s="23" t="n">
        <v>188.36</v>
      </c>
      <c r="H84" s="23" t="n">
        <v>23.37</v>
      </c>
      <c r="I84" s="21" t="s">
        <v>45</v>
      </c>
      <c r="J84" s="21" t="n">
        <v>4</v>
      </c>
      <c r="K84" s="21" t="s">
        <v>46</v>
      </c>
      <c r="L84" s="24" t="n">
        <f aca="false">DATE(YEAR(C84),MONTH(C84),1)</f>
        <v>42826</v>
      </c>
      <c r="M84" s="21" t="n">
        <f aca="false">D84-C84</f>
        <v>11</v>
      </c>
      <c r="N84" s="21" t="n">
        <f aca="false">MAX(0,D84-E84)</f>
        <v>0</v>
      </c>
      <c r="O84" s="21" t="n">
        <f aca="false">IF(D84&lt;=E84,1,0)</f>
        <v>1</v>
      </c>
      <c r="P84" s="23" t="n">
        <f aca="false">G84+H84</f>
        <v>211.73</v>
      </c>
      <c r="Q84" s="23" t="n">
        <f aca="false">G84*INDEX(Assumptions!$B$8:$B$16,MATCH(F84,Assumptions!$A$8:$A$16,0))</f>
        <v>109.2488</v>
      </c>
      <c r="R84" s="23" t="n">
        <f aca="false">H84*Assumptions!$B$3</f>
        <v>14.022</v>
      </c>
      <c r="S84" s="23" t="n">
        <f aca="false">G84-Q84-R84</f>
        <v>65.0892</v>
      </c>
      <c r="T84" s="21" t="str">
        <f aca="false">IF(M84&lt;=7,"0-7 days",IF(M84&lt;=14,"8-14 days",IF(M84&lt;=21,"15-21 days","22+ days")))</f>
        <v>8-14 days</v>
      </c>
    </row>
    <row r="85" customFormat="false" ht="15" hidden="false" customHeight="false" outlineLevel="0" collapsed="false">
      <c r="A85" s="21" t="s">
        <v>148</v>
      </c>
      <c r="B85" s="21" t="s">
        <v>19</v>
      </c>
      <c r="C85" s="22" t="n">
        <v>42831</v>
      </c>
      <c r="D85" s="22" t="n">
        <v>42841</v>
      </c>
      <c r="E85" s="22" t="n">
        <v>42850</v>
      </c>
      <c r="F85" s="21" t="s">
        <v>79</v>
      </c>
      <c r="G85" s="23" t="n">
        <v>114.42</v>
      </c>
      <c r="H85" s="23" t="n">
        <v>13.69</v>
      </c>
      <c r="I85" s="21" t="s">
        <v>45</v>
      </c>
      <c r="J85" s="21" t="n">
        <v>4</v>
      </c>
      <c r="K85" s="21" t="s">
        <v>46</v>
      </c>
      <c r="L85" s="24" t="n">
        <f aca="false">DATE(YEAR(C85),MONTH(C85),1)</f>
        <v>42826</v>
      </c>
      <c r="M85" s="21" t="n">
        <f aca="false">D85-C85</f>
        <v>10</v>
      </c>
      <c r="N85" s="21" t="n">
        <f aca="false">MAX(0,D85-E85)</f>
        <v>0</v>
      </c>
      <c r="O85" s="21" t="n">
        <f aca="false">IF(D85&lt;=E85,1,0)</f>
        <v>1</v>
      </c>
      <c r="P85" s="23" t="n">
        <f aca="false">G85+H85</f>
        <v>128.11</v>
      </c>
      <c r="Q85" s="23" t="n">
        <f aca="false">G85*INDEX(Assumptions!$B$8:$B$16,MATCH(F85,Assumptions!$A$8:$A$16,0))</f>
        <v>80.094</v>
      </c>
      <c r="R85" s="23" t="n">
        <f aca="false">H85*Assumptions!$B$3</f>
        <v>8.214</v>
      </c>
      <c r="S85" s="23" t="n">
        <f aca="false">G85-Q85-R85</f>
        <v>26.112</v>
      </c>
      <c r="T85" s="21" t="str">
        <f aca="false">IF(M85&lt;=7,"0-7 days",IF(M85&lt;=14,"8-14 days",IF(M85&lt;=21,"15-21 days","22+ days")))</f>
        <v>8-14 days</v>
      </c>
    </row>
    <row r="86" customFormat="false" ht="15" hidden="false" customHeight="false" outlineLevel="0" collapsed="false">
      <c r="A86" s="21" t="s">
        <v>149</v>
      </c>
      <c r="B86" s="21" t="s">
        <v>19</v>
      </c>
      <c r="C86" s="22" t="n">
        <v>42831</v>
      </c>
      <c r="D86" s="22" t="n">
        <v>42842</v>
      </c>
      <c r="E86" s="22" t="n">
        <v>42848</v>
      </c>
      <c r="F86" s="21" t="s">
        <v>53</v>
      </c>
      <c r="G86" s="23" t="n">
        <v>195.88</v>
      </c>
      <c r="H86" s="23" t="n">
        <v>16.44</v>
      </c>
      <c r="I86" s="21" t="s">
        <v>45</v>
      </c>
      <c r="J86" s="21" t="n">
        <v>5</v>
      </c>
      <c r="K86" s="21" t="s">
        <v>46</v>
      </c>
      <c r="L86" s="24" t="n">
        <f aca="false">DATE(YEAR(C86),MONTH(C86),1)</f>
        <v>42826</v>
      </c>
      <c r="M86" s="21" t="n">
        <f aca="false">D86-C86</f>
        <v>11</v>
      </c>
      <c r="N86" s="21" t="n">
        <f aca="false">MAX(0,D86-E86)</f>
        <v>0</v>
      </c>
      <c r="O86" s="21" t="n">
        <f aca="false">IF(D86&lt;=E86,1,0)</f>
        <v>1</v>
      </c>
      <c r="P86" s="23" t="n">
        <f aca="false">G86+H86</f>
        <v>212.32</v>
      </c>
      <c r="Q86" s="23" t="n">
        <f aca="false">G86*INDEX(Assumptions!$B$8:$B$16,MATCH(F86,Assumptions!$A$8:$A$16,0))</f>
        <v>144.9512</v>
      </c>
      <c r="R86" s="23" t="n">
        <f aca="false">H86*Assumptions!$B$3</f>
        <v>9.864</v>
      </c>
      <c r="S86" s="23" t="n">
        <f aca="false">G86-Q86-R86</f>
        <v>41.0648</v>
      </c>
      <c r="T86" s="21" t="str">
        <f aca="false">IF(M86&lt;=7,"0-7 days",IF(M86&lt;=14,"8-14 days",IF(M86&lt;=21,"15-21 days","22+ days")))</f>
        <v>8-14 days</v>
      </c>
    </row>
    <row r="87" customFormat="false" ht="15" hidden="false" customHeight="false" outlineLevel="0" collapsed="false">
      <c r="A87" s="21" t="s">
        <v>150</v>
      </c>
      <c r="B87" s="21" t="s">
        <v>134</v>
      </c>
      <c r="C87" s="22" t="n">
        <v>42833</v>
      </c>
      <c r="D87" s="22" t="n">
        <v>42844</v>
      </c>
      <c r="E87" s="22" t="n">
        <v>42853</v>
      </c>
      <c r="F87" s="21" t="s">
        <v>57</v>
      </c>
      <c r="G87" s="23" t="n">
        <v>107.15</v>
      </c>
      <c r="H87" s="23" t="n">
        <v>29.83</v>
      </c>
      <c r="I87" s="21" t="s">
        <v>45</v>
      </c>
      <c r="J87" s="21" t="n">
        <v>4</v>
      </c>
      <c r="K87" s="21" t="s">
        <v>46</v>
      </c>
      <c r="L87" s="24" t="n">
        <f aca="false">DATE(YEAR(C87),MONTH(C87),1)</f>
        <v>42826</v>
      </c>
      <c r="M87" s="21" t="n">
        <f aca="false">D87-C87</f>
        <v>11</v>
      </c>
      <c r="N87" s="21" t="n">
        <f aca="false">MAX(0,D87-E87)</f>
        <v>0</v>
      </c>
      <c r="O87" s="21" t="n">
        <f aca="false">IF(D87&lt;=E87,1,0)</f>
        <v>1</v>
      </c>
      <c r="P87" s="23" t="n">
        <f aca="false">G87+H87</f>
        <v>136.98</v>
      </c>
      <c r="Q87" s="23" t="n">
        <f aca="false">G87*INDEX(Assumptions!$B$8:$B$16,MATCH(F87,Assumptions!$A$8:$A$16,0))</f>
        <v>72.862</v>
      </c>
      <c r="R87" s="23" t="n">
        <f aca="false">H87*Assumptions!$B$3</f>
        <v>17.898</v>
      </c>
      <c r="S87" s="23" t="n">
        <f aca="false">G87-Q87-R87</f>
        <v>16.39</v>
      </c>
      <c r="T87" s="21" t="str">
        <f aca="false">IF(M87&lt;=7,"0-7 days",IF(M87&lt;=14,"8-14 days",IF(M87&lt;=21,"15-21 days","22+ days")))</f>
        <v>8-14 days</v>
      </c>
    </row>
    <row r="88" customFormat="false" ht="15" hidden="false" customHeight="false" outlineLevel="0" collapsed="false">
      <c r="A88" s="21" t="s">
        <v>151</v>
      </c>
      <c r="B88" s="21" t="s">
        <v>19</v>
      </c>
      <c r="C88" s="22" t="n">
        <v>42834</v>
      </c>
      <c r="D88" s="22" t="n">
        <v>42845</v>
      </c>
      <c r="E88" s="22" t="n">
        <v>42850</v>
      </c>
      <c r="F88" s="21" t="s">
        <v>64</v>
      </c>
      <c r="G88" s="23" t="n">
        <v>544.23</v>
      </c>
      <c r="H88" s="23" t="n">
        <v>28.49</v>
      </c>
      <c r="I88" s="21" t="s">
        <v>45</v>
      </c>
      <c r="J88" s="21" t="n">
        <v>4</v>
      </c>
      <c r="K88" s="21" t="s">
        <v>46</v>
      </c>
      <c r="L88" s="24" t="n">
        <f aca="false">DATE(YEAR(C88),MONTH(C88),1)</f>
        <v>42826</v>
      </c>
      <c r="M88" s="21" t="n">
        <f aca="false">D88-C88</f>
        <v>11</v>
      </c>
      <c r="N88" s="21" t="n">
        <f aca="false">MAX(0,D88-E88)</f>
        <v>0</v>
      </c>
      <c r="O88" s="21" t="n">
        <f aca="false">IF(D88&lt;=E88,1,0)</f>
        <v>1</v>
      </c>
      <c r="P88" s="23" t="n">
        <f aca="false">G88+H88</f>
        <v>572.72</v>
      </c>
      <c r="Q88" s="23" t="n">
        <f aca="false">G88*INDEX(Assumptions!$B$8:$B$16,MATCH(F88,Assumptions!$A$8:$A$16,0))</f>
        <v>359.1918</v>
      </c>
      <c r="R88" s="23" t="n">
        <f aca="false">H88*Assumptions!$B$3</f>
        <v>17.094</v>
      </c>
      <c r="S88" s="23" t="n">
        <f aca="false">G88-Q88-R88</f>
        <v>167.9442</v>
      </c>
      <c r="T88" s="21" t="str">
        <f aca="false">IF(M88&lt;=7,"0-7 days",IF(M88&lt;=14,"8-14 days",IF(M88&lt;=21,"15-21 days","22+ days")))</f>
        <v>8-14 days</v>
      </c>
    </row>
    <row r="89" customFormat="false" ht="15" hidden="false" customHeight="false" outlineLevel="0" collapsed="false">
      <c r="A89" s="21" t="s">
        <v>152</v>
      </c>
      <c r="B89" s="21" t="s">
        <v>19</v>
      </c>
      <c r="C89" s="22" t="n">
        <v>42834</v>
      </c>
      <c r="D89" s="22" t="n">
        <v>42847</v>
      </c>
      <c r="E89" s="22" t="n">
        <v>42849</v>
      </c>
      <c r="F89" s="21" t="s">
        <v>111</v>
      </c>
      <c r="G89" s="23" t="n">
        <v>65.32</v>
      </c>
      <c r="H89" s="23" t="n">
        <v>18.53</v>
      </c>
      <c r="I89" s="21" t="s">
        <v>45</v>
      </c>
      <c r="J89" s="21" t="n">
        <v>5</v>
      </c>
      <c r="K89" s="21" t="s">
        <v>46</v>
      </c>
      <c r="L89" s="24" t="n">
        <f aca="false">DATE(YEAR(C89),MONTH(C89),1)</f>
        <v>42826</v>
      </c>
      <c r="M89" s="21" t="n">
        <f aca="false">D89-C89</f>
        <v>13</v>
      </c>
      <c r="N89" s="21" t="n">
        <f aca="false">MAX(0,D89-E89)</f>
        <v>0</v>
      </c>
      <c r="O89" s="21" t="n">
        <f aca="false">IF(D89&lt;=E89,1,0)</f>
        <v>1</v>
      </c>
      <c r="P89" s="23" t="n">
        <f aca="false">G89+H89</f>
        <v>83.85</v>
      </c>
      <c r="Q89" s="23" t="n">
        <f aca="false">G89*INDEX(Assumptions!$B$8:$B$16,MATCH(F89,Assumptions!$A$8:$A$16,0))</f>
        <v>41.1516</v>
      </c>
      <c r="R89" s="23" t="n">
        <f aca="false">H89*Assumptions!$B$3</f>
        <v>11.118</v>
      </c>
      <c r="S89" s="23" t="n">
        <f aca="false">G89-Q89-R89</f>
        <v>13.0504</v>
      </c>
      <c r="T89" s="21" t="str">
        <f aca="false">IF(M89&lt;=7,"0-7 days",IF(M89&lt;=14,"8-14 days",IF(M89&lt;=21,"15-21 days","22+ days")))</f>
        <v>8-14 days</v>
      </c>
    </row>
    <row r="90" customFormat="false" ht="15" hidden="false" customHeight="false" outlineLevel="0" collapsed="false">
      <c r="A90" s="21" t="s">
        <v>153</v>
      </c>
      <c r="B90" s="21" t="s">
        <v>62</v>
      </c>
      <c r="C90" s="22" t="n">
        <v>42835</v>
      </c>
      <c r="D90" s="22" t="n">
        <v>42845</v>
      </c>
      <c r="E90" s="22" t="n">
        <v>42862</v>
      </c>
      <c r="F90" s="21" t="s">
        <v>57</v>
      </c>
      <c r="G90" s="23" t="n">
        <v>103.8</v>
      </c>
      <c r="H90" s="23" t="n">
        <v>26.66</v>
      </c>
      <c r="I90" s="21" t="s">
        <v>45</v>
      </c>
      <c r="J90" s="21" t="n">
        <v>5</v>
      </c>
      <c r="K90" s="21" t="s">
        <v>46</v>
      </c>
      <c r="L90" s="24" t="n">
        <f aca="false">DATE(YEAR(C90),MONTH(C90),1)</f>
        <v>42826</v>
      </c>
      <c r="M90" s="21" t="n">
        <f aca="false">D90-C90</f>
        <v>10</v>
      </c>
      <c r="N90" s="21" t="n">
        <f aca="false">MAX(0,D90-E90)</f>
        <v>0</v>
      </c>
      <c r="O90" s="21" t="n">
        <f aca="false">IF(D90&lt;=E90,1,0)</f>
        <v>1</v>
      </c>
      <c r="P90" s="23" t="n">
        <f aca="false">G90+H90</f>
        <v>130.46</v>
      </c>
      <c r="Q90" s="23" t="n">
        <f aca="false">G90*INDEX(Assumptions!$B$8:$B$16,MATCH(F90,Assumptions!$A$8:$A$16,0))</f>
        <v>70.584</v>
      </c>
      <c r="R90" s="23" t="n">
        <f aca="false">H90*Assumptions!$B$3</f>
        <v>15.996</v>
      </c>
      <c r="S90" s="23" t="n">
        <f aca="false">G90-Q90-R90</f>
        <v>17.22</v>
      </c>
      <c r="T90" s="21" t="str">
        <f aca="false">IF(M90&lt;=7,"0-7 days",IF(M90&lt;=14,"8-14 days",IF(M90&lt;=21,"15-21 days","22+ days")))</f>
        <v>8-14 days</v>
      </c>
    </row>
    <row r="91" customFormat="false" ht="15" hidden="false" customHeight="false" outlineLevel="0" collapsed="false">
      <c r="A91" s="21" t="s">
        <v>154</v>
      </c>
      <c r="B91" s="21" t="s">
        <v>134</v>
      </c>
      <c r="C91" s="22" t="n">
        <v>42835</v>
      </c>
      <c r="D91" s="22" t="n">
        <v>42850</v>
      </c>
      <c r="E91" s="22" t="n">
        <v>42857</v>
      </c>
      <c r="F91" s="21" t="s">
        <v>49</v>
      </c>
      <c r="G91" s="23" t="n">
        <v>76.28</v>
      </c>
      <c r="H91" s="23" t="n">
        <v>27.58</v>
      </c>
      <c r="I91" s="21" t="s">
        <v>45</v>
      </c>
      <c r="J91" s="21" t="n">
        <v>5</v>
      </c>
      <c r="K91" s="21" t="s">
        <v>46</v>
      </c>
      <c r="L91" s="24" t="n">
        <f aca="false">DATE(YEAR(C91),MONTH(C91),1)</f>
        <v>42826</v>
      </c>
      <c r="M91" s="21" t="n">
        <f aca="false">D91-C91</f>
        <v>15</v>
      </c>
      <c r="N91" s="21" t="n">
        <f aca="false">MAX(0,D91-E91)</f>
        <v>0</v>
      </c>
      <c r="O91" s="21" t="n">
        <f aca="false">IF(D91&lt;=E91,1,0)</f>
        <v>1</v>
      </c>
      <c r="P91" s="23" t="n">
        <f aca="false">G91+H91</f>
        <v>103.86</v>
      </c>
      <c r="Q91" s="23" t="n">
        <f aca="false">G91*INDEX(Assumptions!$B$8:$B$16,MATCH(F91,Assumptions!$A$8:$A$16,0))</f>
        <v>44.2424</v>
      </c>
      <c r="R91" s="23" t="n">
        <f aca="false">H91*Assumptions!$B$3</f>
        <v>16.548</v>
      </c>
      <c r="S91" s="23" t="n">
        <f aca="false">G91-Q91-R91</f>
        <v>15.4896</v>
      </c>
      <c r="T91" s="21" t="str">
        <f aca="false">IF(M91&lt;=7,"0-7 days",IF(M91&lt;=14,"8-14 days",IF(M91&lt;=21,"15-21 days","22+ days")))</f>
        <v>15-21 days</v>
      </c>
    </row>
    <row r="92" customFormat="false" ht="15" hidden="false" customHeight="false" outlineLevel="0" collapsed="false">
      <c r="A92" s="21" t="s">
        <v>155</v>
      </c>
      <c r="B92" s="21" t="s">
        <v>156</v>
      </c>
      <c r="C92" s="22" t="n">
        <v>42836</v>
      </c>
      <c r="D92" s="22" t="n">
        <v>42849</v>
      </c>
      <c r="E92" s="22" t="n">
        <v>42856</v>
      </c>
      <c r="F92" s="21" t="s">
        <v>59</v>
      </c>
      <c r="G92" s="23" t="n">
        <v>82.98</v>
      </c>
      <c r="H92" s="23" t="n">
        <v>25.59</v>
      </c>
      <c r="I92" s="21" t="s">
        <v>45</v>
      </c>
      <c r="J92" s="21" t="n">
        <v>5</v>
      </c>
      <c r="K92" s="21" t="s">
        <v>46</v>
      </c>
      <c r="L92" s="24" t="n">
        <f aca="false">DATE(YEAR(C92),MONTH(C92),1)</f>
        <v>42826</v>
      </c>
      <c r="M92" s="21" t="n">
        <f aca="false">D92-C92</f>
        <v>13</v>
      </c>
      <c r="N92" s="21" t="n">
        <f aca="false">MAX(0,D92-E92)</f>
        <v>0</v>
      </c>
      <c r="O92" s="21" t="n">
        <f aca="false">IF(D92&lt;=E92,1,0)</f>
        <v>1</v>
      </c>
      <c r="P92" s="23" t="n">
        <f aca="false">G92+H92</f>
        <v>108.57</v>
      </c>
      <c r="Q92" s="23" t="n">
        <f aca="false">G92*INDEX(Assumptions!$B$8:$B$16,MATCH(F92,Assumptions!$A$8:$A$16,0))</f>
        <v>53.1072</v>
      </c>
      <c r="R92" s="23" t="n">
        <f aca="false">H92*Assumptions!$B$3</f>
        <v>15.354</v>
      </c>
      <c r="S92" s="23" t="n">
        <f aca="false">G92-Q92-R92</f>
        <v>14.5188</v>
      </c>
      <c r="T92" s="21" t="str">
        <f aca="false">IF(M92&lt;=7,"0-7 days",IF(M92&lt;=14,"8-14 days",IF(M92&lt;=21,"15-21 days","22+ days")))</f>
        <v>8-14 days</v>
      </c>
    </row>
    <row r="93" customFormat="false" ht="15" hidden="false" customHeight="false" outlineLevel="0" collapsed="false">
      <c r="A93" s="21" t="s">
        <v>157</v>
      </c>
      <c r="B93" s="21" t="s">
        <v>52</v>
      </c>
      <c r="C93" s="22" t="n">
        <v>42836</v>
      </c>
      <c r="D93" s="22" t="n">
        <v>42845</v>
      </c>
      <c r="E93" s="22" t="n">
        <v>42862</v>
      </c>
      <c r="F93" s="21" t="s">
        <v>57</v>
      </c>
      <c r="G93" s="23" t="n">
        <v>86.21</v>
      </c>
      <c r="H93" s="23" t="n">
        <v>25.68</v>
      </c>
      <c r="I93" s="21" t="s">
        <v>45</v>
      </c>
      <c r="J93" s="21" t="n">
        <v>4</v>
      </c>
      <c r="K93" s="21" t="s">
        <v>46</v>
      </c>
      <c r="L93" s="24" t="n">
        <f aca="false">DATE(YEAR(C93),MONTH(C93),1)</f>
        <v>42826</v>
      </c>
      <c r="M93" s="21" t="n">
        <f aca="false">D93-C93</f>
        <v>9</v>
      </c>
      <c r="N93" s="21" t="n">
        <f aca="false">MAX(0,D93-E93)</f>
        <v>0</v>
      </c>
      <c r="O93" s="21" t="n">
        <f aca="false">IF(D93&lt;=E93,1,0)</f>
        <v>1</v>
      </c>
      <c r="P93" s="23" t="n">
        <f aca="false">G93+H93</f>
        <v>111.89</v>
      </c>
      <c r="Q93" s="23" t="n">
        <f aca="false">G93*INDEX(Assumptions!$B$8:$B$16,MATCH(F93,Assumptions!$A$8:$A$16,0))</f>
        <v>58.6228</v>
      </c>
      <c r="R93" s="23" t="n">
        <f aca="false">H93*Assumptions!$B$3</f>
        <v>15.408</v>
      </c>
      <c r="S93" s="23" t="n">
        <f aca="false">G93-Q93-R93</f>
        <v>12.1792</v>
      </c>
      <c r="T93" s="21" t="str">
        <f aca="false">IF(M93&lt;=7,"0-7 days",IF(M93&lt;=14,"8-14 days",IF(M93&lt;=21,"15-21 days","22+ days")))</f>
        <v>8-14 days</v>
      </c>
    </row>
    <row r="94" customFormat="false" ht="15" hidden="false" customHeight="false" outlineLevel="0" collapsed="false">
      <c r="A94" s="21" t="s">
        <v>158</v>
      </c>
      <c r="B94" s="21" t="s">
        <v>55</v>
      </c>
      <c r="C94" s="22" t="n">
        <v>42836</v>
      </c>
      <c r="D94" s="22" t="n">
        <v>42850</v>
      </c>
      <c r="E94" s="22" t="n">
        <v>42859</v>
      </c>
      <c r="F94" s="21" t="s">
        <v>67</v>
      </c>
      <c r="G94" s="23" t="n">
        <v>67.41</v>
      </c>
      <c r="H94" s="23" t="n">
        <v>23.97</v>
      </c>
      <c r="I94" s="21" t="s">
        <v>45</v>
      </c>
      <c r="J94" s="21" t="n">
        <v>4</v>
      </c>
      <c r="K94" s="21" t="s">
        <v>46</v>
      </c>
      <c r="L94" s="24" t="n">
        <f aca="false">DATE(YEAR(C94),MONTH(C94),1)</f>
        <v>42826</v>
      </c>
      <c r="M94" s="21" t="n">
        <f aca="false">D94-C94</f>
        <v>14</v>
      </c>
      <c r="N94" s="21" t="n">
        <f aca="false">MAX(0,D94-E94)</f>
        <v>0</v>
      </c>
      <c r="O94" s="21" t="n">
        <f aca="false">IF(D94&lt;=E94,1,0)</f>
        <v>1</v>
      </c>
      <c r="P94" s="23" t="n">
        <f aca="false">G94+H94</f>
        <v>91.38</v>
      </c>
      <c r="Q94" s="23" t="n">
        <f aca="false">G94*INDEX(Assumptions!$B$8:$B$16,MATCH(F94,Assumptions!$A$8:$A$16,0))</f>
        <v>41.7942</v>
      </c>
      <c r="R94" s="23" t="n">
        <f aca="false">H94*Assumptions!$B$3</f>
        <v>14.382</v>
      </c>
      <c r="S94" s="23" t="n">
        <f aca="false">G94-Q94-R94</f>
        <v>11.2338</v>
      </c>
      <c r="T94" s="21" t="str">
        <f aca="false">IF(M94&lt;=7,"0-7 days",IF(M94&lt;=14,"8-14 days",IF(M94&lt;=21,"15-21 days","22+ days")))</f>
        <v>8-14 days</v>
      </c>
    </row>
    <row r="95" customFormat="false" ht="15" hidden="false" customHeight="false" outlineLevel="0" collapsed="false">
      <c r="A95" s="21" t="s">
        <v>159</v>
      </c>
      <c r="B95" s="21" t="s">
        <v>62</v>
      </c>
      <c r="C95" s="22" t="n">
        <v>42837</v>
      </c>
      <c r="D95" s="22" t="n">
        <v>42848</v>
      </c>
      <c r="E95" s="22" t="n">
        <v>42859</v>
      </c>
      <c r="F95" s="21" t="s">
        <v>59</v>
      </c>
      <c r="G95" s="23" t="n">
        <v>61.68</v>
      </c>
      <c r="H95" s="23" t="n">
        <v>24.42</v>
      </c>
      <c r="I95" s="21" t="s">
        <v>45</v>
      </c>
      <c r="J95" s="21" t="n">
        <v>5</v>
      </c>
      <c r="K95" s="21" t="s">
        <v>46</v>
      </c>
      <c r="L95" s="24" t="n">
        <f aca="false">DATE(YEAR(C95),MONTH(C95),1)</f>
        <v>42826</v>
      </c>
      <c r="M95" s="21" t="n">
        <f aca="false">D95-C95</f>
        <v>11</v>
      </c>
      <c r="N95" s="21" t="n">
        <f aca="false">MAX(0,D95-E95)</f>
        <v>0</v>
      </c>
      <c r="O95" s="21" t="n">
        <f aca="false">IF(D95&lt;=E95,1,0)</f>
        <v>1</v>
      </c>
      <c r="P95" s="23" t="n">
        <f aca="false">G95+H95</f>
        <v>86.1</v>
      </c>
      <c r="Q95" s="23" t="n">
        <f aca="false">G95*INDEX(Assumptions!$B$8:$B$16,MATCH(F95,Assumptions!$A$8:$A$16,0))</f>
        <v>39.4752</v>
      </c>
      <c r="R95" s="23" t="n">
        <f aca="false">H95*Assumptions!$B$3</f>
        <v>14.652</v>
      </c>
      <c r="S95" s="23" t="n">
        <f aca="false">G95-Q95-R95</f>
        <v>7.5528</v>
      </c>
      <c r="T95" s="21" t="str">
        <f aca="false">IF(M95&lt;=7,"0-7 days",IF(M95&lt;=14,"8-14 days",IF(M95&lt;=21,"15-21 days","22+ days")))</f>
        <v>8-14 days</v>
      </c>
    </row>
    <row r="96" customFormat="false" ht="15" hidden="false" customHeight="false" outlineLevel="0" collapsed="false">
      <c r="A96" s="21" t="s">
        <v>160</v>
      </c>
      <c r="B96" s="21" t="s">
        <v>19</v>
      </c>
      <c r="C96" s="22" t="n">
        <v>42838</v>
      </c>
      <c r="D96" s="22" t="n">
        <v>42844</v>
      </c>
      <c r="E96" s="22" t="n">
        <v>42853</v>
      </c>
      <c r="F96" s="21" t="s">
        <v>53</v>
      </c>
      <c r="G96" s="23" t="n">
        <v>83.25</v>
      </c>
      <c r="H96" s="23" t="n">
        <v>17.19</v>
      </c>
      <c r="I96" s="21" t="s">
        <v>50</v>
      </c>
      <c r="J96" s="21" t="n">
        <v>5</v>
      </c>
      <c r="K96" s="21" t="s">
        <v>46</v>
      </c>
      <c r="L96" s="24" t="n">
        <f aca="false">DATE(YEAR(C96),MONTH(C96),1)</f>
        <v>42826</v>
      </c>
      <c r="M96" s="21" t="n">
        <f aca="false">D96-C96</f>
        <v>6</v>
      </c>
      <c r="N96" s="21" t="n">
        <f aca="false">MAX(0,D96-E96)</f>
        <v>0</v>
      </c>
      <c r="O96" s="21" t="n">
        <f aca="false">IF(D96&lt;=E96,1,0)</f>
        <v>1</v>
      </c>
      <c r="P96" s="23" t="n">
        <f aca="false">G96+H96</f>
        <v>100.44</v>
      </c>
      <c r="Q96" s="23" t="n">
        <f aca="false">G96*INDEX(Assumptions!$B$8:$B$16,MATCH(F96,Assumptions!$A$8:$A$16,0))</f>
        <v>61.605</v>
      </c>
      <c r="R96" s="23" t="n">
        <f aca="false">H96*Assumptions!$B$3</f>
        <v>10.314</v>
      </c>
      <c r="S96" s="23" t="n">
        <f aca="false">G96-Q96-R96</f>
        <v>11.331</v>
      </c>
      <c r="T96" s="21" t="str">
        <f aca="false">IF(M96&lt;=7,"0-7 days",IF(M96&lt;=14,"8-14 days",IF(M96&lt;=21,"15-21 days","22+ days")))</f>
        <v>0-7 days</v>
      </c>
    </row>
    <row r="97" customFormat="false" ht="15" hidden="false" customHeight="false" outlineLevel="0" collapsed="false">
      <c r="A97" s="21" t="s">
        <v>161</v>
      </c>
      <c r="B97" s="21" t="s">
        <v>19</v>
      </c>
      <c r="C97" s="22" t="n">
        <v>42839</v>
      </c>
      <c r="D97" s="22" t="n">
        <v>42848</v>
      </c>
      <c r="E97" s="22" t="n">
        <v>42856</v>
      </c>
      <c r="F97" s="21" t="s">
        <v>59</v>
      </c>
      <c r="G97" s="23" t="n">
        <v>61.09</v>
      </c>
      <c r="H97" s="23" t="n">
        <v>19.7</v>
      </c>
      <c r="I97" s="21" t="s">
        <v>45</v>
      </c>
      <c r="J97" s="21" t="n">
        <v>5</v>
      </c>
      <c r="K97" s="21" t="s">
        <v>46</v>
      </c>
      <c r="L97" s="24" t="n">
        <f aca="false">DATE(YEAR(C97),MONTH(C97),1)</f>
        <v>42826</v>
      </c>
      <c r="M97" s="21" t="n">
        <f aca="false">D97-C97</f>
        <v>9</v>
      </c>
      <c r="N97" s="21" t="n">
        <f aca="false">MAX(0,D97-E97)</f>
        <v>0</v>
      </c>
      <c r="O97" s="21" t="n">
        <f aca="false">IF(D97&lt;=E97,1,0)</f>
        <v>1</v>
      </c>
      <c r="P97" s="23" t="n">
        <f aca="false">G97+H97</f>
        <v>80.79</v>
      </c>
      <c r="Q97" s="23" t="n">
        <f aca="false">G97*INDEX(Assumptions!$B$8:$B$16,MATCH(F97,Assumptions!$A$8:$A$16,0))</f>
        <v>39.0976</v>
      </c>
      <c r="R97" s="23" t="n">
        <f aca="false">H97*Assumptions!$B$3</f>
        <v>11.82</v>
      </c>
      <c r="S97" s="23" t="n">
        <f aca="false">G97-Q97-R97</f>
        <v>10.1724</v>
      </c>
      <c r="T97" s="21" t="str">
        <f aca="false">IF(M97&lt;=7,"0-7 days",IF(M97&lt;=14,"8-14 days",IF(M97&lt;=21,"15-21 days","22+ days")))</f>
        <v>8-14 days</v>
      </c>
    </row>
    <row r="98" customFormat="false" ht="15" hidden="false" customHeight="false" outlineLevel="0" collapsed="false">
      <c r="A98" s="21" t="s">
        <v>162</v>
      </c>
      <c r="B98" s="21" t="s">
        <v>19</v>
      </c>
      <c r="C98" s="22" t="n">
        <v>42840</v>
      </c>
      <c r="D98" s="22" t="n">
        <v>42853</v>
      </c>
      <c r="E98" s="22" t="n">
        <v>42856</v>
      </c>
      <c r="F98" s="21" t="s">
        <v>53</v>
      </c>
      <c r="G98" s="23" t="n">
        <v>110.86</v>
      </c>
      <c r="H98" s="23" t="n">
        <v>13.96</v>
      </c>
      <c r="I98" s="21" t="s">
        <v>45</v>
      </c>
      <c r="J98" s="21" t="n">
        <v>4</v>
      </c>
      <c r="K98" s="21" t="s">
        <v>46</v>
      </c>
      <c r="L98" s="24" t="n">
        <f aca="false">DATE(YEAR(C98),MONTH(C98),1)</f>
        <v>42826</v>
      </c>
      <c r="M98" s="21" t="n">
        <f aca="false">D98-C98</f>
        <v>13</v>
      </c>
      <c r="N98" s="21" t="n">
        <f aca="false">MAX(0,D98-E98)</f>
        <v>0</v>
      </c>
      <c r="O98" s="21" t="n">
        <f aca="false">IF(D98&lt;=E98,1,0)</f>
        <v>1</v>
      </c>
      <c r="P98" s="23" t="n">
        <f aca="false">G98+H98</f>
        <v>124.82</v>
      </c>
      <c r="Q98" s="23" t="n">
        <f aca="false">G98*INDEX(Assumptions!$B$8:$B$16,MATCH(F98,Assumptions!$A$8:$A$16,0))</f>
        <v>82.0364</v>
      </c>
      <c r="R98" s="23" t="n">
        <f aca="false">H98*Assumptions!$B$3</f>
        <v>8.376</v>
      </c>
      <c r="S98" s="23" t="n">
        <f aca="false">G98-Q98-R98</f>
        <v>20.4476</v>
      </c>
      <c r="T98" s="21" t="str">
        <f aca="false">IF(M98&lt;=7,"0-7 days",IF(M98&lt;=14,"8-14 days",IF(M98&lt;=21,"15-21 days","22+ days")))</f>
        <v>8-14 days</v>
      </c>
    </row>
    <row r="99" customFormat="false" ht="15" hidden="false" customHeight="false" outlineLevel="0" collapsed="false">
      <c r="A99" s="21" t="s">
        <v>163</v>
      </c>
      <c r="B99" s="21" t="s">
        <v>19</v>
      </c>
      <c r="C99" s="22" t="n">
        <v>42840</v>
      </c>
      <c r="D99" s="22" t="n">
        <v>42844</v>
      </c>
      <c r="E99" s="22" t="n">
        <v>42855</v>
      </c>
      <c r="F99" s="21" t="s">
        <v>57</v>
      </c>
      <c r="G99" s="23" t="n">
        <v>79</v>
      </c>
      <c r="H99" s="23" t="n">
        <v>17.4</v>
      </c>
      <c r="I99" s="21" t="s">
        <v>60</v>
      </c>
      <c r="J99" s="21" t="n">
        <v>5</v>
      </c>
      <c r="K99" s="21" t="s">
        <v>46</v>
      </c>
      <c r="L99" s="24" t="n">
        <f aca="false">DATE(YEAR(C99),MONTH(C99),1)</f>
        <v>42826</v>
      </c>
      <c r="M99" s="21" t="n">
        <f aca="false">D99-C99</f>
        <v>4</v>
      </c>
      <c r="N99" s="21" t="n">
        <f aca="false">MAX(0,D99-E99)</f>
        <v>0</v>
      </c>
      <c r="O99" s="21" t="n">
        <f aca="false">IF(D99&lt;=E99,1,0)</f>
        <v>1</v>
      </c>
      <c r="P99" s="23" t="n">
        <f aca="false">G99+H99</f>
        <v>96.4</v>
      </c>
      <c r="Q99" s="23" t="n">
        <f aca="false">G99*INDEX(Assumptions!$B$8:$B$16,MATCH(F99,Assumptions!$A$8:$A$16,0))</f>
        <v>53.72</v>
      </c>
      <c r="R99" s="23" t="n">
        <f aca="false">H99*Assumptions!$B$3</f>
        <v>10.44</v>
      </c>
      <c r="S99" s="23" t="n">
        <f aca="false">G99-Q99-R99</f>
        <v>14.84</v>
      </c>
      <c r="T99" s="21" t="str">
        <f aca="false">IF(M99&lt;=7,"0-7 days",IF(M99&lt;=14,"8-14 days",IF(M99&lt;=21,"15-21 days","22+ days")))</f>
        <v>0-7 days</v>
      </c>
    </row>
    <row r="100" customFormat="false" ht="15" hidden="false" customHeight="false" outlineLevel="0" collapsed="false">
      <c r="A100" s="21" t="s">
        <v>164</v>
      </c>
      <c r="B100" s="21" t="s">
        <v>93</v>
      </c>
      <c r="C100" s="22" t="n">
        <v>42841</v>
      </c>
      <c r="D100" s="22" t="n">
        <v>42874</v>
      </c>
      <c r="E100" s="22" t="n">
        <v>42874</v>
      </c>
      <c r="F100" s="21" t="s">
        <v>111</v>
      </c>
      <c r="G100" s="23" t="n">
        <v>29.74</v>
      </c>
      <c r="H100" s="23" t="n">
        <v>26.43</v>
      </c>
      <c r="I100" s="21" t="s">
        <v>45</v>
      </c>
      <c r="J100" s="21" t="n">
        <v>5</v>
      </c>
      <c r="K100" s="21" t="s">
        <v>46</v>
      </c>
      <c r="L100" s="24" t="n">
        <f aca="false">DATE(YEAR(C100),MONTH(C100),1)</f>
        <v>42826</v>
      </c>
      <c r="M100" s="21" t="n">
        <f aca="false">D100-C100</f>
        <v>33</v>
      </c>
      <c r="N100" s="21" t="n">
        <f aca="false">MAX(0,D100-E100)</f>
        <v>0</v>
      </c>
      <c r="O100" s="21" t="n">
        <f aca="false">IF(D100&lt;=E100,1,0)</f>
        <v>1</v>
      </c>
      <c r="P100" s="23" t="n">
        <f aca="false">G100+H100</f>
        <v>56.17</v>
      </c>
      <c r="Q100" s="23" t="n">
        <f aca="false">G100*INDEX(Assumptions!$B$8:$B$16,MATCH(F100,Assumptions!$A$8:$A$16,0))</f>
        <v>18.7362</v>
      </c>
      <c r="R100" s="23" t="n">
        <f aca="false">H100*Assumptions!$B$3</f>
        <v>15.858</v>
      </c>
      <c r="S100" s="23" t="n">
        <f aca="false">G100-Q100-R100</f>
        <v>-4.8542</v>
      </c>
      <c r="T100" s="21" t="str">
        <f aca="false">IF(M100&lt;=7,"0-7 days",IF(M100&lt;=14,"8-14 days",IF(M100&lt;=21,"15-21 days","22+ days")))</f>
        <v>22+ days</v>
      </c>
    </row>
    <row r="101" customFormat="false" ht="15" hidden="false" customHeight="false" outlineLevel="0" collapsed="false">
      <c r="A101" s="21" t="s">
        <v>165</v>
      </c>
      <c r="B101" s="21" t="s">
        <v>19</v>
      </c>
      <c r="C101" s="22" t="n">
        <v>42841</v>
      </c>
      <c r="D101" s="22" t="n">
        <v>42854</v>
      </c>
      <c r="E101" s="22" t="n">
        <v>42853</v>
      </c>
      <c r="F101" s="21" t="s">
        <v>44</v>
      </c>
      <c r="G101" s="23" t="n">
        <v>106.12</v>
      </c>
      <c r="H101" s="23" t="n">
        <v>13.94</v>
      </c>
      <c r="I101" s="21" t="s">
        <v>50</v>
      </c>
      <c r="J101" s="21" t="n">
        <v>2</v>
      </c>
      <c r="K101" s="21" t="s">
        <v>46</v>
      </c>
      <c r="L101" s="24" t="n">
        <f aca="false">DATE(YEAR(C101),MONTH(C101),1)</f>
        <v>42826</v>
      </c>
      <c r="M101" s="21" t="n">
        <f aca="false">D101-C101</f>
        <v>13</v>
      </c>
      <c r="N101" s="21" t="n">
        <f aca="false">MAX(0,D101-E101)</f>
        <v>1</v>
      </c>
      <c r="O101" s="21" t="n">
        <f aca="false">IF(D101&lt;=E101,1,0)</f>
        <v>0</v>
      </c>
      <c r="P101" s="23" t="n">
        <f aca="false">G101+H101</f>
        <v>120.06</v>
      </c>
      <c r="Q101" s="23" t="n">
        <f aca="false">G101*INDEX(Assumptions!$B$8:$B$16,MATCH(F101,Assumptions!$A$8:$A$16,0))</f>
        <v>63.672</v>
      </c>
      <c r="R101" s="23" t="n">
        <f aca="false">H101*Assumptions!$B$3</f>
        <v>8.364</v>
      </c>
      <c r="S101" s="23" t="n">
        <f aca="false">G101-Q101-R101</f>
        <v>34.084</v>
      </c>
      <c r="T101" s="21" t="str">
        <f aca="false">IF(M101&lt;=7,"0-7 days",IF(M101&lt;=14,"8-14 days",IF(M101&lt;=21,"15-21 days","22+ days")))</f>
        <v>8-14 days</v>
      </c>
    </row>
    <row r="102" customFormat="false" ht="15" hidden="false" customHeight="false" outlineLevel="0" collapsed="false">
      <c r="A102" s="21" t="s">
        <v>166</v>
      </c>
      <c r="B102" s="21" t="s">
        <v>55</v>
      </c>
      <c r="C102" s="22" t="n">
        <v>42842</v>
      </c>
      <c r="D102" s="22" t="n">
        <v>42852</v>
      </c>
      <c r="E102" s="22" t="n">
        <v>42869</v>
      </c>
      <c r="F102" s="21" t="s">
        <v>111</v>
      </c>
      <c r="G102" s="23" t="n">
        <v>61.41</v>
      </c>
      <c r="H102" s="23" t="n">
        <v>20.12</v>
      </c>
      <c r="I102" s="21" t="s">
        <v>45</v>
      </c>
      <c r="J102" s="21" t="n">
        <v>5</v>
      </c>
      <c r="K102" s="21" t="s">
        <v>46</v>
      </c>
      <c r="L102" s="24" t="n">
        <f aca="false">DATE(YEAR(C102),MONTH(C102),1)</f>
        <v>42826</v>
      </c>
      <c r="M102" s="21" t="n">
        <f aca="false">D102-C102</f>
        <v>10</v>
      </c>
      <c r="N102" s="21" t="n">
        <f aca="false">MAX(0,D102-E102)</f>
        <v>0</v>
      </c>
      <c r="O102" s="21" t="n">
        <f aca="false">IF(D102&lt;=E102,1,0)</f>
        <v>1</v>
      </c>
      <c r="P102" s="23" t="n">
        <f aca="false">G102+H102</f>
        <v>81.53</v>
      </c>
      <c r="Q102" s="23" t="n">
        <f aca="false">G102*INDEX(Assumptions!$B$8:$B$16,MATCH(F102,Assumptions!$A$8:$A$16,0))</f>
        <v>38.6883</v>
      </c>
      <c r="R102" s="23" t="n">
        <f aca="false">H102*Assumptions!$B$3</f>
        <v>12.072</v>
      </c>
      <c r="S102" s="23" t="n">
        <f aca="false">G102-Q102-R102</f>
        <v>10.6497</v>
      </c>
      <c r="T102" s="21" t="str">
        <f aca="false">IF(M102&lt;=7,"0-7 days",IF(M102&lt;=14,"8-14 days",IF(M102&lt;=21,"15-21 days","22+ days")))</f>
        <v>8-14 days</v>
      </c>
    </row>
    <row r="103" customFormat="false" ht="15" hidden="false" customHeight="false" outlineLevel="0" collapsed="false">
      <c r="A103" s="21" t="s">
        <v>167</v>
      </c>
      <c r="B103" s="21" t="s">
        <v>19</v>
      </c>
      <c r="C103" s="22" t="n">
        <v>42842</v>
      </c>
      <c r="D103" s="22" t="n">
        <v>42849</v>
      </c>
      <c r="E103" s="22" t="n">
        <v>42859</v>
      </c>
      <c r="F103" s="21" t="s">
        <v>44</v>
      </c>
      <c r="G103" s="23" t="n">
        <v>66.09</v>
      </c>
      <c r="H103" s="23" t="n">
        <v>12.57</v>
      </c>
      <c r="I103" s="21" t="s">
        <v>45</v>
      </c>
      <c r="J103" s="21" t="n">
        <v>3</v>
      </c>
      <c r="K103" s="21" t="s">
        <v>46</v>
      </c>
      <c r="L103" s="24" t="n">
        <f aca="false">DATE(YEAR(C103),MONTH(C103),1)</f>
        <v>42826</v>
      </c>
      <c r="M103" s="21" t="n">
        <f aca="false">D103-C103</f>
        <v>7</v>
      </c>
      <c r="N103" s="21" t="n">
        <f aca="false">MAX(0,D103-E103)</f>
        <v>0</v>
      </c>
      <c r="O103" s="21" t="n">
        <f aca="false">IF(D103&lt;=E103,1,0)</f>
        <v>1</v>
      </c>
      <c r="P103" s="23" t="n">
        <f aca="false">G103+H103</f>
        <v>78.66</v>
      </c>
      <c r="Q103" s="23" t="n">
        <f aca="false">G103*INDEX(Assumptions!$B$8:$B$16,MATCH(F103,Assumptions!$A$8:$A$16,0))</f>
        <v>39.654</v>
      </c>
      <c r="R103" s="23" t="n">
        <f aca="false">H103*Assumptions!$B$3</f>
        <v>7.542</v>
      </c>
      <c r="S103" s="23" t="n">
        <f aca="false">G103-Q103-R103</f>
        <v>18.894</v>
      </c>
      <c r="T103" s="21" t="str">
        <f aca="false">IF(M103&lt;=7,"0-7 days",IF(M103&lt;=14,"8-14 days",IF(M103&lt;=21,"15-21 days","22+ days")))</f>
        <v>0-7 days</v>
      </c>
    </row>
    <row r="104" customFormat="false" ht="15" hidden="false" customHeight="false" outlineLevel="0" collapsed="false">
      <c r="A104" s="21" t="s">
        <v>168</v>
      </c>
      <c r="B104" s="21" t="s">
        <v>93</v>
      </c>
      <c r="C104" s="22" t="n">
        <v>42842</v>
      </c>
      <c r="D104" s="22" t="n">
        <v>42855</v>
      </c>
      <c r="E104" s="22" t="n">
        <v>42871</v>
      </c>
      <c r="F104" s="21" t="s">
        <v>111</v>
      </c>
      <c r="G104" s="23" t="n">
        <v>63.58</v>
      </c>
      <c r="H104" s="23" t="n">
        <v>30.83</v>
      </c>
      <c r="I104" s="21" t="s">
        <v>60</v>
      </c>
      <c r="J104" s="21" t="n">
        <v>4</v>
      </c>
      <c r="K104" s="21" t="s">
        <v>46</v>
      </c>
      <c r="L104" s="24" t="n">
        <f aca="false">DATE(YEAR(C104),MONTH(C104),1)</f>
        <v>42826</v>
      </c>
      <c r="M104" s="21" t="n">
        <f aca="false">D104-C104</f>
        <v>13</v>
      </c>
      <c r="N104" s="21" t="n">
        <f aca="false">MAX(0,D104-E104)</f>
        <v>0</v>
      </c>
      <c r="O104" s="21" t="n">
        <f aca="false">IF(D104&lt;=E104,1,0)</f>
        <v>1</v>
      </c>
      <c r="P104" s="23" t="n">
        <f aca="false">G104+H104</f>
        <v>94.41</v>
      </c>
      <c r="Q104" s="23" t="n">
        <f aca="false">G104*INDEX(Assumptions!$B$8:$B$16,MATCH(F104,Assumptions!$A$8:$A$16,0))</f>
        <v>40.0554</v>
      </c>
      <c r="R104" s="23" t="n">
        <f aca="false">H104*Assumptions!$B$3</f>
        <v>18.498</v>
      </c>
      <c r="S104" s="23" t="n">
        <f aca="false">G104-Q104-R104</f>
        <v>5.0266</v>
      </c>
      <c r="T104" s="21" t="str">
        <f aca="false">IF(M104&lt;=7,"0-7 days",IF(M104&lt;=14,"8-14 days",IF(M104&lt;=21,"15-21 days","22+ days")))</f>
        <v>8-14 days</v>
      </c>
    </row>
    <row r="105" customFormat="false" ht="15" hidden="false" customHeight="false" outlineLevel="0" collapsed="false">
      <c r="A105" s="21" t="s">
        <v>169</v>
      </c>
      <c r="B105" s="21" t="s">
        <v>55</v>
      </c>
      <c r="C105" s="22" t="n">
        <v>42842</v>
      </c>
      <c r="D105" s="22" t="n">
        <v>42858</v>
      </c>
      <c r="E105" s="22" t="n">
        <v>42868</v>
      </c>
      <c r="F105" s="21" t="s">
        <v>49</v>
      </c>
      <c r="G105" s="23" t="n">
        <v>36.43</v>
      </c>
      <c r="H105" s="23" t="n">
        <v>24.06</v>
      </c>
      <c r="I105" s="21" t="s">
        <v>45</v>
      </c>
      <c r="J105" s="21" t="n">
        <v>4</v>
      </c>
      <c r="K105" s="21" t="s">
        <v>46</v>
      </c>
      <c r="L105" s="24" t="n">
        <f aca="false">DATE(YEAR(C105),MONTH(C105),1)</f>
        <v>42826</v>
      </c>
      <c r="M105" s="21" t="n">
        <f aca="false">D105-C105</f>
        <v>16</v>
      </c>
      <c r="N105" s="21" t="n">
        <f aca="false">MAX(0,D105-E105)</f>
        <v>0</v>
      </c>
      <c r="O105" s="21" t="n">
        <f aca="false">IF(D105&lt;=E105,1,0)</f>
        <v>1</v>
      </c>
      <c r="P105" s="23" t="n">
        <f aca="false">G105+H105</f>
        <v>60.49</v>
      </c>
      <c r="Q105" s="23" t="n">
        <f aca="false">G105*INDEX(Assumptions!$B$8:$B$16,MATCH(F105,Assumptions!$A$8:$A$16,0))</f>
        <v>21.1294</v>
      </c>
      <c r="R105" s="23" t="n">
        <f aca="false">H105*Assumptions!$B$3</f>
        <v>14.436</v>
      </c>
      <c r="S105" s="23" t="n">
        <f aca="false">G105-Q105-R105</f>
        <v>0.864600000000005</v>
      </c>
      <c r="T105" s="21" t="str">
        <f aca="false">IF(M105&lt;=7,"0-7 days",IF(M105&lt;=14,"8-14 days",IF(M105&lt;=21,"15-21 days","22+ days")))</f>
        <v>15-21 days</v>
      </c>
    </row>
    <row r="106" customFormat="false" ht="15" hidden="false" customHeight="false" outlineLevel="0" collapsed="false">
      <c r="A106" s="21" t="s">
        <v>170</v>
      </c>
      <c r="B106" s="21" t="s">
        <v>19</v>
      </c>
      <c r="C106" s="22" t="n">
        <v>42843</v>
      </c>
      <c r="D106" s="22" t="n">
        <v>42853</v>
      </c>
      <c r="E106" s="22" t="n">
        <v>42861</v>
      </c>
      <c r="F106" s="21" t="s">
        <v>53</v>
      </c>
      <c r="G106" s="23" t="n">
        <v>129.22</v>
      </c>
      <c r="H106" s="23" t="n">
        <v>16.75</v>
      </c>
      <c r="I106" s="21" t="s">
        <v>60</v>
      </c>
      <c r="J106" s="21" t="n">
        <v>5</v>
      </c>
      <c r="K106" s="21" t="s">
        <v>46</v>
      </c>
      <c r="L106" s="24" t="n">
        <f aca="false">DATE(YEAR(C106),MONTH(C106),1)</f>
        <v>42826</v>
      </c>
      <c r="M106" s="21" t="n">
        <f aca="false">D106-C106</f>
        <v>10</v>
      </c>
      <c r="N106" s="21" t="n">
        <f aca="false">MAX(0,D106-E106)</f>
        <v>0</v>
      </c>
      <c r="O106" s="21" t="n">
        <f aca="false">IF(D106&lt;=E106,1,0)</f>
        <v>1</v>
      </c>
      <c r="P106" s="23" t="n">
        <f aca="false">G106+H106</f>
        <v>145.97</v>
      </c>
      <c r="Q106" s="23" t="n">
        <f aca="false">G106*INDEX(Assumptions!$B$8:$B$16,MATCH(F106,Assumptions!$A$8:$A$16,0))</f>
        <v>95.6228</v>
      </c>
      <c r="R106" s="23" t="n">
        <f aca="false">H106*Assumptions!$B$3</f>
        <v>10.05</v>
      </c>
      <c r="S106" s="23" t="n">
        <f aca="false">G106-Q106-R106</f>
        <v>23.5472</v>
      </c>
      <c r="T106" s="21" t="str">
        <f aca="false">IF(M106&lt;=7,"0-7 days",IF(M106&lt;=14,"8-14 days",IF(M106&lt;=21,"15-21 days","22+ days")))</f>
        <v>8-14 days</v>
      </c>
    </row>
    <row r="107" customFormat="false" ht="15" hidden="false" customHeight="false" outlineLevel="0" collapsed="false">
      <c r="A107" s="21" t="s">
        <v>171</v>
      </c>
      <c r="B107" s="21" t="s">
        <v>19</v>
      </c>
      <c r="C107" s="22" t="n">
        <v>42845</v>
      </c>
      <c r="D107" s="22" t="n">
        <v>42854</v>
      </c>
      <c r="E107" s="22" t="n">
        <v>42861</v>
      </c>
      <c r="F107" s="21" t="s">
        <v>53</v>
      </c>
      <c r="G107" s="23" t="n">
        <v>538.22</v>
      </c>
      <c r="H107" s="23" t="n">
        <v>28.89</v>
      </c>
      <c r="I107" s="21" t="s">
        <v>45</v>
      </c>
      <c r="J107" s="21" t="n">
        <v>4</v>
      </c>
      <c r="K107" s="21" t="s">
        <v>46</v>
      </c>
      <c r="L107" s="24" t="n">
        <f aca="false">DATE(YEAR(C107),MONTH(C107),1)</f>
        <v>42826</v>
      </c>
      <c r="M107" s="21" t="n">
        <f aca="false">D107-C107</f>
        <v>9</v>
      </c>
      <c r="N107" s="21" t="n">
        <f aca="false">MAX(0,D107-E107)</f>
        <v>0</v>
      </c>
      <c r="O107" s="21" t="n">
        <f aca="false">IF(D107&lt;=E107,1,0)</f>
        <v>1</v>
      </c>
      <c r="P107" s="23" t="n">
        <f aca="false">G107+H107</f>
        <v>567.11</v>
      </c>
      <c r="Q107" s="23" t="n">
        <f aca="false">G107*INDEX(Assumptions!$B$8:$B$16,MATCH(F107,Assumptions!$A$8:$A$16,0))</f>
        <v>398.2828</v>
      </c>
      <c r="R107" s="23" t="n">
        <f aca="false">H107*Assumptions!$B$3</f>
        <v>17.334</v>
      </c>
      <c r="S107" s="23" t="n">
        <f aca="false">G107-Q107-R107</f>
        <v>122.6032</v>
      </c>
      <c r="T107" s="21" t="str">
        <f aca="false">IF(M107&lt;=7,"0-7 days",IF(M107&lt;=14,"8-14 days",IF(M107&lt;=21,"15-21 days","22+ days")))</f>
        <v>8-14 days</v>
      </c>
    </row>
    <row r="108" customFormat="false" ht="15" hidden="false" customHeight="false" outlineLevel="0" collapsed="false">
      <c r="A108" s="21" t="s">
        <v>172</v>
      </c>
      <c r="B108" s="21" t="s">
        <v>62</v>
      </c>
      <c r="C108" s="22" t="n">
        <v>42846</v>
      </c>
      <c r="D108" s="22" t="n">
        <v>42862</v>
      </c>
      <c r="E108" s="22" t="n">
        <v>42868</v>
      </c>
      <c r="F108" s="21" t="s">
        <v>67</v>
      </c>
      <c r="G108" s="23" t="n">
        <v>71.99</v>
      </c>
      <c r="H108" s="23" t="n">
        <v>28.09</v>
      </c>
      <c r="I108" s="21" t="s">
        <v>45</v>
      </c>
      <c r="J108" s="21" t="n">
        <v>4</v>
      </c>
      <c r="K108" s="21" t="s">
        <v>46</v>
      </c>
      <c r="L108" s="24" t="n">
        <f aca="false">DATE(YEAR(C108),MONTH(C108),1)</f>
        <v>42826</v>
      </c>
      <c r="M108" s="21" t="n">
        <f aca="false">D108-C108</f>
        <v>16</v>
      </c>
      <c r="N108" s="21" t="n">
        <f aca="false">MAX(0,D108-E108)</f>
        <v>0</v>
      </c>
      <c r="O108" s="21" t="n">
        <f aca="false">IF(D108&lt;=E108,1,0)</f>
        <v>1</v>
      </c>
      <c r="P108" s="23" t="n">
        <f aca="false">G108+H108</f>
        <v>100.08</v>
      </c>
      <c r="Q108" s="23" t="n">
        <f aca="false">G108*INDEX(Assumptions!$B$8:$B$16,MATCH(F108,Assumptions!$A$8:$A$16,0))</f>
        <v>44.6338</v>
      </c>
      <c r="R108" s="23" t="n">
        <f aca="false">H108*Assumptions!$B$3</f>
        <v>16.854</v>
      </c>
      <c r="S108" s="23" t="n">
        <f aca="false">G108-Q108-R108</f>
        <v>10.5022</v>
      </c>
      <c r="T108" s="21" t="str">
        <f aca="false">IF(M108&lt;=7,"0-7 days",IF(M108&lt;=14,"8-14 days",IF(M108&lt;=21,"15-21 days","22+ days")))</f>
        <v>15-21 days</v>
      </c>
    </row>
    <row r="109" customFormat="false" ht="15" hidden="false" customHeight="false" outlineLevel="0" collapsed="false">
      <c r="A109" s="21" t="s">
        <v>173</v>
      </c>
      <c r="B109" s="21" t="s">
        <v>174</v>
      </c>
      <c r="C109" s="22" t="n">
        <v>42847</v>
      </c>
      <c r="D109" s="22" t="n">
        <v>42872</v>
      </c>
      <c r="E109" s="22" t="n">
        <v>42882</v>
      </c>
      <c r="F109" s="21" t="s">
        <v>67</v>
      </c>
      <c r="G109" s="23" t="n">
        <v>44.82</v>
      </c>
      <c r="H109" s="23" t="n">
        <v>36.42</v>
      </c>
      <c r="I109" s="21" t="s">
        <v>45</v>
      </c>
      <c r="J109" s="21" t="n">
        <v>4</v>
      </c>
      <c r="K109" s="21" t="s">
        <v>46</v>
      </c>
      <c r="L109" s="24" t="n">
        <f aca="false">DATE(YEAR(C109),MONTH(C109),1)</f>
        <v>42826</v>
      </c>
      <c r="M109" s="21" t="n">
        <f aca="false">D109-C109</f>
        <v>25</v>
      </c>
      <c r="N109" s="21" t="n">
        <f aca="false">MAX(0,D109-E109)</f>
        <v>0</v>
      </c>
      <c r="O109" s="21" t="n">
        <f aca="false">IF(D109&lt;=E109,1,0)</f>
        <v>1</v>
      </c>
      <c r="P109" s="23" t="n">
        <f aca="false">G109+H109</f>
        <v>81.24</v>
      </c>
      <c r="Q109" s="23" t="n">
        <f aca="false">G109*INDEX(Assumptions!$B$8:$B$16,MATCH(F109,Assumptions!$A$8:$A$16,0))</f>
        <v>27.7884</v>
      </c>
      <c r="R109" s="23" t="n">
        <f aca="false">H109*Assumptions!$B$3</f>
        <v>21.852</v>
      </c>
      <c r="S109" s="23" t="n">
        <f aca="false">G109-Q109-R109</f>
        <v>-4.8204</v>
      </c>
      <c r="T109" s="21" t="str">
        <f aca="false">IF(M109&lt;=7,"0-7 days",IF(M109&lt;=14,"8-14 days",IF(M109&lt;=21,"15-21 days","22+ days")))</f>
        <v>22+ days</v>
      </c>
    </row>
    <row r="110" customFormat="false" ht="15" hidden="false" customHeight="false" outlineLevel="0" collapsed="false">
      <c r="A110" s="21" t="s">
        <v>175</v>
      </c>
      <c r="B110" s="21" t="s">
        <v>19</v>
      </c>
      <c r="C110" s="22" t="n">
        <v>42847</v>
      </c>
      <c r="D110" s="22" t="n">
        <v>42854</v>
      </c>
      <c r="E110" s="22" t="n">
        <v>42860</v>
      </c>
      <c r="F110" s="21" t="s">
        <v>49</v>
      </c>
      <c r="G110" s="23" t="n">
        <v>105.53</v>
      </c>
      <c r="H110" s="23" t="n">
        <v>15.42</v>
      </c>
      <c r="I110" s="21" t="s">
        <v>45</v>
      </c>
      <c r="J110" s="21" t="n">
        <v>5</v>
      </c>
      <c r="K110" s="21" t="s">
        <v>46</v>
      </c>
      <c r="L110" s="24" t="n">
        <f aca="false">DATE(YEAR(C110),MONTH(C110),1)</f>
        <v>42826</v>
      </c>
      <c r="M110" s="21" t="n">
        <f aca="false">D110-C110</f>
        <v>7</v>
      </c>
      <c r="N110" s="21" t="n">
        <f aca="false">MAX(0,D110-E110)</f>
        <v>0</v>
      </c>
      <c r="O110" s="21" t="n">
        <f aca="false">IF(D110&lt;=E110,1,0)</f>
        <v>1</v>
      </c>
      <c r="P110" s="23" t="n">
        <f aca="false">G110+H110</f>
        <v>120.95</v>
      </c>
      <c r="Q110" s="23" t="n">
        <f aca="false">G110*INDEX(Assumptions!$B$8:$B$16,MATCH(F110,Assumptions!$A$8:$A$16,0))</f>
        <v>61.2074</v>
      </c>
      <c r="R110" s="23" t="n">
        <f aca="false">H110*Assumptions!$B$3</f>
        <v>9.252</v>
      </c>
      <c r="S110" s="23" t="n">
        <f aca="false">G110-Q110-R110</f>
        <v>35.0706</v>
      </c>
      <c r="T110" s="21" t="str">
        <f aca="false">IF(M110&lt;=7,"0-7 days",IF(M110&lt;=14,"8-14 days",IF(M110&lt;=21,"15-21 days","22+ days")))</f>
        <v>0-7 days</v>
      </c>
    </row>
    <row r="111" customFormat="false" ht="15" hidden="false" customHeight="false" outlineLevel="0" collapsed="false">
      <c r="A111" s="21" t="s">
        <v>176</v>
      </c>
      <c r="B111" s="21" t="s">
        <v>19</v>
      </c>
      <c r="C111" s="22" t="n">
        <v>42847</v>
      </c>
      <c r="D111" s="22" t="n">
        <v>42851</v>
      </c>
      <c r="E111" s="22" t="n">
        <v>42862</v>
      </c>
      <c r="F111" s="21" t="s">
        <v>111</v>
      </c>
      <c r="G111" s="23" t="n">
        <v>144.31</v>
      </c>
      <c r="H111" s="23" t="n">
        <v>22.34</v>
      </c>
      <c r="I111" s="21" t="s">
        <v>45</v>
      </c>
      <c r="J111" s="21" t="n">
        <v>4</v>
      </c>
      <c r="K111" s="21" t="s">
        <v>46</v>
      </c>
      <c r="L111" s="24" t="n">
        <f aca="false">DATE(YEAR(C111),MONTH(C111),1)</f>
        <v>42826</v>
      </c>
      <c r="M111" s="21" t="n">
        <f aca="false">D111-C111</f>
        <v>4</v>
      </c>
      <c r="N111" s="21" t="n">
        <f aca="false">MAX(0,D111-E111)</f>
        <v>0</v>
      </c>
      <c r="O111" s="21" t="n">
        <f aca="false">IF(D111&lt;=E111,1,0)</f>
        <v>1</v>
      </c>
      <c r="P111" s="23" t="n">
        <f aca="false">G111+H111</f>
        <v>166.65</v>
      </c>
      <c r="Q111" s="23" t="n">
        <f aca="false">G111*INDEX(Assumptions!$B$8:$B$16,MATCH(F111,Assumptions!$A$8:$A$16,0))</f>
        <v>90.9153</v>
      </c>
      <c r="R111" s="23" t="n">
        <f aca="false">H111*Assumptions!$B$3</f>
        <v>13.404</v>
      </c>
      <c r="S111" s="23" t="n">
        <f aca="false">G111-Q111-R111</f>
        <v>39.9907</v>
      </c>
      <c r="T111" s="21" t="str">
        <f aca="false">IF(M111&lt;=7,"0-7 days",IF(M111&lt;=14,"8-14 days",IF(M111&lt;=21,"15-21 days","22+ days")))</f>
        <v>0-7 days</v>
      </c>
    </row>
    <row r="112" customFormat="false" ht="15" hidden="false" customHeight="false" outlineLevel="0" collapsed="false">
      <c r="A112" s="21" t="s">
        <v>177</v>
      </c>
      <c r="B112" s="21" t="s">
        <v>156</v>
      </c>
      <c r="C112" s="22" t="n">
        <v>42848</v>
      </c>
      <c r="D112" s="22" t="n">
        <v>42885</v>
      </c>
      <c r="E112" s="22" t="n">
        <v>42873</v>
      </c>
      <c r="F112" s="21" t="s">
        <v>53</v>
      </c>
      <c r="G112" s="23" t="n">
        <v>169.6</v>
      </c>
      <c r="H112" s="23" t="n">
        <v>29.07</v>
      </c>
      <c r="I112" s="21" t="s">
        <v>45</v>
      </c>
      <c r="J112" s="21" t="n">
        <v>2</v>
      </c>
      <c r="K112" s="21" t="s">
        <v>46</v>
      </c>
      <c r="L112" s="24" t="n">
        <f aca="false">DATE(YEAR(C112),MONTH(C112),1)</f>
        <v>42826</v>
      </c>
      <c r="M112" s="21" t="n">
        <f aca="false">D112-C112</f>
        <v>37</v>
      </c>
      <c r="N112" s="21" t="n">
        <f aca="false">MAX(0,D112-E112)</f>
        <v>12</v>
      </c>
      <c r="O112" s="21" t="n">
        <f aca="false">IF(D112&lt;=E112,1,0)</f>
        <v>0</v>
      </c>
      <c r="P112" s="23" t="n">
        <f aca="false">G112+H112</f>
        <v>198.67</v>
      </c>
      <c r="Q112" s="23" t="n">
        <f aca="false">G112*INDEX(Assumptions!$B$8:$B$16,MATCH(F112,Assumptions!$A$8:$A$16,0))</f>
        <v>125.504</v>
      </c>
      <c r="R112" s="23" t="n">
        <f aca="false">H112*Assumptions!$B$3</f>
        <v>17.442</v>
      </c>
      <c r="S112" s="23" t="n">
        <f aca="false">G112-Q112-R112</f>
        <v>26.654</v>
      </c>
      <c r="T112" s="21" t="str">
        <f aca="false">IF(M112&lt;=7,"0-7 days",IF(M112&lt;=14,"8-14 days",IF(M112&lt;=21,"15-21 days","22+ days")))</f>
        <v>22+ days</v>
      </c>
    </row>
    <row r="113" customFormat="false" ht="15" hidden="false" customHeight="false" outlineLevel="0" collapsed="false">
      <c r="A113" s="21" t="s">
        <v>178</v>
      </c>
      <c r="B113" s="21" t="s">
        <v>48</v>
      </c>
      <c r="C113" s="22" t="n">
        <v>42848</v>
      </c>
      <c r="D113" s="22" t="n">
        <v>42861</v>
      </c>
      <c r="E113" s="22" t="n">
        <v>42867</v>
      </c>
      <c r="F113" s="21" t="s">
        <v>59</v>
      </c>
      <c r="G113" s="23" t="n">
        <v>67.72</v>
      </c>
      <c r="H113" s="23" t="n">
        <v>20.02</v>
      </c>
      <c r="I113" s="21" t="s">
        <v>60</v>
      </c>
      <c r="J113" s="21" t="n">
        <v>4</v>
      </c>
      <c r="K113" s="21" t="s">
        <v>46</v>
      </c>
      <c r="L113" s="24" t="n">
        <f aca="false">DATE(YEAR(C113),MONTH(C113),1)</f>
        <v>42826</v>
      </c>
      <c r="M113" s="21" t="n">
        <f aca="false">D113-C113</f>
        <v>13</v>
      </c>
      <c r="N113" s="21" t="n">
        <f aca="false">MAX(0,D113-E113)</f>
        <v>0</v>
      </c>
      <c r="O113" s="21" t="n">
        <f aca="false">IF(D113&lt;=E113,1,0)</f>
        <v>1</v>
      </c>
      <c r="P113" s="23" t="n">
        <f aca="false">G113+H113</f>
        <v>87.74</v>
      </c>
      <c r="Q113" s="23" t="n">
        <f aca="false">G113*INDEX(Assumptions!$B$8:$B$16,MATCH(F113,Assumptions!$A$8:$A$16,0))</f>
        <v>43.3408</v>
      </c>
      <c r="R113" s="23" t="n">
        <f aca="false">H113*Assumptions!$B$3</f>
        <v>12.012</v>
      </c>
      <c r="S113" s="23" t="n">
        <f aca="false">G113-Q113-R113</f>
        <v>12.3672</v>
      </c>
      <c r="T113" s="21" t="str">
        <f aca="false">IF(M113&lt;=7,"0-7 days",IF(M113&lt;=14,"8-14 days",IF(M113&lt;=21,"15-21 days","22+ days")))</f>
        <v>8-14 days</v>
      </c>
    </row>
    <row r="114" customFormat="false" ht="15" hidden="false" customHeight="false" outlineLevel="0" collapsed="false">
      <c r="A114" s="21" t="s">
        <v>179</v>
      </c>
      <c r="B114" s="21" t="s">
        <v>62</v>
      </c>
      <c r="C114" s="22" t="n">
        <v>42849</v>
      </c>
      <c r="D114" s="22" t="n">
        <v>42863</v>
      </c>
      <c r="E114" s="22" t="n">
        <v>42867</v>
      </c>
      <c r="F114" s="21" t="s">
        <v>59</v>
      </c>
      <c r="G114" s="23" t="n">
        <v>145.88</v>
      </c>
      <c r="H114" s="23" t="n">
        <v>18.42</v>
      </c>
      <c r="I114" s="21" t="s">
        <v>45</v>
      </c>
      <c r="J114" s="21" t="n">
        <v>5</v>
      </c>
      <c r="K114" s="21" t="s">
        <v>46</v>
      </c>
      <c r="L114" s="24" t="n">
        <f aca="false">DATE(YEAR(C114),MONTH(C114),1)</f>
        <v>42826</v>
      </c>
      <c r="M114" s="21" t="n">
        <f aca="false">D114-C114</f>
        <v>14</v>
      </c>
      <c r="N114" s="21" t="n">
        <f aca="false">MAX(0,D114-E114)</f>
        <v>0</v>
      </c>
      <c r="O114" s="21" t="n">
        <f aca="false">IF(D114&lt;=E114,1,0)</f>
        <v>1</v>
      </c>
      <c r="P114" s="23" t="n">
        <f aca="false">G114+H114</f>
        <v>164.3</v>
      </c>
      <c r="Q114" s="23" t="n">
        <f aca="false">G114*INDEX(Assumptions!$B$8:$B$16,MATCH(F114,Assumptions!$A$8:$A$16,0))</f>
        <v>93.3632</v>
      </c>
      <c r="R114" s="23" t="n">
        <f aca="false">H114*Assumptions!$B$3</f>
        <v>11.052</v>
      </c>
      <c r="S114" s="23" t="n">
        <f aca="false">G114-Q114-R114</f>
        <v>41.4648</v>
      </c>
      <c r="T114" s="21" t="str">
        <f aca="false">IF(M114&lt;=7,"0-7 days",IF(M114&lt;=14,"8-14 days",IF(M114&lt;=21,"15-21 days","22+ days")))</f>
        <v>8-14 days</v>
      </c>
    </row>
    <row r="115" customFormat="false" ht="15" hidden="false" customHeight="false" outlineLevel="0" collapsed="false">
      <c r="A115" s="21" t="s">
        <v>180</v>
      </c>
      <c r="B115" s="21" t="s">
        <v>134</v>
      </c>
      <c r="C115" s="22" t="n">
        <v>42849</v>
      </c>
      <c r="D115" s="22" t="n">
        <v>42856</v>
      </c>
      <c r="E115" s="22" t="n">
        <v>42875</v>
      </c>
      <c r="F115" s="21" t="s">
        <v>49</v>
      </c>
      <c r="G115" s="23" t="n">
        <v>79.4</v>
      </c>
      <c r="H115" s="23" t="n">
        <v>20.66</v>
      </c>
      <c r="I115" s="21" t="s">
        <v>45</v>
      </c>
      <c r="J115" s="21" t="n">
        <v>4</v>
      </c>
      <c r="K115" s="21" t="s">
        <v>46</v>
      </c>
      <c r="L115" s="24" t="n">
        <f aca="false">DATE(YEAR(C115),MONTH(C115),1)</f>
        <v>42826</v>
      </c>
      <c r="M115" s="21" t="n">
        <f aca="false">D115-C115</f>
        <v>7</v>
      </c>
      <c r="N115" s="21" t="n">
        <f aca="false">MAX(0,D115-E115)</f>
        <v>0</v>
      </c>
      <c r="O115" s="21" t="n">
        <f aca="false">IF(D115&lt;=E115,1,0)</f>
        <v>1</v>
      </c>
      <c r="P115" s="23" t="n">
        <f aca="false">G115+H115</f>
        <v>100.06</v>
      </c>
      <c r="Q115" s="23" t="n">
        <f aca="false">G115*INDEX(Assumptions!$B$8:$B$16,MATCH(F115,Assumptions!$A$8:$A$16,0))</f>
        <v>46.052</v>
      </c>
      <c r="R115" s="23" t="n">
        <f aca="false">H115*Assumptions!$B$3</f>
        <v>12.396</v>
      </c>
      <c r="S115" s="23" t="n">
        <f aca="false">G115-Q115-R115</f>
        <v>20.952</v>
      </c>
      <c r="T115" s="21" t="str">
        <f aca="false">IF(M115&lt;=7,"0-7 days",IF(M115&lt;=14,"8-14 days",IF(M115&lt;=21,"15-21 days","22+ days")))</f>
        <v>0-7 days</v>
      </c>
    </row>
    <row r="116" customFormat="false" ht="15" hidden="false" customHeight="false" outlineLevel="0" collapsed="false">
      <c r="A116" s="21" t="s">
        <v>181</v>
      </c>
      <c r="B116" s="21" t="s">
        <v>19</v>
      </c>
      <c r="C116" s="22" t="n">
        <v>42850</v>
      </c>
      <c r="D116" s="22" t="n">
        <v>42857</v>
      </c>
      <c r="E116" s="22" t="n">
        <v>42865</v>
      </c>
      <c r="F116" s="21" t="s">
        <v>53</v>
      </c>
      <c r="G116" s="23" t="n">
        <v>52.98</v>
      </c>
      <c r="H116" s="23" t="n">
        <v>13.33</v>
      </c>
      <c r="I116" s="21" t="s">
        <v>60</v>
      </c>
      <c r="J116" s="21" t="n">
        <v>5</v>
      </c>
      <c r="K116" s="21" t="s">
        <v>46</v>
      </c>
      <c r="L116" s="24" t="n">
        <f aca="false">DATE(YEAR(C116),MONTH(C116),1)</f>
        <v>42826</v>
      </c>
      <c r="M116" s="21" t="n">
        <f aca="false">D116-C116</f>
        <v>7</v>
      </c>
      <c r="N116" s="21" t="n">
        <f aca="false">MAX(0,D116-E116)</f>
        <v>0</v>
      </c>
      <c r="O116" s="21" t="n">
        <f aca="false">IF(D116&lt;=E116,1,0)</f>
        <v>1</v>
      </c>
      <c r="P116" s="23" t="n">
        <f aca="false">G116+H116</f>
        <v>66.31</v>
      </c>
      <c r="Q116" s="23" t="n">
        <f aca="false">G116*INDEX(Assumptions!$B$8:$B$16,MATCH(F116,Assumptions!$A$8:$A$16,0))</f>
        <v>39.2052</v>
      </c>
      <c r="R116" s="23" t="n">
        <f aca="false">H116*Assumptions!$B$3</f>
        <v>7.998</v>
      </c>
      <c r="S116" s="23" t="n">
        <f aca="false">G116-Q116-R116</f>
        <v>5.7768</v>
      </c>
      <c r="T116" s="21" t="str">
        <f aca="false">IF(M116&lt;=7,"0-7 days",IF(M116&lt;=14,"8-14 days",IF(M116&lt;=21,"15-21 days","22+ days")))</f>
        <v>0-7 days</v>
      </c>
    </row>
    <row r="117" customFormat="false" ht="15" hidden="false" customHeight="false" outlineLevel="0" collapsed="false">
      <c r="A117" s="21" t="s">
        <v>182</v>
      </c>
      <c r="B117" s="21" t="s">
        <v>62</v>
      </c>
      <c r="C117" s="22" t="n">
        <v>42852</v>
      </c>
      <c r="D117" s="22" t="n">
        <v>42867</v>
      </c>
      <c r="E117" s="22" t="n">
        <v>42872</v>
      </c>
      <c r="F117" s="21" t="s">
        <v>67</v>
      </c>
      <c r="G117" s="23" t="n">
        <v>97.29</v>
      </c>
      <c r="H117" s="23" t="n">
        <v>21.68</v>
      </c>
      <c r="I117" s="21" t="s">
        <v>50</v>
      </c>
      <c r="J117" s="21" t="n">
        <v>5</v>
      </c>
      <c r="K117" s="21" t="s">
        <v>46</v>
      </c>
      <c r="L117" s="24" t="n">
        <f aca="false">DATE(YEAR(C117),MONTH(C117),1)</f>
        <v>42826</v>
      </c>
      <c r="M117" s="21" t="n">
        <f aca="false">D117-C117</f>
        <v>15</v>
      </c>
      <c r="N117" s="21" t="n">
        <f aca="false">MAX(0,D117-E117)</f>
        <v>0</v>
      </c>
      <c r="O117" s="21" t="n">
        <f aca="false">IF(D117&lt;=E117,1,0)</f>
        <v>1</v>
      </c>
      <c r="P117" s="23" t="n">
        <f aca="false">G117+H117</f>
        <v>118.97</v>
      </c>
      <c r="Q117" s="23" t="n">
        <f aca="false">G117*INDEX(Assumptions!$B$8:$B$16,MATCH(F117,Assumptions!$A$8:$A$16,0))</f>
        <v>60.3198</v>
      </c>
      <c r="R117" s="23" t="n">
        <f aca="false">H117*Assumptions!$B$3</f>
        <v>13.008</v>
      </c>
      <c r="S117" s="23" t="n">
        <f aca="false">G117-Q117-R117</f>
        <v>23.9622</v>
      </c>
      <c r="T117" s="21" t="str">
        <f aca="false">IF(M117&lt;=7,"0-7 days",IF(M117&lt;=14,"8-14 days",IF(M117&lt;=21,"15-21 days","22+ days")))</f>
        <v>15-21 days</v>
      </c>
    </row>
    <row r="118" customFormat="false" ht="15" hidden="false" customHeight="false" outlineLevel="0" collapsed="false">
      <c r="A118" s="21" t="s">
        <v>183</v>
      </c>
      <c r="B118" s="21" t="s">
        <v>55</v>
      </c>
      <c r="C118" s="22" t="n">
        <v>42852</v>
      </c>
      <c r="D118" s="22" t="n">
        <v>42862</v>
      </c>
      <c r="E118" s="22" t="n">
        <v>42878</v>
      </c>
      <c r="F118" s="21" t="s">
        <v>64</v>
      </c>
      <c r="G118" s="23" t="n">
        <v>117.16</v>
      </c>
      <c r="H118" s="23" t="n">
        <v>30.17</v>
      </c>
      <c r="I118" s="21" t="s">
        <v>45</v>
      </c>
      <c r="J118" s="21" t="n">
        <v>4</v>
      </c>
      <c r="K118" s="21" t="s">
        <v>46</v>
      </c>
      <c r="L118" s="24" t="n">
        <f aca="false">DATE(YEAR(C118),MONTH(C118),1)</f>
        <v>42826</v>
      </c>
      <c r="M118" s="21" t="n">
        <f aca="false">D118-C118</f>
        <v>10</v>
      </c>
      <c r="N118" s="21" t="n">
        <f aca="false">MAX(0,D118-E118)</f>
        <v>0</v>
      </c>
      <c r="O118" s="21" t="n">
        <f aca="false">IF(D118&lt;=E118,1,0)</f>
        <v>1</v>
      </c>
      <c r="P118" s="23" t="n">
        <f aca="false">G118+H118</f>
        <v>147.33</v>
      </c>
      <c r="Q118" s="23" t="n">
        <f aca="false">G118*INDEX(Assumptions!$B$8:$B$16,MATCH(F118,Assumptions!$A$8:$A$16,0))</f>
        <v>77.3256</v>
      </c>
      <c r="R118" s="23" t="n">
        <f aca="false">H118*Assumptions!$B$3</f>
        <v>18.102</v>
      </c>
      <c r="S118" s="23" t="n">
        <f aca="false">G118-Q118-R118</f>
        <v>21.7324</v>
      </c>
      <c r="T118" s="21" t="str">
        <f aca="false">IF(M118&lt;=7,"0-7 days",IF(M118&lt;=14,"8-14 days",IF(M118&lt;=21,"15-21 days","22+ days")))</f>
        <v>8-14 days</v>
      </c>
    </row>
    <row r="119" customFormat="false" ht="15" hidden="false" customHeight="false" outlineLevel="0" collapsed="false">
      <c r="A119" s="21" t="s">
        <v>184</v>
      </c>
      <c r="B119" s="21" t="s">
        <v>52</v>
      </c>
      <c r="C119" s="22" t="n">
        <v>42853</v>
      </c>
      <c r="D119" s="22" t="n">
        <v>42872</v>
      </c>
      <c r="E119" s="22" t="n">
        <v>42879</v>
      </c>
      <c r="F119" s="21" t="s">
        <v>49</v>
      </c>
      <c r="G119" s="23" t="n">
        <v>42.63</v>
      </c>
      <c r="H119" s="23" t="n">
        <v>22.76</v>
      </c>
      <c r="I119" s="21" t="s">
        <v>45</v>
      </c>
      <c r="J119" s="21" t="n">
        <v>3</v>
      </c>
      <c r="K119" s="21" t="s">
        <v>46</v>
      </c>
      <c r="L119" s="24" t="n">
        <f aca="false">DATE(YEAR(C119),MONTH(C119),1)</f>
        <v>42826</v>
      </c>
      <c r="M119" s="21" t="n">
        <f aca="false">D119-C119</f>
        <v>19</v>
      </c>
      <c r="N119" s="21" t="n">
        <f aca="false">MAX(0,D119-E119)</f>
        <v>0</v>
      </c>
      <c r="O119" s="21" t="n">
        <f aca="false">IF(D119&lt;=E119,1,0)</f>
        <v>1</v>
      </c>
      <c r="P119" s="23" t="n">
        <f aca="false">G119+H119</f>
        <v>65.39</v>
      </c>
      <c r="Q119" s="23" t="n">
        <f aca="false">G119*INDEX(Assumptions!$B$8:$B$16,MATCH(F119,Assumptions!$A$8:$A$16,0))</f>
        <v>24.7254</v>
      </c>
      <c r="R119" s="23" t="n">
        <f aca="false">H119*Assumptions!$B$3</f>
        <v>13.656</v>
      </c>
      <c r="S119" s="23" t="n">
        <f aca="false">G119-Q119-R119</f>
        <v>4.2486</v>
      </c>
      <c r="T119" s="21" t="str">
        <f aca="false">IF(M119&lt;=7,"0-7 days",IF(M119&lt;=14,"8-14 days",IF(M119&lt;=21,"15-21 days","22+ days")))</f>
        <v>15-21 days</v>
      </c>
    </row>
    <row r="120" customFormat="false" ht="15" hidden="false" customHeight="false" outlineLevel="0" collapsed="false">
      <c r="A120" s="21" t="s">
        <v>185</v>
      </c>
      <c r="B120" s="21" t="s">
        <v>48</v>
      </c>
      <c r="C120" s="22" t="n">
        <v>42854</v>
      </c>
      <c r="D120" s="22" t="n">
        <v>42860</v>
      </c>
      <c r="E120" s="22" t="n">
        <v>42877</v>
      </c>
      <c r="F120" s="21" t="s">
        <v>59</v>
      </c>
      <c r="G120" s="23" t="n">
        <v>69.21</v>
      </c>
      <c r="H120" s="23" t="n">
        <v>16.65</v>
      </c>
      <c r="I120" s="21" t="s">
        <v>45</v>
      </c>
      <c r="J120" s="21" t="n">
        <v>3</v>
      </c>
      <c r="K120" s="21" t="s">
        <v>46</v>
      </c>
      <c r="L120" s="24" t="n">
        <f aca="false">DATE(YEAR(C120),MONTH(C120),1)</f>
        <v>42826</v>
      </c>
      <c r="M120" s="21" t="n">
        <f aca="false">D120-C120</f>
        <v>6</v>
      </c>
      <c r="N120" s="21" t="n">
        <f aca="false">MAX(0,D120-E120)</f>
        <v>0</v>
      </c>
      <c r="O120" s="21" t="n">
        <f aca="false">IF(D120&lt;=E120,1,0)</f>
        <v>1</v>
      </c>
      <c r="P120" s="23" t="n">
        <f aca="false">G120+H120</f>
        <v>85.86</v>
      </c>
      <c r="Q120" s="23" t="n">
        <f aca="false">G120*INDEX(Assumptions!$B$8:$B$16,MATCH(F120,Assumptions!$A$8:$A$16,0))</f>
        <v>44.2944</v>
      </c>
      <c r="R120" s="23" t="n">
        <f aca="false">H120*Assumptions!$B$3</f>
        <v>9.99</v>
      </c>
      <c r="S120" s="23" t="n">
        <f aca="false">G120-Q120-R120</f>
        <v>14.9256</v>
      </c>
      <c r="T120" s="21" t="str">
        <f aca="false">IF(M120&lt;=7,"0-7 days",IF(M120&lt;=14,"8-14 days",IF(M120&lt;=21,"15-21 days","22+ days")))</f>
        <v>0-7 days</v>
      </c>
    </row>
    <row r="121" customFormat="false" ht="15" hidden="false" customHeight="false" outlineLevel="0" collapsed="false">
      <c r="A121" s="21" t="s">
        <v>186</v>
      </c>
      <c r="B121" s="21" t="s">
        <v>19</v>
      </c>
      <c r="C121" s="22" t="n">
        <v>42854</v>
      </c>
      <c r="D121" s="22" t="n">
        <v>42862</v>
      </c>
      <c r="E121" s="22" t="n">
        <v>42870</v>
      </c>
      <c r="F121" s="21" t="s">
        <v>67</v>
      </c>
      <c r="G121" s="23" t="n">
        <v>35.42</v>
      </c>
      <c r="H121" s="23" t="n">
        <v>14.6</v>
      </c>
      <c r="I121" s="21" t="s">
        <v>104</v>
      </c>
      <c r="J121" s="21" t="n">
        <v>4</v>
      </c>
      <c r="K121" s="21" t="s">
        <v>46</v>
      </c>
      <c r="L121" s="24" t="n">
        <f aca="false">DATE(YEAR(C121),MONTH(C121),1)</f>
        <v>42826</v>
      </c>
      <c r="M121" s="21" t="n">
        <f aca="false">D121-C121</f>
        <v>8</v>
      </c>
      <c r="N121" s="21" t="n">
        <f aca="false">MAX(0,D121-E121)</f>
        <v>0</v>
      </c>
      <c r="O121" s="21" t="n">
        <f aca="false">IF(D121&lt;=E121,1,0)</f>
        <v>1</v>
      </c>
      <c r="P121" s="23" t="n">
        <f aca="false">G121+H121</f>
        <v>50.02</v>
      </c>
      <c r="Q121" s="23" t="n">
        <f aca="false">G121*INDEX(Assumptions!$B$8:$B$16,MATCH(F121,Assumptions!$A$8:$A$16,0))</f>
        <v>21.9604</v>
      </c>
      <c r="R121" s="23" t="n">
        <f aca="false">H121*Assumptions!$B$3</f>
        <v>8.76</v>
      </c>
      <c r="S121" s="23" t="n">
        <f aca="false">G121-Q121-R121</f>
        <v>4.6996</v>
      </c>
      <c r="T121" s="21" t="str">
        <f aca="false">IF(M121&lt;=7,"0-7 days",IF(M121&lt;=14,"8-14 days",IF(M121&lt;=21,"15-21 days","22+ days")))</f>
        <v>8-14 days</v>
      </c>
    </row>
    <row r="122" customFormat="false" ht="15" hidden="false" customHeight="false" outlineLevel="0" collapsed="false">
      <c r="A122" s="21" t="s">
        <v>187</v>
      </c>
      <c r="B122" s="21" t="s">
        <v>19</v>
      </c>
      <c r="C122" s="22" t="n">
        <v>42854</v>
      </c>
      <c r="D122" s="22" t="n">
        <v>42861</v>
      </c>
      <c r="E122" s="22" t="n">
        <v>42868</v>
      </c>
      <c r="F122" s="21" t="s">
        <v>79</v>
      </c>
      <c r="G122" s="23" t="n">
        <v>59.93</v>
      </c>
      <c r="H122" s="23" t="n">
        <v>14.46</v>
      </c>
      <c r="I122" s="21" t="s">
        <v>45</v>
      </c>
      <c r="J122" s="21" t="n">
        <v>4</v>
      </c>
      <c r="K122" s="21" t="s">
        <v>46</v>
      </c>
      <c r="L122" s="24" t="n">
        <f aca="false">DATE(YEAR(C122),MONTH(C122),1)</f>
        <v>42826</v>
      </c>
      <c r="M122" s="21" t="n">
        <f aca="false">D122-C122</f>
        <v>7</v>
      </c>
      <c r="N122" s="21" t="n">
        <f aca="false">MAX(0,D122-E122)</f>
        <v>0</v>
      </c>
      <c r="O122" s="21" t="n">
        <f aca="false">IF(D122&lt;=E122,1,0)</f>
        <v>1</v>
      </c>
      <c r="P122" s="23" t="n">
        <f aca="false">G122+H122</f>
        <v>74.39</v>
      </c>
      <c r="Q122" s="23" t="n">
        <f aca="false">G122*INDEX(Assumptions!$B$8:$B$16,MATCH(F122,Assumptions!$A$8:$A$16,0))</f>
        <v>41.951</v>
      </c>
      <c r="R122" s="23" t="n">
        <f aca="false">H122*Assumptions!$B$3</f>
        <v>8.676</v>
      </c>
      <c r="S122" s="23" t="n">
        <f aca="false">G122-Q122-R122</f>
        <v>9.303</v>
      </c>
      <c r="T122" s="21" t="str">
        <f aca="false">IF(M122&lt;=7,"0-7 days",IF(M122&lt;=14,"8-14 days",IF(M122&lt;=21,"15-21 days","22+ days")))</f>
        <v>0-7 days</v>
      </c>
    </row>
    <row r="123" customFormat="false" ht="15" hidden="false" customHeight="false" outlineLevel="0" collapsed="false">
      <c r="A123" s="21" t="s">
        <v>188</v>
      </c>
      <c r="B123" s="21" t="s">
        <v>156</v>
      </c>
      <c r="C123" s="22" t="n">
        <v>42855</v>
      </c>
      <c r="D123" s="22" t="n">
        <v>42875</v>
      </c>
      <c r="E123" s="22" t="n">
        <v>42879</v>
      </c>
      <c r="F123" s="21" t="s">
        <v>64</v>
      </c>
      <c r="G123" s="23" t="n">
        <v>110.19</v>
      </c>
      <c r="H123" s="23" t="n">
        <v>21.32</v>
      </c>
      <c r="I123" s="21" t="s">
        <v>45</v>
      </c>
      <c r="J123" s="21" t="n">
        <v>4</v>
      </c>
      <c r="K123" s="21" t="s">
        <v>46</v>
      </c>
      <c r="L123" s="24" t="n">
        <f aca="false">DATE(YEAR(C123),MONTH(C123),1)</f>
        <v>42826</v>
      </c>
      <c r="M123" s="21" t="n">
        <f aca="false">D123-C123</f>
        <v>20</v>
      </c>
      <c r="N123" s="21" t="n">
        <f aca="false">MAX(0,D123-E123)</f>
        <v>0</v>
      </c>
      <c r="O123" s="21" t="n">
        <f aca="false">IF(D123&lt;=E123,1,0)</f>
        <v>1</v>
      </c>
      <c r="P123" s="23" t="n">
        <f aca="false">G123+H123</f>
        <v>131.51</v>
      </c>
      <c r="Q123" s="23" t="n">
        <f aca="false">G123*INDEX(Assumptions!$B$8:$B$16,MATCH(F123,Assumptions!$A$8:$A$16,0))</f>
        <v>72.7254</v>
      </c>
      <c r="R123" s="23" t="n">
        <f aca="false">H123*Assumptions!$B$3</f>
        <v>12.792</v>
      </c>
      <c r="S123" s="23" t="n">
        <f aca="false">G123-Q123-R123</f>
        <v>24.6726</v>
      </c>
      <c r="T123" s="21" t="str">
        <f aca="false">IF(M123&lt;=7,"0-7 days",IF(M123&lt;=14,"8-14 days",IF(M123&lt;=21,"15-21 days","22+ days")))</f>
        <v>15-21 days</v>
      </c>
    </row>
    <row r="124" customFormat="false" ht="15" hidden="false" customHeight="false" outlineLevel="0" collapsed="false">
      <c r="A124" s="21" t="s">
        <v>189</v>
      </c>
      <c r="B124" s="21" t="s">
        <v>19</v>
      </c>
      <c r="C124" s="22" t="n">
        <v>42855</v>
      </c>
      <c r="D124" s="22" t="n">
        <v>42868</v>
      </c>
      <c r="E124" s="22" t="n">
        <v>42869</v>
      </c>
      <c r="F124" s="21" t="s">
        <v>53</v>
      </c>
      <c r="G124" s="23" t="n">
        <v>191.92</v>
      </c>
      <c r="H124" s="23" t="n">
        <v>19.8</v>
      </c>
      <c r="I124" s="21" t="s">
        <v>45</v>
      </c>
      <c r="J124" s="21" t="n">
        <v>5</v>
      </c>
      <c r="K124" s="21" t="s">
        <v>46</v>
      </c>
      <c r="L124" s="24" t="n">
        <f aca="false">DATE(YEAR(C124),MONTH(C124),1)</f>
        <v>42826</v>
      </c>
      <c r="M124" s="21" t="n">
        <f aca="false">D124-C124</f>
        <v>13</v>
      </c>
      <c r="N124" s="21" t="n">
        <f aca="false">MAX(0,D124-E124)</f>
        <v>0</v>
      </c>
      <c r="O124" s="21" t="n">
        <f aca="false">IF(D124&lt;=E124,1,0)</f>
        <v>1</v>
      </c>
      <c r="P124" s="23" t="n">
        <f aca="false">G124+H124</f>
        <v>211.72</v>
      </c>
      <c r="Q124" s="23" t="n">
        <f aca="false">G124*INDEX(Assumptions!$B$8:$B$16,MATCH(F124,Assumptions!$A$8:$A$16,0))</f>
        <v>142.0208</v>
      </c>
      <c r="R124" s="23" t="n">
        <f aca="false">H124*Assumptions!$B$3</f>
        <v>11.88</v>
      </c>
      <c r="S124" s="23" t="n">
        <f aca="false">G124-Q124-R124</f>
        <v>38.0192</v>
      </c>
      <c r="T124" s="21" t="str">
        <f aca="false">IF(M124&lt;=7,"0-7 days",IF(M124&lt;=14,"8-14 days",IF(M124&lt;=21,"15-21 days","22+ days")))</f>
        <v>8-14 days</v>
      </c>
    </row>
    <row r="125" customFormat="false" ht="15" hidden="false" customHeight="false" outlineLevel="0" collapsed="false">
      <c r="A125" s="21" t="s">
        <v>190</v>
      </c>
      <c r="B125" s="21" t="s">
        <v>48</v>
      </c>
      <c r="C125" s="22" t="n">
        <v>42855</v>
      </c>
      <c r="D125" s="22" t="n">
        <v>42870</v>
      </c>
      <c r="E125" s="22" t="n">
        <v>42874</v>
      </c>
      <c r="F125" s="21" t="s">
        <v>57</v>
      </c>
      <c r="G125" s="23" t="n">
        <v>55.93</v>
      </c>
      <c r="H125" s="23" t="n">
        <v>16.83</v>
      </c>
      <c r="I125" s="21" t="s">
        <v>45</v>
      </c>
      <c r="J125" s="21" t="n">
        <v>4</v>
      </c>
      <c r="K125" s="21" t="s">
        <v>46</v>
      </c>
      <c r="L125" s="24" t="n">
        <f aca="false">DATE(YEAR(C125),MONTH(C125),1)</f>
        <v>42826</v>
      </c>
      <c r="M125" s="21" t="n">
        <f aca="false">D125-C125</f>
        <v>15</v>
      </c>
      <c r="N125" s="21" t="n">
        <f aca="false">MAX(0,D125-E125)</f>
        <v>0</v>
      </c>
      <c r="O125" s="21" t="n">
        <f aca="false">IF(D125&lt;=E125,1,0)</f>
        <v>1</v>
      </c>
      <c r="P125" s="23" t="n">
        <f aca="false">G125+H125</f>
        <v>72.76</v>
      </c>
      <c r="Q125" s="23" t="n">
        <f aca="false">G125*INDEX(Assumptions!$B$8:$B$16,MATCH(F125,Assumptions!$A$8:$A$16,0))</f>
        <v>38.0324</v>
      </c>
      <c r="R125" s="23" t="n">
        <f aca="false">H125*Assumptions!$B$3</f>
        <v>10.098</v>
      </c>
      <c r="S125" s="23" t="n">
        <f aca="false">G125-Q125-R125</f>
        <v>7.7996</v>
      </c>
      <c r="T125" s="21" t="str">
        <f aca="false">IF(M125&lt;=7,"0-7 days",IF(M125&lt;=14,"8-14 days",IF(M125&lt;=21,"15-21 days","22+ days")))</f>
        <v>15-21 days</v>
      </c>
    </row>
    <row r="126" customFormat="false" ht="15" hidden="false" customHeight="false" outlineLevel="0" collapsed="false">
      <c r="A126" s="21" t="s">
        <v>191</v>
      </c>
      <c r="B126" s="21" t="s">
        <v>55</v>
      </c>
      <c r="C126" s="22" t="n">
        <v>42856</v>
      </c>
      <c r="D126" s="22" t="n">
        <v>42875</v>
      </c>
      <c r="E126" s="22" t="n">
        <v>42882</v>
      </c>
      <c r="F126" s="21" t="s">
        <v>49</v>
      </c>
      <c r="G126" s="23" t="n">
        <v>137.89</v>
      </c>
      <c r="H126" s="23" t="n">
        <v>28.81</v>
      </c>
      <c r="I126" s="21" t="s">
        <v>45</v>
      </c>
      <c r="J126" s="21" t="n">
        <v>4</v>
      </c>
      <c r="K126" s="21" t="s">
        <v>46</v>
      </c>
      <c r="L126" s="24" t="n">
        <f aca="false">DATE(YEAR(C126),MONTH(C126),1)</f>
        <v>42856</v>
      </c>
      <c r="M126" s="21" t="n">
        <f aca="false">D126-C126</f>
        <v>19</v>
      </c>
      <c r="N126" s="21" t="n">
        <f aca="false">MAX(0,D126-E126)</f>
        <v>0</v>
      </c>
      <c r="O126" s="21" t="n">
        <f aca="false">IF(D126&lt;=E126,1,0)</f>
        <v>1</v>
      </c>
      <c r="P126" s="23" t="n">
        <f aca="false">G126+H126</f>
        <v>166.7</v>
      </c>
      <c r="Q126" s="23" t="n">
        <f aca="false">G126*INDEX(Assumptions!$B$8:$B$16,MATCH(F126,Assumptions!$A$8:$A$16,0))</f>
        <v>79.9762</v>
      </c>
      <c r="R126" s="23" t="n">
        <f aca="false">H126*Assumptions!$B$3</f>
        <v>17.286</v>
      </c>
      <c r="S126" s="23" t="n">
        <f aca="false">G126-Q126-R126</f>
        <v>40.6278</v>
      </c>
      <c r="T126" s="21" t="str">
        <f aca="false">IF(M126&lt;=7,"0-7 days",IF(M126&lt;=14,"8-14 days",IF(M126&lt;=21,"15-21 days","22+ days")))</f>
        <v>15-21 days</v>
      </c>
    </row>
    <row r="127" customFormat="false" ht="15" hidden="false" customHeight="false" outlineLevel="0" collapsed="false">
      <c r="A127" s="21" t="s">
        <v>192</v>
      </c>
      <c r="B127" s="21" t="s">
        <v>19</v>
      </c>
      <c r="C127" s="22" t="n">
        <v>42856</v>
      </c>
      <c r="D127" s="22" t="n">
        <v>42860</v>
      </c>
      <c r="E127" s="22" t="n">
        <v>42873</v>
      </c>
      <c r="F127" s="21" t="s">
        <v>79</v>
      </c>
      <c r="G127" s="23" t="n">
        <v>94.69</v>
      </c>
      <c r="H127" s="23" t="n">
        <v>18.54</v>
      </c>
      <c r="I127" s="21" t="s">
        <v>45</v>
      </c>
      <c r="J127" s="21" t="n">
        <v>4</v>
      </c>
      <c r="K127" s="21" t="s">
        <v>46</v>
      </c>
      <c r="L127" s="24" t="n">
        <f aca="false">DATE(YEAR(C127),MONTH(C127),1)</f>
        <v>42856</v>
      </c>
      <c r="M127" s="21" t="n">
        <f aca="false">D127-C127</f>
        <v>4</v>
      </c>
      <c r="N127" s="21" t="n">
        <f aca="false">MAX(0,D127-E127)</f>
        <v>0</v>
      </c>
      <c r="O127" s="21" t="n">
        <f aca="false">IF(D127&lt;=E127,1,0)</f>
        <v>1</v>
      </c>
      <c r="P127" s="23" t="n">
        <f aca="false">G127+H127</f>
        <v>113.23</v>
      </c>
      <c r="Q127" s="23" t="n">
        <f aca="false">G127*INDEX(Assumptions!$B$8:$B$16,MATCH(F127,Assumptions!$A$8:$A$16,0))</f>
        <v>66.283</v>
      </c>
      <c r="R127" s="23" t="n">
        <f aca="false">H127*Assumptions!$B$3</f>
        <v>11.124</v>
      </c>
      <c r="S127" s="23" t="n">
        <f aca="false">G127-Q127-R127</f>
        <v>17.283</v>
      </c>
      <c r="T127" s="21" t="str">
        <f aca="false">IF(M127&lt;=7,"0-7 days",IF(M127&lt;=14,"8-14 days",IF(M127&lt;=21,"15-21 days","22+ days")))</f>
        <v>0-7 days</v>
      </c>
    </row>
    <row r="128" customFormat="false" ht="15" hidden="false" customHeight="false" outlineLevel="0" collapsed="false">
      <c r="A128" s="21" t="s">
        <v>193</v>
      </c>
      <c r="B128" s="21" t="s">
        <v>62</v>
      </c>
      <c r="C128" s="22" t="n">
        <v>42856</v>
      </c>
      <c r="D128" s="22" t="n">
        <v>42869</v>
      </c>
      <c r="E128" s="22" t="n">
        <v>42876</v>
      </c>
      <c r="F128" s="21" t="s">
        <v>111</v>
      </c>
      <c r="G128" s="23" t="n">
        <v>153.59</v>
      </c>
      <c r="H128" s="23" t="n">
        <v>30.34</v>
      </c>
      <c r="I128" s="21" t="s">
        <v>50</v>
      </c>
      <c r="J128" s="21" t="n">
        <v>4</v>
      </c>
      <c r="K128" s="21" t="s">
        <v>46</v>
      </c>
      <c r="L128" s="24" t="n">
        <f aca="false">DATE(YEAR(C128),MONTH(C128),1)</f>
        <v>42856</v>
      </c>
      <c r="M128" s="21" t="n">
        <f aca="false">D128-C128</f>
        <v>13</v>
      </c>
      <c r="N128" s="21" t="n">
        <f aca="false">MAX(0,D128-E128)</f>
        <v>0</v>
      </c>
      <c r="O128" s="21" t="n">
        <f aca="false">IF(D128&lt;=E128,1,0)</f>
        <v>1</v>
      </c>
      <c r="P128" s="23" t="n">
        <f aca="false">G128+H128</f>
        <v>183.93</v>
      </c>
      <c r="Q128" s="23" t="n">
        <f aca="false">G128*INDEX(Assumptions!$B$8:$B$16,MATCH(F128,Assumptions!$A$8:$A$16,0))</f>
        <v>96.7617</v>
      </c>
      <c r="R128" s="23" t="n">
        <f aca="false">H128*Assumptions!$B$3</f>
        <v>18.204</v>
      </c>
      <c r="S128" s="23" t="n">
        <f aca="false">G128-Q128-R128</f>
        <v>38.6243</v>
      </c>
      <c r="T128" s="21" t="str">
        <f aca="false">IF(M128&lt;=7,"0-7 days",IF(M128&lt;=14,"8-14 days",IF(M128&lt;=21,"15-21 days","22+ days")))</f>
        <v>8-14 days</v>
      </c>
    </row>
    <row r="129" customFormat="false" ht="15" hidden="false" customHeight="false" outlineLevel="0" collapsed="false">
      <c r="A129" s="21" t="s">
        <v>194</v>
      </c>
      <c r="B129" s="21" t="s">
        <v>55</v>
      </c>
      <c r="C129" s="22" t="n">
        <v>42857</v>
      </c>
      <c r="D129" s="22" t="n">
        <v>42871</v>
      </c>
      <c r="E129" s="22" t="n">
        <v>42879</v>
      </c>
      <c r="F129" s="21" t="s">
        <v>53</v>
      </c>
      <c r="G129" s="23" t="n">
        <v>99.26</v>
      </c>
      <c r="H129" s="23" t="n">
        <v>20.51</v>
      </c>
      <c r="I129" s="21" t="s">
        <v>45</v>
      </c>
      <c r="J129" s="21" t="n">
        <v>5</v>
      </c>
      <c r="K129" s="21" t="s">
        <v>46</v>
      </c>
      <c r="L129" s="24" t="n">
        <f aca="false">DATE(YEAR(C129),MONTH(C129),1)</f>
        <v>42856</v>
      </c>
      <c r="M129" s="21" t="n">
        <f aca="false">D129-C129</f>
        <v>14</v>
      </c>
      <c r="N129" s="21" t="n">
        <f aca="false">MAX(0,D129-E129)</f>
        <v>0</v>
      </c>
      <c r="O129" s="21" t="n">
        <f aca="false">IF(D129&lt;=E129,1,0)</f>
        <v>1</v>
      </c>
      <c r="P129" s="23" t="n">
        <f aca="false">G129+H129</f>
        <v>119.77</v>
      </c>
      <c r="Q129" s="23" t="n">
        <f aca="false">G129*INDEX(Assumptions!$B$8:$B$16,MATCH(F129,Assumptions!$A$8:$A$16,0))</f>
        <v>73.4524</v>
      </c>
      <c r="R129" s="23" t="n">
        <f aca="false">H129*Assumptions!$B$3</f>
        <v>12.306</v>
      </c>
      <c r="S129" s="23" t="n">
        <f aca="false">G129-Q129-R129</f>
        <v>13.5016</v>
      </c>
      <c r="T129" s="21" t="str">
        <f aca="false">IF(M129&lt;=7,"0-7 days",IF(M129&lt;=14,"8-14 days",IF(M129&lt;=21,"15-21 days","22+ days")))</f>
        <v>8-14 days</v>
      </c>
    </row>
    <row r="130" customFormat="false" ht="15" hidden="false" customHeight="false" outlineLevel="0" collapsed="false">
      <c r="A130" s="21" t="s">
        <v>195</v>
      </c>
      <c r="B130" s="21" t="s">
        <v>103</v>
      </c>
      <c r="C130" s="22" t="n">
        <v>42858</v>
      </c>
      <c r="D130" s="22" t="n">
        <v>42866</v>
      </c>
      <c r="E130" s="22" t="n">
        <v>42884</v>
      </c>
      <c r="F130" s="21" t="s">
        <v>79</v>
      </c>
      <c r="G130" s="23" t="n">
        <v>52.13</v>
      </c>
      <c r="H130" s="23" t="n">
        <v>25.1</v>
      </c>
      <c r="I130" s="21" t="s">
        <v>60</v>
      </c>
      <c r="J130" s="21" t="n">
        <v>4</v>
      </c>
      <c r="K130" s="21" t="s">
        <v>46</v>
      </c>
      <c r="L130" s="24" t="n">
        <f aca="false">DATE(YEAR(C130),MONTH(C130),1)</f>
        <v>42856</v>
      </c>
      <c r="M130" s="21" t="n">
        <f aca="false">D130-C130</f>
        <v>8</v>
      </c>
      <c r="N130" s="21" t="n">
        <f aca="false">MAX(0,D130-E130)</f>
        <v>0</v>
      </c>
      <c r="O130" s="21" t="n">
        <f aca="false">IF(D130&lt;=E130,1,0)</f>
        <v>1</v>
      </c>
      <c r="P130" s="23" t="n">
        <f aca="false">G130+H130</f>
        <v>77.23</v>
      </c>
      <c r="Q130" s="23" t="n">
        <f aca="false">G130*INDEX(Assumptions!$B$8:$B$16,MATCH(F130,Assumptions!$A$8:$A$16,0))</f>
        <v>36.491</v>
      </c>
      <c r="R130" s="23" t="n">
        <f aca="false">H130*Assumptions!$B$3</f>
        <v>15.06</v>
      </c>
      <c r="S130" s="23" t="n">
        <f aca="false">G130-Q130-R130</f>
        <v>0.579000000000002</v>
      </c>
      <c r="T130" s="21" t="str">
        <f aca="false">IF(M130&lt;=7,"0-7 days",IF(M130&lt;=14,"8-14 days",IF(M130&lt;=21,"15-21 days","22+ days")))</f>
        <v>8-14 days</v>
      </c>
    </row>
    <row r="131" customFormat="false" ht="15" hidden="false" customHeight="false" outlineLevel="0" collapsed="false">
      <c r="A131" s="21" t="s">
        <v>196</v>
      </c>
      <c r="B131" s="21" t="s">
        <v>19</v>
      </c>
      <c r="C131" s="22" t="n">
        <v>42858</v>
      </c>
      <c r="D131" s="22" t="n">
        <v>42868</v>
      </c>
      <c r="E131" s="22" t="n">
        <v>42873</v>
      </c>
      <c r="F131" s="21" t="s">
        <v>67</v>
      </c>
      <c r="G131" s="23" t="n">
        <v>104.54</v>
      </c>
      <c r="H131" s="23" t="n">
        <v>15.14</v>
      </c>
      <c r="I131" s="21" t="s">
        <v>45</v>
      </c>
      <c r="J131" s="21" t="n">
        <v>4</v>
      </c>
      <c r="K131" s="21" t="s">
        <v>46</v>
      </c>
      <c r="L131" s="24" t="n">
        <f aca="false">DATE(YEAR(C131),MONTH(C131),1)</f>
        <v>42856</v>
      </c>
      <c r="M131" s="21" t="n">
        <f aca="false">D131-C131</f>
        <v>10</v>
      </c>
      <c r="N131" s="21" t="n">
        <f aca="false">MAX(0,D131-E131)</f>
        <v>0</v>
      </c>
      <c r="O131" s="21" t="n">
        <f aca="false">IF(D131&lt;=E131,1,0)</f>
        <v>1</v>
      </c>
      <c r="P131" s="23" t="n">
        <f aca="false">G131+H131</f>
        <v>119.68</v>
      </c>
      <c r="Q131" s="23" t="n">
        <f aca="false">G131*INDEX(Assumptions!$B$8:$B$16,MATCH(F131,Assumptions!$A$8:$A$16,0))</f>
        <v>64.8148</v>
      </c>
      <c r="R131" s="23" t="n">
        <f aca="false">H131*Assumptions!$B$3</f>
        <v>9.084</v>
      </c>
      <c r="S131" s="23" t="n">
        <f aca="false">G131-Q131-R131</f>
        <v>30.6412</v>
      </c>
      <c r="T131" s="21" t="str">
        <f aca="false">IF(M131&lt;=7,"0-7 days",IF(M131&lt;=14,"8-14 days",IF(M131&lt;=21,"15-21 days","22+ days")))</f>
        <v>8-14 days</v>
      </c>
    </row>
    <row r="132" customFormat="false" ht="15" hidden="false" customHeight="false" outlineLevel="0" collapsed="false">
      <c r="A132" s="21" t="s">
        <v>197</v>
      </c>
      <c r="B132" s="21" t="s">
        <v>19</v>
      </c>
      <c r="C132" s="22" t="n">
        <v>42858</v>
      </c>
      <c r="D132" s="22" t="n">
        <v>42867</v>
      </c>
      <c r="E132" s="22" t="n">
        <v>42873</v>
      </c>
      <c r="F132" s="21" t="s">
        <v>44</v>
      </c>
      <c r="G132" s="23" t="n">
        <v>102.55</v>
      </c>
      <c r="H132" s="23" t="n">
        <v>17.28</v>
      </c>
      <c r="I132" s="21" t="s">
        <v>45</v>
      </c>
      <c r="J132" s="21" t="n">
        <v>5</v>
      </c>
      <c r="K132" s="21" t="s">
        <v>46</v>
      </c>
      <c r="L132" s="24" t="n">
        <f aca="false">DATE(YEAR(C132),MONTH(C132),1)</f>
        <v>42856</v>
      </c>
      <c r="M132" s="21" t="n">
        <f aca="false">D132-C132</f>
        <v>9</v>
      </c>
      <c r="N132" s="21" t="n">
        <f aca="false">MAX(0,D132-E132)</f>
        <v>0</v>
      </c>
      <c r="O132" s="21" t="n">
        <f aca="false">IF(D132&lt;=E132,1,0)</f>
        <v>1</v>
      </c>
      <c r="P132" s="23" t="n">
        <f aca="false">G132+H132</f>
        <v>119.83</v>
      </c>
      <c r="Q132" s="23" t="n">
        <f aca="false">G132*INDEX(Assumptions!$B$8:$B$16,MATCH(F132,Assumptions!$A$8:$A$16,0))</f>
        <v>61.53</v>
      </c>
      <c r="R132" s="23" t="n">
        <f aca="false">H132*Assumptions!$B$3</f>
        <v>10.368</v>
      </c>
      <c r="S132" s="23" t="n">
        <f aca="false">G132-Q132-R132</f>
        <v>30.652</v>
      </c>
      <c r="T132" s="21" t="str">
        <f aca="false">IF(M132&lt;=7,"0-7 days",IF(M132&lt;=14,"8-14 days",IF(M132&lt;=21,"15-21 days","22+ days")))</f>
        <v>8-14 days</v>
      </c>
    </row>
    <row r="133" customFormat="false" ht="15" hidden="false" customHeight="false" outlineLevel="0" collapsed="false">
      <c r="A133" s="21" t="s">
        <v>198</v>
      </c>
      <c r="B133" s="21" t="s">
        <v>19</v>
      </c>
      <c r="C133" s="22" t="n">
        <v>42858</v>
      </c>
      <c r="D133" s="22" t="n">
        <v>42866</v>
      </c>
      <c r="E133" s="22" t="n">
        <v>42870</v>
      </c>
      <c r="F133" s="21" t="s">
        <v>67</v>
      </c>
      <c r="G133" s="23" t="n">
        <v>104.15</v>
      </c>
      <c r="H133" s="23" t="n">
        <v>22.68</v>
      </c>
      <c r="I133" s="21" t="s">
        <v>60</v>
      </c>
      <c r="J133" s="21" t="n">
        <v>5</v>
      </c>
      <c r="K133" s="21" t="s">
        <v>46</v>
      </c>
      <c r="L133" s="24" t="n">
        <f aca="false">DATE(YEAR(C133),MONTH(C133),1)</f>
        <v>42856</v>
      </c>
      <c r="M133" s="21" t="n">
        <f aca="false">D133-C133</f>
        <v>8</v>
      </c>
      <c r="N133" s="21" t="n">
        <f aca="false">MAX(0,D133-E133)</f>
        <v>0</v>
      </c>
      <c r="O133" s="21" t="n">
        <f aca="false">IF(D133&lt;=E133,1,0)</f>
        <v>1</v>
      </c>
      <c r="P133" s="23" t="n">
        <f aca="false">G133+H133</f>
        <v>126.83</v>
      </c>
      <c r="Q133" s="23" t="n">
        <f aca="false">G133*INDEX(Assumptions!$B$8:$B$16,MATCH(F133,Assumptions!$A$8:$A$16,0))</f>
        <v>64.573</v>
      </c>
      <c r="R133" s="23" t="n">
        <f aca="false">H133*Assumptions!$B$3</f>
        <v>13.608</v>
      </c>
      <c r="S133" s="23" t="n">
        <f aca="false">G133-Q133-R133</f>
        <v>25.969</v>
      </c>
      <c r="T133" s="21" t="str">
        <f aca="false">IF(M133&lt;=7,"0-7 days",IF(M133&lt;=14,"8-14 days",IF(M133&lt;=21,"15-21 days","22+ days")))</f>
        <v>8-14 days</v>
      </c>
    </row>
    <row r="134" customFormat="false" ht="15" hidden="false" customHeight="false" outlineLevel="0" collapsed="false">
      <c r="A134" s="21" t="s">
        <v>199</v>
      </c>
      <c r="B134" s="21" t="s">
        <v>19</v>
      </c>
      <c r="C134" s="22" t="n">
        <v>42859</v>
      </c>
      <c r="D134" s="22" t="n">
        <v>42867</v>
      </c>
      <c r="E134" s="22" t="n">
        <v>42877</v>
      </c>
      <c r="F134" s="21" t="s">
        <v>111</v>
      </c>
      <c r="G134" s="23" t="n">
        <v>134.03</v>
      </c>
      <c r="H134" s="23" t="n">
        <v>14.27</v>
      </c>
      <c r="I134" s="21" t="s">
        <v>50</v>
      </c>
      <c r="J134" s="21" t="n">
        <v>5</v>
      </c>
      <c r="K134" s="21" t="s">
        <v>46</v>
      </c>
      <c r="L134" s="24" t="n">
        <f aca="false">DATE(YEAR(C134),MONTH(C134),1)</f>
        <v>42856</v>
      </c>
      <c r="M134" s="21" t="n">
        <f aca="false">D134-C134</f>
        <v>8</v>
      </c>
      <c r="N134" s="21" t="n">
        <f aca="false">MAX(0,D134-E134)</f>
        <v>0</v>
      </c>
      <c r="O134" s="21" t="n">
        <f aca="false">IF(D134&lt;=E134,1,0)</f>
        <v>1</v>
      </c>
      <c r="P134" s="23" t="n">
        <f aca="false">G134+H134</f>
        <v>148.3</v>
      </c>
      <c r="Q134" s="23" t="n">
        <f aca="false">G134*INDEX(Assumptions!$B$8:$B$16,MATCH(F134,Assumptions!$A$8:$A$16,0))</f>
        <v>84.4389</v>
      </c>
      <c r="R134" s="23" t="n">
        <f aca="false">H134*Assumptions!$B$3</f>
        <v>8.562</v>
      </c>
      <c r="S134" s="23" t="n">
        <f aca="false">G134-Q134-R134</f>
        <v>41.0291</v>
      </c>
      <c r="T134" s="21" t="str">
        <f aca="false">IF(M134&lt;=7,"0-7 days",IF(M134&lt;=14,"8-14 days",IF(M134&lt;=21,"15-21 days","22+ days")))</f>
        <v>8-14 days</v>
      </c>
    </row>
    <row r="135" customFormat="false" ht="15" hidden="false" customHeight="false" outlineLevel="0" collapsed="false">
      <c r="A135" s="21" t="s">
        <v>200</v>
      </c>
      <c r="B135" s="21" t="s">
        <v>201</v>
      </c>
      <c r="C135" s="22" t="n">
        <v>42859</v>
      </c>
      <c r="D135" s="22" t="n">
        <v>42880</v>
      </c>
      <c r="E135" s="22" t="n">
        <v>42890</v>
      </c>
      <c r="F135" s="21" t="s">
        <v>49</v>
      </c>
      <c r="G135" s="23" t="n">
        <v>121.99</v>
      </c>
      <c r="H135" s="23" t="n">
        <v>37.23</v>
      </c>
      <c r="I135" s="21" t="s">
        <v>45</v>
      </c>
      <c r="J135" s="21" t="n">
        <v>4</v>
      </c>
      <c r="K135" s="21" t="s">
        <v>46</v>
      </c>
      <c r="L135" s="24" t="n">
        <f aca="false">DATE(YEAR(C135),MONTH(C135),1)</f>
        <v>42856</v>
      </c>
      <c r="M135" s="21" t="n">
        <f aca="false">D135-C135</f>
        <v>21</v>
      </c>
      <c r="N135" s="21" t="n">
        <f aca="false">MAX(0,D135-E135)</f>
        <v>0</v>
      </c>
      <c r="O135" s="21" t="n">
        <f aca="false">IF(D135&lt;=E135,1,0)</f>
        <v>1</v>
      </c>
      <c r="P135" s="23" t="n">
        <f aca="false">G135+H135</f>
        <v>159.22</v>
      </c>
      <c r="Q135" s="23" t="n">
        <f aca="false">G135*INDEX(Assumptions!$B$8:$B$16,MATCH(F135,Assumptions!$A$8:$A$16,0))</f>
        <v>70.7542</v>
      </c>
      <c r="R135" s="23" t="n">
        <f aca="false">H135*Assumptions!$B$3</f>
        <v>22.338</v>
      </c>
      <c r="S135" s="23" t="n">
        <f aca="false">G135-Q135-R135</f>
        <v>28.8978</v>
      </c>
      <c r="T135" s="21" t="str">
        <f aca="false">IF(M135&lt;=7,"0-7 days",IF(M135&lt;=14,"8-14 days",IF(M135&lt;=21,"15-21 days","22+ days")))</f>
        <v>15-21 days</v>
      </c>
    </row>
    <row r="136" customFormat="false" ht="15" hidden="false" customHeight="false" outlineLevel="0" collapsed="false">
      <c r="A136" s="21" t="s">
        <v>202</v>
      </c>
      <c r="B136" s="21" t="s">
        <v>55</v>
      </c>
      <c r="C136" s="22" t="n">
        <v>42862</v>
      </c>
      <c r="D136" s="22" t="n">
        <v>42884</v>
      </c>
      <c r="E136" s="22" t="n">
        <v>42883</v>
      </c>
      <c r="F136" s="21" t="s">
        <v>79</v>
      </c>
      <c r="G136" s="23" t="n">
        <v>161.54</v>
      </c>
      <c r="H136" s="23" t="n">
        <v>19.54</v>
      </c>
      <c r="I136" s="21" t="s">
        <v>60</v>
      </c>
      <c r="J136" s="21" t="n">
        <v>4</v>
      </c>
      <c r="K136" s="21" t="s">
        <v>46</v>
      </c>
      <c r="L136" s="24" t="n">
        <f aca="false">DATE(YEAR(C136),MONTH(C136),1)</f>
        <v>42856</v>
      </c>
      <c r="M136" s="21" t="n">
        <f aca="false">D136-C136</f>
        <v>22</v>
      </c>
      <c r="N136" s="21" t="n">
        <f aca="false">MAX(0,D136-E136)</f>
        <v>1</v>
      </c>
      <c r="O136" s="21" t="n">
        <f aca="false">IF(D136&lt;=E136,1,0)</f>
        <v>0</v>
      </c>
      <c r="P136" s="23" t="n">
        <f aca="false">G136+H136</f>
        <v>181.08</v>
      </c>
      <c r="Q136" s="23" t="n">
        <f aca="false">G136*INDEX(Assumptions!$B$8:$B$16,MATCH(F136,Assumptions!$A$8:$A$16,0))</f>
        <v>113.078</v>
      </c>
      <c r="R136" s="23" t="n">
        <f aca="false">H136*Assumptions!$B$3</f>
        <v>11.724</v>
      </c>
      <c r="S136" s="23" t="n">
        <f aca="false">G136-Q136-R136</f>
        <v>36.738</v>
      </c>
      <c r="T136" s="21" t="str">
        <f aca="false">IF(M136&lt;=7,"0-7 days",IF(M136&lt;=14,"8-14 days",IF(M136&lt;=21,"15-21 days","22+ days")))</f>
        <v>22+ days</v>
      </c>
    </row>
    <row r="137" customFormat="false" ht="15" hidden="false" customHeight="false" outlineLevel="0" collapsed="false">
      <c r="A137" s="21" t="s">
        <v>203</v>
      </c>
      <c r="B137" s="21" t="s">
        <v>156</v>
      </c>
      <c r="C137" s="22" t="n">
        <v>42862</v>
      </c>
      <c r="D137" s="22" t="n">
        <v>42874</v>
      </c>
      <c r="E137" s="22" t="n">
        <v>42886</v>
      </c>
      <c r="F137" s="21" t="s">
        <v>67</v>
      </c>
      <c r="G137" s="23" t="n">
        <v>90.48</v>
      </c>
      <c r="H137" s="23" t="n">
        <v>26</v>
      </c>
      <c r="I137" s="21" t="s">
        <v>60</v>
      </c>
      <c r="J137" s="21" t="n">
        <v>5</v>
      </c>
      <c r="K137" s="21" t="s">
        <v>46</v>
      </c>
      <c r="L137" s="24" t="n">
        <f aca="false">DATE(YEAR(C137),MONTH(C137),1)</f>
        <v>42856</v>
      </c>
      <c r="M137" s="21" t="n">
        <f aca="false">D137-C137</f>
        <v>12</v>
      </c>
      <c r="N137" s="21" t="n">
        <f aca="false">MAX(0,D137-E137)</f>
        <v>0</v>
      </c>
      <c r="O137" s="21" t="n">
        <f aca="false">IF(D137&lt;=E137,1,0)</f>
        <v>1</v>
      </c>
      <c r="P137" s="23" t="n">
        <f aca="false">G137+H137</f>
        <v>116.48</v>
      </c>
      <c r="Q137" s="23" t="n">
        <f aca="false">G137*INDEX(Assumptions!$B$8:$B$16,MATCH(F137,Assumptions!$A$8:$A$16,0))</f>
        <v>56.0976</v>
      </c>
      <c r="R137" s="23" t="n">
        <f aca="false">H137*Assumptions!$B$3</f>
        <v>15.6</v>
      </c>
      <c r="S137" s="23" t="n">
        <f aca="false">G137-Q137-R137</f>
        <v>18.7824</v>
      </c>
      <c r="T137" s="21" t="str">
        <f aca="false">IF(M137&lt;=7,"0-7 days",IF(M137&lt;=14,"8-14 days",IF(M137&lt;=21,"15-21 days","22+ days")))</f>
        <v>8-14 days</v>
      </c>
    </row>
    <row r="138" customFormat="false" ht="15" hidden="false" customHeight="false" outlineLevel="0" collapsed="false">
      <c r="A138" s="21" t="s">
        <v>204</v>
      </c>
      <c r="B138" s="21" t="s">
        <v>19</v>
      </c>
      <c r="C138" s="22" t="n">
        <v>42863</v>
      </c>
      <c r="D138" s="22" t="n">
        <v>42875</v>
      </c>
      <c r="E138" s="22" t="n">
        <v>42882</v>
      </c>
      <c r="F138" s="21" t="s">
        <v>111</v>
      </c>
      <c r="G138" s="23" t="n">
        <v>278.94</v>
      </c>
      <c r="H138" s="23" t="n">
        <v>26.22</v>
      </c>
      <c r="I138" s="21" t="s">
        <v>45</v>
      </c>
      <c r="J138" s="21" t="n">
        <v>5</v>
      </c>
      <c r="K138" s="21" t="s">
        <v>46</v>
      </c>
      <c r="L138" s="24" t="n">
        <f aca="false">DATE(YEAR(C138),MONTH(C138),1)</f>
        <v>42856</v>
      </c>
      <c r="M138" s="21" t="n">
        <f aca="false">D138-C138</f>
        <v>12</v>
      </c>
      <c r="N138" s="21" t="n">
        <f aca="false">MAX(0,D138-E138)</f>
        <v>0</v>
      </c>
      <c r="O138" s="21" t="n">
        <f aca="false">IF(D138&lt;=E138,1,0)</f>
        <v>1</v>
      </c>
      <c r="P138" s="23" t="n">
        <f aca="false">G138+H138</f>
        <v>305.16</v>
      </c>
      <c r="Q138" s="23" t="n">
        <f aca="false">G138*INDEX(Assumptions!$B$8:$B$16,MATCH(F138,Assumptions!$A$8:$A$16,0))</f>
        <v>175.7322</v>
      </c>
      <c r="R138" s="23" t="n">
        <f aca="false">H138*Assumptions!$B$3</f>
        <v>15.732</v>
      </c>
      <c r="S138" s="23" t="n">
        <f aca="false">G138-Q138-R138</f>
        <v>87.4758</v>
      </c>
      <c r="T138" s="21" t="str">
        <f aca="false">IF(M138&lt;=7,"0-7 days",IF(M138&lt;=14,"8-14 days",IF(M138&lt;=21,"15-21 days","22+ days")))</f>
        <v>8-14 days</v>
      </c>
    </row>
    <row r="139" customFormat="false" ht="15" hidden="false" customHeight="false" outlineLevel="0" collapsed="false">
      <c r="A139" s="21" t="s">
        <v>205</v>
      </c>
      <c r="B139" s="21" t="s">
        <v>55</v>
      </c>
      <c r="C139" s="22" t="n">
        <v>42863</v>
      </c>
      <c r="D139" s="22" t="n">
        <v>42881</v>
      </c>
      <c r="E139" s="22" t="n">
        <v>42889</v>
      </c>
      <c r="F139" s="21" t="s">
        <v>111</v>
      </c>
      <c r="G139" s="23" t="n">
        <v>88.21</v>
      </c>
      <c r="H139" s="23" t="n">
        <v>21.37</v>
      </c>
      <c r="I139" s="21" t="s">
        <v>45</v>
      </c>
      <c r="J139" s="21" t="n">
        <v>5</v>
      </c>
      <c r="K139" s="21" t="s">
        <v>46</v>
      </c>
      <c r="L139" s="24" t="n">
        <f aca="false">DATE(YEAR(C139),MONTH(C139),1)</f>
        <v>42856</v>
      </c>
      <c r="M139" s="21" t="n">
        <f aca="false">D139-C139</f>
        <v>18</v>
      </c>
      <c r="N139" s="21" t="n">
        <f aca="false">MAX(0,D139-E139)</f>
        <v>0</v>
      </c>
      <c r="O139" s="21" t="n">
        <f aca="false">IF(D139&lt;=E139,1,0)</f>
        <v>1</v>
      </c>
      <c r="P139" s="23" t="n">
        <f aca="false">G139+H139</f>
        <v>109.58</v>
      </c>
      <c r="Q139" s="23" t="n">
        <f aca="false">G139*INDEX(Assumptions!$B$8:$B$16,MATCH(F139,Assumptions!$A$8:$A$16,0))</f>
        <v>55.5723</v>
      </c>
      <c r="R139" s="23" t="n">
        <f aca="false">H139*Assumptions!$B$3</f>
        <v>12.822</v>
      </c>
      <c r="S139" s="23" t="n">
        <f aca="false">G139-Q139-R139</f>
        <v>19.8157</v>
      </c>
      <c r="T139" s="21" t="str">
        <f aca="false">IF(M139&lt;=7,"0-7 days",IF(M139&lt;=14,"8-14 days",IF(M139&lt;=21,"15-21 days","22+ days")))</f>
        <v>15-21 days</v>
      </c>
    </row>
    <row r="140" customFormat="false" ht="15" hidden="false" customHeight="false" outlineLevel="0" collapsed="false">
      <c r="A140" s="21" t="s">
        <v>206</v>
      </c>
      <c r="B140" s="21" t="s">
        <v>19</v>
      </c>
      <c r="C140" s="22" t="n">
        <v>42864</v>
      </c>
      <c r="D140" s="22" t="n">
        <v>42871</v>
      </c>
      <c r="E140" s="22" t="n">
        <v>42882</v>
      </c>
      <c r="F140" s="21" t="s">
        <v>59</v>
      </c>
      <c r="G140" s="23" t="n">
        <v>148.27</v>
      </c>
      <c r="H140" s="23" t="n">
        <v>13.68</v>
      </c>
      <c r="I140" s="21" t="s">
        <v>45</v>
      </c>
      <c r="J140" s="21" t="n">
        <v>4</v>
      </c>
      <c r="K140" s="21" t="s">
        <v>46</v>
      </c>
      <c r="L140" s="24" t="n">
        <f aca="false">DATE(YEAR(C140),MONTH(C140),1)</f>
        <v>42856</v>
      </c>
      <c r="M140" s="21" t="n">
        <f aca="false">D140-C140</f>
        <v>7</v>
      </c>
      <c r="N140" s="21" t="n">
        <f aca="false">MAX(0,D140-E140)</f>
        <v>0</v>
      </c>
      <c r="O140" s="21" t="n">
        <f aca="false">IF(D140&lt;=E140,1,0)</f>
        <v>1</v>
      </c>
      <c r="P140" s="23" t="n">
        <f aca="false">G140+H140</f>
        <v>161.95</v>
      </c>
      <c r="Q140" s="23" t="n">
        <f aca="false">G140*INDEX(Assumptions!$B$8:$B$16,MATCH(F140,Assumptions!$A$8:$A$16,0))</f>
        <v>94.8928</v>
      </c>
      <c r="R140" s="23" t="n">
        <f aca="false">H140*Assumptions!$B$3</f>
        <v>8.208</v>
      </c>
      <c r="S140" s="23" t="n">
        <f aca="false">G140-Q140-R140</f>
        <v>45.1692</v>
      </c>
      <c r="T140" s="21" t="str">
        <f aca="false">IF(M140&lt;=7,"0-7 days",IF(M140&lt;=14,"8-14 days",IF(M140&lt;=21,"15-21 days","22+ days")))</f>
        <v>0-7 days</v>
      </c>
    </row>
    <row r="141" customFormat="false" ht="15" hidden="false" customHeight="false" outlineLevel="0" collapsed="false">
      <c r="A141" s="21" t="s">
        <v>207</v>
      </c>
      <c r="B141" s="21" t="s">
        <v>19</v>
      </c>
      <c r="C141" s="22" t="n">
        <v>42864</v>
      </c>
      <c r="D141" s="22" t="n">
        <v>42872</v>
      </c>
      <c r="E141" s="22" t="n">
        <v>42880</v>
      </c>
      <c r="F141" s="21" t="s">
        <v>111</v>
      </c>
      <c r="G141" s="23" t="n">
        <v>75.67</v>
      </c>
      <c r="H141" s="23" t="n">
        <v>16.44</v>
      </c>
      <c r="I141" s="21" t="s">
        <v>45</v>
      </c>
      <c r="J141" s="21" t="n">
        <v>5</v>
      </c>
      <c r="K141" s="21" t="s">
        <v>46</v>
      </c>
      <c r="L141" s="24" t="n">
        <f aca="false">DATE(YEAR(C141),MONTH(C141),1)</f>
        <v>42856</v>
      </c>
      <c r="M141" s="21" t="n">
        <f aca="false">D141-C141</f>
        <v>8</v>
      </c>
      <c r="N141" s="21" t="n">
        <f aca="false">MAX(0,D141-E141)</f>
        <v>0</v>
      </c>
      <c r="O141" s="21" t="n">
        <f aca="false">IF(D141&lt;=E141,1,0)</f>
        <v>1</v>
      </c>
      <c r="P141" s="23" t="n">
        <f aca="false">G141+H141</f>
        <v>92.11</v>
      </c>
      <c r="Q141" s="23" t="n">
        <f aca="false">G141*INDEX(Assumptions!$B$8:$B$16,MATCH(F141,Assumptions!$A$8:$A$16,0))</f>
        <v>47.6721</v>
      </c>
      <c r="R141" s="23" t="n">
        <f aca="false">H141*Assumptions!$B$3</f>
        <v>9.864</v>
      </c>
      <c r="S141" s="23" t="n">
        <f aca="false">G141-Q141-R141</f>
        <v>18.1339</v>
      </c>
      <c r="T141" s="21" t="str">
        <f aca="false">IF(M141&lt;=7,"0-7 days",IF(M141&lt;=14,"8-14 days",IF(M141&lt;=21,"15-21 days","22+ days")))</f>
        <v>8-14 days</v>
      </c>
    </row>
    <row r="142" customFormat="false" ht="15" hidden="false" customHeight="false" outlineLevel="0" collapsed="false">
      <c r="A142" s="21" t="s">
        <v>208</v>
      </c>
      <c r="B142" s="21" t="s">
        <v>62</v>
      </c>
      <c r="C142" s="22" t="n">
        <v>42864</v>
      </c>
      <c r="D142" s="22" t="n">
        <v>42881</v>
      </c>
      <c r="E142" s="22" t="n">
        <v>42885</v>
      </c>
      <c r="F142" s="21" t="s">
        <v>111</v>
      </c>
      <c r="G142" s="23" t="n">
        <v>35.68</v>
      </c>
      <c r="H142" s="23" t="n">
        <v>27.79</v>
      </c>
      <c r="I142" s="21" t="s">
        <v>45</v>
      </c>
      <c r="J142" s="21" t="n">
        <v>3</v>
      </c>
      <c r="K142" s="21" t="s">
        <v>46</v>
      </c>
      <c r="L142" s="24" t="n">
        <f aca="false">DATE(YEAR(C142),MONTH(C142),1)</f>
        <v>42856</v>
      </c>
      <c r="M142" s="21" t="n">
        <f aca="false">D142-C142</f>
        <v>17</v>
      </c>
      <c r="N142" s="21" t="n">
        <f aca="false">MAX(0,D142-E142)</f>
        <v>0</v>
      </c>
      <c r="O142" s="21" t="n">
        <f aca="false">IF(D142&lt;=E142,1,0)</f>
        <v>1</v>
      </c>
      <c r="P142" s="23" t="n">
        <f aca="false">G142+H142</f>
        <v>63.47</v>
      </c>
      <c r="Q142" s="23" t="n">
        <f aca="false">G142*INDEX(Assumptions!$B$8:$B$16,MATCH(F142,Assumptions!$A$8:$A$16,0))</f>
        <v>22.4784</v>
      </c>
      <c r="R142" s="23" t="n">
        <f aca="false">H142*Assumptions!$B$3</f>
        <v>16.674</v>
      </c>
      <c r="S142" s="23" t="n">
        <f aca="false">G142-Q142-R142</f>
        <v>-3.4724</v>
      </c>
      <c r="T142" s="21" t="str">
        <f aca="false">IF(M142&lt;=7,"0-7 days",IF(M142&lt;=14,"8-14 days",IF(M142&lt;=21,"15-21 days","22+ days")))</f>
        <v>15-21 days</v>
      </c>
    </row>
    <row r="143" customFormat="false" ht="15" hidden="false" customHeight="false" outlineLevel="0" collapsed="false">
      <c r="A143" s="21" t="s">
        <v>209</v>
      </c>
      <c r="B143" s="21" t="s">
        <v>19</v>
      </c>
      <c r="C143" s="22" t="n">
        <v>42864</v>
      </c>
      <c r="D143" s="22" t="n">
        <v>42875</v>
      </c>
      <c r="E143" s="22" t="n">
        <v>42877</v>
      </c>
      <c r="F143" s="21" t="s">
        <v>111</v>
      </c>
      <c r="G143" s="23" t="n">
        <v>53.95</v>
      </c>
      <c r="H143" s="23" t="n">
        <v>18.81</v>
      </c>
      <c r="I143" s="21" t="s">
        <v>45</v>
      </c>
      <c r="J143" s="21" t="n">
        <v>4</v>
      </c>
      <c r="K143" s="21" t="s">
        <v>46</v>
      </c>
      <c r="L143" s="24" t="n">
        <f aca="false">DATE(YEAR(C143),MONTH(C143),1)</f>
        <v>42856</v>
      </c>
      <c r="M143" s="21" t="n">
        <f aca="false">D143-C143</f>
        <v>11</v>
      </c>
      <c r="N143" s="21" t="n">
        <f aca="false">MAX(0,D143-E143)</f>
        <v>0</v>
      </c>
      <c r="O143" s="21" t="n">
        <f aca="false">IF(D143&lt;=E143,1,0)</f>
        <v>1</v>
      </c>
      <c r="P143" s="23" t="n">
        <f aca="false">G143+H143</f>
        <v>72.76</v>
      </c>
      <c r="Q143" s="23" t="n">
        <f aca="false">G143*INDEX(Assumptions!$B$8:$B$16,MATCH(F143,Assumptions!$A$8:$A$16,0))</f>
        <v>33.9885</v>
      </c>
      <c r="R143" s="23" t="n">
        <f aca="false">H143*Assumptions!$B$3</f>
        <v>11.286</v>
      </c>
      <c r="S143" s="23" t="n">
        <f aca="false">G143-Q143-R143</f>
        <v>8.6755</v>
      </c>
      <c r="T143" s="21" t="str">
        <f aca="false">IF(M143&lt;=7,"0-7 days",IF(M143&lt;=14,"8-14 days",IF(M143&lt;=21,"15-21 days","22+ days")))</f>
        <v>8-14 days</v>
      </c>
    </row>
    <row r="144" customFormat="false" ht="15" hidden="false" customHeight="false" outlineLevel="0" collapsed="false">
      <c r="A144" s="21" t="s">
        <v>210</v>
      </c>
      <c r="B144" s="21" t="s">
        <v>19</v>
      </c>
      <c r="C144" s="22" t="n">
        <v>42867</v>
      </c>
      <c r="D144" s="22" t="n">
        <v>42871</v>
      </c>
      <c r="E144" s="22" t="n">
        <v>42882</v>
      </c>
      <c r="F144" s="21" t="s">
        <v>67</v>
      </c>
      <c r="G144" s="23" t="n">
        <v>163.84</v>
      </c>
      <c r="H144" s="23" t="n">
        <v>17.36</v>
      </c>
      <c r="I144" s="21" t="s">
        <v>45</v>
      </c>
      <c r="J144" s="21" t="n">
        <v>5</v>
      </c>
      <c r="K144" s="21" t="s">
        <v>46</v>
      </c>
      <c r="L144" s="24" t="n">
        <f aca="false">DATE(YEAR(C144),MONTH(C144),1)</f>
        <v>42856</v>
      </c>
      <c r="M144" s="21" t="n">
        <f aca="false">D144-C144</f>
        <v>4</v>
      </c>
      <c r="N144" s="21" t="n">
        <f aca="false">MAX(0,D144-E144)</f>
        <v>0</v>
      </c>
      <c r="O144" s="21" t="n">
        <f aca="false">IF(D144&lt;=E144,1,0)</f>
        <v>1</v>
      </c>
      <c r="P144" s="23" t="n">
        <f aca="false">G144+H144</f>
        <v>181.2</v>
      </c>
      <c r="Q144" s="23" t="n">
        <f aca="false">G144*INDEX(Assumptions!$B$8:$B$16,MATCH(F144,Assumptions!$A$8:$A$16,0))</f>
        <v>101.5808</v>
      </c>
      <c r="R144" s="23" t="n">
        <f aca="false">H144*Assumptions!$B$3</f>
        <v>10.416</v>
      </c>
      <c r="S144" s="23" t="n">
        <f aca="false">G144-Q144-R144</f>
        <v>51.8432</v>
      </c>
      <c r="T144" s="21" t="str">
        <f aca="false">IF(M144&lt;=7,"0-7 days",IF(M144&lt;=14,"8-14 days",IF(M144&lt;=21,"15-21 days","22+ days")))</f>
        <v>0-7 days</v>
      </c>
    </row>
    <row r="145" customFormat="false" ht="15" hidden="false" customHeight="false" outlineLevel="0" collapsed="false">
      <c r="A145" s="21" t="s">
        <v>211</v>
      </c>
      <c r="B145" s="21" t="s">
        <v>48</v>
      </c>
      <c r="C145" s="22" t="n">
        <v>42867</v>
      </c>
      <c r="D145" s="22" t="n">
        <v>42884</v>
      </c>
      <c r="E145" s="22" t="n">
        <v>42890</v>
      </c>
      <c r="F145" s="21" t="s">
        <v>79</v>
      </c>
      <c r="G145" s="23" t="n">
        <v>125.92</v>
      </c>
      <c r="H145" s="23" t="n">
        <v>26.64</v>
      </c>
      <c r="I145" s="21" t="s">
        <v>50</v>
      </c>
      <c r="J145" s="21" t="n">
        <v>4</v>
      </c>
      <c r="K145" s="21" t="s">
        <v>46</v>
      </c>
      <c r="L145" s="24" t="n">
        <f aca="false">DATE(YEAR(C145),MONTH(C145),1)</f>
        <v>42856</v>
      </c>
      <c r="M145" s="21" t="n">
        <f aca="false">D145-C145</f>
        <v>17</v>
      </c>
      <c r="N145" s="21" t="n">
        <f aca="false">MAX(0,D145-E145)</f>
        <v>0</v>
      </c>
      <c r="O145" s="21" t="n">
        <f aca="false">IF(D145&lt;=E145,1,0)</f>
        <v>1</v>
      </c>
      <c r="P145" s="23" t="n">
        <f aca="false">G145+H145</f>
        <v>152.56</v>
      </c>
      <c r="Q145" s="23" t="n">
        <f aca="false">G145*INDEX(Assumptions!$B$8:$B$16,MATCH(F145,Assumptions!$A$8:$A$16,0))</f>
        <v>88.144</v>
      </c>
      <c r="R145" s="23" t="n">
        <f aca="false">H145*Assumptions!$B$3</f>
        <v>15.984</v>
      </c>
      <c r="S145" s="23" t="n">
        <f aca="false">G145-Q145-R145</f>
        <v>21.792</v>
      </c>
      <c r="T145" s="21" t="str">
        <f aca="false">IF(M145&lt;=7,"0-7 days",IF(M145&lt;=14,"8-14 days",IF(M145&lt;=21,"15-21 days","22+ days")))</f>
        <v>15-21 days</v>
      </c>
    </row>
    <row r="146" customFormat="false" ht="15" hidden="false" customHeight="false" outlineLevel="0" collapsed="false">
      <c r="A146" s="21" t="s">
        <v>212</v>
      </c>
      <c r="B146" s="21" t="s">
        <v>19</v>
      </c>
      <c r="C146" s="22" t="n">
        <v>42867</v>
      </c>
      <c r="D146" s="22" t="n">
        <v>42875</v>
      </c>
      <c r="E146" s="22" t="n">
        <v>42883</v>
      </c>
      <c r="F146" s="21" t="s">
        <v>79</v>
      </c>
      <c r="G146" s="23" t="n">
        <v>169.77</v>
      </c>
      <c r="H146" s="23" t="n">
        <v>19.22</v>
      </c>
      <c r="I146" s="21" t="s">
        <v>45</v>
      </c>
      <c r="J146" s="21" t="n">
        <v>4</v>
      </c>
      <c r="K146" s="21" t="s">
        <v>46</v>
      </c>
      <c r="L146" s="24" t="n">
        <f aca="false">DATE(YEAR(C146),MONTH(C146),1)</f>
        <v>42856</v>
      </c>
      <c r="M146" s="21" t="n">
        <f aca="false">D146-C146</f>
        <v>8</v>
      </c>
      <c r="N146" s="21" t="n">
        <f aca="false">MAX(0,D146-E146)</f>
        <v>0</v>
      </c>
      <c r="O146" s="21" t="n">
        <f aca="false">IF(D146&lt;=E146,1,0)</f>
        <v>1</v>
      </c>
      <c r="P146" s="23" t="n">
        <f aca="false">G146+H146</f>
        <v>188.99</v>
      </c>
      <c r="Q146" s="23" t="n">
        <f aca="false">G146*INDEX(Assumptions!$B$8:$B$16,MATCH(F146,Assumptions!$A$8:$A$16,0))</f>
        <v>118.839</v>
      </c>
      <c r="R146" s="23" t="n">
        <f aca="false">H146*Assumptions!$B$3</f>
        <v>11.532</v>
      </c>
      <c r="S146" s="23" t="n">
        <f aca="false">G146-Q146-R146</f>
        <v>39.399</v>
      </c>
      <c r="T146" s="21" t="str">
        <f aca="false">IF(M146&lt;=7,"0-7 days",IF(M146&lt;=14,"8-14 days",IF(M146&lt;=21,"15-21 days","22+ days")))</f>
        <v>8-14 days</v>
      </c>
    </row>
    <row r="147" customFormat="false" ht="15" hidden="false" customHeight="false" outlineLevel="0" collapsed="false">
      <c r="A147" s="21" t="s">
        <v>213</v>
      </c>
      <c r="B147" s="21" t="s">
        <v>19</v>
      </c>
      <c r="C147" s="22" t="n">
        <v>42868</v>
      </c>
      <c r="D147" s="22" t="n">
        <v>42885</v>
      </c>
      <c r="E147" s="22" t="n">
        <v>42882</v>
      </c>
      <c r="F147" s="21" t="s">
        <v>79</v>
      </c>
      <c r="G147" s="23" t="n">
        <v>139.37</v>
      </c>
      <c r="H147" s="23" t="n">
        <v>15.18</v>
      </c>
      <c r="I147" s="21" t="s">
        <v>45</v>
      </c>
      <c r="J147" s="21" t="n">
        <v>4</v>
      </c>
      <c r="K147" s="21" t="s">
        <v>46</v>
      </c>
      <c r="L147" s="24" t="n">
        <f aca="false">DATE(YEAR(C147),MONTH(C147),1)</f>
        <v>42856</v>
      </c>
      <c r="M147" s="21" t="n">
        <f aca="false">D147-C147</f>
        <v>17</v>
      </c>
      <c r="N147" s="21" t="n">
        <f aca="false">MAX(0,D147-E147)</f>
        <v>3</v>
      </c>
      <c r="O147" s="21" t="n">
        <f aca="false">IF(D147&lt;=E147,1,0)</f>
        <v>0</v>
      </c>
      <c r="P147" s="23" t="n">
        <f aca="false">G147+H147</f>
        <v>154.55</v>
      </c>
      <c r="Q147" s="23" t="n">
        <f aca="false">G147*INDEX(Assumptions!$B$8:$B$16,MATCH(F147,Assumptions!$A$8:$A$16,0))</f>
        <v>97.559</v>
      </c>
      <c r="R147" s="23" t="n">
        <f aca="false">H147*Assumptions!$B$3</f>
        <v>9.108</v>
      </c>
      <c r="S147" s="23" t="n">
        <f aca="false">G147-Q147-R147</f>
        <v>32.703</v>
      </c>
      <c r="T147" s="21" t="str">
        <f aca="false">IF(M147&lt;=7,"0-7 days",IF(M147&lt;=14,"8-14 days",IF(M147&lt;=21,"15-21 days","22+ days")))</f>
        <v>15-21 days</v>
      </c>
    </row>
    <row r="148" customFormat="false" ht="15" hidden="false" customHeight="false" outlineLevel="0" collapsed="false">
      <c r="A148" s="21" t="s">
        <v>214</v>
      </c>
      <c r="B148" s="21" t="s">
        <v>19</v>
      </c>
      <c r="C148" s="22" t="n">
        <v>42870</v>
      </c>
      <c r="D148" s="22" t="n">
        <v>42878</v>
      </c>
      <c r="E148" s="22" t="n">
        <v>42886</v>
      </c>
      <c r="F148" s="21" t="s">
        <v>44</v>
      </c>
      <c r="G148" s="23" t="n">
        <v>194.56</v>
      </c>
      <c r="H148" s="23" t="n">
        <v>19.72</v>
      </c>
      <c r="I148" s="21" t="s">
        <v>60</v>
      </c>
      <c r="J148" s="21" t="n">
        <v>4</v>
      </c>
      <c r="K148" s="21" t="s">
        <v>46</v>
      </c>
      <c r="L148" s="24" t="n">
        <f aca="false">DATE(YEAR(C148),MONTH(C148),1)</f>
        <v>42856</v>
      </c>
      <c r="M148" s="21" t="n">
        <f aca="false">D148-C148</f>
        <v>8</v>
      </c>
      <c r="N148" s="21" t="n">
        <f aca="false">MAX(0,D148-E148)</f>
        <v>0</v>
      </c>
      <c r="O148" s="21" t="n">
        <f aca="false">IF(D148&lt;=E148,1,0)</f>
        <v>1</v>
      </c>
      <c r="P148" s="23" t="n">
        <f aca="false">G148+H148</f>
        <v>214.28</v>
      </c>
      <c r="Q148" s="23" t="n">
        <f aca="false">G148*INDEX(Assumptions!$B$8:$B$16,MATCH(F148,Assumptions!$A$8:$A$16,0))</f>
        <v>116.736</v>
      </c>
      <c r="R148" s="23" t="n">
        <f aca="false">H148*Assumptions!$B$3</f>
        <v>11.832</v>
      </c>
      <c r="S148" s="23" t="n">
        <f aca="false">G148-Q148-R148</f>
        <v>65.992</v>
      </c>
      <c r="T148" s="21" t="str">
        <f aca="false">IF(M148&lt;=7,"0-7 days",IF(M148&lt;=14,"8-14 days",IF(M148&lt;=21,"15-21 days","22+ days")))</f>
        <v>8-14 days</v>
      </c>
    </row>
    <row r="149" customFormat="false" ht="15" hidden="false" customHeight="false" outlineLevel="0" collapsed="false">
      <c r="A149" s="21" t="s">
        <v>215</v>
      </c>
      <c r="B149" s="21" t="s">
        <v>19</v>
      </c>
      <c r="C149" s="22" t="n">
        <v>42871</v>
      </c>
      <c r="D149" s="22" t="n">
        <v>42886</v>
      </c>
      <c r="E149" s="22" t="n">
        <v>42885</v>
      </c>
      <c r="F149" s="21" t="s">
        <v>64</v>
      </c>
      <c r="G149" s="23" t="n">
        <v>95.7</v>
      </c>
      <c r="H149" s="23" t="n">
        <v>14.84</v>
      </c>
      <c r="I149" s="21" t="s">
        <v>45</v>
      </c>
      <c r="J149" s="21" t="n">
        <v>1</v>
      </c>
      <c r="K149" s="21" t="s">
        <v>46</v>
      </c>
      <c r="L149" s="24" t="n">
        <f aca="false">DATE(YEAR(C149),MONTH(C149),1)</f>
        <v>42856</v>
      </c>
      <c r="M149" s="21" t="n">
        <f aca="false">D149-C149</f>
        <v>15</v>
      </c>
      <c r="N149" s="21" t="n">
        <f aca="false">MAX(0,D149-E149)</f>
        <v>1</v>
      </c>
      <c r="O149" s="21" t="n">
        <f aca="false">IF(D149&lt;=E149,1,0)</f>
        <v>0</v>
      </c>
      <c r="P149" s="23" t="n">
        <f aca="false">G149+H149</f>
        <v>110.54</v>
      </c>
      <c r="Q149" s="23" t="n">
        <f aca="false">G149*INDEX(Assumptions!$B$8:$B$16,MATCH(F149,Assumptions!$A$8:$A$16,0))</f>
        <v>63.162</v>
      </c>
      <c r="R149" s="23" t="n">
        <f aca="false">H149*Assumptions!$B$3</f>
        <v>8.904</v>
      </c>
      <c r="S149" s="23" t="n">
        <f aca="false">G149-Q149-R149</f>
        <v>23.634</v>
      </c>
      <c r="T149" s="21" t="str">
        <f aca="false">IF(M149&lt;=7,"0-7 days",IF(M149&lt;=14,"8-14 days",IF(M149&lt;=21,"15-21 days","22+ days")))</f>
        <v>15-21 days</v>
      </c>
    </row>
    <row r="150" customFormat="false" ht="15" hidden="false" customHeight="false" outlineLevel="0" collapsed="false">
      <c r="A150" s="21" t="s">
        <v>216</v>
      </c>
      <c r="B150" s="21" t="s">
        <v>62</v>
      </c>
      <c r="C150" s="22" t="n">
        <v>42871</v>
      </c>
      <c r="D150" s="22" t="n">
        <v>42881</v>
      </c>
      <c r="E150" s="22" t="n">
        <v>42892</v>
      </c>
      <c r="F150" s="21" t="s">
        <v>53</v>
      </c>
      <c r="G150" s="23" t="n">
        <v>102.04</v>
      </c>
      <c r="H150" s="23" t="n">
        <v>22.44</v>
      </c>
      <c r="I150" s="21" t="s">
        <v>45</v>
      </c>
      <c r="J150" s="21" t="n">
        <v>4</v>
      </c>
      <c r="K150" s="21" t="s">
        <v>46</v>
      </c>
      <c r="L150" s="24" t="n">
        <f aca="false">DATE(YEAR(C150),MONTH(C150),1)</f>
        <v>42856</v>
      </c>
      <c r="M150" s="21" t="n">
        <f aca="false">D150-C150</f>
        <v>10</v>
      </c>
      <c r="N150" s="21" t="n">
        <f aca="false">MAX(0,D150-E150)</f>
        <v>0</v>
      </c>
      <c r="O150" s="21" t="n">
        <f aca="false">IF(D150&lt;=E150,1,0)</f>
        <v>1</v>
      </c>
      <c r="P150" s="23" t="n">
        <f aca="false">G150+H150</f>
        <v>124.48</v>
      </c>
      <c r="Q150" s="23" t="n">
        <f aca="false">G150*INDEX(Assumptions!$B$8:$B$16,MATCH(F150,Assumptions!$A$8:$A$16,0))</f>
        <v>75.5096</v>
      </c>
      <c r="R150" s="23" t="n">
        <f aca="false">H150*Assumptions!$B$3</f>
        <v>13.464</v>
      </c>
      <c r="S150" s="23" t="n">
        <f aca="false">G150-Q150-R150</f>
        <v>13.0664</v>
      </c>
      <c r="T150" s="21" t="str">
        <f aca="false">IF(M150&lt;=7,"0-7 days",IF(M150&lt;=14,"8-14 days",IF(M150&lt;=21,"15-21 days","22+ days")))</f>
        <v>8-14 days</v>
      </c>
    </row>
    <row r="151" customFormat="false" ht="15" hidden="false" customHeight="false" outlineLevel="0" collapsed="false">
      <c r="A151" s="21" t="s">
        <v>217</v>
      </c>
      <c r="B151" s="21" t="s">
        <v>19</v>
      </c>
      <c r="C151" s="22" t="n">
        <v>42872</v>
      </c>
      <c r="D151" s="22" t="n">
        <v>42879</v>
      </c>
      <c r="E151" s="22" t="n">
        <v>42888</v>
      </c>
      <c r="F151" s="21" t="s">
        <v>59</v>
      </c>
      <c r="G151" s="23" t="n">
        <v>119.23</v>
      </c>
      <c r="H151" s="23" t="n">
        <v>20.49</v>
      </c>
      <c r="I151" s="21" t="s">
        <v>60</v>
      </c>
      <c r="J151" s="21" t="n">
        <v>4</v>
      </c>
      <c r="K151" s="21" t="s">
        <v>46</v>
      </c>
      <c r="L151" s="24" t="n">
        <f aca="false">DATE(YEAR(C151),MONTH(C151),1)</f>
        <v>42856</v>
      </c>
      <c r="M151" s="21" t="n">
        <f aca="false">D151-C151</f>
        <v>7</v>
      </c>
      <c r="N151" s="21" t="n">
        <f aca="false">MAX(0,D151-E151)</f>
        <v>0</v>
      </c>
      <c r="O151" s="21" t="n">
        <f aca="false">IF(D151&lt;=E151,1,0)</f>
        <v>1</v>
      </c>
      <c r="P151" s="23" t="n">
        <f aca="false">G151+H151</f>
        <v>139.72</v>
      </c>
      <c r="Q151" s="23" t="n">
        <f aca="false">G151*INDEX(Assumptions!$B$8:$B$16,MATCH(F151,Assumptions!$A$8:$A$16,0))</f>
        <v>76.3072</v>
      </c>
      <c r="R151" s="23" t="n">
        <f aca="false">H151*Assumptions!$B$3</f>
        <v>12.294</v>
      </c>
      <c r="S151" s="23" t="n">
        <f aca="false">G151-Q151-R151</f>
        <v>30.6288</v>
      </c>
      <c r="T151" s="21" t="str">
        <f aca="false">IF(M151&lt;=7,"0-7 days",IF(M151&lt;=14,"8-14 days",IF(M151&lt;=21,"15-21 days","22+ days")))</f>
        <v>0-7 days</v>
      </c>
    </row>
    <row r="152" customFormat="false" ht="15" hidden="false" customHeight="false" outlineLevel="0" collapsed="false">
      <c r="A152" s="21" t="s">
        <v>218</v>
      </c>
      <c r="B152" s="21" t="s">
        <v>93</v>
      </c>
      <c r="C152" s="22" t="n">
        <v>42872</v>
      </c>
      <c r="D152" s="22" t="n">
        <v>42883</v>
      </c>
      <c r="E152" s="22" t="n">
        <v>42899</v>
      </c>
      <c r="F152" s="21" t="s">
        <v>57</v>
      </c>
      <c r="G152" s="23" t="n">
        <v>159.18</v>
      </c>
      <c r="H152" s="23" t="n">
        <v>38.76</v>
      </c>
      <c r="I152" s="21" t="s">
        <v>45</v>
      </c>
      <c r="J152" s="21" t="n">
        <v>5</v>
      </c>
      <c r="K152" s="21" t="s">
        <v>46</v>
      </c>
      <c r="L152" s="24" t="n">
        <f aca="false">DATE(YEAR(C152),MONTH(C152),1)</f>
        <v>42856</v>
      </c>
      <c r="M152" s="21" t="n">
        <f aca="false">D152-C152</f>
        <v>11</v>
      </c>
      <c r="N152" s="21" t="n">
        <f aca="false">MAX(0,D152-E152)</f>
        <v>0</v>
      </c>
      <c r="O152" s="21" t="n">
        <f aca="false">IF(D152&lt;=E152,1,0)</f>
        <v>1</v>
      </c>
      <c r="P152" s="23" t="n">
        <f aca="false">G152+H152</f>
        <v>197.94</v>
      </c>
      <c r="Q152" s="23" t="n">
        <f aca="false">G152*INDEX(Assumptions!$B$8:$B$16,MATCH(F152,Assumptions!$A$8:$A$16,0))</f>
        <v>108.2424</v>
      </c>
      <c r="R152" s="23" t="n">
        <f aca="false">H152*Assumptions!$B$3</f>
        <v>23.256</v>
      </c>
      <c r="S152" s="23" t="n">
        <f aca="false">G152-Q152-R152</f>
        <v>27.6816</v>
      </c>
      <c r="T152" s="21" t="str">
        <f aca="false">IF(M152&lt;=7,"0-7 days",IF(M152&lt;=14,"8-14 days",IF(M152&lt;=21,"15-21 days","22+ days")))</f>
        <v>8-14 days</v>
      </c>
    </row>
    <row r="153" customFormat="false" ht="15" hidden="false" customHeight="false" outlineLevel="0" collapsed="false">
      <c r="A153" s="21" t="s">
        <v>219</v>
      </c>
      <c r="B153" s="21" t="s">
        <v>55</v>
      </c>
      <c r="C153" s="22" t="n">
        <v>42872</v>
      </c>
      <c r="D153" s="22" t="n">
        <v>42888</v>
      </c>
      <c r="E153" s="22" t="n">
        <v>42896</v>
      </c>
      <c r="F153" s="21" t="s">
        <v>49</v>
      </c>
      <c r="G153" s="23" t="n">
        <v>47.52</v>
      </c>
      <c r="H153" s="23" t="n">
        <v>18.67</v>
      </c>
      <c r="I153" s="21" t="s">
        <v>45</v>
      </c>
      <c r="J153" s="21" t="n">
        <v>5</v>
      </c>
      <c r="K153" s="21" t="s">
        <v>46</v>
      </c>
      <c r="L153" s="24" t="n">
        <f aca="false">DATE(YEAR(C153),MONTH(C153),1)</f>
        <v>42856</v>
      </c>
      <c r="M153" s="21" t="n">
        <f aca="false">D153-C153</f>
        <v>16</v>
      </c>
      <c r="N153" s="21" t="n">
        <f aca="false">MAX(0,D153-E153)</f>
        <v>0</v>
      </c>
      <c r="O153" s="21" t="n">
        <f aca="false">IF(D153&lt;=E153,1,0)</f>
        <v>1</v>
      </c>
      <c r="P153" s="23" t="n">
        <f aca="false">G153+H153</f>
        <v>66.19</v>
      </c>
      <c r="Q153" s="23" t="n">
        <f aca="false">G153*INDEX(Assumptions!$B$8:$B$16,MATCH(F153,Assumptions!$A$8:$A$16,0))</f>
        <v>27.5616</v>
      </c>
      <c r="R153" s="23" t="n">
        <f aca="false">H153*Assumptions!$B$3</f>
        <v>11.202</v>
      </c>
      <c r="S153" s="23" t="n">
        <f aca="false">G153-Q153-R153</f>
        <v>8.75640000000001</v>
      </c>
      <c r="T153" s="21" t="str">
        <f aca="false">IF(M153&lt;=7,"0-7 days",IF(M153&lt;=14,"8-14 days",IF(M153&lt;=21,"15-21 days","22+ days")))</f>
        <v>15-21 days</v>
      </c>
    </row>
    <row r="154" customFormat="false" ht="15" hidden="false" customHeight="false" outlineLevel="0" collapsed="false">
      <c r="A154" s="21" t="s">
        <v>220</v>
      </c>
      <c r="B154" s="21" t="s">
        <v>19</v>
      </c>
      <c r="C154" s="22" t="n">
        <v>42872</v>
      </c>
      <c r="D154" s="22" t="n">
        <v>42878</v>
      </c>
      <c r="E154" s="22" t="n">
        <v>42886</v>
      </c>
      <c r="F154" s="21" t="s">
        <v>67</v>
      </c>
      <c r="G154" s="23" t="n">
        <v>67.99</v>
      </c>
      <c r="H154" s="23" t="n">
        <v>19.11</v>
      </c>
      <c r="I154" s="21" t="s">
        <v>104</v>
      </c>
      <c r="J154" s="21" t="n">
        <v>4</v>
      </c>
      <c r="K154" s="21" t="s">
        <v>46</v>
      </c>
      <c r="L154" s="24" t="n">
        <f aca="false">DATE(YEAR(C154),MONTH(C154),1)</f>
        <v>42856</v>
      </c>
      <c r="M154" s="21" t="n">
        <f aca="false">D154-C154</f>
        <v>6</v>
      </c>
      <c r="N154" s="21" t="n">
        <f aca="false">MAX(0,D154-E154)</f>
        <v>0</v>
      </c>
      <c r="O154" s="21" t="n">
        <f aca="false">IF(D154&lt;=E154,1,0)</f>
        <v>1</v>
      </c>
      <c r="P154" s="23" t="n">
        <f aca="false">G154+H154</f>
        <v>87.1</v>
      </c>
      <c r="Q154" s="23" t="n">
        <f aca="false">G154*INDEX(Assumptions!$B$8:$B$16,MATCH(F154,Assumptions!$A$8:$A$16,0))</f>
        <v>42.1538</v>
      </c>
      <c r="R154" s="23" t="n">
        <f aca="false">H154*Assumptions!$B$3</f>
        <v>11.466</v>
      </c>
      <c r="S154" s="23" t="n">
        <f aca="false">G154-Q154-R154</f>
        <v>14.3702</v>
      </c>
      <c r="T154" s="21" t="str">
        <f aca="false">IF(M154&lt;=7,"0-7 days",IF(M154&lt;=14,"8-14 days",IF(M154&lt;=21,"15-21 days","22+ days")))</f>
        <v>0-7 days</v>
      </c>
    </row>
    <row r="155" customFormat="false" ht="15" hidden="false" customHeight="false" outlineLevel="0" collapsed="false">
      <c r="A155" s="21" t="s">
        <v>221</v>
      </c>
      <c r="B155" s="21" t="s">
        <v>93</v>
      </c>
      <c r="C155" s="22" t="n">
        <v>42872</v>
      </c>
      <c r="D155" s="22" t="n">
        <v>42893</v>
      </c>
      <c r="E155" s="22" t="n">
        <v>42902</v>
      </c>
      <c r="F155" s="21" t="s">
        <v>59</v>
      </c>
      <c r="G155" s="23" t="n">
        <v>112.06</v>
      </c>
      <c r="H155" s="23" t="n">
        <v>42.26</v>
      </c>
      <c r="I155" s="21" t="s">
        <v>45</v>
      </c>
      <c r="J155" s="21" t="n">
        <v>3</v>
      </c>
      <c r="K155" s="21" t="s">
        <v>46</v>
      </c>
      <c r="L155" s="24" t="n">
        <f aca="false">DATE(YEAR(C155),MONTH(C155),1)</f>
        <v>42856</v>
      </c>
      <c r="M155" s="21" t="n">
        <f aca="false">D155-C155</f>
        <v>21</v>
      </c>
      <c r="N155" s="21" t="n">
        <f aca="false">MAX(0,D155-E155)</f>
        <v>0</v>
      </c>
      <c r="O155" s="21" t="n">
        <f aca="false">IF(D155&lt;=E155,1,0)</f>
        <v>1</v>
      </c>
      <c r="P155" s="23" t="n">
        <f aca="false">G155+H155</f>
        <v>154.32</v>
      </c>
      <c r="Q155" s="23" t="n">
        <f aca="false">G155*INDEX(Assumptions!$B$8:$B$16,MATCH(F155,Assumptions!$A$8:$A$16,0))</f>
        <v>71.7184</v>
      </c>
      <c r="R155" s="23" t="n">
        <f aca="false">H155*Assumptions!$B$3</f>
        <v>25.356</v>
      </c>
      <c r="S155" s="23" t="n">
        <f aca="false">G155-Q155-R155</f>
        <v>14.9856</v>
      </c>
      <c r="T155" s="21" t="str">
        <f aca="false">IF(M155&lt;=7,"0-7 days",IF(M155&lt;=14,"8-14 days",IF(M155&lt;=21,"15-21 days","22+ days")))</f>
        <v>15-21 days</v>
      </c>
    </row>
    <row r="156" customFormat="false" ht="15" hidden="false" customHeight="false" outlineLevel="0" collapsed="false">
      <c r="A156" s="21" t="s">
        <v>222</v>
      </c>
      <c r="B156" s="21" t="s">
        <v>19</v>
      </c>
      <c r="C156" s="22" t="n">
        <v>42873</v>
      </c>
      <c r="D156" s="22" t="n">
        <v>42883</v>
      </c>
      <c r="E156" s="22" t="n">
        <v>42887</v>
      </c>
      <c r="F156" s="21" t="s">
        <v>67</v>
      </c>
      <c r="G156" s="23" t="n">
        <v>36.34</v>
      </c>
      <c r="H156" s="23" t="n">
        <v>13.21</v>
      </c>
      <c r="I156" s="21" t="s">
        <v>60</v>
      </c>
      <c r="J156" s="21" t="n">
        <v>5</v>
      </c>
      <c r="K156" s="21" t="s">
        <v>46</v>
      </c>
      <c r="L156" s="24" t="n">
        <f aca="false">DATE(YEAR(C156),MONTH(C156),1)</f>
        <v>42856</v>
      </c>
      <c r="M156" s="21" t="n">
        <f aca="false">D156-C156</f>
        <v>10</v>
      </c>
      <c r="N156" s="21" t="n">
        <f aca="false">MAX(0,D156-E156)</f>
        <v>0</v>
      </c>
      <c r="O156" s="21" t="n">
        <f aca="false">IF(D156&lt;=E156,1,0)</f>
        <v>1</v>
      </c>
      <c r="P156" s="23" t="n">
        <f aca="false">G156+H156</f>
        <v>49.55</v>
      </c>
      <c r="Q156" s="23" t="n">
        <f aca="false">G156*INDEX(Assumptions!$B$8:$B$16,MATCH(F156,Assumptions!$A$8:$A$16,0))</f>
        <v>22.5308</v>
      </c>
      <c r="R156" s="23" t="n">
        <f aca="false">H156*Assumptions!$B$3</f>
        <v>7.926</v>
      </c>
      <c r="S156" s="23" t="n">
        <f aca="false">G156-Q156-R156</f>
        <v>5.8832</v>
      </c>
      <c r="T156" s="21" t="str">
        <f aca="false">IF(M156&lt;=7,"0-7 days",IF(M156&lt;=14,"8-14 days",IF(M156&lt;=21,"15-21 days","22+ days")))</f>
        <v>8-14 days</v>
      </c>
    </row>
    <row r="157" customFormat="false" ht="15" hidden="false" customHeight="false" outlineLevel="0" collapsed="false">
      <c r="A157" s="21" t="s">
        <v>223</v>
      </c>
      <c r="B157" s="21" t="s">
        <v>62</v>
      </c>
      <c r="C157" s="22" t="n">
        <v>42873</v>
      </c>
      <c r="D157" s="22" t="n">
        <v>42885</v>
      </c>
      <c r="E157" s="22" t="n">
        <v>42895</v>
      </c>
      <c r="F157" s="21" t="s">
        <v>79</v>
      </c>
      <c r="G157" s="23" t="n">
        <v>153.59</v>
      </c>
      <c r="H157" s="23" t="n">
        <v>20.33</v>
      </c>
      <c r="I157" s="21" t="s">
        <v>45</v>
      </c>
      <c r="J157" s="21" t="n">
        <v>5</v>
      </c>
      <c r="K157" s="21" t="s">
        <v>46</v>
      </c>
      <c r="L157" s="24" t="n">
        <f aca="false">DATE(YEAR(C157),MONTH(C157),1)</f>
        <v>42856</v>
      </c>
      <c r="M157" s="21" t="n">
        <f aca="false">D157-C157</f>
        <v>12</v>
      </c>
      <c r="N157" s="21" t="n">
        <f aca="false">MAX(0,D157-E157)</f>
        <v>0</v>
      </c>
      <c r="O157" s="21" t="n">
        <f aca="false">IF(D157&lt;=E157,1,0)</f>
        <v>1</v>
      </c>
      <c r="P157" s="23" t="n">
        <f aca="false">G157+H157</f>
        <v>173.92</v>
      </c>
      <c r="Q157" s="23" t="n">
        <f aca="false">G157*INDEX(Assumptions!$B$8:$B$16,MATCH(F157,Assumptions!$A$8:$A$16,0))</f>
        <v>107.513</v>
      </c>
      <c r="R157" s="23" t="n">
        <f aca="false">H157*Assumptions!$B$3</f>
        <v>12.198</v>
      </c>
      <c r="S157" s="23" t="n">
        <f aca="false">G157-Q157-R157</f>
        <v>33.879</v>
      </c>
      <c r="T157" s="21" t="str">
        <f aca="false">IF(M157&lt;=7,"0-7 days",IF(M157&lt;=14,"8-14 days",IF(M157&lt;=21,"15-21 days","22+ days")))</f>
        <v>8-14 days</v>
      </c>
    </row>
    <row r="158" customFormat="false" ht="15" hidden="false" customHeight="false" outlineLevel="0" collapsed="false">
      <c r="A158" s="21" t="s">
        <v>224</v>
      </c>
      <c r="B158" s="21" t="s">
        <v>174</v>
      </c>
      <c r="C158" s="22" t="n">
        <v>42874</v>
      </c>
      <c r="D158" s="22" t="n">
        <v>42950</v>
      </c>
      <c r="E158" s="22" t="n">
        <v>42906</v>
      </c>
      <c r="F158" s="21" t="s">
        <v>49</v>
      </c>
      <c r="G158" s="23" t="n">
        <v>66.84</v>
      </c>
      <c r="H158" s="23" t="n">
        <v>33.4</v>
      </c>
      <c r="I158" s="21" t="s">
        <v>45</v>
      </c>
      <c r="J158" s="21" t="n">
        <v>1</v>
      </c>
      <c r="K158" s="21" t="s">
        <v>46</v>
      </c>
      <c r="L158" s="24" t="n">
        <f aca="false">DATE(YEAR(C158),MONTH(C158),1)</f>
        <v>42856</v>
      </c>
      <c r="M158" s="21" t="n">
        <f aca="false">D158-C158</f>
        <v>76</v>
      </c>
      <c r="N158" s="21" t="n">
        <f aca="false">MAX(0,D158-E158)</f>
        <v>44</v>
      </c>
      <c r="O158" s="21" t="n">
        <f aca="false">IF(D158&lt;=E158,1,0)</f>
        <v>0</v>
      </c>
      <c r="P158" s="23" t="n">
        <f aca="false">G158+H158</f>
        <v>100.24</v>
      </c>
      <c r="Q158" s="23" t="n">
        <f aca="false">G158*INDEX(Assumptions!$B$8:$B$16,MATCH(F158,Assumptions!$A$8:$A$16,0))</f>
        <v>38.7672</v>
      </c>
      <c r="R158" s="23" t="n">
        <f aca="false">H158*Assumptions!$B$3</f>
        <v>20.04</v>
      </c>
      <c r="S158" s="23" t="n">
        <f aca="false">G158-Q158-R158</f>
        <v>8.0328</v>
      </c>
      <c r="T158" s="21" t="str">
        <f aca="false">IF(M158&lt;=7,"0-7 days",IF(M158&lt;=14,"8-14 days",IF(M158&lt;=21,"15-21 days","22+ days")))</f>
        <v>22+ days</v>
      </c>
    </row>
    <row r="159" customFormat="false" ht="15" hidden="false" customHeight="false" outlineLevel="0" collapsed="false">
      <c r="A159" s="21" t="s">
        <v>225</v>
      </c>
      <c r="B159" s="21" t="s">
        <v>19</v>
      </c>
      <c r="C159" s="22" t="n">
        <v>42878</v>
      </c>
      <c r="D159" s="22" t="n">
        <v>42890</v>
      </c>
      <c r="E159" s="22" t="n">
        <v>42888</v>
      </c>
      <c r="F159" s="21" t="s">
        <v>59</v>
      </c>
      <c r="G159" s="23" t="n">
        <v>96.43</v>
      </c>
      <c r="H159" s="23" t="n">
        <v>20.25</v>
      </c>
      <c r="I159" s="21" t="s">
        <v>45</v>
      </c>
      <c r="J159" s="21" t="n">
        <v>3</v>
      </c>
      <c r="K159" s="21" t="s">
        <v>46</v>
      </c>
      <c r="L159" s="24" t="n">
        <f aca="false">DATE(YEAR(C159),MONTH(C159),1)</f>
        <v>42856</v>
      </c>
      <c r="M159" s="21" t="n">
        <f aca="false">D159-C159</f>
        <v>12</v>
      </c>
      <c r="N159" s="21" t="n">
        <f aca="false">MAX(0,D159-E159)</f>
        <v>2</v>
      </c>
      <c r="O159" s="21" t="n">
        <f aca="false">IF(D159&lt;=E159,1,0)</f>
        <v>0</v>
      </c>
      <c r="P159" s="23" t="n">
        <f aca="false">G159+H159</f>
        <v>116.68</v>
      </c>
      <c r="Q159" s="23" t="n">
        <f aca="false">G159*INDEX(Assumptions!$B$8:$B$16,MATCH(F159,Assumptions!$A$8:$A$16,0))</f>
        <v>61.7152</v>
      </c>
      <c r="R159" s="23" t="n">
        <f aca="false">H159*Assumptions!$B$3</f>
        <v>12.15</v>
      </c>
      <c r="S159" s="23" t="n">
        <f aca="false">G159-Q159-R159</f>
        <v>22.5648</v>
      </c>
      <c r="T159" s="21" t="str">
        <f aca="false">IF(M159&lt;=7,"0-7 days",IF(M159&lt;=14,"8-14 days",IF(M159&lt;=21,"15-21 days","22+ days")))</f>
        <v>8-14 days</v>
      </c>
    </row>
    <row r="160" customFormat="false" ht="15" hidden="false" customHeight="false" outlineLevel="0" collapsed="false">
      <c r="A160" s="21" t="s">
        <v>226</v>
      </c>
      <c r="B160" s="21" t="s">
        <v>48</v>
      </c>
      <c r="C160" s="22" t="n">
        <v>42878</v>
      </c>
      <c r="D160" s="22" t="n">
        <v>42892</v>
      </c>
      <c r="E160" s="22" t="n">
        <v>42898</v>
      </c>
      <c r="F160" s="21" t="s">
        <v>53</v>
      </c>
      <c r="G160" s="23" t="n">
        <v>139.58</v>
      </c>
      <c r="H160" s="23" t="n">
        <v>25.1</v>
      </c>
      <c r="I160" s="21" t="s">
        <v>45</v>
      </c>
      <c r="J160" s="21" t="n">
        <v>3</v>
      </c>
      <c r="K160" s="21" t="s">
        <v>46</v>
      </c>
      <c r="L160" s="24" t="n">
        <f aca="false">DATE(YEAR(C160),MONTH(C160),1)</f>
        <v>42856</v>
      </c>
      <c r="M160" s="21" t="n">
        <f aca="false">D160-C160</f>
        <v>14</v>
      </c>
      <c r="N160" s="21" t="n">
        <f aca="false">MAX(0,D160-E160)</f>
        <v>0</v>
      </c>
      <c r="O160" s="21" t="n">
        <f aca="false">IF(D160&lt;=E160,1,0)</f>
        <v>1</v>
      </c>
      <c r="P160" s="23" t="n">
        <f aca="false">G160+H160</f>
        <v>164.68</v>
      </c>
      <c r="Q160" s="23" t="n">
        <f aca="false">G160*INDEX(Assumptions!$B$8:$B$16,MATCH(F160,Assumptions!$A$8:$A$16,0))</f>
        <v>103.2892</v>
      </c>
      <c r="R160" s="23" t="n">
        <f aca="false">H160*Assumptions!$B$3</f>
        <v>15.06</v>
      </c>
      <c r="S160" s="23" t="n">
        <f aca="false">G160-Q160-R160</f>
        <v>21.2308</v>
      </c>
      <c r="T160" s="21" t="str">
        <f aca="false">IF(M160&lt;=7,"0-7 days",IF(M160&lt;=14,"8-14 days",IF(M160&lt;=21,"15-21 days","22+ days")))</f>
        <v>8-14 days</v>
      </c>
    </row>
    <row r="161" customFormat="false" ht="15" hidden="false" customHeight="false" outlineLevel="0" collapsed="false">
      <c r="A161" s="21" t="s">
        <v>227</v>
      </c>
      <c r="B161" s="21" t="s">
        <v>52</v>
      </c>
      <c r="C161" s="22" t="n">
        <v>42878</v>
      </c>
      <c r="D161" s="22" t="n">
        <v>42893</v>
      </c>
      <c r="E161" s="22" t="n">
        <v>42900</v>
      </c>
      <c r="F161" s="21" t="s">
        <v>59</v>
      </c>
      <c r="G161" s="23" t="n">
        <v>88.29</v>
      </c>
      <c r="H161" s="23" t="n">
        <v>31.27</v>
      </c>
      <c r="I161" s="21" t="s">
        <v>45</v>
      </c>
      <c r="J161" s="21" t="n">
        <v>5</v>
      </c>
      <c r="K161" s="21" t="s">
        <v>46</v>
      </c>
      <c r="L161" s="24" t="n">
        <f aca="false">DATE(YEAR(C161),MONTH(C161),1)</f>
        <v>42856</v>
      </c>
      <c r="M161" s="21" t="n">
        <f aca="false">D161-C161</f>
        <v>15</v>
      </c>
      <c r="N161" s="21" t="n">
        <f aca="false">MAX(0,D161-E161)</f>
        <v>0</v>
      </c>
      <c r="O161" s="21" t="n">
        <f aca="false">IF(D161&lt;=E161,1,0)</f>
        <v>1</v>
      </c>
      <c r="P161" s="23" t="n">
        <f aca="false">G161+H161</f>
        <v>119.56</v>
      </c>
      <c r="Q161" s="23" t="n">
        <f aca="false">G161*INDEX(Assumptions!$B$8:$B$16,MATCH(F161,Assumptions!$A$8:$A$16,0))</f>
        <v>56.5056</v>
      </c>
      <c r="R161" s="23" t="n">
        <f aca="false">H161*Assumptions!$B$3</f>
        <v>18.762</v>
      </c>
      <c r="S161" s="23" t="n">
        <f aca="false">G161-Q161-R161</f>
        <v>13.0224</v>
      </c>
      <c r="T161" s="21" t="str">
        <f aca="false">IF(M161&lt;=7,"0-7 days",IF(M161&lt;=14,"8-14 days",IF(M161&lt;=21,"15-21 days","22+ days")))</f>
        <v>15-21 days</v>
      </c>
    </row>
    <row r="162" customFormat="false" ht="15" hidden="false" customHeight="false" outlineLevel="0" collapsed="false">
      <c r="A162" s="21" t="s">
        <v>228</v>
      </c>
      <c r="B162" s="21" t="s">
        <v>19</v>
      </c>
      <c r="C162" s="22" t="n">
        <v>42878</v>
      </c>
      <c r="D162" s="22" t="n">
        <v>42887</v>
      </c>
      <c r="E162" s="22" t="n">
        <v>42894</v>
      </c>
      <c r="F162" s="21" t="s">
        <v>49</v>
      </c>
      <c r="G162" s="23" t="n">
        <v>55.37</v>
      </c>
      <c r="H162" s="23" t="n">
        <v>18.54</v>
      </c>
      <c r="I162" s="21" t="s">
        <v>60</v>
      </c>
      <c r="J162" s="21" t="n">
        <v>4</v>
      </c>
      <c r="K162" s="21" t="s">
        <v>46</v>
      </c>
      <c r="L162" s="24" t="n">
        <f aca="false">DATE(YEAR(C162),MONTH(C162),1)</f>
        <v>42856</v>
      </c>
      <c r="M162" s="21" t="n">
        <f aca="false">D162-C162</f>
        <v>9</v>
      </c>
      <c r="N162" s="21" t="n">
        <f aca="false">MAX(0,D162-E162)</f>
        <v>0</v>
      </c>
      <c r="O162" s="21" t="n">
        <f aca="false">IF(D162&lt;=E162,1,0)</f>
        <v>1</v>
      </c>
      <c r="P162" s="23" t="n">
        <f aca="false">G162+H162</f>
        <v>73.91</v>
      </c>
      <c r="Q162" s="23" t="n">
        <f aca="false">G162*INDEX(Assumptions!$B$8:$B$16,MATCH(F162,Assumptions!$A$8:$A$16,0))</f>
        <v>32.1146</v>
      </c>
      <c r="R162" s="23" t="n">
        <f aca="false">H162*Assumptions!$B$3</f>
        <v>11.124</v>
      </c>
      <c r="S162" s="23" t="n">
        <f aca="false">G162-Q162-R162</f>
        <v>12.1314</v>
      </c>
      <c r="T162" s="21" t="str">
        <f aca="false">IF(M162&lt;=7,"0-7 days",IF(M162&lt;=14,"8-14 days",IF(M162&lt;=21,"15-21 days","22+ days")))</f>
        <v>8-14 days</v>
      </c>
    </row>
    <row r="163" customFormat="false" ht="15" hidden="false" customHeight="false" outlineLevel="0" collapsed="false">
      <c r="A163" s="21" t="s">
        <v>229</v>
      </c>
      <c r="B163" s="21" t="s">
        <v>62</v>
      </c>
      <c r="C163" s="22" t="n">
        <v>42879</v>
      </c>
      <c r="D163" s="22" t="n">
        <v>42892</v>
      </c>
      <c r="E163" s="22" t="n">
        <v>42900</v>
      </c>
      <c r="F163" s="21" t="s">
        <v>59</v>
      </c>
      <c r="G163" s="23" t="n">
        <v>67.38</v>
      </c>
      <c r="H163" s="23" t="n">
        <v>25.45</v>
      </c>
      <c r="I163" s="21" t="s">
        <v>45</v>
      </c>
      <c r="J163" s="21" t="n">
        <v>4</v>
      </c>
      <c r="K163" s="21" t="s">
        <v>46</v>
      </c>
      <c r="L163" s="24" t="n">
        <f aca="false">DATE(YEAR(C163),MONTH(C163),1)</f>
        <v>42856</v>
      </c>
      <c r="M163" s="21" t="n">
        <f aca="false">D163-C163</f>
        <v>13</v>
      </c>
      <c r="N163" s="21" t="n">
        <f aca="false">MAX(0,D163-E163)</f>
        <v>0</v>
      </c>
      <c r="O163" s="21" t="n">
        <f aca="false">IF(D163&lt;=E163,1,0)</f>
        <v>1</v>
      </c>
      <c r="P163" s="23" t="n">
        <f aca="false">G163+H163</f>
        <v>92.83</v>
      </c>
      <c r="Q163" s="23" t="n">
        <f aca="false">G163*INDEX(Assumptions!$B$8:$B$16,MATCH(F163,Assumptions!$A$8:$A$16,0))</f>
        <v>43.1232</v>
      </c>
      <c r="R163" s="23" t="n">
        <f aca="false">H163*Assumptions!$B$3</f>
        <v>15.27</v>
      </c>
      <c r="S163" s="23" t="n">
        <f aca="false">G163-Q163-R163</f>
        <v>8.9868</v>
      </c>
      <c r="T163" s="21" t="str">
        <f aca="false">IF(M163&lt;=7,"0-7 days",IF(M163&lt;=14,"8-14 days",IF(M163&lt;=21,"15-21 days","22+ days")))</f>
        <v>8-14 days</v>
      </c>
    </row>
    <row r="164" customFormat="false" ht="15" hidden="false" customHeight="false" outlineLevel="0" collapsed="false">
      <c r="A164" s="21" t="s">
        <v>230</v>
      </c>
      <c r="B164" s="21" t="s">
        <v>55</v>
      </c>
      <c r="C164" s="22" t="n">
        <v>42879</v>
      </c>
      <c r="D164" s="22" t="n">
        <v>42906</v>
      </c>
      <c r="E164" s="22" t="n">
        <v>42905</v>
      </c>
      <c r="F164" s="21" t="s">
        <v>59</v>
      </c>
      <c r="G164" s="23" t="n">
        <v>99.57</v>
      </c>
      <c r="H164" s="23" t="n">
        <v>21.44</v>
      </c>
      <c r="I164" s="21" t="s">
        <v>45</v>
      </c>
      <c r="J164" s="21" t="n">
        <v>3</v>
      </c>
      <c r="K164" s="21" t="s">
        <v>46</v>
      </c>
      <c r="L164" s="24" t="n">
        <f aca="false">DATE(YEAR(C164),MONTH(C164),1)</f>
        <v>42856</v>
      </c>
      <c r="M164" s="21" t="n">
        <f aca="false">D164-C164</f>
        <v>27</v>
      </c>
      <c r="N164" s="21" t="n">
        <f aca="false">MAX(0,D164-E164)</f>
        <v>1</v>
      </c>
      <c r="O164" s="21" t="n">
        <f aca="false">IF(D164&lt;=E164,1,0)</f>
        <v>0</v>
      </c>
      <c r="P164" s="23" t="n">
        <f aca="false">G164+H164</f>
        <v>121.01</v>
      </c>
      <c r="Q164" s="23" t="n">
        <f aca="false">G164*INDEX(Assumptions!$B$8:$B$16,MATCH(F164,Assumptions!$A$8:$A$16,0))</f>
        <v>63.7248</v>
      </c>
      <c r="R164" s="23" t="n">
        <f aca="false">H164*Assumptions!$B$3</f>
        <v>12.864</v>
      </c>
      <c r="S164" s="23" t="n">
        <f aca="false">G164-Q164-R164</f>
        <v>22.9812</v>
      </c>
      <c r="T164" s="21" t="str">
        <f aca="false">IF(M164&lt;=7,"0-7 days",IF(M164&lt;=14,"8-14 days",IF(M164&lt;=21,"15-21 days","22+ days")))</f>
        <v>22+ days</v>
      </c>
    </row>
    <row r="165" customFormat="false" ht="15" hidden="false" customHeight="false" outlineLevel="0" collapsed="false">
      <c r="A165" s="21" t="s">
        <v>231</v>
      </c>
      <c r="B165" s="21" t="s">
        <v>19</v>
      </c>
      <c r="C165" s="22" t="n">
        <v>42879</v>
      </c>
      <c r="D165" s="22" t="n">
        <v>42891</v>
      </c>
      <c r="E165" s="22" t="n">
        <v>42894</v>
      </c>
      <c r="F165" s="21" t="s">
        <v>79</v>
      </c>
      <c r="G165" s="23" t="n">
        <v>69.25</v>
      </c>
      <c r="H165" s="23" t="n">
        <v>20.67</v>
      </c>
      <c r="I165" s="21" t="s">
        <v>45</v>
      </c>
      <c r="J165" s="21" t="n">
        <v>5</v>
      </c>
      <c r="K165" s="21" t="s">
        <v>46</v>
      </c>
      <c r="L165" s="24" t="n">
        <f aca="false">DATE(YEAR(C165),MONTH(C165),1)</f>
        <v>42856</v>
      </c>
      <c r="M165" s="21" t="n">
        <f aca="false">D165-C165</f>
        <v>12</v>
      </c>
      <c r="N165" s="21" t="n">
        <f aca="false">MAX(0,D165-E165)</f>
        <v>0</v>
      </c>
      <c r="O165" s="21" t="n">
        <f aca="false">IF(D165&lt;=E165,1,0)</f>
        <v>1</v>
      </c>
      <c r="P165" s="23" t="n">
        <f aca="false">G165+H165</f>
        <v>89.92</v>
      </c>
      <c r="Q165" s="23" t="n">
        <f aca="false">G165*INDEX(Assumptions!$B$8:$B$16,MATCH(F165,Assumptions!$A$8:$A$16,0))</f>
        <v>48.475</v>
      </c>
      <c r="R165" s="23" t="n">
        <f aca="false">H165*Assumptions!$B$3</f>
        <v>12.402</v>
      </c>
      <c r="S165" s="23" t="n">
        <f aca="false">G165-Q165-R165</f>
        <v>8.37300000000001</v>
      </c>
      <c r="T165" s="21" t="str">
        <f aca="false">IF(M165&lt;=7,"0-7 days",IF(M165&lt;=14,"8-14 days",IF(M165&lt;=21,"15-21 days","22+ days")))</f>
        <v>8-14 days</v>
      </c>
    </row>
    <row r="166" customFormat="false" ht="15" hidden="false" customHeight="false" outlineLevel="0" collapsed="false">
      <c r="A166" s="21" t="s">
        <v>232</v>
      </c>
      <c r="B166" s="21" t="s">
        <v>19</v>
      </c>
      <c r="C166" s="22" t="n">
        <v>42879</v>
      </c>
      <c r="D166" s="22" t="n">
        <v>42889</v>
      </c>
      <c r="E166" s="22" t="n">
        <v>42894</v>
      </c>
      <c r="F166" s="21" t="s">
        <v>59</v>
      </c>
      <c r="G166" s="23" t="n">
        <v>221.35</v>
      </c>
      <c r="H166" s="23" t="n">
        <v>24.76</v>
      </c>
      <c r="I166" s="21" t="s">
        <v>60</v>
      </c>
      <c r="J166" s="21" t="n">
        <v>4</v>
      </c>
      <c r="K166" s="21" t="s">
        <v>46</v>
      </c>
      <c r="L166" s="24" t="n">
        <f aca="false">DATE(YEAR(C166),MONTH(C166),1)</f>
        <v>42856</v>
      </c>
      <c r="M166" s="21" t="n">
        <f aca="false">D166-C166</f>
        <v>10</v>
      </c>
      <c r="N166" s="21" t="n">
        <f aca="false">MAX(0,D166-E166)</f>
        <v>0</v>
      </c>
      <c r="O166" s="21" t="n">
        <f aca="false">IF(D166&lt;=E166,1,0)</f>
        <v>1</v>
      </c>
      <c r="P166" s="23" t="n">
        <f aca="false">G166+H166</f>
        <v>246.11</v>
      </c>
      <c r="Q166" s="23" t="n">
        <f aca="false">G166*INDEX(Assumptions!$B$8:$B$16,MATCH(F166,Assumptions!$A$8:$A$16,0))</f>
        <v>141.664</v>
      </c>
      <c r="R166" s="23" t="n">
        <f aca="false">H166*Assumptions!$B$3</f>
        <v>14.856</v>
      </c>
      <c r="S166" s="23" t="n">
        <f aca="false">G166-Q166-R166</f>
        <v>64.83</v>
      </c>
      <c r="T166" s="21" t="str">
        <f aca="false">IF(M166&lt;=7,"0-7 days",IF(M166&lt;=14,"8-14 days",IF(M166&lt;=21,"15-21 days","22+ days")))</f>
        <v>8-14 days</v>
      </c>
    </row>
    <row r="167" customFormat="false" ht="15" hidden="false" customHeight="false" outlineLevel="0" collapsed="false">
      <c r="A167" s="21" t="s">
        <v>233</v>
      </c>
      <c r="B167" s="21" t="s">
        <v>93</v>
      </c>
      <c r="C167" s="22" t="n">
        <v>42880</v>
      </c>
      <c r="D167" s="22" t="n">
        <v>42925</v>
      </c>
      <c r="E167" s="22" t="n">
        <v>42912</v>
      </c>
      <c r="F167" s="21" t="s">
        <v>53</v>
      </c>
      <c r="G167" s="23" t="n">
        <v>115.88</v>
      </c>
      <c r="H167" s="23" t="n">
        <v>29.27</v>
      </c>
      <c r="I167" s="21" t="s">
        <v>45</v>
      </c>
      <c r="J167" s="21" t="n">
        <v>1</v>
      </c>
      <c r="K167" s="21" t="s">
        <v>46</v>
      </c>
      <c r="L167" s="24" t="n">
        <f aca="false">DATE(YEAR(C167),MONTH(C167),1)</f>
        <v>42856</v>
      </c>
      <c r="M167" s="21" t="n">
        <f aca="false">D167-C167</f>
        <v>45</v>
      </c>
      <c r="N167" s="21" t="n">
        <f aca="false">MAX(0,D167-E167)</f>
        <v>13</v>
      </c>
      <c r="O167" s="21" t="n">
        <f aca="false">IF(D167&lt;=E167,1,0)</f>
        <v>0</v>
      </c>
      <c r="P167" s="23" t="n">
        <f aca="false">G167+H167</f>
        <v>145.15</v>
      </c>
      <c r="Q167" s="23" t="n">
        <f aca="false">G167*INDEX(Assumptions!$B$8:$B$16,MATCH(F167,Assumptions!$A$8:$A$16,0))</f>
        <v>85.7512</v>
      </c>
      <c r="R167" s="23" t="n">
        <f aca="false">H167*Assumptions!$B$3</f>
        <v>17.562</v>
      </c>
      <c r="S167" s="23" t="n">
        <f aca="false">G167-Q167-R167</f>
        <v>12.5668</v>
      </c>
      <c r="T167" s="21" t="str">
        <f aca="false">IF(M167&lt;=7,"0-7 days",IF(M167&lt;=14,"8-14 days",IF(M167&lt;=21,"15-21 days","22+ days")))</f>
        <v>22+ days</v>
      </c>
    </row>
    <row r="168" customFormat="false" ht="15" hidden="false" customHeight="false" outlineLevel="0" collapsed="false">
      <c r="A168" s="21" t="s">
        <v>234</v>
      </c>
      <c r="B168" s="21" t="s">
        <v>55</v>
      </c>
      <c r="C168" s="22" t="n">
        <v>42881</v>
      </c>
      <c r="D168" s="22" t="n">
        <v>42908</v>
      </c>
      <c r="E168" s="22" t="n">
        <v>42906</v>
      </c>
      <c r="F168" s="21" t="s">
        <v>49</v>
      </c>
      <c r="G168" s="23" t="n">
        <v>50.23</v>
      </c>
      <c r="H168" s="23" t="n">
        <v>27.86</v>
      </c>
      <c r="I168" s="21" t="s">
        <v>45</v>
      </c>
      <c r="J168" s="21" t="n">
        <v>3</v>
      </c>
      <c r="K168" s="21" t="s">
        <v>46</v>
      </c>
      <c r="L168" s="24" t="n">
        <f aca="false">DATE(YEAR(C168),MONTH(C168),1)</f>
        <v>42856</v>
      </c>
      <c r="M168" s="21" t="n">
        <f aca="false">D168-C168</f>
        <v>27</v>
      </c>
      <c r="N168" s="21" t="n">
        <f aca="false">MAX(0,D168-E168)</f>
        <v>2</v>
      </c>
      <c r="O168" s="21" t="n">
        <f aca="false">IF(D168&lt;=E168,1,0)</f>
        <v>0</v>
      </c>
      <c r="P168" s="23" t="n">
        <f aca="false">G168+H168</f>
        <v>78.09</v>
      </c>
      <c r="Q168" s="23" t="n">
        <f aca="false">G168*INDEX(Assumptions!$B$8:$B$16,MATCH(F168,Assumptions!$A$8:$A$16,0))</f>
        <v>29.1334</v>
      </c>
      <c r="R168" s="23" t="n">
        <f aca="false">H168*Assumptions!$B$3</f>
        <v>16.716</v>
      </c>
      <c r="S168" s="23" t="n">
        <f aca="false">G168-Q168-R168</f>
        <v>4.38060000000001</v>
      </c>
      <c r="T168" s="21" t="str">
        <f aca="false">IF(M168&lt;=7,"0-7 days",IF(M168&lt;=14,"8-14 days",IF(M168&lt;=21,"15-21 days","22+ days")))</f>
        <v>22+ days</v>
      </c>
    </row>
    <row r="169" customFormat="false" ht="15" hidden="false" customHeight="false" outlineLevel="0" collapsed="false">
      <c r="A169" s="21" t="s">
        <v>235</v>
      </c>
      <c r="B169" s="21" t="s">
        <v>93</v>
      </c>
      <c r="C169" s="22" t="n">
        <v>42882</v>
      </c>
      <c r="D169" s="22" t="n">
        <v>42899</v>
      </c>
      <c r="E169" s="22" t="n">
        <v>42910</v>
      </c>
      <c r="F169" s="21" t="s">
        <v>111</v>
      </c>
      <c r="G169" s="23" t="n">
        <v>98.7</v>
      </c>
      <c r="H169" s="23" t="n">
        <v>30.84</v>
      </c>
      <c r="I169" s="21" t="s">
        <v>45</v>
      </c>
      <c r="J169" s="21" t="n">
        <v>5</v>
      </c>
      <c r="K169" s="21" t="s">
        <v>46</v>
      </c>
      <c r="L169" s="24" t="n">
        <f aca="false">DATE(YEAR(C169),MONTH(C169),1)</f>
        <v>42856</v>
      </c>
      <c r="M169" s="21" t="n">
        <f aca="false">D169-C169</f>
        <v>17</v>
      </c>
      <c r="N169" s="21" t="n">
        <f aca="false">MAX(0,D169-E169)</f>
        <v>0</v>
      </c>
      <c r="O169" s="21" t="n">
        <f aca="false">IF(D169&lt;=E169,1,0)</f>
        <v>1</v>
      </c>
      <c r="P169" s="23" t="n">
        <f aca="false">G169+H169</f>
        <v>129.54</v>
      </c>
      <c r="Q169" s="23" t="n">
        <f aca="false">G169*INDEX(Assumptions!$B$8:$B$16,MATCH(F169,Assumptions!$A$8:$A$16,0))</f>
        <v>62.181</v>
      </c>
      <c r="R169" s="23" t="n">
        <f aca="false">H169*Assumptions!$B$3</f>
        <v>18.504</v>
      </c>
      <c r="S169" s="23" t="n">
        <f aca="false">G169-Q169-R169</f>
        <v>18.015</v>
      </c>
      <c r="T169" s="21" t="str">
        <f aca="false">IF(M169&lt;=7,"0-7 days",IF(M169&lt;=14,"8-14 days",IF(M169&lt;=21,"15-21 days","22+ days")))</f>
        <v>15-21 days</v>
      </c>
    </row>
    <row r="170" customFormat="false" ht="15" hidden="false" customHeight="false" outlineLevel="0" collapsed="false">
      <c r="A170" s="21" t="s">
        <v>236</v>
      </c>
      <c r="B170" s="21" t="s">
        <v>19</v>
      </c>
      <c r="C170" s="22" t="n">
        <v>42882</v>
      </c>
      <c r="D170" s="22" t="n">
        <v>42887</v>
      </c>
      <c r="E170" s="22" t="n">
        <v>42898</v>
      </c>
      <c r="F170" s="21" t="s">
        <v>49</v>
      </c>
      <c r="G170" s="23" t="n">
        <v>157.49</v>
      </c>
      <c r="H170" s="23" t="n">
        <v>16.63</v>
      </c>
      <c r="I170" s="21" t="s">
        <v>45</v>
      </c>
      <c r="J170" s="21" t="n">
        <v>4</v>
      </c>
      <c r="K170" s="21" t="s">
        <v>46</v>
      </c>
      <c r="L170" s="24" t="n">
        <f aca="false">DATE(YEAR(C170),MONTH(C170),1)</f>
        <v>42856</v>
      </c>
      <c r="M170" s="21" t="n">
        <f aca="false">D170-C170</f>
        <v>5</v>
      </c>
      <c r="N170" s="21" t="n">
        <f aca="false">MAX(0,D170-E170)</f>
        <v>0</v>
      </c>
      <c r="O170" s="21" t="n">
        <f aca="false">IF(D170&lt;=E170,1,0)</f>
        <v>1</v>
      </c>
      <c r="P170" s="23" t="n">
        <f aca="false">G170+H170</f>
        <v>174.12</v>
      </c>
      <c r="Q170" s="23" t="n">
        <f aca="false">G170*INDEX(Assumptions!$B$8:$B$16,MATCH(F170,Assumptions!$A$8:$A$16,0))</f>
        <v>91.3442</v>
      </c>
      <c r="R170" s="23" t="n">
        <f aca="false">H170*Assumptions!$B$3</f>
        <v>9.978</v>
      </c>
      <c r="S170" s="23" t="n">
        <f aca="false">G170-Q170-R170</f>
        <v>56.1678</v>
      </c>
      <c r="T170" s="21" t="str">
        <f aca="false">IF(M170&lt;=7,"0-7 days",IF(M170&lt;=14,"8-14 days",IF(M170&lt;=21,"15-21 days","22+ days")))</f>
        <v>0-7 days</v>
      </c>
    </row>
    <row r="171" customFormat="false" ht="15" hidden="false" customHeight="false" outlineLevel="0" collapsed="false">
      <c r="A171" s="21" t="s">
        <v>237</v>
      </c>
      <c r="B171" s="21" t="s">
        <v>19</v>
      </c>
      <c r="C171" s="22" t="n">
        <v>42883</v>
      </c>
      <c r="D171" s="22" t="n">
        <v>42886</v>
      </c>
      <c r="E171" s="22" t="n">
        <v>42898</v>
      </c>
      <c r="F171" s="21" t="s">
        <v>53</v>
      </c>
      <c r="G171" s="23" t="n">
        <v>133.68</v>
      </c>
      <c r="H171" s="23" t="n">
        <v>23.65</v>
      </c>
      <c r="I171" s="21" t="s">
        <v>45</v>
      </c>
      <c r="J171" s="21" t="n">
        <v>3</v>
      </c>
      <c r="K171" s="21" t="s">
        <v>46</v>
      </c>
      <c r="L171" s="24" t="n">
        <f aca="false">DATE(YEAR(C171),MONTH(C171),1)</f>
        <v>42856</v>
      </c>
      <c r="M171" s="21" t="n">
        <f aca="false">D171-C171</f>
        <v>3</v>
      </c>
      <c r="N171" s="21" t="n">
        <f aca="false">MAX(0,D171-E171)</f>
        <v>0</v>
      </c>
      <c r="O171" s="21" t="n">
        <f aca="false">IF(D171&lt;=E171,1,0)</f>
        <v>1</v>
      </c>
      <c r="P171" s="23" t="n">
        <f aca="false">G171+H171</f>
        <v>157.33</v>
      </c>
      <c r="Q171" s="23" t="n">
        <f aca="false">G171*INDEX(Assumptions!$B$8:$B$16,MATCH(F171,Assumptions!$A$8:$A$16,0))</f>
        <v>98.9232</v>
      </c>
      <c r="R171" s="23" t="n">
        <f aca="false">H171*Assumptions!$B$3</f>
        <v>14.19</v>
      </c>
      <c r="S171" s="23" t="n">
        <f aca="false">G171-Q171-R171</f>
        <v>20.5668</v>
      </c>
      <c r="T171" s="21" t="str">
        <f aca="false">IF(M171&lt;=7,"0-7 days",IF(M171&lt;=14,"8-14 days",IF(M171&lt;=21,"15-21 days","22+ days")))</f>
        <v>0-7 days</v>
      </c>
    </row>
    <row r="172" customFormat="false" ht="15" hidden="false" customHeight="false" outlineLevel="0" collapsed="false">
      <c r="A172" s="21" t="s">
        <v>238</v>
      </c>
      <c r="B172" s="21" t="s">
        <v>48</v>
      </c>
      <c r="C172" s="22" t="n">
        <v>42885</v>
      </c>
      <c r="D172" s="22" t="n">
        <v>42892</v>
      </c>
      <c r="E172" s="22" t="n">
        <v>42904</v>
      </c>
      <c r="F172" s="21" t="s">
        <v>79</v>
      </c>
      <c r="G172" s="23" t="n">
        <v>84.93</v>
      </c>
      <c r="H172" s="23" t="n">
        <v>17.68</v>
      </c>
      <c r="I172" s="21" t="s">
        <v>45</v>
      </c>
      <c r="J172" s="21" t="n">
        <v>4</v>
      </c>
      <c r="K172" s="21" t="s">
        <v>46</v>
      </c>
      <c r="L172" s="24" t="n">
        <f aca="false">DATE(YEAR(C172),MONTH(C172),1)</f>
        <v>42856</v>
      </c>
      <c r="M172" s="21" t="n">
        <f aca="false">D172-C172</f>
        <v>7</v>
      </c>
      <c r="N172" s="21" t="n">
        <f aca="false">MAX(0,D172-E172)</f>
        <v>0</v>
      </c>
      <c r="O172" s="21" t="n">
        <f aca="false">IF(D172&lt;=E172,1,0)</f>
        <v>1</v>
      </c>
      <c r="P172" s="23" t="n">
        <f aca="false">G172+H172</f>
        <v>102.61</v>
      </c>
      <c r="Q172" s="23" t="n">
        <f aca="false">G172*INDEX(Assumptions!$B$8:$B$16,MATCH(F172,Assumptions!$A$8:$A$16,0))</f>
        <v>59.451</v>
      </c>
      <c r="R172" s="23" t="n">
        <f aca="false">H172*Assumptions!$B$3</f>
        <v>10.608</v>
      </c>
      <c r="S172" s="23" t="n">
        <f aca="false">G172-Q172-R172</f>
        <v>14.871</v>
      </c>
      <c r="T172" s="21" t="str">
        <f aca="false">IF(M172&lt;=7,"0-7 days",IF(M172&lt;=14,"8-14 days",IF(M172&lt;=21,"15-21 days","22+ days")))</f>
        <v>0-7 days</v>
      </c>
    </row>
    <row r="173" customFormat="false" ht="15" hidden="false" customHeight="false" outlineLevel="0" collapsed="false">
      <c r="A173" s="21" t="s">
        <v>239</v>
      </c>
      <c r="B173" s="21" t="s">
        <v>19</v>
      </c>
      <c r="C173" s="22" t="n">
        <v>42886</v>
      </c>
      <c r="D173" s="22" t="n">
        <v>42892</v>
      </c>
      <c r="E173" s="22" t="n">
        <v>42900</v>
      </c>
      <c r="F173" s="21" t="s">
        <v>59</v>
      </c>
      <c r="G173" s="23" t="n">
        <v>76.85</v>
      </c>
      <c r="H173" s="23" t="n">
        <v>13.96</v>
      </c>
      <c r="I173" s="21" t="s">
        <v>45</v>
      </c>
      <c r="J173" s="21" t="n">
        <v>3</v>
      </c>
      <c r="K173" s="21" t="s">
        <v>46</v>
      </c>
      <c r="L173" s="24" t="n">
        <f aca="false">DATE(YEAR(C173),MONTH(C173),1)</f>
        <v>42856</v>
      </c>
      <c r="M173" s="21" t="n">
        <f aca="false">D173-C173</f>
        <v>6</v>
      </c>
      <c r="N173" s="21" t="n">
        <f aca="false">MAX(0,D173-E173)</f>
        <v>0</v>
      </c>
      <c r="O173" s="21" t="n">
        <f aca="false">IF(D173&lt;=E173,1,0)</f>
        <v>1</v>
      </c>
      <c r="P173" s="23" t="n">
        <f aca="false">G173+H173</f>
        <v>90.81</v>
      </c>
      <c r="Q173" s="23" t="n">
        <f aca="false">G173*INDEX(Assumptions!$B$8:$B$16,MATCH(F173,Assumptions!$A$8:$A$16,0))</f>
        <v>49.184</v>
      </c>
      <c r="R173" s="23" t="n">
        <f aca="false">H173*Assumptions!$B$3</f>
        <v>8.376</v>
      </c>
      <c r="S173" s="23" t="n">
        <f aca="false">G173-Q173-R173</f>
        <v>19.29</v>
      </c>
      <c r="T173" s="21" t="str">
        <f aca="false">IF(M173&lt;=7,"0-7 days",IF(M173&lt;=14,"8-14 days",IF(M173&lt;=21,"15-21 days","22+ days")))</f>
        <v>0-7 days</v>
      </c>
    </row>
    <row r="174" customFormat="false" ht="15" hidden="false" customHeight="false" outlineLevel="0" collapsed="false">
      <c r="A174" s="21" t="s">
        <v>240</v>
      </c>
      <c r="B174" s="21" t="s">
        <v>19</v>
      </c>
      <c r="C174" s="22" t="n">
        <v>42886</v>
      </c>
      <c r="D174" s="22" t="n">
        <v>42895</v>
      </c>
      <c r="E174" s="22" t="n">
        <v>42899</v>
      </c>
      <c r="F174" s="21" t="s">
        <v>59</v>
      </c>
      <c r="G174" s="23" t="n">
        <v>94.99</v>
      </c>
      <c r="H174" s="23" t="n">
        <v>18.6</v>
      </c>
      <c r="I174" s="21" t="s">
        <v>45</v>
      </c>
      <c r="J174" s="21" t="n">
        <v>5</v>
      </c>
      <c r="K174" s="21" t="s">
        <v>46</v>
      </c>
      <c r="L174" s="24" t="n">
        <f aca="false">DATE(YEAR(C174),MONTH(C174),1)</f>
        <v>42856</v>
      </c>
      <c r="M174" s="21" t="n">
        <f aca="false">D174-C174</f>
        <v>9</v>
      </c>
      <c r="N174" s="21" t="n">
        <f aca="false">MAX(0,D174-E174)</f>
        <v>0</v>
      </c>
      <c r="O174" s="21" t="n">
        <f aca="false">IF(D174&lt;=E174,1,0)</f>
        <v>1</v>
      </c>
      <c r="P174" s="23" t="n">
        <f aca="false">G174+H174</f>
        <v>113.59</v>
      </c>
      <c r="Q174" s="23" t="n">
        <f aca="false">G174*INDEX(Assumptions!$B$8:$B$16,MATCH(F174,Assumptions!$A$8:$A$16,0))</f>
        <v>60.7936</v>
      </c>
      <c r="R174" s="23" t="n">
        <f aca="false">H174*Assumptions!$B$3</f>
        <v>11.16</v>
      </c>
      <c r="S174" s="23" t="n">
        <f aca="false">G174-Q174-R174</f>
        <v>23.0364</v>
      </c>
      <c r="T174" s="21" t="str">
        <f aca="false">IF(M174&lt;=7,"0-7 days",IF(M174&lt;=14,"8-14 days",IF(M174&lt;=21,"15-21 days","22+ days")))</f>
        <v>8-14 days</v>
      </c>
    </row>
    <row r="175" customFormat="false" ht="15" hidden="false" customHeight="false" outlineLevel="0" collapsed="false">
      <c r="A175" s="21" t="s">
        <v>241</v>
      </c>
      <c r="B175" s="21" t="s">
        <v>62</v>
      </c>
      <c r="C175" s="22" t="n">
        <v>42886</v>
      </c>
      <c r="D175" s="22" t="n">
        <v>42900</v>
      </c>
      <c r="E175" s="22" t="n">
        <v>42907</v>
      </c>
      <c r="F175" s="21" t="s">
        <v>44</v>
      </c>
      <c r="G175" s="23" t="n">
        <v>36.73</v>
      </c>
      <c r="H175" s="23" t="n">
        <v>21.86</v>
      </c>
      <c r="I175" s="21" t="s">
        <v>45</v>
      </c>
      <c r="J175" s="21" t="n">
        <v>5</v>
      </c>
      <c r="K175" s="21" t="s">
        <v>46</v>
      </c>
      <c r="L175" s="24" t="n">
        <f aca="false">DATE(YEAR(C175),MONTH(C175),1)</f>
        <v>42856</v>
      </c>
      <c r="M175" s="21" t="n">
        <f aca="false">D175-C175</f>
        <v>14</v>
      </c>
      <c r="N175" s="21" t="n">
        <f aca="false">MAX(0,D175-E175)</f>
        <v>0</v>
      </c>
      <c r="O175" s="21" t="n">
        <f aca="false">IF(D175&lt;=E175,1,0)</f>
        <v>1</v>
      </c>
      <c r="P175" s="23" t="n">
        <f aca="false">G175+H175</f>
        <v>58.59</v>
      </c>
      <c r="Q175" s="23" t="n">
        <f aca="false">G175*INDEX(Assumptions!$B$8:$B$16,MATCH(F175,Assumptions!$A$8:$A$16,0))</f>
        <v>22.038</v>
      </c>
      <c r="R175" s="23" t="n">
        <f aca="false">H175*Assumptions!$B$3</f>
        <v>13.116</v>
      </c>
      <c r="S175" s="23" t="n">
        <f aca="false">G175-Q175-R175</f>
        <v>1.576</v>
      </c>
      <c r="T175" s="21" t="str">
        <f aca="false">IF(M175&lt;=7,"0-7 days",IF(M175&lt;=14,"8-14 days",IF(M175&lt;=21,"15-21 days","22+ days")))</f>
        <v>8-14 days</v>
      </c>
    </row>
    <row r="176" customFormat="false" ht="15" hidden="false" customHeight="false" outlineLevel="0" collapsed="false">
      <c r="A176" s="21" t="s">
        <v>242</v>
      </c>
      <c r="B176" s="21" t="s">
        <v>19</v>
      </c>
      <c r="C176" s="22" t="n">
        <v>42887</v>
      </c>
      <c r="D176" s="22" t="n">
        <v>42893</v>
      </c>
      <c r="E176" s="22" t="n">
        <v>42905</v>
      </c>
      <c r="F176" s="21" t="s">
        <v>64</v>
      </c>
      <c r="G176" s="23" t="n">
        <v>252.51</v>
      </c>
      <c r="H176" s="23" t="n">
        <v>18.97</v>
      </c>
      <c r="I176" s="21" t="s">
        <v>50</v>
      </c>
      <c r="J176" s="21" t="n">
        <v>4</v>
      </c>
      <c r="K176" s="21" t="s">
        <v>46</v>
      </c>
      <c r="L176" s="24" t="n">
        <f aca="false">DATE(YEAR(C176),MONTH(C176),1)</f>
        <v>42887</v>
      </c>
      <c r="M176" s="21" t="n">
        <f aca="false">D176-C176</f>
        <v>6</v>
      </c>
      <c r="N176" s="21" t="n">
        <f aca="false">MAX(0,D176-E176)</f>
        <v>0</v>
      </c>
      <c r="O176" s="21" t="n">
        <f aca="false">IF(D176&lt;=E176,1,0)</f>
        <v>1</v>
      </c>
      <c r="P176" s="23" t="n">
        <f aca="false">G176+H176</f>
        <v>271.48</v>
      </c>
      <c r="Q176" s="23" t="n">
        <f aca="false">G176*INDEX(Assumptions!$B$8:$B$16,MATCH(F176,Assumptions!$A$8:$A$16,0))</f>
        <v>166.6566</v>
      </c>
      <c r="R176" s="23" t="n">
        <f aca="false">H176*Assumptions!$B$3</f>
        <v>11.382</v>
      </c>
      <c r="S176" s="23" t="n">
        <f aca="false">G176-Q176-R176</f>
        <v>74.4714</v>
      </c>
      <c r="T176" s="21" t="str">
        <f aca="false">IF(M176&lt;=7,"0-7 days",IF(M176&lt;=14,"8-14 days",IF(M176&lt;=21,"15-21 days","22+ days")))</f>
        <v>0-7 days</v>
      </c>
    </row>
    <row r="177" customFormat="false" ht="15" hidden="false" customHeight="false" outlineLevel="0" collapsed="false">
      <c r="A177" s="21" t="s">
        <v>243</v>
      </c>
      <c r="B177" s="21" t="s">
        <v>55</v>
      </c>
      <c r="C177" s="22" t="n">
        <v>42888</v>
      </c>
      <c r="D177" s="22" t="n">
        <v>42910</v>
      </c>
      <c r="E177" s="22" t="n">
        <v>42916</v>
      </c>
      <c r="F177" s="21" t="s">
        <v>64</v>
      </c>
      <c r="G177" s="23" t="n">
        <v>155.46</v>
      </c>
      <c r="H177" s="23" t="n">
        <v>20.73</v>
      </c>
      <c r="I177" s="21" t="s">
        <v>60</v>
      </c>
      <c r="J177" s="21" t="n">
        <v>5</v>
      </c>
      <c r="K177" s="21" t="s">
        <v>46</v>
      </c>
      <c r="L177" s="24" t="n">
        <f aca="false">DATE(YEAR(C177),MONTH(C177),1)</f>
        <v>42887</v>
      </c>
      <c r="M177" s="21" t="n">
        <f aca="false">D177-C177</f>
        <v>22</v>
      </c>
      <c r="N177" s="21" t="n">
        <f aca="false">MAX(0,D177-E177)</f>
        <v>0</v>
      </c>
      <c r="O177" s="21" t="n">
        <f aca="false">IF(D177&lt;=E177,1,0)</f>
        <v>1</v>
      </c>
      <c r="P177" s="23" t="n">
        <f aca="false">G177+H177</f>
        <v>176.19</v>
      </c>
      <c r="Q177" s="23" t="n">
        <f aca="false">G177*INDEX(Assumptions!$B$8:$B$16,MATCH(F177,Assumptions!$A$8:$A$16,0))</f>
        <v>102.6036</v>
      </c>
      <c r="R177" s="23" t="n">
        <f aca="false">H177*Assumptions!$B$3</f>
        <v>12.438</v>
      </c>
      <c r="S177" s="23" t="n">
        <f aca="false">G177-Q177-R177</f>
        <v>40.4184</v>
      </c>
      <c r="T177" s="21" t="str">
        <f aca="false">IF(M177&lt;=7,"0-7 days",IF(M177&lt;=14,"8-14 days",IF(M177&lt;=21,"15-21 days","22+ days")))</f>
        <v>22+ days</v>
      </c>
    </row>
    <row r="178" customFormat="false" ht="15" hidden="false" customHeight="false" outlineLevel="0" collapsed="false">
      <c r="A178" s="21" t="s">
        <v>244</v>
      </c>
      <c r="B178" s="21" t="s">
        <v>55</v>
      </c>
      <c r="C178" s="22" t="n">
        <v>42888</v>
      </c>
      <c r="D178" s="22" t="n">
        <v>42911</v>
      </c>
      <c r="E178" s="22" t="n">
        <v>42915</v>
      </c>
      <c r="F178" s="21" t="s">
        <v>111</v>
      </c>
      <c r="G178" s="23" t="n">
        <v>63.12</v>
      </c>
      <c r="H178" s="23" t="n">
        <v>16.78</v>
      </c>
      <c r="I178" s="21" t="s">
        <v>45</v>
      </c>
      <c r="J178" s="21" t="n">
        <v>3</v>
      </c>
      <c r="K178" s="21" t="s">
        <v>46</v>
      </c>
      <c r="L178" s="24" t="n">
        <f aca="false">DATE(YEAR(C178),MONTH(C178),1)</f>
        <v>42887</v>
      </c>
      <c r="M178" s="21" t="n">
        <f aca="false">D178-C178</f>
        <v>23</v>
      </c>
      <c r="N178" s="21" t="n">
        <f aca="false">MAX(0,D178-E178)</f>
        <v>0</v>
      </c>
      <c r="O178" s="21" t="n">
        <f aca="false">IF(D178&lt;=E178,1,0)</f>
        <v>1</v>
      </c>
      <c r="P178" s="23" t="n">
        <f aca="false">G178+H178</f>
        <v>79.9</v>
      </c>
      <c r="Q178" s="23" t="n">
        <f aca="false">G178*INDEX(Assumptions!$B$8:$B$16,MATCH(F178,Assumptions!$A$8:$A$16,0))</f>
        <v>39.7656</v>
      </c>
      <c r="R178" s="23" t="n">
        <f aca="false">H178*Assumptions!$B$3</f>
        <v>10.068</v>
      </c>
      <c r="S178" s="23" t="n">
        <f aca="false">G178-Q178-R178</f>
        <v>13.2864</v>
      </c>
      <c r="T178" s="21" t="str">
        <f aca="false">IF(M178&lt;=7,"0-7 days",IF(M178&lt;=14,"8-14 days",IF(M178&lt;=21,"15-21 days","22+ days")))</f>
        <v>22+ days</v>
      </c>
    </row>
    <row r="179" customFormat="false" ht="15" hidden="false" customHeight="false" outlineLevel="0" collapsed="false">
      <c r="A179" s="21" t="s">
        <v>245</v>
      </c>
      <c r="B179" s="21" t="s">
        <v>19</v>
      </c>
      <c r="C179" s="22" t="n">
        <v>42888</v>
      </c>
      <c r="D179" s="22" t="n">
        <v>42894</v>
      </c>
      <c r="E179" s="22" t="n">
        <v>42905</v>
      </c>
      <c r="F179" s="21" t="s">
        <v>64</v>
      </c>
      <c r="G179" s="23" t="n">
        <v>51.72</v>
      </c>
      <c r="H179" s="23" t="n">
        <v>13.49</v>
      </c>
      <c r="I179" s="21" t="s">
        <v>45</v>
      </c>
      <c r="J179" s="21" t="n">
        <v>4</v>
      </c>
      <c r="K179" s="21" t="s">
        <v>46</v>
      </c>
      <c r="L179" s="24" t="n">
        <f aca="false">DATE(YEAR(C179),MONTH(C179),1)</f>
        <v>42887</v>
      </c>
      <c r="M179" s="21" t="n">
        <f aca="false">D179-C179</f>
        <v>6</v>
      </c>
      <c r="N179" s="21" t="n">
        <f aca="false">MAX(0,D179-E179)</f>
        <v>0</v>
      </c>
      <c r="O179" s="21" t="n">
        <f aca="false">IF(D179&lt;=E179,1,0)</f>
        <v>1</v>
      </c>
      <c r="P179" s="23" t="n">
        <f aca="false">G179+H179</f>
        <v>65.21</v>
      </c>
      <c r="Q179" s="23" t="n">
        <f aca="false">G179*INDEX(Assumptions!$B$8:$B$16,MATCH(F179,Assumptions!$A$8:$A$16,0))</f>
        <v>34.1352</v>
      </c>
      <c r="R179" s="23" t="n">
        <f aca="false">H179*Assumptions!$B$3</f>
        <v>8.094</v>
      </c>
      <c r="S179" s="23" t="n">
        <f aca="false">G179-Q179-R179</f>
        <v>9.4908</v>
      </c>
      <c r="T179" s="21" t="str">
        <f aca="false">IF(M179&lt;=7,"0-7 days",IF(M179&lt;=14,"8-14 days",IF(M179&lt;=21,"15-21 days","22+ days")))</f>
        <v>0-7 days</v>
      </c>
    </row>
    <row r="180" customFormat="false" ht="15" hidden="false" customHeight="false" outlineLevel="0" collapsed="false">
      <c r="A180" s="21" t="s">
        <v>246</v>
      </c>
      <c r="B180" s="21" t="s">
        <v>19</v>
      </c>
      <c r="C180" s="22" t="n">
        <v>42888</v>
      </c>
      <c r="D180" s="22" t="n">
        <v>42892</v>
      </c>
      <c r="E180" s="22" t="n">
        <v>42904</v>
      </c>
      <c r="F180" s="21" t="s">
        <v>67</v>
      </c>
      <c r="G180" s="23" t="n">
        <v>65.73</v>
      </c>
      <c r="H180" s="23" t="n">
        <v>13.53</v>
      </c>
      <c r="I180" s="21" t="s">
        <v>45</v>
      </c>
      <c r="J180" s="21" t="n">
        <v>5</v>
      </c>
      <c r="K180" s="21" t="s">
        <v>46</v>
      </c>
      <c r="L180" s="24" t="n">
        <f aca="false">DATE(YEAR(C180),MONTH(C180),1)</f>
        <v>42887</v>
      </c>
      <c r="M180" s="21" t="n">
        <f aca="false">D180-C180</f>
        <v>4</v>
      </c>
      <c r="N180" s="21" t="n">
        <f aca="false">MAX(0,D180-E180)</f>
        <v>0</v>
      </c>
      <c r="O180" s="21" t="n">
        <f aca="false">IF(D180&lt;=E180,1,0)</f>
        <v>1</v>
      </c>
      <c r="P180" s="23" t="n">
        <f aca="false">G180+H180</f>
        <v>79.26</v>
      </c>
      <c r="Q180" s="23" t="n">
        <f aca="false">G180*INDEX(Assumptions!$B$8:$B$16,MATCH(F180,Assumptions!$A$8:$A$16,0))</f>
        <v>40.7526</v>
      </c>
      <c r="R180" s="23" t="n">
        <f aca="false">H180*Assumptions!$B$3</f>
        <v>8.118</v>
      </c>
      <c r="S180" s="23" t="n">
        <f aca="false">G180-Q180-R180</f>
        <v>16.8594</v>
      </c>
      <c r="T180" s="21" t="str">
        <f aca="false">IF(M180&lt;=7,"0-7 days",IF(M180&lt;=14,"8-14 days",IF(M180&lt;=21,"15-21 days","22+ days")))</f>
        <v>0-7 days</v>
      </c>
    </row>
    <row r="181" customFormat="false" ht="15" hidden="false" customHeight="false" outlineLevel="0" collapsed="false">
      <c r="A181" s="21" t="s">
        <v>247</v>
      </c>
      <c r="B181" s="21" t="s">
        <v>19</v>
      </c>
      <c r="C181" s="22" t="n">
        <v>42889</v>
      </c>
      <c r="D181" s="22" t="n">
        <v>42898</v>
      </c>
      <c r="E181" s="22" t="n">
        <v>42904</v>
      </c>
      <c r="F181" s="21" t="s">
        <v>49</v>
      </c>
      <c r="G181" s="23" t="n">
        <v>121.17</v>
      </c>
      <c r="H181" s="23" t="n">
        <v>14.81</v>
      </c>
      <c r="I181" s="21" t="s">
        <v>45</v>
      </c>
      <c r="J181" s="21" t="n">
        <v>3</v>
      </c>
      <c r="K181" s="21" t="s">
        <v>46</v>
      </c>
      <c r="L181" s="24" t="n">
        <f aca="false">DATE(YEAR(C181),MONTH(C181),1)</f>
        <v>42887</v>
      </c>
      <c r="M181" s="21" t="n">
        <f aca="false">D181-C181</f>
        <v>9</v>
      </c>
      <c r="N181" s="21" t="n">
        <f aca="false">MAX(0,D181-E181)</f>
        <v>0</v>
      </c>
      <c r="O181" s="21" t="n">
        <f aca="false">IF(D181&lt;=E181,1,0)</f>
        <v>1</v>
      </c>
      <c r="P181" s="23" t="n">
        <f aca="false">G181+H181</f>
        <v>135.98</v>
      </c>
      <c r="Q181" s="23" t="n">
        <f aca="false">G181*INDEX(Assumptions!$B$8:$B$16,MATCH(F181,Assumptions!$A$8:$A$16,0))</f>
        <v>70.2786</v>
      </c>
      <c r="R181" s="23" t="n">
        <f aca="false">H181*Assumptions!$B$3</f>
        <v>8.886</v>
      </c>
      <c r="S181" s="23" t="n">
        <f aca="false">G181-Q181-R181</f>
        <v>42.0054</v>
      </c>
      <c r="T181" s="21" t="str">
        <f aca="false">IF(M181&lt;=7,"0-7 days",IF(M181&lt;=14,"8-14 days",IF(M181&lt;=21,"15-21 days","22+ days")))</f>
        <v>8-14 days</v>
      </c>
    </row>
    <row r="182" customFormat="false" ht="15" hidden="false" customHeight="false" outlineLevel="0" collapsed="false">
      <c r="A182" s="21" t="s">
        <v>248</v>
      </c>
      <c r="B182" s="21" t="s">
        <v>19</v>
      </c>
      <c r="C182" s="22" t="n">
        <v>42889</v>
      </c>
      <c r="D182" s="22" t="n">
        <v>42896</v>
      </c>
      <c r="E182" s="22" t="n">
        <v>42907</v>
      </c>
      <c r="F182" s="21" t="s">
        <v>111</v>
      </c>
      <c r="G182" s="23" t="n">
        <v>100.95</v>
      </c>
      <c r="H182" s="23" t="n">
        <v>19.59</v>
      </c>
      <c r="I182" s="21" t="s">
        <v>45</v>
      </c>
      <c r="J182" s="21" t="n">
        <v>5</v>
      </c>
      <c r="K182" s="21" t="s">
        <v>46</v>
      </c>
      <c r="L182" s="24" t="n">
        <f aca="false">DATE(YEAR(C182),MONTH(C182),1)</f>
        <v>42887</v>
      </c>
      <c r="M182" s="21" t="n">
        <f aca="false">D182-C182</f>
        <v>7</v>
      </c>
      <c r="N182" s="21" t="n">
        <f aca="false">MAX(0,D182-E182)</f>
        <v>0</v>
      </c>
      <c r="O182" s="21" t="n">
        <f aca="false">IF(D182&lt;=E182,1,0)</f>
        <v>1</v>
      </c>
      <c r="P182" s="23" t="n">
        <f aca="false">G182+H182</f>
        <v>120.54</v>
      </c>
      <c r="Q182" s="23" t="n">
        <f aca="false">G182*INDEX(Assumptions!$B$8:$B$16,MATCH(F182,Assumptions!$A$8:$A$16,0))</f>
        <v>63.5985</v>
      </c>
      <c r="R182" s="23" t="n">
        <f aca="false">H182*Assumptions!$B$3</f>
        <v>11.754</v>
      </c>
      <c r="S182" s="23" t="n">
        <f aca="false">G182-Q182-R182</f>
        <v>25.5975</v>
      </c>
      <c r="T182" s="21" t="str">
        <f aca="false">IF(M182&lt;=7,"0-7 days",IF(M182&lt;=14,"8-14 days",IF(M182&lt;=21,"15-21 days","22+ days")))</f>
        <v>0-7 days</v>
      </c>
    </row>
    <row r="183" customFormat="false" ht="15" hidden="false" customHeight="false" outlineLevel="0" collapsed="false">
      <c r="A183" s="21" t="s">
        <v>249</v>
      </c>
      <c r="B183" s="21" t="s">
        <v>19</v>
      </c>
      <c r="C183" s="22" t="n">
        <v>42889</v>
      </c>
      <c r="D183" s="22" t="n">
        <v>42895</v>
      </c>
      <c r="E183" s="22" t="n">
        <v>42906</v>
      </c>
      <c r="F183" s="21" t="s">
        <v>111</v>
      </c>
      <c r="G183" s="23" t="n">
        <v>48.08</v>
      </c>
      <c r="H183" s="23" t="n">
        <v>19.71</v>
      </c>
      <c r="I183" s="21" t="s">
        <v>45</v>
      </c>
      <c r="J183" s="21" t="n">
        <v>4</v>
      </c>
      <c r="K183" s="21" t="s">
        <v>46</v>
      </c>
      <c r="L183" s="24" t="n">
        <f aca="false">DATE(YEAR(C183),MONTH(C183),1)</f>
        <v>42887</v>
      </c>
      <c r="M183" s="21" t="n">
        <f aca="false">D183-C183</f>
        <v>6</v>
      </c>
      <c r="N183" s="21" t="n">
        <f aca="false">MAX(0,D183-E183)</f>
        <v>0</v>
      </c>
      <c r="O183" s="21" t="n">
        <f aca="false">IF(D183&lt;=E183,1,0)</f>
        <v>1</v>
      </c>
      <c r="P183" s="23" t="n">
        <f aca="false">G183+H183</f>
        <v>67.79</v>
      </c>
      <c r="Q183" s="23" t="n">
        <f aca="false">G183*INDEX(Assumptions!$B$8:$B$16,MATCH(F183,Assumptions!$A$8:$A$16,0))</f>
        <v>30.2904</v>
      </c>
      <c r="R183" s="23" t="n">
        <f aca="false">H183*Assumptions!$B$3</f>
        <v>11.826</v>
      </c>
      <c r="S183" s="23" t="n">
        <f aca="false">G183-Q183-R183</f>
        <v>5.9636</v>
      </c>
      <c r="T183" s="21" t="str">
        <f aca="false">IF(M183&lt;=7,"0-7 days",IF(M183&lt;=14,"8-14 days",IF(M183&lt;=21,"15-21 days","22+ days")))</f>
        <v>0-7 days</v>
      </c>
    </row>
    <row r="184" customFormat="false" ht="15" hidden="false" customHeight="false" outlineLevel="0" collapsed="false">
      <c r="A184" s="21" t="s">
        <v>250</v>
      </c>
      <c r="B184" s="21" t="s">
        <v>77</v>
      </c>
      <c r="C184" s="22" t="n">
        <v>42890</v>
      </c>
      <c r="D184" s="22" t="n">
        <v>42906</v>
      </c>
      <c r="E184" s="22" t="n">
        <v>42914</v>
      </c>
      <c r="F184" s="21" t="s">
        <v>59</v>
      </c>
      <c r="G184" s="23" t="n">
        <v>82.48</v>
      </c>
      <c r="H184" s="23" t="n">
        <v>24.53</v>
      </c>
      <c r="I184" s="21" t="s">
        <v>45</v>
      </c>
      <c r="J184" s="21" t="n">
        <v>5</v>
      </c>
      <c r="K184" s="21" t="s">
        <v>46</v>
      </c>
      <c r="L184" s="24" t="n">
        <f aca="false">DATE(YEAR(C184),MONTH(C184),1)</f>
        <v>42887</v>
      </c>
      <c r="M184" s="21" t="n">
        <f aca="false">D184-C184</f>
        <v>16</v>
      </c>
      <c r="N184" s="21" t="n">
        <f aca="false">MAX(0,D184-E184)</f>
        <v>0</v>
      </c>
      <c r="O184" s="21" t="n">
        <f aca="false">IF(D184&lt;=E184,1,0)</f>
        <v>1</v>
      </c>
      <c r="P184" s="23" t="n">
        <f aca="false">G184+H184</f>
        <v>107.01</v>
      </c>
      <c r="Q184" s="23" t="n">
        <f aca="false">G184*INDEX(Assumptions!$B$8:$B$16,MATCH(F184,Assumptions!$A$8:$A$16,0))</f>
        <v>52.7872</v>
      </c>
      <c r="R184" s="23" t="n">
        <f aca="false">H184*Assumptions!$B$3</f>
        <v>14.718</v>
      </c>
      <c r="S184" s="23" t="n">
        <f aca="false">G184-Q184-R184</f>
        <v>14.9748</v>
      </c>
      <c r="T184" s="21" t="str">
        <f aca="false">IF(M184&lt;=7,"0-7 days",IF(M184&lt;=14,"8-14 days",IF(M184&lt;=21,"15-21 days","22+ days")))</f>
        <v>15-21 days</v>
      </c>
    </row>
    <row r="185" customFormat="false" ht="15" hidden="false" customHeight="false" outlineLevel="0" collapsed="false">
      <c r="A185" s="21" t="s">
        <v>251</v>
      </c>
      <c r="B185" s="21" t="s">
        <v>62</v>
      </c>
      <c r="C185" s="22" t="n">
        <v>42891</v>
      </c>
      <c r="D185" s="22" t="n">
        <v>42904</v>
      </c>
      <c r="E185" s="22" t="n">
        <v>42913</v>
      </c>
      <c r="F185" s="21" t="s">
        <v>49</v>
      </c>
      <c r="G185" s="23" t="n">
        <v>127.96</v>
      </c>
      <c r="H185" s="23" t="n">
        <v>23.23</v>
      </c>
      <c r="I185" s="21" t="s">
        <v>50</v>
      </c>
      <c r="J185" s="21" t="n">
        <v>3</v>
      </c>
      <c r="K185" s="21" t="s">
        <v>46</v>
      </c>
      <c r="L185" s="24" t="n">
        <f aca="false">DATE(YEAR(C185),MONTH(C185),1)</f>
        <v>42887</v>
      </c>
      <c r="M185" s="21" t="n">
        <f aca="false">D185-C185</f>
        <v>13</v>
      </c>
      <c r="N185" s="21" t="n">
        <f aca="false">MAX(0,D185-E185)</f>
        <v>0</v>
      </c>
      <c r="O185" s="21" t="n">
        <f aca="false">IF(D185&lt;=E185,1,0)</f>
        <v>1</v>
      </c>
      <c r="P185" s="23" t="n">
        <f aca="false">G185+H185</f>
        <v>151.19</v>
      </c>
      <c r="Q185" s="23" t="n">
        <f aca="false">G185*INDEX(Assumptions!$B$8:$B$16,MATCH(F185,Assumptions!$A$8:$A$16,0))</f>
        <v>74.2168</v>
      </c>
      <c r="R185" s="23" t="n">
        <f aca="false">H185*Assumptions!$B$3</f>
        <v>13.938</v>
      </c>
      <c r="S185" s="23" t="n">
        <f aca="false">G185-Q185-R185</f>
        <v>39.8052</v>
      </c>
      <c r="T185" s="21" t="str">
        <f aca="false">IF(M185&lt;=7,"0-7 days",IF(M185&lt;=14,"8-14 days",IF(M185&lt;=21,"15-21 days","22+ days")))</f>
        <v>8-14 days</v>
      </c>
    </row>
    <row r="186" customFormat="false" ht="15" hidden="false" customHeight="false" outlineLevel="0" collapsed="false">
      <c r="A186" s="21" t="s">
        <v>252</v>
      </c>
      <c r="B186" s="21" t="s">
        <v>52</v>
      </c>
      <c r="C186" s="22" t="n">
        <v>42891</v>
      </c>
      <c r="D186" s="22" t="n">
        <v>42902</v>
      </c>
      <c r="E186" s="22" t="n">
        <v>42920</v>
      </c>
      <c r="F186" s="21" t="s">
        <v>44</v>
      </c>
      <c r="G186" s="23" t="n">
        <v>72.1</v>
      </c>
      <c r="H186" s="23" t="n">
        <v>26.2</v>
      </c>
      <c r="I186" s="21" t="s">
        <v>45</v>
      </c>
      <c r="J186" s="21" t="n">
        <v>4</v>
      </c>
      <c r="K186" s="21" t="s">
        <v>46</v>
      </c>
      <c r="L186" s="24" t="n">
        <f aca="false">DATE(YEAR(C186),MONTH(C186),1)</f>
        <v>42887</v>
      </c>
      <c r="M186" s="21" t="n">
        <f aca="false">D186-C186</f>
        <v>11</v>
      </c>
      <c r="N186" s="21" t="n">
        <f aca="false">MAX(0,D186-E186)</f>
        <v>0</v>
      </c>
      <c r="O186" s="21" t="n">
        <f aca="false">IF(D186&lt;=E186,1,0)</f>
        <v>1</v>
      </c>
      <c r="P186" s="23" t="n">
        <f aca="false">G186+H186</f>
        <v>98.3</v>
      </c>
      <c r="Q186" s="23" t="n">
        <f aca="false">G186*INDEX(Assumptions!$B$8:$B$16,MATCH(F186,Assumptions!$A$8:$A$16,0))</f>
        <v>43.26</v>
      </c>
      <c r="R186" s="23" t="n">
        <f aca="false">H186*Assumptions!$B$3</f>
        <v>15.72</v>
      </c>
      <c r="S186" s="23" t="n">
        <f aca="false">G186-Q186-R186</f>
        <v>13.12</v>
      </c>
      <c r="T186" s="21" t="str">
        <f aca="false">IF(M186&lt;=7,"0-7 days",IF(M186&lt;=14,"8-14 days",IF(M186&lt;=21,"15-21 days","22+ days")))</f>
        <v>8-14 days</v>
      </c>
    </row>
    <row r="187" customFormat="false" ht="15" hidden="false" customHeight="false" outlineLevel="0" collapsed="false">
      <c r="A187" s="21" t="s">
        <v>253</v>
      </c>
      <c r="B187" s="21" t="s">
        <v>19</v>
      </c>
      <c r="C187" s="22" t="n">
        <v>42891</v>
      </c>
      <c r="D187" s="22" t="n">
        <v>42899</v>
      </c>
      <c r="E187" s="22" t="n">
        <v>42908</v>
      </c>
      <c r="F187" s="21" t="s">
        <v>59</v>
      </c>
      <c r="G187" s="23" t="n">
        <v>118</v>
      </c>
      <c r="H187" s="23" t="n">
        <v>14.86</v>
      </c>
      <c r="I187" s="21" t="s">
        <v>60</v>
      </c>
      <c r="J187" s="21" t="n">
        <v>5</v>
      </c>
      <c r="K187" s="21" t="s">
        <v>46</v>
      </c>
      <c r="L187" s="24" t="n">
        <f aca="false">DATE(YEAR(C187),MONTH(C187),1)</f>
        <v>42887</v>
      </c>
      <c r="M187" s="21" t="n">
        <f aca="false">D187-C187</f>
        <v>8</v>
      </c>
      <c r="N187" s="21" t="n">
        <f aca="false">MAX(0,D187-E187)</f>
        <v>0</v>
      </c>
      <c r="O187" s="21" t="n">
        <f aca="false">IF(D187&lt;=E187,1,0)</f>
        <v>1</v>
      </c>
      <c r="P187" s="23" t="n">
        <f aca="false">G187+H187</f>
        <v>132.86</v>
      </c>
      <c r="Q187" s="23" t="n">
        <f aca="false">G187*INDEX(Assumptions!$B$8:$B$16,MATCH(F187,Assumptions!$A$8:$A$16,0))</f>
        <v>75.52</v>
      </c>
      <c r="R187" s="23" t="n">
        <f aca="false">H187*Assumptions!$B$3</f>
        <v>8.916</v>
      </c>
      <c r="S187" s="23" t="n">
        <f aca="false">G187-Q187-R187</f>
        <v>33.564</v>
      </c>
      <c r="T187" s="21" t="str">
        <f aca="false">IF(M187&lt;=7,"0-7 days",IF(M187&lt;=14,"8-14 days",IF(M187&lt;=21,"15-21 days","22+ days")))</f>
        <v>8-14 days</v>
      </c>
    </row>
    <row r="188" customFormat="false" ht="15" hidden="false" customHeight="false" outlineLevel="0" collapsed="false">
      <c r="A188" s="21" t="s">
        <v>254</v>
      </c>
      <c r="B188" s="21" t="s">
        <v>19</v>
      </c>
      <c r="C188" s="22" t="n">
        <v>42892</v>
      </c>
      <c r="D188" s="22" t="n">
        <v>42898</v>
      </c>
      <c r="E188" s="22" t="n">
        <v>42910</v>
      </c>
      <c r="F188" s="21" t="s">
        <v>44</v>
      </c>
      <c r="G188" s="23" t="n">
        <v>56.36</v>
      </c>
      <c r="H188" s="23" t="n">
        <v>21.11</v>
      </c>
      <c r="I188" s="21" t="s">
        <v>45</v>
      </c>
      <c r="J188" s="21" t="n">
        <v>4</v>
      </c>
      <c r="K188" s="21" t="s">
        <v>46</v>
      </c>
      <c r="L188" s="24" t="n">
        <f aca="false">DATE(YEAR(C188),MONTH(C188),1)</f>
        <v>42887</v>
      </c>
      <c r="M188" s="21" t="n">
        <f aca="false">D188-C188</f>
        <v>6</v>
      </c>
      <c r="N188" s="21" t="n">
        <f aca="false">MAX(0,D188-E188)</f>
        <v>0</v>
      </c>
      <c r="O188" s="21" t="n">
        <f aca="false">IF(D188&lt;=E188,1,0)</f>
        <v>1</v>
      </c>
      <c r="P188" s="23" t="n">
        <f aca="false">G188+H188</f>
        <v>77.47</v>
      </c>
      <c r="Q188" s="23" t="n">
        <f aca="false">G188*INDEX(Assumptions!$B$8:$B$16,MATCH(F188,Assumptions!$A$8:$A$16,0))</f>
        <v>33.816</v>
      </c>
      <c r="R188" s="23" t="n">
        <f aca="false">H188*Assumptions!$B$3</f>
        <v>12.666</v>
      </c>
      <c r="S188" s="23" t="n">
        <f aca="false">G188-Q188-R188</f>
        <v>9.87800000000001</v>
      </c>
      <c r="T188" s="21" t="str">
        <f aca="false">IF(M188&lt;=7,"0-7 days",IF(M188&lt;=14,"8-14 days",IF(M188&lt;=21,"15-21 days","22+ days")))</f>
        <v>0-7 days</v>
      </c>
    </row>
    <row r="189" customFormat="false" ht="15" hidden="false" customHeight="false" outlineLevel="0" collapsed="false">
      <c r="A189" s="21" t="s">
        <v>255</v>
      </c>
      <c r="B189" s="21" t="s">
        <v>48</v>
      </c>
      <c r="C189" s="22" t="n">
        <v>42892</v>
      </c>
      <c r="D189" s="22" t="n">
        <v>42901</v>
      </c>
      <c r="E189" s="22" t="n">
        <v>42914</v>
      </c>
      <c r="F189" s="21" t="s">
        <v>79</v>
      </c>
      <c r="G189" s="23" t="n">
        <v>79.97</v>
      </c>
      <c r="H189" s="23" t="n">
        <v>25.31</v>
      </c>
      <c r="I189" s="21" t="s">
        <v>60</v>
      </c>
      <c r="J189" s="21" t="n">
        <v>5</v>
      </c>
      <c r="K189" s="21" t="s">
        <v>46</v>
      </c>
      <c r="L189" s="24" t="n">
        <f aca="false">DATE(YEAR(C189),MONTH(C189),1)</f>
        <v>42887</v>
      </c>
      <c r="M189" s="21" t="n">
        <f aca="false">D189-C189</f>
        <v>9</v>
      </c>
      <c r="N189" s="21" t="n">
        <f aca="false">MAX(0,D189-E189)</f>
        <v>0</v>
      </c>
      <c r="O189" s="21" t="n">
        <f aca="false">IF(D189&lt;=E189,1,0)</f>
        <v>1</v>
      </c>
      <c r="P189" s="23" t="n">
        <f aca="false">G189+H189</f>
        <v>105.28</v>
      </c>
      <c r="Q189" s="23" t="n">
        <f aca="false">G189*INDEX(Assumptions!$B$8:$B$16,MATCH(F189,Assumptions!$A$8:$A$16,0))</f>
        <v>55.979</v>
      </c>
      <c r="R189" s="23" t="n">
        <f aca="false">H189*Assumptions!$B$3</f>
        <v>15.186</v>
      </c>
      <c r="S189" s="23" t="n">
        <f aca="false">G189-Q189-R189</f>
        <v>8.805</v>
      </c>
      <c r="T189" s="21" t="str">
        <f aca="false">IF(M189&lt;=7,"0-7 days",IF(M189&lt;=14,"8-14 days",IF(M189&lt;=21,"15-21 days","22+ days")))</f>
        <v>8-14 days</v>
      </c>
    </row>
    <row r="190" customFormat="false" ht="15" hidden="false" customHeight="false" outlineLevel="0" collapsed="false">
      <c r="A190" s="21" t="s">
        <v>256</v>
      </c>
      <c r="B190" s="21" t="s">
        <v>19</v>
      </c>
      <c r="C190" s="22" t="n">
        <v>42892</v>
      </c>
      <c r="D190" s="22" t="n">
        <v>42904</v>
      </c>
      <c r="E190" s="22" t="n">
        <v>42908</v>
      </c>
      <c r="F190" s="21" t="s">
        <v>59</v>
      </c>
      <c r="G190" s="23" t="n">
        <v>64.66</v>
      </c>
      <c r="H190" s="23" t="n">
        <v>16.96</v>
      </c>
      <c r="I190" s="21" t="s">
        <v>45</v>
      </c>
      <c r="J190" s="21" t="n">
        <v>2</v>
      </c>
      <c r="K190" s="21" t="s">
        <v>46</v>
      </c>
      <c r="L190" s="24" t="n">
        <f aca="false">DATE(YEAR(C190),MONTH(C190),1)</f>
        <v>42887</v>
      </c>
      <c r="M190" s="21" t="n">
        <f aca="false">D190-C190</f>
        <v>12</v>
      </c>
      <c r="N190" s="21" t="n">
        <f aca="false">MAX(0,D190-E190)</f>
        <v>0</v>
      </c>
      <c r="O190" s="21" t="n">
        <f aca="false">IF(D190&lt;=E190,1,0)</f>
        <v>1</v>
      </c>
      <c r="P190" s="23" t="n">
        <f aca="false">G190+H190</f>
        <v>81.62</v>
      </c>
      <c r="Q190" s="23" t="n">
        <f aca="false">G190*INDEX(Assumptions!$B$8:$B$16,MATCH(F190,Assumptions!$A$8:$A$16,0))</f>
        <v>41.3824</v>
      </c>
      <c r="R190" s="23" t="n">
        <f aca="false">H190*Assumptions!$B$3</f>
        <v>10.176</v>
      </c>
      <c r="S190" s="23" t="n">
        <f aca="false">G190-Q190-R190</f>
        <v>13.1016</v>
      </c>
      <c r="T190" s="21" t="str">
        <f aca="false">IF(M190&lt;=7,"0-7 days",IF(M190&lt;=14,"8-14 days",IF(M190&lt;=21,"15-21 days","22+ days")))</f>
        <v>8-14 days</v>
      </c>
    </row>
    <row r="191" customFormat="false" ht="15" hidden="false" customHeight="false" outlineLevel="0" collapsed="false">
      <c r="A191" s="21" t="s">
        <v>257</v>
      </c>
      <c r="B191" s="21" t="s">
        <v>19</v>
      </c>
      <c r="C191" s="22" t="n">
        <v>42893</v>
      </c>
      <c r="D191" s="22" t="n">
        <v>42901</v>
      </c>
      <c r="E191" s="22" t="n">
        <v>42909</v>
      </c>
      <c r="F191" s="21" t="s">
        <v>67</v>
      </c>
      <c r="G191" s="23" t="n">
        <v>202.17</v>
      </c>
      <c r="H191" s="23" t="n">
        <v>24.92</v>
      </c>
      <c r="I191" s="21" t="s">
        <v>45</v>
      </c>
      <c r="J191" s="21" t="n">
        <v>5</v>
      </c>
      <c r="K191" s="21" t="s">
        <v>46</v>
      </c>
      <c r="L191" s="24" t="n">
        <f aca="false">DATE(YEAR(C191),MONTH(C191),1)</f>
        <v>42887</v>
      </c>
      <c r="M191" s="21" t="n">
        <f aca="false">D191-C191</f>
        <v>8</v>
      </c>
      <c r="N191" s="21" t="n">
        <f aca="false">MAX(0,D191-E191)</f>
        <v>0</v>
      </c>
      <c r="O191" s="21" t="n">
        <f aca="false">IF(D191&lt;=E191,1,0)</f>
        <v>1</v>
      </c>
      <c r="P191" s="23" t="n">
        <f aca="false">G191+H191</f>
        <v>227.09</v>
      </c>
      <c r="Q191" s="23" t="n">
        <f aca="false">G191*INDEX(Assumptions!$B$8:$B$16,MATCH(F191,Assumptions!$A$8:$A$16,0))</f>
        <v>125.3454</v>
      </c>
      <c r="R191" s="23" t="n">
        <f aca="false">H191*Assumptions!$B$3</f>
        <v>14.952</v>
      </c>
      <c r="S191" s="23" t="n">
        <f aca="false">G191-Q191-R191</f>
        <v>61.8726</v>
      </c>
      <c r="T191" s="21" t="str">
        <f aca="false">IF(M191&lt;=7,"0-7 days",IF(M191&lt;=14,"8-14 days",IF(M191&lt;=21,"15-21 days","22+ days")))</f>
        <v>8-14 days</v>
      </c>
    </row>
    <row r="192" customFormat="false" ht="15" hidden="false" customHeight="false" outlineLevel="0" collapsed="false">
      <c r="A192" s="21" t="s">
        <v>258</v>
      </c>
      <c r="B192" s="21" t="s">
        <v>19</v>
      </c>
      <c r="C192" s="22" t="n">
        <v>42893</v>
      </c>
      <c r="D192" s="22" t="n">
        <v>42903</v>
      </c>
      <c r="E192" s="22" t="n">
        <v>42907</v>
      </c>
      <c r="F192" s="21" t="s">
        <v>53</v>
      </c>
      <c r="G192" s="23" t="n">
        <v>60.12</v>
      </c>
      <c r="H192" s="23" t="n">
        <v>21.96</v>
      </c>
      <c r="I192" s="21" t="s">
        <v>60</v>
      </c>
      <c r="J192" s="21" t="n">
        <v>5</v>
      </c>
      <c r="K192" s="21" t="s">
        <v>46</v>
      </c>
      <c r="L192" s="24" t="n">
        <f aca="false">DATE(YEAR(C192),MONTH(C192),1)</f>
        <v>42887</v>
      </c>
      <c r="M192" s="21" t="n">
        <f aca="false">D192-C192</f>
        <v>10</v>
      </c>
      <c r="N192" s="21" t="n">
        <f aca="false">MAX(0,D192-E192)</f>
        <v>0</v>
      </c>
      <c r="O192" s="21" t="n">
        <f aca="false">IF(D192&lt;=E192,1,0)</f>
        <v>1</v>
      </c>
      <c r="P192" s="23" t="n">
        <f aca="false">G192+H192</f>
        <v>82.08</v>
      </c>
      <c r="Q192" s="23" t="n">
        <f aca="false">G192*INDEX(Assumptions!$B$8:$B$16,MATCH(F192,Assumptions!$A$8:$A$16,0))</f>
        <v>44.4888</v>
      </c>
      <c r="R192" s="23" t="n">
        <f aca="false">H192*Assumptions!$B$3</f>
        <v>13.176</v>
      </c>
      <c r="S192" s="23" t="n">
        <f aca="false">G192-Q192-R192</f>
        <v>2.4552</v>
      </c>
      <c r="T192" s="21" t="str">
        <f aca="false">IF(M192&lt;=7,"0-7 days",IF(M192&lt;=14,"8-14 days",IF(M192&lt;=21,"15-21 days","22+ days")))</f>
        <v>8-14 days</v>
      </c>
    </row>
    <row r="193" customFormat="false" ht="15" hidden="false" customHeight="false" outlineLevel="0" collapsed="false">
      <c r="A193" s="21" t="s">
        <v>259</v>
      </c>
      <c r="B193" s="21" t="s">
        <v>19</v>
      </c>
      <c r="C193" s="22" t="n">
        <v>42893</v>
      </c>
      <c r="D193" s="22" t="n">
        <v>42901</v>
      </c>
      <c r="E193" s="22" t="n">
        <v>42907</v>
      </c>
      <c r="F193" s="21" t="s">
        <v>111</v>
      </c>
      <c r="G193" s="23" t="n">
        <v>71.58</v>
      </c>
      <c r="H193" s="23" t="n">
        <v>18.37</v>
      </c>
      <c r="I193" s="21" t="s">
        <v>45</v>
      </c>
      <c r="J193" s="21" t="n">
        <v>5</v>
      </c>
      <c r="K193" s="21" t="s">
        <v>46</v>
      </c>
      <c r="L193" s="24" t="n">
        <f aca="false">DATE(YEAR(C193),MONTH(C193),1)</f>
        <v>42887</v>
      </c>
      <c r="M193" s="21" t="n">
        <f aca="false">D193-C193</f>
        <v>8</v>
      </c>
      <c r="N193" s="21" t="n">
        <f aca="false">MAX(0,D193-E193)</f>
        <v>0</v>
      </c>
      <c r="O193" s="21" t="n">
        <f aca="false">IF(D193&lt;=E193,1,0)</f>
        <v>1</v>
      </c>
      <c r="P193" s="23" t="n">
        <f aca="false">G193+H193</f>
        <v>89.95</v>
      </c>
      <c r="Q193" s="23" t="n">
        <f aca="false">G193*INDEX(Assumptions!$B$8:$B$16,MATCH(F193,Assumptions!$A$8:$A$16,0))</f>
        <v>45.0954</v>
      </c>
      <c r="R193" s="23" t="n">
        <f aca="false">H193*Assumptions!$B$3</f>
        <v>11.022</v>
      </c>
      <c r="S193" s="23" t="n">
        <f aca="false">G193-Q193-R193</f>
        <v>15.4626</v>
      </c>
      <c r="T193" s="21" t="str">
        <f aca="false">IF(M193&lt;=7,"0-7 days",IF(M193&lt;=14,"8-14 days",IF(M193&lt;=21,"15-21 days","22+ days")))</f>
        <v>8-14 days</v>
      </c>
    </row>
    <row r="194" customFormat="false" ht="15" hidden="false" customHeight="false" outlineLevel="0" collapsed="false">
      <c r="A194" s="21" t="s">
        <v>260</v>
      </c>
      <c r="B194" s="21" t="s">
        <v>134</v>
      </c>
      <c r="C194" s="22" t="n">
        <v>42893</v>
      </c>
      <c r="D194" s="22" t="n">
        <v>42904</v>
      </c>
      <c r="E194" s="22" t="n">
        <v>42916</v>
      </c>
      <c r="F194" s="21" t="s">
        <v>49</v>
      </c>
      <c r="G194" s="23" t="n">
        <v>61.55</v>
      </c>
      <c r="H194" s="23" t="n">
        <v>21.5</v>
      </c>
      <c r="I194" s="21" t="s">
        <v>45</v>
      </c>
      <c r="J194" s="21" t="n">
        <v>5</v>
      </c>
      <c r="K194" s="21" t="s">
        <v>46</v>
      </c>
      <c r="L194" s="24" t="n">
        <f aca="false">DATE(YEAR(C194),MONTH(C194),1)</f>
        <v>42887</v>
      </c>
      <c r="M194" s="21" t="n">
        <f aca="false">D194-C194</f>
        <v>11</v>
      </c>
      <c r="N194" s="21" t="n">
        <f aca="false">MAX(0,D194-E194)</f>
        <v>0</v>
      </c>
      <c r="O194" s="21" t="n">
        <f aca="false">IF(D194&lt;=E194,1,0)</f>
        <v>1</v>
      </c>
      <c r="P194" s="23" t="n">
        <f aca="false">G194+H194</f>
        <v>83.05</v>
      </c>
      <c r="Q194" s="23" t="n">
        <f aca="false">G194*INDEX(Assumptions!$B$8:$B$16,MATCH(F194,Assumptions!$A$8:$A$16,0))</f>
        <v>35.699</v>
      </c>
      <c r="R194" s="23" t="n">
        <f aca="false">H194*Assumptions!$B$3</f>
        <v>12.9</v>
      </c>
      <c r="S194" s="23" t="n">
        <f aca="false">G194-Q194-R194</f>
        <v>12.951</v>
      </c>
      <c r="T194" s="21" t="str">
        <f aca="false">IF(M194&lt;=7,"0-7 days",IF(M194&lt;=14,"8-14 days",IF(M194&lt;=21,"15-21 days","22+ days")))</f>
        <v>8-14 days</v>
      </c>
    </row>
    <row r="195" customFormat="false" ht="15" hidden="false" customHeight="false" outlineLevel="0" collapsed="false">
      <c r="A195" s="21" t="s">
        <v>261</v>
      </c>
      <c r="B195" s="21" t="s">
        <v>19</v>
      </c>
      <c r="C195" s="22" t="n">
        <v>42894</v>
      </c>
      <c r="D195" s="22" t="n">
        <v>42917</v>
      </c>
      <c r="E195" s="22" t="n">
        <v>42910</v>
      </c>
      <c r="F195" s="21" t="s">
        <v>49</v>
      </c>
      <c r="G195" s="23" t="n">
        <v>39.52</v>
      </c>
      <c r="H195" s="23" t="n">
        <v>17.27</v>
      </c>
      <c r="I195" s="21" t="s">
        <v>45</v>
      </c>
      <c r="J195" s="21" t="n">
        <v>2</v>
      </c>
      <c r="K195" s="21" t="s">
        <v>46</v>
      </c>
      <c r="L195" s="24" t="n">
        <f aca="false">DATE(YEAR(C195),MONTH(C195),1)</f>
        <v>42887</v>
      </c>
      <c r="M195" s="21" t="n">
        <f aca="false">D195-C195</f>
        <v>23</v>
      </c>
      <c r="N195" s="21" t="n">
        <f aca="false">MAX(0,D195-E195)</f>
        <v>7</v>
      </c>
      <c r="O195" s="21" t="n">
        <f aca="false">IF(D195&lt;=E195,1,0)</f>
        <v>0</v>
      </c>
      <c r="P195" s="23" t="n">
        <f aca="false">G195+H195</f>
        <v>56.79</v>
      </c>
      <c r="Q195" s="23" t="n">
        <f aca="false">G195*INDEX(Assumptions!$B$8:$B$16,MATCH(F195,Assumptions!$A$8:$A$16,0))</f>
        <v>22.9216</v>
      </c>
      <c r="R195" s="23" t="n">
        <f aca="false">H195*Assumptions!$B$3</f>
        <v>10.362</v>
      </c>
      <c r="S195" s="23" t="n">
        <f aca="false">G195-Q195-R195</f>
        <v>6.2364</v>
      </c>
      <c r="T195" s="21" t="str">
        <f aca="false">IF(M195&lt;=7,"0-7 days",IF(M195&lt;=14,"8-14 days",IF(M195&lt;=21,"15-21 days","22+ days")))</f>
        <v>22+ days</v>
      </c>
    </row>
    <row r="196" customFormat="false" ht="15" hidden="false" customHeight="false" outlineLevel="0" collapsed="false">
      <c r="A196" s="21" t="s">
        <v>262</v>
      </c>
      <c r="B196" s="21" t="s">
        <v>201</v>
      </c>
      <c r="C196" s="22" t="n">
        <v>42894</v>
      </c>
      <c r="D196" s="22" t="n">
        <v>42912</v>
      </c>
      <c r="E196" s="22" t="n">
        <v>42929</v>
      </c>
      <c r="F196" s="21" t="s">
        <v>67</v>
      </c>
      <c r="G196" s="23" t="n">
        <v>92.75</v>
      </c>
      <c r="H196" s="23" t="n">
        <v>26.22</v>
      </c>
      <c r="I196" s="21" t="s">
        <v>45</v>
      </c>
      <c r="J196" s="21" t="n">
        <v>4</v>
      </c>
      <c r="K196" s="21" t="s">
        <v>46</v>
      </c>
      <c r="L196" s="24" t="n">
        <f aca="false">DATE(YEAR(C196),MONTH(C196),1)</f>
        <v>42887</v>
      </c>
      <c r="M196" s="21" t="n">
        <f aca="false">D196-C196</f>
        <v>18</v>
      </c>
      <c r="N196" s="21" t="n">
        <f aca="false">MAX(0,D196-E196)</f>
        <v>0</v>
      </c>
      <c r="O196" s="21" t="n">
        <f aca="false">IF(D196&lt;=E196,1,0)</f>
        <v>1</v>
      </c>
      <c r="P196" s="23" t="n">
        <f aca="false">G196+H196</f>
        <v>118.97</v>
      </c>
      <c r="Q196" s="23" t="n">
        <f aca="false">G196*INDEX(Assumptions!$B$8:$B$16,MATCH(F196,Assumptions!$A$8:$A$16,0))</f>
        <v>57.505</v>
      </c>
      <c r="R196" s="23" t="n">
        <f aca="false">H196*Assumptions!$B$3</f>
        <v>15.732</v>
      </c>
      <c r="S196" s="23" t="n">
        <f aca="false">G196-Q196-R196</f>
        <v>19.513</v>
      </c>
      <c r="T196" s="21" t="str">
        <f aca="false">IF(M196&lt;=7,"0-7 days",IF(M196&lt;=14,"8-14 days",IF(M196&lt;=21,"15-21 days","22+ days")))</f>
        <v>15-21 days</v>
      </c>
    </row>
    <row r="197" customFormat="false" ht="15" hidden="false" customHeight="false" outlineLevel="0" collapsed="false">
      <c r="A197" s="21" t="s">
        <v>263</v>
      </c>
      <c r="B197" s="21" t="s">
        <v>19</v>
      </c>
      <c r="C197" s="22" t="n">
        <v>42894</v>
      </c>
      <c r="D197" s="22" t="n">
        <v>42900</v>
      </c>
      <c r="E197" s="22" t="n">
        <v>42910</v>
      </c>
      <c r="F197" s="21" t="s">
        <v>64</v>
      </c>
      <c r="G197" s="23" t="n">
        <v>237.31</v>
      </c>
      <c r="H197" s="23" t="n">
        <v>17.14</v>
      </c>
      <c r="I197" s="21" t="s">
        <v>45</v>
      </c>
      <c r="J197" s="21" t="n">
        <v>3</v>
      </c>
      <c r="K197" s="21" t="s">
        <v>46</v>
      </c>
      <c r="L197" s="24" t="n">
        <f aca="false">DATE(YEAR(C197),MONTH(C197),1)</f>
        <v>42887</v>
      </c>
      <c r="M197" s="21" t="n">
        <f aca="false">D197-C197</f>
        <v>6</v>
      </c>
      <c r="N197" s="21" t="n">
        <f aca="false">MAX(0,D197-E197)</f>
        <v>0</v>
      </c>
      <c r="O197" s="21" t="n">
        <f aca="false">IF(D197&lt;=E197,1,0)</f>
        <v>1</v>
      </c>
      <c r="P197" s="23" t="n">
        <f aca="false">G197+H197</f>
        <v>254.45</v>
      </c>
      <c r="Q197" s="23" t="n">
        <f aca="false">G197*INDEX(Assumptions!$B$8:$B$16,MATCH(F197,Assumptions!$A$8:$A$16,0))</f>
        <v>156.6246</v>
      </c>
      <c r="R197" s="23" t="n">
        <f aca="false">H197*Assumptions!$B$3</f>
        <v>10.284</v>
      </c>
      <c r="S197" s="23" t="n">
        <f aca="false">G197-Q197-R197</f>
        <v>70.4014</v>
      </c>
      <c r="T197" s="21" t="str">
        <f aca="false">IF(M197&lt;=7,"0-7 days",IF(M197&lt;=14,"8-14 days",IF(M197&lt;=21,"15-21 days","22+ days")))</f>
        <v>0-7 days</v>
      </c>
    </row>
    <row r="198" customFormat="false" ht="15" hidden="false" customHeight="false" outlineLevel="0" collapsed="false">
      <c r="A198" s="21" t="s">
        <v>264</v>
      </c>
      <c r="B198" s="21" t="s">
        <v>19</v>
      </c>
      <c r="C198" s="22" t="n">
        <v>42895</v>
      </c>
      <c r="D198" s="22" t="n">
        <v>42902</v>
      </c>
      <c r="E198" s="22" t="n">
        <v>42909</v>
      </c>
      <c r="F198" s="21" t="s">
        <v>79</v>
      </c>
      <c r="G198" s="23" t="n">
        <v>91.72</v>
      </c>
      <c r="H198" s="23" t="n">
        <v>19.54</v>
      </c>
      <c r="I198" s="21" t="s">
        <v>45</v>
      </c>
      <c r="J198" s="21" t="n">
        <v>4</v>
      </c>
      <c r="K198" s="21" t="s">
        <v>46</v>
      </c>
      <c r="L198" s="24" t="n">
        <f aca="false">DATE(YEAR(C198),MONTH(C198),1)</f>
        <v>42887</v>
      </c>
      <c r="M198" s="21" t="n">
        <f aca="false">D198-C198</f>
        <v>7</v>
      </c>
      <c r="N198" s="21" t="n">
        <f aca="false">MAX(0,D198-E198)</f>
        <v>0</v>
      </c>
      <c r="O198" s="21" t="n">
        <f aca="false">IF(D198&lt;=E198,1,0)</f>
        <v>1</v>
      </c>
      <c r="P198" s="23" t="n">
        <f aca="false">G198+H198</f>
        <v>111.26</v>
      </c>
      <c r="Q198" s="23" t="n">
        <f aca="false">G198*INDEX(Assumptions!$B$8:$B$16,MATCH(F198,Assumptions!$A$8:$A$16,0))</f>
        <v>64.204</v>
      </c>
      <c r="R198" s="23" t="n">
        <f aca="false">H198*Assumptions!$B$3</f>
        <v>11.724</v>
      </c>
      <c r="S198" s="23" t="n">
        <f aca="false">G198-Q198-R198</f>
        <v>15.792</v>
      </c>
      <c r="T198" s="21" t="str">
        <f aca="false">IF(M198&lt;=7,"0-7 days",IF(M198&lt;=14,"8-14 days",IF(M198&lt;=21,"15-21 days","22+ days")))</f>
        <v>0-7 days</v>
      </c>
    </row>
    <row r="199" customFormat="false" ht="15" hidden="false" customHeight="false" outlineLevel="0" collapsed="false">
      <c r="A199" s="21" t="s">
        <v>265</v>
      </c>
      <c r="B199" s="21" t="s">
        <v>103</v>
      </c>
      <c r="C199" s="22" t="n">
        <v>42895</v>
      </c>
      <c r="D199" s="22" t="n">
        <v>42915</v>
      </c>
      <c r="E199" s="22" t="n">
        <v>42914</v>
      </c>
      <c r="F199" s="21" t="s">
        <v>111</v>
      </c>
      <c r="G199" s="23" t="n">
        <v>37.5</v>
      </c>
      <c r="H199" s="23" t="n">
        <v>24.66</v>
      </c>
      <c r="I199" s="21" t="s">
        <v>104</v>
      </c>
      <c r="J199" s="21" t="n">
        <v>3</v>
      </c>
      <c r="K199" s="21" t="s">
        <v>46</v>
      </c>
      <c r="L199" s="24" t="n">
        <f aca="false">DATE(YEAR(C199),MONTH(C199),1)</f>
        <v>42887</v>
      </c>
      <c r="M199" s="21" t="n">
        <f aca="false">D199-C199</f>
        <v>20</v>
      </c>
      <c r="N199" s="21" t="n">
        <f aca="false">MAX(0,D199-E199)</f>
        <v>1</v>
      </c>
      <c r="O199" s="21" t="n">
        <f aca="false">IF(D199&lt;=E199,1,0)</f>
        <v>0</v>
      </c>
      <c r="P199" s="23" t="n">
        <f aca="false">G199+H199</f>
        <v>62.16</v>
      </c>
      <c r="Q199" s="23" t="n">
        <f aca="false">G199*INDEX(Assumptions!$B$8:$B$16,MATCH(F199,Assumptions!$A$8:$A$16,0))</f>
        <v>23.625</v>
      </c>
      <c r="R199" s="23" t="n">
        <f aca="false">H199*Assumptions!$B$3</f>
        <v>14.796</v>
      </c>
      <c r="S199" s="23" t="n">
        <f aca="false">G199-Q199-R199</f>
        <v>-0.920999999999999</v>
      </c>
      <c r="T199" s="21" t="str">
        <f aca="false">IF(M199&lt;=7,"0-7 days",IF(M199&lt;=14,"8-14 days",IF(M199&lt;=21,"15-21 days","22+ days")))</f>
        <v>15-21 days</v>
      </c>
    </row>
    <row r="200" customFormat="false" ht="15" hidden="false" customHeight="false" outlineLevel="0" collapsed="false">
      <c r="A200" s="21" t="s">
        <v>266</v>
      </c>
      <c r="B200" s="21" t="s">
        <v>93</v>
      </c>
      <c r="C200" s="22" t="n">
        <v>42896</v>
      </c>
      <c r="D200" s="22" t="n">
        <v>42925</v>
      </c>
      <c r="E200" s="22" t="n">
        <v>42926</v>
      </c>
      <c r="F200" s="21" t="s">
        <v>44</v>
      </c>
      <c r="G200" s="23" t="n">
        <v>83.5</v>
      </c>
      <c r="H200" s="23" t="n">
        <v>35.64</v>
      </c>
      <c r="I200" s="21" t="s">
        <v>45</v>
      </c>
      <c r="J200" s="21" t="n">
        <v>3</v>
      </c>
      <c r="K200" s="21" t="s">
        <v>46</v>
      </c>
      <c r="L200" s="24" t="n">
        <f aca="false">DATE(YEAR(C200),MONTH(C200),1)</f>
        <v>42887</v>
      </c>
      <c r="M200" s="21" t="n">
        <f aca="false">D200-C200</f>
        <v>29</v>
      </c>
      <c r="N200" s="21" t="n">
        <f aca="false">MAX(0,D200-E200)</f>
        <v>0</v>
      </c>
      <c r="O200" s="21" t="n">
        <f aca="false">IF(D200&lt;=E200,1,0)</f>
        <v>1</v>
      </c>
      <c r="P200" s="23" t="n">
        <f aca="false">G200+H200</f>
        <v>119.14</v>
      </c>
      <c r="Q200" s="23" t="n">
        <f aca="false">G200*INDEX(Assumptions!$B$8:$B$16,MATCH(F200,Assumptions!$A$8:$A$16,0))</f>
        <v>50.1</v>
      </c>
      <c r="R200" s="23" t="n">
        <f aca="false">H200*Assumptions!$B$3</f>
        <v>21.384</v>
      </c>
      <c r="S200" s="23" t="n">
        <f aca="false">G200-Q200-R200</f>
        <v>12.016</v>
      </c>
      <c r="T200" s="21" t="str">
        <f aca="false">IF(M200&lt;=7,"0-7 days",IF(M200&lt;=14,"8-14 days",IF(M200&lt;=21,"15-21 days","22+ days")))</f>
        <v>22+ days</v>
      </c>
    </row>
    <row r="201" customFormat="false" ht="15" hidden="false" customHeight="false" outlineLevel="0" collapsed="false">
      <c r="A201" s="21" t="s">
        <v>267</v>
      </c>
      <c r="B201" s="21" t="s">
        <v>19</v>
      </c>
      <c r="C201" s="22" t="n">
        <v>42897</v>
      </c>
      <c r="D201" s="22" t="n">
        <v>42907</v>
      </c>
      <c r="E201" s="22" t="n">
        <v>42910</v>
      </c>
      <c r="F201" s="21" t="s">
        <v>59</v>
      </c>
      <c r="G201" s="23" t="n">
        <v>170.8</v>
      </c>
      <c r="H201" s="23" t="n">
        <v>17.43</v>
      </c>
      <c r="I201" s="21" t="s">
        <v>45</v>
      </c>
      <c r="J201" s="21" t="n">
        <v>3</v>
      </c>
      <c r="K201" s="21" t="s">
        <v>46</v>
      </c>
      <c r="L201" s="24" t="n">
        <f aca="false">DATE(YEAR(C201),MONTH(C201),1)</f>
        <v>42887</v>
      </c>
      <c r="M201" s="21" t="n">
        <f aca="false">D201-C201</f>
        <v>10</v>
      </c>
      <c r="N201" s="21" t="n">
        <f aca="false">MAX(0,D201-E201)</f>
        <v>0</v>
      </c>
      <c r="O201" s="21" t="n">
        <f aca="false">IF(D201&lt;=E201,1,0)</f>
        <v>1</v>
      </c>
      <c r="P201" s="23" t="n">
        <f aca="false">G201+H201</f>
        <v>188.23</v>
      </c>
      <c r="Q201" s="23" t="n">
        <f aca="false">G201*INDEX(Assumptions!$B$8:$B$16,MATCH(F201,Assumptions!$A$8:$A$16,0))</f>
        <v>109.312</v>
      </c>
      <c r="R201" s="23" t="n">
        <f aca="false">H201*Assumptions!$B$3</f>
        <v>10.458</v>
      </c>
      <c r="S201" s="23" t="n">
        <f aca="false">G201-Q201-R201</f>
        <v>51.03</v>
      </c>
      <c r="T201" s="21" t="str">
        <f aca="false">IF(M201&lt;=7,"0-7 days",IF(M201&lt;=14,"8-14 days",IF(M201&lt;=21,"15-21 days","22+ days")))</f>
        <v>8-14 days</v>
      </c>
    </row>
    <row r="202" customFormat="false" ht="15" hidden="false" customHeight="false" outlineLevel="0" collapsed="false">
      <c r="A202" s="21" t="s">
        <v>268</v>
      </c>
      <c r="B202" s="21" t="s">
        <v>19</v>
      </c>
      <c r="C202" s="22" t="n">
        <v>42897</v>
      </c>
      <c r="D202" s="22" t="n">
        <v>42906</v>
      </c>
      <c r="E202" s="22" t="n">
        <v>42913</v>
      </c>
      <c r="F202" s="21" t="s">
        <v>79</v>
      </c>
      <c r="G202" s="23" t="n">
        <v>96.99</v>
      </c>
      <c r="H202" s="23" t="n">
        <v>22.04</v>
      </c>
      <c r="I202" s="21" t="s">
        <v>45</v>
      </c>
      <c r="J202" s="21" t="n">
        <v>5</v>
      </c>
      <c r="K202" s="21" t="s">
        <v>46</v>
      </c>
      <c r="L202" s="24" t="n">
        <f aca="false">DATE(YEAR(C202),MONTH(C202),1)</f>
        <v>42887</v>
      </c>
      <c r="M202" s="21" t="n">
        <f aca="false">D202-C202</f>
        <v>9</v>
      </c>
      <c r="N202" s="21" t="n">
        <f aca="false">MAX(0,D202-E202)</f>
        <v>0</v>
      </c>
      <c r="O202" s="21" t="n">
        <f aca="false">IF(D202&lt;=E202,1,0)</f>
        <v>1</v>
      </c>
      <c r="P202" s="23" t="n">
        <f aca="false">G202+H202</f>
        <v>119.03</v>
      </c>
      <c r="Q202" s="23" t="n">
        <f aca="false">G202*INDEX(Assumptions!$B$8:$B$16,MATCH(F202,Assumptions!$A$8:$A$16,0))</f>
        <v>67.893</v>
      </c>
      <c r="R202" s="23" t="n">
        <f aca="false">H202*Assumptions!$B$3</f>
        <v>13.224</v>
      </c>
      <c r="S202" s="23" t="n">
        <f aca="false">G202-Q202-R202</f>
        <v>15.873</v>
      </c>
      <c r="T202" s="21" t="str">
        <f aca="false">IF(M202&lt;=7,"0-7 days",IF(M202&lt;=14,"8-14 days",IF(M202&lt;=21,"15-21 days","22+ days")))</f>
        <v>8-14 days</v>
      </c>
    </row>
    <row r="203" customFormat="false" ht="15" hidden="false" customHeight="false" outlineLevel="0" collapsed="false">
      <c r="A203" s="21" t="s">
        <v>269</v>
      </c>
      <c r="B203" s="21" t="s">
        <v>55</v>
      </c>
      <c r="C203" s="22" t="n">
        <v>42898</v>
      </c>
      <c r="D203" s="22" t="n">
        <v>42911</v>
      </c>
      <c r="E203" s="22" t="n">
        <v>42926</v>
      </c>
      <c r="F203" s="21" t="s">
        <v>67</v>
      </c>
      <c r="G203" s="23" t="n">
        <v>66.85</v>
      </c>
      <c r="H203" s="23" t="n">
        <v>27.22</v>
      </c>
      <c r="I203" s="21" t="s">
        <v>45</v>
      </c>
      <c r="J203" s="21" t="n">
        <v>3</v>
      </c>
      <c r="K203" s="21" t="s">
        <v>46</v>
      </c>
      <c r="L203" s="24" t="n">
        <f aca="false">DATE(YEAR(C203),MONTH(C203),1)</f>
        <v>42887</v>
      </c>
      <c r="M203" s="21" t="n">
        <f aca="false">D203-C203</f>
        <v>13</v>
      </c>
      <c r="N203" s="21" t="n">
        <f aca="false">MAX(0,D203-E203)</f>
        <v>0</v>
      </c>
      <c r="O203" s="21" t="n">
        <f aca="false">IF(D203&lt;=E203,1,0)</f>
        <v>1</v>
      </c>
      <c r="P203" s="23" t="n">
        <f aca="false">G203+H203</f>
        <v>94.07</v>
      </c>
      <c r="Q203" s="23" t="n">
        <f aca="false">G203*INDEX(Assumptions!$B$8:$B$16,MATCH(F203,Assumptions!$A$8:$A$16,0))</f>
        <v>41.447</v>
      </c>
      <c r="R203" s="23" t="n">
        <f aca="false">H203*Assumptions!$B$3</f>
        <v>16.332</v>
      </c>
      <c r="S203" s="23" t="n">
        <f aca="false">G203-Q203-R203</f>
        <v>9.071</v>
      </c>
      <c r="T203" s="21" t="str">
        <f aca="false">IF(M203&lt;=7,"0-7 days",IF(M203&lt;=14,"8-14 days",IF(M203&lt;=21,"15-21 days","22+ days")))</f>
        <v>8-14 days</v>
      </c>
    </row>
    <row r="204" customFormat="false" ht="15" hidden="false" customHeight="false" outlineLevel="0" collapsed="false">
      <c r="A204" s="21" t="s">
        <v>270</v>
      </c>
      <c r="B204" s="21" t="s">
        <v>52</v>
      </c>
      <c r="C204" s="22" t="n">
        <v>42898</v>
      </c>
      <c r="D204" s="22" t="n">
        <v>42909</v>
      </c>
      <c r="E204" s="22" t="n">
        <v>42926</v>
      </c>
      <c r="F204" s="21" t="s">
        <v>49</v>
      </c>
      <c r="G204" s="23" t="n">
        <v>53.51</v>
      </c>
      <c r="H204" s="23" t="n">
        <v>24.3</v>
      </c>
      <c r="I204" s="21" t="s">
        <v>45</v>
      </c>
      <c r="J204" s="21" t="n">
        <v>4</v>
      </c>
      <c r="K204" s="21" t="s">
        <v>46</v>
      </c>
      <c r="L204" s="24" t="n">
        <f aca="false">DATE(YEAR(C204),MONTH(C204),1)</f>
        <v>42887</v>
      </c>
      <c r="M204" s="21" t="n">
        <f aca="false">D204-C204</f>
        <v>11</v>
      </c>
      <c r="N204" s="21" t="n">
        <f aca="false">MAX(0,D204-E204)</f>
        <v>0</v>
      </c>
      <c r="O204" s="21" t="n">
        <f aca="false">IF(D204&lt;=E204,1,0)</f>
        <v>1</v>
      </c>
      <c r="P204" s="23" t="n">
        <f aca="false">G204+H204</f>
        <v>77.81</v>
      </c>
      <c r="Q204" s="23" t="n">
        <f aca="false">G204*INDEX(Assumptions!$B$8:$B$16,MATCH(F204,Assumptions!$A$8:$A$16,0))</f>
        <v>31.0358</v>
      </c>
      <c r="R204" s="23" t="n">
        <f aca="false">H204*Assumptions!$B$3</f>
        <v>14.58</v>
      </c>
      <c r="S204" s="23" t="n">
        <f aca="false">G204-Q204-R204</f>
        <v>7.8942</v>
      </c>
      <c r="T204" s="21" t="str">
        <f aca="false">IF(M204&lt;=7,"0-7 days",IF(M204&lt;=14,"8-14 days",IF(M204&lt;=21,"15-21 days","22+ days")))</f>
        <v>8-14 days</v>
      </c>
    </row>
    <row r="205" customFormat="false" ht="15" hidden="false" customHeight="false" outlineLevel="0" collapsed="false">
      <c r="A205" s="21" t="s">
        <v>271</v>
      </c>
      <c r="B205" s="21" t="s">
        <v>156</v>
      </c>
      <c r="C205" s="22" t="n">
        <v>42899</v>
      </c>
      <c r="D205" s="22" t="n">
        <v>42919</v>
      </c>
      <c r="E205" s="22" t="n">
        <v>42927</v>
      </c>
      <c r="F205" s="21" t="s">
        <v>111</v>
      </c>
      <c r="G205" s="23" t="n">
        <v>66.89</v>
      </c>
      <c r="H205" s="23" t="n">
        <v>30.61</v>
      </c>
      <c r="I205" s="21" t="s">
        <v>45</v>
      </c>
      <c r="J205" s="21" t="n">
        <v>4</v>
      </c>
      <c r="K205" s="21" t="s">
        <v>46</v>
      </c>
      <c r="L205" s="24" t="n">
        <f aca="false">DATE(YEAR(C205),MONTH(C205),1)</f>
        <v>42887</v>
      </c>
      <c r="M205" s="21" t="n">
        <f aca="false">D205-C205</f>
        <v>20</v>
      </c>
      <c r="N205" s="21" t="n">
        <f aca="false">MAX(0,D205-E205)</f>
        <v>0</v>
      </c>
      <c r="O205" s="21" t="n">
        <f aca="false">IF(D205&lt;=E205,1,0)</f>
        <v>1</v>
      </c>
      <c r="P205" s="23" t="n">
        <f aca="false">G205+H205</f>
        <v>97.5</v>
      </c>
      <c r="Q205" s="23" t="n">
        <f aca="false">G205*INDEX(Assumptions!$B$8:$B$16,MATCH(F205,Assumptions!$A$8:$A$16,0))</f>
        <v>42.1407</v>
      </c>
      <c r="R205" s="23" t="n">
        <f aca="false">H205*Assumptions!$B$3</f>
        <v>18.366</v>
      </c>
      <c r="S205" s="23" t="n">
        <f aca="false">G205-Q205-R205</f>
        <v>6.3833</v>
      </c>
      <c r="T205" s="21" t="str">
        <f aca="false">IF(M205&lt;=7,"0-7 days",IF(M205&lt;=14,"8-14 days",IF(M205&lt;=21,"15-21 days","22+ days")))</f>
        <v>15-21 days</v>
      </c>
    </row>
    <row r="206" customFormat="false" ht="15" hidden="false" customHeight="false" outlineLevel="0" collapsed="false">
      <c r="A206" s="21" t="s">
        <v>272</v>
      </c>
      <c r="B206" s="21" t="s">
        <v>62</v>
      </c>
      <c r="C206" s="22" t="n">
        <v>42899</v>
      </c>
      <c r="D206" s="22" t="n">
        <v>42906</v>
      </c>
      <c r="E206" s="22" t="n">
        <v>42919</v>
      </c>
      <c r="F206" s="21" t="s">
        <v>67</v>
      </c>
      <c r="G206" s="23" t="n">
        <v>21.88</v>
      </c>
      <c r="H206" s="23" t="n">
        <v>15.5</v>
      </c>
      <c r="I206" s="21" t="s">
        <v>45</v>
      </c>
      <c r="J206" s="21" t="n">
        <v>5</v>
      </c>
      <c r="K206" s="21" t="s">
        <v>46</v>
      </c>
      <c r="L206" s="24" t="n">
        <f aca="false">DATE(YEAR(C206),MONTH(C206),1)</f>
        <v>42887</v>
      </c>
      <c r="M206" s="21" t="n">
        <f aca="false">D206-C206</f>
        <v>7</v>
      </c>
      <c r="N206" s="21" t="n">
        <f aca="false">MAX(0,D206-E206)</f>
        <v>0</v>
      </c>
      <c r="O206" s="21" t="n">
        <f aca="false">IF(D206&lt;=E206,1,0)</f>
        <v>1</v>
      </c>
      <c r="P206" s="23" t="n">
        <f aca="false">G206+H206</f>
        <v>37.38</v>
      </c>
      <c r="Q206" s="23" t="n">
        <f aca="false">G206*INDEX(Assumptions!$B$8:$B$16,MATCH(F206,Assumptions!$A$8:$A$16,0))</f>
        <v>13.5656</v>
      </c>
      <c r="R206" s="23" t="n">
        <f aca="false">H206*Assumptions!$B$3</f>
        <v>9.3</v>
      </c>
      <c r="S206" s="23" t="n">
        <f aca="false">G206-Q206-R206</f>
        <v>-0.9856</v>
      </c>
      <c r="T206" s="21" t="str">
        <f aca="false">IF(M206&lt;=7,"0-7 days",IF(M206&lt;=14,"8-14 days",IF(M206&lt;=21,"15-21 days","22+ days")))</f>
        <v>0-7 days</v>
      </c>
    </row>
    <row r="207" customFormat="false" ht="15" hidden="false" customHeight="false" outlineLevel="0" collapsed="false">
      <c r="A207" s="21" t="s">
        <v>273</v>
      </c>
      <c r="B207" s="21" t="s">
        <v>19</v>
      </c>
      <c r="C207" s="22" t="n">
        <v>42900</v>
      </c>
      <c r="D207" s="22" t="n">
        <v>42911</v>
      </c>
      <c r="E207" s="22" t="n">
        <v>42917</v>
      </c>
      <c r="F207" s="21" t="s">
        <v>111</v>
      </c>
      <c r="G207" s="23" t="n">
        <v>44.96</v>
      </c>
      <c r="H207" s="23" t="n">
        <v>16.6</v>
      </c>
      <c r="I207" s="21" t="s">
        <v>45</v>
      </c>
      <c r="J207" s="21" t="n">
        <v>5</v>
      </c>
      <c r="K207" s="21" t="s">
        <v>46</v>
      </c>
      <c r="L207" s="24" t="n">
        <f aca="false">DATE(YEAR(C207),MONTH(C207),1)</f>
        <v>42887</v>
      </c>
      <c r="M207" s="21" t="n">
        <f aca="false">D207-C207</f>
        <v>11</v>
      </c>
      <c r="N207" s="21" t="n">
        <f aca="false">MAX(0,D207-E207)</f>
        <v>0</v>
      </c>
      <c r="O207" s="21" t="n">
        <f aca="false">IF(D207&lt;=E207,1,0)</f>
        <v>1</v>
      </c>
      <c r="P207" s="23" t="n">
        <f aca="false">G207+H207</f>
        <v>61.56</v>
      </c>
      <c r="Q207" s="23" t="n">
        <f aca="false">G207*INDEX(Assumptions!$B$8:$B$16,MATCH(F207,Assumptions!$A$8:$A$16,0))</f>
        <v>28.3248</v>
      </c>
      <c r="R207" s="23" t="n">
        <f aca="false">H207*Assumptions!$B$3</f>
        <v>9.96</v>
      </c>
      <c r="S207" s="23" t="n">
        <f aca="false">G207-Q207-R207</f>
        <v>6.6752</v>
      </c>
      <c r="T207" s="21" t="str">
        <f aca="false">IF(M207&lt;=7,"0-7 days",IF(M207&lt;=14,"8-14 days",IF(M207&lt;=21,"15-21 days","22+ days")))</f>
        <v>8-14 days</v>
      </c>
    </row>
    <row r="208" customFormat="false" ht="15" hidden="false" customHeight="false" outlineLevel="0" collapsed="false">
      <c r="A208" s="21" t="s">
        <v>274</v>
      </c>
      <c r="B208" s="21" t="s">
        <v>19</v>
      </c>
      <c r="C208" s="22" t="n">
        <v>42900</v>
      </c>
      <c r="D208" s="22" t="n">
        <v>42910</v>
      </c>
      <c r="E208" s="22" t="n">
        <v>42916</v>
      </c>
      <c r="F208" s="21" t="s">
        <v>53</v>
      </c>
      <c r="G208" s="23" t="n">
        <v>367.05</v>
      </c>
      <c r="H208" s="23" t="n">
        <v>20.16</v>
      </c>
      <c r="I208" s="21" t="s">
        <v>45</v>
      </c>
      <c r="J208" s="21" t="n">
        <v>4</v>
      </c>
      <c r="K208" s="21" t="s">
        <v>46</v>
      </c>
      <c r="L208" s="24" t="n">
        <f aca="false">DATE(YEAR(C208),MONTH(C208),1)</f>
        <v>42887</v>
      </c>
      <c r="M208" s="21" t="n">
        <f aca="false">D208-C208</f>
        <v>10</v>
      </c>
      <c r="N208" s="21" t="n">
        <f aca="false">MAX(0,D208-E208)</f>
        <v>0</v>
      </c>
      <c r="O208" s="21" t="n">
        <f aca="false">IF(D208&lt;=E208,1,0)</f>
        <v>1</v>
      </c>
      <c r="P208" s="23" t="n">
        <f aca="false">G208+H208</f>
        <v>387.21</v>
      </c>
      <c r="Q208" s="23" t="n">
        <f aca="false">G208*INDEX(Assumptions!$B$8:$B$16,MATCH(F208,Assumptions!$A$8:$A$16,0))</f>
        <v>271.617</v>
      </c>
      <c r="R208" s="23" t="n">
        <f aca="false">H208*Assumptions!$B$3</f>
        <v>12.096</v>
      </c>
      <c r="S208" s="23" t="n">
        <f aca="false">G208-Q208-R208</f>
        <v>83.337</v>
      </c>
      <c r="T208" s="21" t="str">
        <f aca="false">IF(M208&lt;=7,"0-7 days",IF(M208&lt;=14,"8-14 days",IF(M208&lt;=21,"15-21 days","22+ days")))</f>
        <v>8-14 days</v>
      </c>
    </row>
    <row r="209" customFormat="false" ht="15" hidden="false" customHeight="false" outlineLevel="0" collapsed="false">
      <c r="A209" s="21" t="s">
        <v>275</v>
      </c>
      <c r="B209" s="21" t="s">
        <v>62</v>
      </c>
      <c r="C209" s="22" t="n">
        <v>42901</v>
      </c>
      <c r="D209" s="22" t="n">
        <v>42915</v>
      </c>
      <c r="E209" s="22" t="n">
        <v>42924</v>
      </c>
      <c r="F209" s="21" t="s">
        <v>49</v>
      </c>
      <c r="G209" s="23" t="n">
        <v>47.24</v>
      </c>
      <c r="H209" s="23" t="n">
        <v>17.03</v>
      </c>
      <c r="I209" s="21" t="s">
        <v>45</v>
      </c>
      <c r="J209" s="21" t="n">
        <v>5</v>
      </c>
      <c r="K209" s="21" t="s">
        <v>46</v>
      </c>
      <c r="L209" s="24" t="n">
        <f aca="false">DATE(YEAR(C209),MONTH(C209),1)</f>
        <v>42887</v>
      </c>
      <c r="M209" s="21" t="n">
        <f aca="false">D209-C209</f>
        <v>14</v>
      </c>
      <c r="N209" s="21" t="n">
        <f aca="false">MAX(0,D209-E209)</f>
        <v>0</v>
      </c>
      <c r="O209" s="21" t="n">
        <f aca="false">IF(D209&lt;=E209,1,0)</f>
        <v>1</v>
      </c>
      <c r="P209" s="23" t="n">
        <f aca="false">G209+H209</f>
        <v>64.27</v>
      </c>
      <c r="Q209" s="23" t="n">
        <f aca="false">G209*INDEX(Assumptions!$B$8:$B$16,MATCH(F209,Assumptions!$A$8:$A$16,0))</f>
        <v>27.3992</v>
      </c>
      <c r="R209" s="23" t="n">
        <f aca="false">H209*Assumptions!$B$3</f>
        <v>10.218</v>
      </c>
      <c r="S209" s="23" t="n">
        <f aca="false">G209-Q209-R209</f>
        <v>9.6228</v>
      </c>
      <c r="T209" s="21" t="str">
        <f aca="false">IF(M209&lt;=7,"0-7 days",IF(M209&lt;=14,"8-14 days",IF(M209&lt;=21,"15-21 days","22+ days")))</f>
        <v>8-14 days</v>
      </c>
    </row>
    <row r="210" customFormat="false" ht="15" hidden="false" customHeight="false" outlineLevel="0" collapsed="false">
      <c r="A210" s="21" t="s">
        <v>276</v>
      </c>
      <c r="B210" s="21" t="s">
        <v>62</v>
      </c>
      <c r="C210" s="22" t="n">
        <v>42901</v>
      </c>
      <c r="D210" s="22" t="n">
        <v>42910</v>
      </c>
      <c r="E210" s="22" t="n">
        <v>42922</v>
      </c>
      <c r="F210" s="21" t="s">
        <v>111</v>
      </c>
      <c r="G210" s="23" t="n">
        <v>114.48</v>
      </c>
      <c r="H210" s="23" t="n">
        <v>17.7</v>
      </c>
      <c r="I210" s="21" t="s">
        <v>45</v>
      </c>
      <c r="J210" s="21" t="n">
        <v>5</v>
      </c>
      <c r="K210" s="21" t="s">
        <v>46</v>
      </c>
      <c r="L210" s="24" t="n">
        <f aca="false">DATE(YEAR(C210),MONTH(C210),1)</f>
        <v>42887</v>
      </c>
      <c r="M210" s="21" t="n">
        <f aca="false">D210-C210</f>
        <v>9</v>
      </c>
      <c r="N210" s="21" t="n">
        <f aca="false">MAX(0,D210-E210)</f>
        <v>0</v>
      </c>
      <c r="O210" s="21" t="n">
        <f aca="false">IF(D210&lt;=E210,1,0)</f>
        <v>1</v>
      </c>
      <c r="P210" s="23" t="n">
        <f aca="false">G210+H210</f>
        <v>132.18</v>
      </c>
      <c r="Q210" s="23" t="n">
        <f aca="false">G210*INDEX(Assumptions!$B$8:$B$16,MATCH(F210,Assumptions!$A$8:$A$16,0))</f>
        <v>72.1224</v>
      </c>
      <c r="R210" s="23" t="n">
        <f aca="false">H210*Assumptions!$B$3</f>
        <v>10.62</v>
      </c>
      <c r="S210" s="23" t="n">
        <f aca="false">G210-Q210-R210</f>
        <v>31.7376</v>
      </c>
      <c r="T210" s="21" t="str">
        <f aca="false">IF(M210&lt;=7,"0-7 days",IF(M210&lt;=14,"8-14 days",IF(M210&lt;=21,"15-21 days","22+ days")))</f>
        <v>8-14 days</v>
      </c>
    </row>
    <row r="211" customFormat="false" ht="15" hidden="false" customHeight="false" outlineLevel="0" collapsed="false">
      <c r="A211" s="21" t="s">
        <v>277</v>
      </c>
      <c r="B211" s="21" t="s">
        <v>19</v>
      </c>
      <c r="C211" s="22" t="n">
        <v>42902</v>
      </c>
      <c r="D211" s="22" t="n">
        <v>42910</v>
      </c>
      <c r="E211" s="22" t="n">
        <v>42916</v>
      </c>
      <c r="F211" s="21" t="s">
        <v>79</v>
      </c>
      <c r="G211" s="23" t="n">
        <v>201.98</v>
      </c>
      <c r="H211" s="23" t="n">
        <v>14.79</v>
      </c>
      <c r="I211" s="21" t="s">
        <v>45</v>
      </c>
      <c r="J211" s="21" t="n">
        <v>4</v>
      </c>
      <c r="K211" s="21" t="s">
        <v>46</v>
      </c>
      <c r="L211" s="24" t="n">
        <f aca="false">DATE(YEAR(C211),MONTH(C211),1)</f>
        <v>42887</v>
      </c>
      <c r="M211" s="21" t="n">
        <f aca="false">D211-C211</f>
        <v>8</v>
      </c>
      <c r="N211" s="21" t="n">
        <f aca="false">MAX(0,D211-E211)</f>
        <v>0</v>
      </c>
      <c r="O211" s="21" t="n">
        <f aca="false">IF(D211&lt;=E211,1,0)</f>
        <v>1</v>
      </c>
      <c r="P211" s="23" t="n">
        <f aca="false">G211+H211</f>
        <v>216.77</v>
      </c>
      <c r="Q211" s="23" t="n">
        <f aca="false">G211*INDEX(Assumptions!$B$8:$B$16,MATCH(F211,Assumptions!$A$8:$A$16,0))</f>
        <v>141.386</v>
      </c>
      <c r="R211" s="23" t="n">
        <f aca="false">H211*Assumptions!$B$3</f>
        <v>8.874</v>
      </c>
      <c r="S211" s="23" t="n">
        <f aca="false">G211-Q211-R211</f>
        <v>51.72</v>
      </c>
      <c r="T211" s="21" t="str">
        <f aca="false">IF(M211&lt;=7,"0-7 days",IF(M211&lt;=14,"8-14 days",IF(M211&lt;=21,"15-21 days","22+ days")))</f>
        <v>8-14 days</v>
      </c>
    </row>
    <row r="212" customFormat="false" ht="15" hidden="false" customHeight="false" outlineLevel="0" collapsed="false">
      <c r="A212" s="21" t="s">
        <v>278</v>
      </c>
      <c r="B212" s="21" t="s">
        <v>19</v>
      </c>
      <c r="C212" s="22" t="n">
        <v>42903</v>
      </c>
      <c r="D212" s="22" t="n">
        <v>42916</v>
      </c>
      <c r="E212" s="22" t="n">
        <v>42917</v>
      </c>
      <c r="F212" s="21" t="s">
        <v>64</v>
      </c>
      <c r="G212" s="23" t="n">
        <v>144.61</v>
      </c>
      <c r="H212" s="23" t="n">
        <v>16.3</v>
      </c>
      <c r="I212" s="21" t="s">
        <v>45</v>
      </c>
      <c r="J212" s="21" t="n">
        <v>4</v>
      </c>
      <c r="K212" s="21" t="s">
        <v>46</v>
      </c>
      <c r="L212" s="24" t="n">
        <f aca="false">DATE(YEAR(C212),MONTH(C212),1)</f>
        <v>42887</v>
      </c>
      <c r="M212" s="21" t="n">
        <f aca="false">D212-C212</f>
        <v>13</v>
      </c>
      <c r="N212" s="21" t="n">
        <f aca="false">MAX(0,D212-E212)</f>
        <v>0</v>
      </c>
      <c r="O212" s="21" t="n">
        <f aca="false">IF(D212&lt;=E212,1,0)</f>
        <v>1</v>
      </c>
      <c r="P212" s="23" t="n">
        <f aca="false">G212+H212</f>
        <v>160.91</v>
      </c>
      <c r="Q212" s="23" t="n">
        <f aca="false">G212*INDEX(Assumptions!$B$8:$B$16,MATCH(F212,Assumptions!$A$8:$A$16,0))</f>
        <v>95.4426</v>
      </c>
      <c r="R212" s="23" t="n">
        <f aca="false">H212*Assumptions!$B$3</f>
        <v>9.78</v>
      </c>
      <c r="S212" s="23" t="n">
        <f aca="false">G212-Q212-R212</f>
        <v>39.3874</v>
      </c>
      <c r="T212" s="21" t="str">
        <f aca="false">IF(M212&lt;=7,"0-7 days",IF(M212&lt;=14,"8-14 days",IF(M212&lt;=21,"15-21 days","22+ days")))</f>
        <v>8-14 days</v>
      </c>
    </row>
    <row r="213" customFormat="false" ht="15" hidden="false" customHeight="false" outlineLevel="0" collapsed="false">
      <c r="A213" s="21" t="s">
        <v>279</v>
      </c>
      <c r="B213" s="21" t="s">
        <v>19</v>
      </c>
      <c r="C213" s="22" t="n">
        <v>42903</v>
      </c>
      <c r="D213" s="22" t="n">
        <v>42907</v>
      </c>
      <c r="E213" s="22" t="n">
        <v>42921</v>
      </c>
      <c r="F213" s="21" t="s">
        <v>53</v>
      </c>
      <c r="G213" s="23" t="n">
        <v>135.09</v>
      </c>
      <c r="H213" s="23" t="n">
        <v>22.16</v>
      </c>
      <c r="I213" s="21" t="s">
        <v>50</v>
      </c>
      <c r="J213" s="21" t="n">
        <v>3</v>
      </c>
      <c r="K213" s="21" t="s">
        <v>46</v>
      </c>
      <c r="L213" s="24" t="n">
        <f aca="false">DATE(YEAR(C213),MONTH(C213),1)</f>
        <v>42887</v>
      </c>
      <c r="M213" s="21" t="n">
        <f aca="false">D213-C213</f>
        <v>4</v>
      </c>
      <c r="N213" s="21" t="n">
        <f aca="false">MAX(0,D213-E213)</f>
        <v>0</v>
      </c>
      <c r="O213" s="21" t="n">
        <f aca="false">IF(D213&lt;=E213,1,0)</f>
        <v>1</v>
      </c>
      <c r="P213" s="23" t="n">
        <f aca="false">G213+H213</f>
        <v>157.25</v>
      </c>
      <c r="Q213" s="23" t="n">
        <f aca="false">G213*INDEX(Assumptions!$B$8:$B$16,MATCH(F213,Assumptions!$A$8:$A$16,0))</f>
        <v>99.9666</v>
      </c>
      <c r="R213" s="23" t="n">
        <f aca="false">H213*Assumptions!$B$3</f>
        <v>13.296</v>
      </c>
      <c r="S213" s="23" t="n">
        <f aca="false">G213-Q213-R213</f>
        <v>21.8274</v>
      </c>
      <c r="T213" s="21" t="str">
        <f aca="false">IF(M213&lt;=7,"0-7 days",IF(M213&lt;=14,"8-14 days",IF(M213&lt;=21,"15-21 days","22+ days")))</f>
        <v>0-7 days</v>
      </c>
    </row>
    <row r="214" customFormat="false" ht="15" hidden="false" customHeight="false" outlineLevel="0" collapsed="false">
      <c r="A214" s="21" t="s">
        <v>280</v>
      </c>
      <c r="B214" s="21" t="s">
        <v>52</v>
      </c>
      <c r="C214" s="22" t="n">
        <v>42904</v>
      </c>
      <c r="D214" s="22" t="n">
        <v>42930</v>
      </c>
      <c r="E214" s="22" t="n">
        <v>42928</v>
      </c>
      <c r="F214" s="21" t="s">
        <v>79</v>
      </c>
      <c r="G214" s="23" t="n">
        <v>180.18</v>
      </c>
      <c r="H214" s="23" t="n">
        <v>31.54</v>
      </c>
      <c r="I214" s="21" t="s">
        <v>45</v>
      </c>
      <c r="J214" s="21" t="n">
        <v>4</v>
      </c>
      <c r="K214" s="21" t="s">
        <v>46</v>
      </c>
      <c r="L214" s="24" t="n">
        <f aca="false">DATE(YEAR(C214),MONTH(C214),1)</f>
        <v>42887</v>
      </c>
      <c r="M214" s="21" t="n">
        <f aca="false">D214-C214</f>
        <v>26</v>
      </c>
      <c r="N214" s="21" t="n">
        <f aca="false">MAX(0,D214-E214)</f>
        <v>2</v>
      </c>
      <c r="O214" s="21" t="n">
        <f aca="false">IF(D214&lt;=E214,1,0)</f>
        <v>0</v>
      </c>
      <c r="P214" s="23" t="n">
        <f aca="false">G214+H214</f>
        <v>211.72</v>
      </c>
      <c r="Q214" s="23" t="n">
        <f aca="false">G214*INDEX(Assumptions!$B$8:$B$16,MATCH(F214,Assumptions!$A$8:$A$16,0))</f>
        <v>126.126</v>
      </c>
      <c r="R214" s="23" t="n">
        <f aca="false">H214*Assumptions!$B$3</f>
        <v>18.924</v>
      </c>
      <c r="S214" s="23" t="n">
        <f aca="false">G214-Q214-R214</f>
        <v>35.13</v>
      </c>
      <c r="T214" s="21" t="str">
        <f aca="false">IF(M214&lt;=7,"0-7 days",IF(M214&lt;=14,"8-14 days",IF(M214&lt;=21,"15-21 days","22+ days")))</f>
        <v>22+ days</v>
      </c>
    </row>
    <row r="215" customFormat="false" ht="15" hidden="false" customHeight="false" outlineLevel="0" collapsed="false">
      <c r="A215" s="21" t="s">
        <v>281</v>
      </c>
      <c r="B215" s="21" t="s">
        <v>19</v>
      </c>
      <c r="C215" s="22" t="n">
        <v>42904</v>
      </c>
      <c r="D215" s="22" t="n">
        <v>42913</v>
      </c>
      <c r="E215" s="22" t="n">
        <v>42917</v>
      </c>
      <c r="F215" s="21" t="s">
        <v>111</v>
      </c>
      <c r="G215" s="23" t="n">
        <v>79.22</v>
      </c>
      <c r="H215" s="23" t="n">
        <v>19.2</v>
      </c>
      <c r="I215" s="21" t="s">
        <v>50</v>
      </c>
      <c r="J215" s="21" t="n">
        <v>4</v>
      </c>
      <c r="K215" s="21" t="s">
        <v>46</v>
      </c>
      <c r="L215" s="24" t="n">
        <f aca="false">DATE(YEAR(C215),MONTH(C215),1)</f>
        <v>42887</v>
      </c>
      <c r="M215" s="21" t="n">
        <f aca="false">D215-C215</f>
        <v>9</v>
      </c>
      <c r="N215" s="21" t="n">
        <f aca="false">MAX(0,D215-E215)</f>
        <v>0</v>
      </c>
      <c r="O215" s="21" t="n">
        <f aca="false">IF(D215&lt;=E215,1,0)</f>
        <v>1</v>
      </c>
      <c r="P215" s="23" t="n">
        <f aca="false">G215+H215</f>
        <v>98.42</v>
      </c>
      <c r="Q215" s="23" t="n">
        <f aca="false">G215*INDEX(Assumptions!$B$8:$B$16,MATCH(F215,Assumptions!$A$8:$A$16,0))</f>
        <v>49.9086</v>
      </c>
      <c r="R215" s="23" t="n">
        <f aca="false">H215*Assumptions!$B$3</f>
        <v>11.52</v>
      </c>
      <c r="S215" s="23" t="n">
        <f aca="false">G215-Q215-R215</f>
        <v>17.7914</v>
      </c>
      <c r="T215" s="21" t="str">
        <f aca="false">IF(M215&lt;=7,"0-7 days",IF(M215&lt;=14,"8-14 days",IF(M215&lt;=21,"15-21 days","22+ days")))</f>
        <v>8-14 days</v>
      </c>
    </row>
    <row r="216" customFormat="false" ht="15" hidden="false" customHeight="false" outlineLevel="0" collapsed="false">
      <c r="A216" s="21" t="s">
        <v>282</v>
      </c>
      <c r="B216" s="21" t="s">
        <v>52</v>
      </c>
      <c r="C216" s="22" t="n">
        <v>42905</v>
      </c>
      <c r="D216" s="22" t="n">
        <v>42915</v>
      </c>
      <c r="E216" s="22" t="n">
        <v>42928</v>
      </c>
      <c r="F216" s="21" t="s">
        <v>53</v>
      </c>
      <c r="G216" s="23" t="n">
        <v>145.22</v>
      </c>
      <c r="H216" s="23" t="n">
        <v>25.83</v>
      </c>
      <c r="I216" s="21" t="s">
        <v>45</v>
      </c>
      <c r="J216" s="21" t="n">
        <v>4</v>
      </c>
      <c r="K216" s="21" t="s">
        <v>46</v>
      </c>
      <c r="L216" s="24" t="n">
        <f aca="false">DATE(YEAR(C216),MONTH(C216),1)</f>
        <v>42887</v>
      </c>
      <c r="M216" s="21" t="n">
        <f aca="false">D216-C216</f>
        <v>10</v>
      </c>
      <c r="N216" s="21" t="n">
        <f aca="false">MAX(0,D216-E216)</f>
        <v>0</v>
      </c>
      <c r="O216" s="21" t="n">
        <f aca="false">IF(D216&lt;=E216,1,0)</f>
        <v>1</v>
      </c>
      <c r="P216" s="23" t="n">
        <f aca="false">G216+H216</f>
        <v>171.05</v>
      </c>
      <c r="Q216" s="23" t="n">
        <f aca="false">G216*INDEX(Assumptions!$B$8:$B$16,MATCH(F216,Assumptions!$A$8:$A$16,0))</f>
        <v>107.4628</v>
      </c>
      <c r="R216" s="23" t="n">
        <f aca="false">H216*Assumptions!$B$3</f>
        <v>15.498</v>
      </c>
      <c r="S216" s="23" t="n">
        <f aca="false">G216-Q216-R216</f>
        <v>22.2592</v>
      </c>
      <c r="T216" s="21" t="str">
        <f aca="false">IF(M216&lt;=7,"0-7 days",IF(M216&lt;=14,"8-14 days",IF(M216&lt;=21,"15-21 days","22+ days")))</f>
        <v>8-14 days</v>
      </c>
    </row>
    <row r="217" customFormat="false" ht="15" hidden="false" customHeight="false" outlineLevel="0" collapsed="false">
      <c r="A217" s="21" t="s">
        <v>283</v>
      </c>
      <c r="B217" s="21" t="s">
        <v>19</v>
      </c>
      <c r="C217" s="22" t="n">
        <v>42905</v>
      </c>
      <c r="D217" s="22" t="n">
        <v>42913</v>
      </c>
      <c r="E217" s="22" t="n">
        <v>42920</v>
      </c>
      <c r="F217" s="21" t="s">
        <v>53</v>
      </c>
      <c r="G217" s="23" t="n">
        <v>149.11</v>
      </c>
      <c r="H217" s="23" t="n">
        <v>18.86</v>
      </c>
      <c r="I217" s="21" t="s">
        <v>45</v>
      </c>
      <c r="J217" s="21" t="n">
        <v>5</v>
      </c>
      <c r="K217" s="21" t="s">
        <v>46</v>
      </c>
      <c r="L217" s="24" t="n">
        <f aca="false">DATE(YEAR(C217),MONTH(C217),1)</f>
        <v>42887</v>
      </c>
      <c r="M217" s="21" t="n">
        <f aca="false">D217-C217</f>
        <v>8</v>
      </c>
      <c r="N217" s="21" t="n">
        <f aca="false">MAX(0,D217-E217)</f>
        <v>0</v>
      </c>
      <c r="O217" s="21" t="n">
        <f aca="false">IF(D217&lt;=E217,1,0)</f>
        <v>1</v>
      </c>
      <c r="P217" s="23" t="n">
        <f aca="false">G217+H217</f>
        <v>167.97</v>
      </c>
      <c r="Q217" s="23" t="n">
        <f aca="false">G217*INDEX(Assumptions!$B$8:$B$16,MATCH(F217,Assumptions!$A$8:$A$16,0))</f>
        <v>110.3414</v>
      </c>
      <c r="R217" s="23" t="n">
        <f aca="false">H217*Assumptions!$B$3</f>
        <v>11.316</v>
      </c>
      <c r="S217" s="23" t="n">
        <f aca="false">G217-Q217-R217</f>
        <v>27.4526</v>
      </c>
      <c r="T217" s="21" t="str">
        <f aca="false">IF(M217&lt;=7,"0-7 days",IF(M217&lt;=14,"8-14 days",IF(M217&lt;=21,"15-21 days","22+ days")))</f>
        <v>8-14 days</v>
      </c>
    </row>
    <row r="218" customFormat="false" ht="15" hidden="false" customHeight="false" outlineLevel="0" collapsed="false">
      <c r="A218" s="21" t="s">
        <v>284</v>
      </c>
      <c r="B218" s="21" t="s">
        <v>55</v>
      </c>
      <c r="C218" s="22" t="n">
        <v>42905</v>
      </c>
      <c r="D218" s="22" t="n">
        <v>42920</v>
      </c>
      <c r="E218" s="22" t="n">
        <v>42928</v>
      </c>
      <c r="F218" s="21" t="s">
        <v>67</v>
      </c>
      <c r="G218" s="23" t="n">
        <v>103.96</v>
      </c>
      <c r="H218" s="23" t="n">
        <v>25.53</v>
      </c>
      <c r="I218" s="21" t="s">
        <v>60</v>
      </c>
      <c r="J218" s="21" t="n">
        <v>2</v>
      </c>
      <c r="K218" s="21" t="s">
        <v>46</v>
      </c>
      <c r="L218" s="24" t="n">
        <f aca="false">DATE(YEAR(C218),MONTH(C218),1)</f>
        <v>42887</v>
      </c>
      <c r="M218" s="21" t="n">
        <f aca="false">D218-C218</f>
        <v>15</v>
      </c>
      <c r="N218" s="21" t="n">
        <f aca="false">MAX(0,D218-E218)</f>
        <v>0</v>
      </c>
      <c r="O218" s="21" t="n">
        <f aca="false">IF(D218&lt;=E218,1,0)</f>
        <v>1</v>
      </c>
      <c r="P218" s="23" t="n">
        <f aca="false">G218+H218</f>
        <v>129.49</v>
      </c>
      <c r="Q218" s="23" t="n">
        <f aca="false">G218*INDEX(Assumptions!$B$8:$B$16,MATCH(F218,Assumptions!$A$8:$A$16,0))</f>
        <v>64.4552</v>
      </c>
      <c r="R218" s="23" t="n">
        <f aca="false">H218*Assumptions!$B$3</f>
        <v>15.318</v>
      </c>
      <c r="S218" s="23" t="n">
        <f aca="false">G218-Q218-R218</f>
        <v>24.1868</v>
      </c>
      <c r="T218" s="21" t="str">
        <f aca="false">IF(M218&lt;=7,"0-7 days",IF(M218&lt;=14,"8-14 days",IF(M218&lt;=21,"15-21 days","22+ days")))</f>
        <v>15-21 days</v>
      </c>
    </row>
    <row r="219" customFormat="false" ht="15" hidden="false" customHeight="false" outlineLevel="0" collapsed="false">
      <c r="A219" s="21" t="s">
        <v>285</v>
      </c>
      <c r="B219" s="21" t="s">
        <v>19</v>
      </c>
      <c r="C219" s="22" t="n">
        <v>42905</v>
      </c>
      <c r="D219" s="22" t="n">
        <v>42909</v>
      </c>
      <c r="E219" s="22" t="n">
        <v>42918</v>
      </c>
      <c r="F219" s="21" t="s">
        <v>67</v>
      </c>
      <c r="G219" s="23" t="n">
        <v>49.74</v>
      </c>
      <c r="H219" s="23" t="n">
        <v>21.62</v>
      </c>
      <c r="I219" s="21" t="s">
        <v>45</v>
      </c>
      <c r="J219" s="21" t="n">
        <v>4</v>
      </c>
      <c r="K219" s="21" t="s">
        <v>46</v>
      </c>
      <c r="L219" s="24" t="n">
        <f aca="false">DATE(YEAR(C219),MONTH(C219),1)</f>
        <v>42887</v>
      </c>
      <c r="M219" s="21" t="n">
        <f aca="false">D219-C219</f>
        <v>4</v>
      </c>
      <c r="N219" s="21" t="n">
        <f aca="false">MAX(0,D219-E219)</f>
        <v>0</v>
      </c>
      <c r="O219" s="21" t="n">
        <f aca="false">IF(D219&lt;=E219,1,0)</f>
        <v>1</v>
      </c>
      <c r="P219" s="23" t="n">
        <f aca="false">G219+H219</f>
        <v>71.36</v>
      </c>
      <c r="Q219" s="23" t="n">
        <f aca="false">G219*INDEX(Assumptions!$B$8:$B$16,MATCH(F219,Assumptions!$A$8:$A$16,0))</f>
        <v>30.8388</v>
      </c>
      <c r="R219" s="23" t="n">
        <f aca="false">H219*Assumptions!$B$3</f>
        <v>12.972</v>
      </c>
      <c r="S219" s="23" t="n">
        <f aca="false">G219-Q219-R219</f>
        <v>5.9292</v>
      </c>
      <c r="T219" s="21" t="str">
        <f aca="false">IF(M219&lt;=7,"0-7 days",IF(M219&lt;=14,"8-14 days",IF(M219&lt;=21,"15-21 days","22+ days")))</f>
        <v>0-7 days</v>
      </c>
    </row>
    <row r="220" customFormat="false" ht="15" hidden="false" customHeight="false" outlineLevel="0" collapsed="false">
      <c r="A220" s="21" t="s">
        <v>286</v>
      </c>
      <c r="B220" s="21" t="s">
        <v>156</v>
      </c>
      <c r="C220" s="22" t="n">
        <v>42906</v>
      </c>
      <c r="D220" s="22" t="n">
        <v>42923</v>
      </c>
      <c r="E220" s="22" t="n">
        <v>42930</v>
      </c>
      <c r="F220" s="21" t="s">
        <v>67</v>
      </c>
      <c r="G220" s="23" t="n">
        <v>156.41</v>
      </c>
      <c r="H220" s="23" t="n">
        <v>21.87</v>
      </c>
      <c r="I220" s="21" t="s">
        <v>60</v>
      </c>
      <c r="J220" s="21" t="n">
        <v>3</v>
      </c>
      <c r="K220" s="21" t="s">
        <v>46</v>
      </c>
      <c r="L220" s="24" t="n">
        <f aca="false">DATE(YEAR(C220),MONTH(C220),1)</f>
        <v>42887</v>
      </c>
      <c r="M220" s="21" t="n">
        <f aca="false">D220-C220</f>
        <v>17</v>
      </c>
      <c r="N220" s="21" t="n">
        <f aca="false">MAX(0,D220-E220)</f>
        <v>0</v>
      </c>
      <c r="O220" s="21" t="n">
        <f aca="false">IF(D220&lt;=E220,1,0)</f>
        <v>1</v>
      </c>
      <c r="P220" s="23" t="n">
        <f aca="false">G220+H220</f>
        <v>178.28</v>
      </c>
      <c r="Q220" s="23" t="n">
        <f aca="false">G220*INDEX(Assumptions!$B$8:$B$16,MATCH(F220,Assumptions!$A$8:$A$16,0))</f>
        <v>96.9742</v>
      </c>
      <c r="R220" s="23" t="n">
        <f aca="false">H220*Assumptions!$B$3</f>
        <v>13.122</v>
      </c>
      <c r="S220" s="23" t="n">
        <f aca="false">G220-Q220-R220</f>
        <v>46.3138</v>
      </c>
      <c r="T220" s="21" t="str">
        <f aca="false">IF(M220&lt;=7,"0-7 days",IF(M220&lt;=14,"8-14 days",IF(M220&lt;=21,"15-21 days","22+ days")))</f>
        <v>15-21 days</v>
      </c>
    </row>
    <row r="221" customFormat="false" ht="15" hidden="false" customHeight="false" outlineLevel="0" collapsed="false">
      <c r="A221" s="21" t="s">
        <v>287</v>
      </c>
      <c r="B221" s="21" t="s">
        <v>62</v>
      </c>
      <c r="C221" s="22" t="n">
        <v>42908</v>
      </c>
      <c r="D221" s="22" t="n">
        <v>42919</v>
      </c>
      <c r="E221" s="22" t="n">
        <v>42926</v>
      </c>
      <c r="F221" s="21" t="s">
        <v>59</v>
      </c>
      <c r="G221" s="23" t="n">
        <v>30.6</v>
      </c>
      <c r="H221" s="23" t="n">
        <v>24.39</v>
      </c>
      <c r="I221" s="21" t="s">
        <v>45</v>
      </c>
      <c r="J221" s="21" t="n">
        <v>5</v>
      </c>
      <c r="K221" s="21" t="s">
        <v>46</v>
      </c>
      <c r="L221" s="24" t="n">
        <f aca="false">DATE(YEAR(C221),MONTH(C221),1)</f>
        <v>42887</v>
      </c>
      <c r="M221" s="21" t="n">
        <f aca="false">D221-C221</f>
        <v>11</v>
      </c>
      <c r="N221" s="21" t="n">
        <f aca="false">MAX(0,D221-E221)</f>
        <v>0</v>
      </c>
      <c r="O221" s="21" t="n">
        <f aca="false">IF(D221&lt;=E221,1,0)</f>
        <v>1</v>
      </c>
      <c r="P221" s="23" t="n">
        <f aca="false">G221+H221</f>
        <v>54.99</v>
      </c>
      <c r="Q221" s="23" t="n">
        <f aca="false">G221*INDEX(Assumptions!$B$8:$B$16,MATCH(F221,Assumptions!$A$8:$A$16,0))</f>
        <v>19.584</v>
      </c>
      <c r="R221" s="23" t="n">
        <f aca="false">H221*Assumptions!$B$3</f>
        <v>14.634</v>
      </c>
      <c r="S221" s="23" t="n">
        <f aca="false">G221-Q221-R221</f>
        <v>-3.618</v>
      </c>
      <c r="T221" s="21" t="str">
        <f aca="false">IF(M221&lt;=7,"0-7 days",IF(M221&lt;=14,"8-14 days",IF(M221&lt;=21,"15-21 days","22+ days")))</f>
        <v>8-14 days</v>
      </c>
    </row>
    <row r="222" customFormat="false" ht="15" hidden="false" customHeight="false" outlineLevel="0" collapsed="false">
      <c r="A222" s="21" t="s">
        <v>288</v>
      </c>
      <c r="B222" s="21" t="s">
        <v>19</v>
      </c>
      <c r="C222" s="22" t="n">
        <v>42908</v>
      </c>
      <c r="D222" s="22" t="n">
        <v>42915</v>
      </c>
      <c r="E222" s="22" t="n">
        <v>42921</v>
      </c>
      <c r="F222" s="21" t="s">
        <v>79</v>
      </c>
      <c r="G222" s="23" t="n">
        <v>73.63</v>
      </c>
      <c r="H222" s="23" t="n">
        <v>15.7</v>
      </c>
      <c r="I222" s="21" t="s">
        <v>60</v>
      </c>
      <c r="J222" s="21" t="n">
        <v>5</v>
      </c>
      <c r="K222" s="21" t="s">
        <v>46</v>
      </c>
      <c r="L222" s="24" t="n">
        <f aca="false">DATE(YEAR(C222),MONTH(C222),1)</f>
        <v>42887</v>
      </c>
      <c r="M222" s="21" t="n">
        <f aca="false">D222-C222</f>
        <v>7</v>
      </c>
      <c r="N222" s="21" t="n">
        <f aca="false">MAX(0,D222-E222)</f>
        <v>0</v>
      </c>
      <c r="O222" s="21" t="n">
        <f aca="false">IF(D222&lt;=E222,1,0)</f>
        <v>1</v>
      </c>
      <c r="P222" s="23" t="n">
        <f aca="false">G222+H222</f>
        <v>89.33</v>
      </c>
      <c r="Q222" s="23" t="n">
        <f aca="false">G222*INDEX(Assumptions!$B$8:$B$16,MATCH(F222,Assumptions!$A$8:$A$16,0))</f>
        <v>51.541</v>
      </c>
      <c r="R222" s="23" t="n">
        <f aca="false">H222*Assumptions!$B$3</f>
        <v>9.42</v>
      </c>
      <c r="S222" s="23" t="n">
        <f aca="false">G222-Q222-R222</f>
        <v>12.669</v>
      </c>
      <c r="T222" s="21" t="str">
        <f aca="false">IF(M222&lt;=7,"0-7 days",IF(M222&lt;=14,"8-14 days",IF(M222&lt;=21,"15-21 days","22+ days")))</f>
        <v>0-7 days</v>
      </c>
    </row>
    <row r="223" customFormat="false" ht="15" hidden="false" customHeight="false" outlineLevel="0" collapsed="false">
      <c r="A223" s="21" t="s">
        <v>289</v>
      </c>
      <c r="B223" s="21" t="s">
        <v>77</v>
      </c>
      <c r="C223" s="22" t="n">
        <v>42909</v>
      </c>
      <c r="D223" s="22" t="n">
        <v>42925</v>
      </c>
      <c r="E223" s="22" t="n">
        <v>42937</v>
      </c>
      <c r="F223" s="21" t="s">
        <v>79</v>
      </c>
      <c r="G223" s="23" t="n">
        <v>75.38</v>
      </c>
      <c r="H223" s="23" t="n">
        <v>31.48</v>
      </c>
      <c r="I223" s="21" t="s">
        <v>60</v>
      </c>
      <c r="J223" s="21" t="n">
        <v>4</v>
      </c>
      <c r="K223" s="21" t="s">
        <v>46</v>
      </c>
      <c r="L223" s="24" t="n">
        <f aca="false">DATE(YEAR(C223),MONTH(C223),1)</f>
        <v>42887</v>
      </c>
      <c r="M223" s="21" t="n">
        <f aca="false">D223-C223</f>
        <v>16</v>
      </c>
      <c r="N223" s="21" t="n">
        <f aca="false">MAX(0,D223-E223)</f>
        <v>0</v>
      </c>
      <c r="O223" s="21" t="n">
        <f aca="false">IF(D223&lt;=E223,1,0)</f>
        <v>1</v>
      </c>
      <c r="P223" s="23" t="n">
        <f aca="false">G223+H223</f>
        <v>106.86</v>
      </c>
      <c r="Q223" s="23" t="n">
        <f aca="false">G223*INDEX(Assumptions!$B$8:$B$16,MATCH(F223,Assumptions!$A$8:$A$16,0))</f>
        <v>52.766</v>
      </c>
      <c r="R223" s="23" t="n">
        <f aca="false">H223*Assumptions!$B$3</f>
        <v>18.888</v>
      </c>
      <c r="S223" s="23" t="n">
        <f aca="false">G223-Q223-R223</f>
        <v>3.72600000000001</v>
      </c>
      <c r="T223" s="21" t="str">
        <f aca="false">IF(M223&lt;=7,"0-7 days",IF(M223&lt;=14,"8-14 days",IF(M223&lt;=21,"15-21 days","22+ days")))</f>
        <v>15-21 days</v>
      </c>
    </row>
    <row r="224" customFormat="false" ht="15" hidden="false" customHeight="false" outlineLevel="0" collapsed="false">
      <c r="A224" s="21" t="s">
        <v>290</v>
      </c>
      <c r="B224" s="21" t="s">
        <v>19</v>
      </c>
      <c r="C224" s="22" t="n">
        <v>42909</v>
      </c>
      <c r="D224" s="22" t="n">
        <v>42924</v>
      </c>
      <c r="E224" s="22" t="n">
        <v>42927</v>
      </c>
      <c r="F224" s="21" t="s">
        <v>79</v>
      </c>
      <c r="G224" s="23" t="n">
        <v>345.77</v>
      </c>
      <c r="H224" s="23" t="n">
        <v>18.26</v>
      </c>
      <c r="I224" s="21" t="s">
        <v>45</v>
      </c>
      <c r="J224" s="21" t="n">
        <v>3</v>
      </c>
      <c r="K224" s="21" t="s">
        <v>46</v>
      </c>
      <c r="L224" s="24" t="n">
        <f aca="false">DATE(YEAR(C224),MONTH(C224),1)</f>
        <v>42887</v>
      </c>
      <c r="M224" s="21" t="n">
        <f aca="false">D224-C224</f>
        <v>15</v>
      </c>
      <c r="N224" s="21" t="n">
        <f aca="false">MAX(0,D224-E224)</f>
        <v>0</v>
      </c>
      <c r="O224" s="21" t="n">
        <f aca="false">IF(D224&lt;=E224,1,0)</f>
        <v>1</v>
      </c>
      <c r="P224" s="23" t="n">
        <f aca="false">G224+H224</f>
        <v>364.03</v>
      </c>
      <c r="Q224" s="23" t="n">
        <f aca="false">G224*INDEX(Assumptions!$B$8:$B$16,MATCH(F224,Assumptions!$A$8:$A$16,0))</f>
        <v>242.039</v>
      </c>
      <c r="R224" s="23" t="n">
        <f aca="false">H224*Assumptions!$B$3</f>
        <v>10.956</v>
      </c>
      <c r="S224" s="23" t="n">
        <f aca="false">G224-Q224-R224</f>
        <v>92.775</v>
      </c>
      <c r="T224" s="21" t="str">
        <f aca="false">IF(M224&lt;=7,"0-7 days",IF(M224&lt;=14,"8-14 days",IF(M224&lt;=21,"15-21 days","22+ days")))</f>
        <v>15-21 days</v>
      </c>
    </row>
    <row r="225" customFormat="false" ht="15" hidden="false" customHeight="false" outlineLevel="0" collapsed="false">
      <c r="A225" s="21" t="s">
        <v>291</v>
      </c>
      <c r="B225" s="21" t="s">
        <v>19</v>
      </c>
      <c r="C225" s="22" t="n">
        <v>42910</v>
      </c>
      <c r="D225" s="22" t="n">
        <v>42917</v>
      </c>
      <c r="E225" s="22" t="n">
        <v>42926</v>
      </c>
      <c r="F225" s="21" t="s">
        <v>53</v>
      </c>
      <c r="G225" s="23" t="n">
        <v>52.18</v>
      </c>
      <c r="H225" s="23" t="n">
        <v>13.81</v>
      </c>
      <c r="I225" s="21" t="s">
        <v>45</v>
      </c>
      <c r="J225" s="21" t="n">
        <v>4</v>
      </c>
      <c r="K225" s="21" t="s">
        <v>46</v>
      </c>
      <c r="L225" s="24" t="n">
        <f aca="false">DATE(YEAR(C225),MONTH(C225),1)</f>
        <v>42887</v>
      </c>
      <c r="M225" s="21" t="n">
        <f aca="false">D225-C225</f>
        <v>7</v>
      </c>
      <c r="N225" s="21" t="n">
        <f aca="false">MAX(0,D225-E225)</f>
        <v>0</v>
      </c>
      <c r="O225" s="21" t="n">
        <f aca="false">IF(D225&lt;=E225,1,0)</f>
        <v>1</v>
      </c>
      <c r="P225" s="23" t="n">
        <f aca="false">G225+H225</f>
        <v>65.99</v>
      </c>
      <c r="Q225" s="23" t="n">
        <f aca="false">G225*INDEX(Assumptions!$B$8:$B$16,MATCH(F225,Assumptions!$A$8:$A$16,0))</f>
        <v>38.6132</v>
      </c>
      <c r="R225" s="23" t="n">
        <f aca="false">H225*Assumptions!$B$3</f>
        <v>8.286</v>
      </c>
      <c r="S225" s="23" t="n">
        <f aca="false">G225-Q225-R225</f>
        <v>5.2808</v>
      </c>
      <c r="T225" s="21" t="str">
        <f aca="false">IF(M225&lt;=7,"0-7 days",IF(M225&lt;=14,"8-14 days",IF(M225&lt;=21,"15-21 days","22+ days")))</f>
        <v>0-7 days</v>
      </c>
    </row>
    <row r="226" customFormat="false" ht="15" hidden="false" customHeight="false" outlineLevel="0" collapsed="false">
      <c r="A226" s="21" t="s">
        <v>292</v>
      </c>
      <c r="B226" s="21" t="s">
        <v>55</v>
      </c>
      <c r="C226" s="22" t="n">
        <v>42910</v>
      </c>
      <c r="D226" s="22" t="n">
        <v>42926</v>
      </c>
      <c r="E226" s="22" t="n">
        <v>42931</v>
      </c>
      <c r="F226" s="21" t="s">
        <v>49</v>
      </c>
      <c r="G226" s="23" t="n">
        <v>58.74</v>
      </c>
      <c r="H226" s="23" t="n">
        <v>18.57</v>
      </c>
      <c r="I226" s="21" t="s">
        <v>45</v>
      </c>
      <c r="J226" s="21" t="n">
        <v>5</v>
      </c>
      <c r="K226" s="21" t="s">
        <v>46</v>
      </c>
      <c r="L226" s="24" t="n">
        <f aca="false">DATE(YEAR(C226),MONTH(C226),1)</f>
        <v>42887</v>
      </c>
      <c r="M226" s="21" t="n">
        <f aca="false">D226-C226</f>
        <v>16</v>
      </c>
      <c r="N226" s="21" t="n">
        <f aca="false">MAX(0,D226-E226)</f>
        <v>0</v>
      </c>
      <c r="O226" s="21" t="n">
        <f aca="false">IF(D226&lt;=E226,1,0)</f>
        <v>1</v>
      </c>
      <c r="P226" s="23" t="n">
        <f aca="false">G226+H226</f>
        <v>77.31</v>
      </c>
      <c r="Q226" s="23" t="n">
        <f aca="false">G226*INDEX(Assumptions!$B$8:$B$16,MATCH(F226,Assumptions!$A$8:$A$16,0))</f>
        <v>34.0692</v>
      </c>
      <c r="R226" s="23" t="n">
        <f aca="false">H226*Assumptions!$B$3</f>
        <v>11.142</v>
      </c>
      <c r="S226" s="23" t="n">
        <f aca="false">G226-Q226-R226</f>
        <v>13.5288</v>
      </c>
      <c r="T226" s="21" t="str">
        <f aca="false">IF(M226&lt;=7,"0-7 days",IF(M226&lt;=14,"8-14 days",IF(M226&lt;=21,"15-21 days","22+ days")))</f>
        <v>15-21 days</v>
      </c>
    </row>
    <row r="227" customFormat="false" ht="15" hidden="false" customHeight="false" outlineLevel="0" collapsed="false">
      <c r="A227" s="21" t="s">
        <v>293</v>
      </c>
      <c r="B227" s="21" t="s">
        <v>48</v>
      </c>
      <c r="C227" s="22" t="n">
        <v>42911</v>
      </c>
      <c r="D227" s="22" t="n">
        <v>42918</v>
      </c>
      <c r="E227" s="22" t="n">
        <v>42935</v>
      </c>
      <c r="F227" s="21" t="s">
        <v>64</v>
      </c>
      <c r="G227" s="23" t="n">
        <v>71.45</v>
      </c>
      <c r="H227" s="23" t="n">
        <v>19.83</v>
      </c>
      <c r="I227" s="21" t="s">
        <v>45</v>
      </c>
      <c r="J227" s="21" t="n">
        <v>5</v>
      </c>
      <c r="K227" s="21" t="s">
        <v>46</v>
      </c>
      <c r="L227" s="24" t="n">
        <f aca="false">DATE(YEAR(C227),MONTH(C227),1)</f>
        <v>42887</v>
      </c>
      <c r="M227" s="21" t="n">
        <f aca="false">D227-C227</f>
        <v>7</v>
      </c>
      <c r="N227" s="21" t="n">
        <f aca="false">MAX(0,D227-E227)</f>
        <v>0</v>
      </c>
      <c r="O227" s="21" t="n">
        <f aca="false">IF(D227&lt;=E227,1,0)</f>
        <v>1</v>
      </c>
      <c r="P227" s="23" t="n">
        <f aca="false">G227+H227</f>
        <v>91.28</v>
      </c>
      <c r="Q227" s="23" t="n">
        <f aca="false">G227*INDEX(Assumptions!$B$8:$B$16,MATCH(F227,Assumptions!$A$8:$A$16,0))</f>
        <v>47.157</v>
      </c>
      <c r="R227" s="23" t="n">
        <f aca="false">H227*Assumptions!$B$3</f>
        <v>11.898</v>
      </c>
      <c r="S227" s="23" t="n">
        <f aca="false">G227-Q227-R227</f>
        <v>12.395</v>
      </c>
      <c r="T227" s="21" t="str">
        <f aca="false">IF(M227&lt;=7,"0-7 days",IF(M227&lt;=14,"8-14 days",IF(M227&lt;=21,"15-21 days","22+ days")))</f>
        <v>0-7 days</v>
      </c>
    </row>
    <row r="228" customFormat="false" ht="15" hidden="false" customHeight="false" outlineLevel="0" collapsed="false">
      <c r="A228" s="21" t="s">
        <v>294</v>
      </c>
      <c r="B228" s="21" t="s">
        <v>52</v>
      </c>
      <c r="C228" s="22" t="n">
        <v>42912</v>
      </c>
      <c r="D228" s="22" t="n">
        <v>42934</v>
      </c>
      <c r="E228" s="22" t="n">
        <v>42937</v>
      </c>
      <c r="F228" s="21" t="s">
        <v>49</v>
      </c>
      <c r="G228" s="23" t="n">
        <v>108</v>
      </c>
      <c r="H228" s="23" t="n">
        <v>27.2</v>
      </c>
      <c r="I228" s="21" t="s">
        <v>45</v>
      </c>
      <c r="J228" s="21" t="n">
        <v>4</v>
      </c>
      <c r="K228" s="21" t="s">
        <v>46</v>
      </c>
      <c r="L228" s="24" t="n">
        <f aca="false">DATE(YEAR(C228),MONTH(C228),1)</f>
        <v>42887</v>
      </c>
      <c r="M228" s="21" t="n">
        <f aca="false">D228-C228</f>
        <v>22</v>
      </c>
      <c r="N228" s="21" t="n">
        <f aca="false">MAX(0,D228-E228)</f>
        <v>0</v>
      </c>
      <c r="O228" s="21" t="n">
        <f aca="false">IF(D228&lt;=E228,1,0)</f>
        <v>1</v>
      </c>
      <c r="P228" s="23" t="n">
        <f aca="false">G228+H228</f>
        <v>135.2</v>
      </c>
      <c r="Q228" s="23" t="n">
        <f aca="false">G228*INDEX(Assumptions!$B$8:$B$16,MATCH(F228,Assumptions!$A$8:$A$16,0))</f>
        <v>62.64</v>
      </c>
      <c r="R228" s="23" t="n">
        <f aca="false">H228*Assumptions!$B$3</f>
        <v>16.32</v>
      </c>
      <c r="S228" s="23" t="n">
        <f aca="false">G228-Q228-R228</f>
        <v>29.04</v>
      </c>
      <c r="T228" s="21" t="str">
        <f aca="false">IF(M228&lt;=7,"0-7 days",IF(M228&lt;=14,"8-14 days",IF(M228&lt;=21,"15-21 days","22+ days")))</f>
        <v>22+ days</v>
      </c>
    </row>
    <row r="229" customFormat="false" ht="15" hidden="false" customHeight="false" outlineLevel="0" collapsed="false">
      <c r="A229" s="21" t="s">
        <v>295</v>
      </c>
      <c r="B229" s="21" t="s">
        <v>19</v>
      </c>
      <c r="C229" s="22" t="n">
        <v>42913</v>
      </c>
      <c r="D229" s="22" t="n">
        <v>42922</v>
      </c>
      <c r="E229" s="22" t="n">
        <v>42932</v>
      </c>
      <c r="F229" s="21" t="s">
        <v>111</v>
      </c>
      <c r="G229" s="23" t="n">
        <v>55.99</v>
      </c>
      <c r="H229" s="23" t="n">
        <v>14.86</v>
      </c>
      <c r="I229" s="21" t="s">
        <v>45</v>
      </c>
      <c r="J229" s="21" t="n">
        <v>3</v>
      </c>
      <c r="K229" s="21" t="s">
        <v>46</v>
      </c>
      <c r="L229" s="24" t="n">
        <f aca="false">DATE(YEAR(C229),MONTH(C229),1)</f>
        <v>42887</v>
      </c>
      <c r="M229" s="21" t="n">
        <f aca="false">D229-C229</f>
        <v>9</v>
      </c>
      <c r="N229" s="21" t="n">
        <f aca="false">MAX(0,D229-E229)</f>
        <v>0</v>
      </c>
      <c r="O229" s="21" t="n">
        <f aca="false">IF(D229&lt;=E229,1,0)</f>
        <v>1</v>
      </c>
      <c r="P229" s="23" t="n">
        <f aca="false">G229+H229</f>
        <v>70.85</v>
      </c>
      <c r="Q229" s="23" t="n">
        <f aca="false">G229*INDEX(Assumptions!$B$8:$B$16,MATCH(F229,Assumptions!$A$8:$A$16,0))</f>
        <v>35.2737</v>
      </c>
      <c r="R229" s="23" t="n">
        <f aca="false">H229*Assumptions!$B$3</f>
        <v>8.916</v>
      </c>
      <c r="S229" s="23" t="n">
        <f aca="false">G229-Q229-R229</f>
        <v>11.8003</v>
      </c>
      <c r="T229" s="21" t="str">
        <f aca="false">IF(M229&lt;=7,"0-7 days",IF(M229&lt;=14,"8-14 days",IF(M229&lt;=21,"15-21 days","22+ days")))</f>
        <v>8-14 days</v>
      </c>
    </row>
    <row r="230" customFormat="false" ht="15" hidden="false" customHeight="false" outlineLevel="0" collapsed="false">
      <c r="A230" s="21" t="s">
        <v>296</v>
      </c>
      <c r="B230" s="21" t="s">
        <v>48</v>
      </c>
      <c r="C230" s="22" t="n">
        <v>42914</v>
      </c>
      <c r="D230" s="22" t="n">
        <v>42929</v>
      </c>
      <c r="E230" s="22" t="n">
        <v>42934</v>
      </c>
      <c r="F230" s="21" t="s">
        <v>67</v>
      </c>
      <c r="G230" s="23" t="n">
        <v>133.56</v>
      </c>
      <c r="H230" s="23" t="n">
        <v>27.11</v>
      </c>
      <c r="I230" s="21" t="s">
        <v>45</v>
      </c>
      <c r="J230" s="21" t="n">
        <v>5</v>
      </c>
      <c r="K230" s="21" t="s">
        <v>46</v>
      </c>
      <c r="L230" s="24" t="n">
        <f aca="false">DATE(YEAR(C230),MONTH(C230),1)</f>
        <v>42887</v>
      </c>
      <c r="M230" s="21" t="n">
        <f aca="false">D230-C230</f>
        <v>15</v>
      </c>
      <c r="N230" s="21" t="n">
        <f aca="false">MAX(0,D230-E230)</f>
        <v>0</v>
      </c>
      <c r="O230" s="21" t="n">
        <f aca="false">IF(D230&lt;=E230,1,0)</f>
        <v>1</v>
      </c>
      <c r="P230" s="23" t="n">
        <f aca="false">G230+H230</f>
        <v>160.67</v>
      </c>
      <c r="Q230" s="23" t="n">
        <f aca="false">G230*INDEX(Assumptions!$B$8:$B$16,MATCH(F230,Assumptions!$A$8:$A$16,0))</f>
        <v>82.8072</v>
      </c>
      <c r="R230" s="23" t="n">
        <f aca="false">H230*Assumptions!$B$3</f>
        <v>16.266</v>
      </c>
      <c r="S230" s="23" t="n">
        <f aca="false">G230-Q230-R230</f>
        <v>34.4868</v>
      </c>
      <c r="T230" s="21" t="str">
        <f aca="false">IF(M230&lt;=7,"0-7 days",IF(M230&lt;=14,"8-14 days",IF(M230&lt;=21,"15-21 days","22+ days")))</f>
        <v>15-21 days</v>
      </c>
    </row>
    <row r="231" customFormat="false" ht="15" hidden="false" customHeight="false" outlineLevel="0" collapsed="false">
      <c r="A231" s="21" t="s">
        <v>297</v>
      </c>
      <c r="B231" s="21" t="s">
        <v>19</v>
      </c>
      <c r="C231" s="22" t="n">
        <v>42914</v>
      </c>
      <c r="D231" s="22" t="n">
        <v>42925</v>
      </c>
      <c r="E231" s="22" t="n">
        <v>42927</v>
      </c>
      <c r="F231" s="21" t="s">
        <v>79</v>
      </c>
      <c r="G231" s="23" t="n">
        <v>187.21</v>
      </c>
      <c r="H231" s="23" t="n">
        <v>17.66</v>
      </c>
      <c r="I231" s="21" t="s">
        <v>45</v>
      </c>
      <c r="J231" s="21" t="n">
        <v>4</v>
      </c>
      <c r="K231" s="21" t="s">
        <v>46</v>
      </c>
      <c r="L231" s="24" t="n">
        <f aca="false">DATE(YEAR(C231),MONTH(C231),1)</f>
        <v>42887</v>
      </c>
      <c r="M231" s="21" t="n">
        <f aca="false">D231-C231</f>
        <v>11</v>
      </c>
      <c r="N231" s="21" t="n">
        <f aca="false">MAX(0,D231-E231)</f>
        <v>0</v>
      </c>
      <c r="O231" s="21" t="n">
        <f aca="false">IF(D231&lt;=E231,1,0)</f>
        <v>1</v>
      </c>
      <c r="P231" s="23" t="n">
        <f aca="false">G231+H231</f>
        <v>204.87</v>
      </c>
      <c r="Q231" s="23" t="n">
        <f aca="false">G231*INDEX(Assumptions!$B$8:$B$16,MATCH(F231,Assumptions!$A$8:$A$16,0))</f>
        <v>131.047</v>
      </c>
      <c r="R231" s="23" t="n">
        <f aca="false">H231*Assumptions!$B$3</f>
        <v>10.596</v>
      </c>
      <c r="S231" s="23" t="n">
        <f aca="false">G231-Q231-R231</f>
        <v>45.567</v>
      </c>
      <c r="T231" s="21" t="str">
        <f aca="false">IF(M231&lt;=7,"0-7 days",IF(M231&lt;=14,"8-14 days",IF(M231&lt;=21,"15-21 days","22+ days")))</f>
        <v>8-14 days</v>
      </c>
    </row>
    <row r="232" customFormat="false" ht="15" hidden="false" customHeight="false" outlineLevel="0" collapsed="false">
      <c r="A232" s="21" t="s">
        <v>298</v>
      </c>
      <c r="B232" s="21" t="s">
        <v>19</v>
      </c>
      <c r="C232" s="22" t="n">
        <v>42915</v>
      </c>
      <c r="D232" s="22" t="n">
        <v>42926</v>
      </c>
      <c r="E232" s="22" t="n">
        <v>42929</v>
      </c>
      <c r="F232" s="21" t="s">
        <v>79</v>
      </c>
      <c r="G232" s="23" t="n">
        <v>64.38</v>
      </c>
      <c r="H232" s="23" t="n">
        <v>19.73</v>
      </c>
      <c r="I232" s="21" t="s">
        <v>45</v>
      </c>
      <c r="J232" s="21" t="n">
        <v>4</v>
      </c>
      <c r="K232" s="21" t="s">
        <v>46</v>
      </c>
      <c r="L232" s="24" t="n">
        <f aca="false">DATE(YEAR(C232),MONTH(C232),1)</f>
        <v>42887</v>
      </c>
      <c r="M232" s="21" t="n">
        <f aca="false">D232-C232</f>
        <v>11</v>
      </c>
      <c r="N232" s="21" t="n">
        <f aca="false">MAX(0,D232-E232)</f>
        <v>0</v>
      </c>
      <c r="O232" s="21" t="n">
        <f aca="false">IF(D232&lt;=E232,1,0)</f>
        <v>1</v>
      </c>
      <c r="P232" s="23" t="n">
        <f aca="false">G232+H232</f>
        <v>84.11</v>
      </c>
      <c r="Q232" s="23" t="n">
        <f aca="false">G232*INDEX(Assumptions!$B$8:$B$16,MATCH(F232,Assumptions!$A$8:$A$16,0))</f>
        <v>45.066</v>
      </c>
      <c r="R232" s="23" t="n">
        <f aca="false">H232*Assumptions!$B$3</f>
        <v>11.838</v>
      </c>
      <c r="S232" s="23" t="n">
        <f aca="false">G232-Q232-R232</f>
        <v>7.476</v>
      </c>
      <c r="T232" s="21" t="str">
        <f aca="false">IF(M232&lt;=7,"0-7 days",IF(M232&lt;=14,"8-14 days",IF(M232&lt;=21,"15-21 days","22+ days")))</f>
        <v>8-14 days</v>
      </c>
    </row>
    <row r="233" customFormat="false" ht="15" hidden="false" customHeight="false" outlineLevel="0" collapsed="false">
      <c r="A233" s="21" t="s">
        <v>299</v>
      </c>
      <c r="B233" s="21" t="s">
        <v>19</v>
      </c>
      <c r="C233" s="22" t="n">
        <v>42916</v>
      </c>
      <c r="D233" s="22" t="n">
        <v>42927</v>
      </c>
      <c r="E233" s="22" t="n">
        <v>42932</v>
      </c>
      <c r="F233" s="21" t="s">
        <v>67</v>
      </c>
      <c r="G233" s="23" t="n">
        <v>102.93</v>
      </c>
      <c r="H233" s="23" t="n">
        <v>14.44</v>
      </c>
      <c r="I233" s="21" t="s">
        <v>45</v>
      </c>
      <c r="J233" s="21" t="n">
        <v>5</v>
      </c>
      <c r="K233" s="21" t="s">
        <v>46</v>
      </c>
      <c r="L233" s="24" t="n">
        <f aca="false">DATE(YEAR(C233),MONTH(C233),1)</f>
        <v>42887</v>
      </c>
      <c r="M233" s="21" t="n">
        <f aca="false">D233-C233</f>
        <v>11</v>
      </c>
      <c r="N233" s="21" t="n">
        <f aca="false">MAX(0,D233-E233)</f>
        <v>0</v>
      </c>
      <c r="O233" s="21" t="n">
        <f aca="false">IF(D233&lt;=E233,1,0)</f>
        <v>1</v>
      </c>
      <c r="P233" s="23" t="n">
        <f aca="false">G233+H233</f>
        <v>117.37</v>
      </c>
      <c r="Q233" s="23" t="n">
        <f aca="false">G233*INDEX(Assumptions!$B$8:$B$16,MATCH(F233,Assumptions!$A$8:$A$16,0))</f>
        <v>63.8166</v>
      </c>
      <c r="R233" s="23" t="n">
        <f aca="false">H233*Assumptions!$B$3</f>
        <v>8.664</v>
      </c>
      <c r="S233" s="23" t="n">
        <f aca="false">G233-Q233-R233</f>
        <v>30.4494</v>
      </c>
      <c r="T233" s="21" t="str">
        <f aca="false">IF(M233&lt;=7,"0-7 days",IF(M233&lt;=14,"8-14 days",IF(M233&lt;=21,"15-21 days","22+ days")))</f>
        <v>8-14 days</v>
      </c>
    </row>
    <row r="234" customFormat="false" ht="15" hidden="false" customHeight="false" outlineLevel="0" collapsed="false">
      <c r="A234" s="21" t="s">
        <v>300</v>
      </c>
      <c r="B234" s="21" t="s">
        <v>48</v>
      </c>
      <c r="C234" s="22" t="n">
        <v>42916</v>
      </c>
      <c r="D234" s="22" t="n">
        <v>42928</v>
      </c>
      <c r="E234" s="22" t="n">
        <v>42933</v>
      </c>
      <c r="F234" s="21" t="s">
        <v>59</v>
      </c>
      <c r="G234" s="23" t="n">
        <v>200.71</v>
      </c>
      <c r="H234" s="23" t="n">
        <v>31.11</v>
      </c>
      <c r="I234" s="21" t="s">
        <v>45</v>
      </c>
      <c r="J234" s="21" t="n">
        <v>4</v>
      </c>
      <c r="K234" s="21" t="s">
        <v>46</v>
      </c>
      <c r="L234" s="24" t="n">
        <f aca="false">DATE(YEAR(C234),MONTH(C234),1)</f>
        <v>42887</v>
      </c>
      <c r="M234" s="21" t="n">
        <f aca="false">D234-C234</f>
        <v>12</v>
      </c>
      <c r="N234" s="21" t="n">
        <f aca="false">MAX(0,D234-E234)</f>
        <v>0</v>
      </c>
      <c r="O234" s="21" t="n">
        <f aca="false">IF(D234&lt;=E234,1,0)</f>
        <v>1</v>
      </c>
      <c r="P234" s="23" t="n">
        <f aca="false">G234+H234</f>
        <v>231.82</v>
      </c>
      <c r="Q234" s="23" t="n">
        <f aca="false">G234*INDEX(Assumptions!$B$8:$B$16,MATCH(F234,Assumptions!$A$8:$A$16,0))</f>
        <v>128.4544</v>
      </c>
      <c r="R234" s="23" t="n">
        <f aca="false">H234*Assumptions!$B$3</f>
        <v>18.666</v>
      </c>
      <c r="S234" s="23" t="n">
        <f aca="false">G234-Q234-R234</f>
        <v>53.5896</v>
      </c>
      <c r="T234" s="21" t="str">
        <f aca="false">IF(M234&lt;=7,"0-7 days",IF(M234&lt;=14,"8-14 days",IF(M234&lt;=21,"15-21 days","22+ days")))</f>
        <v>8-14 days</v>
      </c>
    </row>
    <row r="235" customFormat="false" ht="15" hidden="false" customHeight="false" outlineLevel="0" collapsed="false">
      <c r="A235" s="21" t="s">
        <v>301</v>
      </c>
      <c r="B235" s="21" t="s">
        <v>62</v>
      </c>
      <c r="C235" s="22" t="n">
        <v>42916</v>
      </c>
      <c r="D235" s="22" t="n">
        <v>42930</v>
      </c>
      <c r="E235" s="22" t="n">
        <v>42934</v>
      </c>
      <c r="F235" s="21" t="s">
        <v>67</v>
      </c>
      <c r="G235" s="23" t="n">
        <v>41.24</v>
      </c>
      <c r="H235" s="23" t="n">
        <v>22.83</v>
      </c>
      <c r="I235" s="21" t="s">
        <v>45</v>
      </c>
      <c r="J235" s="21" t="n">
        <v>5</v>
      </c>
      <c r="K235" s="21" t="s">
        <v>46</v>
      </c>
      <c r="L235" s="24" t="n">
        <f aca="false">DATE(YEAR(C235),MONTH(C235),1)</f>
        <v>42887</v>
      </c>
      <c r="M235" s="21" t="n">
        <f aca="false">D235-C235</f>
        <v>14</v>
      </c>
      <c r="N235" s="21" t="n">
        <f aca="false">MAX(0,D235-E235)</f>
        <v>0</v>
      </c>
      <c r="O235" s="21" t="n">
        <f aca="false">IF(D235&lt;=E235,1,0)</f>
        <v>1</v>
      </c>
      <c r="P235" s="23" t="n">
        <f aca="false">G235+H235</f>
        <v>64.07</v>
      </c>
      <c r="Q235" s="23" t="n">
        <f aca="false">G235*INDEX(Assumptions!$B$8:$B$16,MATCH(F235,Assumptions!$A$8:$A$16,0))</f>
        <v>25.5688</v>
      </c>
      <c r="R235" s="23" t="n">
        <f aca="false">H235*Assumptions!$B$3</f>
        <v>13.698</v>
      </c>
      <c r="S235" s="23" t="n">
        <f aca="false">G235-Q235-R235</f>
        <v>1.9732</v>
      </c>
      <c r="T235" s="21" t="str">
        <f aca="false">IF(M235&lt;=7,"0-7 days",IF(M235&lt;=14,"8-14 days",IF(M235&lt;=21,"15-21 days","22+ days")))</f>
        <v>8-14 days</v>
      </c>
    </row>
    <row r="236" customFormat="false" ht="15" hidden="false" customHeight="false" outlineLevel="0" collapsed="false">
      <c r="A236" s="21" t="s">
        <v>302</v>
      </c>
      <c r="B236" s="21" t="s">
        <v>19</v>
      </c>
      <c r="C236" s="22" t="n">
        <v>42916</v>
      </c>
      <c r="D236" s="22" t="n">
        <v>42922</v>
      </c>
      <c r="E236" s="22" t="n">
        <v>42928</v>
      </c>
      <c r="F236" s="21" t="s">
        <v>49</v>
      </c>
      <c r="G236" s="23" t="n">
        <v>121.39</v>
      </c>
      <c r="H236" s="23" t="n">
        <v>18.92</v>
      </c>
      <c r="I236" s="21" t="s">
        <v>45</v>
      </c>
      <c r="J236" s="21" t="n">
        <v>4</v>
      </c>
      <c r="K236" s="21" t="s">
        <v>46</v>
      </c>
      <c r="L236" s="24" t="n">
        <f aca="false">DATE(YEAR(C236),MONTH(C236),1)</f>
        <v>42887</v>
      </c>
      <c r="M236" s="21" t="n">
        <f aca="false">D236-C236</f>
        <v>6</v>
      </c>
      <c r="N236" s="21" t="n">
        <f aca="false">MAX(0,D236-E236)</f>
        <v>0</v>
      </c>
      <c r="O236" s="21" t="n">
        <f aca="false">IF(D236&lt;=E236,1,0)</f>
        <v>1</v>
      </c>
      <c r="P236" s="23" t="n">
        <f aca="false">G236+H236</f>
        <v>140.31</v>
      </c>
      <c r="Q236" s="23" t="n">
        <f aca="false">G236*INDEX(Assumptions!$B$8:$B$16,MATCH(F236,Assumptions!$A$8:$A$16,0))</f>
        <v>70.4062</v>
      </c>
      <c r="R236" s="23" t="n">
        <f aca="false">H236*Assumptions!$B$3</f>
        <v>11.352</v>
      </c>
      <c r="S236" s="23" t="n">
        <f aca="false">G236-Q236-R236</f>
        <v>39.6318</v>
      </c>
      <c r="T236" s="21" t="str">
        <f aca="false">IF(M236&lt;=7,"0-7 days",IF(M236&lt;=14,"8-14 days",IF(M236&lt;=21,"15-21 days","22+ days")))</f>
        <v>0-7 days</v>
      </c>
    </row>
    <row r="237" customFormat="false" ht="15" hidden="false" customHeight="false" outlineLevel="0" collapsed="false">
      <c r="A237" s="21" t="s">
        <v>303</v>
      </c>
      <c r="B237" s="21" t="s">
        <v>62</v>
      </c>
      <c r="C237" s="22" t="n">
        <v>42916</v>
      </c>
      <c r="D237" s="22" t="n">
        <v>42928</v>
      </c>
      <c r="E237" s="22" t="n">
        <v>42936</v>
      </c>
      <c r="F237" s="21" t="s">
        <v>59</v>
      </c>
      <c r="G237" s="23" t="n">
        <v>85.79</v>
      </c>
      <c r="H237" s="23" t="n">
        <v>28.22</v>
      </c>
      <c r="I237" s="21" t="s">
        <v>60</v>
      </c>
      <c r="J237" s="21" t="n">
        <v>4</v>
      </c>
      <c r="K237" s="21" t="s">
        <v>46</v>
      </c>
      <c r="L237" s="24" t="n">
        <f aca="false">DATE(YEAR(C237),MONTH(C237),1)</f>
        <v>42887</v>
      </c>
      <c r="M237" s="21" t="n">
        <f aca="false">D237-C237</f>
        <v>12</v>
      </c>
      <c r="N237" s="21" t="n">
        <f aca="false">MAX(0,D237-E237)</f>
        <v>0</v>
      </c>
      <c r="O237" s="21" t="n">
        <f aca="false">IF(D237&lt;=E237,1,0)</f>
        <v>1</v>
      </c>
      <c r="P237" s="23" t="n">
        <f aca="false">G237+H237</f>
        <v>114.01</v>
      </c>
      <c r="Q237" s="23" t="n">
        <f aca="false">G237*INDEX(Assumptions!$B$8:$B$16,MATCH(F237,Assumptions!$A$8:$A$16,0))</f>
        <v>54.9056</v>
      </c>
      <c r="R237" s="23" t="n">
        <f aca="false">H237*Assumptions!$B$3</f>
        <v>16.932</v>
      </c>
      <c r="S237" s="23" t="n">
        <f aca="false">G237-Q237-R237</f>
        <v>13.9524</v>
      </c>
      <c r="T237" s="21" t="str">
        <f aca="false">IF(M237&lt;=7,"0-7 days",IF(M237&lt;=14,"8-14 days",IF(M237&lt;=21,"15-21 days","22+ days")))</f>
        <v>8-14 days</v>
      </c>
    </row>
    <row r="238" customFormat="false" ht="15" hidden="false" customHeight="false" outlineLevel="0" collapsed="false">
      <c r="A238" s="21" t="s">
        <v>304</v>
      </c>
      <c r="B238" s="21" t="s">
        <v>156</v>
      </c>
      <c r="C238" s="22" t="n">
        <v>42917</v>
      </c>
      <c r="D238" s="22" t="n">
        <v>42927</v>
      </c>
      <c r="E238" s="22" t="n">
        <v>42940</v>
      </c>
      <c r="F238" s="21" t="s">
        <v>111</v>
      </c>
      <c r="G238" s="23" t="n">
        <v>51.74</v>
      </c>
      <c r="H238" s="23" t="n">
        <v>17.76</v>
      </c>
      <c r="I238" s="21" t="s">
        <v>45</v>
      </c>
      <c r="J238" s="21" t="n">
        <v>5</v>
      </c>
      <c r="K238" s="21" t="s">
        <v>46</v>
      </c>
      <c r="L238" s="24" t="n">
        <f aca="false">DATE(YEAR(C238),MONTH(C238),1)</f>
        <v>42917</v>
      </c>
      <c r="M238" s="21" t="n">
        <f aca="false">D238-C238</f>
        <v>10</v>
      </c>
      <c r="N238" s="21" t="n">
        <f aca="false">MAX(0,D238-E238)</f>
        <v>0</v>
      </c>
      <c r="O238" s="21" t="n">
        <f aca="false">IF(D238&lt;=E238,1,0)</f>
        <v>1</v>
      </c>
      <c r="P238" s="23" t="n">
        <f aca="false">G238+H238</f>
        <v>69.5</v>
      </c>
      <c r="Q238" s="23" t="n">
        <f aca="false">G238*INDEX(Assumptions!$B$8:$B$16,MATCH(F238,Assumptions!$A$8:$A$16,0))</f>
        <v>32.5962</v>
      </c>
      <c r="R238" s="23" t="n">
        <f aca="false">H238*Assumptions!$B$3</f>
        <v>10.656</v>
      </c>
      <c r="S238" s="23" t="n">
        <f aca="false">G238-Q238-R238</f>
        <v>8.4878</v>
      </c>
      <c r="T238" s="21" t="str">
        <f aca="false">IF(M238&lt;=7,"0-7 days",IF(M238&lt;=14,"8-14 days",IF(M238&lt;=21,"15-21 days","22+ days")))</f>
        <v>8-14 days</v>
      </c>
    </row>
    <row r="239" customFormat="false" ht="15" hidden="false" customHeight="false" outlineLevel="0" collapsed="false">
      <c r="A239" s="21" t="s">
        <v>305</v>
      </c>
      <c r="B239" s="21" t="s">
        <v>55</v>
      </c>
      <c r="C239" s="22" t="n">
        <v>42917</v>
      </c>
      <c r="D239" s="22" t="n">
        <v>42951</v>
      </c>
      <c r="E239" s="22" t="n">
        <v>42944</v>
      </c>
      <c r="F239" s="21" t="s">
        <v>59</v>
      </c>
      <c r="G239" s="23" t="n">
        <v>87.48</v>
      </c>
      <c r="H239" s="23" t="n">
        <v>29.44</v>
      </c>
      <c r="I239" s="21" t="s">
        <v>45</v>
      </c>
      <c r="J239" s="21" t="n">
        <v>3</v>
      </c>
      <c r="K239" s="21" t="s">
        <v>46</v>
      </c>
      <c r="L239" s="24" t="n">
        <f aca="false">DATE(YEAR(C239),MONTH(C239),1)</f>
        <v>42917</v>
      </c>
      <c r="M239" s="21" t="n">
        <f aca="false">D239-C239</f>
        <v>34</v>
      </c>
      <c r="N239" s="21" t="n">
        <f aca="false">MAX(0,D239-E239)</f>
        <v>7</v>
      </c>
      <c r="O239" s="21" t="n">
        <f aca="false">IF(D239&lt;=E239,1,0)</f>
        <v>0</v>
      </c>
      <c r="P239" s="23" t="n">
        <f aca="false">G239+H239</f>
        <v>116.92</v>
      </c>
      <c r="Q239" s="23" t="n">
        <f aca="false">G239*INDEX(Assumptions!$B$8:$B$16,MATCH(F239,Assumptions!$A$8:$A$16,0))</f>
        <v>55.9872</v>
      </c>
      <c r="R239" s="23" t="n">
        <f aca="false">H239*Assumptions!$B$3</f>
        <v>17.664</v>
      </c>
      <c r="S239" s="23" t="n">
        <f aca="false">G239-Q239-R239</f>
        <v>13.8288</v>
      </c>
      <c r="T239" s="21" t="str">
        <f aca="false">IF(M239&lt;=7,"0-7 days",IF(M239&lt;=14,"8-14 days",IF(M239&lt;=21,"15-21 days","22+ days")))</f>
        <v>22+ days</v>
      </c>
    </row>
    <row r="240" customFormat="false" ht="15" hidden="false" customHeight="false" outlineLevel="0" collapsed="false">
      <c r="A240" s="21" t="s">
        <v>306</v>
      </c>
      <c r="B240" s="21" t="s">
        <v>103</v>
      </c>
      <c r="C240" s="22" t="n">
        <v>42918</v>
      </c>
      <c r="D240" s="22" t="n">
        <v>42926</v>
      </c>
      <c r="E240" s="22" t="n">
        <v>42939</v>
      </c>
      <c r="F240" s="21" t="s">
        <v>67</v>
      </c>
      <c r="G240" s="23" t="n">
        <v>62.04</v>
      </c>
      <c r="H240" s="23" t="n">
        <v>16.21</v>
      </c>
      <c r="I240" s="21" t="s">
        <v>104</v>
      </c>
      <c r="J240" s="21" t="n">
        <v>4</v>
      </c>
      <c r="K240" s="21" t="s">
        <v>46</v>
      </c>
      <c r="L240" s="24" t="n">
        <f aca="false">DATE(YEAR(C240),MONTH(C240),1)</f>
        <v>42917</v>
      </c>
      <c r="M240" s="21" t="n">
        <f aca="false">D240-C240</f>
        <v>8</v>
      </c>
      <c r="N240" s="21" t="n">
        <f aca="false">MAX(0,D240-E240)</f>
        <v>0</v>
      </c>
      <c r="O240" s="21" t="n">
        <f aca="false">IF(D240&lt;=E240,1,0)</f>
        <v>1</v>
      </c>
      <c r="P240" s="23" t="n">
        <f aca="false">G240+H240</f>
        <v>78.25</v>
      </c>
      <c r="Q240" s="23" t="n">
        <f aca="false">G240*INDEX(Assumptions!$B$8:$B$16,MATCH(F240,Assumptions!$A$8:$A$16,0))</f>
        <v>38.4648</v>
      </c>
      <c r="R240" s="23" t="n">
        <f aca="false">H240*Assumptions!$B$3</f>
        <v>9.726</v>
      </c>
      <c r="S240" s="23" t="n">
        <f aca="false">G240-Q240-R240</f>
        <v>13.8492</v>
      </c>
      <c r="T240" s="21" t="str">
        <f aca="false">IF(M240&lt;=7,"0-7 days",IF(M240&lt;=14,"8-14 days",IF(M240&lt;=21,"15-21 days","22+ days")))</f>
        <v>8-14 days</v>
      </c>
    </row>
    <row r="241" customFormat="false" ht="15" hidden="false" customHeight="false" outlineLevel="0" collapsed="false">
      <c r="A241" s="21" t="s">
        <v>307</v>
      </c>
      <c r="B241" s="21" t="s">
        <v>174</v>
      </c>
      <c r="C241" s="22" t="n">
        <v>42918</v>
      </c>
      <c r="D241" s="22" t="n">
        <v>42947</v>
      </c>
      <c r="E241" s="22" t="n">
        <v>42951</v>
      </c>
      <c r="F241" s="21" t="s">
        <v>44</v>
      </c>
      <c r="G241" s="23" t="n">
        <v>66.48</v>
      </c>
      <c r="H241" s="23" t="n">
        <v>27.66</v>
      </c>
      <c r="I241" s="21" t="s">
        <v>45</v>
      </c>
      <c r="J241" s="21" t="n">
        <v>4</v>
      </c>
      <c r="K241" s="21" t="s">
        <v>46</v>
      </c>
      <c r="L241" s="24" t="n">
        <f aca="false">DATE(YEAR(C241),MONTH(C241),1)</f>
        <v>42917</v>
      </c>
      <c r="M241" s="21" t="n">
        <f aca="false">D241-C241</f>
        <v>29</v>
      </c>
      <c r="N241" s="21" t="n">
        <f aca="false">MAX(0,D241-E241)</f>
        <v>0</v>
      </c>
      <c r="O241" s="21" t="n">
        <f aca="false">IF(D241&lt;=E241,1,0)</f>
        <v>1</v>
      </c>
      <c r="P241" s="23" t="n">
        <f aca="false">G241+H241</f>
        <v>94.14</v>
      </c>
      <c r="Q241" s="23" t="n">
        <f aca="false">G241*INDEX(Assumptions!$B$8:$B$16,MATCH(F241,Assumptions!$A$8:$A$16,0))</f>
        <v>39.888</v>
      </c>
      <c r="R241" s="23" t="n">
        <f aca="false">H241*Assumptions!$B$3</f>
        <v>16.596</v>
      </c>
      <c r="S241" s="23" t="n">
        <f aca="false">G241-Q241-R241</f>
        <v>9.99600000000001</v>
      </c>
      <c r="T241" s="21" t="str">
        <f aca="false">IF(M241&lt;=7,"0-7 days",IF(M241&lt;=14,"8-14 days",IF(M241&lt;=21,"15-21 days","22+ days")))</f>
        <v>22+ days</v>
      </c>
    </row>
    <row r="242" customFormat="false" ht="15" hidden="false" customHeight="false" outlineLevel="0" collapsed="false">
      <c r="A242" s="21" t="s">
        <v>308</v>
      </c>
      <c r="B242" s="21" t="s">
        <v>19</v>
      </c>
      <c r="C242" s="22" t="n">
        <v>42918</v>
      </c>
      <c r="D242" s="22" t="n">
        <v>42930</v>
      </c>
      <c r="E242" s="22" t="n">
        <v>42932</v>
      </c>
      <c r="F242" s="21" t="s">
        <v>67</v>
      </c>
      <c r="G242" s="23" t="n">
        <v>141.04</v>
      </c>
      <c r="H242" s="23" t="n">
        <v>23.18</v>
      </c>
      <c r="I242" s="21" t="s">
        <v>45</v>
      </c>
      <c r="J242" s="21" t="n">
        <v>5</v>
      </c>
      <c r="K242" s="21" t="s">
        <v>46</v>
      </c>
      <c r="L242" s="24" t="n">
        <f aca="false">DATE(YEAR(C242),MONTH(C242),1)</f>
        <v>42917</v>
      </c>
      <c r="M242" s="21" t="n">
        <f aca="false">D242-C242</f>
        <v>12</v>
      </c>
      <c r="N242" s="21" t="n">
        <f aca="false">MAX(0,D242-E242)</f>
        <v>0</v>
      </c>
      <c r="O242" s="21" t="n">
        <f aca="false">IF(D242&lt;=E242,1,0)</f>
        <v>1</v>
      </c>
      <c r="P242" s="23" t="n">
        <f aca="false">G242+H242</f>
        <v>164.22</v>
      </c>
      <c r="Q242" s="23" t="n">
        <f aca="false">G242*INDEX(Assumptions!$B$8:$B$16,MATCH(F242,Assumptions!$A$8:$A$16,0))</f>
        <v>87.4448</v>
      </c>
      <c r="R242" s="23" t="n">
        <f aca="false">H242*Assumptions!$B$3</f>
        <v>13.908</v>
      </c>
      <c r="S242" s="23" t="n">
        <f aca="false">G242-Q242-R242</f>
        <v>39.6872</v>
      </c>
      <c r="T242" s="21" t="str">
        <f aca="false">IF(M242&lt;=7,"0-7 days",IF(M242&lt;=14,"8-14 days",IF(M242&lt;=21,"15-21 days","22+ days")))</f>
        <v>8-14 days</v>
      </c>
    </row>
    <row r="243" customFormat="false" ht="15" hidden="false" customHeight="false" outlineLevel="0" collapsed="false">
      <c r="A243" s="21" t="s">
        <v>309</v>
      </c>
      <c r="B243" s="21" t="s">
        <v>103</v>
      </c>
      <c r="C243" s="22" t="n">
        <v>42918</v>
      </c>
      <c r="D243" s="22" t="n">
        <v>42930</v>
      </c>
      <c r="E243" s="22" t="n">
        <v>42942</v>
      </c>
      <c r="F243" s="21" t="s">
        <v>59</v>
      </c>
      <c r="G243" s="23" t="n">
        <v>151.74</v>
      </c>
      <c r="H243" s="23" t="n">
        <v>29.48</v>
      </c>
      <c r="I243" s="21" t="s">
        <v>45</v>
      </c>
      <c r="J243" s="21" t="n">
        <v>5</v>
      </c>
      <c r="K243" s="21" t="s">
        <v>46</v>
      </c>
      <c r="L243" s="24" t="n">
        <f aca="false">DATE(YEAR(C243),MONTH(C243),1)</f>
        <v>42917</v>
      </c>
      <c r="M243" s="21" t="n">
        <f aca="false">D243-C243</f>
        <v>12</v>
      </c>
      <c r="N243" s="21" t="n">
        <f aca="false">MAX(0,D243-E243)</f>
        <v>0</v>
      </c>
      <c r="O243" s="21" t="n">
        <f aca="false">IF(D243&lt;=E243,1,0)</f>
        <v>1</v>
      </c>
      <c r="P243" s="23" t="n">
        <f aca="false">G243+H243</f>
        <v>181.22</v>
      </c>
      <c r="Q243" s="23" t="n">
        <f aca="false">G243*INDEX(Assumptions!$B$8:$B$16,MATCH(F243,Assumptions!$A$8:$A$16,0))</f>
        <v>97.1136</v>
      </c>
      <c r="R243" s="23" t="n">
        <f aca="false">H243*Assumptions!$B$3</f>
        <v>17.688</v>
      </c>
      <c r="S243" s="23" t="n">
        <f aca="false">G243-Q243-R243</f>
        <v>36.9384</v>
      </c>
      <c r="T243" s="21" t="str">
        <f aca="false">IF(M243&lt;=7,"0-7 days",IF(M243&lt;=14,"8-14 days",IF(M243&lt;=21,"15-21 days","22+ days")))</f>
        <v>8-14 days</v>
      </c>
    </row>
    <row r="244" customFormat="false" ht="15" hidden="false" customHeight="false" outlineLevel="0" collapsed="false">
      <c r="A244" s="21" t="s">
        <v>310</v>
      </c>
      <c r="B244" s="21" t="s">
        <v>19</v>
      </c>
      <c r="C244" s="22" t="n">
        <v>42920</v>
      </c>
      <c r="D244" s="22" t="n">
        <v>42930</v>
      </c>
      <c r="E244" s="22" t="n">
        <v>42935</v>
      </c>
      <c r="F244" s="21" t="s">
        <v>49</v>
      </c>
      <c r="G244" s="23" t="n">
        <v>84.82</v>
      </c>
      <c r="H244" s="23" t="n">
        <v>13.27</v>
      </c>
      <c r="I244" s="21" t="s">
        <v>45</v>
      </c>
      <c r="J244" s="21" t="n">
        <v>5</v>
      </c>
      <c r="K244" s="21" t="s">
        <v>46</v>
      </c>
      <c r="L244" s="24" t="n">
        <f aca="false">DATE(YEAR(C244),MONTH(C244),1)</f>
        <v>42917</v>
      </c>
      <c r="M244" s="21" t="n">
        <f aca="false">D244-C244</f>
        <v>10</v>
      </c>
      <c r="N244" s="21" t="n">
        <f aca="false">MAX(0,D244-E244)</f>
        <v>0</v>
      </c>
      <c r="O244" s="21" t="n">
        <f aca="false">IF(D244&lt;=E244,1,0)</f>
        <v>1</v>
      </c>
      <c r="P244" s="23" t="n">
        <f aca="false">G244+H244</f>
        <v>98.09</v>
      </c>
      <c r="Q244" s="23" t="n">
        <f aca="false">G244*INDEX(Assumptions!$B$8:$B$16,MATCH(F244,Assumptions!$A$8:$A$16,0))</f>
        <v>49.1956</v>
      </c>
      <c r="R244" s="23" t="n">
        <f aca="false">H244*Assumptions!$B$3</f>
        <v>7.962</v>
      </c>
      <c r="S244" s="23" t="n">
        <f aca="false">G244-Q244-R244</f>
        <v>27.6624</v>
      </c>
      <c r="T244" s="21" t="str">
        <f aca="false">IF(M244&lt;=7,"0-7 days",IF(M244&lt;=14,"8-14 days",IF(M244&lt;=21,"15-21 days","22+ days")))</f>
        <v>8-14 days</v>
      </c>
    </row>
    <row r="245" customFormat="false" ht="15" hidden="false" customHeight="false" outlineLevel="0" collapsed="false">
      <c r="A245" s="21" t="s">
        <v>311</v>
      </c>
      <c r="B245" s="21" t="s">
        <v>62</v>
      </c>
      <c r="C245" s="22" t="n">
        <v>42920</v>
      </c>
      <c r="D245" s="22" t="n">
        <v>42950</v>
      </c>
      <c r="E245" s="22" t="n">
        <v>42940</v>
      </c>
      <c r="F245" s="21" t="s">
        <v>49</v>
      </c>
      <c r="G245" s="23" t="n">
        <v>89.6</v>
      </c>
      <c r="H245" s="23" t="n">
        <v>20.03</v>
      </c>
      <c r="I245" s="21" t="s">
        <v>45</v>
      </c>
      <c r="J245" s="21" t="n">
        <v>2</v>
      </c>
      <c r="K245" s="21" t="s">
        <v>46</v>
      </c>
      <c r="L245" s="24" t="n">
        <f aca="false">DATE(YEAR(C245),MONTH(C245),1)</f>
        <v>42917</v>
      </c>
      <c r="M245" s="21" t="n">
        <f aca="false">D245-C245</f>
        <v>30</v>
      </c>
      <c r="N245" s="21" t="n">
        <f aca="false">MAX(0,D245-E245)</f>
        <v>10</v>
      </c>
      <c r="O245" s="21" t="n">
        <f aca="false">IF(D245&lt;=E245,1,0)</f>
        <v>0</v>
      </c>
      <c r="P245" s="23" t="n">
        <f aca="false">G245+H245</f>
        <v>109.63</v>
      </c>
      <c r="Q245" s="23" t="n">
        <f aca="false">G245*INDEX(Assumptions!$B$8:$B$16,MATCH(F245,Assumptions!$A$8:$A$16,0))</f>
        <v>51.968</v>
      </c>
      <c r="R245" s="23" t="n">
        <f aca="false">H245*Assumptions!$B$3</f>
        <v>12.018</v>
      </c>
      <c r="S245" s="23" t="n">
        <f aca="false">G245-Q245-R245</f>
        <v>25.614</v>
      </c>
      <c r="T245" s="21" t="str">
        <f aca="false">IF(M245&lt;=7,"0-7 days",IF(M245&lt;=14,"8-14 days",IF(M245&lt;=21,"15-21 days","22+ days")))</f>
        <v>22+ days</v>
      </c>
    </row>
    <row r="246" customFormat="false" ht="15" hidden="false" customHeight="false" outlineLevel="0" collapsed="false">
      <c r="A246" s="21" t="s">
        <v>312</v>
      </c>
      <c r="B246" s="21" t="s">
        <v>48</v>
      </c>
      <c r="C246" s="22" t="n">
        <v>42921</v>
      </c>
      <c r="D246" s="22" t="n">
        <v>42933</v>
      </c>
      <c r="E246" s="22" t="n">
        <v>42940</v>
      </c>
      <c r="F246" s="21" t="s">
        <v>53</v>
      </c>
      <c r="G246" s="23" t="n">
        <v>88.41</v>
      </c>
      <c r="H246" s="23" t="n">
        <v>21.79</v>
      </c>
      <c r="I246" s="21" t="s">
        <v>45</v>
      </c>
      <c r="J246" s="21" t="n">
        <v>5</v>
      </c>
      <c r="K246" s="21" t="s">
        <v>46</v>
      </c>
      <c r="L246" s="24" t="n">
        <f aca="false">DATE(YEAR(C246),MONTH(C246),1)</f>
        <v>42917</v>
      </c>
      <c r="M246" s="21" t="n">
        <f aca="false">D246-C246</f>
        <v>12</v>
      </c>
      <c r="N246" s="21" t="n">
        <f aca="false">MAX(0,D246-E246)</f>
        <v>0</v>
      </c>
      <c r="O246" s="21" t="n">
        <f aca="false">IF(D246&lt;=E246,1,0)</f>
        <v>1</v>
      </c>
      <c r="P246" s="23" t="n">
        <f aca="false">G246+H246</f>
        <v>110.2</v>
      </c>
      <c r="Q246" s="23" t="n">
        <f aca="false">G246*INDEX(Assumptions!$B$8:$B$16,MATCH(F246,Assumptions!$A$8:$A$16,0))</f>
        <v>65.4234</v>
      </c>
      <c r="R246" s="23" t="n">
        <f aca="false">H246*Assumptions!$B$3</f>
        <v>13.074</v>
      </c>
      <c r="S246" s="23" t="n">
        <f aca="false">G246-Q246-R246</f>
        <v>9.9126</v>
      </c>
      <c r="T246" s="21" t="str">
        <f aca="false">IF(M246&lt;=7,"0-7 days",IF(M246&lt;=14,"8-14 days",IF(M246&lt;=21,"15-21 days","22+ days")))</f>
        <v>8-14 days</v>
      </c>
    </row>
    <row r="247" customFormat="false" ht="15" hidden="false" customHeight="false" outlineLevel="0" collapsed="false">
      <c r="A247" s="21" t="s">
        <v>313</v>
      </c>
      <c r="B247" s="21" t="s">
        <v>134</v>
      </c>
      <c r="C247" s="22" t="n">
        <v>42921</v>
      </c>
      <c r="D247" s="22" t="n">
        <v>42935</v>
      </c>
      <c r="E247" s="22" t="n">
        <v>42942</v>
      </c>
      <c r="F247" s="21" t="s">
        <v>44</v>
      </c>
      <c r="G247" s="23" t="n">
        <v>39.31</v>
      </c>
      <c r="H247" s="23" t="n">
        <v>25.25</v>
      </c>
      <c r="I247" s="21" t="s">
        <v>45</v>
      </c>
      <c r="J247" s="21" t="n">
        <v>5</v>
      </c>
      <c r="K247" s="21" t="s">
        <v>46</v>
      </c>
      <c r="L247" s="24" t="n">
        <f aca="false">DATE(YEAR(C247),MONTH(C247),1)</f>
        <v>42917</v>
      </c>
      <c r="M247" s="21" t="n">
        <f aca="false">D247-C247</f>
        <v>14</v>
      </c>
      <c r="N247" s="21" t="n">
        <f aca="false">MAX(0,D247-E247)</f>
        <v>0</v>
      </c>
      <c r="O247" s="21" t="n">
        <f aca="false">IF(D247&lt;=E247,1,0)</f>
        <v>1</v>
      </c>
      <c r="P247" s="23" t="n">
        <f aca="false">G247+H247</f>
        <v>64.56</v>
      </c>
      <c r="Q247" s="23" t="n">
        <f aca="false">G247*INDEX(Assumptions!$B$8:$B$16,MATCH(F247,Assumptions!$A$8:$A$16,0))</f>
        <v>23.586</v>
      </c>
      <c r="R247" s="23" t="n">
        <f aca="false">H247*Assumptions!$B$3</f>
        <v>15.15</v>
      </c>
      <c r="S247" s="23" t="n">
        <f aca="false">G247-Q247-R247</f>
        <v>0.574000000000002</v>
      </c>
      <c r="T247" s="21" t="str">
        <f aca="false">IF(M247&lt;=7,"0-7 days",IF(M247&lt;=14,"8-14 days",IF(M247&lt;=21,"15-21 days","22+ days")))</f>
        <v>8-14 days</v>
      </c>
    </row>
    <row r="248" customFormat="false" ht="15" hidden="false" customHeight="false" outlineLevel="0" collapsed="false">
      <c r="A248" s="21" t="s">
        <v>314</v>
      </c>
      <c r="B248" s="21" t="s">
        <v>19</v>
      </c>
      <c r="C248" s="22" t="n">
        <v>42921</v>
      </c>
      <c r="D248" s="22" t="n">
        <v>42931</v>
      </c>
      <c r="E248" s="22" t="n">
        <v>42935</v>
      </c>
      <c r="F248" s="21" t="s">
        <v>67</v>
      </c>
      <c r="G248" s="23" t="n">
        <v>76.06</v>
      </c>
      <c r="H248" s="23" t="n">
        <v>17.59</v>
      </c>
      <c r="I248" s="21" t="s">
        <v>45</v>
      </c>
      <c r="J248" s="21" t="n">
        <v>5</v>
      </c>
      <c r="K248" s="21" t="s">
        <v>46</v>
      </c>
      <c r="L248" s="24" t="n">
        <f aca="false">DATE(YEAR(C248),MONTH(C248),1)</f>
        <v>42917</v>
      </c>
      <c r="M248" s="21" t="n">
        <f aca="false">D248-C248</f>
        <v>10</v>
      </c>
      <c r="N248" s="21" t="n">
        <f aca="false">MAX(0,D248-E248)</f>
        <v>0</v>
      </c>
      <c r="O248" s="21" t="n">
        <f aca="false">IF(D248&lt;=E248,1,0)</f>
        <v>1</v>
      </c>
      <c r="P248" s="23" t="n">
        <f aca="false">G248+H248</f>
        <v>93.65</v>
      </c>
      <c r="Q248" s="23" t="n">
        <f aca="false">G248*INDEX(Assumptions!$B$8:$B$16,MATCH(F248,Assumptions!$A$8:$A$16,0))</f>
        <v>47.1572</v>
      </c>
      <c r="R248" s="23" t="n">
        <f aca="false">H248*Assumptions!$B$3</f>
        <v>10.554</v>
      </c>
      <c r="S248" s="23" t="n">
        <f aca="false">G248-Q248-R248</f>
        <v>18.3488</v>
      </c>
      <c r="T248" s="21" t="str">
        <f aca="false">IF(M248&lt;=7,"0-7 days",IF(M248&lt;=14,"8-14 days",IF(M248&lt;=21,"15-21 days","22+ days")))</f>
        <v>8-14 days</v>
      </c>
    </row>
    <row r="249" customFormat="false" ht="15" hidden="false" customHeight="false" outlineLevel="0" collapsed="false">
      <c r="A249" s="21" t="s">
        <v>315</v>
      </c>
      <c r="B249" s="21" t="s">
        <v>103</v>
      </c>
      <c r="C249" s="22" t="n">
        <v>42921</v>
      </c>
      <c r="D249" s="22" t="n">
        <v>42940</v>
      </c>
      <c r="E249" s="22" t="n">
        <v>42940</v>
      </c>
      <c r="F249" s="21" t="s">
        <v>49</v>
      </c>
      <c r="G249" s="23" t="n">
        <v>107.4</v>
      </c>
      <c r="H249" s="23" t="n">
        <v>16.87</v>
      </c>
      <c r="I249" s="21" t="s">
        <v>45</v>
      </c>
      <c r="J249" s="21" t="n">
        <v>5</v>
      </c>
      <c r="K249" s="21" t="s">
        <v>46</v>
      </c>
      <c r="L249" s="24" t="n">
        <f aca="false">DATE(YEAR(C249),MONTH(C249),1)</f>
        <v>42917</v>
      </c>
      <c r="M249" s="21" t="n">
        <f aca="false">D249-C249</f>
        <v>19</v>
      </c>
      <c r="N249" s="21" t="n">
        <f aca="false">MAX(0,D249-E249)</f>
        <v>0</v>
      </c>
      <c r="O249" s="21" t="n">
        <f aca="false">IF(D249&lt;=E249,1,0)</f>
        <v>1</v>
      </c>
      <c r="P249" s="23" t="n">
        <f aca="false">G249+H249</f>
        <v>124.27</v>
      </c>
      <c r="Q249" s="23" t="n">
        <f aca="false">G249*INDEX(Assumptions!$B$8:$B$16,MATCH(F249,Assumptions!$A$8:$A$16,0))</f>
        <v>62.292</v>
      </c>
      <c r="R249" s="23" t="n">
        <f aca="false">H249*Assumptions!$B$3</f>
        <v>10.122</v>
      </c>
      <c r="S249" s="23" t="n">
        <f aca="false">G249-Q249-R249</f>
        <v>34.986</v>
      </c>
      <c r="T249" s="21" t="str">
        <f aca="false">IF(M249&lt;=7,"0-7 days",IF(M249&lt;=14,"8-14 days",IF(M249&lt;=21,"15-21 days","22+ days")))</f>
        <v>15-21 days</v>
      </c>
    </row>
    <row r="250" customFormat="false" ht="15" hidden="false" customHeight="false" outlineLevel="0" collapsed="false">
      <c r="A250" s="21" t="s">
        <v>316</v>
      </c>
      <c r="B250" s="21" t="s">
        <v>55</v>
      </c>
      <c r="C250" s="22" t="n">
        <v>42921</v>
      </c>
      <c r="D250" s="22" t="n">
        <v>42933</v>
      </c>
      <c r="E250" s="22" t="n">
        <v>42944</v>
      </c>
      <c r="F250" s="21" t="s">
        <v>59</v>
      </c>
      <c r="G250" s="23" t="n">
        <v>92.04</v>
      </c>
      <c r="H250" s="23" t="n">
        <v>25.84</v>
      </c>
      <c r="I250" s="21" t="s">
        <v>45</v>
      </c>
      <c r="J250" s="21" t="n">
        <v>4</v>
      </c>
      <c r="K250" s="21" t="s">
        <v>46</v>
      </c>
      <c r="L250" s="24" t="n">
        <f aca="false">DATE(YEAR(C250),MONTH(C250),1)</f>
        <v>42917</v>
      </c>
      <c r="M250" s="21" t="n">
        <f aca="false">D250-C250</f>
        <v>12</v>
      </c>
      <c r="N250" s="21" t="n">
        <f aca="false">MAX(0,D250-E250)</f>
        <v>0</v>
      </c>
      <c r="O250" s="21" t="n">
        <f aca="false">IF(D250&lt;=E250,1,0)</f>
        <v>1</v>
      </c>
      <c r="P250" s="23" t="n">
        <f aca="false">G250+H250</f>
        <v>117.88</v>
      </c>
      <c r="Q250" s="23" t="n">
        <f aca="false">G250*INDEX(Assumptions!$B$8:$B$16,MATCH(F250,Assumptions!$A$8:$A$16,0))</f>
        <v>58.9056</v>
      </c>
      <c r="R250" s="23" t="n">
        <f aca="false">H250*Assumptions!$B$3</f>
        <v>15.504</v>
      </c>
      <c r="S250" s="23" t="n">
        <f aca="false">G250-Q250-R250</f>
        <v>17.6304</v>
      </c>
      <c r="T250" s="21" t="str">
        <f aca="false">IF(M250&lt;=7,"0-7 days",IF(M250&lt;=14,"8-14 days",IF(M250&lt;=21,"15-21 days","22+ days")))</f>
        <v>8-14 days</v>
      </c>
    </row>
    <row r="251" customFormat="false" ht="15" hidden="false" customHeight="false" outlineLevel="0" collapsed="false">
      <c r="A251" s="21" t="s">
        <v>317</v>
      </c>
      <c r="B251" s="21" t="s">
        <v>55</v>
      </c>
      <c r="C251" s="22" t="n">
        <v>42922</v>
      </c>
      <c r="D251" s="22" t="n">
        <v>42929</v>
      </c>
      <c r="E251" s="22" t="n">
        <v>42944</v>
      </c>
      <c r="F251" s="21" t="s">
        <v>79</v>
      </c>
      <c r="G251" s="23" t="n">
        <v>123.29</v>
      </c>
      <c r="H251" s="23" t="n">
        <v>29.69</v>
      </c>
      <c r="I251" s="21" t="s">
        <v>60</v>
      </c>
      <c r="J251" s="21" t="n">
        <v>4</v>
      </c>
      <c r="K251" s="21" t="s">
        <v>46</v>
      </c>
      <c r="L251" s="24" t="n">
        <f aca="false">DATE(YEAR(C251),MONTH(C251),1)</f>
        <v>42917</v>
      </c>
      <c r="M251" s="21" t="n">
        <f aca="false">D251-C251</f>
        <v>7</v>
      </c>
      <c r="N251" s="21" t="n">
        <f aca="false">MAX(0,D251-E251)</f>
        <v>0</v>
      </c>
      <c r="O251" s="21" t="n">
        <f aca="false">IF(D251&lt;=E251,1,0)</f>
        <v>1</v>
      </c>
      <c r="P251" s="23" t="n">
        <f aca="false">G251+H251</f>
        <v>152.98</v>
      </c>
      <c r="Q251" s="23" t="n">
        <f aca="false">G251*INDEX(Assumptions!$B$8:$B$16,MATCH(F251,Assumptions!$A$8:$A$16,0))</f>
        <v>86.303</v>
      </c>
      <c r="R251" s="23" t="n">
        <f aca="false">H251*Assumptions!$B$3</f>
        <v>17.814</v>
      </c>
      <c r="S251" s="23" t="n">
        <f aca="false">G251-Q251-R251</f>
        <v>19.173</v>
      </c>
      <c r="T251" s="21" t="str">
        <f aca="false">IF(M251&lt;=7,"0-7 days",IF(M251&lt;=14,"8-14 days",IF(M251&lt;=21,"15-21 days","22+ days")))</f>
        <v>0-7 days</v>
      </c>
    </row>
    <row r="252" customFormat="false" ht="15" hidden="false" customHeight="false" outlineLevel="0" collapsed="false">
      <c r="A252" s="21" t="s">
        <v>318</v>
      </c>
      <c r="B252" s="21" t="s">
        <v>103</v>
      </c>
      <c r="C252" s="22" t="n">
        <v>42922</v>
      </c>
      <c r="D252" s="22" t="n">
        <v>42933</v>
      </c>
      <c r="E252" s="22" t="n">
        <v>42947</v>
      </c>
      <c r="F252" s="21" t="s">
        <v>53</v>
      </c>
      <c r="G252" s="23" t="n">
        <v>170.06</v>
      </c>
      <c r="H252" s="23" t="n">
        <v>19.36</v>
      </c>
      <c r="I252" s="21" t="s">
        <v>60</v>
      </c>
      <c r="J252" s="21" t="n">
        <v>4</v>
      </c>
      <c r="K252" s="21" t="s">
        <v>46</v>
      </c>
      <c r="L252" s="24" t="n">
        <f aca="false">DATE(YEAR(C252),MONTH(C252),1)</f>
        <v>42917</v>
      </c>
      <c r="M252" s="21" t="n">
        <f aca="false">D252-C252</f>
        <v>11</v>
      </c>
      <c r="N252" s="21" t="n">
        <f aca="false">MAX(0,D252-E252)</f>
        <v>0</v>
      </c>
      <c r="O252" s="21" t="n">
        <f aca="false">IF(D252&lt;=E252,1,0)</f>
        <v>1</v>
      </c>
      <c r="P252" s="23" t="n">
        <f aca="false">G252+H252</f>
        <v>189.42</v>
      </c>
      <c r="Q252" s="23" t="n">
        <f aca="false">G252*INDEX(Assumptions!$B$8:$B$16,MATCH(F252,Assumptions!$A$8:$A$16,0))</f>
        <v>125.8444</v>
      </c>
      <c r="R252" s="23" t="n">
        <f aca="false">H252*Assumptions!$B$3</f>
        <v>11.616</v>
      </c>
      <c r="S252" s="23" t="n">
        <f aca="false">G252-Q252-R252</f>
        <v>32.5996</v>
      </c>
      <c r="T252" s="21" t="str">
        <f aca="false">IF(M252&lt;=7,"0-7 days",IF(M252&lt;=14,"8-14 days",IF(M252&lt;=21,"15-21 days","22+ days")))</f>
        <v>8-14 days</v>
      </c>
    </row>
    <row r="253" customFormat="false" ht="15" hidden="false" customHeight="false" outlineLevel="0" collapsed="false">
      <c r="A253" s="21" t="s">
        <v>319</v>
      </c>
      <c r="B253" s="21" t="s">
        <v>156</v>
      </c>
      <c r="C253" s="22" t="n">
        <v>42922</v>
      </c>
      <c r="D253" s="22" t="n">
        <v>42943</v>
      </c>
      <c r="E253" s="22" t="n">
        <v>42948</v>
      </c>
      <c r="F253" s="21" t="s">
        <v>67</v>
      </c>
      <c r="G253" s="23" t="n">
        <v>110.35</v>
      </c>
      <c r="H253" s="23" t="n">
        <v>29.93</v>
      </c>
      <c r="I253" s="21" t="s">
        <v>45</v>
      </c>
      <c r="J253" s="21" t="n">
        <v>4</v>
      </c>
      <c r="K253" s="21" t="s">
        <v>46</v>
      </c>
      <c r="L253" s="24" t="n">
        <f aca="false">DATE(YEAR(C253),MONTH(C253),1)</f>
        <v>42917</v>
      </c>
      <c r="M253" s="21" t="n">
        <f aca="false">D253-C253</f>
        <v>21</v>
      </c>
      <c r="N253" s="21" t="n">
        <f aca="false">MAX(0,D253-E253)</f>
        <v>0</v>
      </c>
      <c r="O253" s="21" t="n">
        <f aca="false">IF(D253&lt;=E253,1,0)</f>
        <v>1</v>
      </c>
      <c r="P253" s="23" t="n">
        <f aca="false">G253+H253</f>
        <v>140.28</v>
      </c>
      <c r="Q253" s="23" t="n">
        <f aca="false">G253*INDEX(Assumptions!$B$8:$B$16,MATCH(F253,Assumptions!$A$8:$A$16,0))</f>
        <v>68.417</v>
      </c>
      <c r="R253" s="23" t="n">
        <f aca="false">H253*Assumptions!$B$3</f>
        <v>17.958</v>
      </c>
      <c r="S253" s="23" t="n">
        <f aca="false">G253-Q253-R253</f>
        <v>23.975</v>
      </c>
      <c r="T253" s="21" t="str">
        <f aca="false">IF(M253&lt;=7,"0-7 days",IF(M253&lt;=14,"8-14 days",IF(M253&lt;=21,"15-21 days","22+ days")))</f>
        <v>15-21 days</v>
      </c>
    </row>
    <row r="254" customFormat="false" ht="15" hidden="false" customHeight="false" outlineLevel="0" collapsed="false">
      <c r="A254" s="21" t="s">
        <v>320</v>
      </c>
      <c r="B254" s="21" t="s">
        <v>55</v>
      </c>
      <c r="C254" s="22" t="n">
        <v>42922</v>
      </c>
      <c r="D254" s="22" t="n">
        <v>42935</v>
      </c>
      <c r="E254" s="22" t="n">
        <v>42946</v>
      </c>
      <c r="F254" s="21" t="s">
        <v>64</v>
      </c>
      <c r="G254" s="23" t="n">
        <v>48.91</v>
      </c>
      <c r="H254" s="23" t="n">
        <v>18.26</v>
      </c>
      <c r="I254" s="21" t="s">
        <v>45</v>
      </c>
      <c r="J254" s="21" t="n">
        <v>4</v>
      </c>
      <c r="K254" s="21" t="s">
        <v>46</v>
      </c>
      <c r="L254" s="24" t="n">
        <f aca="false">DATE(YEAR(C254),MONTH(C254),1)</f>
        <v>42917</v>
      </c>
      <c r="M254" s="21" t="n">
        <f aca="false">D254-C254</f>
        <v>13</v>
      </c>
      <c r="N254" s="21" t="n">
        <f aca="false">MAX(0,D254-E254)</f>
        <v>0</v>
      </c>
      <c r="O254" s="21" t="n">
        <f aca="false">IF(D254&lt;=E254,1,0)</f>
        <v>1</v>
      </c>
      <c r="P254" s="23" t="n">
        <f aca="false">G254+H254</f>
        <v>67.17</v>
      </c>
      <c r="Q254" s="23" t="n">
        <f aca="false">G254*INDEX(Assumptions!$B$8:$B$16,MATCH(F254,Assumptions!$A$8:$A$16,0))</f>
        <v>32.2806</v>
      </c>
      <c r="R254" s="23" t="n">
        <f aca="false">H254*Assumptions!$B$3</f>
        <v>10.956</v>
      </c>
      <c r="S254" s="23" t="n">
        <f aca="false">G254-Q254-R254</f>
        <v>5.6734</v>
      </c>
      <c r="T254" s="21" t="str">
        <f aca="false">IF(M254&lt;=7,"0-7 days",IF(M254&lt;=14,"8-14 days",IF(M254&lt;=21,"15-21 days","22+ days")))</f>
        <v>8-14 days</v>
      </c>
    </row>
    <row r="255" customFormat="false" ht="15" hidden="false" customHeight="false" outlineLevel="0" collapsed="false">
      <c r="A255" s="21" t="s">
        <v>321</v>
      </c>
      <c r="B255" s="21" t="s">
        <v>19</v>
      </c>
      <c r="C255" s="22" t="n">
        <v>42922</v>
      </c>
      <c r="D255" s="22" t="n">
        <v>42933</v>
      </c>
      <c r="E255" s="22" t="n">
        <v>42940</v>
      </c>
      <c r="F255" s="21" t="s">
        <v>64</v>
      </c>
      <c r="G255" s="23" t="n">
        <v>802.15</v>
      </c>
      <c r="H255" s="23" t="n">
        <v>30</v>
      </c>
      <c r="I255" s="21" t="s">
        <v>45</v>
      </c>
      <c r="J255" s="21" t="n">
        <v>4</v>
      </c>
      <c r="K255" s="21" t="s">
        <v>46</v>
      </c>
      <c r="L255" s="24" t="n">
        <f aca="false">DATE(YEAR(C255),MONTH(C255),1)</f>
        <v>42917</v>
      </c>
      <c r="M255" s="21" t="n">
        <f aca="false">D255-C255</f>
        <v>11</v>
      </c>
      <c r="N255" s="21" t="n">
        <f aca="false">MAX(0,D255-E255)</f>
        <v>0</v>
      </c>
      <c r="O255" s="21" t="n">
        <f aca="false">IF(D255&lt;=E255,1,0)</f>
        <v>1</v>
      </c>
      <c r="P255" s="23" t="n">
        <f aca="false">G255+H255</f>
        <v>832.15</v>
      </c>
      <c r="Q255" s="23" t="n">
        <f aca="false">G255*INDEX(Assumptions!$B$8:$B$16,MATCH(F255,Assumptions!$A$8:$A$16,0))</f>
        <v>529.419</v>
      </c>
      <c r="R255" s="23" t="n">
        <f aca="false">H255*Assumptions!$B$3</f>
        <v>18</v>
      </c>
      <c r="S255" s="23" t="n">
        <f aca="false">G255-Q255-R255</f>
        <v>254.731</v>
      </c>
      <c r="T255" s="21" t="str">
        <f aca="false">IF(M255&lt;=7,"0-7 days",IF(M255&lt;=14,"8-14 days",IF(M255&lt;=21,"15-21 days","22+ days")))</f>
        <v>8-14 days</v>
      </c>
    </row>
    <row r="256" customFormat="false" ht="15" hidden="false" customHeight="false" outlineLevel="0" collapsed="false">
      <c r="A256" s="21" t="s">
        <v>322</v>
      </c>
      <c r="B256" s="21" t="s">
        <v>93</v>
      </c>
      <c r="C256" s="22" t="n">
        <v>42922</v>
      </c>
      <c r="D256" s="22" t="n">
        <v>42946</v>
      </c>
      <c r="E256" s="22" t="n">
        <v>42952</v>
      </c>
      <c r="F256" s="21" t="s">
        <v>59</v>
      </c>
      <c r="G256" s="23" t="n">
        <v>70.31</v>
      </c>
      <c r="H256" s="23" t="n">
        <v>25.46</v>
      </c>
      <c r="I256" s="21" t="s">
        <v>45</v>
      </c>
      <c r="J256" s="21" t="n">
        <v>4</v>
      </c>
      <c r="K256" s="21" t="s">
        <v>46</v>
      </c>
      <c r="L256" s="24" t="n">
        <f aca="false">DATE(YEAR(C256),MONTH(C256),1)</f>
        <v>42917</v>
      </c>
      <c r="M256" s="21" t="n">
        <f aca="false">D256-C256</f>
        <v>24</v>
      </c>
      <c r="N256" s="21" t="n">
        <f aca="false">MAX(0,D256-E256)</f>
        <v>0</v>
      </c>
      <c r="O256" s="21" t="n">
        <f aca="false">IF(D256&lt;=E256,1,0)</f>
        <v>1</v>
      </c>
      <c r="P256" s="23" t="n">
        <f aca="false">G256+H256</f>
        <v>95.77</v>
      </c>
      <c r="Q256" s="23" t="n">
        <f aca="false">G256*INDEX(Assumptions!$B$8:$B$16,MATCH(F256,Assumptions!$A$8:$A$16,0))</f>
        <v>44.9984</v>
      </c>
      <c r="R256" s="23" t="n">
        <f aca="false">H256*Assumptions!$B$3</f>
        <v>15.276</v>
      </c>
      <c r="S256" s="23" t="n">
        <f aca="false">G256-Q256-R256</f>
        <v>10.0356</v>
      </c>
      <c r="T256" s="21" t="str">
        <f aca="false">IF(M256&lt;=7,"0-7 days",IF(M256&lt;=14,"8-14 days",IF(M256&lt;=21,"15-21 days","22+ days")))</f>
        <v>22+ days</v>
      </c>
    </row>
    <row r="257" customFormat="false" ht="15" hidden="false" customHeight="false" outlineLevel="0" collapsed="false">
      <c r="A257" s="21" t="s">
        <v>323</v>
      </c>
      <c r="B257" s="21" t="s">
        <v>19</v>
      </c>
      <c r="C257" s="22" t="n">
        <v>42924</v>
      </c>
      <c r="D257" s="22" t="n">
        <v>42938</v>
      </c>
      <c r="E257" s="22" t="n">
        <v>42941</v>
      </c>
      <c r="F257" s="21" t="s">
        <v>44</v>
      </c>
      <c r="G257" s="23" t="n">
        <v>65.57</v>
      </c>
      <c r="H257" s="23" t="n">
        <v>15.16</v>
      </c>
      <c r="I257" s="21" t="s">
        <v>45</v>
      </c>
      <c r="J257" s="21" t="n">
        <v>4</v>
      </c>
      <c r="K257" s="21" t="s">
        <v>46</v>
      </c>
      <c r="L257" s="24" t="n">
        <f aca="false">DATE(YEAR(C257),MONTH(C257),1)</f>
        <v>42917</v>
      </c>
      <c r="M257" s="21" t="n">
        <f aca="false">D257-C257</f>
        <v>14</v>
      </c>
      <c r="N257" s="21" t="n">
        <f aca="false">MAX(0,D257-E257)</f>
        <v>0</v>
      </c>
      <c r="O257" s="21" t="n">
        <f aca="false">IF(D257&lt;=E257,1,0)</f>
        <v>1</v>
      </c>
      <c r="P257" s="23" t="n">
        <f aca="false">G257+H257</f>
        <v>80.73</v>
      </c>
      <c r="Q257" s="23" t="n">
        <f aca="false">G257*INDEX(Assumptions!$B$8:$B$16,MATCH(F257,Assumptions!$A$8:$A$16,0))</f>
        <v>39.342</v>
      </c>
      <c r="R257" s="23" t="n">
        <f aca="false">H257*Assumptions!$B$3</f>
        <v>9.096</v>
      </c>
      <c r="S257" s="23" t="n">
        <f aca="false">G257-Q257-R257</f>
        <v>17.132</v>
      </c>
      <c r="T257" s="21" t="str">
        <f aca="false">IF(M257&lt;=7,"0-7 days",IF(M257&lt;=14,"8-14 days",IF(M257&lt;=21,"15-21 days","22+ days")))</f>
        <v>8-14 days</v>
      </c>
    </row>
    <row r="258" customFormat="false" ht="15" hidden="false" customHeight="false" outlineLevel="0" collapsed="false">
      <c r="A258" s="21" t="s">
        <v>324</v>
      </c>
      <c r="B258" s="21" t="s">
        <v>103</v>
      </c>
      <c r="C258" s="22" t="n">
        <v>42924</v>
      </c>
      <c r="D258" s="22" t="n">
        <v>42939</v>
      </c>
      <c r="E258" s="22" t="n">
        <v>42947</v>
      </c>
      <c r="F258" s="21" t="s">
        <v>53</v>
      </c>
      <c r="G258" s="23" t="n">
        <v>306.69</v>
      </c>
      <c r="H258" s="23" t="n">
        <v>26.42</v>
      </c>
      <c r="I258" s="21" t="s">
        <v>60</v>
      </c>
      <c r="J258" s="21" t="n">
        <v>5</v>
      </c>
      <c r="K258" s="21" t="s">
        <v>46</v>
      </c>
      <c r="L258" s="24" t="n">
        <f aca="false">DATE(YEAR(C258),MONTH(C258),1)</f>
        <v>42917</v>
      </c>
      <c r="M258" s="21" t="n">
        <f aca="false">D258-C258</f>
        <v>15</v>
      </c>
      <c r="N258" s="21" t="n">
        <f aca="false">MAX(0,D258-E258)</f>
        <v>0</v>
      </c>
      <c r="O258" s="21" t="n">
        <f aca="false">IF(D258&lt;=E258,1,0)</f>
        <v>1</v>
      </c>
      <c r="P258" s="23" t="n">
        <f aca="false">G258+H258</f>
        <v>333.11</v>
      </c>
      <c r="Q258" s="23" t="n">
        <f aca="false">G258*INDEX(Assumptions!$B$8:$B$16,MATCH(F258,Assumptions!$A$8:$A$16,0))</f>
        <v>226.9506</v>
      </c>
      <c r="R258" s="23" t="n">
        <f aca="false">H258*Assumptions!$B$3</f>
        <v>15.852</v>
      </c>
      <c r="S258" s="23" t="n">
        <f aca="false">G258-Q258-R258</f>
        <v>63.8874</v>
      </c>
      <c r="T258" s="21" t="str">
        <f aca="false">IF(M258&lt;=7,"0-7 days",IF(M258&lt;=14,"8-14 days",IF(M258&lt;=21,"15-21 days","22+ days")))</f>
        <v>15-21 days</v>
      </c>
    </row>
    <row r="259" customFormat="false" ht="15" hidden="false" customHeight="false" outlineLevel="0" collapsed="false">
      <c r="A259" s="21" t="s">
        <v>325</v>
      </c>
      <c r="B259" s="21" t="s">
        <v>77</v>
      </c>
      <c r="C259" s="22" t="n">
        <v>42925</v>
      </c>
      <c r="D259" s="22" t="n">
        <v>42931</v>
      </c>
      <c r="E259" s="22" t="n">
        <v>42955</v>
      </c>
      <c r="F259" s="21" t="s">
        <v>59</v>
      </c>
      <c r="G259" s="23" t="n">
        <v>93.94</v>
      </c>
      <c r="H259" s="23" t="n">
        <v>23.54</v>
      </c>
      <c r="I259" s="21" t="s">
        <v>45</v>
      </c>
      <c r="J259" s="21" t="n">
        <v>4</v>
      </c>
      <c r="K259" s="21" t="s">
        <v>46</v>
      </c>
      <c r="L259" s="24" t="n">
        <f aca="false">DATE(YEAR(C259),MONTH(C259),1)</f>
        <v>42917</v>
      </c>
      <c r="M259" s="21" t="n">
        <f aca="false">D259-C259</f>
        <v>6</v>
      </c>
      <c r="N259" s="21" t="n">
        <f aca="false">MAX(0,D259-E259)</f>
        <v>0</v>
      </c>
      <c r="O259" s="21" t="n">
        <f aca="false">IF(D259&lt;=E259,1,0)</f>
        <v>1</v>
      </c>
      <c r="P259" s="23" t="n">
        <f aca="false">G259+H259</f>
        <v>117.48</v>
      </c>
      <c r="Q259" s="23" t="n">
        <f aca="false">G259*INDEX(Assumptions!$B$8:$B$16,MATCH(F259,Assumptions!$A$8:$A$16,0))</f>
        <v>60.1216</v>
      </c>
      <c r="R259" s="23" t="n">
        <f aca="false">H259*Assumptions!$B$3</f>
        <v>14.124</v>
      </c>
      <c r="S259" s="23" t="n">
        <f aca="false">G259-Q259-R259</f>
        <v>19.6944</v>
      </c>
      <c r="T259" s="21" t="str">
        <f aca="false">IF(M259&lt;=7,"0-7 days",IF(M259&lt;=14,"8-14 days",IF(M259&lt;=21,"15-21 days","22+ days")))</f>
        <v>0-7 days</v>
      </c>
    </row>
    <row r="260" customFormat="false" ht="15" hidden="false" customHeight="false" outlineLevel="0" collapsed="false">
      <c r="A260" s="21" t="s">
        <v>326</v>
      </c>
      <c r="B260" s="21" t="s">
        <v>19</v>
      </c>
      <c r="C260" s="22" t="n">
        <v>42925</v>
      </c>
      <c r="D260" s="22" t="n">
        <v>42931</v>
      </c>
      <c r="E260" s="22" t="n">
        <v>42941</v>
      </c>
      <c r="F260" s="21" t="s">
        <v>67</v>
      </c>
      <c r="G260" s="23" t="n">
        <v>98.05</v>
      </c>
      <c r="H260" s="23" t="n">
        <v>20.02</v>
      </c>
      <c r="I260" s="21" t="s">
        <v>45</v>
      </c>
      <c r="J260" s="21" t="n">
        <v>5</v>
      </c>
      <c r="K260" s="21" t="s">
        <v>46</v>
      </c>
      <c r="L260" s="24" t="n">
        <f aca="false">DATE(YEAR(C260),MONTH(C260),1)</f>
        <v>42917</v>
      </c>
      <c r="M260" s="21" t="n">
        <f aca="false">D260-C260</f>
        <v>6</v>
      </c>
      <c r="N260" s="21" t="n">
        <f aca="false">MAX(0,D260-E260)</f>
        <v>0</v>
      </c>
      <c r="O260" s="21" t="n">
        <f aca="false">IF(D260&lt;=E260,1,0)</f>
        <v>1</v>
      </c>
      <c r="P260" s="23" t="n">
        <f aca="false">G260+H260</f>
        <v>118.07</v>
      </c>
      <c r="Q260" s="23" t="n">
        <f aca="false">G260*INDEX(Assumptions!$B$8:$B$16,MATCH(F260,Assumptions!$A$8:$A$16,0))</f>
        <v>60.791</v>
      </c>
      <c r="R260" s="23" t="n">
        <f aca="false">H260*Assumptions!$B$3</f>
        <v>12.012</v>
      </c>
      <c r="S260" s="23" t="n">
        <f aca="false">G260-Q260-R260</f>
        <v>25.247</v>
      </c>
      <c r="T260" s="21" t="str">
        <f aca="false">IF(M260&lt;=7,"0-7 days",IF(M260&lt;=14,"8-14 days",IF(M260&lt;=21,"15-21 days","22+ days")))</f>
        <v>0-7 days</v>
      </c>
    </row>
    <row r="261" customFormat="false" ht="15" hidden="false" customHeight="false" outlineLevel="0" collapsed="false">
      <c r="A261" s="21" t="s">
        <v>327</v>
      </c>
      <c r="B261" s="21" t="s">
        <v>19</v>
      </c>
      <c r="C261" s="22" t="n">
        <v>42925</v>
      </c>
      <c r="D261" s="22" t="n">
        <v>42933</v>
      </c>
      <c r="E261" s="22" t="n">
        <v>42938</v>
      </c>
      <c r="F261" s="21" t="s">
        <v>44</v>
      </c>
      <c r="G261" s="23" t="n">
        <v>107.49</v>
      </c>
      <c r="H261" s="23" t="n">
        <v>15.95</v>
      </c>
      <c r="I261" s="21" t="s">
        <v>104</v>
      </c>
      <c r="J261" s="21" t="n">
        <v>5</v>
      </c>
      <c r="K261" s="21" t="s">
        <v>46</v>
      </c>
      <c r="L261" s="24" t="n">
        <f aca="false">DATE(YEAR(C261),MONTH(C261),1)</f>
        <v>42917</v>
      </c>
      <c r="M261" s="21" t="n">
        <f aca="false">D261-C261</f>
        <v>8</v>
      </c>
      <c r="N261" s="21" t="n">
        <f aca="false">MAX(0,D261-E261)</f>
        <v>0</v>
      </c>
      <c r="O261" s="21" t="n">
        <f aca="false">IF(D261&lt;=E261,1,0)</f>
        <v>1</v>
      </c>
      <c r="P261" s="23" t="n">
        <f aca="false">G261+H261</f>
        <v>123.44</v>
      </c>
      <c r="Q261" s="23" t="n">
        <f aca="false">G261*INDEX(Assumptions!$B$8:$B$16,MATCH(F261,Assumptions!$A$8:$A$16,0))</f>
        <v>64.494</v>
      </c>
      <c r="R261" s="23" t="n">
        <f aca="false">H261*Assumptions!$B$3</f>
        <v>9.57</v>
      </c>
      <c r="S261" s="23" t="n">
        <f aca="false">G261-Q261-R261</f>
        <v>33.426</v>
      </c>
      <c r="T261" s="21" t="str">
        <f aca="false">IF(M261&lt;=7,"0-7 days",IF(M261&lt;=14,"8-14 days",IF(M261&lt;=21,"15-21 days","22+ days")))</f>
        <v>8-14 days</v>
      </c>
    </row>
    <row r="262" customFormat="false" ht="15" hidden="false" customHeight="false" outlineLevel="0" collapsed="false">
      <c r="A262" s="21" t="s">
        <v>328</v>
      </c>
      <c r="B262" s="21" t="s">
        <v>48</v>
      </c>
      <c r="C262" s="22" t="n">
        <v>42926</v>
      </c>
      <c r="D262" s="22" t="n">
        <v>42939</v>
      </c>
      <c r="E262" s="22" t="n">
        <v>42947</v>
      </c>
      <c r="F262" s="21" t="s">
        <v>49</v>
      </c>
      <c r="G262" s="23" t="n">
        <v>94.4</v>
      </c>
      <c r="H262" s="23" t="n">
        <v>19.74</v>
      </c>
      <c r="I262" s="21" t="s">
        <v>45</v>
      </c>
      <c r="J262" s="21" t="n">
        <v>3</v>
      </c>
      <c r="K262" s="21" t="s">
        <v>46</v>
      </c>
      <c r="L262" s="24" t="n">
        <f aca="false">DATE(YEAR(C262),MONTH(C262),1)</f>
        <v>42917</v>
      </c>
      <c r="M262" s="21" t="n">
        <f aca="false">D262-C262</f>
        <v>13</v>
      </c>
      <c r="N262" s="21" t="n">
        <f aca="false">MAX(0,D262-E262)</f>
        <v>0</v>
      </c>
      <c r="O262" s="21" t="n">
        <f aca="false">IF(D262&lt;=E262,1,0)</f>
        <v>1</v>
      </c>
      <c r="P262" s="23" t="n">
        <f aca="false">G262+H262</f>
        <v>114.14</v>
      </c>
      <c r="Q262" s="23" t="n">
        <f aca="false">G262*INDEX(Assumptions!$B$8:$B$16,MATCH(F262,Assumptions!$A$8:$A$16,0))</f>
        <v>54.752</v>
      </c>
      <c r="R262" s="23" t="n">
        <f aca="false">H262*Assumptions!$B$3</f>
        <v>11.844</v>
      </c>
      <c r="S262" s="23" t="n">
        <f aca="false">G262-Q262-R262</f>
        <v>27.804</v>
      </c>
      <c r="T262" s="21" t="str">
        <f aca="false">IF(M262&lt;=7,"0-7 days",IF(M262&lt;=14,"8-14 days",IF(M262&lt;=21,"15-21 days","22+ days")))</f>
        <v>8-14 days</v>
      </c>
    </row>
    <row r="263" customFormat="false" ht="15" hidden="false" customHeight="false" outlineLevel="0" collapsed="false">
      <c r="A263" s="21" t="s">
        <v>329</v>
      </c>
      <c r="B263" s="21" t="s">
        <v>48</v>
      </c>
      <c r="C263" s="22" t="n">
        <v>42926</v>
      </c>
      <c r="D263" s="22" t="n">
        <v>42945</v>
      </c>
      <c r="E263" s="22" t="n">
        <v>42946</v>
      </c>
      <c r="F263" s="21" t="s">
        <v>44</v>
      </c>
      <c r="G263" s="23" t="n">
        <v>46.78</v>
      </c>
      <c r="H263" s="23" t="n">
        <v>27.1</v>
      </c>
      <c r="I263" s="21" t="s">
        <v>45</v>
      </c>
      <c r="J263" s="21" t="n">
        <v>4</v>
      </c>
      <c r="K263" s="21" t="s">
        <v>46</v>
      </c>
      <c r="L263" s="24" t="n">
        <f aca="false">DATE(YEAR(C263),MONTH(C263),1)</f>
        <v>42917</v>
      </c>
      <c r="M263" s="21" t="n">
        <f aca="false">D263-C263</f>
        <v>19</v>
      </c>
      <c r="N263" s="21" t="n">
        <f aca="false">MAX(0,D263-E263)</f>
        <v>0</v>
      </c>
      <c r="O263" s="21" t="n">
        <f aca="false">IF(D263&lt;=E263,1,0)</f>
        <v>1</v>
      </c>
      <c r="P263" s="23" t="n">
        <f aca="false">G263+H263</f>
        <v>73.88</v>
      </c>
      <c r="Q263" s="23" t="n">
        <f aca="false">G263*INDEX(Assumptions!$B$8:$B$16,MATCH(F263,Assumptions!$A$8:$A$16,0))</f>
        <v>28.068</v>
      </c>
      <c r="R263" s="23" t="n">
        <f aca="false">H263*Assumptions!$B$3</f>
        <v>16.26</v>
      </c>
      <c r="S263" s="23" t="n">
        <f aca="false">G263-Q263-R263</f>
        <v>2.452</v>
      </c>
      <c r="T263" s="21" t="str">
        <f aca="false">IF(M263&lt;=7,"0-7 days",IF(M263&lt;=14,"8-14 days",IF(M263&lt;=21,"15-21 days","22+ days")))</f>
        <v>15-21 days</v>
      </c>
    </row>
    <row r="264" customFormat="false" ht="15" hidden="false" customHeight="false" outlineLevel="0" collapsed="false">
      <c r="A264" s="21" t="s">
        <v>330</v>
      </c>
      <c r="B264" s="21" t="s">
        <v>19</v>
      </c>
      <c r="C264" s="22" t="n">
        <v>42926</v>
      </c>
      <c r="D264" s="22" t="n">
        <v>42932</v>
      </c>
      <c r="E264" s="22" t="n">
        <v>42941</v>
      </c>
      <c r="F264" s="21" t="s">
        <v>49</v>
      </c>
      <c r="G264" s="23" t="n">
        <v>45.02</v>
      </c>
      <c r="H264" s="23" t="n">
        <v>15.55</v>
      </c>
      <c r="I264" s="21" t="s">
        <v>45</v>
      </c>
      <c r="J264" s="21" t="n">
        <v>5</v>
      </c>
      <c r="K264" s="21" t="s">
        <v>46</v>
      </c>
      <c r="L264" s="24" t="n">
        <f aca="false">DATE(YEAR(C264),MONTH(C264),1)</f>
        <v>42917</v>
      </c>
      <c r="M264" s="21" t="n">
        <f aca="false">D264-C264</f>
        <v>6</v>
      </c>
      <c r="N264" s="21" t="n">
        <f aca="false">MAX(0,D264-E264)</f>
        <v>0</v>
      </c>
      <c r="O264" s="21" t="n">
        <f aca="false">IF(D264&lt;=E264,1,0)</f>
        <v>1</v>
      </c>
      <c r="P264" s="23" t="n">
        <f aca="false">G264+H264</f>
        <v>60.57</v>
      </c>
      <c r="Q264" s="23" t="n">
        <f aca="false">G264*INDEX(Assumptions!$B$8:$B$16,MATCH(F264,Assumptions!$A$8:$A$16,0))</f>
        <v>26.1116</v>
      </c>
      <c r="R264" s="23" t="n">
        <f aca="false">H264*Assumptions!$B$3</f>
        <v>9.33</v>
      </c>
      <c r="S264" s="23" t="n">
        <f aca="false">G264-Q264-R264</f>
        <v>9.5784</v>
      </c>
      <c r="T264" s="21" t="str">
        <f aca="false">IF(M264&lt;=7,"0-7 days",IF(M264&lt;=14,"8-14 days",IF(M264&lt;=21,"15-21 days","22+ days")))</f>
        <v>0-7 days</v>
      </c>
    </row>
    <row r="265" customFormat="false" ht="15" hidden="false" customHeight="false" outlineLevel="0" collapsed="false">
      <c r="A265" s="21" t="s">
        <v>331</v>
      </c>
      <c r="B265" s="21" t="s">
        <v>62</v>
      </c>
      <c r="C265" s="22" t="n">
        <v>42926</v>
      </c>
      <c r="D265" s="22" t="n">
        <v>42946</v>
      </c>
      <c r="E265" s="22" t="n">
        <v>42944</v>
      </c>
      <c r="F265" s="21" t="s">
        <v>49</v>
      </c>
      <c r="G265" s="23" t="n">
        <v>193.99</v>
      </c>
      <c r="H265" s="23" t="n">
        <v>25.67</v>
      </c>
      <c r="I265" s="21" t="s">
        <v>45</v>
      </c>
      <c r="J265" s="21" t="n">
        <v>3</v>
      </c>
      <c r="K265" s="21" t="s">
        <v>46</v>
      </c>
      <c r="L265" s="24" t="n">
        <f aca="false">DATE(YEAR(C265),MONTH(C265),1)</f>
        <v>42917</v>
      </c>
      <c r="M265" s="21" t="n">
        <f aca="false">D265-C265</f>
        <v>20</v>
      </c>
      <c r="N265" s="21" t="n">
        <f aca="false">MAX(0,D265-E265)</f>
        <v>2</v>
      </c>
      <c r="O265" s="21" t="n">
        <f aca="false">IF(D265&lt;=E265,1,0)</f>
        <v>0</v>
      </c>
      <c r="P265" s="23" t="n">
        <f aca="false">G265+H265</f>
        <v>219.66</v>
      </c>
      <c r="Q265" s="23" t="n">
        <f aca="false">G265*INDEX(Assumptions!$B$8:$B$16,MATCH(F265,Assumptions!$A$8:$A$16,0))</f>
        <v>112.5142</v>
      </c>
      <c r="R265" s="23" t="n">
        <f aca="false">H265*Assumptions!$B$3</f>
        <v>15.402</v>
      </c>
      <c r="S265" s="23" t="n">
        <f aca="false">G265-Q265-R265</f>
        <v>66.0738</v>
      </c>
      <c r="T265" s="21" t="str">
        <f aca="false">IF(M265&lt;=7,"0-7 days",IF(M265&lt;=14,"8-14 days",IF(M265&lt;=21,"15-21 days","22+ days")))</f>
        <v>15-21 days</v>
      </c>
    </row>
    <row r="266" customFormat="false" ht="15" hidden="false" customHeight="false" outlineLevel="0" collapsed="false">
      <c r="A266" s="21" t="s">
        <v>332</v>
      </c>
      <c r="B266" s="21" t="s">
        <v>19</v>
      </c>
      <c r="C266" s="22" t="n">
        <v>42927</v>
      </c>
      <c r="D266" s="22" t="n">
        <v>42938</v>
      </c>
      <c r="E266" s="22" t="n">
        <v>42943</v>
      </c>
      <c r="F266" s="21" t="s">
        <v>49</v>
      </c>
      <c r="G266" s="23" t="n">
        <v>91.39</v>
      </c>
      <c r="H266" s="23" t="n">
        <v>17.58</v>
      </c>
      <c r="I266" s="21" t="s">
        <v>45</v>
      </c>
      <c r="J266" s="21" t="n">
        <v>4</v>
      </c>
      <c r="K266" s="21" t="s">
        <v>46</v>
      </c>
      <c r="L266" s="24" t="n">
        <f aca="false">DATE(YEAR(C266),MONTH(C266),1)</f>
        <v>42917</v>
      </c>
      <c r="M266" s="21" t="n">
        <f aca="false">D266-C266</f>
        <v>11</v>
      </c>
      <c r="N266" s="21" t="n">
        <f aca="false">MAX(0,D266-E266)</f>
        <v>0</v>
      </c>
      <c r="O266" s="21" t="n">
        <f aca="false">IF(D266&lt;=E266,1,0)</f>
        <v>1</v>
      </c>
      <c r="P266" s="23" t="n">
        <f aca="false">G266+H266</f>
        <v>108.97</v>
      </c>
      <c r="Q266" s="23" t="n">
        <f aca="false">G266*INDEX(Assumptions!$B$8:$B$16,MATCH(F266,Assumptions!$A$8:$A$16,0))</f>
        <v>53.0062</v>
      </c>
      <c r="R266" s="23" t="n">
        <f aca="false">H266*Assumptions!$B$3</f>
        <v>10.548</v>
      </c>
      <c r="S266" s="23" t="n">
        <f aca="false">G266-Q266-R266</f>
        <v>27.8358</v>
      </c>
      <c r="T266" s="21" t="str">
        <f aca="false">IF(M266&lt;=7,"0-7 days",IF(M266&lt;=14,"8-14 days",IF(M266&lt;=21,"15-21 days","22+ days")))</f>
        <v>8-14 days</v>
      </c>
    </row>
    <row r="267" customFormat="false" ht="15" hidden="false" customHeight="false" outlineLevel="0" collapsed="false">
      <c r="A267" s="21" t="s">
        <v>333</v>
      </c>
      <c r="B267" s="21" t="s">
        <v>19</v>
      </c>
      <c r="C267" s="22" t="n">
        <v>42927</v>
      </c>
      <c r="D267" s="22" t="n">
        <v>42932</v>
      </c>
      <c r="E267" s="22" t="n">
        <v>42939</v>
      </c>
      <c r="F267" s="21" t="s">
        <v>57</v>
      </c>
      <c r="G267" s="23" t="n">
        <v>66.62</v>
      </c>
      <c r="H267" s="23" t="n">
        <v>20</v>
      </c>
      <c r="I267" s="21" t="s">
        <v>45</v>
      </c>
      <c r="J267" s="21" t="n">
        <v>4</v>
      </c>
      <c r="K267" s="21" t="s">
        <v>46</v>
      </c>
      <c r="L267" s="24" t="n">
        <f aca="false">DATE(YEAR(C267),MONTH(C267),1)</f>
        <v>42917</v>
      </c>
      <c r="M267" s="21" t="n">
        <f aca="false">D267-C267</f>
        <v>5</v>
      </c>
      <c r="N267" s="21" t="n">
        <f aca="false">MAX(0,D267-E267)</f>
        <v>0</v>
      </c>
      <c r="O267" s="21" t="n">
        <f aca="false">IF(D267&lt;=E267,1,0)</f>
        <v>1</v>
      </c>
      <c r="P267" s="23" t="n">
        <f aca="false">G267+H267</f>
        <v>86.62</v>
      </c>
      <c r="Q267" s="23" t="n">
        <f aca="false">G267*INDEX(Assumptions!$B$8:$B$16,MATCH(F267,Assumptions!$A$8:$A$16,0))</f>
        <v>45.3016</v>
      </c>
      <c r="R267" s="23" t="n">
        <f aca="false">H267*Assumptions!$B$3</f>
        <v>12</v>
      </c>
      <c r="S267" s="23" t="n">
        <f aca="false">G267-Q267-R267</f>
        <v>9.3184</v>
      </c>
      <c r="T267" s="21" t="str">
        <f aca="false">IF(M267&lt;=7,"0-7 days",IF(M267&lt;=14,"8-14 days",IF(M267&lt;=21,"15-21 days","22+ days")))</f>
        <v>0-7 days</v>
      </c>
    </row>
    <row r="268" customFormat="false" ht="15" hidden="false" customHeight="false" outlineLevel="0" collapsed="false">
      <c r="A268" s="21" t="s">
        <v>334</v>
      </c>
      <c r="B268" s="21" t="s">
        <v>77</v>
      </c>
      <c r="C268" s="22" t="n">
        <v>42927</v>
      </c>
      <c r="D268" s="22" t="n">
        <v>42936</v>
      </c>
      <c r="E268" s="22" t="n">
        <v>42951</v>
      </c>
      <c r="F268" s="21" t="s">
        <v>111</v>
      </c>
      <c r="G268" s="23" t="n">
        <v>75.69</v>
      </c>
      <c r="H268" s="23" t="n">
        <v>27.65</v>
      </c>
      <c r="I268" s="21" t="s">
        <v>45</v>
      </c>
      <c r="J268" s="21" t="n">
        <v>4</v>
      </c>
      <c r="K268" s="21" t="s">
        <v>46</v>
      </c>
      <c r="L268" s="24" t="n">
        <f aca="false">DATE(YEAR(C268),MONTH(C268),1)</f>
        <v>42917</v>
      </c>
      <c r="M268" s="21" t="n">
        <f aca="false">D268-C268</f>
        <v>9</v>
      </c>
      <c r="N268" s="21" t="n">
        <f aca="false">MAX(0,D268-E268)</f>
        <v>0</v>
      </c>
      <c r="O268" s="21" t="n">
        <f aca="false">IF(D268&lt;=E268,1,0)</f>
        <v>1</v>
      </c>
      <c r="P268" s="23" t="n">
        <f aca="false">G268+H268</f>
        <v>103.34</v>
      </c>
      <c r="Q268" s="23" t="n">
        <f aca="false">G268*INDEX(Assumptions!$B$8:$B$16,MATCH(F268,Assumptions!$A$8:$A$16,0))</f>
        <v>47.6847</v>
      </c>
      <c r="R268" s="23" t="n">
        <f aca="false">H268*Assumptions!$B$3</f>
        <v>16.59</v>
      </c>
      <c r="S268" s="23" t="n">
        <f aca="false">G268-Q268-R268</f>
        <v>11.4153</v>
      </c>
      <c r="T268" s="21" t="str">
        <f aca="false">IF(M268&lt;=7,"0-7 days",IF(M268&lt;=14,"8-14 days",IF(M268&lt;=21,"15-21 days","22+ days")))</f>
        <v>8-14 days</v>
      </c>
    </row>
    <row r="269" customFormat="false" ht="15" hidden="false" customHeight="false" outlineLevel="0" collapsed="false">
      <c r="A269" s="21" t="s">
        <v>335</v>
      </c>
      <c r="B269" s="21" t="s">
        <v>19</v>
      </c>
      <c r="C269" s="22" t="n">
        <v>42927</v>
      </c>
      <c r="D269" s="22" t="n">
        <v>42935</v>
      </c>
      <c r="E269" s="22" t="n">
        <v>42941</v>
      </c>
      <c r="F269" s="21" t="s">
        <v>67</v>
      </c>
      <c r="G269" s="23" t="n">
        <v>86.03</v>
      </c>
      <c r="H269" s="23" t="n">
        <v>16.98</v>
      </c>
      <c r="I269" s="21" t="s">
        <v>45</v>
      </c>
      <c r="J269" s="21" t="n">
        <v>5</v>
      </c>
      <c r="K269" s="21" t="s">
        <v>46</v>
      </c>
      <c r="L269" s="24" t="n">
        <f aca="false">DATE(YEAR(C269),MONTH(C269),1)</f>
        <v>42917</v>
      </c>
      <c r="M269" s="21" t="n">
        <f aca="false">D269-C269</f>
        <v>8</v>
      </c>
      <c r="N269" s="21" t="n">
        <f aca="false">MAX(0,D269-E269)</f>
        <v>0</v>
      </c>
      <c r="O269" s="21" t="n">
        <f aca="false">IF(D269&lt;=E269,1,0)</f>
        <v>1</v>
      </c>
      <c r="P269" s="23" t="n">
        <f aca="false">G269+H269</f>
        <v>103.01</v>
      </c>
      <c r="Q269" s="23" t="n">
        <f aca="false">G269*INDEX(Assumptions!$B$8:$B$16,MATCH(F269,Assumptions!$A$8:$A$16,0))</f>
        <v>53.3386</v>
      </c>
      <c r="R269" s="23" t="n">
        <f aca="false">H269*Assumptions!$B$3</f>
        <v>10.188</v>
      </c>
      <c r="S269" s="23" t="n">
        <f aca="false">G269-Q269-R269</f>
        <v>22.5034</v>
      </c>
      <c r="T269" s="21" t="str">
        <f aca="false">IF(M269&lt;=7,"0-7 days",IF(M269&lt;=14,"8-14 days",IF(M269&lt;=21,"15-21 days","22+ days")))</f>
        <v>8-14 days</v>
      </c>
    </row>
    <row r="270" customFormat="false" ht="15" hidden="false" customHeight="false" outlineLevel="0" collapsed="false">
      <c r="A270" s="21" t="s">
        <v>336</v>
      </c>
      <c r="B270" s="21" t="s">
        <v>48</v>
      </c>
      <c r="C270" s="22" t="n">
        <v>42927</v>
      </c>
      <c r="D270" s="22" t="n">
        <v>42944</v>
      </c>
      <c r="E270" s="22" t="n">
        <v>42946</v>
      </c>
      <c r="F270" s="21" t="s">
        <v>44</v>
      </c>
      <c r="G270" s="23" t="n">
        <v>130.94</v>
      </c>
      <c r="H270" s="23" t="n">
        <v>24.35</v>
      </c>
      <c r="I270" s="21" t="s">
        <v>50</v>
      </c>
      <c r="J270" s="21" t="n">
        <v>3</v>
      </c>
      <c r="K270" s="21" t="s">
        <v>46</v>
      </c>
      <c r="L270" s="24" t="n">
        <f aca="false">DATE(YEAR(C270),MONTH(C270),1)</f>
        <v>42917</v>
      </c>
      <c r="M270" s="21" t="n">
        <f aca="false">D270-C270</f>
        <v>17</v>
      </c>
      <c r="N270" s="21" t="n">
        <f aca="false">MAX(0,D270-E270)</f>
        <v>0</v>
      </c>
      <c r="O270" s="21" t="n">
        <f aca="false">IF(D270&lt;=E270,1,0)</f>
        <v>1</v>
      </c>
      <c r="P270" s="23" t="n">
        <f aca="false">G270+H270</f>
        <v>155.29</v>
      </c>
      <c r="Q270" s="23" t="n">
        <f aca="false">G270*INDEX(Assumptions!$B$8:$B$16,MATCH(F270,Assumptions!$A$8:$A$16,0))</f>
        <v>78.564</v>
      </c>
      <c r="R270" s="23" t="n">
        <f aca="false">H270*Assumptions!$B$3</f>
        <v>14.61</v>
      </c>
      <c r="S270" s="23" t="n">
        <f aca="false">G270-Q270-R270</f>
        <v>37.766</v>
      </c>
      <c r="T270" s="21" t="str">
        <f aca="false">IF(M270&lt;=7,"0-7 days",IF(M270&lt;=14,"8-14 days",IF(M270&lt;=21,"15-21 days","22+ days")))</f>
        <v>15-21 days</v>
      </c>
    </row>
    <row r="271" customFormat="false" ht="15" hidden="false" customHeight="false" outlineLevel="0" collapsed="false">
      <c r="A271" s="21" t="s">
        <v>337</v>
      </c>
      <c r="B271" s="21" t="s">
        <v>52</v>
      </c>
      <c r="C271" s="22" t="n">
        <v>42928</v>
      </c>
      <c r="D271" s="22" t="n">
        <v>42949</v>
      </c>
      <c r="E271" s="22" t="n">
        <v>42951</v>
      </c>
      <c r="F271" s="21" t="s">
        <v>44</v>
      </c>
      <c r="G271" s="23" t="n">
        <v>112.79</v>
      </c>
      <c r="H271" s="23" t="n">
        <v>25.49</v>
      </c>
      <c r="I271" s="21" t="s">
        <v>60</v>
      </c>
      <c r="J271" s="21" t="n">
        <v>4</v>
      </c>
      <c r="K271" s="21" t="s">
        <v>46</v>
      </c>
      <c r="L271" s="24" t="n">
        <f aca="false">DATE(YEAR(C271),MONTH(C271),1)</f>
        <v>42917</v>
      </c>
      <c r="M271" s="21" t="n">
        <f aca="false">D271-C271</f>
        <v>21</v>
      </c>
      <c r="N271" s="21" t="n">
        <f aca="false">MAX(0,D271-E271)</f>
        <v>0</v>
      </c>
      <c r="O271" s="21" t="n">
        <f aca="false">IF(D271&lt;=E271,1,0)</f>
        <v>1</v>
      </c>
      <c r="P271" s="23" t="n">
        <f aca="false">G271+H271</f>
        <v>138.28</v>
      </c>
      <c r="Q271" s="23" t="n">
        <f aca="false">G271*INDEX(Assumptions!$B$8:$B$16,MATCH(F271,Assumptions!$A$8:$A$16,0))</f>
        <v>67.674</v>
      </c>
      <c r="R271" s="23" t="n">
        <f aca="false">H271*Assumptions!$B$3</f>
        <v>15.294</v>
      </c>
      <c r="S271" s="23" t="n">
        <f aca="false">G271-Q271-R271</f>
        <v>29.822</v>
      </c>
      <c r="T271" s="21" t="str">
        <f aca="false">IF(M271&lt;=7,"0-7 days",IF(M271&lt;=14,"8-14 days",IF(M271&lt;=21,"15-21 days","22+ days")))</f>
        <v>15-21 days</v>
      </c>
    </row>
    <row r="272" customFormat="false" ht="15" hidden="false" customHeight="false" outlineLevel="0" collapsed="false">
      <c r="A272" s="21" t="s">
        <v>338</v>
      </c>
      <c r="B272" s="21" t="s">
        <v>55</v>
      </c>
      <c r="C272" s="22" t="n">
        <v>42929</v>
      </c>
      <c r="D272" s="22" t="n">
        <v>42949</v>
      </c>
      <c r="E272" s="22" t="n">
        <v>42954</v>
      </c>
      <c r="F272" s="21" t="s">
        <v>67</v>
      </c>
      <c r="G272" s="23" t="n">
        <v>205.51</v>
      </c>
      <c r="H272" s="23" t="n">
        <v>26.04</v>
      </c>
      <c r="I272" s="21" t="s">
        <v>45</v>
      </c>
      <c r="J272" s="21" t="n">
        <v>4</v>
      </c>
      <c r="K272" s="21" t="s">
        <v>46</v>
      </c>
      <c r="L272" s="24" t="n">
        <f aca="false">DATE(YEAR(C272),MONTH(C272),1)</f>
        <v>42917</v>
      </c>
      <c r="M272" s="21" t="n">
        <f aca="false">D272-C272</f>
        <v>20</v>
      </c>
      <c r="N272" s="21" t="n">
        <f aca="false">MAX(0,D272-E272)</f>
        <v>0</v>
      </c>
      <c r="O272" s="21" t="n">
        <f aca="false">IF(D272&lt;=E272,1,0)</f>
        <v>1</v>
      </c>
      <c r="P272" s="23" t="n">
        <f aca="false">G272+H272</f>
        <v>231.55</v>
      </c>
      <c r="Q272" s="23" t="n">
        <f aca="false">G272*INDEX(Assumptions!$B$8:$B$16,MATCH(F272,Assumptions!$A$8:$A$16,0))</f>
        <v>127.4162</v>
      </c>
      <c r="R272" s="23" t="n">
        <f aca="false">H272*Assumptions!$B$3</f>
        <v>15.624</v>
      </c>
      <c r="S272" s="23" t="n">
        <f aca="false">G272-Q272-R272</f>
        <v>62.4698</v>
      </c>
      <c r="T272" s="21" t="str">
        <f aca="false">IF(M272&lt;=7,"0-7 days",IF(M272&lt;=14,"8-14 days",IF(M272&lt;=21,"15-21 days","22+ days")))</f>
        <v>15-21 days</v>
      </c>
    </row>
    <row r="273" customFormat="false" ht="15" hidden="false" customHeight="false" outlineLevel="0" collapsed="false">
      <c r="A273" s="21" t="s">
        <v>339</v>
      </c>
      <c r="B273" s="21" t="s">
        <v>19</v>
      </c>
      <c r="C273" s="22" t="n">
        <v>42929</v>
      </c>
      <c r="D273" s="22" t="n">
        <v>42933</v>
      </c>
      <c r="E273" s="22" t="n">
        <v>42944</v>
      </c>
      <c r="F273" s="21" t="s">
        <v>44</v>
      </c>
      <c r="G273" s="23" t="n">
        <v>57.51</v>
      </c>
      <c r="H273" s="23" t="n">
        <v>21.15</v>
      </c>
      <c r="I273" s="21" t="s">
        <v>45</v>
      </c>
      <c r="J273" s="21" t="n">
        <v>4</v>
      </c>
      <c r="K273" s="21" t="s">
        <v>46</v>
      </c>
      <c r="L273" s="24" t="n">
        <f aca="false">DATE(YEAR(C273),MONTH(C273),1)</f>
        <v>42917</v>
      </c>
      <c r="M273" s="21" t="n">
        <f aca="false">D273-C273</f>
        <v>4</v>
      </c>
      <c r="N273" s="21" t="n">
        <f aca="false">MAX(0,D273-E273)</f>
        <v>0</v>
      </c>
      <c r="O273" s="21" t="n">
        <f aca="false">IF(D273&lt;=E273,1,0)</f>
        <v>1</v>
      </c>
      <c r="P273" s="23" t="n">
        <f aca="false">G273+H273</f>
        <v>78.66</v>
      </c>
      <c r="Q273" s="23" t="n">
        <f aca="false">G273*INDEX(Assumptions!$B$8:$B$16,MATCH(F273,Assumptions!$A$8:$A$16,0))</f>
        <v>34.506</v>
      </c>
      <c r="R273" s="23" t="n">
        <f aca="false">H273*Assumptions!$B$3</f>
        <v>12.69</v>
      </c>
      <c r="S273" s="23" t="n">
        <f aca="false">G273-Q273-R273</f>
        <v>10.314</v>
      </c>
      <c r="T273" s="21" t="str">
        <f aca="false">IF(M273&lt;=7,"0-7 days",IF(M273&lt;=14,"8-14 days",IF(M273&lt;=21,"15-21 days","22+ days")))</f>
        <v>0-7 days</v>
      </c>
    </row>
    <row r="274" customFormat="false" ht="15" hidden="false" customHeight="false" outlineLevel="0" collapsed="false">
      <c r="A274" s="21" t="s">
        <v>340</v>
      </c>
      <c r="B274" s="21" t="s">
        <v>19</v>
      </c>
      <c r="C274" s="22" t="n">
        <v>42929</v>
      </c>
      <c r="D274" s="22" t="n">
        <v>42941</v>
      </c>
      <c r="E274" s="22" t="n">
        <v>42946</v>
      </c>
      <c r="F274" s="21" t="s">
        <v>49</v>
      </c>
      <c r="G274" s="23" t="n">
        <v>101.01</v>
      </c>
      <c r="H274" s="23" t="n">
        <v>18.16</v>
      </c>
      <c r="I274" s="21" t="s">
        <v>45</v>
      </c>
      <c r="J274" s="21" t="n">
        <v>3</v>
      </c>
      <c r="K274" s="21" t="s">
        <v>46</v>
      </c>
      <c r="L274" s="24" t="n">
        <f aca="false">DATE(YEAR(C274),MONTH(C274),1)</f>
        <v>42917</v>
      </c>
      <c r="M274" s="21" t="n">
        <f aca="false">D274-C274</f>
        <v>12</v>
      </c>
      <c r="N274" s="21" t="n">
        <f aca="false">MAX(0,D274-E274)</f>
        <v>0</v>
      </c>
      <c r="O274" s="21" t="n">
        <f aca="false">IF(D274&lt;=E274,1,0)</f>
        <v>1</v>
      </c>
      <c r="P274" s="23" t="n">
        <f aca="false">G274+H274</f>
        <v>119.17</v>
      </c>
      <c r="Q274" s="23" t="n">
        <f aca="false">G274*INDEX(Assumptions!$B$8:$B$16,MATCH(F274,Assumptions!$A$8:$A$16,0))</f>
        <v>58.5858</v>
      </c>
      <c r="R274" s="23" t="n">
        <f aca="false">H274*Assumptions!$B$3</f>
        <v>10.896</v>
      </c>
      <c r="S274" s="23" t="n">
        <f aca="false">G274-Q274-R274</f>
        <v>31.5282</v>
      </c>
      <c r="T274" s="21" t="str">
        <f aca="false">IF(M274&lt;=7,"0-7 days",IF(M274&lt;=14,"8-14 days",IF(M274&lt;=21,"15-21 days","22+ days")))</f>
        <v>8-14 days</v>
      </c>
    </row>
    <row r="275" customFormat="false" ht="15" hidden="false" customHeight="false" outlineLevel="0" collapsed="false">
      <c r="A275" s="21" t="s">
        <v>341</v>
      </c>
      <c r="B275" s="21" t="s">
        <v>19</v>
      </c>
      <c r="C275" s="22" t="n">
        <v>42930</v>
      </c>
      <c r="D275" s="22" t="n">
        <v>42935</v>
      </c>
      <c r="E275" s="22" t="n">
        <v>42947</v>
      </c>
      <c r="F275" s="21" t="s">
        <v>67</v>
      </c>
      <c r="G275" s="23" t="n">
        <v>55.2</v>
      </c>
      <c r="H275" s="23" t="n">
        <v>12.78</v>
      </c>
      <c r="I275" s="21" t="s">
        <v>45</v>
      </c>
      <c r="J275" s="21" t="n">
        <v>3</v>
      </c>
      <c r="K275" s="21" t="s">
        <v>46</v>
      </c>
      <c r="L275" s="24" t="n">
        <f aca="false">DATE(YEAR(C275),MONTH(C275),1)</f>
        <v>42917</v>
      </c>
      <c r="M275" s="21" t="n">
        <f aca="false">D275-C275</f>
        <v>5</v>
      </c>
      <c r="N275" s="21" t="n">
        <f aca="false">MAX(0,D275-E275)</f>
        <v>0</v>
      </c>
      <c r="O275" s="21" t="n">
        <f aca="false">IF(D275&lt;=E275,1,0)</f>
        <v>1</v>
      </c>
      <c r="P275" s="23" t="n">
        <f aca="false">G275+H275</f>
        <v>67.98</v>
      </c>
      <c r="Q275" s="23" t="n">
        <f aca="false">G275*INDEX(Assumptions!$B$8:$B$16,MATCH(F275,Assumptions!$A$8:$A$16,0))</f>
        <v>34.224</v>
      </c>
      <c r="R275" s="23" t="n">
        <f aca="false">H275*Assumptions!$B$3</f>
        <v>7.668</v>
      </c>
      <c r="S275" s="23" t="n">
        <f aca="false">G275-Q275-R275</f>
        <v>13.308</v>
      </c>
      <c r="T275" s="21" t="str">
        <f aca="false">IF(M275&lt;=7,"0-7 days",IF(M275&lt;=14,"8-14 days",IF(M275&lt;=21,"15-21 days","22+ days")))</f>
        <v>0-7 days</v>
      </c>
    </row>
    <row r="276" customFormat="false" ht="15" hidden="false" customHeight="false" outlineLevel="0" collapsed="false">
      <c r="A276" s="21" t="s">
        <v>342</v>
      </c>
      <c r="B276" s="21" t="s">
        <v>19</v>
      </c>
      <c r="C276" s="22" t="n">
        <v>42930</v>
      </c>
      <c r="D276" s="22" t="n">
        <v>42936</v>
      </c>
      <c r="E276" s="22" t="n">
        <v>42945</v>
      </c>
      <c r="F276" s="21" t="s">
        <v>53</v>
      </c>
      <c r="G276" s="23" t="n">
        <v>116.38</v>
      </c>
      <c r="H276" s="23" t="n">
        <v>15.14</v>
      </c>
      <c r="I276" s="21" t="s">
        <v>45</v>
      </c>
      <c r="J276" s="21" t="n">
        <v>4</v>
      </c>
      <c r="K276" s="21" t="s">
        <v>46</v>
      </c>
      <c r="L276" s="24" t="n">
        <f aca="false">DATE(YEAR(C276),MONTH(C276),1)</f>
        <v>42917</v>
      </c>
      <c r="M276" s="21" t="n">
        <f aca="false">D276-C276</f>
        <v>6</v>
      </c>
      <c r="N276" s="21" t="n">
        <f aca="false">MAX(0,D276-E276)</f>
        <v>0</v>
      </c>
      <c r="O276" s="21" t="n">
        <f aca="false">IF(D276&lt;=E276,1,0)</f>
        <v>1</v>
      </c>
      <c r="P276" s="23" t="n">
        <f aca="false">G276+H276</f>
        <v>131.52</v>
      </c>
      <c r="Q276" s="23" t="n">
        <f aca="false">G276*INDEX(Assumptions!$B$8:$B$16,MATCH(F276,Assumptions!$A$8:$A$16,0))</f>
        <v>86.1212</v>
      </c>
      <c r="R276" s="23" t="n">
        <f aca="false">H276*Assumptions!$B$3</f>
        <v>9.084</v>
      </c>
      <c r="S276" s="23" t="n">
        <f aca="false">G276-Q276-R276</f>
        <v>21.1748</v>
      </c>
      <c r="T276" s="21" t="str">
        <f aca="false">IF(M276&lt;=7,"0-7 days",IF(M276&lt;=14,"8-14 days",IF(M276&lt;=21,"15-21 days","22+ days")))</f>
        <v>0-7 days</v>
      </c>
    </row>
    <row r="277" customFormat="false" ht="15" hidden="false" customHeight="false" outlineLevel="0" collapsed="false">
      <c r="A277" s="21" t="s">
        <v>343</v>
      </c>
      <c r="B277" s="21" t="s">
        <v>48</v>
      </c>
      <c r="C277" s="22" t="n">
        <v>42931</v>
      </c>
      <c r="D277" s="22" t="n">
        <v>42943</v>
      </c>
      <c r="E277" s="22" t="n">
        <v>42951</v>
      </c>
      <c r="F277" s="21" t="s">
        <v>64</v>
      </c>
      <c r="G277" s="23" t="n">
        <v>213.33</v>
      </c>
      <c r="H277" s="23" t="n">
        <v>28.24</v>
      </c>
      <c r="I277" s="21" t="s">
        <v>45</v>
      </c>
      <c r="J277" s="21" t="n">
        <v>5</v>
      </c>
      <c r="K277" s="21" t="s">
        <v>46</v>
      </c>
      <c r="L277" s="24" t="n">
        <f aca="false">DATE(YEAR(C277),MONTH(C277),1)</f>
        <v>42917</v>
      </c>
      <c r="M277" s="21" t="n">
        <f aca="false">D277-C277</f>
        <v>12</v>
      </c>
      <c r="N277" s="21" t="n">
        <f aca="false">MAX(0,D277-E277)</f>
        <v>0</v>
      </c>
      <c r="O277" s="21" t="n">
        <f aca="false">IF(D277&lt;=E277,1,0)</f>
        <v>1</v>
      </c>
      <c r="P277" s="23" t="n">
        <f aca="false">G277+H277</f>
        <v>241.57</v>
      </c>
      <c r="Q277" s="23" t="n">
        <f aca="false">G277*INDEX(Assumptions!$B$8:$B$16,MATCH(F277,Assumptions!$A$8:$A$16,0))</f>
        <v>140.7978</v>
      </c>
      <c r="R277" s="23" t="n">
        <f aca="false">H277*Assumptions!$B$3</f>
        <v>16.944</v>
      </c>
      <c r="S277" s="23" t="n">
        <f aca="false">G277-Q277-R277</f>
        <v>55.5882</v>
      </c>
      <c r="T277" s="21" t="str">
        <f aca="false">IF(M277&lt;=7,"0-7 days",IF(M277&lt;=14,"8-14 days",IF(M277&lt;=21,"15-21 days","22+ days")))</f>
        <v>8-14 days</v>
      </c>
    </row>
    <row r="278" customFormat="false" ht="15" hidden="false" customHeight="false" outlineLevel="0" collapsed="false">
      <c r="A278" s="21" t="s">
        <v>344</v>
      </c>
      <c r="B278" s="21" t="s">
        <v>19</v>
      </c>
      <c r="C278" s="22" t="n">
        <v>42932</v>
      </c>
      <c r="D278" s="22" t="n">
        <v>42938</v>
      </c>
      <c r="E278" s="22" t="n">
        <v>42948</v>
      </c>
      <c r="F278" s="21" t="s">
        <v>59</v>
      </c>
      <c r="G278" s="23" t="n">
        <v>109.06</v>
      </c>
      <c r="H278" s="23" t="n">
        <v>13.52</v>
      </c>
      <c r="I278" s="21" t="s">
        <v>45</v>
      </c>
      <c r="J278" s="21" t="n">
        <v>4</v>
      </c>
      <c r="K278" s="21" t="s">
        <v>46</v>
      </c>
      <c r="L278" s="24" t="n">
        <f aca="false">DATE(YEAR(C278),MONTH(C278),1)</f>
        <v>42917</v>
      </c>
      <c r="M278" s="21" t="n">
        <f aca="false">D278-C278</f>
        <v>6</v>
      </c>
      <c r="N278" s="21" t="n">
        <f aca="false">MAX(0,D278-E278)</f>
        <v>0</v>
      </c>
      <c r="O278" s="21" t="n">
        <f aca="false">IF(D278&lt;=E278,1,0)</f>
        <v>1</v>
      </c>
      <c r="P278" s="23" t="n">
        <f aca="false">G278+H278</f>
        <v>122.58</v>
      </c>
      <c r="Q278" s="23" t="n">
        <f aca="false">G278*INDEX(Assumptions!$B$8:$B$16,MATCH(F278,Assumptions!$A$8:$A$16,0))</f>
        <v>69.7984</v>
      </c>
      <c r="R278" s="23" t="n">
        <f aca="false">H278*Assumptions!$B$3</f>
        <v>8.112</v>
      </c>
      <c r="S278" s="23" t="n">
        <f aca="false">G278-Q278-R278</f>
        <v>31.1496</v>
      </c>
      <c r="T278" s="21" t="str">
        <f aca="false">IF(M278&lt;=7,"0-7 days",IF(M278&lt;=14,"8-14 days",IF(M278&lt;=21,"15-21 days","22+ days")))</f>
        <v>0-7 days</v>
      </c>
    </row>
    <row r="279" customFormat="false" ht="15" hidden="false" customHeight="false" outlineLevel="0" collapsed="false">
      <c r="A279" s="21" t="s">
        <v>345</v>
      </c>
      <c r="B279" s="21" t="s">
        <v>62</v>
      </c>
      <c r="C279" s="22" t="n">
        <v>42932</v>
      </c>
      <c r="D279" s="22" t="n">
        <v>42949</v>
      </c>
      <c r="E279" s="22" t="n">
        <v>42953</v>
      </c>
      <c r="F279" s="21" t="s">
        <v>79</v>
      </c>
      <c r="G279" s="23" t="n">
        <v>79.75</v>
      </c>
      <c r="H279" s="23" t="n">
        <v>20.17</v>
      </c>
      <c r="I279" s="21" t="s">
        <v>45</v>
      </c>
      <c r="J279" s="21" t="n">
        <v>4</v>
      </c>
      <c r="K279" s="21" t="s">
        <v>46</v>
      </c>
      <c r="L279" s="24" t="n">
        <f aca="false">DATE(YEAR(C279),MONTH(C279),1)</f>
        <v>42917</v>
      </c>
      <c r="M279" s="21" t="n">
        <f aca="false">D279-C279</f>
        <v>17</v>
      </c>
      <c r="N279" s="21" t="n">
        <f aca="false">MAX(0,D279-E279)</f>
        <v>0</v>
      </c>
      <c r="O279" s="21" t="n">
        <f aca="false">IF(D279&lt;=E279,1,0)</f>
        <v>1</v>
      </c>
      <c r="P279" s="23" t="n">
        <f aca="false">G279+H279</f>
        <v>99.92</v>
      </c>
      <c r="Q279" s="23" t="n">
        <f aca="false">G279*INDEX(Assumptions!$B$8:$B$16,MATCH(F279,Assumptions!$A$8:$A$16,0))</f>
        <v>55.825</v>
      </c>
      <c r="R279" s="23" t="n">
        <f aca="false">H279*Assumptions!$B$3</f>
        <v>12.102</v>
      </c>
      <c r="S279" s="23" t="n">
        <f aca="false">G279-Q279-R279</f>
        <v>11.823</v>
      </c>
      <c r="T279" s="21" t="str">
        <f aca="false">IF(M279&lt;=7,"0-7 days",IF(M279&lt;=14,"8-14 days",IF(M279&lt;=21,"15-21 days","22+ days")))</f>
        <v>15-21 days</v>
      </c>
    </row>
    <row r="280" customFormat="false" ht="15" hidden="false" customHeight="false" outlineLevel="0" collapsed="false">
      <c r="A280" s="21" t="s">
        <v>346</v>
      </c>
      <c r="B280" s="21" t="s">
        <v>19</v>
      </c>
      <c r="C280" s="22" t="n">
        <v>42933</v>
      </c>
      <c r="D280" s="22" t="n">
        <v>42946</v>
      </c>
      <c r="E280" s="22" t="n">
        <v>42948</v>
      </c>
      <c r="F280" s="21" t="s">
        <v>49</v>
      </c>
      <c r="G280" s="23" t="n">
        <v>19.98</v>
      </c>
      <c r="H280" s="23" t="n">
        <v>12.82</v>
      </c>
      <c r="I280" s="21" t="s">
        <v>45</v>
      </c>
      <c r="J280" s="21" t="n">
        <v>5</v>
      </c>
      <c r="K280" s="21" t="s">
        <v>46</v>
      </c>
      <c r="L280" s="24" t="n">
        <f aca="false">DATE(YEAR(C280),MONTH(C280),1)</f>
        <v>42917</v>
      </c>
      <c r="M280" s="21" t="n">
        <f aca="false">D280-C280</f>
        <v>13</v>
      </c>
      <c r="N280" s="21" t="n">
        <f aca="false">MAX(0,D280-E280)</f>
        <v>0</v>
      </c>
      <c r="O280" s="21" t="n">
        <f aca="false">IF(D280&lt;=E280,1,0)</f>
        <v>1</v>
      </c>
      <c r="P280" s="23" t="n">
        <f aca="false">G280+H280</f>
        <v>32.8</v>
      </c>
      <c r="Q280" s="23" t="n">
        <f aca="false">G280*INDEX(Assumptions!$B$8:$B$16,MATCH(F280,Assumptions!$A$8:$A$16,0))</f>
        <v>11.5884</v>
      </c>
      <c r="R280" s="23" t="n">
        <f aca="false">H280*Assumptions!$B$3</f>
        <v>7.692</v>
      </c>
      <c r="S280" s="23" t="n">
        <f aca="false">G280-Q280-R280</f>
        <v>0.6996</v>
      </c>
      <c r="T280" s="21" t="str">
        <f aca="false">IF(M280&lt;=7,"0-7 days",IF(M280&lt;=14,"8-14 days",IF(M280&lt;=21,"15-21 days","22+ days")))</f>
        <v>8-14 days</v>
      </c>
    </row>
    <row r="281" customFormat="false" ht="15" hidden="false" customHeight="false" outlineLevel="0" collapsed="false">
      <c r="A281" s="21" t="s">
        <v>347</v>
      </c>
      <c r="B281" s="21" t="s">
        <v>48</v>
      </c>
      <c r="C281" s="22" t="n">
        <v>42933</v>
      </c>
      <c r="D281" s="22" t="n">
        <v>42966</v>
      </c>
      <c r="E281" s="22" t="n">
        <v>42955</v>
      </c>
      <c r="F281" s="21" t="s">
        <v>79</v>
      </c>
      <c r="G281" s="23" t="n">
        <v>149.52</v>
      </c>
      <c r="H281" s="23" t="n">
        <v>25.52</v>
      </c>
      <c r="I281" s="21" t="s">
        <v>60</v>
      </c>
      <c r="J281" s="21" t="n">
        <v>2</v>
      </c>
      <c r="K281" s="21" t="s">
        <v>46</v>
      </c>
      <c r="L281" s="24" t="n">
        <f aca="false">DATE(YEAR(C281),MONTH(C281),1)</f>
        <v>42917</v>
      </c>
      <c r="M281" s="21" t="n">
        <f aca="false">D281-C281</f>
        <v>33</v>
      </c>
      <c r="N281" s="21" t="n">
        <f aca="false">MAX(0,D281-E281)</f>
        <v>11</v>
      </c>
      <c r="O281" s="21" t="n">
        <f aca="false">IF(D281&lt;=E281,1,0)</f>
        <v>0</v>
      </c>
      <c r="P281" s="23" t="n">
        <f aca="false">G281+H281</f>
        <v>175.04</v>
      </c>
      <c r="Q281" s="23" t="n">
        <f aca="false">G281*INDEX(Assumptions!$B$8:$B$16,MATCH(F281,Assumptions!$A$8:$A$16,0))</f>
        <v>104.664</v>
      </c>
      <c r="R281" s="23" t="n">
        <f aca="false">H281*Assumptions!$B$3</f>
        <v>15.312</v>
      </c>
      <c r="S281" s="23" t="n">
        <f aca="false">G281-Q281-R281</f>
        <v>29.544</v>
      </c>
      <c r="T281" s="21" t="str">
        <f aca="false">IF(M281&lt;=7,"0-7 days",IF(M281&lt;=14,"8-14 days",IF(M281&lt;=21,"15-21 days","22+ days")))</f>
        <v>22+ days</v>
      </c>
    </row>
    <row r="282" customFormat="false" ht="15" hidden="false" customHeight="false" outlineLevel="0" collapsed="false">
      <c r="A282" s="21" t="s">
        <v>348</v>
      </c>
      <c r="B282" s="21" t="s">
        <v>19</v>
      </c>
      <c r="C282" s="22" t="n">
        <v>42933</v>
      </c>
      <c r="D282" s="22" t="n">
        <v>42940</v>
      </c>
      <c r="E282" s="22" t="n">
        <v>42948</v>
      </c>
      <c r="F282" s="21" t="s">
        <v>64</v>
      </c>
      <c r="G282" s="23" t="n">
        <v>152.51</v>
      </c>
      <c r="H282" s="23" t="n">
        <v>18.27</v>
      </c>
      <c r="I282" s="21" t="s">
        <v>45</v>
      </c>
      <c r="J282" s="21" t="n">
        <v>3</v>
      </c>
      <c r="K282" s="21" t="s">
        <v>46</v>
      </c>
      <c r="L282" s="24" t="n">
        <f aca="false">DATE(YEAR(C282),MONTH(C282),1)</f>
        <v>42917</v>
      </c>
      <c r="M282" s="21" t="n">
        <f aca="false">D282-C282</f>
        <v>7</v>
      </c>
      <c r="N282" s="21" t="n">
        <f aca="false">MAX(0,D282-E282)</f>
        <v>0</v>
      </c>
      <c r="O282" s="21" t="n">
        <f aca="false">IF(D282&lt;=E282,1,0)</f>
        <v>1</v>
      </c>
      <c r="P282" s="23" t="n">
        <f aca="false">G282+H282</f>
        <v>170.78</v>
      </c>
      <c r="Q282" s="23" t="n">
        <f aca="false">G282*INDEX(Assumptions!$B$8:$B$16,MATCH(F282,Assumptions!$A$8:$A$16,0))</f>
        <v>100.6566</v>
      </c>
      <c r="R282" s="23" t="n">
        <f aca="false">H282*Assumptions!$B$3</f>
        <v>10.962</v>
      </c>
      <c r="S282" s="23" t="n">
        <f aca="false">G282-Q282-R282</f>
        <v>40.8914</v>
      </c>
      <c r="T282" s="21" t="str">
        <f aca="false">IF(M282&lt;=7,"0-7 days",IF(M282&lt;=14,"8-14 days",IF(M282&lt;=21,"15-21 days","22+ days")))</f>
        <v>0-7 days</v>
      </c>
    </row>
    <row r="283" customFormat="false" ht="15" hidden="false" customHeight="false" outlineLevel="0" collapsed="false">
      <c r="A283" s="21" t="s">
        <v>349</v>
      </c>
      <c r="B283" s="21" t="s">
        <v>19</v>
      </c>
      <c r="C283" s="22" t="n">
        <v>42933</v>
      </c>
      <c r="D283" s="22" t="n">
        <v>42940</v>
      </c>
      <c r="E283" s="22" t="n">
        <v>42950</v>
      </c>
      <c r="F283" s="21" t="s">
        <v>59</v>
      </c>
      <c r="G283" s="23" t="n">
        <v>142.07</v>
      </c>
      <c r="H283" s="23" t="n">
        <v>23.33</v>
      </c>
      <c r="I283" s="21" t="s">
        <v>45</v>
      </c>
      <c r="J283" s="21" t="n">
        <v>4</v>
      </c>
      <c r="K283" s="21" t="s">
        <v>46</v>
      </c>
      <c r="L283" s="24" t="n">
        <f aca="false">DATE(YEAR(C283),MONTH(C283),1)</f>
        <v>42917</v>
      </c>
      <c r="M283" s="21" t="n">
        <f aca="false">D283-C283</f>
        <v>7</v>
      </c>
      <c r="N283" s="21" t="n">
        <f aca="false">MAX(0,D283-E283)</f>
        <v>0</v>
      </c>
      <c r="O283" s="21" t="n">
        <f aca="false">IF(D283&lt;=E283,1,0)</f>
        <v>1</v>
      </c>
      <c r="P283" s="23" t="n">
        <f aca="false">G283+H283</f>
        <v>165.4</v>
      </c>
      <c r="Q283" s="23" t="n">
        <f aca="false">G283*INDEX(Assumptions!$B$8:$B$16,MATCH(F283,Assumptions!$A$8:$A$16,0))</f>
        <v>90.9248</v>
      </c>
      <c r="R283" s="23" t="n">
        <f aca="false">H283*Assumptions!$B$3</f>
        <v>13.998</v>
      </c>
      <c r="S283" s="23" t="n">
        <f aca="false">G283-Q283-R283</f>
        <v>37.1472</v>
      </c>
      <c r="T283" s="21" t="str">
        <f aca="false">IF(M283&lt;=7,"0-7 days",IF(M283&lt;=14,"8-14 days",IF(M283&lt;=21,"15-21 days","22+ days")))</f>
        <v>0-7 days</v>
      </c>
    </row>
    <row r="284" customFormat="false" ht="15" hidden="false" customHeight="false" outlineLevel="0" collapsed="false">
      <c r="A284" s="21" t="s">
        <v>350</v>
      </c>
      <c r="B284" s="21" t="s">
        <v>55</v>
      </c>
      <c r="C284" s="22" t="n">
        <v>42933</v>
      </c>
      <c r="D284" s="22" t="n">
        <v>42940</v>
      </c>
      <c r="E284" s="22" t="n">
        <v>42952</v>
      </c>
      <c r="F284" s="21" t="s">
        <v>44</v>
      </c>
      <c r="G284" s="23" t="n">
        <v>90.61</v>
      </c>
      <c r="H284" s="23" t="n">
        <v>25.98</v>
      </c>
      <c r="I284" s="21" t="s">
        <v>45</v>
      </c>
      <c r="J284" s="21" t="n">
        <v>4</v>
      </c>
      <c r="K284" s="21" t="s">
        <v>46</v>
      </c>
      <c r="L284" s="24" t="n">
        <f aca="false">DATE(YEAR(C284),MONTH(C284),1)</f>
        <v>42917</v>
      </c>
      <c r="M284" s="21" t="n">
        <f aca="false">D284-C284</f>
        <v>7</v>
      </c>
      <c r="N284" s="21" t="n">
        <f aca="false">MAX(0,D284-E284)</f>
        <v>0</v>
      </c>
      <c r="O284" s="21" t="n">
        <f aca="false">IF(D284&lt;=E284,1,0)</f>
        <v>1</v>
      </c>
      <c r="P284" s="23" t="n">
        <f aca="false">G284+H284</f>
        <v>116.59</v>
      </c>
      <c r="Q284" s="23" t="n">
        <f aca="false">G284*INDEX(Assumptions!$B$8:$B$16,MATCH(F284,Assumptions!$A$8:$A$16,0))</f>
        <v>54.366</v>
      </c>
      <c r="R284" s="23" t="n">
        <f aca="false">H284*Assumptions!$B$3</f>
        <v>15.588</v>
      </c>
      <c r="S284" s="23" t="n">
        <f aca="false">G284-Q284-R284</f>
        <v>20.656</v>
      </c>
      <c r="T284" s="21" t="str">
        <f aca="false">IF(M284&lt;=7,"0-7 days",IF(M284&lt;=14,"8-14 days",IF(M284&lt;=21,"15-21 days","22+ days")))</f>
        <v>0-7 days</v>
      </c>
    </row>
    <row r="285" customFormat="false" ht="15" hidden="false" customHeight="false" outlineLevel="0" collapsed="false">
      <c r="A285" s="21" t="s">
        <v>351</v>
      </c>
      <c r="B285" s="21" t="s">
        <v>19</v>
      </c>
      <c r="C285" s="22" t="n">
        <v>42934</v>
      </c>
      <c r="D285" s="22" t="n">
        <v>42943</v>
      </c>
      <c r="E285" s="22" t="n">
        <v>42951</v>
      </c>
      <c r="F285" s="21" t="s">
        <v>67</v>
      </c>
      <c r="G285" s="23" t="n">
        <v>43.8</v>
      </c>
      <c r="H285" s="23" t="n">
        <v>21.78</v>
      </c>
      <c r="I285" s="21" t="s">
        <v>60</v>
      </c>
      <c r="J285" s="21" t="n">
        <v>5</v>
      </c>
      <c r="K285" s="21" t="s">
        <v>46</v>
      </c>
      <c r="L285" s="24" t="n">
        <f aca="false">DATE(YEAR(C285),MONTH(C285),1)</f>
        <v>42917</v>
      </c>
      <c r="M285" s="21" t="n">
        <f aca="false">D285-C285</f>
        <v>9</v>
      </c>
      <c r="N285" s="21" t="n">
        <f aca="false">MAX(0,D285-E285)</f>
        <v>0</v>
      </c>
      <c r="O285" s="21" t="n">
        <f aca="false">IF(D285&lt;=E285,1,0)</f>
        <v>1</v>
      </c>
      <c r="P285" s="23" t="n">
        <f aca="false">G285+H285</f>
        <v>65.58</v>
      </c>
      <c r="Q285" s="23" t="n">
        <f aca="false">G285*INDEX(Assumptions!$B$8:$B$16,MATCH(F285,Assumptions!$A$8:$A$16,0))</f>
        <v>27.156</v>
      </c>
      <c r="R285" s="23" t="n">
        <f aca="false">H285*Assumptions!$B$3</f>
        <v>13.068</v>
      </c>
      <c r="S285" s="23" t="n">
        <f aca="false">G285-Q285-R285</f>
        <v>3.576</v>
      </c>
      <c r="T285" s="21" t="str">
        <f aca="false">IF(M285&lt;=7,"0-7 days",IF(M285&lt;=14,"8-14 days",IF(M285&lt;=21,"15-21 days","22+ days")))</f>
        <v>8-14 days</v>
      </c>
    </row>
    <row r="286" customFormat="false" ht="15" hidden="false" customHeight="false" outlineLevel="0" collapsed="false">
      <c r="A286" s="21" t="s">
        <v>352</v>
      </c>
      <c r="B286" s="21" t="s">
        <v>52</v>
      </c>
      <c r="C286" s="22" t="n">
        <v>42934</v>
      </c>
      <c r="D286" s="22" t="n">
        <v>42946</v>
      </c>
      <c r="E286" s="22" t="n">
        <v>42960</v>
      </c>
      <c r="F286" s="21" t="s">
        <v>111</v>
      </c>
      <c r="G286" s="23" t="n">
        <v>59.93</v>
      </c>
      <c r="H286" s="23" t="n">
        <v>22.69</v>
      </c>
      <c r="I286" s="21" t="s">
        <v>45</v>
      </c>
      <c r="J286" s="21" t="n">
        <v>3</v>
      </c>
      <c r="K286" s="21" t="s">
        <v>46</v>
      </c>
      <c r="L286" s="24" t="n">
        <f aca="false">DATE(YEAR(C286),MONTH(C286),1)</f>
        <v>42917</v>
      </c>
      <c r="M286" s="21" t="n">
        <f aca="false">D286-C286</f>
        <v>12</v>
      </c>
      <c r="N286" s="21" t="n">
        <f aca="false">MAX(0,D286-E286)</f>
        <v>0</v>
      </c>
      <c r="O286" s="21" t="n">
        <f aca="false">IF(D286&lt;=E286,1,0)</f>
        <v>1</v>
      </c>
      <c r="P286" s="23" t="n">
        <f aca="false">G286+H286</f>
        <v>82.62</v>
      </c>
      <c r="Q286" s="23" t="n">
        <f aca="false">G286*INDEX(Assumptions!$B$8:$B$16,MATCH(F286,Assumptions!$A$8:$A$16,0))</f>
        <v>37.7559</v>
      </c>
      <c r="R286" s="23" t="n">
        <f aca="false">H286*Assumptions!$B$3</f>
        <v>13.614</v>
      </c>
      <c r="S286" s="23" t="n">
        <f aca="false">G286-Q286-R286</f>
        <v>8.5601</v>
      </c>
      <c r="T286" s="21" t="str">
        <f aca="false">IF(M286&lt;=7,"0-7 days",IF(M286&lt;=14,"8-14 days",IF(M286&lt;=21,"15-21 days","22+ days")))</f>
        <v>8-14 days</v>
      </c>
    </row>
    <row r="287" customFormat="false" ht="15" hidden="false" customHeight="false" outlineLevel="0" collapsed="false">
      <c r="A287" s="21" t="s">
        <v>353</v>
      </c>
      <c r="B287" s="21" t="s">
        <v>19</v>
      </c>
      <c r="C287" s="22" t="n">
        <v>42934</v>
      </c>
      <c r="D287" s="22" t="n">
        <v>42948</v>
      </c>
      <c r="E287" s="22" t="n">
        <v>42949</v>
      </c>
      <c r="F287" s="21" t="s">
        <v>49</v>
      </c>
      <c r="G287" s="23" t="n">
        <v>196.12</v>
      </c>
      <c r="H287" s="23" t="n">
        <v>22.34</v>
      </c>
      <c r="I287" s="21" t="s">
        <v>45</v>
      </c>
      <c r="J287" s="21" t="n">
        <v>5</v>
      </c>
      <c r="K287" s="21" t="s">
        <v>46</v>
      </c>
      <c r="L287" s="24" t="n">
        <f aca="false">DATE(YEAR(C287),MONTH(C287),1)</f>
        <v>42917</v>
      </c>
      <c r="M287" s="21" t="n">
        <f aca="false">D287-C287</f>
        <v>14</v>
      </c>
      <c r="N287" s="21" t="n">
        <f aca="false">MAX(0,D287-E287)</f>
        <v>0</v>
      </c>
      <c r="O287" s="21" t="n">
        <f aca="false">IF(D287&lt;=E287,1,0)</f>
        <v>1</v>
      </c>
      <c r="P287" s="23" t="n">
        <f aca="false">G287+H287</f>
        <v>218.46</v>
      </c>
      <c r="Q287" s="23" t="n">
        <f aca="false">G287*INDEX(Assumptions!$B$8:$B$16,MATCH(F287,Assumptions!$A$8:$A$16,0))</f>
        <v>113.7496</v>
      </c>
      <c r="R287" s="23" t="n">
        <f aca="false">H287*Assumptions!$B$3</f>
        <v>13.404</v>
      </c>
      <c r="S287" s="23" t="n">
        <f aca="false">G287-Q287-R287</f>
        <v>68.9664</v>
      </c>
      <c r="T287" s="21" t="str">
        <f aca="false">IF(M287&lt;=7,"0-7 days",IF(M287&lt;=14,"8-14 days",IF(M287&lt;=21,"15-21 days","22+ days")))</f>
        <v>8-14 days</v>
      </c>
    </row>
    <row r="288" customFormat="false" ht="15" hidden="false" customHeight="false" outlineLevel="0" collapsed="false">
      <c r="A288" s="21" t="s">
        <v>354</v>
      </c>
      <c r="B288" s="21" t="s">
        <v>19</v>
      </c>
      <c r="C288" s="22" t="n">
        <v>42935</v>
      </c>
      <c r="D288" s="22" t="n">
        <v>42944</v>
      </c>
      <c r="E288" s="22" t="n">
        <v>42951</v>
      </c>
      <c r="F288" s="21" t="s">
        <v>111</v>
      </c>
      <c r="G288" s="23" t="n">
        <v>144.62</v>
      </c>
      <c r="H288" s="23" t="n">
        <v>16.3</v>
      </c>
      <c r="I288" s="21" t="s">
        <v>45</v>
      </c>
      <c r="J288" s="21" t="n">
        <v>4</v>
      </c>
      <c r="K288" s="21" t="s">
        <v>46</v>
      </c>
      <c r="L288" s="24" t="n">
        <f aca="false">DATE(YEAR(C288),MONTH(C288),1)</f>
        <v>42917</v>
      </c>
      <c r="M288" s="21" t="n">
        <f aca="false">D288-C288</f>
        <v>9</v>
      </c>
      <c r="N288" s="21" t="n">
        <f aca="false">MAX(0,D288-E288)</f>
        <v>0</v>
      </c>
      <c r="O288" s="21" t="n">
        <f aca="false">IF(D288&lt;=E288,1,0)</f>
        <v>1</v>
      </c>
      <c r="P288" s="23" t="n">
        <f aca="false">G288+H288</f>
        <v>160.92</v>
      </c>
      <c r="Q288" s="23" t="n">
        <f aca="false">G288*INDEX(Assumptions!$B$8:$B$16,MATCH(F288,Assumptions!$A$8:$A$16,0))</f>
        <v>91.1106</v>
      </c>
      <c r="R288" s="23" t="n">
        <f aca="false">H288*Assumptions!$B$3</f>
        <v>9.78</v>
      </c>
      <c r="S288" s="23" t="n">
        <f aca="false">G288-Q288-R288</f>
        <v>43.7294</v>
      </c>
      <c r="T288" s="21" t="str">
        <f aca="false">IF(M288&lt;=7,"0-7 days",IF(M288&lt;=14,"8-14 days",IF(M288&lt;=21,"15-21 days","22+ days")))</f>
        <v>8-14 days</v>
      </c>
    </row>
    <row r="289" customFormat="false" ht="15" hidden="false" customHeight="false" outlineLevel="0" collapsed="false">
      <c r="A289" s="21" t="s">
        <v>355</v>
      </c>
      <c r="B289" s="21" t="s">
        <v>52</v>
      </c>
      <c r="C289" s="22" t="n">
        <v>42935</v>
      </c>
      <c r="D289" s="22" t="n">
        <v>42949</v>
      </c>
      <c r="E289" s="22" t="n">
        <v>42957</v>
      </c>
      <c r="F289" s="21" t="s">
        <v>111</v>
      </c>
      <c r="G289" s="23" t="n">
        <v>108.75</v>
      </c>
      <c r="H289" s="23" t="n">
        <v>19.06</v>
      </c>
      <c r="I289" s="21" t="s">
        <v>45</v>
      </c>
      <c r="J289" s="21" t="n">
        <v>3</v>
      </c>
      <c r="K289" s="21" t="s">
        <v>46</v>
      </c>
      <c r="L289" s="24" t="n">
        <f aca="false">DATE(YEAR(C289),MONTH(C289),1)</f>
        <v>42917</v>
      </c>
      <c r="M289" s="21" t="n">
        <f aca="false">D289-C289</f>
        <v>14</v>
      </c>
      <c r="N289" s="21" t="n">
        <f aca="false">MAX(0,D289-E289)</f>
        <v>0</v>
      </c>
      <c r="O289" s="21" t="n">
        <f aca="false">IF(D289&lt;=E289,1,0)</f>
        <v>1</v>
      </c>
      <c r="P289" s="23" t="n">
        <f aca="false">G289+H289</f>
        <v>127.81</v>
      </c>
      <c r="Q289" s="23" t="n">
        <f aca="false">G289*INDEX(Assumptions!$B$8:$B$16,MATCH(F289,Assumptions!$A$8:$A$16,0))</f>
        <v>68.5125</v>
      </c>
      <c r="R289" s="23" t="n">
        <f aca="false">H289*Assumptions!$B$3</f>
        <v>11.436</v>
      </c>
      <c r="S289" s="23" t="n">
        <f aca="false">G289-Q289-R289</f>
        <v>28.8015</v>
      </c>
      <c r="T289" s="21" t="str">
        <f aca="false">IF(M289&lt;=7,"0-7 days",IF(M289&lt;=14,"8-14 days",IF(M289&lt;=21,"15-21 days","22+ days")))</f>
        <v>8-14 days</v>
      </c>
    </row>
    <row r="290" customFormat="false" ht="15" hidden="false" customHeight="false" outlineLevel="0" collapsed="false">
      <c r="A290" s="21" t="s">
        <v>356</v>
      </c>
      <c r="B290" s="21" t="s">
        <v>55</v>
      </c>
      <c r="C290" s="22" t="n">
        <v>42936</v>
      </c>
      <c r="D290" s="22" t="n">
        <v>42955</v>
      </c>
      <c r="E290" s="22" t="n">
        <v>42958</v>
      </c>
      <c r="F290" s="21" t="s">
        <v>67</v>
      </c>
      <c r="G290" s="23" t="n">
        <v>40.88</v>
      </c>
      <c r="H290" s="23" t="n">
        <v>18.19</v>
      </c>
      <c r="I290" s="21" t="s">
        <v>45</v>
      </c>
      <c r="J290" s="21" t="n">
        <v>4</v>
      </c>
      <c r="K290" s="21" t="s">
        <v>46</v>
      </c>
      <c r="L290" s="24" t="n">
        <f aca="false">DATE(YEAR(C290),MONTH(C290),1)</f>
        <v>42917</v>
      </c>
      <c r="M290" s="21" t="n">
        <f aca="false">D290-C290</f>
        <v>19</v>
      </c>
      <c r="N290" s="21" t="n">
        <f aca="false">MAX(0,D290-E290)</f>
        <v>0</v>
      </c>
      <c r="O290" s="21" t="n">
        <f aca="false">IF(D290&lt;=E290,1,0)</f>
        <v>1</v>
      </c>
      <c r="P290" s="23" t="n">
        <f aca="false">G290+H290</f>
        <v>59.07</v>
      </c>
      <c r="Q290" s="23" t="n">
        <f aca="false">G290*INDEX(Assumptions!$B$8:$B$16,MATCH(F290,Assumptions!$A$8:$A$16,0))</f>
        <v>25.3456</v>
      </c>
      <c r="R290" s="23" t="n">
        <f aca="false">H290*Assumptions!$B$3</f>
        <v>10.914</v>
      </c>
      <c r="S290" s="23" t="n">
        <f aca="false">G290-Q290-R290</f>
        <v>4.6204</v>
      </c>
      <c r="T290" s="21" t="str">
        <f aca="false">IF(M290&lt;=7,"0-7 days",IF(M290&lt;=14,"8-14 days",IF(M290&lt;=21,"15-21 days","22+ days")))</f>
        <v>15-21 days</v>
      </c>
    </row>
    <row r="291" customFormat="false" ht="15" hidden="false" customHeight="false" outlineLevel="0" collapsed="false">
      <c r="A291" s="21" t="s">
        <v>357</v>
      </c>
      <c r="B291" s="21" t="s">
        <v>19</v>
      </c>
      <c r="C291" s="22" t="n">
        <v>42936</v>
      </c>
      <c r="D291" s="22" t="n">
        <v>42944</v>
      </c>
      <c r="E291" s="22" t="n">
        <v>42950</v>
      </c>
      <c r="F291" s="21" t="s">
        <v>49</v>
      </c>
      <c r="G291" s="23" t="n">
        <v>82.91</v>
      </c>
      <c r="H291" s="23" t="n">
        <v>13.32</v>
      </c>
      <c r="I291" s="21" t="s">
        <v>45</v>
      </c>
      <c r="J291" s="21" t="n">
        <v>4</v>
      </c>
      <c r="K291" s="21" t="s">
        <v>46</v>
      </c>
      <c r="L291" s="24" t="n">
        <f aca="false">DATE(YEAR(C291),MONTH(C291),1)</f>
        <v>42917</v>
      </c>
      <c r="M291" s="21" t="n">
        <f aca="false">D291-C291</f>
        <v>8</v>
      </c>
      <c r="N291" s="21" t="n">
        <f aca="false">MAX(0,D291-E291)</f>
        <v>0</v>
      </c>
      <c r="O291" s="21" t="n">
        <f aca="false">IF(D291&lt;=E291,1,0)</f>
        <v>1</v>
      </c>
      <c r="P291" s="23" t="n">
        <f aca="false">G291+H291</f>
        <v>96.23</v>
      </c>
      <c r="Q291" s="23" t="n">
        <f aca="false">G291*INDEX(Assumptions!$B$8:$B$16,MATCH(F291,Assumptions!$A$8:$A$16,0))</f>
        <v>48.0878</v>
      </c>
      <c r="R291" s="23" t="n">
        <f aca="false">H291*Assumptions!$B$3</f>
        <v>7.992</v>
      </c>
      <c r="S291" s="23" t="n">
        <f aca="false">G291-Q291-R291</f>
        <v>26.8302</v>
      </c>
      <c r="T291" s="21" t="str">
        <f aca="false">IF(M291&lt;=7,"0-7 days",IF(M291&lt;=14,"8-14 days",IF(M291&lt;=21,"15-21 days","22+ days")))</f>
        <v>8-14 days</v>
      </c>
    </row>
    <row r="292" customFormat="false" ht="15" hidden="false" customHeight="false" outlineLevel="0" collapsed="false">
      <c r="A292" s="21" t="s">
        <v>358</v>
      </c>
      <c r="B292" s="21" t="s">
        <v>55</v>
      </c>
      <c r="C292" s="22" t="n">
        <v>42936</v>
      </c>
      <c r="D292" s="22" t="n">
        <v>42951</v>
      </c>
      <c r="E292" s="22" t="n">
        <v>42963</v>
      </c>
      <c r="F292" s="21" t="s">
        <v>79</v>
      </c>
      <c r="G292" s="23" t="n">
        <v>50.34</v>
      </c>
      <c r="H292" s="23" t="n">
        <v>25.96</v>
      </c>
      <c r="I292" s="21" t="s">
        <v>45</v>
      </c>
      <c r="J292" s="21" t="n">
        <v>4</v>
      </c>
      <c r="K292" s="21" t="s">
        <v>46</v>
      </c>
      <c r="L292" s="24" t="n">
        <f aca="false">DATE(YEAR(C292),MONTH(C292),1)</f>
        <v>42917</v>
      </c>
      <c r="M292" s="21" t="n">
        <f aca="false">D292-C292</f>
        <v>15</v>
      </c>
      <c r="N292" s="21" t="n">
        <f aca="false">MAX(0,D292-E292)</f>
        <v>0</v>
      </c>
      <c r="O292" s="21" t="n">
        <f aca="false">IF(D292&lt;=E292,1,0)</f>
        <v>1</v>
      </c>
      <c r="P292" s="23" t="n">
        <f aca="false">G292+H292</f>
        <v>76.3</v>
      </c>
      <c r="Q292" s="23" t="n">
        <f aca="false">G292*INDEX(Assumptions!$B$8:$B$16,MATCH(F292,Assumptions!$A$8:$A$16,0))</f>
        <v>35.238</v>
      </c>
      <c r="R292" s="23" t="n">
        <f aca="false">H292*Assumptions!$B$3</f>
        <v>15.576</v>
      </c>
      <c r="S292" s="23" t="n">
        <f aca="false">G292-Q292-R292</f>
        <v>-0.473999999999997</v>
      </c>
      <c r="T292" s="21" t="str">
        <f aca="false">IF(M292&lt;=7,"0-7 days",IF(M292&lt;=14,"8-14 days",IF(M292&lt;=21,"15-21 days","22+ days")))</f>
        <v>15-21 days</v>
      </c>
    </row>
    <row r="293" customFormat="false" ht="15" hidden="false" customHeight="false" outlineLevel="0" collapsed="false">
      <c r="A293" s="21" t="s">
        <v>359</v>
      </c>
      <c r="B293" s="21" t="s">
        <v>19</v>
      </c>
      <c r="C293" s="22" t="n">
        <v>42936</v>
      </c>
      <c r="D293" s="22" t="n">
        <v>42947</v>
      </c>
      <c r="E293" s="22" t="n">
        <v>42949</v>
      </c>
      <c r="F293" s="21" t="s">
        <v>59</v>
      </c>
      <c r="G293" s="23" t="n">
        <v>81.54</v>
      </c>
      <c r="H293" s="23" t="n">
        <v>16.88</v>
      </c>
      <c r="I293" s="21" t="s">
        <v>45</v>
      </c>
      <c r="J293" s="21" t="n">
        <v>5</v>
      </c>
      <c r="K293" s="21" t="s">
        <v>46</v>
      </c>
      <c r="L293" s="24" t="n">
        <f aca="false">DATE(YEAR(C293),MONTH(C293),1)</f>
        <v>42917</v>
      </c>
      <c r="M293" s="21" t="n">
        <f aca="false">D293-C293</f>
        <v>11</v>
      </c>
      <c r="N293" s="21" t="n">
        <f aca="false">MAX(0,D293-E293)</f>
        <v>0</v>
      </c>
      <c r="O293" s="21" t="n">
        <f aca="false">IF(D293&lt;=E293,1,0)</f>
        <v>1</v>
      </c>
      <c r="P293" s="23" t="n">
        <f aca="false">G293+H293</f>
        <v>98.42</v>
      </c>
      <c r="Q293" s="23" t="n">
        <f aca="false">G293*INDEX(Assumptions!$B$8:$B$16,MATCH(F293,Assumptions!$A$8:$A$16,0))</f>
        <v>52.1856</v>
      </c>
      <c r="R293" s="23" t="n">
        <f aca="false">H293*Assumptions!$B$3</f>
        <v>10.128</v>
      </c>
      <c r="S293" s="23" t="n">
        <f aca="false">G293-Q293-R293</f>
        <v>19.2264</v>
      </c>
      <c r="T293" s="21" t="str">
        <f aca="false">IF(M293&lt;=7,"0-7 days",IF(M293&lt;=14,"8-14 days",IF(M293&lt;=21,"15-21 days","22+ days")))</f>
        <v>8-14 days</v>
      </c>
    </row>
    <row r="294" customFormat="false" ht="15" hidden="false" customHeight="false" outlineLevel="0" collapsed="false">
      <c r="A294" s="21" t="s">
        <v>360</v>
      </c>
      <c r="B294" s="21" t="s">
        <v>19</v>
      </c>
      <c r="C294" s="22" t="n">
        <v>42937</v>
      </c>
      <c r="D294" s="22" t="n">
        <v>42943</v>
      </c>
      <c r="E294" s="22" t="n">
        <v>42954</v>
      </c>
      <c r="F294" s="21" t="s">
        <v>79</v>
      </c>
      <c r="G294" s="23" t="n">
        <v>61.83</v>
      </c>
      <c r="H294" s="23" t="n">
        <v>19.02</v>
      </c>
      <c r="I294" s="21" t="s">
        <v>60</v>
      </c>
      <c r="J294" s="21" t="n">
        <v>5</v>
      </c>
      <c r="K294" s="21" t="s">
        <v>46</v>
      </c>
      <c r="L294" s="24" t="n">
        <f aca="false">DATE(YEAR(C294),MONTH(C294),1)</f>
        <v>42917</v>
      </c>
      <c r="M294" s="21" t="n">
        <f aca="false">D294-C294</f>
        <v>6</v>
      </c>
      <c r="N294" s="21" t="n">
        <f aca="false">MAX(0,D294-E294)</f>
        <v>0</v>
      </c>
      <c r="O294" s="21" t="n">
        <f aca="false">IF(D294&lt;=E294,1,0)</f>
        <v>1</v>
      </c>
      <c r="P294" s="23" t="n">
        <f aca="false">G294+H294</f>
        <v>80.85</v>
      </c>
      <c r="Q294" s="23" t="n">
        <f aca="false">G294*INDEX(Assumptions!$B$8:$B$16,MATCH(F294,Assumptions!$A$8:$A$16,0))</f>
        <v>43.281</v>
      </c>
      <c r="R294" s="23" t="n">
        <f aca="false">H294*Assumptions!$B$3</f>
        <v>11.412</v>
      </c>
      <c r="S294" s="23" t="n">
        <f aca="false">G294-Q294-R294</f>
        <v>7.137</v>
      </c>
      <c r="T294" s="21" t="str">
        <f aca="false">IF(M294&lt;=7,"0-7 days",IF(M294&lt;=14,"8-14 days",IF(M294&lt;=21,"15-21 days","22+ days")))</f>
        <v>0-7 days</v>
      </c>
    </row>
    <row r="295" customFormat="false" ht="15" hidden="false" customHeight="false" outlineLevel="0" collapsed="false">
      <c r="A295" s="21" t="s">
        <v>361</v>
      </c>
      <c r="B295" s="21" t="s">
        <v>19</v>
      </c>
      <c r="C295" s="22" t="n">
        <v>42937</v>
      </c>
      <c r="D295" s="22" t="n">
        <v>42950</v>
      </c>
      <c r="E295" s="22" t="n">
        <v>42953</v>
      </c>
      <c r="F295" s="21" t="s">
        <v>79</v>
      </c>
      <c r="G295" s="23" t="n">
        <v>47.24</v>
      </c>
      <c r="H295" s="23" t="n">
        <v>13.24</v>
      </c>
      <c r="I295" s="21" t="s">
        <v>60</v>
      </c>
      <c r="J295" s="21" t="n">
        <v>5</v>
      </c>
      <c r="K295" s="21" t="s">
        <v>46</v>
      </c>
      <c r="L295" s="24" t="n">
        <f aca="false">DATE(YEAR(C295),MONTH(C295),1)</f>
        <v>42917</v>
      </c>
      <c r="M295" s="21" t="n">
        <f aca="false">D295-C295</f>
        <v>13</v>
      </c>
      <c r="N295" s="21" t="n">
        <f aca="false">MAX(0,D295-E295)</f>
        <v>0</v>
      </c>
      <c r="O295" s="21" t="n">
        <f aca="false">IF(D295&lt;=E295,1,0)</f>
        <v>1</v>
      </c>
      <c r="P295" s="23" t="n">
        <f aca="false">G295+H295</f>
        <v>60.48</v>
      </c>
      <c r="Q295" s="23" t="n">
        <f aca="false">G295*INDEX(Assumptions!$B$8:$B$16,MATCH(F295,Assumptions!$A$8:$A$16,0))</f>
        <v>33.068</v>
      </c>
      <c r="R295" s="23" t="n">
        <f aca="false">H295*Assumptions!$B$3</f>
        <v>7.944</v>
      </c>
      <c r="S295" s="23" t="n">
        <f aca="false">G295-Q295-R295</f>
        <v>6.228</v>
      </c>
      <c r="T295" s="21" t="str">
        <f aca="false">IF(M295&lt;=7,"0-7 days",IF(M295&lt;=14,"8-14 days",IF(M295&lt;=21,"15-21 days","22+ days")))</f>
        <v>8-14 days</v>
      </c>
    </row>
    <row r="296" customFormat="false" ht="15" hidden="false" customHeight="false" outlineLevel="0" collapsed="false">
      <c r="A296" s="21" t="s">
        <v>362</v>
      </c>
      <c r="B296" s="21" t="s">
        <v>48</v>
      </c>
      <c r="C296" s="22" t="n">
        <v>42937</v>
      </c>
      <c r="D296" s="22" t="n">
        <v>42946</v>
      </c>
      <c r="E296" s="22" t="n">
        <v>42956</v>
      </c>
      <c r="F296" s="21" t="s">
        <v>53</v>
      </c>
      <c r="G296" s="23" t="n">
        <v>132.85</v>
      </c>
      <c r="H296" s="23" t="n">
        <v>25.74</v>
      </c>
      <c r="I296" s="21" t="s">
        <v>45</v>
      </c>
      <c r="J296" s="21" t="n">
        <v>5</v>
      </c>
      <c r="K296" s="21" t="s">
        <v>46</v>
      </c>
      <c r="L296" s="24" t="n">
        <f aca="false">DATE(YEAR(C296),MONTH(C296),1)</f>
        <v>42917</v>
      </c>
      <c r="M296" s="21" t="n">
        <f aca="false">D296-C296</f>
        <v>9</v>
      </c>
      <c r="N296" s="21" t="n">
        <f aca="false">MAX(0,D296-E296)</f>
        <v>0</v>
      </c>
      <c r="O296" s="21" t="n">
        <f aca="false">IF(D296&lt;=E296,1,0)</f>
        <v>1</v>
      </c>
      <c r="P296" s="23" t="n">
        <f aca="false">G296+H296</f>
        <v>158.59</v>
      </c>
      <c r="Q296" s="23" t="n">
        <f aca="false">G296*INDEX(Assumptions!$B$8:$B$16,MATCH(F296,Assumptions!$A$8:$A$16,0))</f>
        <v>98.309</v>
      </c>
      <c r="R296" s="23" t="n">
        <f aca="false">H296*Assumptions!$B$3</f>
        <v>15.444</v>
      </c>
      <c r="S296" s="23" t="n">
        <f aca="false">G296-Q296-R296</f>
        <v>19.097</v>
      </c>
      <c r="T296" s="21" t="str">
        <f aca="false">IF(M296&lt;=7,"0-7 days",IF(M296&lt;=14,"8-14 days",IF(M296&lt;=21,"15-21 days","22+ days")))</f>
        <v>8-14 days</v>
      </c>
    </row>
    <row r="297" customFormat="false" ht="15" hidden="false" customHeight="false" outlineLevel="0" collapsed="false">
      <c r="A297" s="21" t="s">
        <v>363</v>
      </c>
      <c r="B297" s="21" t="s">
        <v>62</v>
      </c>
      <c r="C297" s="22" t="n">
        <v>42938</v>
      </c>
      <c r="D297" s="22" t="n">
        <v>42957</v>
      </c>
      <c r="E297" s="22" t="n">
        <v>42959</v>
      </c>
      <c r="F297" s="21" t="s">
        <v>79</v>
      </c>
      <c r="G297" s="23" t="n">
        <v>77.08</v>
      </c>
      <c r="H297" s="23" t="n">
        <v>18.85</v>
      </c>
      <c r="I297" s="21" t="s">
        <v>45</v>
      </c>
      <c r="J297" s="21" t="n">
        <v>3</v>
      </c>
      <c r="K297" s="21" t="s">
        <v>46</v>
      </c>
      <c r="L297" s="24" t="n">
        <f aca="false">DATE(YEAR(C297),MONTH(C297),1)</f>
        <v>42917</v>
      </c>
      <c r="M297" s="21" t="n">
        <f aca="false">D297-C297</f>
        <v>19</v>
      </c>
      <c r="N297" s="21" t="n">
        <f aca="false">MAX(0,D297-E297)</f>
        <v>0</v>
      </c>
      <c r="O297" s="21" t="n">
        <f aca="false">IF(D297&lt;=E297,1,0)</f>
        <v>1</v>
      </c>
      <c r="P297" s="23" t="n">
        <f aca="false">G297+H297</f>
        <v>95.93</v>
      </c>
      <c r="Q297" s="23" t="n">
        <f aca="false">G297*INDEX(Assumptions!$B$8:$B$16,MATCH(F297,Assumptions!$A$8:$A$16,0))</f>
        <v>53.956</v>
      </c>
      <c r="R297" s="23" t="n">
        <f aca="false">H297*Assumptions!$B$3</f>
        <v>11.31</v>
      </c>
      <c r="S297" s="23" t="n">
        <f aca="false">G297-Q297-R297</f>
        <v>11.814</v>
      </c>
      <c r="T297" s="21" t="str">
        <f aca="false">IF(M297&lt;=7,"0-7 days",IF(M297&lt;=14,"8-14 days",IF(M297&lt;=21,"15-21 days","22+ days")))</f>
        <v>15-21 days</v>
      </c>
    </row>
    <row r="298" customFormat="false" ht="15" hidden="false" customHeight="false" outlineLevel="0" collapsed="false">
      <c r="A298" s="21" t="s">
        <v>364</v>
      </c>
      <c r="B298" s="21" t="s">
        <v>19</v>
      </c>
      <c r="C298" s="22" t="n">
        <v>42938</v>
      </c>
      <c r="D298" s="22" t="n">
        <v>42944</v>
      </c>
      <c r="E298" s="22" t="n">
        <v>42956</v>
      </c>
      <c r="F298" s="21" t="s">
        <v>57</v>
      </c>
      <c r="G298" s="23" t="n">
        <v>91.31</v>
      </c>
      <c r="H298" s="23" t="n">
        <v>18.92</v>
      </c>
      <c r="I298" s="21" t="s">
        <v>45</v>
      </c>
      <c r="J298" s="21" t="n">
        <v>5</v>
      </c>
      <c r="K298" s="21" t="s">
        <v>46</v>
      </c>
      <c r="L298" s="24" t="n">
        <f aca="false">DATE(YEAR(C298),MONTH(C298),1)</f>
        <v>42917</v>
      </c>
      <c r="M298" s="21" t="n">
        <f aca="false">D298-C298</f>
        <v>6</v>
      </c>
      <c r="N298" s="21" t="n">
        <f aca="false">MAX(0,D298-E298)</f>
        <v>0</v>
      </c>
      <c r="O298" s="21" t="n">
        <f aca="false">IF(D298&lt;=E298,1,0)</f>
        <v>1</v>
      </c>
      <c r="P298" s="23" t="n">
        <f aca="false">G298+H298</f>
        <v>110.23</v>
      </c>
      <c r="Q298" s="23" t="n">
        <f aca="false">G298*INDEX(Assumptions!$B$8:$B$16,MATCH(F298,Assumptions!$A$8:$A$16,0))</f>
        <v>62.0908</v>
      </c>
      <c r="R298" s="23" t="n">
        <f aca="false">H298*Assumptions!$B$3</f>
        <v>11.352</v>
      </c>
      <c r="S298" s="23" t="n">
        <f aca="false">G298-Q298-R298</f>
        <v>17.8672</v>
      </c>
      <c r="T298" s="21" t="str">
        <f aca="false">IF(M298&lt;=7,"0-7 days",IF(M298&lt;=14,"8-14 days",IF(M298&lt;=21,"15-21 days","22+ days")))</f>
        <v>0-7 days</v>
      </c>
    </row>
    <row r="299" customFormat="false" ht="15" hidden="false" customHeight="false" outlineLevel="0" collapsed="false">
      <c r="A299" s="21" t="s">
        <v>365</v>
      </c>
      <c r="B299" s="21" t="s">
        <v>19</v>
      </c>
      <c r="C299" s="22" t="n">
        <v>42939</v>
      </c>
      <c r="D299" s="22" t="n">
        <v>42946</v>
      </c>
      <c r="E299" s="22" t="n">
        <v>42957</v>
      </c>
      <c r="F299" s="21" t="s">
        <v>49</v>
      </c>
      <c r="G299" s="23" t="n">
        <v>26.18</v>
      </c>
      <c r="H299" s="23" t="n">
        <v>15.14</v>
      </c>
      <c r="I299" s="21" t="s">
        <v>60</v>
      </c>
      <c r="J299" s="21" t="n">
        <v>5</v>
      </c>
      <c r="K299" s="21" t="s">
        <v>46</v>
      </c>
      <c r="L299" s="24" t="n">
        <f aca="false">DATE(YEAR(C299),MONTH(C299),1)</f>
        <v>42917</v>
      </c>
      <c r="M299" s="21" t="n">
        <f aca="false">D299-C299</f>
        <v>7</v>
      </c>
      <c r="N299" s="21" t="n">
        <f aca="false">MAX(0,D299-E299)</f>
        <v>0</v>
      </c>
      <c r="O299" s="21" t="n">
        <f aca="false">IF(D299&lt;=E299,1,0)</f>
        <v>1</v>
      </c>
      <c r="P299" s="23" t="n">
        <f aca="false">G299+H299</f>
        <v>41.32</v>
      </c>
      <c r="Q299" s="23" t="n">
        <f aca="false">G299*INDEX(Assumptions!$B$8:$B$16,MATCH(F299,Assumptions!$A$8:$A$16,0))</f>
        <v>15.1844</v>
      </c>
      <c r="R299" s="23" t="n">
        <f aca="false">H299*Assumptions!$B$3</f>
        <v>9.084</v>
      </c>
      <c r="S299" s="23" t="n">
        <f aca="false">G299-Q299-R299</f>
        <v>1.9116</v>
      </c>
      <c r="T299" s="21" t="str">
        <f aca="false">IF(M299&lt;=7,"0-7 days",IF(M299&lt;=14,"8-14 days",IF(M299&lt;=21,"15-21 days","22+ days")))</f>
        <v>0-7 days</v>
      </c>
    </row>
    <row r="300" customFormat="false" ht="15" hidden="false" customHeight="false" outlineLevel="0" collapsed="false">
      <c r="A300" s="21" t="s">
        <v>366</v>
      </c>
      <c r="B300" s="21" t="s">
        <v>19</v>
      </c>
      <c r="C300" s="22" t="n">
        <v>42939</v>
      </c>
      <c r="D300" s="22" t="n">
        <v>42946</v>
      </c>
      <c r="E300" s="22" t="n">
        <v>42955</v>
      </c>
      <c r="F300" s="21" t="s">
        <v>49</v>
      </c>
      <c r="G300" s="23" t="n">
        <v>101.87</v>
      </c>
      <c r="H300" s="23" t="n">
        <v>21.53</v>
      </c>
      <c r="I300" s="21" t="s">
        <v>60</v>
      </c>
      <c r="J300" s="21" t="n">
        <v>5</v>
      </c>
      <c r="K300" s="21" t="s">
        <v>46</v>
      </c>
      <c r="L300" s="24" t="n">
        <f aca="false">DATE(YEAR(C300),MONTH(C300),1)</f>
        <v>42917</v>
      </c>
      <c r="M300" s="21" t="n">
        <f aca="false">D300-C300</f>
        <v>7</v>
      </c>
      <c r="N300" s="21" t="n">
        <f aca="false">MAX(0,D300-E300)</f>
        <v>0</v>
      </c>
      <c r="O300" s="21" t="n">
        <f aca="false">IF(D300&lt;=E300,1,0)</f>
        <v>1</v>
      </c>
      <c r="P300" s="23" t="n">
        <f aca="false">G300+H300</f>
        <v>123.4</v>
      </c>
      <c r="Q300" s="23" t="n">
        <f aca="false">G300*INDEX(Assumptions!$B$8:$B$16,MATCH(F300,Assumptions!$A$8:$A$16,0))</f>
        <v>59.0846</v>
      </c>
      <c r="R300" s="23" t="n">
        <f aca="false">H300*Assumptions!$B$3</f>
        <v>12.918</v>
      </c>
      <c r="S300" s="23" t="n">
        <f aca="false">G300-Q300-R300</f>
        <v>29.8674</v>
      </c>
      <c r="T300" s="21" t="str">
        <f aca="false">IF(M300&lt;=7,"0-7 days",IF(M300&lt;=14,"8-14 days",IF(M300&lt;=21,"15-21 days","22+ days")))</f>
        <v>0-7 days</v>
      </c>
    </row>
    <row r="301" customFormat="false" ht="15" hidden="false" customHeight="false" outlineLevel="0" collapsed="false">
      <c r="A301" s="21" t="s">
        <v>367</v>
      </c>
      <c r="B301" s="21" t="s">
        <v>62</v>
      </c>
      <c r="C301" s="22" t="n">
        <v>42939</v>
      </c>
      <c r="D301" s="22" t="n">
        <v>42951</v>
      </c>
      <c r="E301" s="22" t="n">
        <v>42957</v>
      </c>
      <c r="F301" s="21" t="s">
        <v>59</v>
      </c>
      <c r="G301" s="23" t="n">
        <v>128.51</v>
      </c>
      <c r="H301" s="23" t="n">
        <v>21.61</v>
      </c>
      <c r="I301" s="21" t="s">
        <v>60</v>
      </c>
      <c r="J301" s="21" t="n">
        <v>3</v>
      </c>
      <c r="K301" s="21" t="s">
        <v>46</v>
      </c>
      <c r="L301" s="24" t="n">
        <f aca="false">DATE(YEAR(C301),MONTH(C301),1)</f>
        <v>42917</v>
      </c>
      <c r="M301" s="21" t="n">
        <f aca="false">D301-C301</f>
        <v>12</v>
      </c>
      <c r="N301" s="21" t="n">
        <f aca="false">MAX(0,D301-E301)</f>
        <v>0</v>
      </c>
      <c r="O301" s="21" t="n">
        <f aca="false">IF(D301&lt;=E301,1,0)</f>
        <v>1</v>
      </c>
      <c r="P301" s="23" t="n">
        <f aca="false">G301+H301</f>
        <v>150.12</v>
      </c>
      <c r="Q301" s="23" t="n">
        <f aca="false">G301*INDEX(Assumptions!$B$8:$B$16,MATCH(F301,Assumptions!$A$8:$A$16,0))</f>
        <v>82.2464</v>
      </c>
      <c r="R301" s="23" t="n">
        <f aca="false">H301*Assumptions!$B$3</f>
        <v>12.966</v>
      </c>
      <c r="S301" s="23" t="n">
        <f aca="false">G301-Q301-R301</f>
        <v>33.2976</v>
      </c>
      <c r="T301" s="21" t="str">
        <f aca="false">IF(M301&lt;=7,"0-7 days",IF(M301&lt;=14,"8-14 days",IF(M301&lt;=21,"15-21 days","22+ days")))</f>
        <v>8-14 days</v>
      </c>
    </row>
    <row r="302" customFormat="false" ht="15" hidden="false" customHeight="false" outlineLevel="0" collapsed="false">
      <c r="A302" s="21" t="s">
        <v>368</v>
      </c>
      <c r="B302" s="21" t="s">
        <v>19</v>
      </c>
      <c r="C302" s="22" t="n">
        <v>42939</v>
      </c>
      <c r="D302" s="22" t="n">
        <v>42950</v>
      </c>
      <c r="E302" s="22" t="n">
        <v>42953</v>
      </c>
      <c r="F302" s="21" t="s">
        <v>67</v>
      </c>
      <c r="G302" s="23" t="n">
        <v>48.31</v>
      </c>
      <c r="H302" s="23" t="n">
        <v>12.91</v>
      </c>
      <c r="I302" s="21" t="s">
        <v>60</v>
      </c>
      <c r="J302" s="21" t="n">
        <v>5</v>
      </c>
      <c r="K302" s="21" t="s">
        <v>46</v>
      </c>
      <c r="L302" s="24" t="n">
        <f aca="false">DATE(YEAR(C302),MONTH(C302),1)</f>
        <v>42917</v>
      </c>
      <c r="M302" s="21" t="n">
        <f aca="false">D302-C302</f>
        <v>11</v>
      </c>
      <c r="N302" s="21" t="n">
        <f aca="false">MAX(0,D302-E302)</f>
        <v>0</v>
      </c>
      <c r="O302" s="21" t="n">
        <f aca="false">IF(D302&lt;=E302,1,0)</f>
        <v>1</v>
      </c>
      <c r="P302" s="23" t="n">
        <f aca="false">G302+H302</f>
        <v>61.22</v>
      </c>
      <c r="Q302" s="23" t="n">
        <f aca="false">G302*INDEX(Assumptions!$B$8:$B$16,MATCH(F302,Assumptions!$A$8:$A$16,0))</f>
        <v>29.9522</v>
      </c>
      <c r="R302" s="23" t="n">
        <f aca="false">H302*Assumptions!$B$3</f>
        <v>7.746</v>
      </c>
      <c r="S302" s="23" t="n">
        <f aca="false">G302-Q302-R302</f>
        <v>10.6118</v>
      </c>
      <c r="T302" s="21" t="str">
        <f aca="false">IF(M302&lt;=7,"0-7 days",IF(M302&lt;=14,"8-14 days",IF(M302&lt;=21,"15-21 days","22+ days")))</f>
        <v>8-14 days</v>
      </c>
    </row>
    <row r="303" customFormat="false" ht="15" hidden="false" customHeight="false" outlineLevel="0" collapsed="false">
      <c r="A303" s="21" t="s">
        <v>369</v>
      </c>
      <c r="B303" s="21" t="s">
        <v>55</v>
      </c>
      <c r="C303" s="22" t="n">
        <v>42940</v>
      </c>
      <c r="D303" s="22" t="n">
        <v>42955</v>
      </c>
      <c r="E303" s="22" t="n">
        <v>42963</v>
      </c>
      <c r="F303" s="21" t="s">
        <v>111</v>
      </c>
      <c r="G303" s="23" t="n">
        <v>127.4</v>
      </c>
      <c r="H303" s="23" t="n">
        <v>29.89</v>
      </c>
      <c r="I303" s="21" t="s">
        <v>45</v>
      </c>
      <c r="J303" s="21" t="n">
        <v>5</v>
      </c>
      <c r="K303" s="21" t="s">
        <v>46</v>
      </c>
      <c r="L303" s="24" t="n">
        <f aca="false">DATE(YEAR(C303),MONTH(C303),1)</f>
        <v>42917</v>
      </c>
      <c r="M303" s="21" t="n">
        <f aca="false">D303-C303</f>
        <v>15</v>
      </c>
      <c r="N303" s="21" t="n">
        <f aca="false">MAX(0,D303-E303)</f>
        <v>0</v>
      </c>
      <c r="O303" s="21" t="n">
        <f aca="false">IF(D303&lt;=E303,1,0)</f>
        <v>1</v>
      </c>
      <c r="P303" s="23" t="n">
        <f aca="false">G303+H303</f>
        <v>157.29</v>
      </c>
      <c r="Q303" s="23" t="n">
        <f aca="false">G303*INDEX(Assumptions!$B$8:$B$16,MATCH(F303,Assumptions!$A$8:$A$16,0))</f>
        <v>80.262</v>
      </c>
      <c r="R303" s="23" t="n">
        <f aca="false">H303*Assumptions!$B$3</f>
        <v>17.934</v>
      </c>
      <c r="S303" s="23" t="n">
        <f aca="false">G303-Q303-R303</f>
        <v>29.204</v>
      </c>
      <c r="T303" s="21" t="str">
        <f aca="false">IF(M303&lt;=7,"0-7 days",IF(M303&lt;=14,"8-14 days",IF(M303&lt;=21,"15-21 days","22+ days")))</f>
        <v>15-21 days</v>
      </c>
    </row>
    <row r="304" customFormat="false" ht="15" hidden="false" customHeight="false" outlineLevel="0" collapsed="false">
      <c r="A304" s="21" t="s">
        <v>370</v>
      </c>
      <c r="B304" s="21" t="s">
        <v>19</v>
      </c>
      <c r="C304" s="22" t="n">
        <v>42940</v>
      </c>
      <c r="D304" s="22" t="n">
        <v>42949</v>
      </c>
      <c r="E304" s="22" t="n">
        <v>42952</v>
      </c>
      <c r="F304" s="21" t="s">
        <v>59</v>
      </c>
      <c r="G304" s="23" t="n">
        <v>92.25</v>
      </c>
      <c r="H304" s="23" t="n">
        <v>19.31</v>
      </c>
      <c r="I304" s="21" t="s">
        <v>45</v>
      </c>
      <c r="J304" s="21" t="n">
        <v>5</v>
      </c>
      <c r="K304" s="21" t="s">
        <v>46</v>
      </c>
      <c r="L304" s="24" t="n">
        <f aca="false">DATE(YEAR(C304),MONTH(C304),1)</f>
        <v>42917</v>
      </c>
      <c r="M304" s="21" t="n">
        <f aca="false">D304-C304</f>
        <v>9</v>
      </c>
      <c r="N304" s="21" t="n">
        <f aca="false">MAX(0,D304-E304)</f>
        <v>0</v>
      </c>
      <c r="O304" s="21" t="n">
        <f aca="false">IF(D304&lt;=E304,1,0)</f>
        <v>1</v>
      </c>
      <c r="P304" s="23" t="n">
        <f aca="false">G304+H304</f>
        <v>111.56</v>
      </c>
      <c r="Q304" s="23" t="n">
        <f aca="false">G304*INDEX(Assumptions!$B$8:$B$16,MATCH(F304,Assumptions!$A$8:$A$16,0))</f>
        <v>59.04</v>
      </c>
      <c r="R304" s="23" t="n">
        <f aca="false">H304*Assumptions!$B$3</f>
        <v>11.586</v>
      </c>
      <c r="S304" s="23" t="n">
        <f aca="false">G304-Q304-R304</f>
        <v>21.624</v>
      </c>
      <c r="T304" s="21" t="str">
        <f aca="false">IF(M304&lt;=7,"0-7 days",IF(M304&lt;=14,"8-14 days",IF(M304&lt;=21,"15-21 days","22+ days")))</f>
        <v>8-14 days</v>
      </c>
    </row>
    <row r="305" customFormat="false" ht="15" hidden="false" customHeight="false" outlineLevel="0" collapsed="false">
      <c r="A305" s="21" t="s">
        <v>371</v>
      </c>
      <c r="B305" s="21" t="s">
        <v>103</v>
      </c>
      <c r="C305" s="22" t="n">
        <v>42940</v>
      </c>
      <c r="D305" s="22" t="n">
        <v>42959</v>
      </c>
      <c r="E305" s="22" t="n">
        <v>42967</v>
      </c>
      <c r="F305" s="21" t="s">
        <v>79</v>
      </c>
      <c r="G305" s="23" t="n">
        <v>148.04</v>
      </c>
      <c r="H305" s="23" t="n">
        <v>26.32</v>
      </c>
      <c r="I305" s="21" t="s">
        <v>60</v>
      </c>
      <c r="J305" s="21" t="n">
        <v>4</v>
      </c>
      <c r="K305" s="21" t="s">
        <v>46</v>
      </c>
      <c r="L305" s="24" t="n">
        <f aca="false">DATE(YEAR(C305),MONTH(C305),1)</f>
        <v>42917</v>
      </c>
      <c r="M305" s="21" t="n">
        <f aca="false">D305-C305</f>
        <v>19</v>
      </c>
      <c r="N305" s="21" t="n">
        <f aca="false">MAX(0,D305-E305)</f>
        <v>0</v>
      </c>
      <c r="O305" s="21" t="n">
        <f aca="false">IF(D305&lt;=E305,1,0)</f>
        <v>1</v>
      </c>
      <c r="P305" s="23" t="n">
        <f aca="false">G305+H305</f>
        <v>174.36</v>
      </c>
      <c r="Q305" s="23" t="n">
        <f aca="false">G305*INDEX(Assumptions!$B$8:$B$16,MATCH(F305,Assumptions!$A$8:$A$16,0))</f>
        <v>103.628</v>
      </c>
      <c r="R305" s="23" t="n">
        <f aca="false">H305*Assumptions!$B$3</f>
        <v>15.792</v>
      </c>
      <c r="S305" s="23" t="n">
        <f aca="false">G305-Q305-R305</f>
        <v>28.62</v>
      </c>
      <c r="T305" s="21" t="str">
        <f aca="false">IF(M305&lt;=7,"0-7 days",IF(M305&lt;=14,"8-14 days",IF(M305&lt;=21,"15-21 days","22+ days")))</f>
        <v>15-21 days</v>
      </c>
    </row>
    <row r="306" customFormat="false" ht="15" hidden="false" customHeight="false" outlineLevel="0" collapsed="false">
      <c r="A306" s="21" t="s">
        <v>372</v>
      </c>
      <c r="B306" s="21" t="s">
        <v>52</v>
      </c>
      <c r="C306" s="22" t="n">
        <v>42940</v>
      </c>
      <c r="D306" s="22" t="n">
        <v>42952</v>
      </c>
      <c r="E306" s="22" t="n">
        <v>42965</v>
      </c>
      <c r="F306" s="21" t="s">
        <v>111</v>
      </c>
      <c r="G306" s="23" t="n">
        <v>104.39</v>
      </c>
      <c r="H306" s="23" t="n">
        <v>21.28</v>
      </c>
      <c r="I306" s="21" t="s">
        <v>60</v>
      </c>
      <c r="J306" s="21" t="n">
        <v>5</v>
      </c>
      <c r="K306" s="21" t="s">
        <v>46</v>
      </c>
      <c r="L306" s="24" t="n">
        <f aca="false">DATE(YEAR(C306),MONTH(C306),1)</f>
        <v>42917</v>
      </c>
      <c r="M306" s="21" t="n">
        <f aca="false">D306-C306</f>
        <v>12</v>
      </c>
      <c r="N306" s="21" t="n">
        <f aca="false">MAX(0,D306-E306)</f>
        <v>0</v>
      </c>
      <c r="O306" s="21" t="n">
        <f aca="false">IF(D306&lt;=E306,1,0)</f>
        <v>1</v>
      </c>
      <c r="P306" s="23" t="n">
        <f aca="false">G306+H306</f>
        <v>125.67</v>
      </c>
      <c r="Q306" s="23" t="n">
        <f aca="false">G306*INDEX(Assumptions!$B$8:$B$16,MATCH(F306,Assumptions!$A$8:$A$16,0))</f>
        <v>65.7657</v>
      </c>
      <c r="R306" s="23" t="n">
        <f aca="false">H306*Assumptions!$B$3</f>
        <v>12.768</v>
      </c>
      <c r="S306" s="23" t="n">
        <f aca="false">G306-Q306-R306</f>
        <v>25.8563</v>
      </c>
      <c r="T306" s="21" t="str">
        <f aca="false">IF(M306&lt;=7,"0-7 days",IF(M306&lt;=14,"8-14 days",IF(M306&lt;=21,"15-21 days","22+ days")))</f>
        <v>8-14 days</v>
      </c>
    </row>
    <row r="307" customFormat="false" ht="15" hidden="false" customHeight="false" outlineLevel="0" collapsed="false">
      <c r="A307" s="21" t="s">
        <v>373</v>
      </c>
      <c r="B307" s="21" t="s">
        <v>55</v>
      </c>
      <c r="C307" s="22" t="n">
        <v>42941</v>
      </c>
      <c r="D307" s="22" t="n">
        <v>42949</v>
      </c>
      <c r="E307" s="22" t="n">
        <v>42967</v>
      </c>
      <c r="F307" s="21" t="s">
        <v>79</v>
      </c>
      <c r="G307" s="23" t="n">
        <v>88.3</v>
      </c>
      <c r="H307" s="23" t="n">
        <v>19.37</v>
      </c>
      <c r="I307" s="21" t="s">
        <v>60</v>
      </c>
      <c r="J307" s="21" t="n">
        <v>5</v>
      </c>
      <c r="K307" s="21" t="s">
        <v>46</v>
      </c>
      <c r="L307" s="24" t="n">
        <f aca="false">DATE(YEAR(C307),MONTH(C307),1)</f>
        <v>42917</v>
      </c>
      <c r="M307" s="21" t="n">
        <f aca="false">D307-C307</f>
        <v>8</v>
      </c>
      <c r="N307" s="21" t="n">
        <f aca="false">MAX(0,D307-E307)</f>
        <v>0</v>
      </c>
      <c r="O307" s="21" t="n">
        <f aca="false">IF(D307&lt;=E307,1,0)</f>
        <v>1</v>
      </c>
      <c r="P307" s="23" t="n">
        <f aca="false">G307+H307</f>
        <v>107.67</v>
      </c>
      <c r="Q307" s="23" t="n">
        <f aca="false">G307*INDEX(Assumptions!$B$8:$B$16,MATCH(F307,Assumptions!$A$8:$A$16,0))</f>
        <v>61.81</v>
      </c>
      <c r="R307" s="23" t="n">
        <f aca="false">H307*Assumptions!$B$3</f>
        <v>11.622</v>
      </c>
      <c r="S307" s="23" t="n">
        <f aca="false">G307-Q307-R307</f>
        <v>14.868</v>
      </c>
      <c r="T307" s="21" t="str">
        <f aca="false">IF(M307&lt;=7,"0-7 days",IF(M307&lt;=14,"8-14 days",IF(M307&lt;=21,"15-21 days","22+ days")))</f>
        <v>8-14 days</v>
      </c>
    </row>
    <row r="308" customFormat="false" ht="15" hidden="false" customHeight="false" outlineLevel="0" collapsed="false">
      <c r="A308" s="21" t="s">
        <v>374</v>
      </c>
      <c r="B308" s="21" t="s">
        <v>19</v>
      </c>
      <c r="C308" s="22" t="n">
        <v>42941</v>
      </c>
      <c r="D308" s="22" t="n">
        <v>42949</v>
      </c>
      <c r="E308" s="22" t="n">
        <v>42955</v>
      </c>
      <c r="F308" s="21" t="s">
        <v>67</v>
      </c>
      <c r="G308" s="23" t="n">
        <v>89.61</v>
      </c>
      <c r="H308" s="23" t="n">
        <v>20.78</v>
      </c>
      <c r="I308" s="21" t="s">
        <v>45</v>
      </c>
      <c r="J308" s="21" t="n">
        <v>4</v>
      </c>
      <c r="K308" s="21" t="s">
        <v>46</v>
      </c>
      <c r="L308" s="24" t="n">
        <f aca="false">DATE(YEAR(C308),MONTH(C308),1)</f>
        <v>42917</v>
      </c>
      <c r="M308" s="21" t="n">
        <f aca="false">D308-C308</f>
        <v>8</v>
      </c>
      <c r="N308" s="21" t="n">
        <f aca="false">MAX(0,D308-E308)</f>
        <v>0</v>
      </c>
      <c r="O308" s="21" t="n">
        <f aca="false">IF(D308&lt;=E308,1,0)</f>
        <v>1</v>
      </c>
      <c r="P308" s="23" t="n">
        <f aca="false">G308+H308</f>
        <v>110.39</v>
      </c>
      <c r="Q308" s="23" t="n">
        <f aca="false">G308*INDEX(Assumptions!$B$8:$B$16,MATCH(F308,Assumptions!$A$8:$A$16,0))</f>
        <v>55.5582</v>
      </c>
      <c r="R308" s="23" t="n">
        <f aca="false">H308*Assumptions!$B$3</f>
        <v>12.468</v>
      </c>
      <c r="S308" s="23" t="n">
        <f aca="false">G308-Q308-R308</f>
        <v>21.5838</v>
      </c>
      <c r="T308" s="21" t="str">
        <f aca="false">IF(M308&lt;=7,"0-7 days",IF(M308&lt;=14,"8-14 days",IF(M308&lt;=21,"15-21 days","22+ days")))</f>
        <v>8-14 days</v>
      </c>
    </row>
    <row r="309" customFormat="false" ht="15" hidden="false" customHeight="false" outlineLevel="0" collapsed="false">
      <c r="A309" s="21" t="s">
        <v>375</v>
      </c>
      <c r="B309" s="21" t="s">
        <v>19</v>
      </c>
      <c r="C309" s="22" t="n">
        <v>42941</v>
      </c>
      <c r="D309" s="22" t="n">
        <v>42947</v>
      </c>
      <c r="E309" s="22" t="n">
        <v>42959</v>
      </c>
      <c r="F309" s="21" t="s">
        <v>111</v>
      </c>
      <c r="G309" s="23" t="n">
        <v>69.55</v>
      </c>
      <c r="H309" s="23" t="n">
        <v>14.23</v>
      </c>
      <c r="I309" s="21" t="s">
        <v>45</v>
      </c>
      <c r="J309" s="21" t="n">
        <v>4</v>
      </c>
      <c r="K309" s="21" t="s">
        <v>46</v>
      </c>
      <c r="L309" s="24" t="n">
        <f aca="false">DATE(YEAR(C309),MONTH(C309),1)</f>
        <v>42917</v>
      </c>
      <c r="M309" s="21" t="n">
        <f aca="false">D309-C309</f>
        <v>6</v>
      </c>
      <c r="N309" s="21" t="n">
        <f aca="false">MAX(0,D309-E309)</f>
        <v>0</v>
      </c>
      <c r="O309" s="21" t="n">
        <f aca="false">IF(D309&lt;=E309,1,0)</f>
        <v>1</v>
      </c>
      <c r="P309" s="23" t="n">
        <f aca="false">G309+H309</f>
        <v>83.78</v>
      </c>
      <c r="Q309" s="23" t="n">
        <f aca="false">G309*INDEX(Assumptions!$B$8:$B$16,MATCH(F309,Assumptions!$A$8:$A$16,0))</f>
        <v>43.8165</v>
      </c>
      <c r="R309" s="23" t="n">
        <f aca="false">H309*Assumptions!$B$3</f>
        <v>8.538</v>
      </c>
      <c r="S309" s="23" t="n">
        <f aca="false">G309-Q309-R309</f>
        <v>17.1955</v>
      </c>
      <c r="T309" s="21" t="str">
        <f aca="false">IF(M309&lt;=7,"0-7 days",IF(M309&lt;=14,"8-14 days",IF(M309&lt;=21,"15-21 days","22+ days")))</f>
        <v>0-7 days</v>
      </c>
    </row>
    <row r="310" customFormat="false" ht="15" hidden="false" customHeight="false" outlineLevel="0" collapsed="false">
      <c r="A310" s="21" t="s">
        <v>376</v>
      </c>
      <c r="B310" s="21" t="s">
        <v>19</v>
      </c>
      <c r="C310" s="22" t="n">
        <v>42942</v>
      </c>
      <c r="D310" s="22" t="n">
        <v>42950</v>
      </c>
      <c r="E310" s="22" t="n">
        <v>42955</v>
      </c>
      <c r="F310" s="21" t="s">
        <v>49</v>
      </c>
      <c r="G310" s="23" t="n">
        <v>66.21</v>
      </c>
      <c r="H310" s="23" t="n">
        <v>14.81</v>
      </c>
      <c r="I310" s="21" t="s">
        <v>45</v>
      </c>
      <c r="J310" s="21" t="n">
        <v>5</v>
      </c>
      <c r="K310" s="21" t="s">
        <v>46</v>
      </c>
      <c r="L310" s="24" t="n">
        <f aca="false">DATE(YEAR(C310),MONTH(C310),1)</f>
        <v>42917</v>
      </c>
      <c r="M310" s="21" t="n">
        <f aca="false">D310-C310</f>
        <v>8</v>
      </c>
      <c r="N310" s="21" t="n">
        <f aca="false">MAX(0,D310-E310)</f>
        <v>0</v>
      </c>
      <c r="O310" s="21" t="n">
        <f aca="false">IF(D310&lt;=E310,1,0)</f>
        <v>1</v>
      </c>
      <c r="P310" s="23" t="n">
        <f aca="false">G310+H310</f>
        <v>81.02</v>
      </c>
      <c r="Q310" s="23" t="n">
        <f aca="false">G310*INDEX(Assumptions!$B$8:$B$16,MATCH(F310,Assumptions!$A$8:$A$16,0))</f>
        <v>38.4018</v>
      </c>
      <c r="R310" s="23" t="n">
        <f aca="false">H310*Assumptions!$B$3</f>
        <v>8.886</v>
      </c>
      <c r="S310" s="23" t="n">
        <f aca="false">G310-Q310-R310</f>
        <v>18.9222</v>
      </c>
      <c r="T310" s="21" t="str">
        <f aca="false">IF(M310&lt;=7,"0-7 days",IF(M310&lt;=14,"8-14 days",IF(M310&lt;=21,"15-21 days","22+ days")))</f>
        <v>8-14 days</v>
      </c>
    </row>
    <row r="311" customFormat="false" ht="15" hidden="false" customHeight="false" outlineLevel="0" collapsed="false">
      <c r="A311" s="21" t="s">
        <v>377</v>
      </c>
      <c r="B311" s="21" t="s">
        <v>19</v>
      </c>
      <c r="C311" s="22" t="n">
        <v>42943</v>
      </c>
      <c r="D311" s="22" t="n">
        <v>42949</v>
      </c>
      <c r="E311" s="22" t="n">
        <v>42960</v>
      </c>
      <c r="F311" s="21" t="s">
        <v>44</v>
      </c>
      <c r="G311" s="23" t="n">
        <v>127.16</v>
      </c>
      <c r="H311" s="23" t="n">
        <v>18.07</v>
      </c>
      <c r="I311" s="21" t="s">
        <v>50</v>
      </c>
      <c r="J311" s="21" t="n">
        <v>5</v>
      </c>
      <c r="K311" s="21" t="s">
        <v>46</v>
      </c>
      <c r="L311" s="24" t="n">
        <f aca="false">DATE(YEAR(C311),MONTH(C311),1)</f>
        <v>42917</v>
      </c>
      <c r="M311" s="21" t="n">
        <f aca="false">D311-C311</f>
        <v>6</v>
      </c>
      <c r="N311" s="21" t="n">
        <f aca="false">MAX(0,D311-E311)</f>
        <v>0</v>
      </c>
      <c r="O311" s="21" t="n">
        <f aca="false">IF(D311&lt;=E311,1,0)</f>
        <v>1</v>
      </c>
      <c r="P311" s="23" t="n">
        <f aca="false">G311+H311</f>
        <v>145.23</v>
      </c>
      <c r="Q311" s="23" t="n">
        <f aca="false">G311*INDEX(Assumptions!$B$8:$B$16,MATCH(F311,Assumptions!$A$8:$A$16,0))</f>
        <v>76.296</v>
      </c>
      <c r="R311" s="23" t="n">
        <f aca="false">H311*Assumptions!$B$3</f>
        <v>10.842</v>
      </c>
      <c r="S311" s="23" t="n">
        <f aca="false">G311-Q311-R311</f>
        <v>40.022</v>
      </c>
      <c r="T311" s="21" t="str">
        <f aca="false">IF(M311&lt;=7,"0-7 days",IF(M311&lt;=14,"8-14 days",IF(M311&lt;=21,"15-21 days","22+ days")))</f>
        <v>0-7 days</v>
      </c>
    </row>
    <row r="312" customFormat="false" ht="15" hidden="false" customHeight="false" outlineLevel="0" collapsed="false">
      <c r="A312" s="21" t="s">
        <v>378</v>
      </c>
      <c r="B312" s="21" t="s">
        <v>19</v>
      </c>
      <c r="C312" s="22" t="n">
        <v>42943</v>
      </c>
      <c r="D312" s="22" t="n">
        <v>42952</v>
      </c>
      <c r="E312" s="22" t="n">
        <v>42961</v>
      </c>
      <c r="F312" s="21" t="s">
        <v>67</v>
      </c>
      <c r="G312" s="23" t="n">
        <v>88.94</v>
      </c>
      <c r="H312" s="23" t="n">
        <v>16.2</v>
      </c>
      <c r="I312" s="21" t="s">
        <v>104</v>
      </c>
      <c r="J312" s="21" t="n">
        <v>4</v>
      </c>
      <c r="K312" s="21" t="s">
        <v>46</v>
      </c>
      <c r="L312" s="24" t="n">
        <f aca="false">DATE(YEAR(C312),MONTH(C312),1)</f>
        <v>42917</v>
      </c>
      <c r="M312" s="21" t="n">
        <f aca="false">D312-C312</f>
        <v>9</v>
      </c>
      <c r="N312" s="21" t="n">
        <f aca="false">MAX(0,D312-E312)</f>
        <v>0</v>
      </c>
      <c r="O312" s="21" t="n">
        <f aca="false">IF(D312&lt;=E312,1,0)</f>
        <v>1</v>
      </c>
      <c r="P312" s="23" t="n">
        <f aca="false">G312+H312</f>
        <v>105.14</v>
      </c>
      <c r="Q312" s="23" t="n">
        <f aca="false">G312*INDEX(Assumptions!$B$8:$B$16,MATCH(F312,Assumptions!$A$8:$A$16,0))</f>
        <v>55.1428</v>
      </c>
      <c r="R312" s="23" t="n">
        <f aca="false">H312*Assumptions!$B$3</f>
        <v>9.72</v>
      </c>
      <c r="S312" s="23" t="n">
        <f aca="false">G312-Q312-R312</f>
        <v>24.0772</v>
      </c>
      <c r="T312" s="21" t="str">
        <f aca="false">IF(M312&lt;=7,"0-7 days",IF(M312&lt;=14,"8-14 days",IF(M312&lt;=21,"15-21 days","22+ days")))</f>
        <v>8-14 days</v>
      </c>
    </row>
    <row r="313" customFormat="false" ht="15" hidden="false" customHeight="false" outlineLevel="0" collapsed="false">
      <c r="A313" s="21" t="s">
        <v>379</v>
      </c>
      <c r="B313" s="21" t="s">
        <v>48</v>
      </c>
      <c r="C313" s="22" t="n">
        <v>42944</v>
      </c>
      <c r="D313" s="22" t="n">
        <v>42959</v>
      </c>
      <c r="E313" s="22" t="n">
        <v>42962</v>
      </c>
      <c r="F313" s="21" t="s">
        <v>79</v>
      </c>
      <c r="G313" s="23" t="n">
        <v>72.92</v>
      </c>
      <c r="H313" s="23" t="n">
        <v>15.91</v>
      </c>
      <c r="I313" s="21" t="s">
        <v>45</v>
      </c>
      <c r="J313" s="21" t="n">
        <v>5</v>
      </c>
      <c r="K313" s="21" t="s">
        <v>46</v>
      </c>
      <c r="L313" s="24" t="n">
        <f aca="false">DATE(YEAR(C313),MONTH(C313),1)</f>
        <v>42917</v>
      </c>
      <c r="M313" s="21" t="n">
        <f aca="false">D313-C313</f>
        <v>15</v>
      </c>
      <c r="N313" s="21" t="n">
        <f aca="false">MAX(0,D313-E313)</f>
        <v>0</v>
      </c>
      <c r="O313" s="21" t="n">
        <f aca="false">IF(D313&lt;=E313,1,0)</f>
        <v>1</v>
      </c>
      <c r="P313" s="23" t="n">
        <f aca="false">G313+H313</f>
        <v>88.83</v>
      </c>
      <c r="Q313" s="23" t="n">
        <f aca="false">G313*INDEX(Assumptions!$B$8:$B$16,MATCH(F313,Assumptions!$A$8:$A$16,0))</f>
        <v>51.044</v>
      </c>
      <c r="R313" s="23" t="n">
        <f aca="false">H313*Assumptions!$B$3</f>
        <v>9.546</v>
      </c>
      <c r="S313" s="23" t="n">
        <f aca="false">G313-Q313-R313</f>
        <v>12.33</v>
      </c>
      <c r="T313" s="21" t="str">
        <f aca="false">IF(M313&lt;=7,"0-7 days",IF(M313&lt;=14,"8-14 days",IF(M313&lt;=21,"15-21 days","22+ days")))</f>
        <v>15-21 days</v>
      </c>
    </row>
    <row r="314" customFormat="false" ht="15" hidden="false" customHeight="false" outlineLevel="0" collapsed="false">
      <c r="A314" s="21" t="s">
        <v>380</v>
      </c>
      <c r="B314" s="21" t="s">
        <v>19</v>
      </c>
      <c r="C314" s="22" t="n">
        <v>42944</v>
      </c>
      <c r="D314" s="22" t="n">
        <v>42955</v>
      </c>
      <c r="E314" s="22" t="n">
        <v>42957</v>
      </c>
      <c r="F314" s="21" t="s">
        <v>59</v>
      </c>
      <c r="G314" s="23" t="n">
        <v>158.95</v>
      </c>
      <c r="H314" s="23" t="n">
        <v>17.1</v>
      </c>
      <c r="I314" s="21" t="s">
        <v>60</v>
      </c>
      <c r="J314" s="21" t="n">
        <v>5</v>
      </c>
      <c r="K314" s="21" t="s">
        <v>46</v>
      </c>
      <c r="L314" s="24" t="n">
        <f aca="false">DATE(YEAR(C314),MONTH(C314),1)</f>
        <v>42917</v>
      </c>
      <c r="M314" s="21" t="n">
        <f aca="false">D314-C314</f>
        <v>11</v>
      </c>
      <c r="N314" s="21" t="n">
        <f aca="false">MAX(0,D314-E314)</f>
        <v>0</v>
      </c>
      <c r="O314" s="21" t="n">
        <f aca="false">IF(D314&lt;=E314,1,0)</f>
        <v>1</v>
      </c>
      <c r="P314" s="23" t="n">
        <f aca="false">G314+H314</f>
        <v>176.05</v>
      </c>
      <c r="Q314" s="23" t="n">
        <f aca="false">G314*INDEX(Assumptions!$B$8:$B$16,MATCH(F314,Assumptions!$A$8:$A$16,0))</f>
        <v>101.728</v>
      </c>
      <c r="R314" s="23" t="n">
        <f aca="false">H314*Assumptions!$B$3</f>
        <v>10.26</v>
      </c>
      <c r="S314" s="23" t="n">
        <f aca="false">G314-Q314-R314</f>
        <v>46.962</v>
      </c>
      <c r="T314" s="21" t="str">
        <f aca="false">IF(M314&lt;=7,"0-7 days",IF(M314&lt;=14,"8-14 days",IF(M314&lt;=21,"15-21 days","22+ days")))</f>
        <v>8-14 days</v>
      </c>
    </row>
    <row r="315" customFormat="false" ht="15" hidden="false" customHeight="false" outlineLevel="0" collapsed="false">
      <c r="A315" s="21" t="s">
        <v>381</v>
      </c>
      <c r="B315" s="21" t="s">
        <v>19</v>
      </c>
      <c r="C315" s="22" t="n">
        <v>42944</v>
      </c>
      <c r="D315" s="22" t="n">
        <v>42954</v>
      </c>
      <c r="E315" s="22" t="n">
        <v>42958</v>
      </c>
      <c r="F315" s="21" t="s">
        <v>67</v>
      </c>
      <c r="G315" s="23" t="n">
        <v>127.59</v>
      </c>
      <c r="H315" s="23" t="n">
        <v>16.59</v>
      </c>
      <c r="I315" s="21" t="s">
        <v>45</v>
      </c>
      <c r="J315" s="21" t="n">
        <v>5</v>
      </c>
      <c r="K315" s="21" t="s">
        <v>46</v>
      </c>
      <c r="L315" s="24" t="n">
        <f aca="false">DATE(YEAR(C315),MONTH(C315),1)</f>
        <v>42917</v>
      </c>
      <c r="M315" s="21" t="n">
        <f aca="false">D315-C315</f>
        <v>10</v>
      </c>
      <c r="N315" s="21" t="n">
        <f aca="false">MAX(0,D315-E315)</f>
        <v>0</v>
      </c>
      <c r="O315" s="21" t="n">
        <f aca="false">IF(D315&lt;=E315,1,0)</f>
        <v>1</v>
      </c>
      <c r="P315" s="23" t="n">
        <f aca="false">G315+H315</f>
        <v>144.18</v>
      </c>
      <c r="Q315" s="23" t="n">
        <f aca="false">G315*INDEX(Assumptions!$B$8:$B$16,MATCH(F315,Assumptions!$A$8:$A$16,0))</f>
        <v>79.1058</v>
      </c>
      <c r="R315" s="23" t="n">
        <f aca="false">H315*Assumptions!$B$3</f>
        <v>9.954</v>
      </c>
      <c r="S315" s="23" t="n">
        <f aca="false">G315-Q315-R315</f>
        <v>38.5302</v>
      </c>
      <c r="T315" s="21" t="str">
        <f aca="false">IF(M315&lt;=7,"0-7 days",IF(M315&lt;=14,"8-14 days",IF(M315&lt;=21,"15-21 days","22+ days")))</f>
        <v>8-14 days</v>
      </c>
    </row>
    <row r="316" customFormat="false" ht="15" hidden="false" customHeight="false" outlineLevel="0" collapsed="false">
      <c r="A316" s="21" t="s">
        <v>382</v>
      </c>
      <c r="B316" s="21" t="s">
        <v>77</v>
      </c>
      <c r="C316" s="22" t="n">
        <v>42945</v>
      </c>
      <c r="D316" s="22" t="n">
        <v>42961</v>
      </c>
      <c r="E316" s="22" t="n">
        <v>42970</v>
      </c>
      <c r="F316" s="21" t="s">
        <v>67</v>
      </c>
      <c r="G316" s="23" t="n">
        <v>60.43</v>
      </c>
      <c r="H316" s="23" t="n">
        <v>26.83</v>
      </c>
      <c r="I316" s="21" t="s">
        <v>45</v>
      </c>
      <c r="J316" s="21" t="n">
        <v>4</v>
      </c>
      <c r="K316" s="21" t="s">
        <v>46</v>
      </c>
      <c r="L316" s="24" t="n">
        <f aca="false">DATE(YEAR(C316),MONTH(C316),1)</f>
        <v>42917</v>
      </c>
      <c r="M316" s="21" t="n">
        <f aca="false">D316-C316</f>
        <v>16</v>
      </c>
      <c r="N316" s="21" t="n">
        <f aca="false">MAX(0,D316-E316)</f>
        <v>0</v>
      </c>
      <c r="O316" s="21" t="n">
        <f aca="false">IF(D316&lt;=E316,1,0)</f>
        <v>1</v>
      </c>
      <c r="P316" s="23" t="n">
        <f aca="false">G316+H316</f>
        <v>87.26</v>
      </c>
      <c r="Q316" s="23" t="n">
        <f aca="false">G316*INDEX(Assumptions!$B$8:$B$16,MATCH(F316,Assumptions!$A$8:$A$16,0))</f>
        <v>37.4666</v>
      </c>
      <c r="R316" s="23" t="n">
        <f aca="false">H316*Assumptions!$B$3</f>
        <v>16.098</v>
      </c>
      <c r="S316" s="23" t="n">
        <f aca="false">G316-Q316-R316</f>
        <v>6.8654</v>
      </c>
      <c r="T316" s="21" t="str">
        <f aca="false">IF(M316&lt;=7,"0-7 days",IF(M316&lt;=14,"8-14 days",IF(M316&lt;=21,"15-21 days","22+ days")))</f>
        <v>15-21 days</v>
      </c>
    </row>
    <row r="317" customFormat="false" ht="15" hidden="false" customHeight="false" outlineLevel="0" collapsed="false">
      <c r="A317" s="21" t="s">
        <v>383</v>
      </c>
      <c r="B317" s="21" t="s">
        <v>19</v>
      </c>
      <c r="C317" s="22" t="n">
        <v>42945</v>
      </c>
      <c r="D317" s="22" t="n">
        <v>42952</v>
      </c>
      <c r="E317" s="22" t="n">
        <v>42957</v>
      </c>
      <c r="F317" s="21" t="s">
        <v>67</v>
      </c>
      <c r="G317" s="23" t="n">
        <v>32.59</v>
      </c>
      <c r="H317" s="23" t="n">
        <v>12.52</v>
      </c>
      <c r="I317" s="21" t="s">
        <v>60</v>
      </c>
      <c r="J317" s="21" t="n">
        <v>5</v>
      </c>
      <c r="K317" s="21" t="s">
        <v>46</v>
      </c>
      <c r="L317" s="24" t="n">
        <f aca="false">DATE(YEAR(C317),MONTH(C317),1)</f>
        <v>42917</v>
      </c>
      <c r="M317" s="21" t="n">
        <f aca="false">D317-C317</f>
        <v>7</v>
      </c>
      <c r="N317" s="21" t="n">
        <f aca="false">MAX(0,D317-E317)</f>
        <v>0</v>
      </c>
      <c r="O317" s="21" t="n">
        <f aca="false">IF(D317&lt;=E317,1,0)</f>
        <v>1</v>
      </c>
      <c r="P317" s="23" t="n">
        <f aca="false">G317+H317</f>
        <v>45.11</v>
      </c>
      <c r="Q317" s="23" t="n">
        <f aca="false">G317*INDEX(Assumptions!$B$8:$B$16,MATCH(F317,Assumptions!$A$8:$A$16,0))</f>
        <v>20.2058</v>
      </c>
      <c r="R317" s="23" t="n">
        <f aca="false">H317*Assumptions!$B$3</f>
        <v>7.512</v>
      </c>
      <c r="S317" s="23" t="n">
        <f aca="false">G317-Q317-R317</f>
        <v>4.8722</v>
      </c>
      <c r="T317" s="21" t="str">
        <f aca="false">IF(M317&lt;=7,"0-7 days",IF(M317&lt;=14,"8-14 days",IF(M317&lt;=21,"15-21 days","22+ days")))</f>
        <v>0-7 days</v>
      </c>
    </row>
    <row r="318" customFormat="false" ht="15" hidden="false" customHeight="false" outlineLevel="0" collapsed="false">
      <c r="A318" s="21" t="s">
        <v>384</v>
      </c>
      <c r="B318" s="21" t="s">
        <v>19</v>
      </c>
      <c r="C318" s="22" t="n">
        <v>42945</v>
      </c>
      <c r="D318" s="22" t="n">
        <v>42960</v>
      </c>
      <c r="E318" s="22" t="n">
        <v>42961</v>
      </c>
      <c r="F318" s="21" t="s">
        <v>67</v>
      </c>
      <c r="G318" s="23" t="n">
        <v>85.07</v>
      </c>
      <c r="H318" s="23" t="n">
        <v>21.25</v>
      </c>
      <c r="I318" s="21" t="s">
        <v>60</v>
      </c>
      <c r="J318" s="21" t="n">
        <v>4</v>
      </c>
      <c r="K318" s="21" t="s">
        <v>46</v>
      </c>
      <c r="L318" s="24" t="n">
        <f aca="false">DATE(YEAR(C318),MONTH(C318),1)</f>
        <v>42917</v>
      </c>
      <c r="M318" s="21" t="n">
        <f aca="false">D318-C318</f>
        <v>15</v>
      </c>
      <c r="N318" s="21" t="n">
        <f aca="false">MAX(0,D318-E318)</f>
        <v>0</v>
      </c>
      <c r="O318" s="21" t="n">
        <f aca="false">IF(D318&lt;=E318,1,0)</f>
        <v>1</v>
      </c>
      <c r="P318" s="23" t="n">
        <f aca="false">G318+H318</f>
        <v>106.32</v>
      </c>
      <c r="Q318" s="23" t="n">
        <f aca="false">G318*INDEX(Assumptions!$B$8:$B$16,MATCH(F318,Assumptions!$A$8:$A$16,0))</f>
        <v>52.7434</v>
      </c>
      <c r="R318" s="23" t="n">
        <f aca="false">H318*Assumptions!$B$3</f>
        <v>12.75</v>
      </c>
      <c r="S318" s="23" t="n">
        <f aca="false">G318-Q318-R318</f>
        <v>19.5766</v>
      </c>
      <c r="T318" s="21" t="str">
        <f aca="false">IF(M318&lt;=7,"0-7 days",IF(M318&lt;=14,"8-14 days",IF(M318&lt;=21,"15-21 days","22+ days")))</f>
        <v>15-21 days</v>
      </c>
    </row>
    <row r="319" customFormat="false" ht="15" hidden="false" customHeight="false" outlineLevel="0" collapsed="false">
      <c r="A319" s="21" t="s">
        <v>385</v>
      </c>
      <c r="B319" s="21" t="s">
        <v>19</v>
      </c>
      <c r="C319" s="22" t="n">
        <v>42946</v>
      </c>
      <c r="D319" s="22" t="n">
        <v>42962</v>
      </c>
      <c r="E319" s="22" t="n">
        <v>42961</v>
      </c>
      <c r="F319" s="21" t="s">
        <v>49</v>
      </c>
      <c r="G319" s="23" t="n">
        <v>145.03</v>
      </c>
      <c r="H319" s="23" t="n">
        <v>22.07</v>
      </c>
      <c r="I319" s="21" t="s">
        <v>45</v>
      </c>
      <c r="J319" s="21" t="n">
        <v>3</v>
      </c>
      <c r="K319" s="21" t="s">
        <v>46</v>
      </c>
      <c r="L319" s="24" t="n">
        <f aca="false">DATE(YEAR(C319),MONTH(C319),1)</f>
        <v>42917</v>
      </c>
      <c r="M319" s="21" t="n">
        <f aca="false">D319-C319</f>
        <v>16</v>
      </c>
      <c r="N319" s="21" t="n">
        <f aca="false">MAX(0,D319-E319)</f>
        <v>1</v>
      </c>
      <c r="O319" s="21" t="n">
        <f aca="false">IF(D319&lt;=E319,1,0)</f>
        <v>0</v>
      </c>
      <c r="P319" s="23" t="n">
        <f aca="false">G319+H319</f>
        <v>167.1</v>
      </c>
      <c r="Q319" s="23" t="n">
        <f aca="false">G319*INDEX(Assumptions!$B$8:$B$16,MATCH(F319,Assumptions!$A$8:$A$16,0))</f>
        <v>84.1174</v>
      </c>
      <c r="R319" s="23" t="n">
        <f aca="false">H319*Assumptions!$B$3</f>
        <v>13.242</v>
      </c>
      <c r="S319" s="23" t="n">
        <f aca="false">G319-Q319-R319</f>
        <v>47.6706</v>
      </c>
      <c r="T319" s="21" t="str">
        <f aca="false">IF(M319&lt;=7,"0-7 days",IF(M319&lt;=14,"8-14 days",IF(M319&lt;=21,"15-21 days","22+ days")))</f>
        <v>15-21 days</v>
      </c>
    </row>
    <row r="320" customFormat="false" ht="15" hidden="false" customHeight="false" outlineLevel="0" collapsed="false">
      <c r="A320" s="21" t="s">
        <v>386</v>
      </c>
      <c r="B320" s="21" t="s">
        <v>174</v>
      </c>
      <c r="C320" s="22" t="n">
        <v>42946</v>
      </c>
      <c r="D320" s="22" t="n">
        <v>42966</v>
      </c>
      <c r="E320" s="22" t="n">
        <v>42978</v>
      </c>
      <c r="F320" s="21" t="s">
        <v>64</v>
      </c>
      <c r="G320" s="23" t="n">
        <v>187</v>
      </c>
      <c r="H320" s="23" t="n">
        <v>43.56</v>
      </c>
      <c r="I320" s="21" t="s">
        <v>60</v>
      </c>
      <c r="J320" s="21" t="n">
        <v>4</v>
      </c>
      <c r="K320" s="21" t="s">
        <v>46</v>
      </c>
      <c r="L320" s="24" t="n">
        <f aca="false">DATE(YEAR(C320),MONTH(C320),1)</f>
        <v>42917</v>
      </c>
      <c r="M320" s="21" t="n">
        <f aca="false">D320-C320</f>
        <v>20</v>
      </c>
      <c r="N320" s="21" t="n">
        <f aca="false">MAX(0,D320-E320)</f>
        <v>0</v>
      </c>
      <c r="O320" s="21" t="n">
        <f aca="false">IF(D320&lt;=E320,1,0)</f>
        <v>1</v>
      </c>
      <c r="P320" s="23" t="n">
        <f aca="false">G320+H320</f>
        <v>230.56</v>
      </c>
      <c r="Q320" s="23" t="n">
        <f aca="false">G320*INDEX(Assumptions!$B$8:$B$16,MATCH(F320,Assumptions!$A$8:$A$16,0))</f>
        <v>123.42</v>
      </c>
      <c r="R320" s="23" t="n">
        <f aca="false">H320*Assumptions!$B$3</f>
        <v>26.136</v>
      </c>
      <c r="S320" s="23" t="n">
        <f aca="false">G320-Q320-R320</f>
        <v>37.444</v>
      </c>
      <c r="T320" s="21" t="str">
        <f aca="false">IF(M320&lt;=7,"0-7 days",IF(M320&lt;=14,"8-14 days",IF(M320&lt;=21,"15-21 days","22+ days")))</f>
        <v>15-21 days</v>
      </c>
    </row>
    <row r="321" customFormat="false" ht="15" hidden="false" customHeight="false" outlineLevel="0" collapsed="false">
      <c r="A321" s="21" t="s">
        <v>387</v>
      </c>
      <c r="B321" s="21" t="s">
        <v>52</v>
      </c>
      <c r="C321" s="22" t="n">
        <v>42946</v>
      </c>
      <c r="D321" s="22" t="n">
        <v>42962</v>
      </c>
      <c r="E321" s="22" t="n">
        <v>42967</v>
      </c>
      <c r="F321" s="21" t="s">
        <v>49</v>
      </c>
      <c r="G321" s="23" t="n">
        <v>132.31</v>
      </c>
      <c r="H321" s="23" t="n">
        <v>21.94</v>
      </c>
      <c r="I321" s="21" t="s">
        <v>50</v>
      </c>
      <c r="J321" s="21" t="n">
        <v>4</v>
      </c>
      <c r="K321" s="21" t="s">
        <v>46</v>
      </c>
      <c r="L321" s="24" t="n">
        <f aca="false">DATE(YEAR(C321),MONTH(C321),1)</f>
        <v>42917</v>
      </c>
      <c r="M321" s="21" t="n">
        <f aca="false">D321-C321</f>
        <v>16</v>
      </c>
      <c r="N321" s="21" t="n">
        <f aca="false">MAX(0,D321-E321)</f>
        <v>0</v>
      </c>
      <c r="O321" s="21" t="n">
        <f aca="false">IF(D321&lt;=E321,1,0)</f>
        <v>1</v>
      </c>
      <c r="P321" s="23" t="n">
        <f aca="false">G321+H321</f>
        <v>154.25</v>
      </c>
      <c r="Q321" s="23" t="n">
        <f aca="false">G321*INDEX(Assumptions!$B$8:$B$16,MATCH(F321,Assumptions!$A$8:$A$16,0))</f>
        <v>76.7398</v>
      </c>
      <c r="R321" s="23" t="n">
        <f aca="false">H321*Assumptions!$B$3</f>
        <v>13.164</v>
      </c>
      <c r="S321" s="23" t="n">
        <f aca="false">G321-Q321-R321</f>
        <v>42.4062</v>
      </c>
      <c r="T321" s="21" t="str">
        <f aca="false">IF(M321&lt;=7,"0-7 days",IF(M321&lt;=14,"8-14 days",IF(M321&lt;=21,"15-21 days","22+ days")))</f>
        <v>15-21 days</v>
      </c>
    </row>
    <row r="322" customFormat="false" ht="15" hidden="false" customHeight="false" outlineLevel="0" collapsed="false">
      <c r="A322" s="21" t="s">
        <v>388</v>
      </c>
      <c r="B322" s="21" t="s">
        <v>19</v>
      </c>
      <c r="C322" s="22" t="n">
        <v>42947</v>
      </c>
      <c r="D322" s="22" t="n">
        <v>42958</v>
      </c>
      <c r="E322" s="22" t="n">
        <v>42964</v>
      </c>
      <c r="F322" s="21" t="s">
        <v>67</v>
      </c>
      <c r="G322" s="23" t="n">
        <v>201.27</v>
      </c>
      <c r="H322" s="23" t="n">
        <v>20.13</v>
      </c>
      <c r="I322" s="21" t="s">
        <v>45</v>
      </c>
      <c r="J322" s="21" t="n">
        <v>5</v>
      </c>
      <c r="K322" s="21" t="s">
        <v>46</v>
      </c>
      <c r="L322" s="24" t="n">
        <f aca="false">DATE(YEAR(C322),MONTH(C322),1)</f>
        <v>42917</v>
      </c>
      <c r="M322" s="21" t="n">
        <f aca="false">D322-C322</f>
        <v>11</v>
      </c>
      <c r="N322" s="21" t="n">
        <f aca="false">MAX(0,D322-E322)</f>
        <v>0</v>
      </c>
      <c r="O322" s="21" t="n">
        <f aca="false">IF(D322&lt;=E322,1,0)</f>
        <v>1</v>
      </c>
      <c r="P322" s="23" t="n">
        <f aca="false">G322+H322</f>
        <v>221.4</v>
      </c>
      <c r="Q322" s="23" t="n">
        <f aca="false">G322*INDEX(Assumptions!$B$8:$B$16,MATCH(F322,Assumptions!$A$8:$A$16,0))</f>
        <v>124.7874</v>
      </c>
      <c r="R322" s="23" t="n">
        <f aca="false">H322*Assumptions!$B$3</f>
        <v>12.078</v>
      </c>
      <c r="S322" s="23" t="n">
        <f aca="false">G322-Q322-R322</f>
        <v>64.4046</v>
      </c>
      <c r="T322" s="21" t="str">
        <f aca="false">IF(M322&lt;=7,"0-7 days",IF(M322&lt;=14,"8-14 days",IF(M322&lt;=21,"15-21 days","22+ days")))</f>
        <v>8-14 days</v>
      </c>
    </row>
    <row r="323" customFormat="false" ht="15" hidden="false" customHeight="false" outlineLevel="0" collapsed="false">
      <c r="A323" s="21" t="s">
        <v>389</v>
      </c>
      <c r="B323" s="21" t="s">
        <v>48</v>
      </c>
      <c r="C323" s="22" t="n">
        <v>42947</v>
      </c>
      <c r="D323" s="22" t="n">
        <v>42953</v>
      </c>
      <c r="E323" s="22" t="n">
        <v>42970</v>
      </c>
      <c r="F323" s="21" t="s">
        <v>111</v>
      </c>
      <c r="G323" s="23" t="n">
        <v>112.95</v>
      </c>
      <c r="H323" s="23" t="n">
        <v>30.14</v>
      </c>
      <c r="I323" s="21" t="s">
        <v>45</v>
      </c>
      <c r="J323" s="21" t="n">
        <v>5</v>
      </c>
      <c r="K323" s="21" t="s">
        <v>46</v>
      </c>
      <c r="L323" s="24" t="n">
        <f aca="false">DATE(YEAR(C323),MONTH(C323),1)</f>
        <v>42917</v>
      </c>
      <c r="M323" s="21" t="n">
        <f aca="false">D323-C323</f>
        <v>6</v>
      </c>
      <c r="N323" s="21" t="n">
        <f aca="false">MAX(0,D323-E323)</f>
        <v>0</v>
      </c>
      <c r="O323" s="21" t="n">
        <f aca="false">IF(D323&lt;=E323,1,0)</f>
        <v>1</v>
      </c>
      <c r="P323" s="23" t="n">
        <f aca="false">G323+H323</f>
        <v>143.09</v>
      </c>
      <c r="Q323" s="23" t="n">
        <f aca="false">G323*INDEX(Assumptions!$B$8:$B$16,MATCH(F323,Assumptions!$A$8:$A$16,0))</f>
        <v>71.1585</v>
      </c>
      <c r="R323" s="23" t="n">
        <f aca="false">H323*Assumptions!$B$3</f>
        <v>18.084</v>
      </c>
      <c r="S323" s="23" t="n">
        <f aca="false">G323-Q323-R323</f>
        <v>23.7075</v>
      </c>
      <c r="T323" s="21" t="str">
        <f aca="false">IF(M323&lt;=7,"0-7 days",IF(M323&lt;=14,"8-14 days",IF(M323&lt;=21,"15-21 days","22+ days")))</f>
        <v>0-7 days</v>
      </c>
    </row>
    <row r="324" customFormat="false" ht="15" hidden="false" customHeight="false" outlineLevel="0" collapsed="false">
      <c r="A324" s="21" t="s">
        <v>390</v>
      </c>
      <c r="B324" s="21" t="s">
        <v>52</v>
      </c>
      <c r="C324" s="22" t="n">
        <v>42948</v>
      </c>
      <c r="D324" s="22" t="n">
        <v>42957</v>
      </c>
      <c r="E324" s="22" t="n">
        <v>42971</v>
      </c>
      <c r="F324" s="21" t="s">
        <v>53</v>
      </c>
      <c r="G324" s="23" t="n">
        <v>169.61</v>
      </c>
      <c r="H324" s="23" t="n">
        <v>23.43</v>
      </c>
      <c r="I324" s="21" t="s">
        <v>45</v>
      </c>
      <c r="J324" s="21" t="n">
        <v>4</v>
      </c>
      <c r="K324" s="21" t="s">
        <v>46</v>
      </c>
      <c r="L324" s="24" t="n">
        <f aca="false">DATE(YEAR(C324),MONTH(C324),1)</f>
        <v>42948</v>
      </c>
      <c r="M324" s="21" t="n">
        <f aca="false">D324-C324</f>
        <v>9</v>
      </c>
      <c r="N324" s="21" t="n">
        <f aca="false">MAX(0,D324-E324)</f>
        <v>0</v>
      </c>
      <c r="O324" s="21" t="n">
        <f aca="false">IF(D324&lt;=E324,1,0)</f>
        <v>1</v>
      </c>
      <c r="P324" s="23" t="n">
        <f aca="false">G324+H324</f>
        <v>193.04</v>
      </c>
      <c r="Q324" s="23" t="n">
        <f aca="false">G324*INDEX(Assumptions!$B$8:$B$16,MATCH(F324,Assumptions!$A$8:$A$16,0))</f>
        <v>125.5114</v>
      </c>
      <c r="R324" s="23" t="n">
        <f aca="false">H324*Assumptions!$B$3</f>
        <v>14.058</v>
      </c>
      <c r="S324" s="23" t="n">
        <f aca="false">G324-Q324-R324</f>
        <v>30.0406</v>
      </c>
      <c r="T324" s="21" t="str">
        <f aca="false">IF(M324&lt;=7,"0-7 days",IF(M324&lt;=14,"8-14 days",IF(M324&lt;=21,"15-21 days","22+ days")))</f>
        <v>8-14 days</v>
      </c>
    </row>
    <row r="325" customFormat="false" ht="15" hidden="false" customHeight="false" outlineLevel="0" collapsed="false">
      <c r="A325" s="21" t="s">
        <v>391</v>
      </c>
      <c r="B325" s="21" t="s">
        <v>19</v>
      </c>
      <c r="C325" s="22" t="n">
        <v>42948</v>
      </c>
      <c r="D325" s="22" t="n">
        <v>42955</v>
      </c>
      <c r="E325" s="22" t="n">
        <v>42962</v>
      </c>
      <c r="F325" s="21" t="s">
        <v>64</v>
      </c>
      <c r="G325" s="23" t="n">
        <v>90.44</v>
      </c>
      <c r="H325" s="23" t="n">
        <v>16.12</v>
      </c>
      <c r="I325" s="21" t="s">
        <v>45</v>
      </c>
      <c r="J325" s="21" t="n">
        <v>4</v>
      </c>
      <c r="K325" s="21" t="s">
        <v>46</v>
      </c>
      <c r="L325" s="24" t="n">
        <f aca="false">DATE(YEAR(C325),MONTH(C325),1)</f>
        <v>42948</v>
      </c>
      <c r="M325" s="21" t="n">
        <f aca="false">D325-C325</f>
        <v>7</v>
      </c>
      <c r="N325" s="21" t="n">
        <f aca="false">MAX(0,D325-E325)</f>
        <v>0</v>
      </c>
      <c r="O325" s="21" t="n">
        <f aca="false">IF(D325&lt;=E325,1,0)</f>
        <v>1</v>
      </c>
      <c r="P325" s="23" t="n">
        <f aca="false">G325+H325</f>
        <v>106.56</v>
      </c>
      <c r="Q325" s="23" t="n">
        <f aca="false">G325*INDEX(Assumptions!$B$8:$B$16,MATCH(F325,Assumptions!$A$8:$A$16,0))</f>
        <v>59.6904</v>
      </c>
      <c r="R325" s="23" t="n">
        <f aca="false">H325*Assumptions!$B$3</f>
        <v>9.672</v>
      </c>
      <c r="S325" s="23" t="n">
        <f aca="false">G325-Q325-R325</f>
        <v>21.0776</v>
      </c>
      <c r="T325" s="21" t="str">
        <f aca="false">IF(M325&lt;=7,"0-7 days",IF(M325&lt;=14,"8-14 days",IF(M325&lt;=21,"15-21 days","22+ days")))</f>
        <v>0-7 days</v>
      </c>
    </row>
    <row r="326" customFormat="false" ht="15" hidden="false" customHeight="false" outlineLevel="0" collapsed="false">
      <c r="A326" s="21" t="s">
        <v>392</v>
      </c>
      <c r="B326" s="21" t="s">
        <v>19</v>
      </c>
      <c r="C326" s="22" t="n">
        <v>42948</v>
      </c>
      <c r="D326" s="22" t="n">
        <v>42955</v>
      </c>
      <c r="E326" s="22" t="n">
        <v>42962</v>
      </c>
      <c r="F326" s="21" t="s">
        <v>111</v>
      </c>
      <c r="G326" s="23" t="n">
        <v>62.92</v>
      </c>
      <c r="H326" s="23" t="n">
        <v>22.13</v>
      </c>
      <c r="I326" s="21" t="s">
        <v>104</v>
      </c>
      <c r="J326" s="21" t="n">
        <v>5</v>
      </c>
      <c r="K326" s="21" t="s">
        <v>46</v>
      </c>
      <c r="L326" s="24" t="n">
        <f aca="false">DATE(YEAR(C326),MONTH(C326),1)</f>
        <v>42948</v>
      </c>
      <c r="M326" s="21" t="n">
        <f aca="false">D326-C326</f>
        <v>7</v>
      </c>
      <c r="N326" s="21" t="n">
        <f aca="false">MAX(0,D326-E326)</f>
        <v>0</v>
      </c>
      <c r="O326" s="21" t="n">
        <f aca="false">IF(D326&lt;=E326,1,0)</f>
        <v>1</v>
      </c>
      <c r="P326" s="23" t="n">
        <f aca="false">G326+H326</f>
        <v>85.05</v>
      </c>
      <c r="Q326" s="23" t="n">
        <f aca="false">G326*INDEX(Assumptions!$B$8:$B$16,MATCH(F326,Assumptions!$A$8:$A$16,0))</f>
        <v>39.6396</v>
      </c>
      <c r="R326" s="23" t="n">
        <f aca="false">H326*Assumptions!$B$3</f>
        <v>13.278</v>
      </c>
      <c r="S326" s="23" t="n">
        <f aca="false">G326-Q326-R326</f>
        <v>10.0024</v>
      </c>
      <c r="T326" s="21" t="str">
        <f aca="false">IF(M326&lt;=7,"0-7 days",IF(M326&lt;=14,"8-14 days",IF(M326&lt;=21,"15-21 days","22+ days")))</f>
        <v>0-7 days</v>
      </c>
    </row>
    <row r="327" customFormat="false" ht="15" hidden="false" customHeight="false" outlineLevel="0" collapsed="false">
      <c r="A327" s="21" t="s">
        <v>393</v>
      </c>
      <c r="B327" s="21" t="s">
        <v>19</v>
      </c>
      <c r="C327" s="22" t="n">
        <v>42949</v>
      </c>
      <c r="D327" s="22" t="n">
        <v>42956</v>
      </c>
      <c r="E327" s="22" t="n">
        <v>42966</v>
      </c>
      <c r="F327" s="21" t="s">
        <v>111</v>
      </c>
      <c r="G327" s="23" t="n">
        <v>101.2</v>
      </c>
      <c r="H327" s="23" t="n">
        <v>19.77</v>
      </c>
      <c r="I327" s="21" t="s">
        <v>45</v>
      </c>
      <c r="J327" s="21" t="n">
        <v>4</v>
      </c>
      <c r="K327" s="21" t="s">
        <v>46</v>
      </c>
      <c r="L327" s="24" t="n">
        <f aca="false">DATE(YEAR(C327),MONTH(C327),1)</f>
        <v>42948</v>
      </c>
      <c r="M327" s="21" t="n">
        <f aca="false">D327-C327</f>
        <v>7</v>
      </c>
      <c r="N327" s="21" t="n">
        <f aca="false">MAX(0,D327-E327)</f>
        <v>0</v>
      </c>
      <c r="O327" s="21" t="n">
        <f aca="false">IF(D327&lt;=E327,1,0)</f>
        <v>1</v>
      </c>
      <c r="P327" s="23" t="n">
        <f aca="false">G327+H327</f>
        <v>120.97</v>
      </c>
      <c r="Q327" s="23" t="n">
        <f aca="false">G327*INDEX(Assumptions!$B$8:$B$16,MATCH(F327,Assumptions!$A$8:$A$16,0))</f>
        <v>63.756</v>
      </c>
      <c r="R327" s="23" t="n">
        <f aca="false">H327*Assumptions!$B$3</f>
        <v>11.862</v>
      </c>
      <c r="S327" s="23" t="n">
        <f aca="false">G327-Q327-R327</f>
        <v>25.582</v>
      </c>
      <c r="T327" s="21" t="str">
        <f aca="false">IF(M327&lt;=7,"0-7 days",IF(M327&lt;=14,"8-14 days",IF(M327&lt;=21,"15-21 days","22+ days")))</f>
        <v>0-7 days</v>
      </c>
    </row>
    <row r="328" customFormat="false" ht="15" hidden="false" customHeight="false" outlineLevel="0" collapsed="false">
      <c r="A328" s="21" t="s">
        <v>394</v>
      </c>
      <c r="B328" s="21" t="s">
        <v>19</v>
      </c>
      <c r="C328" s="22" t="n">
        <v>42949</v>
      </c>
      <c r="D328" s="22" t="n">
        <v>42962</v>
      </c>
      <c r="E328" s="22" t="n">
        <v>42964</v>
      </c>
      <c r="F328" s="21" t="s">
        <v>59</v>
      </c>
      <c r="G328" s="23" t="n">
        <v>166.23</v>
      </c>
      <c r="H328" s="23" t="n">
        <v>16.04</v>
      </c>
      <c r="I328" s="21" t="s">
        <v>45</v>
      </c>
      <c r="J328" s="21" t="n">
        <v>3</v>
      </c>
      <c r="K328" s="21" t="s">
        <v>46</v>
      </c>
      <c r="L328" s="24" t="n">
        <f aca="false">DATE(YEAR(C328),MONTH(C328),1)</f>
        <v>42948</v>
      </c>
      <c r="M328" s="21" t="n">
        <f aca="false">D328-C328</f>
        <v>13</v>
      </c>
      <c r="N328" s="21" t="n">
        <f aca="false">MAX(0,D328-E328)</f>
        <v>0</v>
      </c>
      <c r="O328" s="21" t="n">
        <f aca="false">IF(D328&lt;=E328,1,0)</f>
        <v>1</v>
      </c>
      <c r="P328" s="23" t="n">
        <f aca="false">G328+H328</f>
        <v>182.27</v>
      </c>
      <c r="Q328" s="23" t="n">
        <f aca="false">G328*INDEX(Assumptions!$B$8:$B$16,MATCH(F328,Assumptions!$A$8:$A$16,0))</f>
        <v>106.3872</v>
      </c>
      <c r="R328" s="23" t="n">
        <f aca="false">H328*Assumptions!$B$3</f>
        <v>9.624</v>
      </c>
      <c r="S328" s="23" t="n">
        <f aca="false">G328-Q328-R328</f>
        <v>50.2188</v>
      </c>
      <c r="T328" s="21" t="str">
        <f aca="false">IF(M328&lt;=7,"0-7 days",IF(M328&lt;=14,"8-14 days",IF(M328&lt;=21,"15-21 days","22+ days")))</f>
        <v>8-14 days</v>
      </c>
    </row>
    <row r="329" customFormat="false" ht="15" hidden="false" customHeight="false" outlineLevel="0" collapsed="false">
      <c r="A329" s="21" t="s">
        <v>395</v>
      </c>
      <c r="B329" s="21" t="s">
        <v>55</v>
      </c>
      <c r="C329" s="22" t="n">
        <v>42949</v>
      </c>
      <c r="D329" s="22" t="n">
        <v>42968</v>
      </c>
      <c r="E329" s="22" t="n">
        <v>42970</v>
      </c>
      <c r="F329" s="21" t="s">
        <v>49</v>
      </c>
      <c r="G329" s="23" t="n">
        <v>50.58</v>
      </c>
      <c r="H329" s="23" t="n">
        <v>17.11</v>
      </c>
      <c r="I329" s="21" t="s">
        <v>45</v>
      </c>
      <c r="J329" s="21" t="n">
        <v>4</v>
      </c>
      <c r="K329" s="21" t="s">
        <v>46</v>
      </c>
      <c r="L329" s="24" t="n">
        <f aca="false">DATE(YEAR(C329),MONTH(C329),1)</f>
        <v>42948</v>
      </c>
      <c r="M329" s="21" t="n">
        <f aca="false">D329-C329</f>
        <v>19</v>
      </c>
      <c r="N329" s="21" t="n">
        <f aca="false">MAX(0,D329-E329)</f>
        <v>0</v>
      </c>
      <c r="O329" s="21" t="n">
        <f aca="false">IF(D329&lt;=E329,1,0)</f>
        <v>1</v>
      </c>
      <c r="P329" s="23" t="n">
        <f aca="false">G329+H329</f>
        <v>67.69</v>
      </c>
      <c r="Q329" s="23" t="n">
        <f aca="false">G329*INDEX(Assumptions!$B$8:$B$16,MATCH(F329,Assumptions!$A$8:$A$16,0))</f>
        <v>29.3364</v>
      </c>
      <c r="R329" s="23" t="n">
        <f aca="false">H329*Assumptions!$B$3</f>
        <v>10.266</v>
      </c>
      <c r="S329" s="23" t="n">
        <f aca="false">G329-Q329-R329</f>
        <v>10.9776</v>
      </c>
      <c r="T329" s="21" t="str">
        <f aca="false">IF(M329&lt;=7,"0-7 days",IF(M329&lt;=14,"8-14 days",IF(M329&lt;=21,"15-21 days","22+ days")))</f>
        <v>15-21 days</v>
      </c>
    </row>
    <row r="330" customFormat="false" ht="15" hidden="false" customHeight="false" outlineLevel="0" collapsed="false">
      <c r="A330" s="21" t="s">
        <v>396</v>
      </c>
      <c r="B330" s="21" t="s">
        <v>19</v>
      </c>
      <c r="C330" s="22" t="n">
        <v>42950</v>
      </c>
      <c r="D330" s="22" t="n">
        <v>42957</v>
      </c>
      <c r="E330" s="22" t="n">
        <v>42962</v>
      </c>
      <c r="F330" s="21" t="s">
        <v>67</v>
      </c>
      <c r="G330" s="23" t="n">
        <v>92.31</v>
      </c>
      <c r="H330" s="23" t="n">
        <v>22.78</v>
      </c>
      <c r="I330" s="21" t="s">
        <v>45</v>
      </c>
      <c r="J330" s="21" t="n">
        <v>4</v>
      </c>
      <c r="K330" s="21" t="s">
        <v>46</v>
      </c>
      <c r="L330" s="24" t="n">
        <f aca="false">DATE(YEAR(C330),MONTH(C330),1)</f>
        <v>42948</v>
      </c>
      <c r="M330" s="21" t="n">
        <f aca="false">D330-C330</f>
        <v>7</v>
      </c>
      <c r="N330" s="21" t="n">
        <f aca="false">MAX(0,D330-E330)</f>
        <v>0</v>
      </c>
      <c r="O330" s="21" t="n">
        <f aca="false">IF(D330&lt;=E330,1,0)</f>
        <v>1</v>
      </c>
      <c r="P330" s="23" t="n">
        <f aca="false">G330+H330</f>
        <v>115.09</v>
      </c>
      <c r="Q330" s="23" t="n">
        <f aca="false">G330*INDEX(Assumptions!$B$8:$B$16,MATCH(F330,Assumptions!$A$8:$A$16,0))</f>
        <v>57.2322</v>
      </c>
      <c r="R330" s="23" t="n">
        <f aca="false">H330*Assumptions!$B$3</f>
        <v>13.668</v>
      </c>
      <c r="S330" s="23" t="n">
        <f aca="false">G330-Q330-R330</f>
        <v>21.4098</v>
      </c>
      <c r="T330" s="21" t="str">
        <f aca="false">IF(M330&lt;=7,"0-7 days",IF(M330&lt;=14,"8-14 days",IF(M330&lt;=21,"15-21 days","22+ days")))</f>
        <v>0-7 days</v>
      </c>
    </row>
    <row r="331" customFormat="false" ht="15" hidden="false" customHeight="false" outlineLevel="0" collapsed="false">
      <c r="A331" s="21" t="s">
        <v>397</v>
      </c>
      <c r="B331" s="21" t="s">
        <v>19</v>
      </c>
      <c r="C331" s="22" t="n">
        <v>42950</v>
      </c>
      <c r="D331" s="22" t="n">
        <v>42957</v>
      </c>
      <c r="E331" s="22" t="n">
        <v>42968</v>
      </c>
      <c r="F331" s="21" t="s">
        <v>111</v>
      </c>
      <c r="G331" s="23" t="n">
        <v>37.47</v>
      </c>
      <c r="H331" s="23" t="n">
        <v>21.14</v>
      </c>
      <c r="I331" s="21" t="s">
        <v>60</v>
      </c>
      <c r="J331" s="21" t="n">
        <v>5</v>
      </c>
      <c r="K331" s="21" t="s">
        <v>46</v>
      </c>
      <c r="L331" s="24" t="n">
        <f aca="false">DATE(YEAR(C331),MONTH(C331),1)</f>
        <v>42948</v>
      </c>
      <c r="M331" s="21" t="n">
        <f aca="false">D331-C331</f>
        <v>7</v>
      </c>
      <c r="N331" s="21" t="n">
        <f aca="false">MAX(0,D331-E331)</f>
        <v>0</v>
      </c>
      <c r="O331" s="21" t="n">
        <f aca="false">IF(D331&lt;=E331,1,0)</f>
        <v>1</v>
      </c>
      <c r="P331" s="23" t="n">
        <f aca="false">G331+H331</f>
        <v>58.61</v>
      </c>
      <c r="Q331" s="23" t="n">
        <f aca="false">G331*INDEX(Assumptions!$B$8:$B$16,MATCH(F331,Assumptions!$A$8:$A$16,0))</f>
        <v>23.6061</v>
      </c>
      <c r="R331" s="23" t="n">
        <f aca="false">H331*Assumptions!$B$3</f>
        <v>12.684</v>
      </c>
      <c r="S331" s="23" t="n">
        <f aca="false">G331-Q331-R331</f>
        <v>1.1799</v>
      </c>
      <c r="T331" s="21" t="str">
        <f aca="false">IF(M331&lt;=7,"0-7 days",IF(M331&lt;=14,"8-14 days",IF(M331&lt;=21,"15-21 days","22+ days")))</f>
        <v>0-7 days</v>
      </c>
    </row>
    <row r="332" customFormat="false" ht="15" hidden="false" customHeight="false" outlineLevel="0" collapsed="false">
      <c r="A332" s="21" t="s">
        <v>398</v>
      </c>
      <c r="B332" s="21" t="s">
        <v>19</v>
      </c>
      <c r="C332" s="22" t="n">
        <v>42950</v>
      </c>
      <c r="D332" s="22" t="n">
        <v>42956</v>
      </c>
      <c r="E332" s="22" t="n">
        <v>42964</v>
      </c>
      <c r="F332" s="21" t="s">
        <v>111</v>
      </c>
      <c r="G332" s="23" t="n">
        <v>29.28</v>
      </c>
      <c r="H332" s="23" t="n">
        <v>19.67</v>
      </c>
      <c r="I332" s="21" t="s">
        <v>50</v>
      </c>
      <c r="J332" s="21" t="n">
        <v>4</v>
      </c>
      <c r="K332" s="21" t="s">
        <v>46</v>
      </c>
      <c r="L332" s="24" t="n">
        <f aca="false">DATE(YEAR(C332),MONTH(C332),1)</f>
        <v>42948</v>
      </c>
      <c r="M332" s="21" t="n">
        <f aca="false">D332-C332</f>
        <v>6</v>
      </c>
      <c r="N332" s="21" t="n">
        <f aca="false">MAX(0,D332-E332)</f>
        <v>0</v>
      </c>
      <c r="O332" s="21" t="n">
        <f aca="false">IF(D332&lt;=E332,1,0)</f>
        <v>1</v>
      </c>
      <c r="P332" s="23" t="n">
        <f aca="false">G332+H332</f>
        <v>48.95</v>
      </c>
      <c r="Q332" s="23" t="n">
        <f aca="false">G332*INDEX(Assumptions!$B$8:$B$16,MATCH(F332,Assumptions!$A$8:$A$16,0))</f>
        <v>18.4464</v>
      </c>
      <c r="R332" s="23" t="n">
        <f aca="false">H332*Assumptions!$B$3</f>
        <v>11.802</v>
      </c>
      <c r="S332" s="23" t="n">
        <f aca="false">G332-Q332-R332</f>
        <v>-0.968400000000001</v>
      </c>
      <c r="T332" s="21" t="str">
        <f aca="false">IF(M332&lt;=7,"0-7 days",IF(M332&lt;=14,"8-14 days",IF(M332&lt;=21,"15-21 days","22+ days")))</f>
        <v>0-7 days</v>
      </c>
    </row>
    <row r="333" customFormat="false" ht="15" hidden="false" customHeight="false" outlineLevel="0" collapsed="false">
      <c r="A333" s="21" t="s">
        <v>399</v>
      </c>
      <c r="B333" s="21" t="s">
        <v>48</v>
      </c>
      <c r="C333" s="22" t="n">
        <v>42950</v>
      </c>
      <c r="D333" s="22" t="n">
        <v>42956</v>
      </c>
      <c r="E333" s="22" t="n">
        <v>42969</v>
      </c>
      <c r="F333" s="21" t="s">
        <v>67</v>
      </c>
      <c r="G333" s="23" t="n">
        <v>51.96</v>
      </c>
      <c r="H333" s="23" t="n">
        <v>16.84</v>
      </c>
      <c r="I333" s="21" t="s">
        <v>45</v>
      </c>
      <c r="J333" s="21" t="n">
        <v>4</v>
      </c>
      <c r="K333" s="21" t="s">
        <v>46</v>
      </c>
      <c r="L333" s="24" t="n">
        <f aca="false">DATE(YEAR(C333),MONTH(C333),1)</f>
        <v>42948</v>
      </c>
      <c r="M333" s="21" t="n">
        <f aca="false">D333-C333</f>
        <v>6</v>
      </c>
      <c r="N333" s="21" t="n">
        <f aca="false">MAX(0,D333-E333)</f>
        <v>0</v>
      </c>
      <c r="O333" s="21" t="n">
        <f aca="false">IF(D333&lt;=E333,1,0)</f>
        <v>1</v>
      </c>
      <c r="P333" s="23" t="n">
        <f aca="false">G333+H333</f>
        <v>68.8</v>
      </c>
      <c r="Q333" s="23" t="n">
        <f aca="false">G333*INDEX(Assumptions!$B$8:$B$16,MATCH(F333,Assumptions!$A$8:$A$16,0))</f>
        <v>32.2152</v>
      </c>
      <c r="R333" s="23" t="n">
        <f aca="false">H333*Assumptions!$B$3</f>
        <v>10.104</v>
      </c>
      <c r="S333" s="23" t="n">
        <f aca="false">G333-Q333-R333</f>
        <v>9.6408</v>
      </c>
      <c r="T333" s="21" t="str">
        <f aca="false">IF(M333&lt;=7,"0-7 days",IF(M333&lt;=14,"8-14 days",IF(M333&lt;=21,"15-21 days","22+ days")))</f>
        <v>0-7 days</v>
      </c>
    </row>
    <row r="334" customFormat="false" ht="15" hidden="false" customHeight="false" outlineLevel="0" collapsed="false">
      <c r="A334" s="21" t="s">
        <v>400</v>
      </c>
      <c r="B334" s="21" t="s">
        <v>19</v>
      </c>
      <c r="C334" s="22" t="n">
        <v>42950</v>
      </c>
      <c r="D334" s="22" t="n">
        <v>42957</v>
      </c>
      <c r="E334" s="22" t="n">
        <v>42968</v>
      </c>
      <c r="F334" s="21" t="s">
        <v>59</v>
      </c>
      <c r="G334" s="23" t="n">
        <v>49.42</v>
      </c>
      <c r="H334" s="23" t="n">
        <v>20.08</v>
      </c>
      <c r="I334" s="21" t="s">
        <v>45</v>
      </c>
      <c r="J334" s="21" t="n">
        <v>5</v>
      </c>
      <c r="K334" s="21" t="s">
        <v>46</v>
      </c>
      <c r="L334" s="24" t="n">
        <f aca="false">DATE(YEAR(C334),MONTH(C334),1)</f>
        <v>42948</v>
      </c>
      <c r="M334" s="21" t="n">
        <f aca="false">D334-C334</f>
        <v>7</v>
      </c>
      <c r="N334" s="21" t="n">
        <f aca="false">MAX(0,D334-E334)</f>
        <v>0</v>
      </c>
      <c r="O334" s="21" t="n">
        <f aca="false">IF(D334&lt;=E334,1,0)</f>
        <v>1</v>
      </c>
      <c r="P334" s="23" t="n">
        <f aca="false">G334+H334</f>
        <v>69.5</v>
      </c>
      <c r="Q334" s="23" t="n">
        <f aca="false">G334*INDEX(Assumptions!$B$8:$B$16,MATCH(F334,Assumptions!$A$8:$A$16,0))</f>
        <v>31.6288</v>
      </c>
      <c r="R334" s="23" t="n">
        <f aca="false">H334*Assumptions!$B$3</f>
        <v>12.048</v>
      </c>
      <c r="S334" s="23" t="n">
        <f aca="false">G334-Q334-R334</f>
        <v>5.7432</v>
      </c>
      <c r="T334" s="21" t="str">
        <f aca="false">IF(M334&lt;=7,"0-7 days",IF(M334&lt;=14,"8-14 days",IF(M334&lt;=21,"15-21 days","22+ days")))</f>
        <v>0-7 days</v>
      </c>
    </row>
    <row r="335" customFormat="false" ht="15" hidden="false" customHeight="false" outlineLevel="0" collapsed="false">
      <c r="A335" s="21" t="s">
        <v>401</v>
      </c>
      <c r="B335" s="21" t="s">
        <v>19</v>
      </c>
      <c r="C335" s="22" t="n">
        <v>42950</v>
      </c>
      <c r="D335" s="22" t="n">
        <v>42957</v>
      </c>
      <c r="E335" s="22" t="n">
        <v>42964</v>
      </c>
      <c r="F335" s="21" t="s">
        <v>64</v>
      </c>
      <c r="G335" s="23" t="n">
        <v>123.85</v>
      </c>
      <c r="H335" s="23" t="n">
        <v>19.52</v>
      </c>
      <c r="I335" s="21" t="s">
        <v>45</v>
      </c>
      <c r="J335" s="21" t="n">
        <v>5</v>
      </c>
      <c r="K335" s="21" t="s">
        <v>46</v>
      </c>
      <c r="L335" s="24" t="n">
        <f aca="false">DATE(YEAR(C335),MONTH(C335),1)</f>
        <v>42948</v>
      </c>
      <c r="M335" s="21" t="n">
        <f aca="false">D335-C335</f>
        <v>7</v>
      </c>
      <c r="N335" s="21" t="n">
        <f aca="false">MAX(0,D335-E335)</f>
        <v>0</v>
      </c>
      <c r="O335" s="21" t="n">
        <f aca="false">IF(D335&lt;=E335,1,0)</f>
        <v>1</v>
      </c>
      <c r="P335" s="23" t="n">
        <f aca="false">G335+H335</f>
        <v>143.37</v>
      </c>
      <c r="Q335" s="23" t="n">
        <f aca="false">G335*INDEX(Assumptions!$B$8:$B$16,MATCH(F335,Assumptions!$A$8:$A$16,0))</f>
        <v>81.741</v>
      </c>
      <c r="R335" s="23" t="n">
        <f aca="false">H335*Assumptions!$B$3</f>
        <v>11.712</v>
      </c>
      <c r="S335" s="23" t="n">
        <f aca="false">G335-Q335-R335</f>
        <v>30.397</v>
      </c>
      <c r="T335" s="21" t="str">
        <f aca="false">IF(M335&lt;=7,"0-7 days",IF(M335&lt;=14,"8-14 days",IF(M335&lt;=21,"15-21 days","22+ days")))</f>
        <v>0-7 days</v>
      </c>
    </row>
    <row r="336" customFormat="false" ht="15" hidden="false" customHeight="false" outlineLevel="0" collapsed="false">
      <c r="A336" s="21" t="s">
        <v>402</v>
      </c>
      <c r="B336" s="21" t="s">
        <v>19</v>
      </c>
      <c r="C336" s="22" t="n">
        <v>42951</v>
      </c>
      <c r="D336" s="22" t="n">
        <v>42963</v>
      </c>
      <c r="E336" s="22" t="n">
        <v>42967</v>
      </c>
      <c r="F336" s="21" t="s">
        <v>79</v>
      </c>
      <c r="G336" s="23" t="n">
        <v>76.47</v>
      </c>
      <c r="H336" s="23" t="n">
        <v>18.55</v>
      </c>
      <c r="I336" s="21" t="s">
        <v>45</v>
      </c>
      <c r="J336" s="21" t="n">
        <v>4</v>
      </c>
      <c r="K336" s="21" t="s">
        <v>46</v>
      </c>
      <c r="L336" s="24" t="n">
        <f aca="false">DATE(YEAR(C336),MONTH(C336),1)</f>
        <v>42948</v>
      </c>
      <c r="M336" s="21" t="n">
        <f aca="false">D336-C336</f>
        <v>12</v>
      </c>
      <c r="N336" s="21" t="n">
        <f aca="false">MAX(0,D336-E336)</f>
        <v>0</v>
      </c>
      <c r="O336" s="21" t="n">
        <f aca="false">IF(D336&lt;=E336,1,0)</f>
        <v>1</v>
      </c>
      <c r="P336" s="23" t="n">
        <f aca="false">G336+H336</f>
        <v>95.02</v>
      </c>
      <c r="Q336" s="23" t="n">
        <f aca="false">G336*INDEX(Assumptions!$B$8:$B$16,MATCH(F336,Assumptions!$A$8:$A$16,0))</f>
        <v>53.529</v>
      </c>
      <c r="R336" s="23" t="n">
        <f aca="false">H336*Assumptions!$B$3</f>
        <v>11.13</v>
      </c>
      <c r="S336" s="23" t="n">
        <f aca="false">G336-Q336-R336</f>
        <v>11.811</v>
      </c>
      <c r="T336" s="21" t="str">
        <f aca="false">IF(M336&lt;=7,"0-7 days",IF(M336&lt;=14,"8-14 days",IF(M336&lt;=21,"15-21 days","22+ days")))</f>
        <v>8-14 days</v>
      </c>
    </row>
    <row r="337" customFormat="false" ht="15" hidden="false" customHeight="false" outlineLevel="0" collapsed="false">
      <c r="A337" s="21" t="s">
        <v>403</v>
      </c>
      <c r="B337" s="21" t="s">
        <v>62</v>
      </c>
      <c r="C337" s="22" t="n">
        <v>42951</v>
      </c>
      <c r="D337" s="22" t="n">
        <v>42971</v>
      </c>
      <c r="E337" s="22" t="n">
        <v>42973</v>
      </c>
      <c r="F337" s="21" t="s">
        <v>53</v>
      </c>
      <c r="G337" s="23" t="n">
        <v>229.19</v>
      </c>
      <c r="H337" s="23" t="n">
        <v>21.23</v>
      </c>
      <c r="I337" s="21" t="s">
        <v>45</v>
      </c>
      <c r="J337" s="21" t="n">
        <v>4</v>
      </c>
      <c r="K337" s="21" t="s">
        <v>46</v>
      </c>
      <c r="L337" s="24" t="n">
        <f aca="false">DATE(YEAR(C337),MONTH(C337),1)</f>
        <v>42948</v>
      </c>
      <c r="M337" s="21" t="n">
        <f aca="false">D337-C337</f>
        <v>20</v>
      </c>
      <c r="N337" s="21" t="n">
        <f aca="false">MAX(0,D337-E337)</f>
        <v>0</v>
      </c>
      <c r="O337" s="21" t="n">
        <f aca="false">IF(D337&lt;=E337,1,0)</f>
        <v>1</v>
      </c>
      <c r="P337" s="23" t="n">
        <f aca="false">G337+H337</f>
        <v>250.42</v>
      </c>
      <c r="Q337" s="23" t="n">
        <f aca="false">G337*INDEX(Assumptions!$B$8:$B$16,MATCH(F337,Assumptions!$A$8:$A$16,0))</f>
        <v>169.6006</v>
      </c>
      <c r="R337" s="23" t="n">
        <f aca="false">H337*Assumptions!$B$3</f>
        <v>12.738</v>
      </c>
      <c r="S337" s="23" t="n">
        <f aca="false">G337-Q337-R337</f>
        <v>46.8514</v>
      </c>
      <c r="T337" s="21" t="str">
        <f aca="false">IF(M337&lt;=7,"0-7 days",IF(M337&lt;=14,"8-14 days",IF(M337&lt;=21,"15-21 days","22+ days")))</f>
        <v>15-21 days</v>
      </c>
    </row>
    <row r="338" customFormat="false" ht="15" hidden="false" customHeight="false" outlineLevel="0" collapsed="false">
      <c r="A338" s="21" t="s">
        <v>404</v>
      </c>
      <c r="B338" s="21" t="s">
        <v>19</v>
      </c>
      <c r="C338" s="22" t="n">
        <v>42951</v>
      </c>
      <c r="D338" s="22" t="n">
        <v>42963</v>
      </c>
      <c r="E338" s="22" t="n">
        <v>42966</v>
      </c>
      <c r="F338" s="21" t="s">
        <v>64</v>
      </c>
      <c r="G338" s="23" t="n">
        <v>65.8</v>
      </c>
      <c r="H338" s="23" t="n">
        <v>12.92</v>
      </c>
      <c r="I338" s="21" t="s">
        <v>45</v>
      </c>
      <c r="J338" s="21" t="n">
        <v>5</v>
      </c>
      <c r="K338" s="21" t="s">
        <v>46</v>
      </c>
      <c r="L338" s="24" t="n">
        <f aca="false">DATE(YEAR(C338),MONTH(C338),1)</f>
        <v>42948</v>
      </c>
      <c r="M338" s="21" t="n">
        <f aca="false">D338-C338</f>
        <v>12</v>
      </c>
      <c r="N338" s="21" t="n">
        <f aca="false">MAX(0,D338-E338)</f>
        <v>0</v>
      </c>
      <c r="O338" s="21" t="n">
        <f aca="false">IF(D338&lt;=E338,1,0)</f>
        <v>1</v>
      </c>
      <c r="P338" s="23" t="n">
        <f aca="false">G338+H338</f>
        <v>78.72</v>
      </c>
      <c r="Q338" s="23" t="n">
        <f aca="false">G338*INDEX(Assumptions!$B$8:$B$16,MATCH(F338,Assumptions!$A$8:$A$16,0))</f>
        <v>43.428</v>
      </c>
      <c r="R338" s="23" t="n">
        <f aca="false">H338*Assumptions!$B$3</f>
        <v>7.752</v>
      </c>
      <c r="S338" s="23" t="n">
        <f aca="false">G338-Q338-R338</f>
        <v>14.62</v>
      </c>
      <c r="T338" s="21" t="str">
        <f aca="false">IF(M338&lt;=7,"0-7 days",IF(M338&lt;=14,"8-14 days",IF(M338&lt;=21,"15-21 days","22+ days")))</f>
        <v>8-14 days</v>
      </c>
    </row>
    <row r="339" customFormat="false" ht="15" hidden="false" customHeight="false" outlineLevel="0" collapsed="false">
      <c r="A339" s="21" t="s">
        <v>405</v>
      </c>
      <c r="B339" s="21" t="s">
        <v>55</v>
      </c>
      <c r="C339" s="22" t="n">
        <v>42951</v>
      </c>
      <c r="D339" s="22" t="n">
        <v>42967</v>
      </c>
      <c r="E339" s="22" t="n">
        <v>42974</v>
      </c>
      <c r="F339" s="21" t="s">
        <v>49</v>
      </c>
      <c r="G339" s="23" t="n">
        <v>127.98</v>
      </c>
      <c r="H339" s="23" t="n">
        <v>23.99</v>
      </c>
      <c r="I339" s="21" t="s">
        <v>45</v>
      </c>
      <c r="J339" s="21" t="n">
        <v>5</v>
      </c>
      <c r="K339" s="21" t="s">
        <v>46</v>
      </c>
      <c r="L339" s="24" t="n">
        <f aca="false">DATE(YEAR(C339),MONTH(C339),1)</f>
        <v>42948</v>
      </c>
      <c r="M339" s="21" t="n">
        <f aca="false">D339-C339</f>
        <v>16</v>
      </c>
      <c r="N339" s="21" t="n">
        <f aca="false">MAX(0,D339-E339)</f>
        <v>0</v>
      </c>
      <c r="O339" s="21" t="n">
        <f aca="false">IF(D339&lt;=E339,1,0)</f>
        <v>1</v>
      </c>
      <c r="P339" s="23" t="n">
        <f aca="false">G339+H339</f>
        <v>151.97</v>
      </c>
      <c r="Q339" s="23" t="n">
        <f aca="false">G339*INDEX(Assumptions!$B$8:$B$16,MATCH(F339,Assumptions!$A$8:$A$16,0))</f>
        <v>74.2284</v>
      </c>
      <c r="R339" s="23" t="n">
        <f aca="false">H339*Assumptions!$B$3</f>
        <v>14.394</v>
      </c>
      <c r="S339" s="23" t="n">
        <f aca="false">G339-Q339-R339</f>
        <v>39.3576</v>
      </c>
      <c r="T339" s="21" t="str">
        <f aca="false">IF(M339&lt;=7,"0-7 days",IF(M339&lt;=14,"8-14 days",IF(M339&lt;=21,"15-21 days","22+ days")))</f>
        <v>15-21 days</v>
      </c>
    </row>
    <row r="340" customFormat="false" ht="15" hidden="false" customHeight="false" outlineLevel="0" collapsed="false">
      <c r="A340" s="21" t="s">
        <v>406</v>
      </c>
      <c r="B340" s="21" t="s">
        <v>48</v>
      </c>
      <c r="C340" s="22" t="n">
        <v>42952</v>
      </c>
      <c r="D340" s="22" t="n">
        <v>42961</v>
      </c>
      <c r="E340" s="22" t="n">
        <v>42973</v>
      </c>
      <c r="F340" s="21" t="s">
        <v>53</v>
      </c>
      <c r="G340" s="23" t="n">
        <v>198.13</v>
      </c>
      <c r="H340" s="23" t="n">
        <v>27.23</v>
      </c>
      <c r="I340" s="21" t="s">
        <v>45</v>
      </c>
      <c r="J340" s="21" t="n">
        <v>4</v>
      </c>
      <c r="K340" s="21" t="s">
        <v>46</v>
      </c>
      <c r="L340" s="24" t="n">
        <f aca="false">DATE(YEAR(C340),MONTH(C340),1)</f>
        <v>42948</v>
      </c>
      <c r="M340" s="21" t="n">
        <f aca="false">D340-C340</f>
        <v>9</v>
      </c>
      <c r="N340" s="21" t="n">
        <f aca="false">MAX(0,D340-E340)</f>
        <v>0</v>
      </c>
      <c r="O340" s="21" t="n">
        <f aca="false">IF(D340&lt;=E340,1,0)</f>
        <v>1</v>
      </c>
      <c r="P340" s="23" t="n">
        <f aca="false">G340+H340</f>
        <v>225.36</v>
      </c>
      <c r="Q340" s="23" t="n">
        <f aca="false">G340*INDEX(Assumptions!$B$8:$B$16,MATCH(F340,Assumptions!$A$8:$A$16,0))</f>
        <v>146.6162</v>
      </c>
      <c r="R340" s="23" t="n">
        <f aca="false">H340*Assumptions!$B$3</f>
        <v>16.338</v>
      </c>
      <c r="S340" s="23" t="n">
        <f aca="false">G340-Q340-R340</f>
        <v>35.1758</v>
      </c>
      <c r="T340" s="21" t="str">
        <f aca="false">IF(M340&lt;=7,"0-7 days",IF(M340&lt;=14,"8-14 days",IF(M340&lt;=21,"15-21 days","22+ days")))</f>
        <v>8-14 days</v>
      </c>
    </row>
    <row r="341" customFormat="false" ht="15" hidden="false" customHeight="false" outlineLevel="0" collapsed="false">
      <c r="A341" s="21" t="s">
        <v>407</v>
      </c>
      <c r="B341" s="21" t="s">
        <v>52</v>
      </c>
      <c r="C341" s="22" t="n">
        <v>42952</v>
      </c>
      <c r="D341" s="22" t="n">
        <v>42970</v>
      </c>
      <c r="E341" s="22" t="n">
        <v>42978</v>
      </c>
      <c r="F341" s="21" t="s">
        <v>79</v>
      </c>
      <c r="G341" s="23" t="n">
        <v>112.83</v>
      </c>
      <c r="H341" s="23" t="n">
        <v>32.67</v>
      </c>
      <c r="I341" s="21" t="s">
        <v>45</v>
      </c>
      <c r="J341" s="21" t="n">
        <v>4</v>
      </c>
      <c r="K341" s="21" t="s">
        <v>46</v>
      </c>
      <c r="L341" s="24" t="n">
        <f aca="false">DATE(YEAR(C341),MONTH(C341),1)</f>
        <v>42948</v>
      </c>
      <c r="M341" s="21" t="n">
        <f aca="false">D341-C341</f>
        <v>18</v>
      </c>
      <c r="N341" s="21" t="n">
        <f aca="false">MAX(0,D341-E341)</f>
        <v>0</v>
      </c>
      <c r="O341" s="21" t="n">
        <f aca="false">IF(D341&lt;=E341,1,0)</f>
        <v>1</v>
      </c>
      <c r="P341" s="23" t="n">
        <f aca="false">G341+H341</f>
        <v>145.5</v>
      </c>
      <c r="Q341" s="23" t="n">
        <f aca="false">G341*INDEX(Assumptions!$B$8:$B$16,MATCH(F341,Assumptions!$A$8:$A$16,0))</f>
        <v>78.981</v>
      </c>
      <c r="R341" s="23" t="n">
        <f aca="false">H341*Assumptions!$B$3</f>
        <v>19.602</v>
      </c>
      <c r="S341" s="23" t="n">
        <f aca="false">G341-Q341-R341</f>
        <v>14.247</v>
      </c>
      <c r="T341" s="21" t="str">
        <f aca="false">IF(M341&lt;=7,"0-7 days",IF(M341&lt;=14,"8-14 days",IF(M341&lt;=21,"15-21 days","22+ days")))</f>
        <v>15-21 days</v>
      </c>
    </row>
    <row r="342" customFormat="false" ht="15" hidden="false" customHeight="false" outlineLevel="0" collapsed="false">
      <c r="A342" s="21" t="s">
        <v>408</v>
      </c>
      <c r="B342" s="21" t="s">
        <v>55</v>
      </c>
      <c r="C342" s="22" t="n">
        <v>42952</v>
      </c>
      <c r="D342" s="22" t="n">
        <v>42974</v>
      </c>
      <c r="E342" s="22" t="n">
        <v>42978</v>
      </c>
      <c r="F342" s="21" t="s">
        <v>53</v>
      </c>
      <c r="G342" s="23" t="n">
        <v>36.62</v>
      </c>
      <c r="H342" s="23" t="n">
        <v>21.93</v>
      </c>
      <c r="I342" s="21" t="s">
        <v>45</v>
      </c>
      <c r="J342" s="21" t="n">
        <v>5</v>
      </c>
      <c r="K342" s="21" t="s">
        <v>46</v>
      </c>
      <c r="L342" s="24" t="n">
        <f aca="false">DATE(YEAR(C342),MONTH(C342),1)</f>
        <v>42948</v>
      </c>
      <c r="M342" s="21" t="n">
        <f aca="false">D342-C342</f>
        <v>22</v>
      </c>
      <c r="N342" s="21" t="n">
        <f aca="false">MAX(0,D342-E342)</f>
        <v>0</v>
      </c>
      <c r="O342" s="21" t="n">
        <f aca="false">IF(D342&lt;=E342,1,0)</f>
        <v>1</v>
      </c>
      <c r="P342" s="23" t="n">
        <f aca="false">G342+H342</f>
        <v>58.55</v>
      </c>
      <c r="Q342" s="23" t="n">
        <f aca="false">G342*INDEX(Assumptions!$B$8:$B$16,MATCH(F342,Assumptions!$A$8:$A$16,0))</f>
        <v>27.0988</v>
      </c>
      <c r="R342" s="23" t="n">
        <f aca="false">H342*Assumptions!$B$3</f>
        <v>13.158</v>
      </c>
      <c r="S342" s="23" t="n">
        <f aca="false">G342-Q342-R342</f>
        <v>-3.6368</v>
      </c>
      <c r="T342" s="21" t="str">
        <f aca="false">IF(M342&lt;=7,"0-7 days",IF(M342&lt;=14,"8-14 days",IF(M342&lt;=21,"15-21 days","22+ days")))</f>
        <v>22+ days</v>
      </c>
    </row>
    <row r="343" customFormat="false" ht="15" hidden="false" customHeight="false" outlineLevel="0" collapsed="false">
      <c r="A343" s="21" t="s">
        <v>409</v>
      </c>
      <c r="B343" s="21" t="s">
        <v>62</v>
      </c>
      <c r="C343" s="22" t="n">
        <v>42953</v>
      </c>
      <c r="D343" s="22" t="n">
        <v>42973</v>
      </c>
      <c r="E343" s="22" t="n">
        <v>42972</v>
      </c>
      <c r="F343" s="21" t="s">
        <v>59</v>
      </c>
      <c r="G343" s="23" t="n">
        <v>108.01</v>
      </c>
      <c r="H343" s="23" t="n">
        <v>21.46</v>
      </c>
      <c r="I343" s="21" t="s">
        <v>45</v>
      </c>
      <c r="J343" s="21" t="n">
        <v>4</v>
      </c>
      <c r="K343" s="21" t="s">
        <v>46</v>
      </c>
      <c r="L343" s="24" t="n">
        <f aca="false">DATE(YEAR(C343),MONTH(C343),1)</f>
        <v>42948</v>
      </c>
      <c r="M343" s="21" t="n">
        <f aca="false">D343-C343</f>
        <v>20</v>
      </c>
      <c r="N343" s="21" t="n">
        <f aca="false">MAX(0,D343-E343)</f>
        <v>1</v>
      </c>
      <c r="O343" s="21" t="n">
        <f aca="false">IF(D343&lt;=E343,1,0)</f>
        <v>0</v>
      </c>
      <c r="P343" s="23" t="n">
        <f aca="false">G343+H343</f>
        <v>129.47</v>
      </c>
      <c r="Q343" s="23" t="n">
        <f aca="false">G343*INDEX(Assumptions!$B$8:$B$16,MATCH(F343,Assumptions!$A$8:$A$16,0))</f>
        <v>69.1264</v>
      </c>
      <c r="R343" s="23" t="n">
        <f aca="false">H343*Assumptions!$B$3</f>
        <v>12.876</v>
      </c>
      <c r="S343" s="23" t="n">
        <f aca="false">G343-Q343-R343</f>
        <v>26.0076</v>
      </c>
      <c r="T343" s="21" t="str">
        <f aca="false">IF(M343&lt;=7,"0-7 days",IF(M343&lt;=14,"8-14 days",IF(M343&lt;=21,"15-21 days","22+ days")))</f>
        <v>15-21 days</v>
      </c>
    </row>
    <row r="344" customFormat="false" ht="15" hidden="false" customHeight="false" outlineLevel="0" collapsed="false">
      <c r="A344" s="21" t="s">
        <v>410</v>
      </c>
      <c r="B344" s="21" t="s">
        <v>19</v>
      </c>
      <c r="C344" s="22" t="n">
        <v>42953</v>
      </c>
      <c r="D344" s="22" t="n">
        <v>42960</v>
      </c>
      <c r="E344" s="22" t="n">
        <v>42967</v>
      </c>
      <c r="F344" s="21" t="s">
        <v>67</v>
      </c>
      <c r="G344" s="23" t="n">
        <v>57.56</v>
      </c>
      <c r="H344" s="23" t="n">
        <v>17.16</v>
      </c>
      <c r="I344" s="21" t="s">
        <v>60</v>
      </c>
      <c r="J344" s="21" t="n">
        <v>5</v>
      </c>
      <c r="K344" s="21" t="s">
        <v>46</v>
      </c>
      <c r="L344" s="24" t="n">
        <f aca="false">DATE(YEAR(C344),MONTH(C344),1)</f>
        <v>42948</v>
      </c>
      <c r="M344" s="21" t="n">
        <f aca="false">D344-C344</f>
        <v>7</v>
      </c>
      <c r="N344" s="21" t="n">
        <f aca="false">MAX(0,D344-E344)</f>
        <v>0</v>
      </c>
      <c r="O344" s="21" t="n">
        <f aca="false">IF(D344&lt;=E344,1,0)</f>
        <v>1</v>
      </c>
      <c r="P344" s="23" t="n">
        <f aca="false">G344+H344</f>
        <v>74.72</v>
      </c>
      <c r="Q344" s="23" t="n">
        <f aca="false">G344*INDEX(Assumptions!$B$8:$B$16,MATCH(F344,Assumptions!$A$8:$A$16,0))</f>
        <v>35.6872</v>
      </c>
      <c r="R344" s="23" t="n">
        <f aca="false">H344*Assumptions!$B$3</f>
        <v>10.296</v>
      </c>
      <c r="S344" s="23" t="n">
        <f aca="false">G344-Q344-R344</f>
        <v>11.5768</v>
      </c>
      <c r="T344" s="21" t="str">
        <f aca="false">IF(M344&lt;=7,"0-7 days",IF(M344&lt;=14,"8-14 days",IF(M344&lt;=21,"15-21 days","22+ days")))</f>
        <v>0-7 days</v>
      </c>
    </row>
    <row r="345" customFormat="false" ht="15" hidden="false" customHeight="false" outlineLevel="0" collapsed="false">
      <c r="A345" s="21" t="s">
        <v>411</v>
      </c>
      <c r="B345" s="21" t="s">
        <v>19</v>
      </c>
      <c r="C345" s="22" t="n">
        <v>42953</v>
      </c>
      <c r="D345" s="22" t="n">
        <v>42961</v>
      </c>
      <c r="E345" s="22" t="n">
        <v>42968</v>
      </c>
      <c r="F345" s="21" t="s">
        <v>49</v>
      </c>
      <c r="G345" s="23" t="n">
        <v>189.15</v>
      </c>
      <c r="H345" s="23" t="n">
        <v>19.97</v>
      </c>
      <c r="I345" s="21" t="s">
        <v>45</v>
      </c>
      <c r="J345" s="21" t="n">
        <v>5</v>
      </c>
      <c r="K345" s="21" t="s">
        <v>46</v>
      </c>
      <c r="L345" s="24" t="n">
        <f aca="false">DATE(YEAR(C345),MONTH(C345),1)</f>
        <v>42948</v>
      </c>
      <c r="M345" s="21" t="n">
        <f aca="false">D345-C345</f>
        <v>8</v>
      </c>
      <c r="N345" s="21" t="n">
        <f aca="false">MAX(0,D345-E345)</f>
        <v>0</v>
      </c>
      <c r="O345" s="21" t="n">
        <f aca="false">IF(D345&lt;=E345,1,0)</f>
        <v>1</v>
      </c>
      <c r="P345" s="23" t="n">
        <f aca="false">G345+H345</f>
        <v>209.12</v>
      </c>
      <c r="Q345" s="23" t="n">
        <f aca="false">G345*INDEX(Assumptions!$B$8:$B$16,MATCH(F345,Assumptions!$A$8:$A$16,0))</f>
        <v>109.707</v>
      </c>
      <c r="R345" s="23" t="n">
        <f aca="false">H345*Assumptions!$B$3</f>
        <v>11.982</v>
      </c>
      <c r="S345" s="23" t="n">
        <f aca="false">G345-Q345-R345</f>
        <v>67.461</v>
      </c>
      <c r="T345" s="21" t="str">
        <f aca="false">IF(M345&lt;=7,"0-7 days",IF(M345&lt;=14,"8-14 days",IF(M345&lt;=21,"15-21 days","22+ days")))</f>
        <v>8-14 days</v>
      </c>
    </row>
    <row r="346" customFormat="false" ht="15" hidden="false" customHeight="false" outlineLevel="0" collapsed="false">
      <c r="A346" s="21" t="s">
        <v>412</v>
      </c>
      <c r="B346" s="21" t="s">
        <v>134</v>
      </c>
      <c r="C346" s="22" t="n">
        <v>42954</v>
      </c>
      <c r="D346" s="22" t="n">
        <v>42979</v>
      </c>
      <c r="E346" s="22" t="n">
        <v>42978</v>
      </c>
      <c r="F346" s="21" t="s">
        <v>111</v>
      </c>
      <c r="G346" s="23" t="n">
        <v>95.32</v>
      </c>
      <c r="H346" s="23" t="n">
        <v>30.23</v>
      </c>
      <c r="I346" s="21" t="s">
        <v>45</v>
      </c>
      <c r="J346" s="21" t="n">
        <v>2</v>
      </c>
      <c r="K346" s="21" t="s">
        <v>46</v>
      </c>
      <c r="L346" s="24" t="n">
        <f aca="false">DATE(YEAR(C346),MONTH(C346),1)</f>
        <v>42948</v>
      </c>
      <c r="M346" s="21" t="n">
        <f aca="false">D346-C346</f>
        <v>25</v>
      </c>
      <c r="N346" s="21" t="n">
        <f aca="false">MAX(0,D346-E346)</f>
        <v>1</v>
      </c>
      <c r="O346" s="21" t="n">
        <f aca="false">IF(D346&lt;=E346,1,0)</f>
        <v>0</v>
      </c>
      <c r="P346" s="23" t="n">
        <f aca="false">G346+H346</f>
        <v>125.55</v>
      </c>
      <c r="Q346" s="23" t="n">
        <f aca="false">G346*INDEX(Assumptions!$B$8:$B$16,MATCH(F346,Assumptions!$A$8:$A$16,0))</f>
        <v>60.0516</v>
      </c>
      <c r="R346" s="23" t="n">
        <f aca="false">H346*Assumptions!$B$3</f>
        <v>18.138</v>
      </c>
      <c r="S346" s="23" t="n">
        <f aca="false">G346-Q346-R346</f>
        <v>17.1304</v>
      </c>
      <c r="T346" s="21" t="str">
        <f aca="false">IF(M346&lt;=7,"0-7 days",IF(M346&lt;=14,"8-14 days",IF(M346&lt;=21,"15-21 days","22+ days")))</f>
        <v>22+ days</v>
      </c>
    </row>
    <row r="347" customFormat="false" ht="15" hidden="false" customHeight="false" outlineLevel="0" collapsed="false">
      <c r="A347" s="21" t="s">
        <v>413</v>
      </c>
      <c r="B347" s="21" t="s">
        <v>55</v>
      </c>
      <c r="C347" s="22" t="n">
        <v>42955</v>
      </c>
      <c r="D347" s="22" t="n">
        <v>42975</v>
      </c>
      <c r="E347" s="22" t="n">
        <v>42980</v>
      </c>
      <c r="F347" s="21" t="s">
        <v>64</v>
      </c>
      <c r="G347" s="23" t="n">
        <v>130.95</v>
      </c>
      <c r="H347" s="23" t="n">
        <v>18.69</v>
      </c>
      <c r="I347" s="21" t="s">
        <v>45</v>
      </c>
      <c r="J347" s="21" t="n">
        <v>3</v>
      </c>
      <c r="K347" s="21" t="s">
        <v>46</v>
      </c>
      <c r="L347" s="24" t="n">
        <f aca="false">DATE(YEAR(C347),MONTH(C347),1)</f>
        <v>42948</v>
      </c>
      <c r="M347" s="21" t="n">
        <f aca="false">D347-C347</f>
        <v>20</v>
      </c>
      <c r="N347" s="21" t="n">
        <f aca="false">MAX(0,D347-E347)</f>
        <v>0</v>
      </c>
      <c r="O347" s="21" t="n">
        <f aca="false">IF(D347&lt;=E347,1,0)</f>
        <v>1</v>
      </c>
      <c r="P347" s="23" t="n">
        <f aca="false">G347+H347</f>
        <v>149.64</v>
      </c>
      <c r="Q347" s="23" t="n">
        <f aca="false">G347*INDEX(Assumptions!$B$8:$B$16,MATCH(F347,Assumptions!$A$8:$A$16,0))</f>
        <v>86.427</v>
      </c>
      <c r="R347" s="23" t="n">
        <f aca="false">H347*Assumptions!$B$3</f>
        <v>11.214</v>
      </c>
      <c r="S347" s="23" t="n">
        <f aca="false">G347-Q347-R347</f>
        <v>33.309</v>
      </c>
      <c r="T347" s="21" t="str">
        <f aca="false">IF(M347&lt;=7,"0-7 days",IF(M347&lt;=14,"8-14 days",IF(M347&lt;=21,"15-21 days","22+ days")))</f>
        <v>15-21 days</v>
      </c>
    </row>
    <row r="348" customFormat="false" ht="15" hidden="false" customHeight="false" outlineLevel="0" collapsed="false">
      <c r="A348" s="21" t="s">
        <v>414</v>
      </c>
      <c r="B348" s="21" t="s">
        <v>19</v>
      </c>
      <c r="C348" s="22" t="n">
        <v>42955</v>
      </c>
      <c r="D348" s="22" t="n">
        <v>42959</v>
      </c>
      <c r="E348" s="22" t="n">
        <v>42966</v>
      </c>
      <c r="F348" s="21" t="s">
        <v>44</v>
      </c>
      <c r="G348" s="23" t="n">
        <v>27.79</v>
      </c>
      <c r="H348" s="23" t="n">
        <v>18.2</v>
      </c>
      <c r="I348" s="21" t="s">
        <v>60</v>
      </c>
      <c r="J348" s="21" t="n">
        <v>5</v>
      </c>
      <c r="K348" s="21" t="s">
        <v>46</v>
      </c>
      <c r="L348" s="24" t="n">
        <f aca="false">DATE(YEAR(C348),MONTH(C348),1)</f>
        <v>42948</v>
      </c>
      <c r="M348" s="21" t="n">
        <f aca="false">D348-C348</f>
        <v>4</v>
      </c>
      <c r="N348" s="21" t="n">
        <f aca="false">MAX(0,D348-E348)</f>
        <v>0</v>
      </c>
      <c r="O348" s="21" t="n">
        <f aca="false">IF(D348&lt;=E348,1,0)</f>
        <v>1</v>
      </c>
      <c r="P348" s="23" t="n">
        <f aca="false">G348+H348</f>
        <v>45.99</v>
      </c>
      <c r="Q348" s="23" t="n">
        <f aca="false">G348*INDEX(Assumptions!$B$8:$B$16,MATCH(F348,Assumptions!$A$8:$A$16,0))</f>
        <v>16.674</v>
      </c>
      <c r="R348" s="23" t="n">
        <f aca="false">H348*Assumptions!$B$3</f>
        <v>10.92</v>
      </c>
      <c r="S348" s="23" t="n">
        <f aca="false">G348-Q348-R348</f>
        <v>0.196</v>
      </c>
      <c r="T348" s="21" t="str">
        <f aca="false">IF(M348&lt;=7,"0-7 days",IF(M348&lt;=14,"8-14 days",IF(M348&lt;=21,"15-21 days","22+ days")))</f>
        <v>0-7 days</v>
      </c>
    </row>
    <row r="349" customFormat="false" ht="15" hidden="false" customHeight="false" outlineLevel="0" collapsed="false">
      <c r="A349" s="21" t="s">
        <v>415</v>
      </c>
      <c r="B349" s="21" t="s">
        <v>19</v>
      </c>
      <c r="C349" s="22" t="n">
        <v>42956</v>
      </c>
      <c r="D349" s="22" t="n">
        <v>42963</v>
      </c>
      <c r="E349" s="22" t="n">
        <v>42973</v>
      </c>
      <c r="F349" s="21" t="s">
        <v>49</v>
      </c>
      <c r="G349" s="23" t="n">
        <v>108.9</v>
      </c>
      <c r="H349" s="23" t="n">
        <v>14.73</v>
      </c>
      <c r="I349" s="21" t="s">
        <v>50</v>
      </c>
      <c r="J349" s="21" t="n">
        <v>5</v>
      </c>
      <c r="K349" s="21" t="s">
        <v>46</v>
      </c>
      <c r="L349" s="24" t="n">
        <f aca="false">DATE(YEAR(C349),MONTH(C349),1)</f>
        <v>42948</v>
      </c>
      <c r="M349" s="21" t="n">
        <f aca="false">D349-C349</f>
        <v>7</v>
      </c>
      <c r="N349" s="21" t="n">
        <f aca="false">MAX(0,D349-E349)</f>
        <v>0</v>
      </c>
      <c r="O349" s="21" t="n">
        <f aca="false">IF(D349&lt;=E349,1,0)</f>
        <v>1</v>
      </c>
      <c r="P349" s="23" t="n">
        <f aca="false">G349+H349</f>
        <v>123.63</v>
      </c>
      <c r="Q349" s="23" t="n">
        <f aca="false">G349*INDEX(Assumptions!$B$8:$B$16,MATCH(F349,Assumptions!$A$8:$A$16,0))</f>
        <v>63.162</v>
      </c>
      <c r="R349" s="23" t="n">
        <f aca="false">H349*Assumptions!$B$3</f>
        <v>8.838</v>
      </c>
      <c r="S349" s="23" t="n">
        <f aca="false">G349-Q349-R349</f>
        <v>36.9</v>
      </c>
      <c r="T349" s="21" t="str">
        <f aca="false">IF(M349&lt;=7,"0-7 days",IF(M349&lt;=14,"8-14 days",IF(M349&lt;=21,"15-21 days","22+ days")))</f>
        <v>0-7 days</v>
      </c>
    </row>
    <row r="350" customFormat="false" ht="15" hidden="false" customHeight="false" outlineLevel="0" collapsed="false">
      <c r="A350" s="21" t="s">
        <v>416</v>
      </c>
      <c r="B350" s="21" t="s">
        <v>48</v>
      </c>
      <c r="C350" s="22" t="n">
        <v>42956</v>
      </c>
      <c r="D350" s="22" t="n">
        <v>42965</v>
      </c>
      <c r="E350" s="22" t="n">
        <v>42976</v>
      </c>
      <c r="F350" s="21" t="s">
        <v>67</v>
      </c>
      <c r="G350" s="23" t="n">
        <v>94.32</v>
      </c>
      <c r="H350" s="23" t="n">
        <v>23.38</v>
      </c>
      <c r="I350" s="21" t="s">
        <v>45</v>
      </c>
      <c r="J350" s="21" t="n">
        <v>5</v>
      </c>
      <c r="K350" s="21" t="s">
        <v>46</v>
      </c>
      <c r="L350" s="24" t="n">
        <f aca="false">DATE(YEAR(C350),MONTH(C350),1)</f>
        <v>42948</v>
      </c>
      <c r="M350" s="21" t="n">
        <f aca="false">D350-C350</f>
        <v>9</v>
      </c>
      <c r="N350" s="21" t="n">
        <f aca="false">MAX(0,D350-E350)</f>
        <v>0</v>
      </c>
      <c r="O350" s="21" t="n">
        <f aca="false">IF(D350&lt;=E350,1,0)</f>
        <v>1</v>
      </c>
      <c r="P350" s="23" t="n">
        <f aca="false">G350+H350</f>
        <v>117.7</v>
      </c>
      <c r="Q350" s="23" t="n">
        <f aca="false">G350*INDEX(Assumptions!$B$8:$B$16,MATCH(F350,Assumptions!$A$8:$A$16,0))</f>
        <v>58.4784</v>
      </c>
      <c r="R350" s="23" t="n">
        <f aca="false">H350*Assumptions!$B$3</f>
        <v>14.028</v>
      </c>
      <c r="S350" s="23" t="n">
        <f aca="false">G350-Q350-R350</f>
        <v>21.8136</v>
      </c>
      <c r="T350" s="21" t="str">
        <f aca="false">IF(M350&lt;=7,"0-7 days",IF(M350&lt;=14,"8-14 days",IF(M350&lt;=21,"15-21 days","22+ days")))</f>
        <v>8-14 days</v>
      </c>
    </row>
    <row r="351" customFormat="false" ht="15" hidden="false" customHeight="false" outlineLevel="0" collapsed="false">
      <c r="A351" s="21" t="s">
        <v>417</v>
      </c>
      <c r="B351" s="21" t="s">
        <v>19</v>
      </c>
      <c r="C351" s="22" t="n">
        <v>42956</v>
      </c>
      <c r="D351" s="22" t="n">
        <v>42964</v>
      </c>
      <c r="E351" s="22" t="n">
        <v>42971</v>
      </c>
      <c r="F351" s="21" t="s">
        <v>67</v>
      </c>
      <c r="G351" s="23" t="n">
        <v>154.49</v>
      </c>
      <c r="H351" s="23" t="n">
        <v>16.52</v>
      </c>
      <c r="I351" s="21" t="s">
        <v>45</v>
      </c>
      <c r="J351" s="21" t="n">
        <v>5</v>
      </c>
      <c r="K351" s="21" t="s">
        <v>46</v>
      </c>
      <c r="L351" s="24" t="n">
        <f aca="false">DATE(YEAR(C351),MONTH(C351),1)</f>
        <v>42948</v>
      </c>
      <c r="M351" s="21" t="n">
        <f aca="false">D351-C351</f>
        <v>8</v>
      </c>
      <c r="N351" s="21" t="n">
        <f aca="false">MAX(0,D351-E351)</f>
        <v>0</v>
      </c>
      <c r="O351" s="21" t="n">
        <f aca="false">IF(D351&lt;=E351,1,0)</f>
        <v>1</v>
      </c>
      <c r="P351" s="23" t="n">
        <f aca="false">G351+H351</f>
        <v>171.01</v>
      </c>
      <c r="Q351" s="23" t="n">
        <f aca="false">G351*INDEX(Assumptions!$B$8:$B$16,MATCH(F351,Assumptions!$A$8:$A$16,0))</f>
        <v>95.7838</v>
      </c>
      <c r="R351" s="23" t="n">
        <f aca="false">H351*Assumptions!$B$3</f>
        <v>9.912</v>
      </c>
      <c r="S351" s="23" t="n">
        <f aca="false">G351-Q351-R351</f>
        <v>48.7942</v>
      </c>
      <c r="T351" s="21" t="str">
        <f aca="false">IF(M351&lt;=7,"0-7 days",IF(M351&lt;=14,"8-14 days",IF(M351&lt;=21,"15-21 days","22+ days")))</f>
        <v>8-14 days</v>
      </c>
    </row>
    <row r="352" customFormat="false" ht="15" hidden="false" customHeight="false" outlineLevel="0" collapsed="false">
      <c r="A352" s="21" t="s">
        <v>418</v>
      </c>
      <c r="B352" s="21" t="s">
        <v>19</v>
      </c>
      <c r="C352" s="22" t="n">
        <v>42956</v>
      </c>
      <c r="D352" s="22" t="n">
        <v>42963</v>
      </c>
      <c r="E352" s="22" t="n">
        <v>42970</v>
      </c>
      <c r="F352" s="21" t="s">
        <v>49</v>
      </c>
      <c r="G352" s="23" t="n">
        <v>29.42</v>
      </c>
      <c r="H352" s="23" t="n">
        <v>19.41</v>
      </c>
      <c r="I352" s="21" t="s">
        <v>50</v>
      </c>
      <c r="J352" s="21" t="n">
        <v>5</v>
      </c>
      <c r="K352" s="21" t="s">
        <v>46</v>
      </c>
      <c r="L352" s="24" t="n">
        <f aca="false">DATE(YEAR(C352),MONTH(C352),1)</f>
        <v>42948</v>
      </c>
      <c r="M352" s="21" t="n">
        <f aca="false">D352-C352</f>
        <v>7</v>
      </c>
      <c r="N352" s="21" t="n">
        <f aca="false">MAX(0,D352-E352)</f>
        <v>0</v>
      </c>
      <c r="O352" s="21" t="n">
        <f aca="false">IF(D352&lt;=E352,1,0)</f>
        <v>1</v>
      </c>
      <c r="P352" s="23" t="n">
        <f aca="false">G352+H352</f>
        <v>48.83</v>
      </c>
      <c r="Q352" s="23" t="n">
        <f aca="false">G352*INDEX(Assumptions!$B$8:$B$16,MATCH(F352,Assumptions!$A$8:$A$16,0))</f>
        <v>17.0636</v>
      </c>
      <c r="R352" s="23" t="n">
        <f aca="false">H352*Assumptions!$B$3</f>
        <v>11.646</v>
      </c>
      <c r="S352" s="23" t="n">
        <f aca="false">G352-Q352-R352</f>
        <v>0.710400000000002</v>
      </c>
      <c r="T352" s="21" t="str">
        <f aca="false">IF(M352&lt;=7,"0-7 days",IF(M352&lt;=14,"8-14 days",IF(M352&lt;=21,"15-21 days","22+ days")))</f>
        <v>0-7 days</v>
      </c>
    </row>
    <row r="353" customFormat="false" ht="15" hidden="false" customHeight="false" outlineLevel="0" collapsed="false">
      <c r="A353" s="21" t="s">
        <v>419</v>
      </c>
      <c r="B353" s="21" t="s">
        <v>19</v>
      </c>
      <c r="C353" s="22" t="n">
        <v>42956</v>
      </c>
      <c r="D353" s="22" t="n">
        <v>42961</v>
      </c>
      <c r="E353" s="22" t="n">
        <v>42969</v>
      </c>
      <c r="F353" s="21" t="s">
        <v>49</v>
      </c>
      <c r="G353" s="23" t="n">
        <v>105.49</v>
      </c>
      <c r="H353" s="23" t="n">
        <v>12.84</v>
      </c>
      <c r="I353" s="21" t="s">
        <v>45</v>
      </c>
      <c r="J353" s="21" t="n">
        <v>5</v>
      </c>
      <c r="K353" s="21" t="s">
        <v>46</v>
      </c>
      <c r="L353" s="24" t="n">
        <f aca="false">DATE(YEAR(C353),MONTH(C353),1)</f>
        <v>42948</v>
      </c>
      <c r="M353" s="21" t="n">
        <f aca="false">D353-C353</f>
        <v>5</v>
      </c>
      <c r="N353" s="21" t="n">
        <f aca="false">MAX(0,D353-E353)</f>
        <v>0</v>
      </c>
      <c r="O353" s="21" t="n">
        <f aca="false">IF(D353&lt;=E353,1,0)</f>
        <v>1</v>
      </c>
      <c r="P353" s="23" t="n">
        <f aca="false">G353+H353</f>
        <v>118.33</v>
      </c>
      <c r="Q353" s="23" t="n">
        <f aca="false">G353*INDEX(Assumptions!$B$8:$B$16,MATCH(F353,Assumptions!$A$8:$A$16,0))</f>
        <v>61.1842</v>
      </c>
      <c r="R353" s="23" t="n">
        <f aca="false">H353*Assumptions!$B$3</f>
        <v>7.704</v>
      </c>
      <c r="S353" s="23" t="n">
        <f aca="false">G353-Q353-R353</f>
        <v>36.6018</v>
      </c>
      <c r="T353" s="21" t="str">
        <f aca="false">IF(M353&lt;=7,"0-7 days",IF(M353&lt;=14,"8-14 days",IF(M353&lt;=21,"15-21 days","22+ days")))</f>
        <v>0-7 days</v>
      </c>
    </row>
    <row r="354" customFormat="false" ht="15" hidden="false" customHeight="false" outlineLevel="0" collapsed="false">
      <c r="A354" s="21" t="s">
        <v>420</v>
      </c>
      <c r="B354" s="21" t="s">
        <v>62</v>
      </c>
      <c r="C354" s="22" t="n">
        <v>42956</v>
      </c>
      <c r="D354" s="22" t="n">
        <v>42968</v>
      </c>
      <c r="E354" s="22" t="n">
        <v>42980</v>
      </c>
      <c r="F354" s="21" t="s">
        <v>111</v>
      </c>
      <c r="G354" s="23" t="n">
        <v>30.75</v>
      </c>
      <c r="H354" s="23" t="n">
        <v>24.64</v>
      </c>
      <c r="I354" s="21" t="s">
        <v>45</v>
      </c>
      <c r="J354" s="21" t="n">
        <v>4</v>
      </c>
      <c r="K354" s="21" t="s">
        <v>46</v>
      </c>
      <c r="L354" s="24" t="n">
        <f aca="false">DATE(YEAR(C354),MONTH(C354),1)</f>
        <v>42948</v>
      </c>
      <c r="M354" s="21" t="n">
        <f aca="false">D354-C354</f>
        <v>12</v>
      </c>
      <c r="N354" s="21" t="n">
        <f aca="false">MAX(0,D354-E354)</f>
        <v>0</v>
      </c>
      <c r="O354" s="21" t="n">
        <f aca="false">IF(D354&lt;=E354,1,0)</f>
        <v>1</v>
      </c>
      <c r="P354" s="23" t="n">
        <f aca="false">G354+H354</f>
        <v>55.39</v>
      </c>
      <c r="Q354" s="23" t="n">
        <f aca="false">G354*INDEX(Assumptions!$B$8:$B$16,MATCH(F354,Assumptions!$A$8:$A$16,0))</f>
        <v>19.3725</v>
      </c>
      <c r="R354" s="23" t="n">
        <f aca="false">H354*Assumptions!$B$3</f>
        <v>14.784</v>
      </c>
      <c r="S354" s="23" t="n">
        <f aca="false">G354-Q354-R354</f>
        <v>-3.4065</v>
      </c>
      <c r="T354" s="21" t="str">
        <f aca="false">IF(M354&lt;=7,"0-7 days",IF(M354&lt;=14,"8-14 days",IF(M354&lt;=21,"15-21 days","22+ days")))</f>
        <v>8-14 days</v>
      </c>
    </row>
    <row r="355" customFormat="false" ht="15" hidden="false" customHeight="false" outlineLevel="0" collapsed="false">
      <c r="A355" s="21" t="s">
        <v>421</v>
      </c>
      <c r="B355" s="21" t="s">
        <v>55</v>
      </c>
      <c r="C355" s="22" t="n">
        <v>42957</v>
      </c>
      <c r="D355" s="22" t="n">
        <v>42968</v>
      </c>
      <c r="E355" s="22" t="n">
        <v>42981</v>
      </c>
      <c r="F355" s="21" t="s">
        <v>49</v>
      </c>
      <c r="G355" s="23" t="n">
        <v>105.89</v>
      </c>
      <c r="H355" s="23" t="n">
        <v>23.77</v>
      </c>
      <c r="I355" s="21" t="s">
        <v>45</v>
      </c>
      <c r="J355" s="21" t="n">
        <v>5</v>
      </c>
      <c r="K355" s="21" t="s">
        <v>46</v>
      </c>
      <c r="L355" s="24" t="n">
        <f aca="false">DATE(YEAR(C355),MONTH(C355),1)</f>
        <v>42948</v>
      </c>
      <c r="M355" s="21" t="n">
        <f aca="false">D355-C355</f>
        <v>11</v>
      </c>
      <c r="N355" s="21" t="n">
        <f aca="false">MAX(0,D355-E355)</f>
        <v>0</v>
      </c>
      <c r="O355" s="21" t="n">
        <f aca="false">IF(D355&lt;=E355,1,0)</f>
        <v>1</v>
      </c>
      <c r="P355" s="23" t="n">
        <f aca="false">G355+H355</f>
        <v>129.66</v>
      </c>
      <c r="Q355" s="23" t="n">
        <f aca="false">G355*INDEX(Assumptions!$B$8:$B$16,MATCH(F355,Assumptions!$A$8:$A$16,0))</f>
        <v>61.4162</v>
      </c>
      <c r="R355" s="23" t="n">
        <f aca="false">H355*Assumptions!$B$3</f>
        <v>14.262</v>
      </c>
      <c r="S355" s="23" t="n">
        <f aca="false">G355-Q355-R355</f>
        <v>30.2118</v>
      </c>
      <c r="T355" s="21" t="str">
        <f aca="false">IF(M355&lt;=7,"0-7 days",IF(M355&lt;=14,"8-14 days",IF(M355&lt;=21,"15-21 days","22+ days")))</f>
        <v>8-14 days</v>
      </c>
    </row>
    <row r="356" customFormat="false" ht="15" hidden="false" customHeight="false" outlineLevel="0" collapsed="false">
      <c r="A356" s="21" t="s">
        <v>422</v>
      </c>
      <c r="B356" s="21" t="s">
        <v>62</v>
      </c>
      <c r="C356" s="22" t="n">
        <v>42957</v>
      </c>
      <c r="D356" s="22" t="n">
        <v>42965</v>
      </c>
      <c r="E356" s="22" t="n">
        <v>42976</v>
      </c>
      <c r="F356" s="21" t="s">
        <v>79</v>
      </c>
      <c r="G356" s="23" t="n">
        <v>123.55</v>
      </c>
      <c r="H356" s="23" t="n">
        <v>29.08</v>
      </c>
      <c r="I356" s="21" t="s">
        <v>50</v>
      </c>
      <c r="J356" s="21" t="n">
        <v>5</v>
      </c>
      <c r="K356" s="21" t="s">
        <v>46</v>
      </c>
      <c r="L356" s="24" t="n">
        <f aca="false">DATE(YEAR(C356),MONTH(C356),1)</f>
        <v>42948</v>
      </c>
      <c r="M356" s="21" t="n">
        <f aca="false">D356-C356</f>
        <v>8</v>
      </c>
      <c r="N356" s="21" t="n">
        <f aca="false">MAX(0,D356-E356)</f>
        <v>0</v>
      </c>
      <c r="O356" s="21" t="n">
        <f aca="false">IF(D356&lt;=E356,1,0)</f>
        <v>1</v>
      </c>
      <c r="P356" s="23" t="n">
        <f aca="false">G356+H356</f>
        <v>152.63</v>
      </c>
      <c r="Q356" s="23" t="n">
        <f aca="false">G356*INDEX(Assumptions!$B$8:$B$16,MATCH(F356,Assumptions!$A$8:$A$16,0))</f>
        <v>86.485</v>
      </c>
      <c r="R356" s="23" t="n">
        <f aca="false">H356*Assumptions!$B$3</f>
        <v>17.448</v>
      </c>
      <c r="S356" s="23" t="n">
        <f aca="false">G356-Q356-R356</f>
        <v>19.617</v>
      </c>
      <c r="T356" s="21" t="str">
        <f aca="false">IF(M356&lt;=7,"0-7 days",IF(M356&lt;=14,"8-14 days",IF(M356&lt;=21,"15-21 days","22+ days")))</f>
        <v>8-14 days</v>
      </c>
    </row>
    <row r="357" customFormat="false" ht="15" hidden="false" customHeight="false" outlineLevel="0" collapsed="false">
      <c r="A357" s="21" t="s">
        <v>423</v>
      </c>
      <c r="B357" s="21" t="s">
        <v>77</v>
      </c>
      <c r="C357" s="22" t="n">
        <v>42958</v>
      </c>
      <c r="D357" s="22" t="n">
        <v>42970</v>
      </c>
      <c r="E357" s="22" t="n">
        <v>42982</v>
      </c>
      <c r="F357" s="21" t="s">
        <v>111</v>
      </c>
      <c r="G357" s="23" t="n">
        <v>150.29</v>
      </c>
      <c r="H357" s="23" t="n">
        <v>23.93</v>
      </c>
      <c r="I357" s="21" t="s">
        <v>45</v>
      </c>
      <c r="J357" s="21" t="n">
        <v>4</v>
      </c>
      <c r="K357" s="21" t="s">
        <v>46</v>
      </c>
      <c r="L357" s="24" t="n">
        <f aca="false">DATE(YEAR(C357),MONTH(C357),1)</f>
        <v>42948</v>
      </c>
      <c r="M357" s="21" t="n">
        <f aca="false">D357-C357</f>
        <v>12</v>
      </c>
      <c r="N357" s="21" t="n">
        <f aca="false">MAX(0,D357-E357)</f>
        <v>0</v>
      </c>
      <c r="O357" s="21" t="n">
        <f aca="false">IF(D357&lt;=E357,1,0)</f>
        <v>1</v>
      </c>
      <c r="P357" s="23" t="n">
        <f aca="false">G357+H357</f>
        <v>174.22</v>
      </c>
      <c r="Q357" s="23" t="n">
        <f aca="false">G357*INDEX(Assumptions!$B$8:$B$16,MATCH(F357,Assumptions!$A$8:$A$16,0))</f>
        <v>94.6827</v>
      </c>
      <c r="R357" s="23" t="n">
        <f aca="false">H357*Assumptions!$B$3</f>
        <v>14.358</v>
      </c>
      <c r="S357" s="23" t="n">
        <f aca="false">G357-Q357-R357</f>
        <v>41.2493</v>
      </c>
      <c r="T357" s="21" t="str">
        <f aca="false">IF(M357&lt;=7,"0-7 days",IF(M357&lt;=14,"8-14 days",IF(M357&lt;=21,"15-21 days","22+ days")))</f>
        <v>8-14 days</v>
      </c>
    </row>
    <row r="358" customFormat="false" ht="15" hidden="false" customHeight="false" outlineLevel="0" collapsed="false">
      <c r="A358" s="21" t="s">
        <v>424</v>
      </c>
      <c r="B358" s="21" t="s">
        <v>62</v>
      </c>
      <c r="C358" s="22" t="n">
        <v>42958</v>
      </c>
      <c r="D358" s="22" t="n">
        <v>42965</v>
      </c>
      <c r="E358" s="22" t="n">
        <v>42978</v>
      </c>
      <c r="F358" s="21" t="s">
        <v>49</v>
      </c>
      <c r="G358" s="23" t="n">
        <v>175.79</v>
      </c>
      <c r="H358" s="23" t="n">
        <v>31.09</v>
      </c>
      <c r="I358" s="21" t="s">
        <v>45</v>
      </c>
      <c r="J358" s="21" t="n">
        <v>5</v>
      </c>
      <c r="K358" s="21" t="s">
        <v>46</v>
      </c>
      <c r="L358" s="24" t="n">
        <f aca="false">DATE(YEAR(C358),MONTH(C358),1)</f>
        <v>42948</v>
      </c>
      <c r="M358" s="21" t="n">
        <f aca="false">D358-C358</f>
        <v>7</v>
      </c>
      <c r="N358" s="21" t="n">
        <f aca="false">MAX(0,D358-E358)</f>
        <v>0</v>
      </c>
      <c r="O358" s="21" t="n">
        <f aca="false">IF(D358&lt;=E358,1,0)</f>
        <v>1</v>
      </c>
      <c r="P358" s="23" t="n">
        <f aca="false">G358+H358</f>
        <v>206.88</v>
      </c>
      <c r="Q358" s="23" t="n">
        <f aca="false">G358*INDEX(Assumptions!$B$8:$B$16,MATCH(F358,Assumptions!$A$8:$A$16,0))</f>
        <v>101.9582</v>
      </c>
      <c r="R358" s="23" t="n">
        <f aca="false">H358*Assumptions!$B$3</f>
        <v>18.654</v>
      </c>
      <c r="S358" s="23" t="n">
        <f aca="false">G358-Q358-R358</f>
        <v>55.1778</v>
      </c>
      <c r="T358" s="21" t="str">
        <f aca="false">IF(M358&lt;=7,"0-7 days",IF(M358&lt;=14,"8-14 days",IF(M358&lt;=21,"15-21 days","22+ days")))</f>
        <v>0-7 days</v>
      </c>
    </row>
    <row r="359" customFormat="false" ht="15" hidden="false" customHeight="false" outlineLevel="0" collapsed="false">
      <c r="A359" s="21" t="s">
        <v>425</v>
      </c>
      <c r="B359" s="21" t="s">
        <v>19</v>
      </c>
      <c r="C359" s="22" t="n">
        <v>42958</v>
      </c>
      <c r="D359" s="22" t="n">
        <v>42968</v>
      </c>
      <c r="E359" s="22" t="n">
        <v>42970</v>
      </c>
      <c r="F359" s="21" t="s">
        <v>49</v>
      </c>
      <c r="G359" s="23" t="n">
        <v>64.7</v>
      </c>
      <c r="H359" s="23" t="n">
        <v>14.09</v>
      </c>
      <c r="I359" s="21" t="s">
        <v>45</v>
      </c>
      <c r="J359" s="21" t="n">
        <v>5</v>
      </c>
      <c r="K359" s="21" t="s">
        <v>46</v>
      </c>
      <c r="L359" s="24" t="n">
        <f aca="false">DATE(YEAR(C359),MONTH(C359),1)</f>
        <v>42948</v>
      </c>
      <c r="M359" s="21" t="n">
        <f aca="false">D359-C359</f>
        <v>10</v>
      </c>
      <c r="N359" s="21" t="n">
        <f aca="false">MAX(0,D359-E359)</f>
        <v>0</v>
      </c>
      <c r="O359" s="21" t="n">
        <f aca="false">IF(D359&lt;=E359,1,0)</f>
        <v>1</v>
      </c>
      <c r="P359" s="23" t="n">
        <f aca="false">G359+H359</f>
        <v>78.79</v>
      </c>
      <c r="Q359" s="23" t="n">
        <f aca="false">G359*INDEX(Assumptions!$B$8:$B$16,MATCH(F359,Assumptions!$A$8:$A$16,0))</f>
        <v>37.526</v>
      </c>
      <c r="R359" s="23" t="n">
        <f aca="false">H359*Assumptions!$B$3</f>
        <v>8.454</v>
      </c>
      <c r="S359" s="23" t="n">
        <f aca="false">G359-Q359-R359</f>
        <v>18.72</v>
      </c>
      <c r="T359" s="21" t="str">
        <f aca="false">IF(M359&lt;=7,"0-7 days",IF(M359&lt;=14,"8-14 days",IF(M359&lt;=21,"15-21 days","22+ days")))</f>
        <v>8-14 days</v>
      </c>
    </row>
    <row r="360" customFormat="false" ht="15" hidden="false" customHeight="false" outlineLevel="0" collapsed="false">
      <c r="A360" s="21" t="s">
        <v>426</v>
      </c>
      <c r="B360" s="21" t="s">
        <v>174</v>
      </c>
      <c r="C360" s="22" t="n">
        <v>42958</v>
      </c>
      <c r="D360" s="22" t="n">
        <v>42979</v>
      </c>
      <c r="E360" s="22" t="n">
        <v>42990</v>
      </c>
      <c r="F360" s="21" t="s">
        <v>64</v>
      </c>
      <c r="G360" s="23" t="n">
        <v>91.99</v>
      </c>
      <c r="H360" s="23" t="n">
        <v>33.29</v>
      </c>
      <c r="I360" s="21" t="s">
        <v>60</v>
      </c>
      <c r="J360" s="21" t="n">
        <v>5</v>
      </c>
      <c r="K360" s="21" t="s">
        <v>46</v>
      </c>
      <c r="L360" s="24" t="n">
        <f aca="false">DATE(YEAR(C360),MONTH(C360),1)</f>
        <v>42948</v>
      </c>
      <c r="M360" s="21" t="n">
        <f aca="false">D360-C360</f>
        <v>21</v>
      </c>
      <c r="N360" s="21" t="n">
        <f aca="false">MAX(0,D360-E360)</f>
        <v>0</v>
      </c>
      <c r="O360" s="21" t="n">
        <f aca="false">IF(D360&lt;=E360,1,0)</f>
        <v>1</v>
      </c>
      <c r="P360" s="23" t="n">
        <f aca="false">G360+H360</f>
        <v>125.28</v>
      </c>
      <c r="Q360" s="23" t="n">
        <f aca="false">G360*INDEX(Assumptions!$B$8:$B$16,MATCH(F360,Assumptions!$A$8:$A$16,0))</f>
        <v>60.7134</v>
      </c>
      <c r="R360" s="23" t="n">
        <f aca="false">H360*Assumptions!$B$3</f>
        <v>19.974</v>
      </c>
      <c r="S360" s="23" t="n">
        <f aca="false">G360-Q360-R360</f>
        <v>11.3026</v>
      </c>
      <c r="T360" s="21" t="str">
        <f aca="false">IF(M360&lt;=7,"0-7 days",IF(M360&lt;=14,"8-14 days",IF(M360&lt;=21,"15-21 days","22+ days")))</f>
        <v>15-21 days</v>
      </c>
    </row>
    <row r="361" customFormat="false" ht="15" hidden="false" customHeight="false" outlineLevel="0" collapsed="false">
      <c r="A361" s="21" t="s">
        <v>427</v>
      </c>
      <c r="B361" s="21" t="s">
        <v>55</v>
      </c>
      <c r="C361" s="22" t="n">
        <v>42959</v>
      </c>
      <c r="D361" s="22" t="n">
        <v>42966</v>
      </c>
      <c r="E361" s="22" t="n">
        <v>42985</v>
      </c>
      <c r="F361" s="21" t="s">
        <v>111</v>
      </c>
      <c r="G361" s="23" t="n">
        <v>64.68</v>
      </c>
      <c r="H361" s="23" t="n">
        <v>21.04</v>
      </c>
      <c r="I361" s="21" t="s">
        <v>60</v>
      </c>
      <c r="J361" s="21" t="n">
        <v>5</v>
      </c>
      <c r="K361" s="21" t="s">
        <v>46</v>
      </c>
      <c r="L361" s="24" t="n">
        <f aca="false">DATE(YEAR(C361),MONTH(C361),1)</f>
        <v>42948</v>
      </c>
      <c r="M361" s="21" t="n">
        <f aca="false">D361-C361</f>
        <v>7</v>
      </c>
      <c r="N361" s="21" t="n">
        <f aca="false">MAX(0,D361-E361)</f>
        <v>0</v>
      </c>
      <c r="O361" s="21" t="n">
        <f aca="false">IF(D361&lt;=E361,1,0)</f>
        <v>1</v>
      </c>
      <c r="P361" s="23" t="n">
        <f aca="false">G361+H361</f>
        <v>85.72</v>
      </c>
      <c r="Q361" s="23" t="n">
        <f aca="false">G361*INDEX(Assumptions!$B$8:$B$16,MATCH(F361,Assumptions!$A$8:$A$16,0))</f>
        <v>40.7484</v>
      </c>
      <c r="R361" s="23" t="n">
        <f aca="false">H361*Assumptions!$B$3</f>
        <v>12.624</v>
      </c>
      <c r="S361" s="23" t="n">
        <f aca="false">G361-Q361-R361</f>
        <v>11.3076</v>
      </c>
      <c r="T361" s="21" t="str">
        <f aca="false">IF(M361&lt;=7,"0-7 days",IF(M361&lt;=14,"8-14 days",IF(M361&lt;=21,"15-21 days","22+ days")))</f>
        <v>0-7 days</v>
      </c>
    </row>
    <row r="362" customFormat="false" ht="15" hidden="false" customHeight="false" outlineLevel="0" collapsed="false">
      <c r="A362" s="21" t="s">
        <v>428</v>
      </c>
      <c r="B362" s="21" t="s">
        <v>55</v>
      </c>
      <c r="C362" s="22" t="n">
        <v>42960</v>
      </c>
      <c r="D362" s="22" t="n">
        <v>42978</v>
      </c>
      <c r="E362" s="22" t="n">
        <v>42984</v>
      </c>
      <c r="F362" s="21" t="s">
        <v>57</v>
      </c>
      <c r="G362" s="23" t="n">
        <v>76.89</v>
      </c>
      <c r="H362" s="23" t="n">
        <v>20.87</v>
      </c>
      <c r="I362" s="21" t="s">
        <v>45</v>
      </c>
      <c r="J362" s="21" t="n">
        <v>5</v>
      </c>
      <c r="K362" s="21" t="s">
        <v>46</v>
      </c>
      <c r="L362" s="24" t="n">
        <f aca="false">DATE(YEAR(C362),MONTH(C362),1)</f>
        <v>42948</v>
      </c>
      <c r="M362" s="21" t="n">
        <f aca="false">D362-C362</f>
        <v>18</v>
      </c>
      <c r="N362" s="21" t="n">
        <f aca="false">MAX(0,D362-E362)</f>
        <v>0</v>
      </c>
      <c r="O362" s="21" t="n">
        <f aca="false">IF(D362&lt;=E362,1,0)</f>
        <v>1</v>
      </c>
      <c r="P362" s="23" t="n">
        <f aca="false">G362+H362</f>
        <v>97.76</v>
      </c>
      <c r="Q362" s="23" t="n">
        <f aca="false">G362*INDEX(Assumptions!$B$8:$B$16,MATCH(F362,Assumptions!$A$8:$A$16,0))</f>
        <v>52.2852</v>
      </c>
      <c r="R362" s="23" t="n">
        <f aca="false">H362*Assumptions!$B$3</f>
        <v>12.522</v>
      </c>
      <c r="S362" s="23" t="n">
        <f aca="false">G362-Q362-R362</f>
        <v>12.0828</v>
      </c>
      <c r="T362" s="21" t="str">
        <f aca="false">IF(M362&lt;=7,"0-7 days",IF(M362&lt;=14,"8-14 days",IF(M362&lt;=21,"15-21 days","22+ days")))</f>
        <v>15-21 days</v>
      </c>
    </row>
    <row r="363" customFormat="false" ht="15" hidden="false" customHeight="false" outlineLevel="0" collapsed="false">
      <c r="A363" s="21" t="s">
        <v>429</v>
      </c>
      <c r="B363" s="21" t="s">
        <v>19</v>
      </c>
      <c r="C363" s="22" t="n">
        <v>42962</v>
      </c>
      <c r="D363" s="22" t="n">
        <v>42973</v>
      </c>
      <c r="E363" s="22" t="n">
        <v>42980</v>
      </c>
      <c r="F363" s="21" t="s">
        <v>59</v>
      </c>
      <c r="G363" s="23" t="n">
        <v>33.95</v>
      </c>
      <c r="H363" s="23" t="n">
        <v>19.83</v>
      </c>
      <c r="I363" s="21" t="s">
        <v>45</v>
      </c>
      <c r="J363" s="21" t="n">
        <v>4</v>
      </c>
      <c r="K363" s="21" t="s">
        <v>46</v>
      </c>
      <c r="L363" s="24" t="n">
        <f aca="false">DATE(YEAR(C363),MONTH(C363),1)</f>
        <v>42948</v>
      </c>
      <c r="M363" s="21" t="n">
        <f aca="false">D363-C363</f>
        <v>11</v>
      </c>
      <c r="N363" s="21" t="n">
        <f aca="false">MAX(0,D363-E363)</f>
        <v>0</v>
      </c>
      <c r="O363" s="21" t="n">
        <f aca="false">IF(D363&lt;=E363,1,0)</f>
        <v>1</v>
      </c>
      <c r="P363" s="23" t="n">
        <f aca="false">G363+H363</f>
        <v>53.78</v>
      </c>
      <c r="Q363" s="23" t="n">
        <f aca="false">G363*INDEX(Assumptions!$B$8:$B$16,MATCH(F363,Assumptions!$A$8:$A$16,0))</f>
        <v>21.728</v>
      </c>
      <c r="R363" s="23" t="n">
        <f aca="false">H363*Assumptions!$B$3</f>
        <v>11.898</v>
      </c>
      <c r="S363" s="23" t="n">
        <f aca="false">G363-Q363-R363</f>
        <v>0.324000000000003</v>
      </c>
      <c r="T363" s="21" t="str">
        <f aca="false">IF(M363&lt;=7,"0-7 days",IF(M363&lt;=14,"8-14 days",IF(M363&lt;=21,"15-21 days","22+ days")))</f>
        <v>8-14 days</v>
      </c>
    </row>
    <row r="364" customFormat="false" ht="15" hidden="false" customHeight="false" outlineLevel="0" collapsed="false">
      <c r="A364" s="21" t="s">
        <v>430</v>
      </c>
      <c r="B364" s="21" t="s">
        <v>62</v>
      </c>
      <c r="C364" s="22" t="n">
        <v>42962</v>
      </c>
      <c r="D364" s="22" t="n">
        <v>42988</v>
      </c>
      <c r="E364" s="22" t="n">
        <v>42981</v>
      </c>
      <c r="F364" s="21" t="s">
        <v>64</v>
      </c>
      <c r="G364" s="23" t="n">
        <v>126.16</v>
      </c>
      <c r="H364" s="23" t="n">
        <v>18.34</v>
      </c>
      <c r="I364" s="21" t="s">
        <v>45</v>
      </c>
      <c r="J364" s="21" t="n">
        <v>3</v>
      </c>
      <c r="K364" s="21" t="s">
        <v>46</v>
      </c>
      <c r="L364" s="24" t="n">
        <f aca="false">DATE(YEAR(C364),MONTH(C364),1)</f>
        <v>42948</v>
      </c>
      <c r="M364" s="21" t="n">
        <f aca="false">D364-C364</f>
        <v>26</v>
      </c>
      <c r="N364" s="21" t="n">
        <f aca="false">MAX(0,D364-E364)</f>
        <v>7</v>
      </c>
      <c r="O364" s="21" t="n">
        <f aca="false">IF(D364&lt;=E364,1,0)</f>
        <v>0</v>
      </c>
      <c r="P364" s="23" t="n">
        <f aca="false">G364+H364</f>
        <v>144.5</v>
      </c>
      <c r="Q364" s="23" t="n">
        <f aca="false">G364*INDEX(Assumptions!$B$8:$B$16,MATCH(F364,Assumptions!$A$8:$A$16,0))</f>
        <v>83.2656</v>
      </c>
      <c r="R364" s="23" t="n">
        <f aca="false">H364*Assumptions!$B$3</f>
        <v>11.004</v>
      </c>
      <c r="S364" s="23" t="n">
        <f aca="false">G364-Q364-R364</f>
        <v>31.8904</v>
      </c>
      <c r="T364" s="21" t="str">
        <f aca="false">IF(M364&lt;=7,"0-7 days",IF(M364&lt;=14,"8-14 days",IF(M364&lt;=21,"15-21 days","22+ days")))</f>
        <v>22+ days</v>
      </c>
    </row>
    <row r="365" customFormat="false" ht="15" hidden="false" customHeight="false" outlineLevel="0" collapsed="false">
      <c r="A365" s="21" t="s">
        <v>431</v>
      </c>
      <c r="B365" s="21" t="s">
        <v>55</v>
      </c>
      <c r="C365" s="22" t="n">
        <v>42962</v>
      </c>
      <c r="D365" s="22" t="n">
        <v>42974</v>
      </c>
      <c r="E365" s="22" t="n">
        <v>42987</v>
      </c>
      <c r="F365" s="21" t="s">
        <v>53</v>
      </c>
      <c r="G365" s="23" t="n">
        <v>32.61</v>
      </c>
      <c r="H365" s="23" t="n">
        <v>26.86</v>
      </c>
      <c r="I365" s="21" t="s">
        <v>45</v>
      </c>
      <c r="J365" s="21" t="n">
        <v>5</v>
      </c>
      <c r="K365" s="21" t="s">
        <v>46</v>
      </c>
      <c r="L365" s="24" t="n">
        <f aca="false">DATE(YEAR(C365),MONTH(C365),1)</f>
        <v>42948</v>
      </c>
      <c r="M365" s="21" t="n">
        <f aca="false">D365-C365</f>
        <v>12</v>
      </c>
      <c r="N365" s="21" t="n">
        <f aca="false">MAX(0,D365-E365)</f>
        <v>0</v>
      </c>
      <c r="O365" s="21" t="n">
        <f aca="false">IF(D365&lt;=E365,1,0)</f>
        <v>1</v>
      </c>
      <c r="P365" s="23" t="n">
        <f aca="false">G365+H365</f>
        <v>59.47</v>
      </c>
      <c r="Q365" s="23" t="n">
        <f aca="false">G365*INDEX(Assumptions!$B$8:$B$16,MATCH(F365,Assumptions!$A$8:$A$16,0))</f>
        <v>24.1314</v>
      </c>
      <c r="R365" s="23" t="n">
        <f aca="false">H365*Assumptions!$B$3</f>
        <v>16.116</v>
      </c>
      <c r="S365" s="23" t="n">
        <f aca="false">G365-Q365-R365</f>
        <v>-7.6374</v>
      </c>
      <c r="T365" s="21" t="str">
        <f aca="false">IF(M365&lt;=7,"0-7 days",IF(M365&lt;=14,"8-14 days",IF(M365&lt;=21,"15-21 days","22+ days")))</f>
        <v>8-14 days</v>
      </c>
    </row>
    <row r="366" customFormat="false" ht="15" hidden="false" customHeight="false" outlineLevel="0" collapsed="false">
      <c r="A366" s="21" t="s">
        <v>432</v>
      </c>
      <c r="B366" s="21" t="s">
        <v>19</v>
      </c>
      <c r="C366" s="22" t="n">
        <v>42963</v>
      </c>
      <c r="D366" s="22" t="n">
        <v>42969</v>
      </c>
      <c r="E366" s="22" t="n">
        <v>42982</v>
      </c>
      <c r="F366" s="21" t="s">
        <v>111</v>
      </c>
      <c r="G366" s="23" t="n">
        <v>129.19</v>
      </c>
      <c r="H366" s="23" t="n">
        <v>15.48</v>
      </c>
      <c r="I366" s="21" t="s">
        <v>45</v>
      </c>
      <c r="J366" s="21" t="n">
        <v>4</v>
      </c>
      <c r="K366" s="21" t="s">
        <v>46</v>
      </c>
      <c r="L366" s="24" t="n">
        <f aca="false">DATE(YEAR(C366),MONTH(C366),1)</f>
        <v>42948</v>
      </c>
      <c r="M366" s="21" t="n">
        <f aca="false">D366-C366</f>
        <v>6</v>
      </c>
      <c r="N366" s="21" t="n">
        <f aca="false">MAX(0,D366-E366)</f>
        <v>0</v>
      </c>
      <c r="O366" s="21" t="n">
        <f aca="false">IF(D366&lt;=E366,1,0)</f>
        <v>1</v>
      </c>
      <c r="P366" s="23" t="n">
        <f aca="false">G366+H366</f>
        <v>144.67</v>
      </c>
      <c r="Q366" s="23" t="n">
        <f aca="false">G366*INDEX(Assumptions!$B$8:$B$16,MATCH(F366,Assumptions!$A$8:$A$16,0))</f>
        <v>81.3897</v>
      </c>
      <c r="R366" s="23" t="n">
        <f aca="false">H366*Assumptions!$B$3</f>
        <v>9.288</v>
      </c>
      <c r="S366" s="23" t="n">
        <f aca="false">G366-Q366-R366</f>
        <v>38.5123</v>
      </c>
      <c r="T366" s="21" t="str">
        <f aca="false">IF(M366&lt;=7,"0-7 days",IF(M366&lt;=14,"8-14 days",IF(M366&lt;=21,"15-21 days","22+ days")))</f>
        <v>0-7 days</v>
      </c>
    </row>
    <row r="367" customFormat="false" ht="15" hidden="false" customHeight="false" outlineLevel="0" collapsed="false">
      <c r="A367" s="21" t="s">
        <v>433</v>
      </c>
      <c r="B367" s="21" t="s">
        <v>55</v>
      </c>
      <c r="C367" s="22" t="n">
        <v>42963</v>
      </c>
      <c r="D367" s="22" t="n">
        <v>42979</v>
      </c>
      <c r="E367" s="22" t="n">
        <v>42987</v>
      </c>
      <c r="F367" s="21" t="s">
        <v>44</v>
      </c>
      <c r="G367" s="23" t="n">
        <v>53.7</v>
      </c>
      <c r="H367" s="23" t="n">
        <v>23.74</v>
      </c>
      <c r="I367" s="21" t="s">
        <v>45</v>
      </c>
      <c r="J367" s="21" t="n">
        <v>5</v>
      </c>
      <c r="K367" s="21" t="s">
        <v>46</v>
      </c>
      <c r="L367" s="24" t="n">
        <f aca="false">DATE(YEAR(C367),MONTH(C367),1)</f>
        <v>42948</v>
      </c>
      <c r="M367" s="21" t="n">
        <f aca="false">D367-C367</f>
        <v>16</v>
      </c>
      <c r="N367" s="21" t="n">
        <f aca="false">MAX(0,D367-E367)</f>
        <v>0</v>
      </c>
      <c r="O367" s="21" t="n">
        <f aca="false">IF(D367&lt;=E367,1,0)</f>
        <v>1</v>
      </c>
      <c r="P367" s="23" t="n">
        <f aca="false">G367+H367</f>
        <v>77.44</v>
      </c>
      <c r="Q367" s="23" t="n">
        <f aca="false">G367*INDEX(Assumptions!$B$8:$B$16,MATCH(F367,Assumptions!$A$8:$A$16,0))</f>
        <v>32.22</v>
      </c>
      <c r="R367" s="23" t="n">
        <f aca="false">H367*Assumptions!$B$3</f>
        <v>14.244</v>
      </c>
      <c r="S367" s="23" t="n">
        <f aca="false">G367-Q367-R367</f>
        <v>7.23600000000001</v>
      </c>
      <c r="T367" s="21" t="str">
        <f aca="false">IF(M367&lt;=7,"0-7 days",IF(M367&lt;=14,"8-14 days",IF(M367&lt;=21,"15-21 days","22+ days")))</f>
        <v>15-21 days</v>
      </c>
    </row>
    <row r="368" customFormat="false" ht="15" hidden="false" customHeight="false" outlineLevel="0" collapsed="false">
      <c r="A368" s="21" t="s">
        <v>434</v>
      </c>
      <c r="B368" s="21" t="s">
        <v>134</v>
      </c>
      <c r="C368" s="22" t="n">
        <v>42965</v>
      </c>
      <c r="D368" s="22" t="n">
        <v>42985</v>
      </c>
      <c r="E368" s="22" t="n">
        <v>42989</v>
      </c>
      <c r="F368" s="21" t="s">
        <v>53</v>
      </c>
      <c r="G368" s="23" t="n">
        <v>131.56</v>
      </c>
      <c r="H368" s="23" t="n">
        <v>30.19</v>
      </c>
      <c r="I368" s="21" t="s">
        <v>45</v>
      </c>
      <c r="J368" s="21" t="n">
        <v>4</v>
      </c>
      <c r="K368" s="21" t="s">
        <v>46</v>
      </c>
      <c r="L368" s="24" t="n">
        <f aca="false">DATE(YEAR(C368),MONTH(C368),1)</f>
        <v>42948</v>
      </c>
      <c r="M368" s="21" t="n">
        <f aca="false">D368-C368</f>
        <v>20</v>
      </c>
      <c r="N368" s="21" t="n">
        <f aca="false">MAX(0,D368-E368)</f>
        <v>0</v>
      </c>
      <c r="O368" s="21" t="n">
        <f aca="false">IF(D368&lt;=E368,1,0)</f>
        <v>1</v>
      </c>
      <c r="P368" s="23" t="n">
        <f aca="false">G368+H368</f>
        <v>161.75</v>
      </c>
      <c r="Q368" s="23" t="n">
        <f aca="false">G368*INDEX(Assumptions!$B$8:$B$16,MATCH(F368,Assumptions!$A$8:$A$16,0))</f>
        <v>97.3544</v>
      </c>
      <c r="R368" s="23" t="n">
        <f aca="false">H368*Assumptions!$B$3</f>
        <v>18.114</v>
      </c>
      <c r="S368" s="23" t="n">
        <f aca="false">G368-Q368-R368</f>
        <v>16.0916</v>
      </c>
      <c r="T368" s="21" t="str">
        <f aca="false">IF(M368&lt;=7,"0-7 days",IF(M368&lt;=14,"8-14 days",IF(M368&lt;=21,"15-21 days","22+ days")))</f>
        <v>15-21 days</v>
      </c>
    </row>
    <row r="369" customFormat="false" ht="15" hidden="false" customHeight="false" outlineLevel="0" collapsed="false">
      <c r="A369" s="21" t="s">
        <v>435</v>
      </c>
      <c r="B369" s="21" t="s">
        <v>19</v>
      </c>
      <c r="C369" s="22" t="n">
        <v>42965</v>
      </c>
      <c r="D369" s="22" t="n">
        <v>42974</v>
      </c>
      <c r="E369" s="22" t="n">
        <v>42982</v>
      </c>
      <c r="F369" s="21" t="s">
        <v>79</v>
      </c>
      <c r="G369" s="23" t="n">
        <v>114.39</v>
      </c>
      <c r="H369" s="23" t="n">
        <v>14.65</v>
      </c>
      <c r="I369" s="21" t="s">
        <v>50</v>
      </c>
      <c r="J369" s="21" t="n">
        <v>5</v>
      </c>
      <c r="K369" s="21" t="s">
        <v>46</v>
      </c>
      <c r="L369" s="24" t="n">
        <f aca="false">DATE(YEAR(C369),MONTH(C369),1)</f>
        <v>42948</v>
      </c>
      <c r="M369" s="21" t="n">
        <f aca="false">D369-C369</f>
        <v>9</v>
      </c>
      <c r="N369" s="21" t="n">
        <f aca="false">MAX(0,D369-E369)</f>
        <v>0</v>
      </c>
      <c r="O369" s="21" t="n">
        <f aca="false">IF(D369&lt;=E369,1,0)</f>
        <v>1</v>
      </c>
      <c r="P369" s="23" t="n">
        <f aca="false">G369+H369</f>
        <v>129.04</v>
      </c>
      <c r="Q369" s="23" t="n">
        <f aca="false">G369*INDEX(Assumptions!$B$8:$B$16,MATCH(F369,Assumptions!$A$8:$A$16,0))</f>
        <v>80.073</v>
      </c>
      <c r="R369" s="23" t="n">
        <f aca="false">H369*Assumptions!$B$3</f>
        <v>8.79</v>
      </c>
      <c r="S369" s="23" t="n">
        <f aca="false">G369-Q369-R369</f>
        <v>25.527</v>
      </c>
      <c r="T369" s="21" t="str">
        <f aca="false">IF(M369&lt;=7,"0-7 days",IF(M369&lt;=14,"8-14 days",IF(M369&lt;=21,"15-21 days","22+ days")))</f>
        <v>8-14 days</v>
      </c>
    </row>
    <row r="370" customFormat="false" ht="15" hidden="false" customHeight="false" outlineLevel="0" collapsed="false">
      <c r="A370" s="21" t="s">
        <v>436</v>
      </c>
      <c r="B370" s="21" t="s">
        <v>19</v>
      </c>
      <c r="C370" s="22" t="n">
        <v>42966</v>
      </c>
      <c r="D370" s="22" t="n">
        <v>42980</v>
      </c>
      <c r="E370" s="22" t="n">
        <v>42985</v>
      </c>
      <c r="F370" s="21" t="s">
        <v>57</v>
      </c>
      <c r="G370" s="23" t="n">
        <v>55.05</v>
      </c>
      <c r="H370" s="23" t="n">
        <v>17.3</v>
      </c>
      <c r="I370" s="21" t="s">
        <v>45</v>
      </c>
      <c r="J370" s="21" t="n">
        <v>5</v>
      </c>
      <c r="K370" s="21" t="s">
        <v>46</v>
      </c>
      <c r="L370" s="24" t="n">
        <f aca="false">DATE(YEAR(C370),MONTH(C370),1)</f>
        <v>42948</v>
      </c>
      <c r="M370" s="21" t="n">
        <f aca="false">D370-C370</f>
        <v>14</v>
      </c>
      <c r="N370" s="21" t="n">
        <f aca="false">MAX(0,D370-E370)</f>
        <v>0</v>
      </c>
      <c r="O370" s="21" t="n">
        <f aca="false">IF(D370&lt;=E370,1,0)</f>
        <v>1</v>
      </c>
      <c r="P370" s="23" t="n">
        <f aca="false">G370+H370</f>
        <v>72.35</v>
      </c>
      <c r="Q370" s="23" t="n">
        <f aca="false">G370*INDEX(Assumptions!$B$8:$B$16,MATCH(F370,Assumptions!$A$8:$A$16,0))</f>
        <v>37.434</v>
      </c>
      <c r="R370" s="23" t="n">
        <f aca="false">H370*Assumptions!$B$3</f>
        <v>10.38</v>
      </c>
      <c r="S370" s="23" t="n">
        <f aca="false">G370-Q370-R370</f>
        <v>7.236</v>
      </c>
      <c r="T370" s="21" t="str">
        <f aca="false">IF(M370&lt;=7,"0-7 days",IF(M370&lt;=14,"8-14 days",IF(M370&lt;=21,"15-21 days","22+ days")))</f>
        <v>8-14 days</v>
      </c>
    </row>
    <row r="371" customFormat="false" ht="15" hidden="false" customHeight="false" outlineLevel="0" collapsed="false">
      <c r="A371" s="21" t="s">
        <v>437</v>
      </c>
      <c r="B371" s="21" t="s">
        <v>62</v>
      </c>
      <c r="C371" s="22" t="n">
        <v>42967</v>
      </c>
      <c r="D371" s="22" t="n">
        <v>42982</v>
      </c>
      <c r="E371" s="22" t="n">
        <v>42986</v>
      </c>
      <c r="F371" s="21" t="s">
        <v>79</v>
      </c>
      <c r="G371" s="23" t="n">
        <v>125.21</v>
      </c>
      <c r="H371" s="23" t="n">
        <v>27.92</v>
      </c>
      <c r="I371" s="21" t="s">
        <v>50</v>
      </c>
      <c r="J371" s="21" t="n">
        <v>5</v>
      </c>
      <c r="K371" s="21" t="s">
        <v>46</v>
      </c>
      <c r="L371" s="24" t="n">
        <f aca="false">DATE(YEAR(C371),MONTH(C371),1)</f>
        <v>42948</v>
      </c>
      <c r="M371" s="21" t="n">
        <f aca="false">D371-C371</f>
        <v>15</v>
      </c>
      <c r="N371" s="21" t="n">
        <f aca="false">MAX(0,D371-E371)</f>
        <v>0</v>
      </c>
      <c r="O371" s="21" t="n">
        <f aca="false">IF(D371&lt;=E371,1,0)</f>
        <v>1</v>
      </c>
      <c r="P371" s="23" t="n">
        <f aca="false">G371+H371</f>
        <v>153.13</v>
      </c>
      <c r="Q371" s="23" t="n">
        <f aca="false">G371*INDEX(Assumptions!$B$8:$B$16,MATCH(F371,Assumptions!$A$8:$A$16,0))</f>
        <v>87.647</v>
      </c>
      <c r="R371" s="23" t="n">
        <f aca="false">H371*Assumptions!$B$3</f>
        <v>16.752</v>
      </c>
      <c r="S371" s="23" t="n">
        <f aca="false">G371-Q371-R371</f>
        <v>20.811</v>
      </c>
      <c r="T371" s="21" t="str">
        <f aca="false">IF(M371&lt;=7,"0-7 days",IF(M371&lt;=14,"8-14 days",IF(M371&lt;=21,"15-21 days","22+ days")))</f>
        <v>15-21 days</v>
      </c>
    </row>
    <row r="372" customFormat="false" ht="15" hidden="false" customHeight="false" outlineLevel="0" collapsed="false">
      <c r="A372" s="21" t="s">
        <v>438</v>
      </c>
      <c r="B372" s="21" t="s">
        <v>48</v>
      </c>
      <c r="C372" s="22" t="n">
        <v>42967</v>
      </c>
      <c r="D372" s="22" t="n">
        <v>42978</v>
      </c>
      <c r="E372" s="22" t="n">
        <v>42989</v>
      </c>
      <c r="F372" s="21" t="s">
        <v>57</v>
      </c>
      <c r="G372" s="23" t="n">
        <v>57.06</v>
      </c>
      <c r="H372" s="23" t="n">
        <v>20.99</v>
      </c>
      <c r="I372" s="21" t="s">
        <v>45</v>
      </c>
      <c r="J372" s="21" t="n">
        <v>5</v>
      </c>
      <c r="K372" s="21" t="s">
        <v>46</v>
      </c>
      <c r="L372" s="24" t="n">
        <f aca="false">DATE(YEAR(C372),MONTH(C372),1)</f>
        <v>42948</v>
      </c>
      <c r="M372" s="21" t="n">
        <f aca="false">D372-C372</f>
        <v>11</v>
      </c>
      <c r="N372" s="21" t="n">
        <f aca="false">MAX(0,D372-E372)</f>
        <v>0</v>
      </c>
      <c r="O372" s="21" t="n">
        <f aca="false">IF(D372&lt;=E372,1,0)</f>
        <v>1</v>
      </c>
      <c r="P372" s="23" t="n">
        <f aca="false">G372+H372</f>
        <v>78.05</v>
      </c>
      <c r="Q372" s="23" t="n">
        <f aca="false">G372*INDEX(Assumptions!$B$8:$B$16,MATCH(F372,Assumptions!$A$8:$A$16,0))</f>
        <v>38.8008</v>
      </c>
      <c r="R372" s="23" t="n">
        <f aca="false">H372*Assumptions!$B$3</f>
        <v>12.594</v>
      </c>
      <c r="S372" s="23" t="n">
        <f aca="false">G372-Q372-R372</f>
        <v>5.6652</v>
      </c>
      <c r="T372" s="21" t="str">
        <f aca="false">IF(M372&lt;=7,"0-7 days",IF(M372&lt;=14,"8-14 days",IF(M372&lt;=21,"15-21 days","22+ days")))</f>
        <v>8-14 days</v>
      </c>
    </row>
    <row r="373" customFormat="false" ht="15" hidden="false" customHeight="false" outlineLevel="0" collapsed="false">
      <c r="A373" s="21" t="s">
        <v>439</v>
      </c>
      <c r="B373" s="21" t="s">
        <v>55</v>
      </c>
      <c r="C373" s="22" t="n">
        <v>42967</v>
      </c>
      <c r="D373" s="22" t="n">
        <v>42979</v>
      </c>
      <c r="E373" s="22" t="n">
        <v>42994</v>
      </c>
      <c r="F373" s="21" t="s">
        <v>111</v>
      </c>
      <c r="G373" s="23" t="n">
        <v>134.57</v>
      </c>
      <c r="H373" s="23" t="n">
        <v>25.19</v>
      </c>
      <c r="I373" s="21" t="s">
        <v>45</v>
      </c>
      <c r="J373" s="21" t="n">
        <v>3</v>
      </c>
      <c r="K373" s="21" t="s">
        <v>46</v>
      </c>
      <c r="L373" s="24" t="n">
        <f aca="false">DATE(YEAR(C373),MONTH(C373),1)</f>
        <v>42948</v>
      </c>
      <c r="M373" s="21" t="n">
        <f aca="false">D373-C373</f>
        <v>12</v>
      </c>
      <c r="N373" s="21" t="n">
        <f aca="false">MAX(0,D373-E373)</f>
        <v>0</v>
      </c>
      <c r="O373" s="21" t="n">
        <f aca="false">IF(D373&lt;=E373,1,0)</f>
        <v>1</v>
      </c>
      <c r="P373" s="23" t="n">
        <f aca="false">G373+H373</f>
        <v>159.76</v>
      </c>
      <c r="Q373" s="23" t="n">
        <f aca="false">G373*INDEX(Assumptions!$B$8:$B$16,MATCH(F373,Assumptions!$A$8:$A$16,0))</f>
        <v>84.7791</v>
      </c>
      <c r="R373" s="23" t="n">
        <f aca="false">H373*Assumptions!$B$3</f>
        <v>15.114</v>
      </c>
      <c r="S373" s="23" t="n">
        <f aca="false">G373-Q373-R373</f>
        <v>34.6769</v>
      </c>
      <c r="T373" s="21" t="str">
        <f aca="false">IF(M373&lt;=7,"0-7 days",IF(M373&lt;=14,"8-14 days",IF(M373&lt;=21,"15-21 days","22+ days")))</f>
        <v>8-14 days</v>
      </c>
    </row>
    <row r="374" customFormat="false" ht="15" hidden="false" customHeight="false" outlineLevel="0" collapsed="false">
      <c r="A374" s="21" t="s">
        <v>440</v>
      </c>
      <c r="B374" s="21" t="s">
        <v>62</v>
      </c>
      <c r="C374" s="22" t="n">
        <v>42967</v>
      </c>
      <c r="D374" s="22" t="n">
        <v>42988</v>
      </c>
      <c r="E374" s="22" t="n">
        <v>42988</v>
      </c>
      <c r="F374" s="21" t="s">
        <v>67</v>
      </c>
      <c r="G374" s="23" t="n">
        <v>108.37</v>
      </c>
      <c r="H374" s="23" t="n">
        <v>21.12</v>
      </c>
      <c r="I374" s="21" t="s">
        <v>45</v>
      </c>
      <c r="J374" s="21" t="n">
        <v>5</v>
      </c>
      <c r="K374" s="21" t="s">
        <v>46</v>
      </c>
      <c r="L374" s="24" t="n">
        <f aca="false">DATE(YEAR(C374),MONTH(C374),1)</f>
        <v>42948</v>
      </c>
      <c r="M374" s="21" t="n">
        <f aca="false">D374-C374</f>
        <v>21</v>
      </c>
      <c r="N374" s="21" t="n">
        <f aca="false">MAX(0,D374-E374)</f>
        <v>0</v>
      </c>
      <c r="O374" s="21" t="n">
        <f aca="false">IF(D374&lt;=E374,1,0)</f>
        <v>1</v>
      </c>
      <c r="P374" s="23" t="n">
        <f aca="false">G374+H374</f>
        <v>129.49</v>
      </c>
      <c r="Q374" s="23" t="n">
        <f aca="false">G374*INDEX(Assumptions!$B$8:$B$16,MATCH(F374,Assumptions!$A$8:$A$16,0))</f>
        <v>67.1894</v>
      </c>
      <c r="R374" s="23" t="n">
        <f aca="false">H374*Assumptions!$B$3</f>
        <v>12.672</v>
      </c>
      <c r="S374" s="23" t="n">
        <f aca="false">G374-Q374-R374</f>
        <v>28.5086</v>
      </c>
      <c r="T374" s="21" t="str">
        <f aca="false">IF(M374&lt;=7,"0-7 days",IF(M374&lt;=14,"8-14 days",IF(M374&lt;=21,"15-21 days","22+ days")))</f>
        <v>15-21 days</v>
      </c>
    </row>
    <row r="375" customFormat="false" ht="15" hidden="false" customHeight="false" outlineLevel="0" collapsed="false">
      <c r="A375" s="21" t="s">
        <v>441</v>
      </c>
      <c r="B375" s="21" t="s">
        <v>134</v>
      </c>
      <c r="C375" s="22" t="n">
        <v>42967</v>
      </c>
      <c r="D375" s="22" t="n">
        <v>42984</v>
      </c>
      <c r="E375" s="22" t="n">
        <v>42987</v>
      </c>
      <c r="F375" s="21" t="s">
        <v>111</v>
      </c>
      <c r="G375" s="23" t="n">
        <v>23.61</v>
      </c>
      <c r="H375" s="23" t="n">
        <v>28.67</v>
      </c>
      <c r="I375" s="21" t="s">
        <v>45</v>
      </c>
      <c r="J375" s="21" t="n">
        <v>5</v>
      </c>
      <c r="K375" s="21" t="s">
        <v>46</v>
      </c>
      <c r="L375" s="24" t="n">
        <f aca="false">DATE(YEAR(C375),MONTH(C375),1)</f>
        <v>42948</v>
      </c>
      <c r="M375" s="21" t="n">
        <f aca="false">D375-C375</f>
        <v>17</v>
      </c>
      <c r="N375" s="21" t="n">
        <f aca="false">MAX(0,D375-E375)</f>
        <v>0</v>
      </c>
      <c r="O375" s="21" t="n">
        <f aca="false">IF(D375&lt;=E375,1,0)</f>
        <v>1</v>
      </c>
      <c r="P375" s="23" t="n">
        <f aca="false">G375+H375</f>
        <v>52.28</v>
      </c>
      <c r="Q375" s="23" t="n">
        <f aca="false">G375*INDEX(Assumptions!$B$8:$B$16,MATCH(F375,Assumptions!$A$8:$A$16,0))</f>
        <v>14.8743</v>
      </c>
      <c r="R375" s="23" t="n">
        <f aca="false">H375*Assumptions!$B$3</f>
        <v>17.202</v>
      </c>
      <c r="S375" s="23" t="n">
        <f aca="false">G375-Q375-R375</f>
        <v>-8.4663</v>
      </c>
      <c r="T375" s="21" t="str">
        <f aca="false">IF(M375&lt;=7,"0-7 days",IF(M375&lt;=14,"8-14 days",IF(M375&lt;=21,"15-21 days","22+ days")))</f>
        <v>15-21 days</v>
      </c>
    </row>
    <row r="376" customFormat="false" ht="15" hidden="false" customHeight="false" outlineLevel="0" collapsed="false">
      <c r="A376" s="21" t="s">
        <v>442</v>
      </c>
      <c r="B376" s="21" t="s">
        <v>19</v>
      </c>
      <c r="C376" s="22" t="n">
        <v>42968</v>
      </c>
      <c r="D376" s="22" t="n">
        <v>42976</v>
      </c>
      <c r="E376" s="22" t="n">
        <v>42985</v>
      </c>
      <c r="F376" s="21" t="s">
        <v>67</v>
      </c>
      <c r="G376" s="23" t="n">
        <v>109.4</v>
      </c>
      <c r="H376" s="23" t="n">
        <v>20.5</v>
      </c>
      <c r="I376" s="21" t="s">
        <v>45</v>
      </c>
      <c r="J376" s="21" t="n">
        <v>4</v>
      </c>
      <c r="K376" s="21" t="s">
        <v>46</v>
      </c>
      <c r="L376" s="24" t="n">
        <f aca="false">DATE(YEAR(C376),MONTH(C376),1)</f>
        <v>42948</v>
      </c>
      <c r="M376" s="21" t="n">
        <f aca="false">D376-C376</f>
        <v>8</v>
      </c>
      <c r="N376" s="21" t="n">
        <f aca="false">MAX(0,D376-E376)</f>
        <v>0</v>
      </c>
      <c r="O376" s="21" t="n">
        <f aca="false">IF(D376&lt;=E376,1,0)</f>
        <v>1</v>
      </c>
      <c r="P376" s="23" t="n">
        <f aca="false">G376+H376</f>
        <v>129.9</v>
      </c>
      <c r="Q376" s="23" t="n">
        <f aca="false">G376*INDEX(Assumptions!$B$8:$B$16,MATCH(F376,Assumptions!$A$8:$A$16,0))</f>
        <v>67.828</v>
      </c>
      <c r="R376" s="23" t="n">
        <f aca="false">H376*Assumptions!$B$3</f>
        <v>12.3</v>
      </c>
      <c r="S376" s="23" t="n">
        <f aca="false">G376-Q376-R376</f>
        <v>29.272</v>
      </c>
      <c r="T376" s="21" t="str">
        <f aca="false">IF(M376&lt;=7,"0-7 days",IF(M376&lt;=14,"8-14 days",IF(M376&lt;=21,"15-21 days","22+ days")))</f>
        <v>8-14 days</v>
      </c>
    </row>
    <row r="377" customFormat="false" ht="15" hidden="false" customHeight="false" outlineLevel="0" collapsed="false">
      <c r="A377" s="21" t="s">
        <v>443</v>
      </c>
      <c r="B377" s="21" t="s">
        <v>19</v>
      </c>
      <c r="C377" s="22" t="n">
        <v>42968</v>
      </c>
      <c r="D377" s="22" t="n">
        <v>42981</v>
      </c>
      <c r="E377" s="22" t="n">
        <v>42986</v>
      </c>
      <c r="F377" s="21" t="s">
        <v>44</v>
      </c>
      <c r="G377" s="23" t="n">
        <v>78.23</v>
      </c>
      <c r="H377" s="23" t="n">
        <v>12.65</v>
      </c>
      <c r="I377" s="21" t="s">
        <v>45</v>
      </c>
      <c r="J377" s="21" t="n">
        <v>5</v>
      </c>
      <c r="K377" s="21" t="s">
        <v>46</v>
      </c>
      <c r="L377" s="24" t="n">
        <f aca="false">DATE(YEAR(C377),MONTH(C377),1)</f>
        <v>42948</v>
      </c>
      <c r="M377" s="21" t="n">
        <f aca="false">D377-C377</f>
        <v>13</v>
      </c>
      <c r="N377" s="21" t="n">
        <f aca="false">MAX(0,D377-E377)</f>
        <v>0</v>
      </c>
      <c r="O377" s="21" t="n">
        <f aca="false">IF(D377&lt;=E377,1,0)</f>
        <v>1</v>
      </c>
      <c r="P377" s="23" t="n">
        <f aca="false">G377+H377</f>
        <v>90.88</v>
      </c>
      <c r="Q377" s="23" t="n">
        <f aca="false">G377*INDEX(Assumptions!$B$8:$B$16,MATCH(F377,Assumptions!$A$8:$A$16,0))</f>
        <v>46.938</v>
      </c>
      <c r="R377" s="23" t="n">
        <f aca="false">H377*Assumptions!$B$3</f>
        <v>7.59</v>
      </c>
      <c r="S377" s="23" t="n">
        <f aca="false">G377-Q377-R377</f>
        <v>23.702</v>
      </c>
      <c r="T377" s="21" t="str">
        <f aca="false">IF(M377&lt;=7,"0-7 days",IF(M377&lt;=14,"8-14 days",IF(M377&lt;=21,"15-21 days","22+ days")))</f>
        <v>8-14 days</v>
      </c>
    </row>
    <row r="378" customFormat="false" ht="15" hidden="false" customHeight="false" outlineLevel="0" collapsed="false">
      <c r="A378" s="21" t="s">
        <v>444</v>
      </c>
      <c r="B378" s="21" t="s">
        <v>55</v>
      </c>
      <c r="C378" s="22" t="n">
        <v>42968</v>
      </c>
      <c r="D378" s="22" t="n">
        <v>42983</v>
      </c>
      <c r="E378" s="22" t="n">
        <v>42992</v>
      </c>
      <c r="F378" s="21" t="s">
        <v>49</v>
      </c>
      <c r="G378" s="23" t="n">
        <v>90.89</v>
      </c>
      <c r="H378" s="23" t="n">
        <v>16.88</v>
      </c>
      <c r="I378" s="21" t="s">
        <v>45</v>
      </c>
      <c r="J378" s="21" t="n">
        <v>4</v>
      </c>
      <c r="K378" s="21" t="s">
        <v>46</v>
      </c>
      <c r="L378" s="24" t="n">
        <f aca="false">DATE(YEAR(C378),MONTH(C378),1)</f>
        <v>42948</v>
      </c>
      <c r="M378" s="21" t="n">
        <f aca="false">D378-C378</f>
        <v>15</v>
      </c>
      <c r="N378" s="21" t="n">
        <f aca="false">MAX(0,D378-E378)</f>
        <v>0</v>
      </c>
      <c r="O378" s="21" t="n">
        <f aca="false">IF(D378&lt;=E378,1,0)</f>
        <v>1</v>
      </c>
      <c r="P378" s="23" t="n">
        <f aca="false">G378+H378</f>
        <v>107.77</v>
      </c>
      <c r="Q378" s="23" t="n">
        <f aca="false">G378*INDEX(Assumptions!$B$8:$B$16,MATCH(F378,Assumptions!$A$8:$A$16,0))</f>
        <v>52.7162</v>
      </c>
      <c r="R378" s="23" t="n">
        <f aca="false">H378*Assumptions!$B$3</f>
        <v>10.128</v>
      </c>
      <c r="S378" s="23" t="n">
        <f aca="false">G378-Q378-R378</f>
        <v>28.0458</v>
      </c>
      <c r="T378" s="21" t="str">
        <f aca="false">IF(M378&lt;=7,"0-7 days",IF(M378&lt;=14,"8-14 days",IF(M378&lt;=21,"15-21 days","22+ days")))</f>
        <v>15-21 days</v>
      </c>
    </row>
    <row r="379" customFormat="false" ht="15" hidden="false" customHeight="false" outlineLevel="0" collapsed="false">
      <c r="A379" s="21" t="s">
        <v>445</v>
      </c>
      <c r="B379" s="21" t="s">
        <v>19</v>
      </c>
      <c r="C379" s="22" t="n">
        <v>42969</v>
      </c>
      <c r="D379" s="22" t="n">
        <v>42977</v>
      </c>
      <c r="E379" s="22" t="n">
        <v>42984</v>
      </c>
      <c r="F379" s="21" t="s">
        <v>49</v>
      </c>
      <c r="G379" s="23" t="n">
        <v>62.43</v>
      </c>
      <c r="H379" s="23" t="n">
        <v>18.67</v>
      </c>
      <c r="I379" s="21" t="s">
        <v>45</v>
      </c>
      <c r="J379" s="21" t="n">
        <v>4</v>
      </c>
      <c r="K379" s="21" t="s">
        <v>46</v>
      </c>
      <c r="L379" s="24" t="n">
        <f aca="false">DATE(YEAR(C379),MONTH(C379),1)</f>
        <v>42948</v>
      </c>
      <c r="M379" s="21" t="n">
        <f aca="false">D379-C379</f>
        <v>8</v>
      </c>
      <c r="N379" s="21" t="n">
        <f aca="false">MAX(0,D379-E379)</f>
        <v>0</v>
      </c>
      <c r="O379" s="21" t="n">
        <f aca="false">IF(D379&lt;=E379,1,0)</f>
        <v>1</v>
      </c>
      <c r="P379" s="23" t="n">
        <f aca="false">G379+H379</f>
        <v>81.1</v>
      </c>
      <c r="Q379" s="23" t="n">
        <f aca="false">G379*INDEX(Assumptions!$B$8:$B$16,MATCH(F379,Assumptions!$A$8:$A$16,0))</f>
        <v>36.2094</v>
      </c>
      <c r="R379" s="23" t="n">
        <f aca="false">H379*Assumptions!$B$3</f>
        <v>11.202</v>
      </c>
      <c r="S379" s="23" t="n">
        <f aca="false">G379-Q379-R379</f>
        <v>15.0186</v>
      </c>
      <c r="T379" s="21" t="str">
        <f aca="false">IF(M379&lt;=7,"0-7 days",IF(M379&lt;=14,"8-14 days",IF(M379&lt;=21,"15-21 days","22+ days")))</f>
        <v>8-14 days</v>
      </c>
    </row>
    <row r="380" customFormat="false" ht="15" hidden="false" customHeight="false" outlineLevel="0" collapsed="false">
      <c r="A380" s="21" t="s">
        <v>446</v>
      </c>
      <c r="B380" s="21" t="s">
        <v>19</v>
      </c>
      <c r="C380" s="22" t="n">
        <v>42969</v>
      </c>
      <c r="D380" s="22" t="n">
        <v>42987</v>
      </c>
      <c r="E380" s="22" t="n">
        <v>42985</v>
      </c>
      <c r="F380" s="21" t="s">
        <v>111</v>
      </c>
      <c r="G380" s="23" t="n">
        <v>81.37</v>
      </c>
      <c r="H380" s="23" t="n">
        <v>14.29</v>
      </c>
      <c r="I380" s="21" t="s">
        <v>45</v>
      </c>
      <c r="J380" s="21" t="n">
        <v>3</v>
      </c>
      <c r="K380" s="21" t="s">
        <v>46</v>
      </c>
      <c r="L380" s="24" t="n">
        <f aca="false">DATE(YEAR(C380),MONTH(C380),1)</f>
        <v>42948</v>
      </c>
      <c r="M380" s="21" t="n">
        <f aca="false">D380-C380</f>
        <v>18</v>
      </c>
      <c r="N380" s="21" t="n">
        <f aca="false">MAX(0,D380-E380)</f>
        <v>2</v>
      </c>
      <c r="O380" s="21" t="n">
        <f aca="false">IF(D380&lt;=E380,1,0)</f>
        <v>0</v>
      </c>
      <c r="P380" s="23" t="n">
        <f aca="false">G380+H380</f>
        <v>95.66</v>
      </c>
      <c r="Q380" s="23" t="n">
        <f aca="false">G380*INDEX(Assumptions!$B$8:$B$16,MATCH(F380,Assumptions!$A$8:$A$16,0))</f>
        <v>51.2631</v>
      </c>
      <c r="R380" s="23" t="n">
        <f aca="false">H380*Assumptions!$B$3</f>
        <v>8.574</v>
      </c>
      <c r="S380" s="23" t="n">
        <f aca="false">G380-Q380-R380</f>
        <v>21.5329</v>
      </c>
      <c r="T380" s="21" t="str">
        <f aca="false">IF(M380&lt;=7,"0-7 days",IF(M380&lt;=14,"8-14 days",IF(M380&lt;=21,"15-21 days","22+ days")))</f>
        <v>15-21 days</v>
      </c>
    </row>
    <row r="381" customFormat="false" ht="15" hidden="false" customHeight="false" outlineLevel="0" collapsed="false">
      <c r="A381" s="21" t="s">
        <v>447</v>
      </c>
      <c r="B381" s="21" t="s">
        <v>19</v>
      </c>
      <c r="C381" s="22" t="n">
        <v>42969</v>
      </c>
      <c r="D381" s="22" t="n">
        <v>42981</v>
      </c>
      <c r="E381" s="22" t="n">
        <v>42987</v>
      </c>
      <c r="F381" s="21" t="s">
        <v>53</v>
      </c>
      <c r="G381" s="23" t="n">
        <v>130.02</v>
      </c>
      <c r="H381" s="23" t="n">
        <v>22.77</v>
      </c>
      <c r="I381" s="21" t="s">
        <v>60</v>
      </c>
      <c r="J381" s="21" t="n">
        <v>5</v>
      </c>
      <c r="K381" s="21" t="s">
        <v>46</v>
      </c>
      <c r="L381" s="24" t="n">
        <f aca="false">DATE(YEAR(C381),MONTH(C381),1)</f>
        <v>42948</v>
      </c>
      <c r="M381" s="21" t="n">
        <f aca="false">D381-C381</f>
        <v>12</v>
      </c>
      <c r="N381" s="21" t="n">
        <f aca="false">MAX(0,D381-E381)</f>
        <v>0</v>
      </c>
      <c r="O381" s="21" t="n">
        <f aca="false">IF(D381&lt;=E381,1,0)</f>
        <v>1</v>
      </c>
      <c r="P381" s="23" t="n">
        <f aca="false">G381+H381</f>
        <v>152.79</v>
      </c>
      <c r="Q381" s="23" t="n">
        <f aca="false">G381*INDEX(Assumptions!$B$8:$B$16,MATCH(F381,Assumptions!$A$8:$A$16,0))</f>
        <v>96.2148</v>
      </c>
      <c r="R381" s="23" t="n">
        <f aca="false">H381*Assumptions!$B$3</f>
        <v>13.662</v>
      </c>
      <c r="S381" s="23" t="n">
        <f aca="false">G381-Q381-R381</f>
        <v>20.1432</v>
      </c>
      <c r="T381" s="21" t="str">
        <f aca="false">IF(M381&lt;=7,"0-7 days",IF(M381&lt;=14,"8-14 days",IF(M381&lt;=21,"15-21 days","22+ days")))</f>
        <v>8-14 days</v>
      </c>
    </row>
    <row r="382" customFormat="false" ht="15" hidden="false" customHeight="false" outlineLevel="0" collapsed="false">
      <c r="A382" s="21" t="s">
        <v>448</v>
      </c>
      <c r="B382" s="21" t="s">
        <v>62</v>
      </c>
      <c r="C382" s="22" t="n">
        <v>42969</v>
      </c>
      <c r="D382" s="22" t="n">
        <v>42975</v>
      </c>
      <c r="E382" s="22" t="n">
        <v>42989</v>
      </c>
      <c r="F382" s="21" t="s">
        <v>79</v>
      </c>
      <c r="G382" s="23" t="n">
        <v>112.6</v>
      </c>
      <c r="H382" s="23" t="n">
        <v>29.39</v>
      </c>
      <c r="I382" s="21" t="s">
        <v>45</v>
      </c>
      <c r="J382" s="21" t="n">
        <v>4</v>
      </c>
      <c r="K382" s="21" t="s">
        <v>46</v>
      </c>
      <c r="L382" s="24" t="n">
        <f aca="false">DATE(YEAR(C382),MONTH(C382),1)</f>
        <v>42948</v>
      </c>
      <c r="M382" s="21" t="n">
        <f aca="false">D382-C382</f>
        <v>6</v>
      </c>
      <c r="N382" s="21" t="n">
        <f aca="false">MAX(0,D382-E382)</f>
        <v>0</v>
      </c>
      <c r="O382" s="21" t="n">
        <f aca="false">IF(D382&lt;=E382,1,0)</f>
        <v>1</v>
      </c>
      <c r="P382" s="23" t="n">
        <f aca="false">G382+H382</f>
        <v>141.99</v>
      </c>
      <c r="Q382" s="23" t="n">
        <f aca="false">G382*INDEX(Assumptions!$B$8:$B$16,MATCH(F382,Assumptions!$A$8:$A$16,0))</f>
        <v>78.82</v>
      </c>
      <c r="R382" s="23" t="n">
        <f aca="false">H382*Assumptions!$B$3</f>
        <v>17.634</v>
      </c>
      <c r="S382" s="23" t="n">
        <f aca="false">G382-Q382-R382</f>
        <v>16.146</v>
      </c>
      <c r="T382" s="21" t="str">
        <f aca="false">IF(M382&lt;=7,"0-7 days",IF(M382&lt;=14,"8-14 days",IF(M382&lt;=21,"15-21 days","22+ days")))</f>
        <v>0-7 days</v>
      </c>
    </row>
    <row r="383" customFormat="false" ht="15" hidden="false" customHeight="false" outlineLevel="0" collapsed="false">
      <c r="A383" s="21" t="s">
        <v>449</v>
      </c>
      <c r="B383" s="21" t="s">
        <v>19</v>
      </c>
      <c r="C383" s="22" t="n">
        <v>42970</v>
      </c>
      <c r="D383" s="22" t="n">
        <v>42990</v>
      </c>
      <c r="E383" s="22" t="n">
        <v>42986</v>
      </c>
      <c r="F383" s="21" t="s">
        <v>59</v>
      </c>
      <c r="G383" s="23" t="n">
        <v>111.97</v>
      </c>
      <c r="H383" s="23" t="n">
        <v>17.4</v>
      </c>
      <c r="I383" s="21" t="s">
        <v>45</v>
      </c>
      <c r="J383" s="21" t="n">
        <v>4</v>
      </c>
      <c r="K383" s="21" t="s">
        <v>46</v>
      </c>
      <c r="L383" s="24" t="n">
        <f aca="false">DATE(YEAR(C383),MONTH(C383),1)</f>
        <v>42948</v>
      </c>
      <c r="M383" s="21" t="n">
        <f aca="false">D383-C383</f>
        <v>20</v>
      </c>
      <c r="N383" s="21" t="n">
        <f aca="false">MAX(0,D383-E383)</f>
        <v>4</v>
      </c>
      <c r="O383" s="21" t="n">
        <f aca="false">IF(D383&lt;=E383,1,0)</f>
        <v>0</v>
      </c>
      <c r="P383" s="23" t="n">
        <f aca="false">G383+H383</f>
        <v>129.37</v>
      </c>
      <c r="Q383" s="23" t="n">
        <f aca="false">G383*INDEX(Assumptions!$B$8:$B$16,MATCH(F383,Assumptions!$A$8:$A$16,0))</f>
        <v>71.6608</v>
      </c>
      <c r="R383" s="23" t="n">
        <f aca="false">H383*Assumptions!$B$3</f>
        <v>10.44</v>
      </c>
      <c r="S383" s="23" t="n">
        <f aca="false">G383-Q383-R383</f>
        <v>29.8692</v>
      </c>
      <c r="T383" s="21" t="str">
        <f aca="false">IF(M383&lt;=7,"0-7 days",IF(M383&lt;=14,"8-14 days",IF(M383&lt;=21,"15-21 days","22+ days")))</f>
        <v>15-21 days</v>
      </c>
    </row>
    <row r="384" customFormat="false" ht="15" hidden="false" customHeight="false" outlineLevel="0" collapsed="false">
      <c r="A384" s="21" t="s">
        <v>450</v>
      </c>
      <c r="B384" s="21" t="s">
        <v>62</v>
      </c>
      <c r="C384" s="22" t="n">
        <v>42970</v>
      </c>
      <c r="D384" s="22" t="n">
        <v>42977</v>
      </c>
      <c r="E384" s="22" t="n">
        <v>42987</v>
      </c>
      <c r="F384" s="21" t="s">
        <v>53</v>
      </c>
      <c r="G384" s="23" t="n">
        <v>166.05</v>
      </c>
      <c r="H384" s="23" t="n">
        <v>27.44</v>
      </c>
      <c r="I384" s="21" t="s">
        <v>45</v>
      </c>
      <c r="J384" s="21" t="n">
        <v>4</v>
      </c>
      <c r="K384" s="21" t="s">
        <v>46</v>
      </c>
      <c r="L384" s="24" t="n">
        <f aca="false">DATE(YEAR(C384),MONTH(C384),1)</f>
        <v>42948</v>
      </c>
      <c r="M384" s="21" t="n">
        <f aca="false">D384-C384</f>
        <v>7</v>
      </c>
      <c r="N384" s="21" t="n">
        <f aca="false">MAX(0,D384-E384)</f>
        <v>0</v>
      </c>
      <c r="O384" s="21" t="n">
        <f aca="false">IF(D384&lt;=E384,1,0)</f>
        <v>1</v>
      </c>
      <c r="P384" s="23" t="n">
        <f aca="false">G384+H384</f>
        <v>193.49</v>
      </c>
      <c r="Q384" s="23" t="n">
        <f aca="false">G384*INDEX(Assumptions!$B$8:$B$16,MATCH(F384,Assumptions!$A$8:$A$16,0))</f>
        <v>122.877</v>
      </c>
      <c r="R384" s="23" t="n">
        <f aca="false">H384*Assumptions!$B$3</f>
        <v>16.464</v>
      </c>
      <c r="S384" s="23" t="n">
        <f aca="false">G384-Q384-R384</f>
        <v>26.709</v>
      </c>
      <c r="T384" s="21" t="str">
        <f aca="false">IF(M384&lt;=7,"0-7 days",IF(M384&lt;=14,"8-14 days",IF(M384&lt;=21,"15-21 days","22+ days")))</f>
        <v>0-7 days</v>
      </c>
    </row>
    <row r="385" customFormat="false" ht="15" hidden="false" customHeight="false" outlineLevel="0" collapsed="false">
      <c r="A385" s="21" t="s">
        <v>451</v>
      </c>
      <c r="B385" s="21" t="s">
        <v>19</v>
      </c>
      <c r="C385" s="22" t="n">
        <v>42970</v>
      </c>
      <c r="D385" s="22" t="n">
        <v>42976</v>
      </c>
      <c r="E385" s="22" t="n">
        <v>42986</v>
      </c>
      <c r="F385" s="21" t="s">
        <v>44</v>
      </c>
      <c r="G385" s="23" t="n">
        <v>68.39</v>
      </c>
      <c r="H385" s="23" t="n">
        <v>21.6</v>
      </c>
      <c r="I385" s="21" t="s">
        <v>104</v>
      </c>
      <c r="J385" s="21" t="n">
        <v>5</v>
      </c>
      <c r="K385" s="21" t="s">
        <v>46</v>
      </c>
      <c r="L385" s="24" t="n">
        <f aca="false">DATE(YEAR(C385),MONTH(C385),1)</f>
        <v>42948</v>
      </c>
      <c r="M385" s="21" t="n">
        <f aca="false">D385-C385</f>
        <v>6</v>
      </c>
      <c r="N385" s="21" t="n">
        <f aca="false">MAX(0,D385-E385)</f>
        <v>0</v>
      </c>
      <c r="O385" s="21" t="n">
        <f aca="false">IF(D385&lt;=E385,1,0)</f>
        <v>1</v>
      </c>
      <c r="P385" s="23" t="n">
        <f aca="false">G385+H385</f>
        <v>89.99</v>
      </c>
      <c r="Q385" s="23" t="n">
        <f aca="false">G385*INDEX(Assumptions!$B$8:$B$16,MATCH(F385,Assumptions!$A$8:$A$16,0))</f>
        <v>41.034</v>
      </c>
      <c r="R385" s="23" t="n">
        <f aca="false">H385*Assumptions!$B$3</f>
        <v>12.96</v>
      </c>
      <c r="S385" s="23" t="n">
        <f aca="false">G385-Q385-R385</f>
        <v>14.396</v>
      </c>
      <c r="T385" s="21" t="str">
        <f aca="false">IF(M385&lt;=7,"0-7 days",IF(M385&lt;=14,"8-14 days",IF(M385&lt;=21,"15-21 days","22+ days")))</f>
        <v>0-7 days</v>
      </c>
    </row>
    <row r="386" customFormat="false" ht="15" hidden="false" customHeight="false" outlineLevel="0" collapsed="false">
      <c r="A386" s="21" t="s">
        <v>452</v>
      </c>
      <c r="B386" s="21" t="s">
        <v>62</v>
      </c>
      <c r="C386" s="22" t="n">
        <v>42971</v>
      </c>
      <c r="D386" s="22" t="n">
        <v>42986</v>
      </c>
      <c r="E386" s="22" t="n">
        <v>42992</v>
      </c>
      <c r="F386" s="21" t="s">
        <v>53</v>
      </c>
      <c r="G386" s="23" t="n">
        <v>26.78</v>
      </c>
      <c r="H386" s="23" t="n">
        <v>25.87</v>
      </c>
      <c r="I386" s="21" t="s">
        <v>45</v>
      </c>
      <c r="J386" s="21" t="n">
        <v>5</v>
      </c>
      <c r="K386" s="21" t="s">
        <v>46</v>
      </c>
      <c r="L386" s="24" t="n">
        <f aca="false">DATE(YEAR(C386),MONTH(C386),1)</f>
        <v>42948</v>
      </c>
      <c r="M386" s="21" t="n">
        <f aca="false">D386-C386</f>
        <v>15</v>
      </c>
      <c r="N386" s="21" t="n">
        <f aca="false">MAX(0,D386-E386)</f>
        <v>0</v>
      </c>
      <c r="O386" s="21" t="n">
        <f aca="false">IF(D386&lt;=E386,1,0)</f>
        <v>1</v>
      </c>
      <c r="P386" s="23" t="n">
        <f aca="false">G386+H386</f>
        <v>52.65</v>
      </c>
      <c r="Q386" s="23" t="n">
        <f aca="false">G386*INDEX(Assumptions!$B$8:$B$16,MATCH(F386,Assumptions!$A$8:$A$16,0))</f>
        <v>19.8172</v>
      </c>
      <c r="R386" s="23" t="n">
        <f aca="false">H386*Assumptions!$B$3</f>
        <v>15.522</v>
      </c>
      <c r="S386" s="23" t="n">
        <f aca="false">G386-Q386-R386</f>
        <v>-8.5592</v>
      </c>
      <c r="T386" s="21" t="str">
        <f aca="false">IF(M386&lt;=7,"0-7 days",IF(M386&lt;=14,"8-14 days",IF(M386&lt;=21,"15-21 days","22+ days")))</f>
        <v>15-21 days</v>
      </c>
    </row>
    <row r="387" customFormat="false" ht="15" hidden="false" customHeight="false" outlineLevel="0" collapsed="false">
      <c r="A387" s="21" t="s">
        <v>453</v>
      </c>
      <c r="B387" s="21" t="s">
        <v>19</v>
      </c>
      <c r="C387" s="22" t="n">
        <v>42971</v>
      </c>
      <c r="D387" s="22" t="n">
        <v>42977</v>
      </c>
      <c r="E387" s="22" t="n">
        <v>42985</v>
      </c>
      <c r="F387" s="21" t="s">
        <v>49</v>
      </c>
      <c r="G387" s="23" t="n">
        <v>59.12</v>
      </c>
      <c r="H387" s="23" t="n">
        <v>12.49</v>
      </c>
      <c r="I387" s="21" t="s">
        <v>60</v>
      </c>
      <c r="J387" s="21" t="n">
        <v>4</v>
      </c>
      <c r="K387" s="21" t="s">
        <v>46</v>
      </c>
      <c r="L387" s="24" t="n">
        <f aca="false">DATE(YEAR(C387),MONTH(C387),1)</f>
        <v>42948</v>
      </c>
      <c r="M387" s="21" t="n">
        <f aca="false">D387-C387</f>
        <v>6</v>
      </c>
      <c r="N387" s="21" t="n">
        <f aca="false">MAX(0,D387-E387)</f>
        <v>0</v>
      </c>
      <c r="O387" s="21" t="n">
        <f aca="false">IF(D387&lt;=E387,1,0)</f>
        <v>1</v>
      </c>
      <c r="P387" s="23" t="n">
        <f aca="false">G387+H387</f>
        <v>71.61</v>
      </c>
      <c r="Q387" s="23" t="n">
        <f aca="false">G387*INDEX(Assumptions!$B$8:$B$16,MATCH(F387,Assumptions!$A$8:$A$16,0))</f>
        <v>34.2896</v>
      </c>
      <c r="R387" s="23" t="n">
        <f aca="false">H387*Assumptions!$B$3</f>
        <v>7.494</v>
      </c>
      <c r="S387" s="23" t="n">
        <f aca="false">G387-Q387-R387</f>
        <v>17.3364</v>
      </c>
      <c r="T387" s="21" t="str">
        <f aca="false">IF(M387&lt;=7,"0-7 days",IF(M387&lt;=14,"8-14 days",IF(M387&lt;=21,"15-21 days","22+ days")))</f>
        <v>0-7 days</v>
      </c>
    </row>
    <row r="388" customFormat="false" ht="15" hidden="false" customHeight="false" outlineLevel="0" collapsed="false">
      <c r="A388" s="21" t="s">
        <v>454</v>
      </c>
      <c r="B388" s="21" t="s">
        <v>19</v>
      </c>
      <c r="C388" s="22" t="n">
        <v>42971</v>
      </c>
      <c r="D388" s="22" t="n">
        <v>42980</v>
      </c>
      <c r="E388" s="22" t="n">
        <v>42987</v>
      </c>
      <c r="F388" s="21" t="s">
        <v>57</v>
      </c>
      <c r="G388" s="23" t="n">
        <v>47.23</v>
      </c>
      <c r="H388" s="23" t="n">
        <v>20.71</v>
      </c>
      <c r="I388" s="21" t="s">
        <v>45</v>
      </c>
      <c r="J388" s="21" t="n">
        <v>5</v>
      </c>
      <c r="K388" s="21" t="s">
        <v>46</v>
      </c>
      <c r="L388" s="24" t="n">
        <f aca="false">DATE(YEAR(C388),MONTH(C388),1)</f>
        <v>42948</v>
      </c>
      <c r="M388" s="21" t="n">
        <f aca="false">D388-C388</f>
        <v>9</v>
      </c>
      <c r="N388" s="21" t="n">
        <f aca="false">MAX(0,D388-E388)</f>
        <v>0</v>
      </c>
      <c r="O388" s="21" t="n">
        <f aca="false">IF(D388&lt;=E388,1,0)</f>
        <v>1</v>
      </c>
      <c r="P388" s="23" t="n">
        <f aca="false">G388+H388</f>
        <v>67.94</v>
      </c>
      <c r="Q388" s="23" t="n">
        <f aca="false">G388*INDEX(Assumptions!$B$8:$B$16,MATCH(F388,Assumptions!$A$8:$A$16,0))</f>
        <v>32.1164</v>
      </c>
      <c r="R388" s="23" t="n">
        <f aca="false">H388*Assumptions!$B$3</f>
        <v>12.426</v>
      </c>
      <c r="S388" s="23" t="n">
        <f aca="false">G388-Q388-R388</f>
        <v>2.6876</v>
      </c>
      <c r="T388" s="21" t="str">
        <f aca="false">IF(M388&lt;=7,"0-7 days",IF(M388&lt;=14,"8-14 days",IF(M388&lt;=21,"15-21 days","22+ days")))</f>
        <v>8-14 days</v>
      </c>
    </row>
    <row r="389" customFormat="false" ht="15" hidden="false" customHeight="false" outlineLevel="0" collapsed="false">
      <c r="A389" s="21" t="s">
        <v>455</v>
      </c>
      <c r="B389" s="21" t="s">
        <v>48</v>
      </c>
      <c r="C389" s="22" t="n">
        <v>42972</v>
      </c>
      <c r="D389" s="22" t="n">
        <v>42987</v>
      </c>
      <c r="E389" s="22" t="n">
        <v>42991</v>
      </c>
      <c r="F389" s="21" t="s">
        <v>79</v>
      </c>
      <c r="G389" s="23" t="n">
        <v>109.06</v>
      </c>
      <c r="H389" s="23" t="n">
        <v>23.65</v>
      </c>
      <c r="I389" s="21" t="s">
        <v>60</v>
      </c>
      <c r="J389" s="21" t="n">
        <v>5</v>
      </c>
      <c r="K389" s="21" t="s">
        <v>46</v>
      </c>
      <c r="L389" s="24" t="n">
        <f aca="false">DATE(YEAR(C389),MONTH(C389),1)</f>
        <v>42948</v>
      </c>
      <c r="M389" s="21" t="n">
        <f aca="false">D389-C389</f>
        <v>15</v>
      </c>
      <c r="N389" s="21" t="n">
        <f aca="false">MAX(0,D389-E389)</f>
        <v>0</v>
      </c>
      <c r="O389" s="21" t="n">
        <f aca="false">IF(D389&lt;=E389,1,0)</f>
        <v>1</v>
      </c>
      <c r="P389" s="23" t="n">
        <f aca="false">G389+H389</f>
        <v>132.71</v>
      </c>
      <c r="Q389" s="23" t="n">
        <f aca="false">G389*INDEX(Assumptions!$B$8:$B$16,MATCH(F389,Assumptions!$A$8:$A$16,0))</f>
        <v>76.342</v>
      </c>
      <c r="R389" s="23" t="n">
        <f aca="false">H389*Assumptions!$B$3</f>
        <v>14.19</v>
      </c>
      <c r="S389" s="23" t="n">
        <f aca="false">G389-Q389-R389</f>
        <v>18.528</v>
      </c>
      <c r="T389" s="21" t="str">
        <f aca="false">IF(M389&lt;=7,"0-7 days",IF(M389&lt;=14,"8-14 days",IF(M389&lt;=21,"15-21 days","22+ days")))</f>
        <v>15-21 days</v>
      </c>
    </row>
    <row r="390" customFormat="false" ht="15" hidden="false" customHeight="false" outlineLevel="0" collapsed="false">
      <c r="A390" s="21" t="s">
        <v>456</v>
      </c>
      <c r="B390" s="21" t="s">
        <v>134</v>
      </c>
      <c r="C390" s="22" t="n">
        <v>42972</v>
      </c>
      <c r="D390" s="22" t="n">
        <v>42984</v>
      </c>
      <c r="E390" s="22" t="n">
        <v>42996</v>
      </c>
      <c r="F390" s="21" t="s">
        <v>49</v>
      </c>
      <c r="G390" s="23" t="n">
        <v>262.7</v>
      </c>
      <c r="H390" s="23" t="n">
        <v>33.5</v>
      </c>
      <c r="I390" s="21" t="s">
        <v>45</v>
      </c>
      <c r="J390" s="21" t="n">
        <v>4</v>
      </c>
      <c r="K390" s="21" t="s">
        <v>46</v>
      </c>
      <c r="L390" s="24" t="n">
        <f aca="false">DATE(YEAR(C390),MONTH(C390),1)</f>
        <v>42948</v>
      </c>
      <c r="M390" s="21" t="n">
        <f aca="false">D390-C390</f>
        <v>12</v>
      </c>
      <c r="N390" s="21" t="n">
        <f aca="false">MAX(0,D390-E390)</f>
        <v>0</v>
      </c>
      <c r="O390" s="21" t="n">
        <f aca="false">IF(D390&lt;=E390,1,0)</f>
        <v>1</v>
      </c>
      <c r="P390" s="23" t="n">
        <f aca="false">G390+H390</f>
        <v>296.2</v>
      </c>
      <c r="Q390" s="23" t="n">
        <f aca="false">G390*INDEX(Assumptions!$B$8:$B$16,MATCH(F390,Assumptions!$A$8:$A$16,0))</f>
        <v>152.366</v>
      </c>
      <c r="R390" s="23" t="n">
        <f aca="false">H390*Assumptions!$B$3</f>
        <v>20.1</v>
      </c>
      <c r="S390" s="23" t="n">
        <f aca="false">G390-Q390-R390</f>
        <v>90.234</v>
      </c>
      <c r="T390" s="21" t="str">
        <f aca="false">IF(M390&lt;=7,"0-7 days",IF(M390&lt;=14,"8-14 days",IF(M390&lt;=21,"15-21 days","22+ days")))</f>
        <v>8-14 days</v>
      </c>
    </row>
    <row r="391" customFormat="false" ht="15" hidden="false" customHeight="false" outlineLevel="0" collapsed="false">
      <c r="A391" s="21" t="s">
        <v>457</v>
      </c>
      <c r="B391" s="21" t="s">
        <v>55</v>
      </c>
      <c r="C391" s="22" t="n">
        <v>42972</v>
      </c>
      <c r="D391" s="22" t="n">
        <v>42986</v>
      </c>
      <c r="E391" s="22" t="n">
        <v>42996</v>
      </c>
      <c r="F391" s="21" t="s">
        <v>67</v>
      </c>
      <c r="G391" s="23" t="n">
        <v>65.12</v>
      </c>
      <c r="H391" s="23" t="n">
        <v>21.43</v>
      </c>
      <c r="I391" s="21" t="s">
        <v>45</v>
      </c>
      <c r="J391" s="21" t="n">
        <v>3</v>
      </c>
      <c r="K391" s="21" t="s">
        <v>46</v>
      </c>
      <c r="L391" s="24" t="n">
        <f aca="false">DATE(YEAR(C391),MONTH(C391),1)</f>
        <v>42948</v>
      </c>
      <c r="M391" s="21" t="n">
        <f aca="false">D391-C391</f>
        <v>14</v>
      </c>
      <c r="N391" s="21" t="n">
        <f aca="false">MAX(0,D391-E391)</f>
        <v>0</v>
      </c>
      <c r="O391" s="21" t="n">
        <f aca="false">IF(D391&lt;=E391,1,0)</f>
        <v>1</v>
      </c>
      <c r="P391" s="23" t="n">
        <f aca="false">G391+H391</f>
        <v>86.55</v>
      </c>
      <c r="Q391" s="23" t="n">
        <f aca="false">G391*INDEX(Assumptions!$B$8:$B$16,MATCH(F391,Assumptions!$A$8:$A$16,0))</f>
        <v>40.3744</v>
      </c>
      <c r="R391" s="23" t="n">
        <f aca="false">H391*Assumptions!$B$3</f>
        <v>12.858</v>
      </c>
      <c r="S391" s="23" t="n">
        <f aca="false">G391-Q391-R391</f>
        <v>11.8876</v>
      </c>
      <c r="T391" s="21" t="str">
        <f aca="false">IF(M391&lt;=7,"0-7 days",IF(M391&lt;=14,"8-14 days",IF(M391&lt;=21,"15-21 days","22+ days")))</f>
        <v>8-14 days</v>
      </c>
    </row>
    <row r="392" customFormat="false" ht="15" hidden="false" customHeight="false" outlineLevel="0" collapsed="false">
      <c r="A392" s="21" t="s">
        <v>458</v>
      </c>
      <c r="B392" s="21" t="s">
        <v>19</v>
      </c>
      <c r="C392" s="22" t="n">
        <v>42973</v>
      </c>
      <c r="D392" s="22" t="n">
        <v>42984</v>
      </c>
      <c r="E392" s="22" t="n">
        <v>42991</v>
      </c>
      <c r="F392" s="21" t="s">
        <v>44</v>
      </c>
      <c r="G392" s="23" t="n">
        <v>73</v>
      </c>
      <c r="H392" s="23" t="n">
        <v>15.13</v>
      </c>
      <c r="I392" s="21" t="s">
        <v>50</v>
      </c>
      <c r="J392" s="21" t="n">
        <v>5</v>
      </c>
      <c r="K392" s="21" t="s">
        <v>46</v>
      </c>
      <c r="L392" s="24" t="n">
        <f aca="false">DATE(YEAR(C392),MONTH(C392),1)</f>
        <v>42948</v>
      </c>
      <c r="M392" s="21" t="n">
        <f aca="false">D392-C392</f>
        <v>11</v>
      </c>
      <c r="N392" s="21" t="n">
        <f aca="false">MAX(0,D392-E392)</f>
        <v>0</v>
      </c>
      <c r="O392" s="21" t="n">
        <f aca="false">IF(D392&lt;=E392,1,0)</f>
        <v>1</v>
      </c>
      <c r="P392" s="23" t="n">
        <f aca="false">G392+H392</f>
        <v>88.13</v>
      </c>
      <c r="Q392" s="23" t="n">
        <f aca="false">G392*INDEX(Assumptions!$B$8:$B$16,MATCH(F392,Assumptions!$A$8:$A$16,0))</f>
        <v>43.8</v>
      </c>
      <c r="R392" s="23" t="n">
        <f aca="false">H392*Assumptions!$B$3</f>
        <v>9.078</v>
      </c>
      <c r="S392" s="23" t="n">
        <f aca="false">G392-Q392-R392</f>
        <v>20.122</v>
      </c>
      <c r="T392" s="21" t="str">
        <f aca="false">IF(M392&lt;=7,"0-7 days",IF(M392&lt;=14,"8-14 days",IF(M392&lt;=21,"15-21 days","22+ days")))</f>
        <v>8-14 days</v>
      </c>
    </row>
    <row r="393" customFormat="false" ht="15" hidden="false" customHeight="false" outlineLevel="0" collapsed="false">
      <c r="A393" s="21" t="s">
        <v>459</v>
      </c>
      <c r="B393" s="21" t="s">
        <v>19</v>
      </c>
      <c r="C393" s="22" t="n">
        <v>42973</v>
      </c>
      <c r="D393" s="22" t="n">
        <v>42984</v>
      </c>
      <c r="E393" s="22" t="n">
        <v>42991</v>
      </c>
      <c r="F393" s="21" t="s">
        <v>79</v>
      </c>
      <c r="G393" s="23" t="n">
        <v>83.18</v>
      </c>
      <c r="H393" s="23" t="n">
        <v>14.81</v>
      </c>
      <c r="I393" s="21" t="s">
        <v>60</v>
      </c>
      <c r="J393" s="21" t="n">
        <v>4</v>
      </c>
      <c r="K393" s="21" t="s">
        <v>46</v>
      </c>
      <c r="L393" s="24" t="n">
        <f aca="false">DATE(YEAR(C393),MONTH(C393),1)</f>
        <v>42948</v>
      </c>
      <c r="M393" s="21" t="n">
        <f aca="false">D393-C393</f>
        <v>11</v>
      </c>
      <c r="N393" s="21" t="n">
        <f aca="false">MAX(0,D393-E393)</f>
        <v>0</v>
      </c>
      <c r="O393" s="21" t="n">
        <f aca="false">IF(D393&lt;=E393,1,0)</f>
        <v>1</v>
      </c>
      <c r="P393" s="23" t="n">
        <f aca="false">G393+H393</f>
        <v>97.99</v>
      </c>
      <c r="Q393" s="23" t="n">
        <f aca="false">G393*INDEX(Assumptions!$B$8:$B$16,MATCH(F393,Assumptions!$A$8:$A$16,0))</f>
        <v>58.226</v>
      </c>
      <c r="R393" s="23" t="n">
        <f aca="false">H393*Assumptions!$B$3</f>
        <v>8.886</v>
      </c>
      <c r="S393" s="23" t="n">
        <f aca="false">G393-Q393-R393</f>
        <v>16.068</v>
      </c>
      <c r="T393" s="21" t="str">
        <f aca="false">IF(M393&lt;=7,"0-7 days",IF(M393&lt;=14,"8-14 days",IF(M393&lt;=21,"15-21 days","22+ days")))</f>
        <v>8-14 days</v>
      </c>
    </row>
    <row r="394" customFormat="false" ht="15" hidden="false" customHeight="false" outlineLevel="0" collapsed="false">
      <c r="A394" s="21" t="s">
        <v>460</v>
      </c>
      <c r="B394" s="21" t="s">
        <v>19</v>
      </c>
      <c r="C394" s="22" t="n">
        <v>42973</v>
      </c>
      <c r="D394" s="22" t="n">
        <v>42979</v>
      </c>
      <c r="E394" s="22" t="n">
        <v>42987</v>
      </c>
      <c r="F394" s="21" t="s">
        <v>53</v>
      </c>
      <c r="G394" s="23" t="n">
        <v>143.81</v>
      </c>
      <c r="H394" s="23" t="n">
        <v>15.75</v>
      </c>
      <c r="I394" s="21" t="s">
        <v>45</v>
      </c>
      <c r="J394" s="21" t="n">
        <v>4</v>
      </c>
      <c r="K394" s="21" t="s">
        <v>46</v>
      </c>
      <c r="L394" s="24" t="n">
        <f aca="false">DATE(YEAR(C394),MONTH(C394),1)</f>
        <v>42948</v>
      </c>
      <c r="M394" s="21" t="n">
        <f aca="false">D394-C394</f>
        <v>6</v>
      </c>
      <c r="N394" s="21" t="n">
        <f aca="false">MAX(0,D394-E394)</f>
        <v>0</v>
      </c>
      <c r="O394" s="21" t="n">
        <f aca="false">IF(D394&lt;=E394,1,0)</f>
        <v>1</v>
      </c>
      <c r="P394" s="23" t="n">
        <f aca="false">G394+H394</f>
        <v>159.56</v>
      </c>
      <c r="Q394" s="23" t="n">
        <f aca="false">G394*INDEX(Assumptions!$B$8:$B$16,MATCH(F394,Assumptions!$A$8:$A$16,0))</f>
        <v>106.4194</v>
      </c>
      <c r="R394" s="23" t="n">
        <f aca="false">H394*Assumptions!$B$3</f>
        <v>9.45</v>
      </c>
      <c r="S394" s="23" t="n">
        <f aca="false">G394-Q394-R394</f>
        <v>27.9406</v>
      </c>
      <c r="T394" s="21" t="str">
        <f aca="false">IF(M394&lt;=7,"0-7 days",IF(M394&lt;=14,"8-14 days",IF(M394&lt;=21,"15-21 days","22+ days")))</f>
        <v>0-7 days</v>
      </c>
    </row>
    <row r="395" customFormat="false" ht="15" hidden="false" customHeight="false" outlineLevel="0" collapsed="false">
      <c r="A395" s="21" t="s">
        <v>461</v>
      </c>
      <c r="B395" s="21" t="s">
        <v>19</v>
      </c>
      <c r="C395" s="22" t="n">
        <v>42974</v>
      </c>
      <c r="D395" s="22" t="n">
        <v>42983</v>
      </c>
      <c r="E395" s="22" t="n">
        <v>42989</v>
      </c>
      <c r="F395" s="21" t="s">
        <v>49</v>
      </c>
      <c r="G395" s="23" t="n">
        <v>26.94</v>
      </c>
      <c r="H395" s="23" t="n">
        <v>18.1</v>
      </c>
      <c r="I395" s="21" t="s">
        <v>45</v>
      </c>
      <c r="J395" s="21" t="n">
        <v>5</v>
      </c>
      <c r="K395" s="21" t="s">
        <v>46</v>
      </c>
      <c r="L395" s="24" t="n">
        <f aca="false">DATE(YEAR(C395),MONTH(C395),1)</f>
        <v>42948</v>
      </c>
      <c r="M395" s="21" t="n">
        <f aca="false">D395-C395</f>
        <v>9</v>
      </c>
      <c r="N395" s="21" t="n">
        <f aca="false">MAX(0,D395-E395)</f>
        <v>0</v>
      </c>
      <c r="O395" s="21" t="n">
        <f aca="false">IF(D395&lt;=E395,1,0)</f>
        <v>1</v>
      </c>
      <c r="P395" s="23" t="n">
        <f aca="false">G395+H395</f>
        <v>45.04</v>
      </c>
      <c r="Q395" s="23" t="n">
        <f aca="false">G395*INDEX(Assumptions!$B$8:$B$16,MATCH(F395,Assumptions!$A$8:$A$16,0))</f>
        <v>15.6252</v>
      </c>
      <c r="R395" s="23" t="n">
        <f aca="false">H395*Assumptions!$B$3</f>
        <v>10.86</v>
      </c>
      <c r="S395" s="23" t="n">
        <f aca="false">G395-Q395-R395</f>
        <v>0.454800000000001</v>
      </c>
      <c r="T395" s="21" t="str">
        <f aca="false">IF(M395&lt;=7,"0-7 days",IF(M395&lt;=14,"8-14 days",IF(M395&lt;=21,"15-21 days","22+ days")))</f>
        <v>8-14 days</v>
      </c>
    </row>
    <row r="396" customFormat="false" ht="15" hidden="false" customHeight="false" outlineLevel="0" collapsed="false">
      <c r="A396" s="21" t="s">
        <v>462</v>
      </c>
      <c r="B396" s="21" t="s">
        <v>62</v>
      </c>
      <c r="C396" s="22" t="n">
        <v>42974</v>
      </c>
      <c r="D396" s="22" t="n">
        <v>42979</v>
      </c>
      <c r="E396" s="22" t="n">
        <v>42994</v>
      </c>
      <c r="F396" s="21" t="s">
        <v>49</v>
      </c>
      <c r="G396" s="23" t="n">
        <v>40.68</v>
      </c>
      <c r="H396" s="23" t="n">
        <v>24.08</v>
      </c>
      <c r="I396" s="21" t="s">
        <v>45</v>
      </c>
      <c r="J396" s="21" t="n">
        <v>4</v>
      </c>
      <c r="K396" s="21" t="s">
        <v>46</v>
      </c>
      <c r="L396" s="24" t="n">
        <f aca="false">DATE(YEAR(C396),MONTH(C396),1)</f>
        <v>42948</v>
      </c>
      <c r="M396" s="21" t="n">
        <f aca="false">D396-C396</f>
        <v>5</v>
      </c>
      <c r="N396" s="21" t="n">
        <f aca="false">MAX(0,D396-E396)</f>
        <v>0</v>
      </c>
      <c r="O396" s="21" t="n">
        <f aca="false">IF(D396&lt;=E396,1,0)</f>
        <v>1</v>
      </c>
      <c r="P396" s="23" t="n">
        <f aca="false">G396+H396</f>
        <v>64.76</v>
      </c>
      <c r="Q396" s="23" t="n">
        <f aca="false">G396*INDEX(Assumptions!$B$8:$B$16,MATCH(F396,Assumptions!$A$8:$A$16,0))</f>
        <v>23.5944</v>
      </c>
      <c r="R396" s="23" t="n">
        <f aca="false">H396*Assumptions!$B$3</f>
        <v>14.448</v>
      </c>
      <c r="S396" s="23" t="n">
        <f aca="false">G396-Q396-R396</f>
        <v>2.6376</v>
      </c>
      <c r="T396" s="21" t="str">
        <f aca="false">IF(M396&lt;=7,"0-7 days",IF(M396&lt;=14,"8-14 days",IF(M396&lt;=21,"15-21 days","22+ days")))</f>
        <v>0-7 days</v>
      </c>
    </row>
    <row r="397" customFormat="false" ht="15" hidden="false" customHeight="false" outlineLevel="0" collapsed="false">
      <c r="A397" s="21" t="s">
        <v>463</v>
      </c>
      <c r="B397" s="21" t="s">
        <v>62</v>
      </c>
      <c r="C397" s="22" t="n">
        <v>42974</v>
      </c>
      <c r="D397" s="22" t="n">
        <v>42982</v>
      </c>
      <c r="E397" s="22" t="n">
        <v>42994</v>
      </c>
      <c r="F397" s="21" t="s">
        <v>57</v>
      </c>
      <c r="G397" s="23" t="n">
        <v>73.07</v>
      </c>
      <c r="H397" s="23" t="n">
        <v>16.64</v>
      </c>
      <c r="I397" s="21" t="s">
        <v>45</v>
      </c>
      <c r="J397" s="21" t="n">
        <v>5</v>
      </c>
      <c r="K397" s="21" t="s">
        <v>46</v>
      </c>
      <c r="L397" s="24" t="n">
        <f aca="false">DATE(YEAR(C397),MONTH(C397),1)</f>
        <v>42948</v>
      </c>
      <c r="M397" s="21" t="n">
        <f aca="false">D397-C397</f>
        <v>8</v>
      </c>
      <c r="N397" s="21" t="n">
        <f aca="false">MAX(0,D397-E397)</f>
        <v>0</v>
      </c>
      <c r="O397" s="21" t="n">
        <f aca="false">IF(D397&lt;=E397,1,0)</f>
        <v>1</v>
      </c>
      <c r="P397" s="23" t="n">
        <f aca="false">G397+H397</f>
        <v>89.71</v>
      </c>
      <c r="Q397" s="23" t="n">
        <f aca="false">G397*INDEX(Assumptions!$B$8:$B$16,MATCH(F397,Assumptions!$A$8:$A$16,0))</f>
        <v>49.6876</v>
      </c>
      <c r="R397" s="23" t="n">
        <f aca="false">H397*Assumptions!$B$3</f>
        <v>9.984</v>
      </c>
      <c r="S397" s="23" t="n">
        <f aca="false">G397-Q397-R397</f>
        <v>13.3984</v>
      </c>
      <c r="T397" s="21" t="str">
        <f aca="false">IF(M397&lt;=7,"0-7 days",IF(M397&lt;=14,"8-14 days",IF(M397&lt;=21,"15-21 days","22+ days")))</f>
        <v>8-14 days</v>
      </c>
    </row>
    <row r="398" customFormat="false" ht="15" hidden="false" customHeight="false" outlineLevel="0" collapsed="false">
      <c r="A398" s="21" t="s">
        <v>464</v>
      </c>
      <c r="B398" s="21" t="s">
        <v>77</v>
      </c>
      <c r="C398" s="22" t="n">
        <v>42974</v>
      </c>
      <c r="D398" s="22" t="n">
        <v>42991</v>
      </c>
      <c r="E398" s="22" t="n">
        <v>43001</v>
      </c>
      <c r="F398" s="21" t="s">
        <v>59</v>
      </c>
      <c r="G398" s="23" t="n">
        <v>48.27</v>
      </c>
      <c r="H398" s="23" t="n">
        <v>31.3</v>
      </c>
      <c r="I398" s="21" t="s">
        <v>60</v>
      </c>
      <c r="J398" s="21" t="n">
        <v>4</v>
      </c>
      <c r="K398" s="21" t="s">
        <v>46</v>
      </c>
      <c r="L398" s="24" t="n">
        <f aca="false">DATE(YEAR(C398),MONTH(C398),1)</f>
        <v>42948</v>
      </c>
      <c r="M398" s="21" t="n">
        <f aca="false">D398-C398</f>
        <v>17</v>
      </c>
      <c r="N398" s="21" t="n">
        <f aca="false">MAX(0,D398-E398)</f>
        <v>0</v>
      </c>
      <c r="O398" s="21" t="n">
        <f aca="false">IF(D398&lt;=E398,1,0)</f>
        <v>1</v>
      </c>
      <c r="P398" s="23" t="n">
        <f aca="false">G398+H398</f>
        <v>79.57</v>
      </c>
      <c r="Q398" s="23" t="n">
        <f aca="false">G398*INDEX(Assumptions!$B$8:$B$16,MATCH(F398,Assumptions!$A$8:$A$16,0))</f>
        <v>30.8928</v>
      </c>
      <c r="R398" s="23" t="n">
        <f aca="false">H398*Assumptions!$B$3</f>
        <v>18.78</v>
      </c>
      <c r="S398" s="23" t="n">
        <f aca="false">G398-Q398-R398</f>
        <v>-1.4028</v>
      </c>
      <c r="T398" s="21" t="str">
        <f aca="false">IF(M398&lt;=7,"0-7 days",IF(M398&lt;=14,"8-14 days",IF(M398&lt;=21,"15-21 days","22+ days")))</f>
        <v>15-21 days</v>
      </c>
    </row>
    <row r="399" customFormat="false" ht="15" hidden="false" customHeight="false" outlineLevel="0" collapsed="false">
      <c r="A399" s="21" t="s">
        <v>465</v>
      </c>
      <c r="B399" s="21" t="s">
        <v>19</v>
      </c>
      <c r="C399" s="22" t="n">
        <v>42974</v>
      </c>
      <c r="D399" s="22" t="n">
        <v>42978</v>
      </c>
      <c r="E399" s="22" t="n">
        <v>42990</v>
      </c>
      <c r="F399" s="21" t="s">
        <v>64</v>
      </c>
      <c r="G399" s="23" t="n">
        <v>125.05</v>
      </c>
      <c r="H399" s="23" t="n">
        <v>17.79</v>
      </c>
      <c r="I399" s="21" t="s">
        <v>45</v>
      </c>
      <c r="J399" s="21" t="n">
        <v>4</v>
      </c>
      <c r="K399" s="21" t="s">
        <v>46</v>
      </c>
      <c r="L399" s="24" t="n">
        <f aca="false">DATE(YEAR(C399),MONTH(C399),1)</f>
        <v>42948</v>
      </c>
      <c r="M399" s="21" t="n">
        <f aca="false">D399-C399</f>
        <v>4</v>
      </c>
      <c r="N399" s="21" t="n">
        <f aca="false">MAX(0,D399-E399)</f>
        <v>0</v>
      </c>
      <c r="O399" s="21" t="n">
        <f aca="false">IF(D399&lt;=E399,1,0)</f>
        <v>1</v>
      </c>
      <c r="P399" s="23" t="n">
        <f aca="false">G399+H399</f>
        <v>142.84</v>
      </c>
      <c r="Q399" s="23" t="n">
        <f aca="false">G399*INDEX(Assumptions!$B$8:$B$16,MATCH(F399,Assumptions!$A$8:$A$16,0))</f>
        <v>82.533</v>
      </c>
      <c r="R399" s="23" t="n">
        <f aca="false">H399*Assumptions!$B$3</f>
        <v>10.674</v>
      </c>
      <c r="S399" s="23" t="n">
        <f aca="false">G399-Q399-R399</f>
        <v>31.843</v>
      </c>
      <c r="T399" s="21" t="str">
        <f aca="false">IF(M399&lt;=7,"0-7 days",IF(M399&lt;=14,"8-14 days",IF(M399&lt;=21,"15-21 days","22+ days")))</f>
        <v>0-7 days</v>
      </c>
    </row>
    <row r="400" customFormat="false" ht="15" hidden="false" customHeight="false" outlineLevel="0" collapsed="false">
      <c r="A400" s="21" t="s">
        <v>466</v>
      </c>
      <c r="B400" s="21" t="s">
        <v>55</v>
      </c>
      <c r="C400" s="22" t="n">
        <v>42974</v>
      </c>
      <c r="D400" s="22" t="n">
        <v>42994</v>
      </c>
      <c r="E400" s="22" t="n">
        <v>42998</v>
      </c>
      <c r="F400" s="21" t="s">
        <v>59</v>
      </c>
      <c r="G400" s="23" t="n">
        <v>98.44</v>
      </c>
      <c r="H400" s="23" t="n">
        <v>30.76</v>
      </c>
      <c r="I400" s="21" t="s">
        <v>45</v>
      </c>
      <c r="J400" s="21" t="n">
        <v>4</v>
      </c>
      <c r="K400" s="21" t="s">
        <v>46</v>
      </c>
      <c r="L400" s="24" t="n">
        <f aca="false">DATE(YEAR(C400),MONTH(C400),1)</f>
        <v>42948</v>
      </c>
      <c r="M400" s="21" t="n">
        <f aca="false">D400-C400</f>
        <v>20</v>
      </c>
      <c r="N400" s="21" t="n">
        <f aca="false">MAX(0,D400-E400)</f>
        <v>0</v>
      </c>
      <c r="O400" s="21" t="n">
        <f aca="false">IF(D400&lt;=E400,1,0)</f>
        <v>1</v>
      </c>
      <c r="P400" s="23" t="n">
        <f aca="false">G400+H400</f>
        <v>129.2</v>
      </c>
      <c r="Q400" s="23" t="n">
        <f aca="false">G400*INDEX(Assumptions!$B$8:$B$16,MATCH(F400,Assumptions!$A$8:$A$16,0))</f>
        <v>63.0016</v>
      </c>
      <c r="R400" s="23" t="n">
        <f aca="false">H400*Assumptions!$B$3</f>
        <v>18.456</v>
      </c>
      <c r="S400" s="23" t="n">
        <f aca="false">G400-Q400-R400</f>
        <v>16.9824</v>
      </c>
      <c r="T400" s="21" t="str">
        <f aca="false">IF(M400&lt;=7,"0-7 days",IF(M400&lt;=14,"8-14 days",IF(M400&lt;=21,"15-21 days","22+ days")))</f>
        <v>15-21 days</v>
      </c>
    </row>
    <row r="401" customFormat="false" ht="15" hidden="false" customHeight="false" outlineLevel="0" collapsed="false">
      <c r="A401" s="21" t="s">
        <v>467</v>
      </c>
      <c r="B401" s="21" t="s">
        <v>134</v>
      </c>
      <c r="C401" s="22" t="n">
        <v>42974</v>
      </c>
      <c r="D401" s="22" t="n">
        <v>42989</v>
      </c>
      <c r="E401" s="22" t="n">
        <v>42995</v>
      </c>
      <c r="F401" s="21" t="s">
        <v>44</v>
      </c>
      <c r="G401" s="23" t="n">
        <v>74.91</v>
      </c>
      <c r="H401" s="23" t="n">
        <v>20.78</v>
      </c>
      <c r="I401" s="21" t="s">
        <v>45</v>
      </c>
      <c r="J401" s="21" t="n">
        <v>5</v>
      </c>
      <c r="K401" s="21" t="s">
        <v>46</v>
      </c>
      <c r="L401" s="24" t="n">
        <f aca="false">DATE(YEAR(C401),MONTH(C401),1)</f>
        <v>42948</v>
      </c>
      <c r="M401" s="21" t="n">
        <f aca="false">D401-C401</f>
        <v>15</v>
      </c>
      <c r="N401" s="21" t="n">
        <f aca="false">MAX(0,D401-E401)</f>
        <v>0</v>
      </c>
      <c r="O401" s="21" t="n">
        <f aca="false">IF(D401&lt;=E401,1,0)</f>
        <v>1</v>
      </c>
      <c r="P401" s="23" t="n">
        <f aca="false">G401+H401</f>
        <v>95.69</v>
      </c>
      <c r="Q401" s="23" t="n">
        <f aca="false">G401*INDEX(Assumptions!$B$8:$B$16,MATCH(F401,Assumptions!$A$8:$A$16,0))</f>
        <v>44.946</v>
      </c>
      <c r="R401" s="23" t="n">
        <f aca="false">H401*Assumptions!$B$3</f>
        <v>12.468</v>
      </c>
      <c r="S401" s="23" t="n">
        <f aca="false">G401-Q401-R401</f>
        <v>17.496</v>
      </c>
      <c r="T401" s="21" t="str">
        <f aca="false">IF(M401&lt;=7,"0-7 days",IF(M401&lt;=14,"8-14 days",IF(M401&lt;=21,"15-21 days","22+ days")))</f>
        <v>15-21 days</v>
      </c>
    </row>
    <row r="402" customFormat="false" ht="15" hidden="false" customHeight="false" outlineLevel="0" collapsed="false">
      <c r="A402" s="21" t="s">
        <v>468</v>
      </c>
      <c r="B402" s="21" t="s">
        <v>48</v>
      </c>
      <c r="C402" s="22" t="n">
        <v>42975</v>
      </c>
      <c r="D402" s="22" t="n">
        <v>42989</v>
      </c>
      <c r="E402" s="22" t="n">
        <v>42994</v>
      </c>
      <c r="F402" s="21" t="s">
        <v>59</v>
      </c>
      <c r="G402" s="23" t="n">
        <v>72.37</v>
      </c>
      <c r="H402" s="23" t="n">
        <v>15.54</v>
      </c>
      <c r="I402" s="21" t="s">
        <v>45</v>
      </c>
      <c r="J402" s="21" t="n">
        <v>5</v>
      </c>
      <c r="K402" s="21" t="s">
        <v>46</v>
      </c>
      <c r="L402" s="24" t="n">
        <f aca="false">DATE(YEAR(C402),MONTH(C402),1)</f>
        <v>42948</v>
      </c>
      <c r="M402" s="21" t="n">
        <f aca="false">D402-C402</f>
        <v>14</v>
      </c>
      <c r="N402" s="21" t="n">
        <f aca="false">MAX(0,D402-E402)</f>
        <v>0</v>
      </c>
      <c r="O402" s="21" t="n">
        <f aca="false">IF(D402&lt;=E402,1,0)</f>
        <v>1</v>
      </c>
      <c r="P402" s="23" t="n">
        <f aca="false">G402+H402</f>
        <v>87.91</v>
      </c>
      <c r="Q402" s="23" t="n">
        <f aca="false">G402*INDEX(Assumptions!$B$8:$B$16,MATCH(F402,Assumptions!$A$8:$A$16,0))</f>
        <v>46.3168</v>
      </c>
      <c r="R402" s="23" t="n">
        <f aca="false">H402*Assumptions!$B$3</f>
        <v>9.324</v>
      </c>
      <c r="S402" s="23" t="n">
        <f aca="false">G402-Q402-R402</f>
        <v>16.7292</v>
      </c>
      <c r="T402" s="21" t="str">
        <f aca="false">IF(M402&lt;=7,"0-7 days",IF(M402&lt;=14,"8-14 days",IF(M402&lt;=21,"15-21 days","22+ days")))</f>
        <v>8-14 days</v>
      </c>
    </row>
    <row r="403" customFormat="false" ht="15" hidden="false" customHeight="false" outlineLevel="0" collapsed="false">
      <c r="A403" s="21" t="s">
        <v>469</v>
      </c>
      <c r="B403" s="21" t="s">
        <v>55</v>
      </c>
      <c r="C403" s="22" t="n">
        <v>42975</v>
      </c>
      <c r="D403" s="22" t="n">
        <v>42985</v>
      </c>
      <c r="E403" s="22" t="n">
        <v>42998</v>
      </c>
      <c r="F403" s="21" t="s">
        <v>111</v>
      </c>
      <c r="G403" s="23" t="n">
        <v>135.02</v>
      </c>
      <c r="H403" s="23" t="n">
        <v>28.53</v>
      </c>
      <c r="I403" s="21" t="s">
        <v>45</v>
      </c>
      <c r="J403" s="21" t="n">
        <v>4</v>
      </c>
      <c r="K403" s="21" t="s">
        <v>46</v>
      </c>
      <c r="L403" s="24" t="n">
        <f aca="false">DATE(YEAR(C403),MONTH(C403),1)</f>
        <v>42948</v>
      </c>
      <c r="M403" s="21" t="n">
        <f aca="false">D403-C403</f>
        <v>10</v>
      </c>
      <c r="N403" s="21" t="n">
        <f aca="false">MAX(0,D403-E403)</f>
        <v>0</v>
      </c>
      <c r="O403" s="21" t="n">
        <f aca="false">IF(D403&lt;=E403,1,0)</f>
        <v>1</v>
      </c>
      <c r="P403" s="23" t="n">
        <f aca="false">G403+H403</f>
        <v>163.55</v>
      </c>
      <c r="Q403" s="23" t="n">
        <f aca="false">G403*INDEX(Assumptions!$B$8:$B$16,MATCH(F403,Assumptions!$A$8:$A$16,0))</f>
        <v>85.0626</v>
      </c>
      <c r="R403" s="23" t="n">
        <f aca="false">H403*Assumptions!$B$3</f>
        <v>17.118</v>
      </c>
      <c r="S403" s="23" t="n">
        <f aca="false">G403-Q403-R403</f>
        <v>32.8394</v>
      </c>
      <c r="T403" s="21" t="str">
        <f aca="false">IF(M403&lt;=7,"0-7 days",IF(M403&lt;=14,"8-14 days",IF(M403&lt;=21,"15-21 days","22+ days")))</f>
        <v>8-14 days</v>
      </c>
    </row>
    <row r="404" customFormat="false" ht="15" hidden="false" customHeight="false" outlineLevel="0" collapsed="false">
      <c r="A404" s="21" t="s">
        <v>470</v>
      </c>
      <c r="B404" s="21" t="s">
        <v>103</v>
      </c>
      <c r="C404" s="22" t="n">
        <v>42976</v>
      </c>
      <c r="D404" s="22" t="n">
        <v>42993</v>
      </c>
      <c r="E404" s="22" t="n">
        <v>42996</v>
      </c>
      <c r="F404" s="21" t="s">
        <v>67</v>
      </c>
      <c r="G404" s="23" t="n">
        <v>65.27</v>
      </c>
      <c r="H404" s="23" t="n">
        <v>22.61</v>
      </c>
      <c r="I404" s="21" t="s">
        <v>45</v>
      </c>
      <c r="J404" s="21" t="n">
        <v>5</v>
      </c>
      <c r="K404" s="21" t="s">
        <v>46</v>
      </c>
      <c r="L404" s="24" t="n">
        <f aca="false">DATE(YEAR(C404),MONTH(C404),1)</f>
        <v>42948</v>
      </c>
      <c r="M404" s="21" t="n">
        <f aca="false">D404-C404</f>
        <v>17</v>
      </c>
      <c r="N404" s="21" t="n">
        <f aca="false">MAX(0,D404-E404)</f>
        <v>0</v>
      </c>
      <c r="O404" s="21" t="n">
        <f aca="false">IF(D404&lt;=E404,1,0)</f>
        <v>1</v>
      </c>
      <c r="P404" s="23" t="n">
        <f aca="false">G404+H404</f>
        <v>87.88</v>
      </c>
      <c r="Q404" s="23" t="n">
        <f aca="false">G404*INDEX(Assumptions!$B$8:$B$16,MATCH(F404,Assumptions!$A$8:$A$16,0))</f>
        <v>40.4674</v>
      </c>
      <c r="R404" s="23" t="n">
        <f aca="false">H404*Assumptions!$B$3</f>
        <v>13.566</v>
      </c>
      <c r="S404" s="23" t="n">
        <f aca="false">G404-Q404-R404</f>
        <v>11.2366</v>
      </c>
      <c r="T404" s="21" t="str">
        <f aca="false">IF(M404&lt;=7,"0-7 days",IF(M404&lt;=14,"8-14 days",IF(M404&lt;=21,"15-21 days","22+ days")))</f>
        <v>15-21 days</v>
      </c>
    </row>
    <row r="405" customFormat="false" ht="15" hidden="false" customHeight="false" outlineLevel="0" collapsed="false">
      <c r="A405" s="21" t="s">
        <v>471</v>
      </c>
      <c r="B405" s="21" t="s">
        <v>55</v>
      </c>
      <c r="C405" s="22" t="n">
        <v>42977</v>
      </c>
      <c r="D405" s="22" t="n">
        <v>42985</v>
      </c>
      <c r="E405" s="22" t="n">
        <v>43003</v>
      </c>
      <c r="F405" s="21" t="s">
        <v>49</v>
      </c>
      <c r="G405" s="23" t="n">
        <v>65.02</v>
      </c>
      <c r="H405" s="23" t="n">
        <v>30.02</v>
      </c>
      <c r="I405" s="21" t="s">
        <v>45</v>
      </c>
      <c r="J405" s="21" t="n">
        <v>4</v>
      </c>
      <c r="K405" s="21" t="s">
        <v>46</v>
      </c>
      <c r="L405" s="24" t="n">
        <f aca="false">DATE(YEAR(C405),MONTH(C405),1)</f>
        <v>42948</v>
      </c>
      <c r="M405" s="21" t="n">
        <f aca="false">D405-C405</f>
        <v>8</v>
      </c>
      <c r="N405" s="21" t="n">
        <f aca="false">MAX(0,D405-E405)</f>
        <v>0</v>
      </c>
      <c r="O405" s="21" t="n">
        <f aca="false">IF(D405&lt;=E405,1,0)</f>
        <v>1</v>
      </c>
      <c r="P405" s="23" t="n">
        <f aca="false">G405+H405</f>
        <v>95.04</v>
      </c>
      <c r="Q405" s="23" t="n">
        <f aca="false">G405*INDEX(Assumptions!$B$8:$B$16,MATCH(F405,Assumptions!$A$8:$A$16,0))</f>
        <v>37.7116</v>
      </c>
      <c r="R405" s="23" t="n">
        <f aca="false">H405*Assumptions!$B$3</f>
        <v>18.012</v>
      </c>
      <c r="S405" s="23" t="n">
        <f aca="false">G405-Q405-R405</f>
        <v>9.2964</v>
      </c>
      <c r="T405" s="21" t="str">
        <f aca="false">IF(M405&lt;=7,"0-7 days",IF(M405&lt;=14,"8-14 days",IF(M405&lt;=21,"15-21 days","22+ days")))</f>
        <v>8-14 days</v>
      </c>
    </row>
    <row r="406" customFormat="false" ht="15" hidden="false" customHeight="false" outlineLevel="0" collapsed="false">
      <c r="A406" s="21" t="s">
        <v>472</v>
      </c>
      <c r="B406" s="21" t="s">
        <v>19</v>
      </c>
      <c r="C406" s="22" t="n">
        <v>42977</v>
      </c>
      <c r="D406" s="22" t="n">
        <v>42989</v>
      </c>
      <c r="E406" s="22" t="n">
        <v>42994</v>
      </c>
      <c r="F406" s="21" t="s">
        <v>59</v>
      </c>
      <c r="G406" s="23" t="n">
        <v>308.63</v>
      </c>
      <c r="H406" s="23" t="n">
        <v>26.96</v>
      </c>
      <c r="I406" s="21" t="s">
        <v>45</v>
      </c>
      <c r="J406" s="21" t="n">
        <v>3</v>
      </c>
      <c r="K406" s="21" t="s">
        <v>46</v>
      </c>
      <c r="L406" s="24" t="n">
        <f aca="false">DATE(YEAR(C406),MONTH(C406),1)</f>
        <v>42948</v>
      </c>
      <c r="M406" s="21" t="n">
        <f aca="false">D406-C406</f>
        <v>12</v>
      </c>
      <c r="N406" s="21" t="n">
        <f aca="false">MAX(0,D406-E406)</f>
        <v>0</v>
      </c>
      <c r="O406" s="21" t="n">
        <f aca="false">IF(D406&lt;=E406,1,0)</f>
        <v>1</v>
      </c>
      <c r="P406" s="23" t="n">
        <f aca="false">G406+H406</f>
        <v>335.59</v>
      </c>
      <c r="Q406" s="23" t="n">
        <f aca="false">G406*INDEX(Assumptions!$B$8:$B$16,MATCH(F406,Assumptions!$A$8:$A$16,0))</f>
        <v>197.5232</v>
      </c>
      <c r="R406" s="23" t="n">
        <f aca="false">H406*Assumptions!$B$3</f>
        <v>16.176</v>
      </c>
      <c r="S406" s="23" t="n">
        <f aca="false">G406-Q406-R406</f>
        <v>94.9308</v>
      </c>
      <c r="T406" s="21" t="str">
        <f aca="false">IF(M406&lt;=7,"0-7 days",IF(M406&lt;=14,"8-14 days",IF(M406&lt;=21,"15-21 days","22+ days")))</f>
        <v>8-14 days</v>
      </c>
    </row>
    <row r="407" customFormat="false" ht="15" hidden="false" customHeight="false" outlineLevel="0" collapsed="false">
      <c r="A407" s="21" t="s">
        <v>473</v>
      </c>
      <c r="B407" s="21" t="s">
        <v>19</v>
      </c>
      <c r="C407" s="22" t="n">
        <v>42977</v>
      </c>
      <c r="D407" s="22" t="n">
        <v>42987</v>
      </c>
      <c r="E407" s="22" t="n">
        <v>42996</v>
      </c>
      <c r="F407" s="21" t="s">
        <v>111</v>
      </c>
      <c r="G407" s="23" t="n">
        <v>38.68</v>
      </c>
      <c r="H407" s="23" t="n">
        <v>17.06</v>
      </c>
      <c r="I407" s="21" t="s">
        <v>45</v>
      </c>
      <c r="J407" s="21" t="n">
        <v>4</v>
      </c>
      <c r="K407" s="21" t="s">
        <v>46</v>
      </c>
      <c r="L407" s="24" t="n">
        <f aca="false">DATE(YEAR(C407),MONTH(C407),1)</f>
        <v>42948</v>
      </c>
      <c r="M407" s="21" t="n">
        <f aca="false">D407-C407</f>
        <v>10</v>
      </c>
      <c r="N407" s="21" t="n">
        <f aca="false">MAX(0,D407-E407)</f>
        <v>0</v>
      </c>
      <c r="O407" s="21" t="n">
        <f aca="false">IF(D407&lt;=E407,1,0)</f>
        <v>1</v>
      </c>
      <c r="P407" s="23" t="n">
        <f aca="false">G407+H407</f>
        <v>55.74</v>
      </c>
      <c r="Q407" s="23" t="n">
        <f aca="false">G407*INDEX(Assumptions!$B$8:$B$16,MATCH(F407,Assumptions!$A$8:$A$16,0))</f>
        <v>24.3684</v>
      </c>
      <c r="R407" s="23" t="n">
        <f aca="false">H407*Assumptions!$B$3</f>
        <v>10.236</v>
      </c>
      <c r="S407" s="23" t="n">
        <f aca="false">G407-Q407-R407</f>
        <v>4.0756</v>
      </c>
      <c r="T407" s="21" t="str">
        <f aca="false">IF(M407&lt;=7,"0-7 days",IF(M407&lt;=14,"8-14 days",IF(M407&lt;=21,"15-21 days","22+ days")))</f>
        <v>8-14 days</v>
      </c>
    </row>
    <row r="408" customFormat="false" ht="15" hidden="false" customHeight="false" outlineLevel="0" collapsed="false">
      <c r="A408" s="21" t="s">
        <v>474</v>
      </c>
      <c r="B408" s="21" t="s">
        <v>93</v>
      </c>
      <c r="C408" s="22" t="n">
        <v>42977</v>
      </c>
      <c r="D408" s="22" t="n">
        <v>43001</v>
      </c>
      <c r="E408" s="22" t="n">
        <v>43007</v>
      </c>
      <c r="F408" s="21" t="s">
        <v>49</v>
      </c>
      <c r="G408" s="23" t="n">
        <v>41.54</v>
      </c>
      <c r="H408" s="23" t="n">
        <v>33.37</v>
      </c>
      <c r="I408" s="21" t="s">
        <v>45</v>
      </c>
      <c r="J408" s="21" t="n">
        <v>2</v>
      </c>
      <c r="K408" s="21" t="s">
        <v>46</v>
      </c>
      <c r="L408" s="24" t="n">
        <f aca="false">DATE(YEAR(C408),MONTH(C408),1)</f>
        <v>42948</v>
      </c>
      <c r="M408" s="21" t="n">
        <f aca="false">D408-C408</f>
        <v>24</v>
      </c>
      <c r="N408" s="21" t="n">
        <f aca="false">MAX(0,D408-E408)</f>
        <v>0</v>
      </c>
      <c r="O408" s="21" t="n">
        <f aca="false">IF(D408&lt;=E408,1,0)</f>
        <v>1</v>
      </c>
      <c r="P408" s="23" t="n">
        <f aca="false">G408+H408</f>
        <v>74.91</v>
      </c>
      <c r="Q408" s="23" t="n">
        <f aca="false">G408*INDEX(Assumptions!$B$8:$B$16,MATCH(F408,Assumptions!$A$8:$A$16,0))</f>
        <v>24.0932</v>
      </c>
      <c r="R408" s="23" t="n">
        <f aca="false">H408*Assumptions!$B$3</f>
        <v>20.022</v>
      </c>
      <c r="S408" s="23" t="n">
        <f aca="false">G408-Q408-R408</f>
        <v>-2.5752</v>
      </c>
      <c r="T408" s="21" t="str">
        <f aca="false">IF(M408&lt;=7,"0-7 days",IF(M408&lt;=14,"8-14 days",IF(M408&lt;=21,"15-21 days","22+ days")))</f>
        <v>22+ days</v>
      </c>
    </row>
    <row r="409" customFormat="false" ht="15" hidden="false" customHeight="false" outlineLevel="0" collapsed="false">
      <c r="A409" s="21" t="s">
        <v>475</v>
      </c>
      <c r="B409" s="21" t="s">
        <v>134</v>
      </c>
      <c r="C409" s="22" t="n">
        <v>42977</v>
      </c>
      <c r="D409" s="22" t="n">
        <v>42987</v>
      </c>
      <c r="E409" s="22" t="n">
        <v>43003</v>
      </c>
      <c r="F409" s="21" t="s">
        <v>79</v>
      </c>
      <c r="G409" s="23" t="n">
        <v>143.96</v>
      </c>
      <c r="H409" s="23" t="n">
        <v>23.95</v>
      </c>
      <c r="I409" s="21" t="s">
        <v>45</v>
      </c>
      <c r="J409" s="21" t="n">
        <v>3</v>
      </c>
      <c r="K409" s="21" t="s">
        <v>46</v>
      </c>
      <c r="L409" s="24" t="n">
        <f aca="false">DATE(YEAR(C409),MONTH(C409),1)</f>
        <v>42948</v>
      </c>
      <c r="M409" s="21" t="n">
        <f aca="false">D409-C409</f>
        <v>10</v>
      </c>
      <c r="N409" s="21" t="n">
        <f aca="false">MAX(0,D409-E409)</f>
        <v>0</v>
      </c>
      <c r="O409" s="21" t="n">
        <f aca="false">IF(D409&lt;=E409,1,0)</f>
        <v>1</v>
      </c>
      <c r="P409" s="23" t="n">
        <f aca="false">G409+H409</f>
        <v>167.91</v>
      </c>
      <c r="Q409" s="23" t="n">
        <f aca="false">G409*INDEX(Assumptions!$B$8:$B$16,MATCH(F409,Assumptions!$A$8:$A$16,0))</f>
        <v>100.772</v>
      </c>
      <c r="R409" s="23" t="n">
        <f aca="false">H409*Assumptions!$B$3</f>
        <v>14.37</v>
      </c>
      <c r="S409" s="23" t="n">
        <f aca="false">G409-Q409-R409</f>
        <v>28.818</v>
      </c>
      <c r="T409" s="21" t="str">
        <f aca="false">IF(M409&lt;=7,"0-7 days",IF(M409&lt;=14,"8-14 days",IF(M409&lt;=21,"15-21 days","22+ days")))</f>
        <v>8-14 days</v>
      </c>
    </row>
    <row r="410" customFormat="false" ht="15" hidden="false" customHeight="false" outlineLevel="0" collapsed="false">
      <c r="A410" s="21" t="s">
        <v>476</v>
      </c>
      <c r="B410" s="21" t="s">
        <v>48</v>
      </c>
      <c r="C410" s="22" t="n">
        <v>42977</v>
      </c>
      <c r="D410" s="22" t="n">
        <v>42987</v>
      </c>
      <c r="E410" s="22" t="n">
        <v>42999</v>
      </c>
      <c r="F410" s="21" t="s">
        <v>49</v>
      </c>
      <c r="G410" s="23" t="n">
        <v>144.84</v>
      </c>
      <c r="H410" s="23" t="n">
        <v>26.01</v>
      </c>
      <c r="I410" s="21" t="s">
        <v>45</v>
      </c>
      <c r="J410" s="21" t="n">
        <v>4</v>
      </c>
      <c r="K410" s="21" t="s">
        <v>46</v>
      </c>
      <c r="L410" s="24" t="n">
        <f aca="false">DATE(YEAR(C410),MONTH(C410),1)</f>
        <v>42948</v>
      </c>
      <c r="M410" s="21" t="n">
        <f aca="false">D410-C410</f>
        <v>10</v>
      </c>
      <c r="N410" s="21" t="n">
        <f aca="false">MAX(0,D410-E410)</f>
        <v>0</v>
      </c>
      <c r="O410" s="21" t="n">
        <f aca="false">IF(D410&lt;=E410,1,0)</f>
        <v>1</v>
      </c>
      <c r="P410" s="23" t="n">
        <f aca="false">G410+H410</f>
        <v>170.85</v>
      </c>
      <c r="Q410" s="23" t="n">
        <f aca="false">G410*INDEX(Assumptions!$B$8:$B$16,MATCH(F410,Assumptions!$A$8:$A$16,0))</f>
        <v>84.0072</v>
      </c>
      <c r="R410" s="23" t="n">
        <f aca="false">H410*Assumptions!$B$3</f>
        <v>15.606</v>
      </c>
      <c r="S410" s="23" t="n">
        <f aca="false">G410-Q410-R410</f>
        <v>45.2268</v>
      </c>
      <c r="T410" s="21" t="str">
        <f aca="false">IF(M410&lt;=7,"0-7 days",IF(M410&lt;=14,"8-14 days",IF(M410&lt;=21,"15-21 days","22+ days")))</f>
        <v>8-14 days</v>
      </c>
    </row>
    <row r="411" customFormat="false" ht="15" hidden="false" customHeight="false" outlineLevel="0" collapsed="false">
      <c r="A411" s="21" t="s">
        <v>477</v>
      </c>
      <c r="B411" s="21" t="s">
        <v>55</v>
      </c>
      <c r="C411" s="22" t="n">
        <v>42978</v>
      </c>
      <c r="D411" s="22" t="n">
        <v>42994</v>
      </c>
      <c r="E411" s="22" t="n">
        <v>42999</v>
      </c>
      <c r="F411" s="21" t="s">
        <v>59</v>
      </c>
      <c r="G411" s="23" t="n">
        <v>62.5</v>
      </c>
      <c r="H411" s="23" t="n">
        <v>24.36</v>
      </c>
      <c r="I411" s="21" t="s">
        <v>60</v>
      </c>
      <c r="J411" s="21" t="n">
        <v>3</v>
      </c>
      <c r="K411" s="21" t="s">
        <v>46</v>
      </c>
      <c r="L411" s="24" t="n">
        <f aca="false">DATE(YEAR(C411),MONTH(C411),1)</f>
        <v>42948</v>
      </c>
      <c r="M411" s="21" t="n">
        <f aca="false">D411-C411</f>
        <v>16</v>
      </c>
      <c r="N411" s="21" t="n">
        <f aca="false">MAX(0,D411-E411)</f>
        <v>0</v>
      </c>
      <c r="O411" s="21" t="n">
        <f aca="false">IF(D411&lt;=E411,1,0)</f>
        <v>1</v>
      </c>
      <c r="P411" s="23" t="n">
        <f aca="false">G411+H411</f>
        <v>86.86</v>
      </c>
      <c r="Q411" s="23" t="n">
        <f aca="false">G411*INDEX(Assumptions!$B$8:$B$16,MATCH(F411,Assumptions!$A$8:$A$16,0))</f>
        <v>40</v>
      </c>
      <c r="R411" s="23" t="n">
        <f aca="false">H411*Assumptions!$B$3</f>
        <v>14.616</v>
      </c>
      <c r="S411" s="23" t="n">
        <f aca="false">G411-Q411-R411</f>
        <v>7.884</v>
      </c>
      <c r="T411" s="21" t="str">
        <f aca="false">IF(M411&lt;=7,"0-7 days",IF(M411&lt;=14,"8-14 days",IF(M411&lt;=21,"15-21 days","22+ days")))</f>
        <v>15-21 days</v>
      </c>
    </row>
    <row r="412" customFormat="false" ht="15" hidden="false" customHeight="false" outlineLevel="0" collapsed="false">
      <c r="A412" s="21" t="s">
        <v>478</v>
      </c>
      <c r="B412" s="21" t="s">
        <v>134</v>
      </c>
      <c r="C412" s="22" t="n">
        <v>42978</v>
      </c>
      <c r="D412" s="22" t="n">
        <v>42990</v>
      </c>
      <c r="E412" s="22" t="n">
        <v>43001</v>
      </c>
      <c r="F412" s="21" t="s">
        <v>79</v>
      </c>
      <c r="G412" s="23" t="n">
        <v>152.73</v>
      </c>
      <c r="H412" s="23" t="n">
        <v>17.93</v>
      </c>
      <c r="I412" s="21" t="s">
        <v>45</v>
      </c>
      <c r="J412" s="21" t="n">
        <v>4</v>
      </c>
      <c r="K412" s="21" t="s">
        <v>46</v>
      </c>
      <c r="L412" s="24" t="n">
        <f aca="false">DATE(YEAR(C412),MONTH(C412),1)</f>
        <v>42948</v>
      </c>
      <c r="M412" s="21" t="n">
        <f aca="false">D412-C412</f>
        <v>12</v>
      </c>
      <c r="N412" s="21" t="n">
        <f aca="false">MAX(0,D412-E412)</f>
        <v>0</v>
      </c>
      <c r="O412" s="21" t="n">
        <f aca="false">IF(D412&lt;=E412,1,0)</f>
        <v>1</v>
      </c>
      <c r="P412" s="23" t="n">
        <f aca="false">G412+H412</f>
        <v>170.66</v>
      </c>
      <c r="Q412" s="23" t="n">
        <f aca="false">G412*INDEX(Assumptions!$B$8:$B$16,MATCH(F412,Assumptions!$A$8:$A$16,0))</f>
        <v>106.911</v>
      </c>
      <c r="R412" s="23" t="n">
        <f aca="false">H412*Assumptions!$B$3</f>
        <v>10.758</v>
      </c>
      <c r="S412" s="23" t="n">
        <f aca="false">G412-Q412-R412</f>
        <v>35.061</v>
      </c>
      <c r="T412" s="21" t="str">
        <f aca="false">IF(M412&lt;=7,"0-7 days",IF(M412&lt;=14,"8-14 days",IF(M412&lt;=21,"15-21 days","22+ days")))</f>
        <v>8-14 days</v>
      </c>
    </row>
    <row r="413" customFormat="false" ht="15" hidden="false" customHeight="false" outlineLevel="0" collapsed="false">
      <c r="A413" s="21" t="s">
        <v>479</v>
      </c>
      <c r="B413" s="21" t="s">
        <v>19</v>
      </c>
      <c r="C413" s="22" t="n">
        <v>42978</v>
      </c>
      <c r="D413" s="22" t="n">
        <v>42985</v>
      </c>
      <c r="E413" s="22" t="n">
        <v>42994</v>
      </c>
      <c r="F413" s="21" t="s">
        <v>59</v>
      </c>
      <c r="G413" s="23" t="n">
        <v>116.35</v>
      </c>
      <c r="H413" s="23" t="n">
        <v>18.45</v>
      </c>
      <c r="I413" s="21" t="s">
        <v>45</v>
      </c>
      <c r="J413" s="21" t="n">
        <v>4</v>
      </c>
      <c r="K413" s="21" t="s">
        <v>46</v>
      </c>
      <c r="L413" s="24" t="n">
        <f aca="false">DATE(YEAR(C413),MONTH(C413),1)</f>
        <v>42948</v>
      </c>
      <c r="M413" s="21" t="n">
        <f aca="false">D413-C413</f>
        <v>7</v>
      </c>
      <c r="N413" s="21" t="n">
        <f aca="false">MAX(0,D413-E413)</f>
        <v>0</v>
      </c>
      <c r="O413" s="21" t="n">
        <f aca="false">IF(D413&lt;=E413,1,0)</f>
        <v>1</v>
      </c>
      <c r="P413" s="23" t="n">
        <f aca="false">G413+H413</f>
        <v>134.8</v>
      </c>
      <c r="Q413" s="23" t="n">
        <f aca="false">G413*INDEX(Assumptions!$B$8:$B$16,MATCH(F413,Assumptions!$A$8:$A$16,0))</f>
        <v>74.464</v>
      </c>
      <c r="R413" s="23" t="n">
        <f aca="false">H413*Assumptions!$B$3</f>
        <v>11.07</v>
      </c>
      <c r="S413" s="23" t="n">
        <f aca="false">G413-Q413-R413</f>
        <v>30.816</v>
      </c>
      <c r="T413" s="21" t="str">
        <f aca="false">IF(M413&lt;=7,"0-7 days",IF(M413&lt;=14,"8-14 days",IF(M413&lt;=21,"15-21 days","22+ days")))</f>
        <v>0-7 days</v>
      </c>
    </row>
    <row r="414" customFormat="false" ht="15" hidden="false" customHeight="false" outlineLevel="0" collapsed="false">
      <c r="A414" s="21" t="s">
        <v>480</v>
      </c>
      <c r="B414" s="21" t="s">
        <v>62</v>
      </c>
      <c r="C414" s="22" t="n">
        <v>42978</v>
      </c>
      <c r="D414" s="22" t="n">
        <v>42990</v>
      </c>
      <c r="E414" s="22" t="n">
        <v>42997</v>
      </c>
      <c r="F414" s="21" t="s">
        <v>59</v>
      </c>
      <c r="G414" s="23" t="n">
        <v>37.58</v>
      </c>
      <c r="H414" s="23" t="n">
        <v>16.66</v>
      </c>
      <c r="I414" s="21" t="s">
        <v>45</v>
      </c>
      <c r="J414" s="21" t="n">
        <v>5</v>
      </c>
      <c r="K414" s="21" t="s">
        <v>46</v>
      </c>
      <c r="L414" s="24" t="n">
        <f aca="false">DATE(YEAR(C414),MONTH(C414),1)</f>
        <v>42948</v>
      </c>
      <c r="M414" s="21" t="n">
        <f aca="false">D414-C414</f>
        <v>12</v>
      </c>
      <c r="N414" s="21" t="n">
        <f aca="false">MAX(0,D414-E414)</f>
        <v>0</v>
      </c>
      <c r="O414" s="21" t="n">
        <f aca="false">IF(D414&lt;=E414,1,0)</f>
        <v>1</v>
      </c>
      <c r="P414" s="23" t="n">
        <f aca="false">G414+H414</f>
        <v>54.24</v>
      </c>
      <c r="Q414" s="23" t="n">
        <f aca="false">G414*INDEX(Assumptions!$B$8:$B$16,MATCH(F414,Assumptions!$A$8:$A$16,0))</f>
        <v>24.0512</v>
      </c>
      <c r="R414" s="23" t="n">
        <f aca="false">H414*Assumptions!$B$3</f>
        <v>9.996</v>
      </c>
      <c r="S414" s="23" t="n">
        <f aca="false">G414-Q414-R414</f>
        <v>3.5328</v>
      </c>
      <c r="T414" s="21" t="str">
        <f aca="false">IF(M414&lt;=7,"0-7 days",IF(M414&lt;=14,"8-14 days",IF(M414&lt;=21,"15-21 days","22+ days")))</f>
        <v>8-14 days</v>
      </c>
    </row>
    <row r="415" customFormat="false" ht="15" hidden="false" customHeight="false" outlineLevel="0" collapsed="false">
      <c r="A415" s="21" t="s">
        <v>481</v>
      </c>
      <c r="B415" s="21" t="s">
        <v>48</v>
      </c>
      <c r="C415" s="22" t="n">
        <v>42978</v>
      </c>
      <c r="D415" s="22" t="n">
        <v>42995</v>
      </c>
      <c r="E415" s="22" t="n">
        <v>43001</v>
      </c>
      <c r="F415" s="21" t="s">
        <v>79</v>
      </c>
      <c r="G415" s="23" t="n">
        <v>181.57</v>
      </c>
      <c r="H415" s="23" t="n">
        <v>19.28</v>
      </c>
      <c r="I415" s="21" t="s">
        <v>50</v>
      </c>
      <c r="J415" s="21" t="n">
        <v>5</v>
      </c>
      <c r="K415" s="21" t="s">
        <v>46</v>
      </c>
      <c r="L415" s="24" t="n">
        <f aca="false">DATE(YEAR(C415),MONTH(C415),1)</f>
        <v>42948</v>
      </c>
      <c r="M415" s="21" t="n">
        <f aca="false">D415-C415</f>
        <v>17</v>
      </c>
      <c r="N415" s="21" t="n">
        <f aca="false">MAX(0,D415-E415)</f>
        <v>0</v>
      </c>
      <c r="O415" s="21" t="n">
        <f aca="false">IF(D415&lt;=E415,1,0)</f>
        <v>1</v>
      </c>
      <c r="P415" s="23" t="n">
        <f aca="false">G415+H415</f>
        <v>200.85</v>
      </c>
      <c r="Q415" s="23" t="n">
        <f aca="false">G415*INDEX(Assumptions!$B$8:$B$16,MATCH(F415,Assumptions!$A$8:$A$16,0))</f>
        <v>127.099</v>
      </c>
      <c r="R415" s="23" t="n">
        <f aca="false">H415*Assumptions!$B$3</f>
        <v>11.568</v>
      </c>
      <c r="S415" s="23" t="n">
        <f aca="false">G415-Q415-R415</f>
        <v>42.903</v>
      </c>
      <c r="T415" s="21" t="str">
        <f aca="false">IF(M415&lt;=7,"0-7 days",IF(M415&lt;=14,"8-14 days",IF(M415&lt;=21,"15-21 days","22+ days")))</f>
        <v>15-21 days</v>
      </c>
    </row>
    <row r="416" customFormat="false" ht="15" hidden="false" customHeight="false" outlineLevel="0" collapsed="false">
      <c r="A416" s="21" t="s">
        <v>482</v>
      </c>
      <c r="B416" s="21" t="s">
        <v>156</v>
      </c>
      <c r="C416" s="22" t="n">
        <v>42978</v>
      </c>
      <c r="D416" s="22" t="n">
        <v>42987</v>
      </c>
      <c r="E416" s="22" t="n">
        <v>43005</v>
      </c>
      <c r="F416" s="21" t="s">
        <v>64</v>
      </c>
      <c r="G416" s="23" t="n">
        <v>184.32</v>
      </c>
      <c r="H416" s="23" t="n">
        <v>23.27</v>
      </c>
      <c r="I416" s="21" t="s">
        <v>45</v>
      </c>
      <c r="J416" s="21" t="n">
        <v>5</v>
      </c>
      <c r="K416" s="21" t="s">
        <v>46</v>
      </c>
      <c r="L416" s="24" t="n">
        <f aca="false">DATE(YEAR(C416),MONTH(C416),1)</f>
        <v>42948</v>
      </c>
      <c r="M416" s="21" t="n">
        <f aca="false">D416-C416</f>
        <v>9</v>
      </c>
      <c r="N416" s="21" t="n">
        <f aca="false">MAX(0,D416-E416)</f>
        <v>0</v>
      </c>
      <c r="O416" s="21" t="n">
        <f aca="false">IF(D416&lt;=E416,1,0)</f>
        <v>1</v>
      </c>
      <c r="P416" s="23" t="n">
        <f aca="false">G416+H416</f>
        <v>207.59</v>
      </c>
      <c r="Q416" s="23" t="n">
        <f aca="false">G416*INDEX(Assumptions!$B$8:$B$16,MATCH(F416,Assumptions!$A$8:$A$16,0))</f>
        <v>121.6512</v>
      </c>
      <c r="R416" s="23" t="n">
        <f aca="false">H416*Assumptions!$B$3</f>
        <v>13.962</v>
      </c>
      <c r="S416" s="23" t="n">
        <f aca="false">G416-Q416-R416</f>
        <v>48.7068</v>
      </c>
      <c r="T416" s="21" t="str">
        <f aca="false">IF(M416&lt;=7,"0-7 days",IF(M416&lt;=14,"8-14 days",IF(M416&lt;=21,"15-21 days","22+ days")))</f>
        <v>8-14 days</v>
      </c>
    </row>
    <row r="417" customFormat="false" ht="15" hidden="false" customHeight="false" outlineLevel="0" collapsed="false">
      <c r="A417" s="21" t="s">
        <v>483</v>
      </c>
      <c r="B417" s="21" t="s">
        <v>19</v>
      </c>
      <c r="C417" s="22" t="n">
        <v>42978</v>
      </c>
      <c r="D417" s="22" t="n">
        <v>42987</v>
      </c>
      <c r="E417" s="22" t="n">
        <v>42994</v>
      </c>
      <c r="F417" s="21" t="s">
        <v>111</v>
      </c>
      <c r="G417" s="23" t="n">
        <v>78.54</v>
      </c>
      <c r="H417" s="23" t="n">
        <v>22.11</v>
      </c>
      <c r="I417" s="21" t="s">
        <v>45</v>
      </c>
      <c r="J417" s="21" t="n">
        <v>5</v>
      </c>
      <c r="K417" s="21" t="s">
        <v>46</v>
      </c>
      <c r="L417" s="24" t="n">
        <f aca="false">DATE(YEAR(C417),MONTH(C417),1)</f>
        <v>42948</v>
      </c>
      <c r="M417" s="21" t="n">
        <f aca="false">D417-C417</f>
        <v>9</v>
      </c>
      <c r="N417" s="21" t="n">
        <f aca="false">MAX(0,D417-E417)</f>
        <v>0</v>
      </c>
      <c r="O417" s="21" t="n">
        <f aca="false">IF(D417&lt;=E417,1,0)</f>
        <v>1</v>
      </c>
      <c r="P417" s="23" t="n">
        <f aca="false">G417+H417</f>
        <v>100.65</v>
      </c>
      <c r="Q417" s="23" t="n">
        <f aca="false">G417*INDEX(Assumptions!$B$8:$B$16,MATCH(F417,Assumptions!$A$8:$A$16,0))</f>
        <v>49.4802</v>
      </c>
      <c r="R417" s="23" t="n">
        <f aca="false">H417*Assumptions!$B$3</f>
        <v>13.266</v>
      </c>
      <c r="S417" s="23" t="n">
        <f aca="false">G417-Q417-R417</f>
        <v>15.7938</v>
      </c>
      <c r="T417" s="21" t="str">
        <f aca="false">IF(M417&lt;=7,"0-7 days",IF(M417&lt;=14,"8-14 days",IF(M417&lt;=21,"15-21 days","22+ days")))</f>
        <v>8-14 days</v>
      </c>
    </row>
    <row r="418" customFormat="false" ht="15" hidden="false" customHeight="false" outlineLevel="0" collapsed="false">
      <c r="A418" s="21" t="s">
        <v>484</v>
      </c>
      <c r="B418" s="21" t="s">
        <v>19</v>
      </c>
      <c r="C418" s="22" t="n">
        <v>42979</v>
      </c>
      <c r="D418" s="22" t="n">
        <v>42990</v>
      </c>
      <c r="E418" s="22" t="n">
        <v>42990</v>
      </c>
      <c r="F418" s="21" t="s">
        <v>53</v>
      </c>
      <c r="G418" s="23" t="n">
        <v>153.61</v>
      </c>
      <c r="H418" s="23" t="n">
        <v>17.77</v>
      </c>
      <c r="I418" s="21" t="s">
        <v>60</v>
      </c>
      <c r="J418" s="21" t="n">
        <v>5</v>
      </c>
      <c r="K418" s="21" t="s">
        <v>46</v>
      </c>
      <c r="L418" s="24" t="n">
        <f aca="false">DATE(YEAR(C418),MONTH(C418),1)</f>
        <v>42979</v>
      </c>
      <c r="M418" s="21" t="n">
        <f aca="false">D418-C418</f>
        <v>11</v>
      </c>
      <c r="N418" s="21" t="n">
        <f aca="false">MAX(0,D418-E418)</f>
        <v>0</v>
      </c>
      <c r="O418" s="21" t="n">
        <f aca="false">IF(D418&lt;=E418,1,0)</f>
        <v>1</v>
      </c>
      <c r="P418" s="23" t="n">
        <f aca="false">G418+H418</f>
        <v>171.38</v>
      </c>
      <c r="Q418" s="23" t="n">
        <f aca="false">G418*INDEX(Assumptions!$B$8:$B$16,MATCH(F418,Assumptions!$A$8:$A$16,0))</f>
        <v>113.6714</v>
      </c>
      <c r="R418" s="23" t="n">
        <f aca="false">H418*Assumptions!$B$3</f>
        <v>10.662</v>
      </c>
      <c r="S418" s="23" t="n">
        <f aca="false">G418-Q418-R418</f>
        <v>29.2766</v>
      </c>
      <c r="T418" s="21" t="str">
        <f aca="false">IF(M418&lt;=7,"0-7 days",IF(M418&lt;=14,"8-14 days",IF(M418&lt;=21,"15-21 days","22+ days")))</f>
        <v>8-14 days</v>
      </c>
    </row>
    <row r="419" customFormat="false" ht="15" hidden="false" customHeight="false" outlineLevel="0" collapsed="false">
      <c r="A419" s="21" t="s">
        <v>485</v>
      </c>
      <c r="B419" s="21" t="s">
        <v>62</v>
      </c>
      <c r="C419" s="22" t="n">
        <v>42980</v>
      </c>
      <c r="D419" s="22" t="n">
        <v>42993</v>
      </c>
      <c r="E419" s="22" t="n">
        <v>43000</v>
      </c>
      <c r="F419" s="21" t="s">
        <v>59</v>
      </c>
      <c r="G419" s="23" t="n">
        <v>61.78</v>
      </c>
      <c r="H419" s="23" t="n">
        <v>17.11</v>
      </c>
      <c r="I419" s="21" t="s">
        <v>60</v>
      </c>
      <c r="J419" s="21" t="n">
        <v>4</v>
      </c>
      <c r="K419" s="21" t="s">
        <v>46</v>
      </c>
      <c r="L419" s="24" t="n">
        <f aca="false">DATE(YEAR(C419),MONTH(C419),1)</f>
        <v>42979</v>
      </c>
      <c r="M419" s="21" t="n">
        <f aca="false">D419-C419</f>
        <v>13</v>
      </c>
      <c r="N419" s="21" t="n">
        <f aca="false">MAX(0,D419-E419)</f>
        <v>0</v>
      </c>
      <c r="O419" s="21" t="n">
        <f aca="false">IF(D419&lt;=E419,1,0)</f>
        <v>1</v>
      </c>
      <c r="P419" s="23" t="n">
        <f aca="false">G419+H419</f>
        <v>78.89</v>
      </c>
      <c r="Q419" s="23" t="n">
        <f aca="false">G419*INDEX(Assumptions!$B$8:$B$16,MATCH(F419,Assumptions!$A$8:$A$16,0))</f>
        <v>39.5392</v>
      </c>
      <c r="R419" s="23" t="n">
        <f aca="false">H419*Assumptions!$B$3</f>
        <v>10.266</v>
      </c>
      <c r="S419" s="23" t="n">
        <f aca="false">G419-Q419-R419</f>
        <v>11.9748</v>
      </c>
      <c r="T419" s="21" t="str">
        <f aca="false">IF(M419&lt;=7,"0-7 days",IF(M419&lt;=14,"8-14 days",IF(M419&lt;=21,"15-21 days","22+ days")))</f>
        <v>8-14 days</v>
      </c>
    </row>
    <row r="420" customFormat="false" ht="15" hidden="false" customHeight="false" outlineLevel="0" collapsed="false">
      <c r="A420" s="21" t="s">
        <v>486</v>
      </c>
      <c r="B420" s="21" t="s">
        <v>19</v>
      </c>
      <c r="C420" s="22" t="n">
        <v>42980</v>
      </c>
      <c r="D420" s="22" t="n">
        <v>42989</v>
      </c>
      <c r="E420" s="22" t="n">
        <v>42996</v>
      </c>
      <c r="F420" s="21" t="s">
        <v>59</v>
      </c>
      <c r="G420" s="23" t="n">
        <v>113.3</v>
      </c>
      <c r="H420" s="23" t="n">
        <v>22.82</v>
      </c>
      <c r="I420" s="21" t="s">
        <v>45</v>
      </c>
      <c r="J420" s="21" t="n">
        <v>4</v>
      </c>
      <c r="K420" s="21" t="s">
        <v>46</v>
      </c>
      <c r="L420" s="24" t="n">
        <f aca="false">DATE(YEAR(C420),MONTH(C420),1)</f>
        <v>42979</v>
      </c>
      <c r="M420" s="21" t="n">
        <f aca="false">D420-C420</f>
        <v>9</v>
      </c>
      <c r="N420" s="21" t="n">
        <f aca="false">MAX(0,D420-E420)</f>
        <v>0</v>
      </c>
      <c r="O420" s="21" t="n">
        <f aca="false">IF(D420&lt;=E420,1,0)</f>
        <v>1</v>
      </c>
      <c r="P420" s="23" t="n">
        <f aca="false">G420+H420</f>
        <v>136.12</v>
      </c>
      <c r="Q420" s="23" t="n">
        <f aca="false">G420*INDEX(Assumptions!$B$8:$B$16,MATCH(F420,Assumptions!$A$8:$A$16,0))</f>
        <v>72.512</v>
      </c>
      <c r="R420" s="23" t="n">
        <f aca="false">H420*Assumptions!$B$3</f>
        <v>13.692</v>
      </c>
      <c r="S420" s="23" t="n">
        <f aca="false">G420-Q420-R420</f>
        <v>27.096</v>
      </c>
      <c r="T420" s="21" t="str">
        <f aca="false">IF(M420&lt;=7,"0-7 days",IF(M420&lt;=14,"8-14 days",IF(M420&lt;=21,"15-21 days","22+ days")))</f>
        <v>8-14 days</v>
      </c>
    </row>
    <row r="421" customFormat="false" ht="15" hidden="false" customHeight="false" outlineLevel="0" collapsed="false">
      <c r="A421" s="21" t="s">
        <v>487</v>
      </c>
      <c r="B421" s="21" t="s">
        <v>19</v>
      </c>
      <c r="C421" s="22" t="n">
        <v>42981</v>
      </c>
      <c r="D421" s="22" t="n">
        <v>42986</v>
      </c>
      <c r="E421" s="22" t="n">
        <v>43002</v>
      </c>
      <c r="F421" s="21" t="s">
        <v>57</v>
      </c>
      <c r="G421" s="23" t="n">
        <v>47.11</v>
      </c>
      <c r="H421" s="23" t="n">
        <v>19.52</v>
      </c>
      <c r="I421" s="21" t="s">
        <v>45</v>
      </c>
      <c r="J421" s="21" t="n">
        <v>5</v>
      </c>
      <c r="K421" s="21" t="s">
        <v>46</v>
      </c>
      <c r="L421" s="24" t="n">
        <f aca="false">DATE(YEAR(C421),MONTH(C421),1)</f>
        <v>42979</v>
      </c>
      <c r="M421" s="21" t="n">
        <f aca="false">D421-C421</f>
        <v>5</v>
      </c>
      <c r="N421" s="21" t="n">
        <f aca="false">MAX(0,D421-E421)</f>
        <v>0</v>
      </c>
      <c r="O421" s="21" t="n">
        <f aca="false">IF(D421&lt;=E421,1,0)</f>
        <v>1</v>
      </c>
      <c r="P421" s="23" t="n">
        <f aca="false">G421+H421</f>
        <v>66.63</v>
      </c>
      <c r="Q421" s="23" t="n">
        <f aca="false">G421*INDEX(Assumptions!$B$8:$B$16,MATCH(F421,Assumptions!$A$8:$A$16,0))</f>
        <v>32.0348</v>
      </c>
      <c r="R421" s="23" t="n">
        <f aca="false">H421*Assumptions!$B$3</f>
        <v>11.712</v>
      </c>
      <c r="S421" s="23" t="n">
        <f aca="false">G421-Q421-R421</f>
        <v>3.3632</v>
      </c>
      <c r="T421" s="21" t="str">
        <f aca="false">IF(M421&lt;=7,"0-7 days",IF(M421&lt;=14,"8-14 days",IF(M421&lt;=21,"15-21 days","22+ days")))</f>
        <v>0-7 days</v>
      </c>
    </row>
    <row r="422" customFormat="false" ht="15" hidden="false" customHeight="false" outlineLevel="0" collapsed="false">
      <c r="A422" s="21" t="s">
        <v>488</v>
      </c>
      <c r="B422" s="21" t="s">
        <v>77</v>
      </c>
      <c r="C422" s="22" t="n">
        <v>42981</v>
      </c>
      <c r="D422" s="22" t="n">
        <v>42999</v>
      </c>
      <c r="E422" s="22" t="n">
        <v>43004</v>
      </c>
      <c r="F422" s="21" t="s">
        <v>57</v>
      </c>
      <c r="G422" s="23" t="n">
        <v>111.98</v>
      </c>
      <c r="H422" s="23" t="n">
        <v>28.95</v>
      </c>
      <c r="I422" s="21" t="s">
        <v>60</v>
      </c>
      <c r="J422" s="21" t="n">
        <v>4</v>
      </c>
      <c r="K422" s="21" t="s">
        <v>46</v>
      </c>
      <c r="L422" s="24" t="n">
        <f aca="false">DATE(YEAR(C422),MONTH(C422),1)</f>
        <v>42979</v>
      </c>
      <c r="M422" s="21" t="n">
        <f aca="false">D422-C422</f>
        <v>18</v>
      </c>
      <c r="N422" s="21" t="n">
        <f aca="false">MAX(0,D422-E422)</f>
        <v>0</v>
      </c>
      <c r="O422" s="21" t="n">
        <f aca="false">IF(D422&lt;=E422,1,0)</f>
        <v>1</v>
      </c>
      <c r="P422" s="23" t="n">
        <f aca="false">G422+H422</f>
        <v>140.93</v>
      </c>
      <c r="Q422" s="23" t="n">
        <f aca="false">G422*INDEX(Assumptions!$B$8:$B$16,MATCH(F422,Assumptions!$A$8:$A$16,0))</f>
        <v>76.1464</v>
      </c>
      <c r="R422" s="23" t="n">
        <f aca="false">H422*Assumptions!$B$3</f>
        <v>17.37</v>
      </c>
      <c r="S422" s="23" t="n">
        <f aca="false">G422-Q422-R422</f>
        <v>18.4636</v>
      </c>
      <c r="T422" s="21" t="str">
        <f aca="false">IF(M422&lt;=7,"0-7 days",IF(M422&lt;=14,"8-14 days",IF(M422&lt;=21,"15-21 days","22+ days")))</f>
        <v>15-21 days</v>
      </c>
    </row>
    <row r="423" customFormat="false" ht="15" hidden="false" customHeight="false" outlineLevel="0" collapsed="false">
      <c r="A423" s="21" t="s">
        <v>489</v>
      </c>
      <c r="B423" s="21" t="s">
        <v>93</v>
      </c>
      <c r="C423" s="22" t="n">
        <v>42981</v>
      </c>
      <c r="D423" s="22" t="n">
        <v>43006</v>
      </c>
      <c r="E423" s="22" t="n">
        <v>43009</v>
      </c>
      <c r="F423" s="21" t="s">
        <v>67</v>
      </c>
      <c r="G423" s="23" t="n">
        <v>90.87</v>
      </c>
      <c r="H423" s="23" t="n">
        <v>23.27</v>
      </c>
      <c r="I423" s="21" t="s">
        <v>60</v>
      </c>
      <c r="J423" s="21" t="n">
        <v>5</v>
      </c>
      <c r="K423" s="21" t="s">
        <v>46</v>
      </c>
      <c r="L423" s="24" t="n">
        <f aca="false">DATE(YEAR(C423),MONTH(C423),1)</f>
        <v>42979</v>
      </c>
      <c r="M423" s="21" t="n">
        <f aca="false">D423-C423</f>
        <v>25</v>
      </c>
      <c r="N423" s="21" t="n">
        <f aca="false">MAX(0,D423-E423)</f>
        <v>0</v>
      </c>
      <c r="O423" s="21" t="n">
        <f aca="false">IF(D423&lt;=E423,1,0)</f>
        <v>1</v>
      </c>
      <c r="P423" s="23" t="n">
        <f aca="false">G423+H423</f>
        <v>114.14</v>
      </c>
      <c r="Q423" s="23" t="n">
        <f aca="false">G423*INDEX(Assumptions!$B$8:$B$16,MATCH(F423,Assumptions!$A$8:$A$16,0))</f>
        <v>56.3394</v>
      </c>
      <c r="R423" s="23" t="n">
        <f aca="false">H423*Assumptions!$B$3</f>
        <v>13.962</v>
      </c>
      <c r="S423" s="23" t="n">
        <f aca="false">G423-Q423-R423</f>
        <v>20.5686</v>
      </c>
      <c r="T423" s="21" t="str">
        <f aca="false">IF(M423&lt;=7,"0-7 days",IF(M423&lt;=14,"8-14 days",IF(M423&lt;=21,"15-21 days","22+ days")))</f>
        <v>22+ days</v>
      </c>
    </row>
    <row r="424" customFormat="false" ht="15" hidden="false" customHeight="false" outlineLevel="0" collapsed="false">
      <c r="A424" s="21" t="s">
        <v>490</v>
      </c>
      <c r="B424" s="21" t="s">
        <v>19</v>
      </c>
      <c r="C424" s="22" t="n">
        <v>42981</v>
      </c>
      <c r="D424" s="22" t="n">
        <v>42986</v>
      </c>
      <c r="E424" s="22" t="n">
        <v>42996</v>
      </c>
      <c r="F424" s="21" t="s">
        <v>64</v>
      </c>
      <c r="G424" s="23" t="n">
        <v>107.22</v>
      </c>
      <c r="H424" s="23" t="n">
        <v>17.8</v>
      </c>
      <c r="I424" s="21" t="s">
        <v>45</v>
      </c>
      <c r="J424" s="21" t="n">
        <v>5</v>
      </c>
      <c r="K424" s="21" t="s">
        <v>46</v>
      </c>
      <c r="L424" s="24" t="n">
        <f aca="false">DATE(YEAR(C424),MONTH(C424),1)</f>
        <v>42979</v>
      </c>
      <c r="M424" s="21" t="n">
        <f aca="false">D424-C424</f>
        <v>5</v>
      </c>
      <c r="N424" s="21" t="n">
        <f aca="false">MAX(0,D424-E424)</f>
        <v>0</v>
      </c>
      <c r="O424" s="21" t="n">
        <f aca="false">IF(D424&lt;=E424,1,0)</f>
        <v>1</v>
      </c>
      <c r="P424" s="23" t="n">
        <f aca="false">G424+H424</f>
        <v>125.02</v>
      </c>
      <c r="Q424" s="23" t="n">
        <f aca="false">G424*INDEX(Assumptions!$B$8:$B$16,MATCH(F424,Assumptions!$A$8:$A$16,0))</f>
        <v>70.7652</v>
      </c>
      <c r="R424" s="23" t="n">
        <f aca="false">H424*Assumptions!$B$3</f>
        <v>10.68</v>
      </c>
      <c r="S424" s="23" t="n">
        <f aca="false">G424-Q424-R424</f>
        <v>25.7748</v>
      </c>
      <c r="T424" s="21" t="str">
        <f aca="false">IF(M424&lt;=7,"0-7 days",IF(M424&lt;=14,"8-14 days",IF(M424&lt;=21,"15-21 days","22+ days")))</f>
        <v>0-7 days</v>
      </c>
    </row>
    <row r="425" customFormat="false" ht="15" hidden="false" customHeight="false" outlineLevel="0" collapsed="false">
      <c r="A425" s="21" t="s">
        <v>491</v>
      </c>
      <c r="B425" s="21" t="s">
        <v>93</v>
      </c>
      <c r="C425" s="22" t="n">
        <v>42981</v>
      </c>
      <c r="D425" s="22" t="n">
        <v>42998</v>
      </c>
      <c r="E425" s="22" t="n">
        <v>43014</v>
      </c>
      <c r="F425" s="21" t="s">
        <v>44</v>
      </c>
      <c r="G425" s="23" t="n">
        <v>27.86</v>
      </c>
      <c r="H425" s="23" t="n">
        <v>33.67</v>
      </c>
      <c r="I425" s="21" t="s">
        <v>60</v>
      </c>
      <c r="J425" s="21" t="n">
        <v>4</v>
      </c>
      <c r="K425" s="21" t="s">
        <v>46</v>
      </c>
      <c r="L425" s="24" t="n">
        <f aca="false">DATE(YEAR(C425),MONTH(C425),1)</f>
        <v>42979</v>
      </c>
      <c r="M425" s="21" t="n">
        <f aca="false">D425-C425</f>
        <v>17</v>
      </c>
      <c r="N425" s="21" t="n">
        <f aca="false">MAX(0,D425-E425)</f>
        <v>0</v>
      </c>
      <c r="O425" s="21" t="n">
        <f aca="false">IF(D425&lt;=E425,1,0)</f>
        <v>1</v>
      </c>
      <c r="P425" s="23" t="n">
        <f aca="false">G425+H425</f>
        <v>61.53</v>
      </c>
      <c r="Q425" s="23" t="n">
        <f aca="false">G425*INDEX(Assumptions!$B$8:$B$16,MATCH(F425,Assumptions!$A$8:$A$16,0))</f>
        <v>16.716</v>
      </c>
      <c r="R425" s="23" t="n">
        <f aca="false">H425*Assumptions!$B$3</f>
        <v>20.202</v>
      </c>
      <c r="S425" s="23" t="n">
        <f aca="false">G425-Q425-R425</f>
        <v>-9.058</v>
      </c>
      <c r="T425" s="21" t="str">
        <f aca="false">IF(M425&lt;=7,"0-7 days",IF(M425&lt;=14,"8-14 days",IF(M425&lt;=21,"15-21 days","22+ days")))</f>
        <v>15-21 days</v>
      </c>
    </row>
    <row r="426" customFormat="false" ht="15" hidden="false" customHeight="false" outlineLevel="0" collapsed="false">
      <c r="A426" s="21" t="s">
        <v>492</v>
      </c>
      <c r="B426" s="21" t="s">
        <v>19</v>
      </c>
      <c r="C426" s="22" t="n">
        <v>42982</v>
      </c>
      <c r="D426" s="22" t="n">
        <v>42990</v>
      </c>
      <c r="E426" s="22" t="n">
        <v>42999</v>
      </c>
      <c r="F426" s="21" t="s">
        <v>64</v>
      </c>
      <c r="G426" s="23" t="n">
        <v>126.76</v>
      </c>
      <c r="H426" s="23" t="n">
        <v>20.92</v>
      </c>
      <c r="I426" s="21" t="s">
        <v>45</v>
      </c>
      <c r="J426" s="21" t="n">
        <v>5</v>
      </c>
      <c r="K426" s="21" t="s">
        <v>46</v>
      </c>
      <c r="L426" s="24" t="n">
        <f aca="false">DATE(YEAR(C426),MONTH(C426),1)</f>
        <v>42979</v>
      </c>
      <c r="M426" s="21" t="n">
        <f aca="false">D426-C426</f>
        <v>8</v>
      </c>
      <c r="N426" s="21" t="n">
        <f aca="false">MAX(0,D426-E426)</f>
        <v>0</v>
      </c>
      <c r="O426" s="21" t="n">
        <f aca="false">IF(D426&lt;=E426,1,0)</f>
        <v>1</v>
      </c>
      <c r="P426" s="23" t="n">
        <f aca="false">G426+H426</f>
        <v>147.68</v>
      </c>
      <c r="Q426" s="23" t="n">
        <f aca="false">G426*INDEX(Assumptions!$B$8:$B$16,MATCH(F426,Assumptions!$A$8:$A$16,0))</f>
        <v>83.6616</v>
      </c>
      <c r="R426" s="23" t="n">
        <f aca="false">H426*Assumptions!$B$3</f>
        <v>12.552</v>
      </c>
      <c r="S426" s="23" t="n">
        <f aca="false">G426-Q426-R426</f>
        <v>30.5464</v>
      </c>
      <c r="T426" s="21" t="str">
        <f aca="false">IF(M426&lt;=7,"0-7 days",IF(M426&lt;=14,"8-14 days",IF(M426&lt;=21,"15-21 days","22+ days")))</f>
        <v>8-14 days</v>
      </c>
    </row>
    <row r="427" customFormat="false" ht="15" hidden="false" customHeight="false" outlineLevel="0" collapsed="false">
      <c r="A427" s="21" t="s">
        <v>493</v>
      </c>
      <c r="B427" s="21" t="s">
        <v>19</v>
      </c>
      <c r="C427" s="22" t="n">
        <v>42982</v>
      </c>
      <c r="D427" s="22" t="n">
        <v>42991</v>
      </c>
      <c r="E427" s="22" t="n">
        <v>42998</v>
      </c>
      <c r="F427" s="21" t="s">
        <v>111</v>
      </c>
      <c r="G427" s="23" t="n">
        <v>73.57</v>
      </c>
      <c r="H427" s="23" t="n">
        <v>21.85</v>
      </c>
      <c r="I427" s="21" t="s">
        <v>60</v>
      </c>
      <c r="J427" s="21" t="n">
        <v>5</v>
      </c>
      <c r="K427" s="21" t="s">
        <v>46</v>
      </c>
      <c r="L427" s="24" t="n">
        <f aca="false">DATE(YEAR(C427),MONTH(C427),1)</f>
        <v>42979</v>
      </c>
      <c r="M427" s="21" t="n">
        <f aca="false">D427-C427</f>
        <v>9</v>
      </c>
      <c r="N427" s="21" t="n">
        <f aca="false">MAX(0,D427-E427)</f>
        <v>0</v>
      </c>
      <c r="O427" s="21" t="n">
        <f aca="false">IF(D427&lt;=E427,1,0)</f>
        <v>1</v>
      </c>
      <c r="P427" s="23" t="n">
        <f aca="false">G427+H427</f>
        <v>95.42</v>
      </c>
      <c r="Q427" s="23" t="n">
        <f aca="false">G427*INDEX(Assumptions!$B$8:$B$16,MATCH(F427,Assumptions!$A$8:$A$16,0))</f>
        <v>46.3491</v>
      </c>
      <c r="R427" s="23" t="n">
        <f aca="false">H427*Assumptions!$B$3</f>
        <v>13.11</v>
      </c>
      <c r="S427" s="23" t="n">
        <f aca="false">G427-Q427-R427</f>
        <v>14.1109</v>
      </c>
      <c r="T427" s="21" t="str">
        <f aca="false">IF(M427&lt;=7,"0-7 days",IF(M427&lt;=14,"8-14 days",IF(M427&lt;=21,"15-21 days","22+ days")))</f>
        <v>8-14 days</v>
      </c>
    </row>
    <row r="428" customFormat="false" ht="15" hidden="false" customHeight="false" outlineLevel="0" collapsed="false">
      <c r="A428" s="21" t="s">
        <v>494</v>
      </c>
      <c r="B428" s="21" t="s">
        <v>19</v>
      </c>
      <c r="C428" s="22" t="n">
        <v>42983</v>
      </c>
      <c r="D428" s="22" t="n">
        <v>42995</v>
      </c>
      <c r="E428" s="22" t="n">
        <v>43003</v>
      </c>
      <c r="F428" s="21" t="s">
        <v>59</v>
      </c>
      <c r="G428" s="23" t="n">
        <v>202.76</v>
      </c>
      <c r="H428" s="23" t="n">
        <v>22.85</v>
      </c>
      <c r="I428" s="21" t="s">
        <v>45</v>
      </c>
      <c r="J428" s="21" t="n">
        <v>4</v>
      </c>
      <c r="K428" s="21" t="s">
        <v>46</v>
      </c>
      <c r="L428" s="24" t="n">
        <f aca="false">DATE(YEAR(C428),MONTH(C428),1)</f>
        <v>42979</v>
      </c>
      <c r="M428" s="21" t="n">
        <f aca="false">D428-C428</f>
        <v>12</v>
      </c>
      <c r="N428" s="21" t="n">
        <f aca="false">MAX(0,D428-E428)</f>
        <v>0</v>
      </c>
      <c r="O428" s="21" t="n">
        <f aca="false">IF(D428&lt;=E428,1,0)</f>
        <v>1</v>
      </c>
      <c r="P428" s="23" t="n">
        <f aca="false">G428+H428</f>
        <v>225.61</v>
      </c>
      <c r="Q428" s="23" t="n">
        <f aca="false">G428*INDEX(Assumptions!$B$8:$B$16,MATCH(F428,Assumptions!$A$8:$A$16,0))</f>
        <v>129.7664</v>
      </c>
      <c r="R428" s="23" t="n">
        <f aca="false">H428*Assumptions!$B$3</f>
        <v>13.71</v>
      </c>
      <c r="S428" s="23" t="n">
        <f aca="false">G428-Q428-R428</f>
        <v>59.2836</v>
      </c>
      <c r="T428" s="21" t="str">
        <f aca="false">IF(M428&lt;=7,"0-7 days",IF(M428&lt;=14,"8-14 days",IF(M428&lt;=21,"15-21 days","22+ days")))</f>
        <v>8-14 days</v>
      </c>
    </row>
    <row r="429" customFormat="false" ht="15" hidden="false" customHeight="false" outlineLevel="0" collapsed="false">
      <c r="A429" s="21" t="s">
        <v>495</v>
      </c>
      <c r="B429" s="21" t="s">
        <v>19</v>
      </c>
      <c r="C429" s="22" t="n">
        <v>42983</v>
      </c>
      <c r="D429" s="22" t="n">
        <v>42999</v>
      </c>
      <c r="E429" s="22" t="n">
        <v>42998</v>
      </c>
      <c r="F429" s="21" t="s">
        <v>111</v>
      </c>
      <c r="G429" s="23" t="n">
        <v>221.51</v>
      </c>
      <c r="H429" s="23" t="n">
        <v>23.72</v>
      </c>
      <c r="I429" s="21" t="s">
        <v>60</v>
      </c>
      <c r="J429" s="21" t="n">
        <v>3</v>
      </c>
      <c r="K429" s="21" t="s">
        <v>46</v>
      </c>
      <c r="L429" s="24" t="n">
        <f aca="false">DATE(YEAR(C429),MONTH(C429),1)</f>
        <v>42979</v>
      </c>
      <c r="M429" s="21" t="n">
        <f aca="false">D429-C429</f>
        <v>16</v>
      </c>
      <c r="N429" s="21" t="n">
        <f aca="false">MAX(0,D429-E429)</f>
        <v>1</v>
      </c>
      <c r="O429" s="21" t="n">
        <f aca="false">IF(D429&lt;=E429,1,0)</f>
        <v>0</v>
      </c>
      <c r="P429" s="23" t="n">
        <f aca="false">G429+H429</f>
        <v>245.23</v>
      </c>
      <c r="Q429" s="23" t="n">
        <f aca="false">G429*INDEX(Assumptions!$B$8:$B$16,MATCH(F429,Assumptions!$A$8:$A$16,0))</f>
        <v>139.5513</v>
      </c>
      <c r="R429" s="23" t="n">
        <f aca="false">H429*Assumptions!$B$3</f>
        <v>14.232</v>
      </c>
      <c r="S429" s="23" t="n">
        <f aca="false">G429-Q429-R429</f>
        <v>67.7267</v>
      </c>
      <c r="T429" s="21" t="str">
        <f aca="false">IF(M429&lt;=7,"0-7 days",IF(M429&lt;=14,"8-14 days",IF(M429&lt;=21,"15-21 days","22+ days")))</f>
        <v>15-21 days</v>
      </c>
    </row>
    <row r="430" customFormat="false" ht="15" hidden="false" customHeight="false" outlineLevel="0" collapsed="false">
      <c r="A430" s="21" t="s">
        <v>496</v>
      </c>
      <c r="B430" s="21" t="s">
        <v>52</v>
      </c>
      <c r="C430" s="22" t="n">
        <v>42984</v>
      </c>
      <c r="D430" s="22" t="n">
        <v>42993</v>
      </c>
      <c r="E430" s="22" t="n">
        <v>43007</v>
      </c>
      <c r="F430" s="21" t="s">
        <v>79</v>
      </c>
      <c r="G430" s="23" t="n">
        <v>452.56</v>
      </c>
      <c r="H430" s="23" t="n">
        <v>29.99</v>
      </c>
      <c r="I430" s="21" t="s">
        <v>45</v>
      </c>
      <c r="J430" s="21" t="n">
        <v>4</v>
      </c>
      <c r="K430" s="21" t="s">
        <v>46</v>
      </c>
      <c r="L430" s="24" t="n">
        <f aca="false">DATE(YEAR(C430),MONTH(C430),1)</f>
        <v>42979</v>
      </c>
      <c r="M430" s="21" t="n">
        <f aca="false">D430-C430</f>
        <v>9</v>
      </c>
      <c r="N430" s="21" t="n">
        <f aca="false">MAX(0,D430-E430)</f>
        <v>0</v>
      </c>
      <c r="O430" s="21" t="n">
        <f aca="false">IF(D430&lt;=E430,1,0)</f>
        <v>1</v>
      </c>
      <c r="P430" s="23" t="n">
        <f aca="false">G430+H430</f>
        <v>482.55</v>
      </c>
      <c r="Q430" s="23" t="n">
        <f aca="false">G430*INDEX(Assumptions!$B$8:$B$16,MATCH(F430,Assumptions!$A$8:$A$16,0))</f>
        <v>316.792</v>
      </c>
      <c r="R430" s="23" t="n">
        <f aca="false">H430*Assumptions!$B$3</f>
        <v>17.994</v>
      </c>
      <c r="S430" s="23" t="n">
        <f aca="false">G430-Q430-R430</f>
        <v>117.774</v>
      </c>
      <c r="T430" s="21" t="str">
        <f aca="false">IF(M430&lt;=7,"0-7 days",IF(M430&lt;=14,"8-14 days",IF(M430&lt;=21,"15-21 days","22+ days")))</f>
        <v>8-14 days</v>
      </c>
    </row>
    <row r="431" customFormat="false" ht="15" hidden="false" customHeight="false" outlineLevel="0" collapsed="false">
      <c r="A431" s="21" t="s">
        <v>497</v>
      </c>
      <c r="B431" s="21" t="s">
        <v>201</v>
      </c>
      <c r="C431" s="22" t="n">
        <v>42984</v>
      </c>
      <c r="D431" s="22" t="n">
        <v>43001</v>
      </c>
      <c r="E431" s="22" t="n">
        <v>43018</v>
      </c>
      <c r="F431" s="21" t="s">
        <v>53</v>
      </c>
      <c r="G431" s="23" t="n">
        <v>129.09</v>
      </c>
      <c r="H431" s="23" t="n">
        <v>32.27</v>
      </c>
      <c r="I431" s="21" t="s">
        <v>50</v>
      </c>
      <c r="J431" s="21" t="n">
        <v>4</v>
      </c>
      <c r="K431" s="21" t="s">
        <v>46</v>
      </c>
      <c r="L431" s="24" t="n">
        <f aca="false">DATE(YEAR(C431),MONTH(C431),1)</f>
        <v>42979</v>
      </c>
      <c r="M431" s="21" t="n">
        <f aca="false">D431-C431</f>
        <v>17</v>
      </c>
      <c r="N431" s="21" t="n">
        <f aca="false">MAX(0,D431-E431)</f>
        <v>0</v>
      </c>
      <c r="O431" s="21" t="n">
        <f aca="false">IF(D431&lt;=E431,1,0)</f>
        <v>1</v>
      </c>
      <c r="P431" s="23" t="n">
        <f aca="false">G431+H431</f>
        <v>161.36</v>
      </c>
      <c r="Q431" s="23" t="n">
        <f aca="false">G431*INDEX(Assumptions!$B$8:$B$16,MATCH(F431,Assumptions!$A$8:$A$16,0))</f>
        <v>95.5266</v>
      </c>
      <c r="R431" s="23" t="n">
        <f aca="false">H431*Assumptions!$B$3</f>
        <v>19.362</v>
      </c>
      <c r="S431" s="23" t="n">
        <f aca="false">G431-Q431-R431</f>
        <v>14.2014</v>
      </c>
      <c r="T431" s="21" t="str">
        <f aca="false">IF(M431&lt;=7,"0-7 days",IF(M431&lt;=14,"8-14 days",IF(M431&lt;=21,"15-21 days","22+ days")))</f>
        <v>15-21 days</v>
      </c>
    </row>
    <row r="432" customFormat="false" ht="15" hidden="false" customHeight="false" outlineLevel="0" collapsed="false">
      <c r="A432" s="21" t="s">
        <v>498</v>
      </c>
      <c r="B432" s="21" t="s">
        <v>19</v>
      </c>
      <c r="C432" s="22" t="n">
        <v>42985</v>
      </c>
      <c r="D432" s="22" t="n">
        <v>42993</v>
      </c>
      <c r="E432" s="22" t="n">
        <v>43001</v>
      </c>
      <c r="F432" s="21" t="s">
        <v>57</v>
      </c>
      <c r="G432" s="23" t="n">
        <v>89.29</v>
      </c>
      <c r="H432" s="23" t="n">
        <v>18.71</v>
      </c>
      <c r="I432" s="21" t="s">
        <v>60</v>
      </c>
      <c r="J432" s="21" t="n">
        <v>3</v>
      </c>
      <c r="K432" s="21" t="s">
        <v>46</v>
      </c>
      <c r="L432" s="24" t="n">
        <f aca="false">DATE(YEAR(C432),MONTH(C432),1)</f>
        <v>42979</v>
      </c>
      <c r="M432" s="21" t="n">
        <f aca="false">D432-C432</f>
        <v>8</v>
      </c>
      <c r="N432" s="21" t="n">
        <f aca="false">MAX(0,D432-E432)</f>
        <v>0</v>
      </c>
      <c r="O432" s="21" t="n">
        <f aca="false">IF(D432&lt;=E432,1,0)</f>
        <v>1</v>
      </c>
      <c r="P432" s="23" t="n">
        <f aca="false">G432+H432</f>
        <v>108</v>
      </c>
      <c r="Q432" s="23" t="n">
        <f aca="false">G432*INDEX(Assumptions!$B$8:$B$16,MATCH(F432,Assumptions!$A$8:$A$16,0))</f>
        <v>60.7172</v>
      </c>
      <c r="R432" s="23" t="n">
        <f aca="false">H432*Assumptions!$B$3</f>
        <v>11.226</v>
      </c>
      <c r="S432" s="23" t="n">
        <f aca="false">G432-Q432-R432</f>
        <v>17.3468</v>
      </c>
      <c r="T432" s="21" t="str">
        <f aca="false">IF(M432&lt;=7,"0-7 days",IF(M432&lt;=14,"8-14 days",IF(M432&lt;=21,"15-21 days","22+ days")))</f>
        <v>8-14 days</v>
      </c>
    </row>
    <row r="433" customFormat="false" ht="15" hidden="false" customHeight="false" outlineLevel="0" collapsed="false">
      <c r="A433" s="21" t="s">
        <v>499</v>
      </c>
      <c r="B433" s="21" t="s">
        <v>55</v>
      </c>
      <c r="C433" s="22" t="n">
        <v>42986</v>
      </c>
      <c r="D433" s="22" t="n">
        <v>42998</v>
      </c>
      <c r="E433" s="22" t="n">
        <v>43011</v>
      </c>
      <c r="F433" s="21" t="s">
        <v>64</v>
      </c>
      <c r="G433" s="23" t="n">
        <v>80.71</v>
      </c>
      <c r="H433" s="23" t="n">
        <v>30.77</v>
      </c>
      <c r="I433" s="21" t="s">
        <v>60</v>
      </c>
      <c r="J433" s="21" t="n">
        <v>3</v>
      </c>
      <c r="K433" s="21" t="s">
        <v>46</v>
      </c>
      <c r="L433" s="24" t="n">
        <f aca="false">DATE(YEAR(C433),MONTH(C433),1)</f>
        <v>42979</v>
      </c>
      <c r="M433" s="21" t="n">
        <f aca="false">D433-C433</f>
        <v>12</v>
      </c>
      <c r="N433" s="21" t="n">
        <f aca="false">MAX(0,D433-E433)</f>
        <v>0</v>
      </c>
      <c r="O433" s="21" t="n">
        <f aca="false">IF(D433&lt;=E433,1,0)</f>
        <v>1</v>
      </c>
      <c r="P433" s="23" t="n">
        <f aca="false">G433+H433</f>
        <v>111.48</v>
      </c>
      <c r="Q433" s="23" t="n">
        <f aca="false">G433*INDEX(Assumptions!$B$8:$B$16,MATCH(F433,Assumptions!$A$8:$A$16,0))</f>
        <v>53.2686</v>
      </c>
      <c r="R433" s="23" t="n">
        <f aca="false">H433*Assumptions!$B$3</f>
        <v>18.462</v>
      </c>
      <c r="S433" s="23" t="n">
        <f aca="false">G433-Q433-R433</f>
        <v>8.9794</v>
      </c>
      <c r="T433" s="21" t="str">
        <f aca="false">IF(M433&lt;=7,"0-7 days",IF(M433&lt;=14,"8-14 days",IF(M433&lt;=21,"15-21 days","22+ days")))</f>
        <v>8-14 days</v>
      </c>
    </row>
    <row r="434" customFormat="false" ht="15" hidden="false" customHeight="false" outlineLevel="0" collapsed="false">
      <c r="A434" s="21" t="s">
        <v>500</v>
      </c>
      <c r="B434" s="21" t="s">
        <v>19</v>
      </c>
      <c r="C434" s="22" t="n">
        <v>42986</v>
      </c>
      <c r="D434" s="22" t="n">
        <v>42996</v>
      </c>
      <c r="E434" s="22" t="n">
        <v>43000</v>
      </c>
      <c r="F434" s="21" t="s">
        <v>49</v>
      </c>
      <c r="G434" s="23" t="n">
        <v>52.52</v>
      </c>
      <c r="H434" s="23" t="n">
        <v>12.72</v>
      </c>
      <c r="I434" s="21" t="s">
        <v>60</v>
      </c>
      <c r="J434" s="21" t="n">
        <v>4</v>
      </c>
      <c r="K434" s="21" t="s">
        <v>46</v>
      </c>
      <c r="L434" s="24" t="n">
        <f aca="false">DATE(YEAR(C434),MONTH(C434),1)</f>
        <v>42979</v>
      </c>
      <c r="M434" s="21" t="n">
        <f aca="false">D434-C434</f>
        <v>10</v>
      </c>
      <c r="N434" s="21" t="n">
        <f aca="false">MAX(0,D434-E434)</f>
        <v>0</v>
      </c>
      <c r="O434" s="21" t="n">
        <f aca="false">IF(D434&lt;=E434,1,0)</f>
        <v>1</v>
      </c>
      <c r="P434" s="23" t="n">
        <f aca="false">G434+H434</f>
        <v>65.24</v>
      </c>
      <c r="Q434" s="23" t="n">
        <f aca="false">G434*INDEX(Assumptions!$B$8:$B$16,MATCH(F434,Assumptions!$A$8:$A$16,0))</f>
        <v>30.4616</v>
      </c>
      <c r="R434" s="23" t="n">
        <f aca="false">H434*Assumptions!$B$3</f>
        <v>7.632</v>
      </c>
      <c r="S434" s="23" t="n">
        <f aca="false">G434-Q434-R434</f>
        <v>14.4264</v>
      </c>
      <c r="T434" s="21" t="str">
        <f aca="false">IF(M434&lt;=7,"0-7 days",IF(M434&lt;=14,"8-14 days",IF(M434&lt;=21,"15-21 days","22+ days")))</f>
        <v>8-14 days</v>
      </c>
    </row>
    <row r="435" customFormat="false" ht="15" hidden="false" customHeight="false" outlineLevel="0" collapsed="false">
      <c r="A435" s="21" t="s">
        <v>501</v>
      </c>
      <c r="B435" s="21" t="s">
        <v>48</v>
      </c>
      <c r="C435" s="22" t="n">
        <v>42987</v>
      </c>
      <c r="D435" s="22" t="n">
        <v>42998</v>
      </c>
      <c r="E435" s="22" t="n">
        <v>43009</v>
      </c>
      <c r="F435" s="21" t="s">
        <v>59</v>
      </c>
      <c r="G435" s="23" t="n">
        <v>95.67</v>
      </c>
      <c r="H435" s="23" t="n">
        <v>16.56</v>
      </c>
      <c r="I435" s="21" t="s">
        <v>45</v>
      </c>
      <c r="J435" s="21" t="n">
        <v>5</v>
      </c>
      <c r="K435" s="21" t="s">
        <v>46</v>
      </c>
      <c r="L435" s="24" t="n">
        <f aca="false">DATE(YEAR(C435),MONTH(C435),1)</f>
        <v>42979</v>
      </c>
      <c r="M435" s="21" t="n">
        <f aca="false">D435-C435</f>
        <v>11</v>
      </c>
      <c r="N435" s="21" t="n">
        <f aca="false">MAX(0,D435-E435)</f>
        <v>0</v>
      </c>
      <c r="O435" s="21" t="n">
        <f aca="false">IF(D435&lt;=E435,1,0)</f>
        <v>1</v>
      </c>
      <c r="P435" s="23" t="n">
        <f aca="false">G435+H435</f>
        <v>112.23</v>
      </c>
      <c r="Q435" s="23" t="n">
        <f aca="false">G435*INDEX(Assumptions!$B$8:$B$16,MATCH(F435,Assumptions!$A$8:$A$16,0))</f>
        <v>61.2288</v>
      </c>
      <c r="R435" s="23" t="n">
        <f aca="false">H435*Assumptions!$B$3</f>
        <v>9.936</v>
      </c>
      <c r="S435" s="23" t="n">
        <f aca="false">G435-Q435-R435</f>
        <v>24.5052</v>
      </c>
      <c r="T435" s="21" t="str">
        <f aca="false">IF(M435&lt;=7,"0-7 days",IF(M435&lt;=14,"8-14 days",IF(M435&lt;=21,"15-21 days","22+ days")))</f>
        <v>8-14 days</v>
      </c>
    </row>
    <row r="436" customFormat="false" ht="15" hidden="false" customHeight="false" outlineLevel="0" collapsed="false">
      <c r="A436" s="21" t="s">
        <v>502</v>
      </c>
      <c r="B436" s="21" t="s">
        <v>52</v>
      </c>
      <c r="C436" s="22" t="n">
        <v>42987</v>
      </c>
      <c r="D436" s="22" t="n">
        <v>43000</v>
      </c>
      <c r="E436" s="22" t="n">
        <v>43011</v>
      </c>
      <c r="F436" s="21" t="s">
        <v>59</v>
      </c>
      <c r="G436" s="23" t="n">
        <v>57.65</v>
      </c>
      <c r="H436" s="23" t="n">
        <v>23.48</v>
      </c>
      <c r="I436" s="21" t="s">
        <v>45</v>
      </c>
      <c r="J436" s="21" t="n">
        <v>5</v>
      </c>
      <c r="K436" s="21" t="s">
        <v>46</v>
      </c>
      <c r="L436" s="24" t="n">
        <f aca="false">DATE(YEAR(C436),MONTH(C436),1)</f>
        <v>42979</v>
      </c>
      <c r="M436" s="21" t="n">
        <f aca="false">D436-C436</f>
        <v>13</v>
      </c>
      <c r="N436" s="21" t="n">
        <f aca="false">MAX(0,D436-E436)</f>
        <v>0</v>
      </c>
      <c r="O436" s="21" t="n">
        <f aca="false">IF(D436&lt;=E436,1,0)</f>
        <v>1</v>
      </c>
      <c r="P436" s="23" t="n">
        <f aca="false">G436+H436</f>
        <v>81.13</v>
      </c>
      <c r="Q436" s="23" t="n">
        <f aca="false">G436*INDEX(Assumptions!$B$8:$B$16,MATCH(F436,Assumptions!$A$8:$A$16,0))</f>
        <v>36.896</v>
      </c>
      <c r="R436" s="23" t="n">
        <f aca="false">H436*Assumptions!$B$3</f>
        <v>14.088</v>
      </c>
      <c r="S436" s="23" t="n">
        <f aca="false">G436-Q436-R436</f>
        <v>6.666</v>
      </c>
      <c r="T436" s="21" t="str">
        <f aca="false">IF(M436&lt;=7,"0-7 days",IF(M436&lt;=14,"8-14 days",IF(M436&lt;=21,"15-21 days","22+ days")))</f>
        <v>8-14 days</v>
      </c>
    </row>
    <row r="437" customFormat="false" ht="15" hidden="false" customHeight="false" outlineLevel="0" collapsed="false">
      <c r="A437" s="21" t="s">
        <v>503</v>
      </c>
      <c r="B437" s="21" t="s">
        <v>19</v>
      </c>
      <c r="C437" s="22" t="n">
        <v>42987</v>
      </c>
      <c r="D437" s="22" t="n">
        <v>42999</v>
      </c>
      <c r="E437" s="22" t="n">
        <v>43003</v>
      </c>
      <c r="F437" s="21" t="s">
        <v>49</v>
      </c>
      <c r="G437" s="23" t="n">
        <v>36.62</v>
      </c>
      <c r="H437" s="23" t="n">
        <v>16.17</v>
      </c>
      <c r="I437" s="21" t="s">
        <v>45</v>
      </c>
      <c r="J437" s="21" t="n">
        <v>5</v>
      </c>
      <c r="K437" s="21" t="s">
        <v>46</v>
      </c>
      <c r="L437" s="24" t="n">
        <f aca="false">DATE(YEAR(C437),MONTH(C437),1)</f>
        <v>42979</v>
      </c>
      <c r="M437" s="21" t="n">
        <f aca="false">D437-C437</f>
        <v>12</v>
      </c>
      <c r="N437" s="21" t="n">
        <f aca="false">MAX(0,D437-E437)</f>
        <v>0</v>
      </c>
      <c r="O437" s="21" t="n">
        <f aca="false">IF(D437&lt;=E437,1,0)</f>
        <v>1</v>
      </c>
      <c r="P437" s="23" t="n">
        <f aca="false">G437+H437</f>
        <v>52.79</v>
      </c>
      <c r="Q437" s="23" t="n">
        <f aca="false">G437*INDEX(Assumptions!$B$8:$B$16,MATCH(F437,Assumptions!$A$8:$A$16,0))</f>
        <v>21.2396</v>
      </c>
      <c r="R437" s="23" t="n">
        <f aca="false">H437*Assumptions!$B$3</f>
        <v>9.702</v>
      </c>
      <c r="S437" s="23" t="n">
        <f aca="false">G437-Q437-R437</f>
        <v>5.6784</v>
      </c>
      <c r="T437" s="21" t="str">
        <f aca="false">IF(M437&lt;=7,"0-7 days",IF(M437&lt;=14,"8-14 days",IF(M437&lt;=21,"15-21 days","22+ days")))</f>
        <v>8-14 days</v>
      </c>
    </row>
    <row r="438" customFormat="false" ht="15" hidden="false" customHeight="false" outlineLevel="0" collapsed="false">
      <c r="A438" s="21" t="s">
        <v>504</v>
      </c>
      <c r="B438" s="21" t="s">
        <v>19</v>
      </c>
      <c r="C438" s="22" t="n">
        <v>42988</v>
      </c>
      <c r="D438" s="22" t="n">
        <v>43004</v>
      </c>
      <c r="E438" s="22" t="n">
        <v>43005</v>
      </c>
      <c r="F438" s="21" t="s">
        <v>59</v>
      </c>
      <c r="G438" s="23" t="n">
        <v>45.95</v>
      </c>
      <c r="H438" s="23" t="n">
        <v>16.26</v>
      </c>
      <c r="I438" s="21" t="s">
        <v>60</v>
      </c>
      <c r="J438" s="21" t="n">
        <v>5</v>
      </c>
      <c r="K438" s="21" t="s">
        <v>46</v>
      </c>
      <c r="L438" s="24" t="n">
        <f aca="false">DATE(YEAR(C438),MONTH(C438),1)</f>
        <v>42979</v>
      </c>
      <c r="M438" s="21" t="n">
        <f aca="false">D438-C438</f>
        <v>16</v>
      </c>
      <c r="N438" s="21" t="n">
        <f aca="false">MAX(0,D438-E438)</f>
        <v>0</v>
      </c>
      <c r="O438" s="21" t="n">
        <f aca="false">IF(D438&lt;=E438,1,0)</f>
        <v>1</v>
      </c>
      <c r="P438" s="23" t="n">
        <f aca="false">G438+H438</f>
        <v>62.21</v>
      </c>
      <c r="Q438" s="23" t="n">
        <f aca="false">G438*INDEX(Assumptions!$B$8:$B$16,MATCH(F438,Assumptions!$A$8:$A$16,0))</f>
        <v>29.408</v>
      </c>
      <c r="R438" s="23" t="n">
        <f aca="false">H438*Assumptions!$B$3</f>
        <v>9.756</v>
      </c>
      <c r="S438" s="23" t="n">
        <f aca="false">G438-Q438-R438</f>
        <v>6.786</v>
      </c>
      <c r="T438" s="21" t="str">
        <f aca="false">IF(M438&lt;=7,"0-7 days",IF(M438&lt;=14,"8-14 days",IF(M438&lt;=21,"15-21 days","22+ days")))</f>
        <v>15-21 days</v>
      </c>
    </row>
    <row r="439" customFormat="false" ht="15" hidden="false" customHeight="false" outlineLevel="0" collapsed="false">
      <c r="A439" s="21" t="s">
        <v>505</v>
      </c>
      <c r="B439" s="21" t="s">
        <v>19</v>
      </c>
      <c r="C439" s="22" t="n">
        <v>42988</v>
      </c>
      <c r="D439" s="22" t="n">
        <v>43002</v>
      </c>
      <c r="E439" s="22" t="n">
        <v>43002</v>
      </c>
      <c r="F439" s="21" t="s">
        <v>111</v>
      </c>
      <c r="G439" s="23" t="n">
        <v>114.36</v>
      </c>
      <c r="H439" s="23" t="n">
        <v>15</v>
      </c>
      <c r="I439" s="21" t="s">
        <v>45</v>
      </c>
      <c r="J439" s="21" t="n">
        <v>4</v>
      </c>
      <c r="K439" s="21" t="s">
        <v>46</v>
      </c>
      <c r="L439" s="24" t="n">
        <f aca="false">DATE(YEAR(C439),MONTH(C439),1)</f>
        <v>42979</v>
      </c>
      <c r="M439" s="21" t="n">
        <f aca="false">D439-C439</f>
        <v>14</v>
      </c>
      <c r="N439" s="21" t="n">
        <f aca="false">MAX(0,D439-E439)</f>
        <v>0</v>
      </c>
      <c r="O439" s="21" t="n">
        <f aca="false">IF(D439&lt;=E439,1,0)</f>
        <v>1</v>
      </c>
      <c r="P439" s="23" t="n">
        <f aca="false">G439+H439</f>
        <v>129.36</v>
      </c>
      <c r="Q439" s="23" t="n">
        <f aca="false">G439*INDEX(Assumptions!$B$8:$B$16,MATCH(F439,Assumptions!$A$8:$A$16,0))</f>
        <v>72.0468</v>
      </c>
      <c r="R439" s="23" t="n">
        <f aca="false">H439*Assumptions!$B$3</f>
        <v>9</v>
      </c>
      <c r="S439" s="23" t="n">
        <f aca="false">G439-Q439-R439</f>
        <v>33.3132</v>
      </c>
      <c r="T439" s="21" t="str">
        <f aca="false">IF(M439&lt;=7,"0-7 days",IF(M439&lt;=14,"8-14 days",IF(M439&lt;=21,"15-21 days","22+ days")))</f>
        <v>8-14 days</v>
      </c>
    </row>
    <row r="440" customFormat="false" ht="15" hidden="false" customHeight="false" outlineLevel="0" collapsed="false">
      <c r="A440" s="21" t="s">
        <v>506</v>
      </c>
      <c r="B440" s="21" t="s">
        <v>19</v>
      </c>
      <c r="C440" s="22" t="n">
        <v>42988</v>
      </c>
      <c r="D440" s="22" t="n">
        <v>42999</v>
      </c>
      <c r="E440" s="22" t="n">
        <v>43005</v>
      </c>
      <c r="F440" s="21" t="s">
        <v>53</v>
      </c>
      <c r="G440" s="23" t="n">
        <v>69.35</v>
      </c>
      <c r="H440" s="23" t="n">
        <v>17.26</v>
      </c>
      <c r="I440" s="21" t="s">
        <v>45</v>
      </c>
      <c r="J440" s="21" t="n">
        <v>5</v>
      </c>
      <c r="K440" s="21" t="s">
        <v>46</v>
      </c>
      <c r="L440" s="24" t="n">
        <f aca="false">DATE(YEAR(C440),MONTH(C440),1)</f>
        <v>42979</v>
      </c>
      <c r="M440" s="21" t="n">
        <f aca="false">D440-C440</f>
        <v>11</v>
      </c>
      <c r="N440" s="21" t="n">
        <f aca="false">MAX(0,D440-E440)</f>
        <v>0</v>
      </c>
      <c r="O440" s="21" t="n">
        <f aca="false">IF(D440&lt;=E440,1,0)</f>
        <v>1</v>
      </c>
      <c r="P440" s="23" t="n">
        <f aca="false">G440+H440</f>
        <v>86.61</v>
      </c>
      <c r="Q440" s="23" t="n">
        <f aca="false">G440*INDEX(Assumptions!$B$8:$B$16,MATCH(F440,Assumptions!$A$8:$A$16,0))</f>
        <v>51.319</v>
      </c>
      <c r="R440" s="23" t="n">
        <f aca="false">H440*Assumptions!$B$3</f>
        <v>10.356</v>
      </c>
      <c r="S440" s="23" t="n">
        <f aca="false">G440-Q440-R440</f>
        <v>7.675</v>
      </c>
      <c r="T440" s="21" t="str">
        <f aca="false">IF(M440&lt;=7,"0-7 days",IF(M440&lt;=14,"8-14 days",IF(M440&lt;=21,"15-21 days","22+ days")))</f>
        <v>8-14 days</v>
      </c>
    </row>
    <row r="441" customFormat="false" ht="15" hidden="false" customHeight="false" outlineLevel="0" collapsed="false">
      <c r="A441" s="21" t="s">
        <v>507</v>
      </c>
      <c r="B441" s="21" t="s">
        <v>55</v>
      </c>
      <c r="C441" s="22" t="n">
        <v>42988</v>
      </c>
      <c r="D441" s="22" t="n">
        <v>43000</v>
      </c>
      <c r="E441" s="22" t="n">
        <v>43013</v>
      </c>
      <c r="F441" s="21" t="s">
        <v>111</v>
      </c>
      <c r="G441" s="23" t="n">
        <v>33.83</v>
      </c>
      <c r="H441" s="23" t="n">
        <v>23.1</v>
      </c>
      <c r="I441" s="21" t="s">
        <v>60</v>
      </c>
      <c r="J441" s="21" t="n">
        <v>5</v>
      </c>
      <c r="K441" s="21" t="s">
        <v>46</v>
      </c>
      <c r="L441" s="24" t="n">
        <f aca="false">DATE(YEAR(C441),MONTH(C441),1)</f>
        <v>42979</v>
      </c>
      <c r="M441" s="21" t="n">
        <f aca="false">D441-C441</f>
        <v>12</v>
      </c>
      <c r="N441" s="21" t="n">
        <f aca="false">MAX(0,D441-E441)</f>
        <v>0</v>
      </c>
      <c r="O441" s="21" t="n">
        <f aca="false">IF(D441&lt;=E441,1,0)</f>
        <v>1</v>
      </c>
      <c r="P441" s="23" t="n">
        <f aca="false">G441+H441</f>
        <v>56.93</v>
      </c>
      <c r="Q441" s="23" t="n">
        <f aca="false">G441*INDEX(Assumptions!$B$8:$B$16,MATCH(F441,Assumptions!$A$8:$A$16,0))</f>
        <v>21.3129</v>
      </c>
      <c r="R441" s="23" t="n">
        <f aca="false">H441*Assumptions!$B$3</f>
        <v>13.86</v>
      </c>
      <c r="S441" s="23" t="n">
        <f aca="false">G441-Q441-R441</f>
        <v>-1.3429</v>
      </c>
      <c r="T441" s="21" t="str">
        <f aca="false">IF(M441&lt;=7,"0-7 days",IF(M441&lt;=14,"8-14 days",IF(M441&lt;=21,"15-21 days","22+ days")))</f>
        <v>8-14 days</v>
      </c>
    </row>
    <row r="442" customFormat="false" ht="15" hidden="false" customHeight="false" outlineLevel="0" collapsed="false">
      <c r="A442" s="21" t="s">
        <v>508</v>
      </c>
      <c r="B442" s="21" t="s">
        <v>55</v>
      </c>
      <c r="C442" s="22" t="n">
        <v>42989</v>
      </c>
      <c r="D442" s="22" t="n">
        <v>43009</v>
      </c>
      <c r="E442" s="22" t="n">
        <v>43010</v>
      </c>
      <c r="F442" s="21" t="s">
        <v>67</v>
      </c>
      <c r="G442" s="23" t="n">
        <v>61.79</v>
      </c>
      <c r="H442" s="23" t="n">
        <v>16.92</v>
      </c>
      <c r="I442" s="21" t="s">
        <v>45</v>
      </c>
      <c r="J442" s="21" t="n">
        <v>4</v>
      </c>
      <c r="K442" s="21" t="s">
        <v>46</v>
      </c>
      <c r="L442" s="24" t="n">
        <f aca="false">DATE(YEAR(C442),MONTH(C442),1)</f>
        <v>42979</v>
      </c>
      <c r="M442" s="21" t="n">
        <f aca="false">D442-C442</f>
        <v>20</v>
      </c>
      <c r="N442" s="21" t="n">
        <f aca="false">MAX(0,D442-E442)</f>
        <v>0</v>
      </c>
      <c r="O442" s="21" t="n">
        <f aca="false">IF(D442&lt;=E442,1,0)</f>
        <v>1</v>
      </c>
      <c r="P442" s="23" t="n">
        <f aca="false">G442+H442</f>
        <v>78.71</v>
      </c>
      <c r="Q442" s="23" t="n">
        <f aca="false">G442*INDEX(Assumptions!$B$8:$B$16,MATCH(F442,Assumptions!$A$8:$A$16,0))</f>
        <v>38.3098</v>
      </c>
      <c r="R442" s="23" t="n">
        <f aca="false">H442*Assumptions!$B$3</f>
        <v>10.152</v>
      </c>
      <c r="S442" s="23" t="n">
        <f aca="false">G442-Q442-R442</f>
        <v>13.3282</v>
      </c>
      <c r="T442" s="21" t="str">
        <f aca="false">IF(M442&lt;=7,"0-7 days",IF(M442&lt;=14,"8-14 days",IF(M442&lt;=21,"15-21 days","22+ days")))</f>
        <v>15-21 days</v>
      </c>
    </row>
    <row r="443" customFormat="false" ht="15" hidden="false" customHeight="false" outlineLevel="0" collapsed="false">
      <c r="A443" s="21" t="s">
        <v>509</v>
      </c>
      <c r="B443" s="21" t="s">
        <v>19</v>
      </c>
      <c r="C443" s="22" t="n">
        <v>42989</v>
      </c>
      <c r="D443" s="22" t="n">
        <v>42995</v>
      </c>
      <c r="E443" s="22" t="n">
        <v>43008</v>
      </c>
      <c r="F443" s="21" t="s">
        <v>64</v>
      </c>
      <c r="G443" s="23" t="n">
        <v>125.57</v>
      </c>
      <c r="H443" s="23" t="n">
        <v>15.59</v>
      </c>
      <c r="I443" s="21" t="s">
        <v>45</v>
      </c>
      <c r="J443" s="21" t="n">
        <v>4</v>
      </c>
      <c r="K443" s="21" t="s">
        <v>46</v>
      </c>
      <c r="L443" s="24" t="n">
        <f aca="false">DATE(YEAR(C443),MONTH(C443),1)</f>
        <v>42979</v>
      </c>
      <c r="M443" s="21" t="n">
        <f aca="false">D443-C443</f>
        <v>6</v>
      </c>
      <c r="N443" s="21" t="n">
        <f aca="false">MAX(0,D443-E443)</f>
        <v>0</v>
      </c>
      <c r="O443" s="21" t="n">
        <f aca="false">IF(D443&lt;=E443,1,0)</f>
        <v>1</v>
      </c>
      <c r="P443" s="23" t="n">
        <f aca="false">G443+H443</f>
        <v>141.16</v>
      </c>
      <c r="Q443" s="23" t="n">
        <f aca="false">G443*INDEX(Assumptions!$B$8:$B$16,MATCH(F443,Assumptions!$A$8:$A$16,0))</f>
        <v>82.8762</v>
      </c>
      <c r="R443" s="23" t="n">
        <f aca="false">H443*Assumptions!$B$3</f>
        <v>9.354</v>
      </c>
      <c r="S443" s="23" t="n">
        <f aca="false">G443-Q443-R443</f>
        <v>33.3398</v>
      </c>
      <c r="T443" s="21" t="str">
        <f aca="false">IF(M443&lt;=7,"0-7 days",IF(M443&lt;=14,"8-14 days",IF(M443&lt;=21,"15-21 days","22+ days")))</f>
        <v>0-7 days</v>
      </c>
    </row>
    <row r="444" customFormat="false" ht="15" hidden="false" customHeight="false" outlineLevel="0" collapsed="false">
      <c r="A444" s="21" t="s">
        <v>510</v>
      </c>
      <c r="B444" s="21" t="s">
        <v>55</v>
      </c>
      <c r="C444" s="22" t="n">
        <v>42990</v>
      </c>
      <c r="D444" s="22" t="n">
        <v>43045</v>
      </c>
      <c r="E444" s="22" t="n">
        <v>43013</v>
      </c>
      <c r="F444" s="21" t="s">
        <v>49</v>
      </c>
      <c r="G444" s="23" t="n">
        <v>66.02</v>
      </c>
      <c r="H444" s="23" t="n">
        <v>25.45</v>
      </c>
      <c r="I444" s="21" t="s">
        <v>60</v>
      </c>
      <c r="J444" s="21" t="n">
        <v>2</v>
      </c>
      <c r="K444" s="21" t="s">
        <v>46</v>
      </c>
      <c r="L444" s="24" t="n">
        <f aca="false">DATE(YEAR(C444),MONTH(C444),1)</f>
        <v>42979</v>
      </c>
      <c r="M444" s="21" t="n">
        <f aca="false">D444-C444</f>
        <v>55</v>
      </c>
      <c r="N444" s="21" t="n">
        <f aca="false">MAX(0,D444-E444)</f>
        <v>32</v>
      </c>
      <c r="O444" s="21" t="n">
        <f aca="false">IF(D444&lt;=E444,1,0)</f>
        <v>0</v>
      </c>
      <c r="P444" s="23" t="n">
        <f aca="false">G444+H444</f>
        <v>91.47</v>
      </c>
      <c r="Q444" s="23" t="n">
        <f aca="false">G444*INDEX(Assumptions!$B$8:$B$16,MATCH(F444,Assumptions!$A$8:$A$16,0))</f>
        <v>38.2916</v>
      </c>
      <c r="R444" s="23" t="n">
        <f aca="false">H444*Assumptions!$B$3</f>
        <v>15.27</v>
      </c>
      <c r="S444" s="23" t="n">
        <f aca="false">G444-Q444-R444</f>
        <v>12.4584</v>
      </c>
      <c r="T444" s="21" t="str">
        <f aca="false">IF(M444&lt;=7,"0-7 days",IF(M444&lt;=14,"8-14 days",IF(M444&lt;=21,"15-21 days","22+ days")))</f>
        <v>22+ days</v>
      </c>
    </row>
    <row r="445" customFormat="false" ht="15" hidden="false" customHeight="false" outlineLevel="0" collapsed="false">
      <c r="A445" s="21" t="s">
        <v>511</v>
      </c>
      <c r="B445" s="21" t="s">
        <v>19</v>
      </c>
      <c r="C445" s="22" t="n">
        <v>42990</v>
      </c>
      <c r="D445" s="22" t="n">
        <v>42997</v>
      </c>
      <c r="E445" s="22" t="n">
        <v>43008</v>
      </c>
      <c r="F445" s="21" t="s">
        <v>64</v>
      </c>
      <c r="G445" s="23" t="n">
        <v>143.7</v>
      </c>
      <c r="H445" s="23" t="n">
        <v>16.06</v>
      </c>
      <c r="I445" s="21" t="s">
        <v>60</v>
      </c>
      <c r="J445" s="21" t="n">
        <v>5</v>
      </c>
      <c r="K445" s="21" t="s">
        <v>46</v>
      </c>
      <c r="L445" s="24" t="n">
        <f aca="false">DATE(YEAR(C445),MONTH(C445),1)</f>
        <v>42979</v>
      </c>
      <c r="M445" s="21" t="n">
        <f aca="false">D445-C445</f>
        <v>7</v>
      </c>
      <c r="N445" s="21" t="n">
        <f aca="false">MAX(0,D445-E445)</f>
        <v>0</v>
      </c>
      <c r="O445" s="21" t="n">
        <f aca="false">IF(D445&lt;=E445,1,0)</f>
        <v>1</v>
      </c>
      <c r="P445" s="23" t="n">
        <f aca="false">G445+H445</f>
        <v>159.76</v>
      </c>
      <c r="Q445" s="23" t="n">
        <f aca="false">G445*INDEX(Assumptions!$B$8:$B$16,MATCH(F445,Assumptions!$A$8:$A$16,0))</f>
        <v>94.842</v>
      </c>
      <c r="R445" s="23" t="n">
        <f aca="false">H445*Assumptions!$B$3</f>
        <v>9.636</v>
      </c>
      <c r="S445" s="23" t="n">
        <f aca="false">G445-Q445-R445</f>
        <v>39.222</v>
      </c>
      <c r="T445" s="21" t="str">
        <f aca="false">IF(M445&lt;=7,"0-7 days",IF(M445&lt;=14,"8-14 days",IF(M445&lt;=21,"15-21 days","22+ days")))</f>
        <v>0-7 days</v>
      </c>
    </row>
    <row r="446" customFormat="false" ht="15" hidden="false" customHeight="false" outlineLevel="0" collapsed="false">
      <c r="A446" s="21" t="s">
        <v>512</v>
      </c>
      <c r="B446" s="21" t="s">
        <v>62</v>
      </c>
      <c r="C446" s="22" t="n">
        <v>42990</v>
      </c>
      <c r="D446" s="22" t="n">
        <v>43006</v>
      </c>
      <c r="E446" s="22" t="n">
        <v>43008</v>
      </c>
      <c r="F446" s="21" t="s">
        <v>59</v>
      </c>
      <c r="G446" s="23" t="n">
        <v>127.99</v>
      </c>
      <c r="H446" s="23" t="n">
        <v>30.44</v>
      </c>
      <c r="I446" s="21" t="s">
        <v>45</v>
      </c>
      <c r="J446" s="21" t="n">
        <v>5</v>
      </c>
      <c r="K446" s="21" t="s">
        <v>46</v>
      </c>
      <c r="L446" s="24" t="n">
        <f aca="false">DATE(YEAR(C446),MONTH(C446),1)</f>
        <v>42979</v>
      </c>
      <c r="M446" s="21" t="n">
        <f aca="false">D446-C446</f>
        <v>16</v>
      </c>
      <c r="N446" s="21" t="n">
        <f aca="false">MAX(0,D446-E446)</f>
        <v>0</v>
      </c>
      <c r="O446" s="21" t="n">
        <f aca="false">IF(D446&lt;=E446,1,0)</f>
        <v>1</v>
      </c>
      <c r="P446" s="23" t="n">
        <f aca="false">G446+H446</f>
        <v>158.43</v>
      </c>
      <c r="Q446" s="23" t="n">
        <f aca="false">G446*INDEX(Assumptions!$B$8:$B$16,MATCH(F446,Assumptions!$A$8:$A$16,0))</f>
        <v>81.9136</v>
      </c>
      <c r="R446" s="23" t="n">
        <f aca="false">H446*Assumptions!$B$3</f>
        <v>18.264</v>
      </c>
      <c r="S446" s="23" t="n">
        <f aca="false">G446-Q446-R446</f>
        <v>27.8124</v>
      </c>
      <c r="T446" s="21" t="str">
        <f aca="false">IF(M446&lt;=7,"0-7 days",IF(M446&lt;=14,"8-14 days",IF(M446&lt;=21,"15-21 days","22+ days")))</f>
        <v>15-21 days</v>
      </c>
    </row>
    <row r="447" customFormat="false" ht="15" hidden="false" customHeight="false" outlineLevel="0" collapsed="false">
      <c r="A447" s="21" t="s">
        <v>513</v>
      </c>
      <c r="B447" s="21" t="s">
        <v>48</v>
      </c>
      <c r="C447" s="22" t="n">
        <v>42991</v>
      </c>
      <c r="D447" s="22" t="n">
        <v>42998</v>
      </c>
      <c r="E447" s="22" t="n">
        <v>43010</v>
      </c>
      <c r="F447" s="21" t="s">
        <v>57</v>
      </c>
      <c r="G447" s="23" t="n">
        <v>123.35</v>
      </c>
      <c r="H447" s="23" t="n">
        <v>26.03</v>
      </c>
      <c r="I447" s="21" t="s">
        <v>60</v>
      </c>
      <c r="J447" s="21" t="n">
        <v>4</v>
      </c>
      <c r="K447" s="21" t="s">
        <v>46</v>
      </c>
      <c r="L447" s="24" t="n">
        <f aca="false">DATE(YEAR(C447),MONTH(C447),1)</f>
        <v>42979</v>
      </c>
      <c r="M447" s="21" t="n">
        <f aca="false">D447-C447</f>
        <v>7</v>
      </c>
      <c r="N447" s="21" t="n">
        <f aca="false">MAX(0,D447-E447)</f>
        <v>0</v>
      </c>
      <c r="O447" s="21" t="n">
        <f aca="false">IF(D447&lt;=E447,1,0)</f>
        <v>1</v>
      </c>
      <c r="P447" s="23" t="n">
        <f aca="false">G447+H447</f>
        <v>149.38</v>
      </c>
      <c r="Q447" s="23" t="n">
        <f aca="false">G447*INDEX(Assumptions!$B$8:$B$16,MATCH(F447,Assumptions!$A$8:$A$16,0))</f>
        <v>83.878</v>
      </c>
      <c r="R447" s="23" t="n">
        <f aca="false">H447*Assumptions!$B$3</f>
        <v>15.618</v>
      </c>
      <c r="S447" s="23" t="n">
        <f aca="false">G447-Q447-R447</f>
        <v>23.854</v>
      </c>
      <c r="T447" s="21" t="str">
        <f aca="false">IF(M447&lt;=7,"0-7 days",IF(M447&lt;=14,"8-14 days",IF(M447&lt;=21,"15-21 days","22+ days")))</f>
        <v>0-7 days</v>
      </c>
    </row>
    <row r="448" customFormat="false" ht="15" hidden="false" customHeight="false" outlineLevel="0" collapsed="false">
      <c r="A448" s="21" t="s">
        <v>514</v>
      </c>
      <c r="B448" s="21" t="s">
        <v>55</v>
      </c>
      <c r="C448" s="22" t="n">
        <v>42991</v>
      </c>
      <c r="D448" s="22" t="n">
        <v>43002</v>
      </c>
      <c r="E448" s="22" t="n">
        <v>43014</v>
      </c>
      <c r="F448" s="21" t="s">
        <v>44</v>
      </c>
      <c r="G448" s="23" t="n">
        <v>96.15</v>
      </c>
      <c r="H448" s="23" t="n">
        <v>19.37</v>
      </c>
      <c r="I448" s="21" t="s">
        <v>60</v>
      </c>
      <c r="J448" s="21" t="n">
        <v>4</v>
      </c>
      <c r="K448" s="21" t="s">
        <v>46</v>
      </c>
      <c r="L448" s="24" t="n">
        <f aca="false">DATE(YEAR(C448),MONTH(C448),1)</f>
        <v>42979</v>
      </c>
      <c r="M448" s="21" t="n">
        <f aca="false">D448-C448</f>
        <v>11</v>
      </c>
      <c r="N448" s="21" t="n">
        <f aca="false">MAX(0,D448-E448)</f>
        <v>0</v>
      </c>
      <c r="O448" s="21" t="n">
        <f aca="false">IF(D448&lt;=E448,1,0)</f>
        <v>1</v>
      </c>
      <c r="P448" s="23" t="n">
        <f aca="false">G448+H448</f>
        <v>115.52</v>
      </c>
      <c r="Q448" s="23" t="n">
        <f aca="false">G448*INDEX(Assumptions!$B$8:$B$16,MATCH(F448,Assumptions!$A$8:$A$16,0))</f>
        <v>57.69</v>
      </c>
      <c r="R448" s="23" t="n">
        <f aca="false">H448*Assumptions!$B$3</f>
        <v>11.622</v>
      </c>
      <c r="S448" s="23" t="n">
        <f aca="false">G448-Q448-R448</f>
        <v>26.838</v>
      </c>
      <c r="T448" s="21" t="str">
        <f aca="false">IF(M448&lt;=7,"0-7 days",IF(M448&lt;=14,"8-14 days",IF(M448&lt;=21,"15-21 days","22+ days")))</f>
        <v>8-14 days</v>
      </c>
    </row>
    <row r="449" customFormat="false" ht="15" hidden="false" customHeight="false" outlineLevel="0" collapsed="false">
      <c r="A449" s="21" t="s">
        <v>515</v>
      </c>
      <c r="B449" s="21" t="s">
        <v>48</v>
      </c>
      <c r="C449" s="22" t="n">
        <v>42991</v>
      </c>
      <c r="D449" s="22" t="n">
        <v>43004</v>
      </c>
      <c r="E449" s="22" t="n">
        <v>43017</v>
      </c>
      <c r="F449" s="21" t="s">
        <v>44</v>
      </c>
      <c r="G449" s="23" t="n">
        <v>63.98</v>
      </c>
      <c r="H449" s="23" t="n">
        <v>23.99</v>
      </c>
      <c r="I449" s="21" t="s">
        <v>60</v>
      </c>
      <c r="J449" s="21" t="n">
        <v>5</v>
      </c>
      <c r="K449" s="21" t="s">
        <v>46</v>
      </c>
      <c r="L449" s="24" t="n">
        <f aca="false">DATE(YEAR(C449),MONTH(C449),1)</f>
        <v>42979</v>
      </c>
      <c r="M449" s="21" t="n">
        <f aca="false">D449-C449</f>
        <v>13</v>
      </c>
      <c r="N449" s="21" t="n">
        <f aca="false">MAX(0,D449-E449)</f>
        <v>0</v>
      </c>
      <c r="O449" s="21" t="n">
        <f aca="false">IF(D449&lt;=E449,1,0)</f>
        <v>1</v>
      </c>
      <c r="P449" s="23" t="n">
        <f aca="false">G449+H449</f>
        <v>87.97</v>
      </c>
      <c r="Q449" s="23" t="n">
        <f aca="false">G449*INDEX(Assumptions!$B$8:$B$16,MATCH(F449,Assumptions!$A$8:$A$16,0))</f>
        <v>38.388</v>
      </c>
      <c r="R449" s="23" t="n">
        <f aca="false">H449*Assumptions!$B$3</f>
        <v>14.394</v>
      </c>
      <c r="S449" s="23" t="n">
        <f aca="false">G449-Q449-R449</f>
        <v>11.198</v>
      </c>
      <c r="T449" s="21" t="str">
        <f aca="false">IF(M449&lt;=7,"0-7 days",IF(M449&lt;=14,"8-14 days",IF(M449&lt;=21,"15-21 days","22+ days")))</f>
        <v>8-14 days</v>
      </c>
    </row>
    <row r="450" customFormat="false" ht="15" hidden="false" customHeight="false" outlineLevel="0" collapsed="false">
      <c r="A450" s="21" t="s">
        <v>516</v>
      </c>
      <c r="B450" s="21" t="s">
        <v>174</v>
      </c>
      <c r="C450" s="22" t="n">
        <v>42991</v>
      </c>
      <c r="D450" s="22" t="n">
        <v>43005</v>
      </c>
      <c r="E450" s="22" t="n">
        <v>43023</v>
      </c>
      <c r="F450" s="21" t="s">
        <v>111</v>
      </c>
      <c r="G450" s="23" t="n">
        <v>24.66</v>
      </c>
      <c r="H450" s="23" t="n">
        <v>46.08</v>
      </c>
      <c r="I450" s="21" t="s">
        <v>60</v>
      </c>
      <c r="J450" s="21" t="n">
        <v>4</v>
      </c>
      <c r="K450" s="21" t="s">
        <v>46</v>
      </c>
      <c r="L450" s="24" t="n">
        <f aca="false">DATE(YEAR(C450),MONTH(C450),1)</f>
        <v>42979</v>
      </c>
      <c r="M450" s="21" t="n">
        <f aca="false">D450-C450</f>
        <v>14</v>
      </c>
      <c r="N450" s="21" t="n">
        <f aca="false">MAX(0,D450-E450)</f>
        <v>0</v>
      </c>
      <c r="O450" s="21" t="n">
        <f aca="false">IF(D450&lt;=E450,1,0)</f>
        <v>1</v>
      </c>
      <c r="P450" s="23" t="n">
        <f aca="false">G450+H450</f>
        <v>70.74</v>
      </c>
      <c r="Q450" s="23" t="n">
        <f aca="false">G450*INDEX(Assumptions!$B$8:$B$16,MATCH(F450,Assumptions!$A$8:$A$16,0))</f>
        <v>15.5358</v>
      </c>
      <c r="R450" s="23" t="n">
        <f aca="false">H450*Assumptions!$B$3</f>
        <v>27.648</v>
      </c>
      <c r="S450" s="23" t="n">
        <f aca="false">G450-Q450-R450</f>
        <v>-18.5238</v>
      </c>
      <c r="T450" s="21" t="str">
        <f aca="false">IF(M450&lt;=7,"0-7 days",IF(M450&lt;=14,"8-14 days",IF(M450&lt;=21,"15-21 days","22+ days")))</f>
        <v>8-14 days</v>
      </c>
    </row>
    <row r="451" customFormat="false" ht="15" hidden="false" customHeight="false" outlineLevel="0" collapsed="false">
      <c r="A451" s="21" t="s">
        <v>517</v>
      </c>
      <c r="B451" s="21" t="s">
        <v>19</v>
      </c>
      <c r="C451" s="22" t="n">
        <v>42991</v>
      </c>
      <c r="D451" s="22" t="n">
        <v>42996</v>
      </c>
      <c r="E451" s="22" t="n">
        <v>43006</v>
      </c>
      <c r="F451" s="21" t="s">
        <v>111</v>
      </c>
      <c r="G451" s="23" t="n">
        <v>208.4</v>
      </c>
      <c r="H451" s="23" t="n">
        <v>22.55</v>
      </c>
      <c r="I451" s="21" t="s">
        <v>45</v>
      </c>
      <c r="J451" s="21" t="n">
        <v>5</v>
      </c>
      <c r="K451" s="21" t="s">
        <v>46</v>
      </c>
      <c r="L451" s="24" t="n">
        <f aca="false">DATE(YEAR(C451),MONTH(C451),1)</f>
        <v>42979</v>
      </c>
      <c r="M451" s="21" t="n">
        <f aca="false">D451-C451</f>
        <v>5</v>
      </c>
      <c r="N451" s="21" t="n">
        <f aca="false">MAX(0,D451-E451)</f>
        <v>0</v>
      </c>
      <c r="O451" s="21" t="n">
        <f aca="false">IF(D451&lt;=E451,1,0)</f>
        <v>1</v>
      </c>
      <c r="P451" s="23" t="n">
        <f aca="false">G451+H451</f>
        <v>230.95</v>
      </c>
      <c r="Q451" s="23" t="n">
        <f aca="false">G451*INDEX(Assumptions!$B$8:$B$16,MATCH(F451,Assumptions!$A$8:$A$16,0))</f>
        <v>131.292</v>
      </c>
      <c r="R451" s="23" t="n">
        <f aca="false">H451*Assumptions!$B$3</f>
        <v>13.53</v>
      </c>
      <c r="S451" s="23" t="n">
        <f aca="false">G451-Q451-R451</f>
        <v>63.578</v>
      </c>
      <c r="T451" s="21" t="str">
        <f aca="false">IF(M451&lt;=7,"0-7 days",IF(M451&lt;=14,"8-14 days",IF(M451&lt;=21,"15-21 days","22+ days")))</f>
        <v>0-7 days</v>
      </c>
    </row>
    <row r="452" customFormat="false" ht="15" hidden="false" customHeight="false" outlineLevel="0" collapsed="false">
      <c r="A452" s="21" t="s">
        <v>518</v>
      </c>
      <c r="B452" s="21" t="s">
        <v>62</v>
      </c>
      <c r="C452" s="22" t="n">
        <v>42992</v>
      </c>
      <c r="D452" s="22" t="n">
        <v>43003</v>
      </c>
      <c r="E452" s="22" t="n">
        <v>43016</v>
      </c>
      <c r="F452" s="21" t="s">
        <v>49</v>
      </c>
      <c r="G452" s="23" t="n">
        <v>90.93</v>
      </c>
      <c r="H452" s="23" t="n">
        <v>16.26</v>
      </c>
      <c r="I452" s="21" t="s">
        <v>45</v>
      </c>
      <c r="J452" s="21" t="n">
        <v>4</v>
      </c>
      <c r="K452" s="21" t="s">
        <v>46</v>
      </c>
      <c r="L452" s="24" t="n">
        <f aca="false">DATE(YEAR(C452),MONTH(C452),1)</f>
        <v>42979</v>
      </c>
      <c r="M452" s="21" t="n">
        <f aca="false">D452-C452</f>
        <v>11</v>
      </c>
      <c r="N452" s="21" t="n">
        <f aca="false">MAX(0,D452-E452)</f>
        <v>0</v>
      </c>
      <c r="O452" s="21" t="n">
        <f aca="false">IF(D452&lt;=E452,1,0)</f>
        <v>1</v>
      </c>
      <c r="P452" s="23" t="n">
        <f aca="false">G452+H452</f>
        <v>107.19</v>
      </c>
      <c r="Q452" s="23" t="n">
        <f aca="false">G452*INDEX(Assumptions!$B$8:$B$16,MATCH(F452,Assumptions!$A$8:$A$16,0))</f>
        <v>52.7394</v>
      </c>
      <c r="R452" s="23" t="n">
        <f aca="false">H452*Assumptions!$B$3</f>
        <v>9.756</v>
      </c>
      <c r="S452" s="23" t="n">
        <f aca="false">G452-Q452-R452</f>
        <v>28.4346</v>
      </c>
      <c r="T452" s="21" t="str">
        <f aca="false">IF(M452&lt;=7,"0-7 days",IF(M452&lt;=14,"8-14 days",IF(M452&lt;=21,"15-21 days","22+ days")))</f>
        <v>8-14 days</v>
      </c>
    </row>
    <row r="453" customFormat="false" ht="15" hidden="false" customHeight="false" outlineLevel="0" collapsed="false">
      <c r="A453" s="21" t="s">
        <v>519</v>
      </c>
      <c r="B453" s="21" t="s">
        <v>19</v>
      </c>
      <c r="C453" s="22" t="n">
        <v>42992</v>
      </c>
      <c r="D453" s="22" t="n">
        <v>43003</v>
      </c>
      <c r="E453" s="22" t="n">
        <v>43007</v>
      </c>
      <c r="F453" s="21" t="s">
        <v>64</v>
      </c>
      <c r="G453" s="23" t="n">
        <v>79.98</v>
      </c>
      <c r="H453" s="23" t="n">
        <v>18.32</v>
      </c>
      <c r="I453" s="21" t="s">
        <v>45</v>
      </c>
      <c r="J453" s="21" t="n">
        <v>5</v>
      </c>
      <c r="K453" s="21" t="s">
        <v>46</v>
      </c>
      <c r="L453" s="24" t="n">
        <f aca="false">DATE(YEAR(C453),MONTH(C453),1)</f>
        <v>42979</v>
      </c>
      <c r="M453" s="21" t="n">
        <f aca="false">D453-C453</f>
        <v>11</v>
      </c>
      <c r="N453" s="21" t="n">
        <f aca="false">MAX(0,D453-E453)</f>
        <v>0</v>
      </c>
      <c r="O453" s="21" t="n">
        <f aca="false">IF(D453&lt;=E453,1,0)</f>
        <v>1</v>
      </c>
      <c r="P453" s="23" t="n">
        <f aca="false">G453+H453</f>
        <v>98.3</v>
      </c>
      <c r="Q453" s="23" t="n">
        <f aca="false">G453*INDEX(Assumptions!$B$8:$B$16,MATCH(F453,Assumptions!$A$8:$A$16,0))</f>
        <v>52.7868</v>
      </c>
      <c r="R453" s="23" t="n">
        <f aca="false">H453*Assumptions!$B$3</f>
        <v>10.992</v>
      </c>
      <c r="S453" s="23" t="n">
        <f aca="false">G453-Q453-R453</f>
        <v>16.2012</v>
      </c>
      <c r="T453" s="21" t="str">
        <f aca="false">IF(M453&lt;=7,"0-7 days",IF(M453&lt;=14,"8-14 days",IF(M453&lt;=21,"15-21 days","22+ days")))</f>
        <v>8-14 days</v>
      </c>
    </row>
    <row r="454" customFormat="false" ht="15" hidden="false" customHeight="false" outlineLevel="0" collapsed="false">
      <c r="A454" s="21" t="s">
        <v>520</v>
      </c>
      <c r="B454" s="21" t="s">
        <v>77</v>
      </c>
      <c r="C454" s="22" t="n">
        <v>42992</v>
      </c>
      <c r="D454" s="22" t="n">
        <v>43021</v>
      </c>
      <c r="E454" s="22" t="n">
        <v>43010</v>
      </c>
      <c r="F454" s="21" t="s">
        <v>57</v>
      </c>
      <c r="G454" s="23" t="n">
        <v>201.3</v>
      </c>
      <c r="H454" s="23" t="n">
        <v>20.49</v>
      </c>
      <c r="I454" s="21" t="s">
        <v>45</v>
      </c>
      <c r="J454" s="21" t="n">
        <v>3</v>
      </c>
      <c r="K454" s="21" t="s">
        <v>46</v>
      </c>
      <c r="L454" s="24" t="n">
        <f aca="false">DATE(YEAR(C454),MONTH(C454),1)</f>
        <v>42979</v>
      </c>
      <c r="M454" s="21" t="n">
        <f aca="false">D454-C454</f>
        <v>29</v>
      </c>
      <c r="N454" s="21" t="n">
        <f aca="false">MAX(0,D454-E454)</f>
        <v>11</v>
      </c>
      <c r="O454" s="21" t="n">
        <f aca="false">IF(D454&lt;=E454,1,0)</f>
        <v>0</v>
      </c>
      <c r="P454" s="23" t="n">
        <f aca="false">G454+H454</f>
        <v>221.79</v>
      </c>
      <c r="Q454" s="23" t="n">
        <f aca="false">G454*INDEX(Assumptions!$B$8:$B$16,MATCH(F454,Assumptions!$A$8:$A$16,0))</f>
        <v>136.884</v>
      </c>
      <c r="R454" s="23" t="n">
        <f aca="false">H454*Assumptions!$B$3</f>
        <v>12.294</v>
      </c>
      <c r="S454" s="23" t="n">
        <f aca="false">G454-Q454-R454</f>
        <v>52.122</v>
      </c>
      <c r="T454" s="21" t="str">
        <f aca="false">IF(M454&lt;=7,"0-7 days",IF(M454&lt;=14,"8-14 days",IF(M454&lt;=21,"15-21 days","22+ days")))</f>
        <v>22+ days</v>
      </c>
    </row>
    <row r="455" customFormat="false" ht="15" hidden="false" customHeight="false" outlineLevel="0" collapsed="false">
      <c r="A455" s="21" t="s">
        <v>521</v>
      </c>
      <c r="B455" s="21" t="s">
        <v>55</v>
      </c>
      <c r="C455" s="22" t="n">
        <v>42993</v>
      </c>
      <c r="D455" s="22" t="n">
        <v>43003</v>
      </c>
      <c r="E455" s="22" t="n">
        <v>43017</v>
      </c>
      <c r="F455" s="21" t="s">
        <v>53</v>
      </c>
      <c r="G455" s="23" t="n">
        <v>64.89</v>
      </c>
      <c r="H455" s="23" t="n">
        <v>26.2</v>
      </c>
      <c r="I455" s="21" t="s">
        <v>45</v>
      </c>
      <c r="J455" s="21" t="n">
        <v>5</v>
      </c>
      <c r="K455" s="21" t="s">
        <v>46</v>
      </c>
      <c r="L455" s="24" t="n">
        <f aca="false">DATE(YEAR(C455),MONTH(C455),1)</f>
        <v>42979</v>
      </c>
      <c r="M455" s="21" t="n">
        <f aca="false">D455-C455</f>
        <v>10</v>
      </c>
      <c r="N455" s="21" t="n">
        <f aca="false">MAX(0,D455-E455)</f>
        <v>0</v>
      </c>
      <c r="O455" s="21" t="n">
        <f aca="false">IF(D455&lt;=E455,1,0)</f>
        <v>1</v>
      </c>
      <c r="P455" s="23" t="n">
        <f aca="false">G455+H455</f>
        <v>91.09</v>
      </c>
      <c r="Q455" s="23" t="n">
        <f aca="false">G455*INDEX(Assumptions!$B$8:$B$16,MATCH(F455,Assumptions!$A$8:$A$16,0))</f>
        <v>48.0186</v>
      </c>
      <c r="R455" s="23" t="n">
        <f aca="false">H455*Assumptions!$B$3</f>
        <v>15.72</v>
      </c>
      <c r="S455" s="23" t="n">
        <f aca="false">G455-Q455-R455</f>
        <v>1.1514</v>
      </c>
      <c r="T455" s="21" t="str">
        <f aca="false">IF(M455&lt;=7,"0-7 days",IF(M455&lt;=14,"8-14 days",IF(M455&lt;=21,"15-21 days","22+ days")))</f>
        <v>8-14 days</v>
      </c>
    </row>
    <row r="456" customFormat="false" ht="15" hidden="false" customHeight="false" outlineLevel="0" collapsed="false">
      <c r="A456" s="21" t="s">
        <v>522</v>
      </c>
      <c r="B456" s="21" t="s">
        <v>77</v>
      </c>
      <c r="C456" s="22" t="n">
        <v>42993</v>
      </c>
      <c r="D456" s="22" t="n">
        <v>43007</v>
      </c>
      <c r="E456" s="22" t="n">
        <v>43016</v>
      </c>
      <c r="F456" s="21" t="s">
        <v>67</v>
      </c>
      <c r="G456" s="23" t="n">
        <v>52.84</v>
      </c>
      <c r="H456" s="23" t="n">
        <v>17.98</v>
      </c>
      <c r="I456" s="21" t="s">
        <v>45</v>
      </c>
      <c r="J456" s="21" t="n">
        <v>5</v>
      </c>
      <c r="K456" s="21" t="s">
        <v>46</v>
      </c>
      <c r="L456" s="24" t="n">
        <f aca="false">DATE(YEAR(C456),MONTH(C456),1)</f>
        <v>42979</v>
      </c>
      <c r="M456" s="21" t="n">
        <f aca="false">D456-C456</f>
        <v>14</v>
      </c>
      <c r="N456" s="21" t="n">
        <f aca="false">MAX(0,D456-E456)</f>
        <v>0</v>
      </c>
      <c r="O456" s="21" t="n">
        <f aca="false">IF(D456&lt;=E456,1,0)</f>
        <v>1</v>
      </c>
      <c r="P456" s="23" t="n">
        <f aca="false">G456+H456</f>
        <v>70.82</v>
      </c>
      <c r="Q456" s="23" t="n">
        <f aca="false">G456*INDEX(Assumptions!$B$8:$B$16,MATCH(F456,Assumptions!$A$8:$A$16,0))</f>
        <v>32.7608</v>
      </c>
      <c r="R456" s="23" t="n">
        <f aca="false">H456*Assumptions!$B$3</f>
        <v>10.788</v>
      </c>
      <c r="S456" s="23" t="n">
        <f aca="false">G456-Q456-R456</f>
        <v>9.2912</v>
      </c>
      <c r="T456" s="21" t="str">
        <f aca="false">IF(M456&lt;=7,"0-7 days",IF(M456&lt;=14,"8-14 days",IF(M456&lt;=21,"15-21 days","22+ days")))</f>
        <v>8-14 days</v>
      </c>
    </row>
    <row r="457" customFormat="false" ht="15" hidden="false" customHeight="false" outlineLevel="0" collapsed="false">
      <c r="A457" s="21" t="s">
        <v>523</v>
      </c>
      <c r="B457" s="21" t="s">
        <v>52</v>
      </c>
      <c r="C457" s="22" t="n">
        <v>42993</v>
      </c>
      <c r="D457" s="22" t="n">
        <v>43003</v>
      </c>
      <c r="E457" s="22" t="n">
        <v>43016</v>
      </c>
      <c r="F457" s="21" t="s">
        <v>49</v>
      </c>
      <c r="G457" s="23" t="n">
        <v>114.15</v>
      </c>
      <c r="H457" s="23" t="n">
        <v>28.56</v>
      </c>
      <c r="I457" s="21" t="s">
        <v>45</v>
      </c>
      <c r="J457" s="21" t="n">
        <v>4</v>
      </c>
      <c r="K457" s="21" t="s">
        <v>46</v>
      </c>
      <c r="L457" s="24" t="n">
        <f aca="false">DATE(YEAR(C457),MONTH(C457),1)</f>
        <v>42979</v>
      </c>
      <c r="M457" s="21" t="n">
        <f aca="false">D457-C457</f>
        <v>10</v>
      </c>
      <c r="N457" s="21" t="n">
        <f aca="false">MAX(0,D457-E457)</f>
        <v>0</v>
      </c>
      <c r="O457" s="21" t="n">
        <f aca="false">IF(D457&lt;=E457,1,0)</f>
        <v>1</v>
      </c>
      <c r="P457" s="23" t="n">
        <f aca="false">G457+H457</f>
        <v>142.71</v>
      </c>
      <c r="Q457" s="23" t="n">
        <f aca="false">G457*INDEX(Assumptions!$B$8:$B$16,MATCH(F457,Assumptions!$A$8:$A$16,0))</f>
        <v>66.207</v>
      </c>
      <c r="R457" s="23" t="n">
        <f aca="false">H457*Assumptions!$B$3</f>
        <v>17.136</v>
      </c>
      <c r="S457" s="23" t="n">
        <f aca="false">G457-Q457-R457</f>
        <v>30.807</v>
      </c>
      <c r="T457" s="21" t="str">
        <f aca="false">IF(M457&lt;=7,"0-7 days",IF(M457&lt;=14,"8-14 days",IF(M457&lt;=21,"15-21 days","22+ days")))</f>
        <v>8-14 days</v>
      </c>
    </row>
    <row r="458" customFormat="false" ht="15" hidden="false" customHeight="false" outlineLevel="0" collapsed="false">
      <c r="A458" s="21" t="s">
        <v>524</v>
      </c>
      <c r="B458" s="21" t="s">
        <v>48</v>
      </c>
      <c r="C458" s="22" t="n">
        <v>42993</v>
      </c>
      <c r="D458" s="22" t="n">
        <v>43000</v>
      </c>
      <c r="E458" s="22" t="n">
        <v>43014</v>
      </c>
      <c r="F458" s="21" t="s">
        <v>53</v>
      </c>
      <c r="G458" s="23" t="n">
        <v>109.5</v>
      </c>
      <c r="H458" s="23" t="n">
        <v>23.32</v>
      </c>
      <c r="I458" s="21" t="s">
        <v>45</v>
      </c>
      <c r="J458" s="21" t="n">
        <v>5</v>
      </c>
      <c r="K458" s="21" t="s">
        <v>46</v>
      </c>
      <c r="L458" s="24" t="n">
        <f aca="false">DATE(YEAR(C458),MONTH(C458),1)</f>
        <v>42979</v>
      </c>
      <c r="M458" s="21" t="n">
        <f aca="false">D458-C458</f>
        <v>7</v>
      </c>
      <c r="N458" s="21" t="n">
        <f aca="false">MAX(0,D458-E458)</f>
        <v>0</v>
      </c>
      <c r="O458" s="21" t="n">
        <f aca="false">IF(D458&lt;=E458,1,0)</f>
        <v>1</v>
      </c>
      <c r="P458" s="23" t="n">
        <f aca="false">G458+H458</f>
        <v>132.82</v>
      </c>
      <c r="Q458" s="23" t="n">
        <f aca="false">G458*INDEX(Assumptions!$B$8:$B$16,MATCH(F458,Assumptions!$A$8:$A$16,0))</f>
        <v>81.03</v>
      </c>
      <c r="R458" s="23" t="n">
        <f aca="false">H458*Assumptions!$B$3</f>
        <v>13.992</v>
      </c>
      <c r="S458" s="23" t="n">
        <f aca="false">G458-Q458-R458</f>
        <v>14.478</v>
      </c>
      <c r="T458" s="21" t="str">
        <f aca="false">IF(M458&lt;=7,"0-7 days",IF(M458&lt;=14,"8-14 days",IF(M458&lt;=21,"15-21 days","22+ days")))</f>
        <v>0-7 days</v>
      </c>
    </row>
    <row r="459" customFormat="false" ht="15" hidden="false" customHeight="false" outlineLevel="0" collapsed="false">
      <c r="A459" s="21" t="s">
        <v>525</v>
      </c>
      <c r="B459" s="21" t="s">
        <v>48</v>
      </c>
      <c r="C459" s="22" t="n">
        <v>42994</v>
      </c>
      <c r="D459" s="22" t="n">
        <v>43002</v>
      </c>
      <c r="E459" s="22" t="n">
        <v>43012</v>
      </c>
      <c r="F459" s="21" t="s">
        <v>67</v>
      </c>
      <c r="G459" s="23" t="n">
        <v>127.58</v>
      </c>
      <c r="H459" s="23" t="n">
        <v>27.32</v>
      </c>
      <c r="I459" s="21" t="s">
        <v>50</v>
      </c>
      <c r="J459" s="21" t="n">
        <v>4</v>
      </c>
      <c r="K459" s="21" t="s">
        <v>46</v>
      </c>
      <c r="L459" s="24" t="n">
        <f aca="false">DATE(YEAR(C459),MONTH(C459),1)</f>
        <v>42979</v>
      </c>
      <c r="M459" s="21" t="n">
        <f aca="false">D459-C459</f>
        <v>8</v>
      </c>
      <c r="N459" s="21" t="n">
        <f aca="false">MAX(0,D459-E459)</f>
        <v>0</v>
      </c>
      <c r="O459" s="21" t="n">
        <f aca="false">IF(D459&lt;=E459,1,0)</f>
        <v>1</v>
      </c>
      <c r="P459" s="23" t="n">
        <f aca="false">G459+H459</f>
        <v>154.9</v>
      </c>
      <c r="Q459" s="23" t="n">
        <f aca="false">G459*INDEX(Assumptions!$B$8:$B$16,MATCH(F459,Assumptions!$A$8:$A$16,0))</f>
        <v>79.0996</v>
      </c>
      <c r="R459" s="23" t="n">
        <f aca="false">H459*Assumptions!$B$3</f>
        <v>16.392</v>
      </c>
      <c r="S459" s="23" t="n">
        <f aca="false">G459-Q459-R459</f>
        <v>32.0884</v>
      </c>
      <c r="T459" s="21" t="str">
        <f aca="false">IF(M459&lt;=7,"0-7 days",IF(M459&lt;=14,"8-14 days",IF(M459&lt;=21,"15-21 days","22+ days")))</f>
        <v>8-14 days</v>
      </c>
    </row>
    <row r="460" customFormat="false" ht="15" hidden="false" customHeight="false" outlineLevel="0" collapsed="false">
      <c r="A460" s="21" t="s">
        <v>526</v>
      </c>
      <c r="B460" s="21" t="s">
        <v>19</v>
      </c>
      <c r="C460" s="22" t="n">
        <v>42994</v>
      </c>
      <c r="D460" s="22" t="n">
        <v>43002</v>
      </c>
      <c r="E460" s="22" t="n">
        <v>43012</v>
      </c>
      <c r="F460" s="21" t="s">
        <v>79</v>
      </c>
      <c r="G460" s="23" t="n">
        <v>110.1</v>
      </c>
      <c r="H460" s="23" t="n">
        <v>13.72</v>
      </c>
      <c r="I460" s="21" t="s">
        <v>45</v>
      </c>
      <c r="J460" s="21" t="n">
        <v>5</v>
      </c>
      <c r="K460" s="21" t="s">
        <v>46</v>
      </c>
      <c r="L460" s="24" t="n">
        <f aca="false">DATE(YEAR(C460),MONTH(C460),1)</f>
        <v>42979</v>
      </c>
      <c r="M460" s="21" t="n">
        <f aca="false">D460-C460</f>
        <v>8</v>
      </c>
      <c r="N460" s="21" t="n">
        <f aca="false">MAX(0,D460-E460)</f>
        <v>0</v>
      </c>
      <c r="O460" s="21" t="n">
        <f aca="false">IF(D460&lt;=E460,1,0)</f>
        <v>1</v>
      </c>
      <c r="P460" s="23" t="n">
        <f aca="false">G460+H460</f>
        <v>123.82</v>
      </c>
      <c r="Q460" s="23" t="n">
        <f aca="false">G460*INDEX(Assumptions!$B$8:$B$16,MATCH(F460,Assumptions!$A$8:$A$16,0))</f>
        <v>77.07</v>
      </c>
      <c r="R460" s="23" t="n">
        <f aca="false">H460*Assumptions!$B$3</f>
        <v>8.232</v>
      </c>
      <c r="S460" s="23" t="n">
        <f aca="false">G460-Q460-R460</f>
        <v>24.798</v>
      </c>
      <c r="T460" s="21" t="str">
        <f aca="false">IF(M460&lt;=7,"0-7 days",IF(M460&lt;=14,"8-14 days",IF(M460&lt;=21,"15-21 days","22+ days")))</f>
        <v>8-14 days</v>
      </c>
    </row>
    <row r="461" customFormat="false" ht="15" hidden="false" customHeight="false" outlineLevel="0" collapsed="false">
      <c r="A461" s="21" t="s">
        <v>527</v>
      </c>
      <c r="B461" s="21" t="s">
        <v>19</v>
      </c>
      <c r="C461" s="22" t="n">
        <v>42995</v>
      </c>
      <c r="D461" s="22" t="n">
        <v>43000</v>
      </c>
      <c r="E461" s="22" t="n">
        <v>43010</v>
      </c>
      <c r="F461" s="21" t="s">
        <v>59</v>
      </c>
      <c r="G461" s="23" t="n">
        <v>94.68</v>
      </c>
      <c r="H461" s="23" t="n">
        <v>14.5</v>
      </c>
      <c r="I461" s="21" t="s">
        <v>45</v>
      </c>
      <c r="J461" s="21" t="n">
        <v>5</v>
      </c>
      <c r="K461" s="21" t="s">
        <v>46</v>
      </c>
      <c r="L461" s="24" t="n">
        <f aca="false">DATE(YEAR(C461),MONTH(C461),1)</f>
        <v>42979</v>
      </c>
      <c r="M461" s="21" t="n">
        <f aca="false">D461-C461</f>
        <v>5</v>
      </c>
      <c r="N461" s="21" t="n">
        <f aca="false">MAX(0,D461-E461)</f>
        <v>0</v>
      </c>
      <c r="O461" s="21" t="n">
        <f aca="false">IF(D461&lt;=E461,1,0)</f>
        <v>1</v>
      </c>
      <c r="P461" s="23" t="n">
        <f aca="false">G461+H461</f>
        <v>109.18</v>
      </c>
      <c r="Q461" s="23" t="n">
        <f aca="false">G461*INDEX(Assumptions!$B$8:$B$16,MATCH(F461,Assumptions!$A$8:$A$16,0))</f>
        <v>60.5952</v>
      </c>
      <c r="R461" s="23" t="n">
        <f aca="false">H461*Assumptions!$B$3</f>
        <v>8.7</v>
      </c>
      <c r="S461" s="23" t="n">
        <f aca="false">G461-Q461-R461</f>
        <v>25.3848</v>
      </c>
      <c r="T461" s="21" t="str">
        <f aca="false">IF(M461&lt;=7,"0-7 days",IF(M461&lt;=14,"8-14 days",IF(M461&lt;=21,"15-21 days","22+ days")))</f>
        <v>0-7 days</v>
      </c>
    </row>
    <row r="462" customFormat="false" ht="15" hidden="false" customHeight="false" outlineLevel="0" collapsed="false">
      <c r="A462" s="21" t="s">
        <v>528</v>
      </c>
      <c r="B462" s="21" t="s">
        <v>19</v>
      </c>
      <c r="C462" s="22" t="n">
        <v>42995</v>
      </c>
      <c r="D462" s="22" t="n">
        <v>43002</v>
      </c>
      <c r="E462" s="22" t="n">
        <v>43012</v>
      </c>
      <c r="F462" s="21" t="s">
        <v>67</v>
      </c>
      <c r="G462" s="23" t="n">
        <v>115.81</v>
      </c>
      <c r="H462" s="23" t="n">
        <v>22.67</v>
      </c>
      <c r="I462" s="21" t="s">
        <v>60</v>
      </c>
      <c r="J462" s="21" t="n">
        <v>5</v>
      </c>
      <c r="K462" s="21" t="s">
        <v>46</v>
      </c>
      <c r="L462" s="24" t="n">
        <f aca="false">DATE(YEAR(C462),MONTH(C462),1)</f>
        <v>42979</v>
      </c>
      <c r="M462" s="21" t="n">
        <f aca="false">D462-C462</f>
        <v>7</v>
      </c>
      <c r="N462" s="21" t="n">
        <f aca="false">MAX(0,D462-E462)</f>
        <v>0</v>
      </c>
      <c r="O462" s="21" t="n">
        <f aca="false">IF(D462&lt;=E462,1,0)</f>
        <v>1</v>
      </c>
      <c r="P462" s="23" t="n">
        <f aca="false">G462+H462</f>
        <v>138.48</v>
      </c>
      <c r="Q462" s="23" t="n">
        <f aca="false">G462*INDEX(Assumptions!$B$8:$B$16,MATCH(F462,Assumptions!$A$8:$A$16,0))</f>
        <v>71.8022</v>
      </c>
      <c r="R462" s="23" t="n">
        <f aca="false">H462*Assumptions!$B$3</f>
        <v>13.602</v>
      </c>
      <c r="S462" s="23" t="n">
        <f aca="false">G462-Q462-R462</f>
        <v>30.4058</v>
      </c>
      <c r="T462" s="21" t="str">
        <f aca="false">IF(M462&lt;=7,"0-7 days",IF(M462&lt;=14,"8-14 days",IF(M462&lt;=21,"15-21 days","22+ days")))</f>
        <v>0-7 days</v>
      </c>
    </row>
    <row r="463" customFormat="false" ht="15" hidden="false" customHeight="false" outlineLevel="0" collapsed="false">
      <c r="A463" s="21" t="s">
        <v>529</v>
      </c>
      <c r="B463" s="21" t="s">
        <v>134</v>
      </c>
      <c r="C463" s="22" t="n">
        <v>42995</v>
      </c>
      <c r="D463" s="22" t="n">
        <v>43007</v>
      </c>
      <c r="E463" s="22" t="n">
        <v>43019</v>
      </c>
      <c r="F463" s="21" t="s">
        <v>59</v>
      </c>
      <c r="G463" s="23" t="n">
        <v>26.33</v>
      </c>
      <c r="H463" s="23" t="n">
        <v>16.64</v>
      </c>
      <c r="I463" s="21" t="s">
        <v>45</v>
      </c>
      <c r="J463" s="21" t="n">
        <v>5</v>
      </c>
      <c r="K463" s="21" t="s">
        <v>46</v>
      </c>
      <c r="L463" s="24" t="n">
        <f aca="false">DATE(YEAR(C463),MONTH(C463),1)</f>
        <v>42979</v>
      </c>
      <c r="M463" s="21" t="n">
        <f aca="false">D463-C463</f>
        <v>12</v>
      </c>
      <c r="N463" s="21" t="n">
        <f aca="false">MAX(0,D463-E463)</f>
        <v>0</v>
      </c>
      <c r="O463" s="21" t="n">
        <f aca="false">IF(D463&lt;=E463,1,0)</f>
        <v>1</v>
      </c>
      <c r="P463" s="23" t="n">
        <f aca="false">G463+H463</f>
        <v>42.97</v>
      </c>
      <c r="Q463" s="23" t="n">
        <f aca="false">G463*INDEX(Assumptions!$B$8:$B$16,MATCH(F463,Assumptions!$A$8:$A$16,0))</f>
        <v>16.8512</v>
      </c>
      <c r="R463" s="23" t="n">
        <f aca="false">H463*Assumptions!$B$3</f>
        <v>9.984</v>
      </c>
      <c r="S463" s="23" t="n">
        <f aca="false">G463-Q463-R463</f>
        <v>-0.5052</v>
      </c>
      <c r="T463" s="21" t="str">
        <f aca="false">IF(M463&lt;=7,"0-7 days",IF(M463&lt;=14,"8-14 days",IF(M463&lt;=21,"15-21 days","22+ days")))</f>
        <v>8-14 days</v>
      </c>
    </row>
    <row r="464" customFormat="false" ht="15" hidden="false" customHeight="false" outlineLevel="0" collapsed="false">
      <c r="A464" s="21" t="s">
        <v>530</v>
      </c>
      <c r="B464" s="21" t="s">
        <v>52</v>
      </c>
      <c r="C464" s="22" t="n">
        <v>42996</v>
      </c>
      <c r="D464" s="22" t="n">
        <v>43011</v>
      </c>
      <c r="E464" s="22" t="n">
        <v>43017</v>
      </c>
      <c r="F464" s="21" t="s">
        <v>67</v>
      </c>
      <c r="G464" s="23" t="n">
        <v>102.32</v>
      </c>
      <c r="H464" s="23" t="n">
        <v>18.12</v>
      </c>
      <c r="I464" s="21" t="s">
        <v>60</v>
      </c>
      <c r="J464" s="21" t="n">
        <v>4</v>
      </c>
      <c r="K464" s="21" t="s">
        <v>46</v>
      </c>
      <c r="L464" s="24" t="n">
        <f aca="false">DATE(YEAR(C464),MONTH(C464),1)</f>
        <v>42979</v>
      </c>
      <c r="M464" s="21" t="n">
        <f aca="false">D464-C464</f>
        <v>15</v>
      </c>
      <c r="N464" s="21" t="n">
        <f aca="false">MAX(0,D464-E464)</f>
        <v>0</v>
      </c>
      <c r="O464" s="21" t="n">
        <f aca="false">IF(D464&lt;=E464,1,0)</f>
        <v>1</v>
      </c>
      <c r="P464" s="23" t="n">
        <f aca="false">G464+H464</f>
        <v>120.44</v>
      </c>
      <c r="Q464" s="23" t="n">
        <f aca="false">G464*INDEX(Assumptions!$B$8:$B$16,MATCH(F464,Assumptions!$A$8:$A$16,0))</f>
        <v>63.4384</v>
      </c>
      <c r="R464" s="23" t="n">
        <f aca="false">H464*Assumptions!$B$3</f>
        <v>10.872</v>
      </c>
      <c r="S464" s="23" t="n">
        <f aca="false">G464-Q464-R464</f>
        <v>28.0096</v>
      </c>
      <c r="T464" s="21" t="str">
        <f aca="false">IF(M464&lt;=7,"0-7 days",IF(M464&lt;=14,"8-14 days",IF(M464&lt;=21,"15-21 days","22+ days")))</f>
        <v>15-21 days</v>
      </c>
    </row>
    <row r="465" customFormat="false" ht="15" hidden="false" customHeight="false" outlineLevel="0" collapsed="false">
      <c r="A465" s="21" t="s">
        <v>531</v>
      </c>
      <c r="B465" s="21" t="s">
        <v>19</v>
      </c>
      <c r="C465" s="22" t="n">
        <v>42996</v>
      </c>
      <c r="D465" s="22" t="n">
        <v>43008</v>
      </c>
      <c r="E465" s="22" t="n">
        <v>43012</v>
      </c>
      <c r="F465" s="21" t="s">
        <v>49</v>
      </c>
      <c r="G465" s="23" t="n">
        <v>156.91</v>
      </c>
      <c r="H465" s="23" t="n">
        <v>13.65</v>
      </c>
      <c r="I465" s="21" t="s">
        <v>45</v>
      </c>
      <c r="J465" s="21" t="n">
        <v>3</v>
      </c>
      <c r="K465" s="21" t="s">
        <v>46</v>
      </c>
      <c r="L465" s="24" t="n">
        <f aca="false">DATE(YEAR(C465),MONTH(C465),1)</f>
        <v>42979</v>
      </c>
      <c r="M465" s="21" t="n">
        <f aca="false">D465-C465</f>
        <v>12</v>
      </c>
      <c r="N465" s="21" t="n">
        <f aca="false">MAX(0,D465-E465)</f>
        <v>0</v>
      </c>
      <c r="O465" s="21" t="n">
        <f aca="false">IF(D465&lt;=E465,1,0)</f>
        <v>1</v>
      </c>
      <c r="P465" s="23" t="n">
        <f aca="false">G465+H465</f>
        <v>170.56</v>
      </c>
      <c r="Q465" s="23" t="n">
        <f aca="false">G465*INDEX(Assumptions!$B$8:$B$16,MATCH(F465,Assumptions!$A$8:$A$16,0))</f>
        <v>91.0078</v>
      </c>
      <c r="R465" s="23" t="n">
        <f aca="false">H465*Assumptions!$B$3</f>
        <v>8.19</v>
      </c>
      <c r="S465" s="23" t="n">
        <f aca="false">G465-Q465-R465</f>
        <v>57.7122</v>
      </c>
      <c r="T465" s="21" t="str">
        <f aca="false">IF(M465&lt;=7,"0-7 days",IF(M465&lt;=14,"8-14 days",IF(M465&lt;=21,"15-21 days","22+ days")))</f>
        <v>8-14 days</v>
      </c>
    </row>
    <row r="466" customFormat="false" ht="15" hidden="false" customHeight="false" outlineLevel="0" collapsed="false">
      <c r="A466" s="21" t="s">
        <v>532</v>
      </c>
      <c r="B466" s="21" t="s">
        <v>62</v>
      </c>
      <c r="C466" s="22" t="n">
        <v>42996</v>
      </c>
      <c r="D466" s="22" t="n">
        <v>43010</v>
      </c>
      <c r="E466" s="22" t="n">
        <v>43020</v>
      </c>
      <c r="F466" s="21" t="s">
        <v>49</v>
      </c>
      <c r="G466" s="23" t="n">
        <v>64.59</v>
      </c>
      <c r="H466" s="23" t="n">
        <v>16.09</v>
      </c>
      <c r="I466" s="21" t="s">
        <v>45</v>
      </c>
      <c r="J466" s="21" t="n">
        <v>4</v>
      </c>
      <c r="K466" s="21" t="s">
        <v>46</v>
      </c>
      <c r="L466" s="24" t="n">
        <f aca="false">DATE(YEAR(C466),MONTH(C466),1)</f>
        <v>42979</v>
      </c>
      <c r="M466" s="21" t="n">
        <f aca="false">D466-C466</f>
        <v>14</v>
      </c>
      <c r="N466" s="21" t="n">
        <f aca="false">MAX(0,D466-E466)</f>
        <v>0</v>
      </c>
      <c r="O466" s="21" t="n">
        <f aca="false">IF(D466&lt;=E466,1,0)</f>
        <v>1</v>
      </c>
      <c r="P466" s="23" t="n">
        <f aca="false">G466+H466</f>
        <v>80.68</v>
      </c>
      <c r="Q466" s="23" t="n">
        <f aca="false">G466*INDEX(Assumptions!$B$8:$B$16,MATCH(F466,Assumptions!$A$8:$A$16,0))</f>
        <v>37.4622</v>
      </c>
      <c r="R466" s="23" t="n">
        <f aca="false">H466*Assumptions!$B$3</f>
        <v>9.654</v>
      </c>
      <c r="S466" s="23" t="n">
        <f aca="false">G466-Q466-R466</f>
        <v>17.4738</v>
      </c>
      <c r="T466" s="21" t="str">
        <f aca="false">IF(M466&lt;=7,"0-7 days",IF(M466&lt;=14,"8-14 days",IF(M466&lt;=21,"15-21 days","22+ days")))</f>
        <v>8-14 days</v>
      </c>
    </row>
    <row r="467" customFormat="false" ht="15" hidden="false" customHeight="false" outlineLevel="0" collapsed="false">
      <c r="A467" s="21" t="s">
        <v>533</v>
      </c>
      <c r="B467" s="21" t="s">
        <v>62</v>
      </c>
      <c r="C467" s="22" t="n">
        <v>42997</v>
      </c>
      <c r="D467" s="22" t="n">
        <v>43006</v>
      </c>
      <c r="E467" s="22" t="n">
        <v>43016</v>
      </c>
      <c r="F467" s="21" t="s">
        <v>67</v>
      </c>
      <c r="G467" s="23" t="n">
        <v>35.39</v>
      </c>
      <c r="H467" s="23" t="n">
        <v>17.54</v>
      </c>
      <c r="I467" s="21" t="s">
        <v>45</v>
      </c>
      <c r="J467" s="21" t="n">
        <v>5</v>
      </c>
      <c r="K467" s="21" t="s">
        <v>46</v>
      </c>
      <c r="L467" s="24" t="n">
        <f aca="false">DATE(YEAR(C467),MONTH(C467),1)</f>
        <v>42979</v>
      </c>
      <c r="M467" s="21" t="n">
        <f aca="false">D467-C467</f>
        <v>9</v>
      </c>
      <c r="N467" s="21" t="n">
        <f aca="false">MAX(0,D467-E467)</f>
        <v>0</v>
      </c>
      <c r="O467" s="21" t="n">
        <f aca="false">IF(D467&lt;=E467,1,0)</f>
        <v>1</v>
      </c>
      <c r="P467" s="23" t="n">
        <f aca="false">G467+H467</f>
        <v>52.93</v>
      </c>
      <c r="Q467" s="23" t="n">
        <f aca="false">G467*INDEX(Assumptions!$B$8:$B$16,MATCH(F467,Assumptions!$A$8:$A$16,0))</f>
        <v>21.9418</v>
      </c>
      <c r="R467" s="23" t="n">
        <f aca="false">H467*Assumptions!$B$3</f>
        <v>10.524</v>
      </c>
      <c r="S467" s="23" t="n">
        <f aca="false">G467-Q467-R467</f>
        <v>2.9242</v>
      </c>
      <c r="T467" s="21" t="str">
        <f aca="false">IF(M467&lt;=7,"0-7 days",IF(M467&lt;=14,"8-14 days",IF(M467&lt;=21,"15-21 days","22+ days")))</f>
        <v>8-14 days</v>
      </c>
    </row>
    <row r="468" customFormat="false" ht="15" hidden="false" customHeight="false" outlineLevel="0" collapsed="false">
      <c r="A468" s="21" t="s">
        <v>534</v>
      </c>
      <c r="B468" s="21" t="s">
        <v>19</v>
      </c>
      <c r="C468" s="22" t="n">
        <v>42998</v>
      </c>
      <c r="D468" s="22" t="n">
        <v>43008</v>
      </c>
      <c r="E468" s="22" t="n">
        <v>43015</v>
      </c>
      <c r="F468" s="21" t="s">
        <v>79</v>
      </c>
      <c r="G468" s="23" t="n">
        <v>47.06</v>
      </c>
      <c r="H468" s="23" t="n">
        <v>13.86</v>
      </c>
      <c r="I468" s="21" t="s">
        <v>45</v>
      </c>
      <c r="J468" s="21" t="n">
        <v>5</v>
      </c>
      <c r="K468" s="21" t="s">
        <v>46</v>
      </c>
      <c r="L468" s="24" t="n">
        <f aca="false">DATE(YEAR(C468),MONTH(C468),1)</f>
        <v>42979</v>
      </c>
      <c r="M468" s="21" t="n">
        <f aca="false">D468-C468</f>
        <v>10</v>
      </c>
      <c r="N468" s="21" t="n">
        <f aca="false">MAX(0,D468-E468)</f>
        <v>0</v>
      </c>
      <c r="O468" s="21" t="n">
        <f aca="false">IF(D468&lt;=E468,1,0)</f>
        <v>1</v>
      </c>
      <c r="P468" s="23" t="n">
        <f aca="false">G468+H468</f>
        <v>60.92</v>
      </c>
      <c r="Q468" s="23" t="n">
        <f aca="false">G468*INDEX(Assumptions!$B$8:$B$16,MATCH(F468,Assumptions!$A$8:$A$16,0))</f>
        <v>32.942</v>
      </c>
      <c r="R468" s="23" t="n">
        <f aca="false">H468*Assumptions!$B$3</f>
        <v>8.316</v>
      </c>
      <c r="S468" s="23" t="n">
        <f aca="false">G468-Q468-R468</f>
        <v>5.802</v>
      </c>
      <c r="T468" s="21" t="str">
        <f aca="false">IF(M468&lt;=7,"0-7 days",IF(M468&lt;=14,"8-14 days",IF(M468&lt;=21,"15-21 days","22+ days")))</f>
        <v>8-14 days</v>
      </c>
    </row>
    <row r="469" customFormat="false" ht="15" hidden="false" customHeight="false" outlineLevel="0" collapsed="false">
      <c r="A469" s="21" t="s">
        <v>535</v>
      </c>
      <c r="B469" s="21" t="s">
        <v>62</v>
      </c>
      <c r="C469" s="22" t="n">
        <v>42998</v>
      </c>
      <c r="D469" s="22" t="n">
        <v>43017</v>
      </c>
      <c r="E469" s="22" t="n">
        <v>43020</v>
      </c>
      <c r="F469" s="21" t="s">
        <v>64</v>
      </c>
      <c r="G469" s="23" t="n">
        <v>157.45</v>
      </c>
      <c r="H469" s="23" t="n">
        <v>27.09</v>
      </c>
      <c r="I469" s="21" t="s">
        <v>45</v>
      </c>
      <c r="J469" s="21" t="n">
        <v>4</v>
      </c>
      <c r="K469" s="21" t="s">
        <v>46</v>
      </c>
      <c r="L469" s="24" t="n">
        <f aca="false">DATE(YEAR(C469),MONTH(C469),1)</f>
        <v>42979</v>
      </c>
      <c r="M469" s="21" t="n">
        <f aca="false">D469-C469</f>
        <v>19</v>
      </c>
      <c r="N469" s="21" t="n">
        <f aca="false">MAX(0,D469-E469)</f>
        <v>0</v>
      </c>
      <c r="O469" s="21" t="n">
        <f aca="false">IF(D469&lt;=E469,1,0)</f>
        <v>1</v>
      </c>
      <c r="P469" s="23" t="n">
        <f aca="false">G469+H469</f>
        <v>184.54</v>
      </c>
      <c r="Q469" s="23" t="n">
        <f aca="false">G469*INDEX(Assumptions!$B$8:$B$16,MATCH(F469,Assumptions!$A$8:$A$16,0))</f>
        <v>103.917</v>
      </c>
      <c r="R469" s="23" t="n">
        <f aca="false">H469*Assumptions!$B$3</f>
        <v>16.254</v>
      </c>
      <c r="S469" s="23" t="n">
        <f aca="false">G469-Q469-R469</f>
        <v>37.279</v>
      </c>
      <c r="T469" s="21" t="str">
        <f aca="false">IF(M469&lt;=7,"0-7 days",IF(M469&lt;=14,"8-14 days",IF(M469&lt;=21,"15-21 days","22+ days")))</f>
        <v>15-21 days</v>
      </c>
    </row>
    <row r="470" customFormat="false" ht="15" hidden="false" customHeight="false" outlineLevel="0" collapsed="false">
      <c r="A470" s="21" t="s">
        <v>536</v>
      </c>
      <c r="B470" s="21" t="s">
        <v>134</v>
      </c>
      <c r="C470" s="22" t="n">
        <v>42998</v>
      </c>
      <c r="D470" s="22" t="n">
        <v>43024</v>
      </c>
      <c r="E470" s="22" t="n">
        <v>43022</v>
      </c>
      <c r="F470" s="21" t="s">
        <v>111</v>
      </c>
      <c r="G470" s="23" t="n">
        <v>93.8</v>
      </c>
      <c r="H470" s="23" t="n">
        <v>21.31</v>
      </c>
      <c r="I470" s="21" t="s">
        <v>45</v>
      </c>
      <c r="J470" s="21" t="n">
        <v>2</v>
      </c>
      <c r="K470" s="21" t="s">
        <v>46</v>
      </c>
      <c r="L470" s="24" t="n">
        <f aca="false">DATE(YEAR(C470),MONTH(C470),1)</f>
        <v>42979</v>
      </c>
      <c r="M470" s="21" t="n">
        <f aca="false">D470-C470</f>
        <v>26</v>
      </c>
      <c r="N470" s="21" t="n">
        <f aca="false">MAX(0,D470-E470)</f>
        <v>2</v>
      </c>
      <c r="O470" s="21" t="n">
        <f aca="false">IF(D470&lt;=E470,1,0)</f>
        <v>0</v>
      </c>
      <c r="P470" s="23" t="n">
        <f aca="false">G470+H470</f>
        <v>115.11</v>
      </c>
      <c r="Q470" s="23" t="n">
        <f aca="false">G470*INDEX(Assumptions!$B$8:$B$16,MATCH(F470,Assumptions!$A$8:$A$16,0))</f>
        <v>59.094</v>
      </c>
      <c r="R470" s="23" t="n">
        <f aca="false">H470*Assumptions!$B$3</f>
        <v>12.786</v>
      </c>
      <c r="S470" s="23" t="n">
        <f aca="false">G470-Q470-R470</f>
        <v>21.92</v>
      </c>
      <c r="T470" s="21" t="str">
        <f aca="false">IF(M470&lt;=7,"0-7 days",IF(M470&lt;=14,"8-14 days",IF(M470&lt;=21,"15-21 days","22+ days")))</f>
        <v>22+ days</v>
      </c>
    </row>
    <row r="471" customFormat="false" ht="15" hidden="false" customHeight="false" outlineLevel="0" collapsed="false">
      <c r="A471" s="21" t="s">
        <v>537</v>
      </c>
      <c r="B471" s="21" t="s">
        <v>62</v>
      </c>
      <c r="C471" s="22" t="n">
        <v>42998</v>
      </c>
      <c r="D471" s="22" t="n">
        <v>43007</v>
      </c>
      <c r="E471" s="22" t="n">
        <v>43016</v>
      </c>
      <c r="F471" s="21" t="s">
        <v>64</v>
      </c>
      <c r="G471" s="23" t="n">
        <v>81.74</v>
      </c>
      <c r="H471" s="23" t="n">
        <v>25.07</v>
      </c>
      <c r="I471" s="21" t="s">
        <v>45</v>
      </c>
      <c r="J471" s="21" t="n">
        <v>4</v>
      </c>
      <c r="K471" s="21" t="s">
        <v>46</v>
      </c>
      <c r="L471" s="24" t="n">
        <f aca="false">DATE(YEAR(C471),MONTH(C471),1)</f>
        <v>42979</v>
      </c>
      <c r="M471" s="21" t="n">
        <f aca="false">D471-C471</f>
        <v>9</v>
      </c>
      <c r="N471" s="21" t="n">
        <f aca="false">MAX(0,D471-E471)</f>
        <v>0</v>
      </c>
      <c r="O471" s="21" t="n">
        <f aca="false">IF(D471&lt;=E471,1,0)</f>
        <v>1</v>
      </c>
      <c r="P471" s="23" t="n">
        <f aca="false">G471+H471</f>
        <v>106.81</v>
      </c>
      <c r="Q471" s="23" t="n">
        <f aca="false">G471*INDEX(Assumptions!$B$8:$B$16,MATCH(F471,Assumptions!$A$8:$A$16,0))</f>
        <v>53.9484</v>
      </c>
      <c r="R471" s="23" t="n">
        <f aca="false">H471*Assumptions!$B$3</f>
        <v>15.042</v>
      </c>
      <c r="S471" s="23" t="n">
        <f aca="false">G471-Q471-R471</f>
        <v>12.7496</v>
      </c>
      <c r="T471" s="21" t="str">
        <f aca="false">IF(M471&lt;=7,"0-7 days",IF(M471&lt;=14,"8-14 days",IF(M471&lt;=21,"15-21 days","22+ days")))</f>
        <v>8-14 days</v>
      </c>
    </row>
    <row r="472" customFormat="false" ht="15" hidden="false" customHeight="false" outlineLevel="0" collapsed="false">
      <c r="A472" s="21" t="s">
        <v>538</v>
      </c>
      <c r="B472" s="21" t="s">
        <v>62</v>
      </c>
      <c r="C472" s="22" t="n">
        <v>42999</v>
      </c>
      <c r="D472" s="22" t="n">
        <v>43009</v>
      </c>
      <c r="E472" s="22" t="n">
        <v>43023</v>
      </c>
      <c r="F472" s="21" t="s">
        <v>44</v>
      </c>
      <c r="G472" s="23" t="n">
        <v>94.42</v>
      </c>
      <c r="H472" s="23" t="n">
        <v>22.07</v>
      </c>
      <c r="I472" s="21" t="s">
        <v>45</v>
      </c>
      <c r="J472" s="21" t="n">
        <v>5</v>
      </c>
      <c r="K472" s="21" t="s">
        <v>46</v>
      </c>
      <c r="L472" s="24" t="n">
        <f aca="false">DATE(YEAR(C472),MONTH(C472),1)</f>
        <v>42979</v>
      </c>
      <c r="M472" s="21" t="n">
        <f aca="false">D472-C472</f>
        <v>10</v>
      </c>
      <c r="N472" s="21" t="n">
        <f aca="false">MAX(0,D472-E472)</f>
        <v>0</v>
      </c>
      <c r="O472" s="21" t="n">
        <f aca="false">IF(D472&lt;=E472,1,0)</f>
        <v>1</v>
      </c>
      <c r="P472" s="23" t="n">
        <f aca="false">G472+H472</f>
        <v>116.49</v>
      </c>
      <c r="Q472" s="23" t="n">
        <f aca="false">G472*INDEX(Assumptions!$B$8:$B$16,MATCH(F472,Assumptions!$A$8:$A$16,0))</f>
        <v>56.652</v>
      </c>
      <c r="R472" s="23" t="n">
        <f aca="false">H472*Assumptions!$B$3</f>
        <v>13.242</v>
      </c>
      <c r="S472" s="23" t="n">
        <f aca="false">G472-Q472-R472</f>
        <v>24.526</v>
      </c>
      <c r="T472" s="21" t="str">
        <f aca="false">IF(M472&lt;=7,"0-7 days",IF(M472&lt;=14,"8-14 days",IF(M472&lt;=21,"15-21 days","22+ days")))</f>
        <v>8-14 days</v>
      </c>
    </row>
    <row r="473" customFormat="false" ht="15" hidden="false" customHeight="false" outlineLevel="0" collapsed="false">
      <c r="A473" s="21" t="s">
        <v>539</v>
      </c>
      <c r="B473" s="21" t="s">
        <v>103</v>
      </c>
      <c r="C473" s="22" t="n">
        <v>42999</v>
      </c>
      <c r="D473" s="22" t="n">
        <v>43025</v>
      </c>
      <c r="E473" s="22" t="n">
        <v>43022</v>
      </c>
      <c r="F473" s="21" t="s">
        <v>64</v>
      </c>
      <c r="G473" s="23" t="n">
        <v>269.74</v>
      </c>
      <c r="H473" s="23" t="n">
        <v>25.65</v>
      </c>
      <c r="I473" s="21" t="s">
        <v>45</v>
      </c>
      <c r="J473" s="21" t="n">
        <v>2</v>
      </c>
      <c r="K473" s="21" t="s">
        <v>46</v>
      </c>
      <c r="L473" s="24" t="n">
        <f aca="false">DATE(YEAR(C473),MONTH(C473),1)</f>
        <v>42979</v>
      </c>
      <c r="M473" s="21" t="n">
        <f aca="false">D473-C473</f>
        <v>26</v>
      </c>
      <c r="N473" s="21" t="n">
        <f aca="false">MAX(0,D473-E473)</f>
        <v>3</v>
      </c>
      <c r="O473" s="21" t="n">
        <f aca="false">IF(D473&lt;=E473,1,0)</f>
        <v>0</v>
      </c>
      <c r="P473" s="23" t="n">
        <f aca="false">G473+H473</f>
        <v>295.39</v>
      </c>
      <c r="Q473" s="23" t="n">
        <f aca="false">G473*INDEX(Assumptions!$B$8:$B$16,MATCH(F473,Assumptions!$A$8:$A$16,0))</f>
        <v>178.0284</v>
      </c>
      <c r="R473" s="23" t="n">
        <f aca="false">H473*Assumptions!$B$3</f>
        <v>15.39</v>
      </c>
      <c r="S473" s="23" t="n">
        <f aca="false">G473-Q473-R473</f>
        <v>76.3216</v>
      </c>
      <c r="T473" s="21" t="str">
        <f aca="false">IF(M473&lt;=7,"0-7 days",IF(M473&lt;=14,"8-14 days",IF(M473&lt;=21,"15-21 days","22+ days")))</f>
        <v>22+ days</v>
      </c>
    </row>
    <row r="474" customFormat="false" ht="15" hidden="false" customHeight="false" outlineLevel="0" collapsed="false">
      <c r="A474" s="21" t="s">
        <v>540</v>
      </c>
      <c r="B474" s="21" t="s">
        <v>52</v>
      </c>
      <c r="C474" s="22" t="n">
        <v>43000</v>
      </c>
      <c r="D474" s="22" t="n">
        <v>43009</v>
      </c>
      <c r="E474" s="22" t="n">
        <v>43026</v>
      </c>
      <c r="F474" s="21" t="s">
        <v>67</v>
      </c>
      <c r="G474" s="23" t="n">
        <v>39.93</v>
      </c>
      <c r="H474" s="23" t="n">
        <v>28.76</v>
      </c>
      <c r="I474" s="21" t="s">
        <v>45</v>
      </c>
      <c r="J474" s="21" t="n">
        <v>4</v>
      </c>
      <c r="K474" s="21" t="s">
        <v>46</v>
      </c>
      <c r="L474" s="24" t="n">
        <f aca="false">DATE(YEAR(C474),MONTH(C474),1)</f>
        <v>42979</v>
      </c>
      <c r="M474" s="21" t="n">
        <f aca="false">D474-C474</f>
        <v>9</v>
      </c>
      <c r="N474" s="21" t="n">
        <f aca="false">MAX(0,D474-E474)</f>
        <v>0</v>
      </c>
      <c r="O474" s="21" t="n">
        <f aca="false">IF(D474&lt;=E474,1,0)</f>
        <v>1</v>
      </c>
      <c r="P474" s="23" t="n">
        <f aca="false">G474+H474</f>
        <v>68.69</v>
      </c>
      <c r="Q474" s="23" t="n">
        <f aca="false">G474*INDEX(Assumptions!$B$8:$B$16,MATCH(F474,Assumptions!$A$8:$A$16,0))</f>
        <v>24.7566</v>
      </c>
      <c r="R474" s="23" t="n">
        <f aca="false">H474*Assumptions!$B$3</f>
        <v>17.256</v>
      </c>
      <c r="S474" s="23" t="n">
        <f aca="false">G474-Q474-R474</f>
        <v>-2.0826</v>
      </c>
      <c r="T474" s="21" t="str">
        <f aca="false">IF(M474&lt;=7,"0-7 days",IF(M474&lt;=14,"8-14 days",IF(M474&lt;=21,"15-21 days","22+ days")))</f>
        <v>8-14 days</v>
      </c>
    </row>
    <row r="475" customFormat="false" ht="15" hidden="false" customHeight="false" outlineLevel="0" collapsed="false">
      <c r="A475" s="21" t="s">
        <v>541</v>
      </c>
      <c r="B475" s="21" t="s">
        <v>201</v>
      </c>
      <c r="C475" s="22" t="n">
        <v>43000</v>
      </c>
      <c r="D475" s="22" t="n">
        <v>43025</v>
      </c>
      <c r="E475" s="22" t="n">
        <v>43033</v>
      </c>
      <c r="F475" s="21" t="s">
        <v>67</v>
      </c>
      <c r="G475" s="23" t="n">
        <v>397.75</v>
      </c>
      <c r="H475" s="23" t="n">
        <v>35.07</v>
      </c>
      <c r="I475" s="21" t="s">
        <v>45</v>
      </c>
      <c r="J475" s="21" t="n">
        <v>4</v>
      </c>
      <c r="K475" s="21" t="s">
        <v>46</v>
      </c>
      <c r="L475" s="24" t="n">
        <f aca="false">DATE(YEAR(C475),MONTH(C475),1)</f>
        <v>42979</v>
      </c>
      <c r="M475" s="21" t="n">
        <f aca="false">D475-C475</f>
        <v>25</v>
      </c>
      <c r="N475" s="21" t="n">
        <f aca="false">MAX(0,D475-E475)</f>
        <v>0</v>
      </c>
      <c r="O475" s="21" t="n">
        <f aca="false">IF(D475&lt;=E475,1,0)</f>
        <v>1</v>
      </c>
      <c r="P475" s="23" t="n">
        <f aca="false">G475+H475</f>
        <v>432.82</v>
      </c>
      <c r="Q475" s="23" t="n">
        <f aca="false">G475*INDEX(Assumptions!$B$8:$B$16,MATCH(F475,Assumptions!$A$8:$A$16,0))</f>
        <v>246.605</v>
      </c>
      <c r="R475" s="23" t="n">
        <f aca="false">H475*Assumptions!$B$3</f>
        <v>21.042</v>
      </c>
      <c r="S475" s="23" t="n">
        <f aca="false">G475-Q475-R475</f>
        <v>130.103</v>
      </c>
      <c r="T475" s="21" t="str">
        <f aca="false">IF(M475&lt;=7,"0-7 days",IF(M475&lt;=14,"8-14 days",IF(M475&lt;=21,"15-21 days","22+ days")))</f>
        <v>22+ days</v>
      </c>
    </row>
    <row r="476" customFormat="false" ht="15" hidden="false" customHeight="false" outlineLevel="0" collapsed="false">
      <c r="A476" s="21" t="s">
        <v>542</v>
      </c>
      <c r="B476" s="21" t="s">
        <v>156</v>
      </c>
      <c r="C476" s="22" t="n">
        <v>43001</v>
      </c>
      <c r="D476" s="22" t="n">
        <v>43012</v>
      </c>
      <c r="E476" s="22" t="n">
        <v>43028</v>
      </c>
      <c r="F476" s="21" t="s">
        <v>44</v>
      </c>
      <c r="G476" s="23" t="n">
        <v>73.79</v>
      </c>
      <c r="H476" s="23" t="n">
        <v>23.85</v>
      </c>
      <c r="I476" s="21" t="s">
        <v>45</v>
      </c>
      <c r="J476" s="21" t="n">
        <v>4</v>
      </c>
      <c r="K476" s="21" t="s">
        <v>46</v>
      </c>
      <c r="L476" s="24" t="n">
        <f aca="false">DATE(YEAR(C476),MONTH(C476),1)</f>
        <v>42979</v>
      </c>
      <c r="M476" s="21" t="n">
        <f aca="false">D476-C476</f>
        <v>11</v>
      </c>
      <c r="N476" s="21" t="n">
        <f aca="false">MAX(0,D476-E476)</f>
        <v>0</v>
      </c>
      <c r="O476" s="21" t="n">
        <f aca="false">IF(D476&lt;=E476,1,0)</f>
        <v>1</v>
      </c>
      <c r="P476" s="23" t="n">
        <f aca="false">G476+H476</f>
        <v>97.64</v>
      </c>
      <c r="Q476" s="23" t="n">
        <f aca="false">G476*INDEX(Assumptions!$B$8:$B$16,MATCH(F476,Assumptions!$A$8:$A$16,0))</f>
        <v>44.274</v>
      </c>
      <c r="R476" s="23" t="n">
        <f aca="false">H476*Assumptions!$B$3</f>
        <v>14.31</v>
      </c>
      <c r="S476" s="23" t="n">
        <f aca="false">G476-Q476-R476</f>
        <v>15.206</v>
      </c>
      <c r="T476" s="21" t="str">
        <f aca="false">IF(M476&lt;=7,"0-7 days",IF(M476&lt;=14,"8-14 days",IF(M476&lt;=21,"15-21 days","22+ days")))</f>
        <v>8-14 days</v>
      </c>
    </row>
    <row r="477" customFormat="false" ht="15" hidden="false" customHeight="false" outlineLevel="0" collapsed="false">
      <c r="A477" s="21" t="s">
        <v>543</v>
      </c>
      <c r="B477" s="21" t="s">
        <v>62</v>
      </c>
      <c r="C477" s="22" t="n">
        <v>43001</v>
      </c>
      <c r="D477" s="22" t="n">
        <v>43020</v>
      </c>
      <c r="E477" s="22" t="n">
        <v>43024</v>
      </c>
      <c r="F477" s="21" t="s">
        <v>49</v>
      </c>
      <c r="G477" s="23" t="n">
        <v>74.76</v>
      </c>
      <c r="H477" s="23" t="n">
        <v>17.78</v>
      </c>
      <c r="I477" s="21" t="s">
        <v>45</v>
      </c>
      <c r="J477" s="21" t="n">
        <v>4</v>
      </c>
      <c r="K477" s="21" t="s">
        <v>46</v>
      </c>
      <c r="L477" s="24" t="n">
        <f aca="false">DATE(YEAR(C477),MONTH(C477),1)</f>
        <v>42979</v>
      </c>
      <c r="M477" s="21" t="n">
        <f aca="false">D477-C477</f>
        <v>19</v>
      </c>
      <c r="N477" s="21" t="n">
        <f aca="false">MAX(0,D477-E477)</f>
        <v>0</v>
      </c>
      <c r="O477" s="21" t="n">
        <f aca="false">IF(D477&lt;=E477,1,0)</f>
        <v>1</v>
      </c>
      <c r="P477" s="23" t="n">
        <f aca="false">G477+H477</f>
        <v>92.54</v>
      </c>
      <c r="Q477" s="23" t="n">
        <f aca="false">G477*INDEX(Assumptions!$B$8:$B$16,MATCH(F477,Assumptions!$A$8:$A$16,0))</f>
        <v>43.3608</v>
      </c>
      <c r="R477" s="23" t="n">
        <f aca="false">H477*Assumptions!$B$3</f>
        <v>10.668</v>
      </c>
      <c r="S477" s="23" t="n">
        <f aca="false">G477-Q477-R477</f>
        <v>20.7312</v>
      </c>
      <c r="T477" s="21" t="str">
        <f aca="false">IF(M477&lt;=7,"0-7 days",IF(M477&lt;=14,"8-14 days",IF(M477&lt;=21,"15-21 days","22+ days")))</f>
        <v>15-21 days</v>
      </c>
    </row>
    <row r="478" customFormat="false" ht="15" hidden="false" customHeight="false" outlineLevel="0" collapsed="false">
      <c r="A478" s="21" t="s">
        <v>544</v>
      </c>
      <c r="B478" s="21" t="s">
        <v>48</v>
      </c>
      <c r="C478" s="22" t="n">
        <v>43001</v>
      </c>
      <c r="D478" s="22" t="n">
        <v>43017</v>
      </c>
      <c r="E478" s="22" t="n">
        <v>43021</v>
      </c>
      <c r="F478" s="21" t="s">
        <v>79</v>
      </c>
      <c r="G478" s="23" t="n">
        <v>84.33</v>
      </c>
      <c r="H478" s="23" t="n">
        <v>29.4</v>
      </c>
      <c r="I478" s="21" t="s">
        <v>60</v>
      </c>
      <c r="J478" s="21" t="n">
        <v>4</v>
      </c>
      <c r="K478" s="21" t="s">
        <v>46</v>
      </c>
      <c r="L478" s="24" t="n">
        <f aca="false">DATE(YEAR(C478),MONTH(C478),1)</f>
        <v>42979</v>
      </c>
      <c r="M478" s="21" t="n">
        <f aca="false">D478-C478</f>
        <v>16</v>
      </c>
      <c r="N478" s="21" t="n">
        <f aca="false">MAX(0,D478-E478)</f>
        <v>0</v>
      </c>
      <c r="O478" s="21" t="n">
        <f aca="false">IF(D478&lt;=E478,1,0)</f>
        <v>1</v>
      </c>
      <c r="P478" s="23" t="n">
        <f aca="false">G478+H478</f>
        <v>113.73</v>
      </c>
      <c r="Q478" s="23" t="n">
        <f aca="false">G478*INDEX(Assumptions!$B$8:$B$16,MATCH(F478,Assumptions!$A$8:$A$16,0))</f>
        <v>59.031</v>
      </c>
      <c r="R478" s="23" t="n">
        <f aca="false">H478*Assumptions!$B$3</f>
        <v>17.64</v>
      </c>
      <c r="S478" s="23" t="n">
        <f aca="false">G478-Q478-R478</f>
        <v>7.65900000000001</v>
      </c>
      <c r="T478" s="21" t="str">
        <f aca="false">IF(M478&lt;=7,"0-7 days",IF(M478&lt;=14,"8-14 days",IF(M478&lt;=21,"15-21 days","22+ days")))</f>
        <v>15-21 days</v>
      </c>
    </row>
    <row r="479" customFormat="false" ht="15" hidden="false" customHeight="false" outlineLevel="0" collapsed="false">
      <c r="A479" s="21" t="s">
        <v>545</v>
      </c>
      <c r="B479" s="21" t="s">
        <v>19</v>
      </c>
      <c r="C479" s="22" t="n">
        <v>43002</v>
      </c>
      <c r="D479" s="22" t="n">
        <v>43010</v>
      </c>
      <c r="E479" s="22" t="n">
        <v>43015</v>
      </c>
      <c r="F479" s="21" t="s">
        <v>79</v>
      </c>
      <c r="G479" s="23" t="n">
        <v>142.8</v>
      </c>
      <c r="H479" s="23" t="n">
        <v>19.34</v>
      </c>
      <c r="I479" s="21" t="s">
        <v>45</v>
      </c>
      <c r="J479" s="21" t="n">
        <v>5</v>
      </c>
      <c r="K479" s="21" t="s">
        <v>46</v>
      </c>
      <c r="L479" s="24" t="n">
        <f aca="false">DATE(YEAR(C479),MONTH(C479),1)</f>
        <v>42979</v>
      </c>
      <c r="M479" s="21" t="n">
        <f aca="false">D479-C479</f>
        <v>8</v>
      </c>
      <c r="N479" s="21" t="n">
        <f aca="false">MAX(0,D479-E479)</f>
        <v>0</v>
      </c>
      <c r="O479" s="21" t="n">
        <f aca="false">IF(D479&lt;=E479,1,0)</f>
        <v>1</v>
      </c>
      <c r="P479" s="23" t="n">
        <f aca="false">G479+H479</f>
        <v>162.14</v>
      </c>
      <c r="Q479" s="23" t="n">
        <f aca="false">G479*INDEX(Assumptions!$B$8:$B$16,MATCH(F479,Assumptions!$A$8:$A$16,0))</f>
        <v>99.96</v>
      </c>
      <c r="R479" s="23" t="n">
        <f aca="false">H479*Assumptions!$B$3</f>
        <v>11.604</v>
      </c>
      <c r="S479" s="23" t="n">
        <f aca="false">G479-Q479-R479</f>
        <v>31.236</v>
      </c>
      <c r="T479" s="21" t="str">
        <f aca="false">IF(M479&lt;=7,"0-7 days",IF(M479&lt;=14,"8-14 days",IF(M479&lt;=21,"15-21 days","22+ days")))</f>
        <v>8-14 days</v>
      </c>
    </row>
    <row r="480" customFormat="false" ht="15" hidden="false" customHeight="false" outlineLevel="0" collapsed="false">
      <c r="A480" s="21" t="s">
        <v>546</v>
      </c>
      <c r="B480" s="21" t="s">
        <v>19</v>
      </c>
      <c r="C480" s="22" t="n">
        <v>43003</v>
      </c>
      <c r="D480" s="22" t="n">
        <v>43012</v>
      </c>
      <c r="E480" s="22" t="n">
        <v>43016</v>
      </c>
      <c r="F480" s="21" t="s">
        <v>57</v>
      </c>
      <c r="G480" s="23" t="n">
        <v>72.29</v>
      </c>
      <c r="H480" s="23" t="n">
        <v>17.75</v>
      </c>
      <c r="I480" s="21" t="s">
        <v>45</v>
      </c>
      <c r="J480" s="21" t="n">
        <v>5</v>
      </c>
      <c r="K480" s="21" t="s">
        <v>46</v>
      </c>
      <c r="L480" s="24" t="n">
        <f aca="false">DATE(YEAR(C480),MONTH(C480),1)</f>
        <v>42979</v>
      </c>
      <c r="M480" s="21" t="n">
        <f aca="false">D480-C480</f>
        <v>9</v>
      </c>
      <c r="N480" s="21" t="n">
        <f aca="false">MAX(0,D480-E480)</f>
        <v>0</v>
      </c>
      <c r="O480" s="21" t="n">
        <f aca="false">IF(D480&lt;=E480,1,0)</f>
        <v>1</v>
      </c>
      <c r="P480" s="23" t="n">
        <f aca="false">G480+H480</f>
        <v>90.04</v>
      </c>
      <c r="Q480" s="23" t="n">
        <f aca="false">G480*INDEX(Assumptions!$B$8:$B$16,MATCH(F480,Assumptions!$A$8:$A$16,0))</f>
        <v>49.1572</v>
      </c>
      <c r="R480" s="23" t="n">
        <f aca="false">H480*Assumptions!$B$3</f>
        <v>10.65</v>
      </c>
      <c r="S480" s="23" t="n">
        <f aca="false">G480-Q480-R480</f>
        <v>12.4828</v>
      </c>
      <c r="T480" s="21" t="str">
        <f aca="false">IF(M480&lt;=7,"0-7 days",IF(M480&lt;=14,"8-14 days",IF(M480&lt;=21,"15-21 days","22+ days")))</f>
        <v>8-14 days</v>
      </c>
    </row>
    <row r="481" customFormat="false" ht="15" hidden="false" customHeight="false" outlineLevel="0" collapsed="false">
      <c r="A481" s="21" t="s">
        <v>547</v>
      </c>
      <c r="B481" s="21" t="s">
        <v>48</v>
      </c>
      <c r="C481" s="22" t="n">
        <v>43003</v>
      </c>
      <c r="D481" s="22" t="n">
        <v>43027</v>
      </c>
      <c r="E481" s="22" t="n">
        <v>43023</v>
      </c>
      <c r="F481" s="21" t="s">
        <v>111</v>
      </c>
      <c r="G481" s="23" t="n">
        <v>44.46</v>
      </c>
      <c r="H481" s="23" t="n">
        <v>16.13</v>
      </c>
      <c r="I481" s="21" t="s">
        <v>60</v>
      </c>
      <c r="J481" s="21" t="n">
        <v>1</v>
      </c>
      <c r="K481" s="21" t="s">
        <v>46</v>
      </c>
      <c r="L481" s="24" t="n">
        <f aca="false">DATE(YEAR(C481),MONTH(C481),1)</f>
        <v>42979</v>
      </c>
      <c r="M481" s="21" t="n">
        <f aca="false">D481-C481</f>
        <v>24</v>
      </c>
      <c r="N481" s="21" t="n">
        <f aca="false">MAX(0,D481-E481)</f>
        <v>4</v>
      </c>
      <c r="O481" s="21" t="n">
        <f aca="false">IF(D481&lt;=E481,1,0)</f>
        <v>0</v>
      </c>
      <c r="P481" s="23" t="n">
        <f aca="false">G481+H481</f>
        <v>60.59</v>
      </c>
      <c r="Q481" s="23" t="n">
        <f aca="false">G481*INDEX(Assumptions!$B$8:$B$16,MATCH(F481,Assumptions!$A$8:$A$16,0))</f>
        <v>28.0098</v>
      </c>
      <c r="R481" s="23" t="n">
        <f aca="false">H481*Assumptions!$B$3</f>
        <v>9.678</v>
      </c>
      <c r="S481" s="23" t="n">
        <f aca="false">G481-Q481-R481</f>
        <v>6.7722</v>
      </c>
      <c r="T481" s="21" t="str">
        <f aca="false">IF(M481&lt;=7,"0-7 days",IF(M481&lt;=14,"8-14 days",IF(M481&lt;=21,"15-21 days","22+ days")))</f>
        <v>22+ days</v>
      </c>
    </row>
    <row r="482" customFormat="false" ht="15" hidden="false" customHeight="false" outlineLevel="0" collapsed="false">
      <c r="A482" s="21" t="s">
        <v>548</v>
      </c>
      <c r="B482" s="21" t="s">
        <v>19</v>
      </c>
      <c r="C482" s="22" t="n">
        <v>43003</v>
      </c>
      <c r="D482" s="22" t="n">
        <v>43009</v>
      </c>
      <c r="E482" s="22" t="n">
        <v>43015</v>
      </c>
      <c r="F482" s="21" t="s">
        <v>79</v>
      </c>
      <c r="G482" s="23" t="n">
        <v>104.56</v>
      </c>
      <c r="H482" s="23" t="n">
        <v>19.25</v>
      </c>
      <c r="I482" s="21" t="s">
        <v>45</v>
      </c>
      <c r="J482" s="21" t="n">
        <v>3</v>
      </c>
      <c r="K482" s="21" t="s">
        <v>46</v>
      </c>
      <c r="L482" s="24" t="n">
        <f aca="false">DATE(YEAR(C482),MONTH(C482),1)</f>
        <v>42979</v>
      </c>
      <c r="M482" s="21" t="n">
        <f aca="false">D482-C482</f>
        <v>6</v>
      </c>
      <c r="N482" s="21" t="n">
        <f aca="false">MAX(0,D482-E482)</f>
        <v>0</v>
      </c>
      <c r="O482" s="21" t="n">
        <f aca="false">IF(D482&lt;=E482,1,0)</f>
        <v>1</v>
      </c>
      <c r="P482" s="23" t="n">
        <f aca="false">G482+H482</f>
        <v>123.81</v>
      </c>
      <c r="Q482" s="23" t="n">
        <f aca="false">G482*INDEX(Assumptions!$B$8:$B$16,MATCH(F482,Assumptions!$A$8:$A$16,0))</f>
        <v>73.192</v>
      </c>
      <c r="R482" s="23" t="n">
        <f aca="false">H482*Assumptions!$B$3</f>
        <v>11.55</v>
      </c>
      <c r="S482" s="23" t="n">
        <f aca="false">G482-Q482-R482</f>
        <v>19.818</v>
      </c>
      <c r="T482" s="21" t="str">
        <f aca="false">IF(M482&lt;=7,"0-7 days",IF(M482&lt;=14,"8-14 days",IF(M482&lt;=21,"15-21 days","22+ days")))</f>
        <v>0-7 days</v>
      </c>
    </row>
    <row r="483" customFormat="false" ht="15" hidden="false" customHeight="false" outlineLevel="0" collapsed="false">
      <c r="A483" s="21" t="s">
        <v>549</v>
      </c>
      <c r="B483" s="21" t="s">
        <v>19</v>
      </c>
      <c r="C483" s="22" t="n">
        <v>43004</v>
      </c>
      <c r="D483" s="22" t="n">
        <v>43012</v>
      </c>
      <c r="E483" s="22" t="n">
        <v>43019</v>
      </c>
      <c r="F483" s="21" t="s">
        <v>57</v>
      </c>
      <c r="G483" s="23" t="n">
        <v>79.81</v>
      </c>
      <c r="H483" s="23" t="n">
        <v>12.29</v>
      </c>
      <c r="I483" s="21" t="s">
        <v>45</v>
      </c>
      <c r="J483" s="21" t="n">
        <v>5</v>
      </c>
      <c r="K483" s="21" t="s">
        <v>46</v>
      </c>
      <c r="L483" s="24" t="n">
        <f aca="false">DATE(YEAR(C483),MONTH(C483),1)</f>
        <v>42979</v>
      </c>
      <c r="M483" s="21" t="n">
        <f aca="false">D483-C483</f>
        <v>8</v>
      </c>
      <c r="N483" s="21" t="n">
        <f aca="false">MAX(0,D483-E483)</f>
        <v>0</v>
      </c>
      <c r="O483" s="21" t="n">
        <f aca="false">IF(D483&lt;=E483,1,0)</f>
        <v>1</v>
      </c>
      <c r="P483" s="23" t="n">
        <f aca="false">G483+H483</f>
        <v>92.1</v>
      </c>
      <c r="Q483" s="23" t="n">
        <f aca="false">G483*INDEX(Assumptions!$B$8:$B$16,MATCH(F483,Assumptions!$A$8:$A$16,0))</f>
        <v>54.2708</v>
      </c>
      <c r="R483" s="23" t="n">
        <f aca="false">H483*Assumptions!$B$3</f>
        <v>7.374</v>
      </c>
      <c r="S483" s="23" t="n">
        <f aca="false">G483-Q483-R483</f>
        <v>18.1652</v>
      </c>
      <c r="T483" s="21" t="str">
        <f aca="false">IF(M483&lt;=7,"0-7 days",IF(M483&lt;=14,"8-14 days",IF(M483&lt;=21,"15-21 days","22+ days")))</f>
        <v>8-14 days</v>
      </c>
    </row>
    <row r="484" customFormat="false" ht="15" hidden="false" customHeight="false" outlineLevel="0" collapsed="false">
      <c r="A484" s="21" t="s">
        <v>550</v>
      </c>
      <c r="B484" s="21" t="s">
        <v>19</v>
      </c>
      <c r="C484" s="22" t="n">
        <v>43004</v>
      </c>
      <c r="D484" s="22" t="n">
        <v>43012</v>
      </c>
      <c r="E484" s="22" t="n">
        <v>43021</v>
      </c>
      <c r="F484" s="21" t="s">
        <v>59</v>
      </c>
      <c r="G484" s="23" t="n">
        <v>133.49</v>
      </c>
      <c r="H484" s="23" t="n">
        <v>16.65</v>
      </c>
      <c r="I484" s="21" t="s">
        <v>45</v>
      </c>
      <c r="J484" s="21" t="n">
        <v>5</v>
      </c>
      <c r="K484" s="21" t="s">
        <v>46</v>
      </c>
      <c r="L484" s="24" t="n">
        <f aca="false">DATE(YEAR(C484),MONTH(C484),1)</f>
        <v>42979</v>
      </c>
      <c r="M484" s="21" t="n">
        <f aca="false">D484-C484</f>
        <v>8</v>
      </c>
      <c r="N484" s="21" t="n">
        <f aca="false">MAX(0,D484-E484)</f>
        <v>0</v>
      </c>
      <c r="O484" s="21" t="n">
        <f aca="false">IF(D484&lt;=E484,1,0)</f>
        <v>1</v>
      </c>
      <c r="P484" s="23" t="n">
        <f aca="false">G484+H484</f>
        <v>150.14</v>
      </c>
      <c r="Q484" s="23" t="n">
        <f aca="false">G484*INDEX(Assumptions!$B$8:$B$16,MATCH(F484,Assumptions!$A$8:$A$16,0))</f>
        <v>85.4336</v>
      </c>
      <c r="R484" s="23" t="n">
        <f aca="false">H484*Assumptions!$B$3</f>
        <v>9.99</v>
      </c>
      <c r="S484" s="23" t="n">
        <f aca="false">G484-Q484-R484</f>
        <v>38.0664</v>
      </c>
      <c r="T484" s="21" t="str">
        <f aca="false">IF(M484&lt;=7,"0-7 days",IF(M484&lt;=14,"8-14 days",IF(M484&lt;=21,"15-21 days","22+ days")))</f>
        <v>8-14 days</v>
      </c>
    </row>
    <row r="485" customFormat="false" ht="15" hidden="false" customHeight="false" outlineLevel="0" collapsed="false">
      <c r="A485" s="21" t="s">
        <v>551</v>
      </c>
      <c r="B485" s="21" t="s">
        <v>62</v>
      </c>
      <c r="C485" s="22" t="n">
        <v>43004</v>
      </c>
      <c r="D485" s="22" t="n">
        <v>43014</v>
      </c>
      <c r="E485" s="22" t="n">
        <v>43024</v>
      </c>
      <c r="F485" s="21" t="s">
        <v>67</v>
      </c>
      <c r="G485" s="23" t="n">
        <v>64.22</v>
      </c>
      <c r="H485" s="23" t="n">
        <v>25.71</v>
      </c>
      <c r="I485" s="21" t="s">
        <v>60</v>
      </c>
      <c r="J485" s="21" t="n">
        <v>4</v>
      </c>
      <c r="K485" s="21" t="s">
        <v>46</v>
      </c>
      <c r="L485" s="24" t="n">
        <f aca="false">DATE(YEAR(C485),MONTH(C485),1)</f>
        <v>42979</v>
      </c>
      <c r="M485" s="21" t="n">
        <f aca="false">D485-C485</f>
        <v>10</v>
      </c>
      <c r="N485" s="21" t="n">
        <f aca="false">MAX(0,D485-E485)</f>
        <v>0</v>
      </c>
      <c r="O485" s="21" t="n">
        <f aca="false">IF(D485&lt;=E485,1,0)</f>
        <v>1</v>
      </c>
      <c r="P485" s="23" t="n">
        <f aca="false">G485+H485</f>
        <v>89.93</v>
      </c>
      <c r="Q485" s="23" t="n">
        <f aca="false">G485*INDEX(Assumptions!$B$8:$B$16,MATCH(F485,Assumptions!$A$8:$A$16,0))</f>
        <v>39.8164</v>
      </c>
      <c r="R485" s="23" t="n">
        <f aca="false">H485*Assumptions!$B$3</f>
        <v>15.426</v>
      </c>
      <c r="S485" s="23" t="n">
        <f aca="false">G485-Q485-R485</f>
        <v>8.9776</v>
      </c>
      <c r="T485" s="21" t="str">
        <f aca="false">IF(M485&lt;=7,"0-7 days",IF(M485&lt;=14,"8-14 days",IF(M485&lt;=21,"15-21 days","22+ days")))</f>
        <v>8-14 days</v>
      </c>
    </row>
    <row r="486" customFormat="false" ht="15" hidden="false" customHeight="false" outlineLevel="0" collapsed="false">
      <c r="A486" s="21" t="s">
        <v>552</v>
      </c>
      <c r="B486" s="21" t="s">
        <v>93</v>
      </c>
      <c r="C486" s="22" t="n">
        <v>43005</v>
      </c>
      <c r="D486" s="22" t="n">
        <v>43033</v>
      </c>
      <c r="E486" s="22" t="n">
        <v>43036</v>
      </c>
      <c r="F486" s="21" t="s">
        <v>79</v>
      </c>
      <c r="G486" s="23" t="n">
        <v>63.82</v>
      </c>
      <c r="H486" s="23" t="n">
        <v>22.01</v>
      </c>
      <c r="I486" s="21" t="s">
        <v>50</v>
      </c>
      <c r="J486" s="21" t="n">
        <v>4</v>
      </c>
      <c r="K486" s="21" t="s">
        <v>46</v>
      </c>
      <c r="L486" s="24" t="n">
        <f aca="false">DATE(YEAR(C486),MONTH(C486),1)</f>
        <v>42979</v>
      </c>
      <c r="M486" s="21" t="n">
        <f aca="false">D486-C486</f>
        <v>28</v>
      </c>
      <c r="N486" s="21" t="n">
        <f aca="false">MAX(0,D486-E486)</f>
        <v>0</v>
      </c>
      <c r="O486" s="21" t="n">
        <f aca="false">IF(D486&lt;=E486,1,0)</f>
        <v>1</v>
      </c>
      <c r="P486" s="23" t="n">
        <f aca="false">G486+H486</f>
        <v>85.83</v>
      </c>
      <c r="Q486" s="23" t="n">
        <f aca="false">G486*INDEX(Assumptions!$B$8:$B$16,MATCH(F486,Assumptions!$A$8:$A$16,0))</f>
        <v>44.674</v>
      </c>
      <c r="R486" s="23" t="n">
        <f aca="false">H486*Assumptions!$B$3</f>
        <v>13.206</v>
      </c>
      <c r="S486" s="23" t="n">
        <f aca="false">G486-Q486-R486</f>
        <v>5.94</v>
      </c>
      <c r="T486" s="21" t="str">
        <f aca="false">IF(M486&lt;=7,"0-7 days",IF(M486&lt;=14,"8-14 days",IF(M486&lt;=21,"15-21 days","22+ days")))</f>
        <v>22+ days</v>
      </c>
    </row>
    <row r="487" customFormat="false" ht="15" hidden="false" customHeight="false" outlineLevel="0" collapsed="false">
      <c r="A487" s="21" t="s">
        <v>553</v>
      </c>
      <c r="B487" s="21" t="s">
        <v>19</v>
      </c>
      <c r="C487" s="22" t="n">
        <v>43005</v>
      </c>
      <c r="D487" s="22" t="n">
        <v>43013</v>
      </c>
      <c r="E487" s="22" t="n">
        <v>43019</v>
      </c>
      <c r="F487" s="21" t="s">
        <v>64</v>
      </c>
      <c r="G487" s="23" t="n">
        <v>161.26</v>
      </c>
      <c r="H487" s="23" t="n">
        <v>16.14</v>
      </c>
      <c r="I487" s="21" t="s">
        <v>45</v>
      </c>
      <c r="J487" s="21" t="n">
        <v>5</v>
      </c>
      <c r="K487" s="21" t="s">
        <v>46</v>
      </c>
      <c r="L487" s="24" t="n">
        <f aca="false">DATE(YEAR(C487),MONTH(C487),1)</f>
        <v>42979</v>
      </c>
      <c r="M487" s="21" t="n">
        <f aca="false">D487-C487</f>
        <v>8</v>
      </c>
      <c r="N487" s="21" t="n">
        <f aca="false">MAX(0,D487-E487)</f>
        <v>0</v>
      </c>
      <c r="O487" s="21" t="n">
        <f aca="false">IF(D487&lt;=E487,1,0)</f>
        <v>1</v>
      </c>
      <c r="P487" s="23" t="n">
        <f aca="false">G487+H487</f>
        <v>177.4</v>
      </c>
      <c r="Q487" s="23" t="n">
        <f aca="false">G487*INDEX(Assumptions!$B$8:$B$16,MATCH(F487,Assumptions!$A$8:$A$16,0))</f>
        <v>106.4316</v>
      </c>
      <c r="R487" s="23" t="n">
        <f aca="false">H487*Assumptions!$B$3</f>
        <v>9.684</v>
      </c>
      <c r="S487" s="23" t="n">
        <f aca="false">G487-Q487-R487</f>
        <v>45.1444</v>
      </c>
      <c r="T487" s="21" t="str">
        <f aca="false">IF(M487&lt;=7,"0-7 days",IF(M487&lt;=14,"8-14 days",IF(M487&lt;=21,"15-21 days","22+ days")))</f>
        <v>8-14 days</v>
      </c>
    </row>
    <row r="488" customFormat="false" ht="15" hidden="false" customHeight="false" outlineLevel="0" collapsed="false">
      <c r="A488" s="21" t="s">
        <v>554</v>
      </c>
      <c r="B488" s="21" t="s">
        <v>55</v>
      </c>
      <c r="C488" s="22" t="n">
        <v>43005</v>
      </c>
      <c r="D488" s="22" t="n">
        <v>43017</v>
      </c>
      <c r="E488" s="22" t="n">
        <v>43030</v>
      </c>
      <c r="F488" s="21" t="s">
        <v>44</v>
      </c>
      <c r="G488" s="23" t="n">
        <v>51.96</v>
      </c>
      <c r="H488" s="23" t="n">
        <v>21.77</v>
      </c>
      <c r="I488" s="21" t="s">
        <v>45</v>
      </c>
      <c r="J488" s="21" t="n">
        <v>4</v>
      </c>
      <c r="K488" s="21" t="s">
        <v>46</v>
      </c>
      <c r="L488" s="24" t="n">
        <f aca="false">DATE(YEAR(C488),MONTH(C488),1)</f>
        <v>42979</v>
      </c>
      <c r="M488" s="21" t="n">
        <f aca="false">D488-C488</f>
        <v>12</v>
      </c>
      <c r="N488" s="21" t="n">
        <f aca="false">MAX(0,D488-E488)</f>
        <v>0</v>
      </c>
      <c r="O488" s="21" t="n">
        <f aca="false">IF(D488&lt;=E488,1,0)</f>
        <v>1</v>
      </c>
      <c r="P488" s="23" t="n">
        <f aca="false">G488+H488</f>
        <v>73.73</v>
      </c>
      <c r="Q488" s="23" t="n">
        <f aca="false">G488*INDEX(Assumptions!$B$8:$B$16,MATCH(F488,Assumptions!$A$8:$A$16,0))</f>
        <v>31.176</v>
      </c>
      <c r="R488" s="23" t="n">
        <f aca="false">H488*Assumptions!$B$3</f>
        <v>13.062</v>
      </c>
      <c r="S488" s="23" t="n">
        <f aca="false">G488-Q488-R488</f>
        <v>7.722</v>
      </c>
      <c r="T488" s="21" t="str">
        <f aca="false">IF(M488&lt;=7,"0-7 days",IF(M488&lt;=14,"8-14 days",IF(M488&lt;=21,"15-21 days","22+ days")))</f>
        <v>8-14 days</v>
      </c>
    </row>
    <row r="489" customFormat="false" ht="15" hidden="false" customHeight="false" outlineLevel="0" collapsed="false">
      <c r="A489" s="21" t="s">
        <v>555</v>
      </c>
      <c r="B489" s="21" t="s">
        <v>19</v>
      </c>
      <c r="C489" s="22" t="n">
        <v>43005</v>
      </c>
      <c r="D489" s="22" t="n">
        <v>43017</v>
      </c>
      <c r="E489" s="22" t="n">
        <v>43025</v>
      </c>
      <c r="F489" s="21" t="s">
        <v>67</v>
      </c>
      <c r="G489" s="23" t="n">
        <v>102.42</v>
      </c>
      <c r="H489" s="23" t="n">
        <v>17.89</v>
      </c>
      <c r="I489" s="21" t="s">
        <v>45</v>
      </c>
      <c r="J489" s="21" t="n">
        <v>4</v>
      </c>
      <c r="K489" s="21" t="s">
        <v>46</v>
      </c>
      <c r="L489" s="24" t="n">
        <f aca="false">DATE(YEAR(C489),MONTH(C489),1)</f>
        <v>42979</v>
      </c>
      <c r="M489" s="21" t="n">
        <f aca="false">D489-C489</f>
        <v>12</v>
      </c>
      <c r="N489" s="21" t="n">
        <f aca="false">MAX(0,D489-E489)</f>
        <v>0</v>
      </c>
      <c r="O489" s="21" t="n">
        <f aca="false">IF(D489&lt;=E489,1,0)</f>
        <v>1</v>
      </c>
      <c r="P489" s="23" t="n">
        <f aca="false">G489+H489</f>
        <v>120.31</v>
      </c>
      <c r="Q489" s="23" t="n">
        <f aca="false">G489*INDEX(Assumptions!$B$8:$B$16,MATCH(F489,Assumptions!$A$8:$A$16,0))</f>
        <v>63.5004</v>
      </c>
      <c r="R489" s="23" t="n">
        <f aca="false">H489*Assumptions!$B$3</f>
        <v>10.734</v>
      </c>
      <c r="S489" s="23" t="n">
        <f aca="false">G489-Q489-R489</f>
        <v>28.1856</v>
      </c>
      <c r="T489" s="21" t="str">
        <f aca="false">IF(M489&lt;=7,"0-7 days",IF(M489&lt;=14,"8-14 days",IF(M489&lt;=21,"15-21 days","22+ days")))</f>
        <v>8-14 days</v>
      </c>
    </row>
    <row r="490" customFormat="false" ht="15" hidden="false" customHeight="false" outlineLevel="0" collapsed="false">
      <c r="A490" s="21" t="s">
        <v>556</v>
      </c>
      <c r="B490" s="21" t="s">
        <v>19</v>
      </c>
      <c r="C490" s="22" t="n">
        <v>43006</v>
      </c>
      <c r="D490" s="22" t="n">
        <v>43023</v>
      </c>
      <c r="E490" s="22" t="n">
        <v>43022</v>
      </c>
      <c r="F490" s="21" t="s">
        <v>64</v>
      </c>
      <c r="G490" s="23" t="n">
        <v>389.13</v>
      </c>
      <c r="H490" s="23" t="n">
        <v>22.88</v>
      </c>
      <c r="I490" s="21" t="s">
        <v>45</v>
      </c>
      <c r="J490" s="21" t="n">
        <v>4</v>
      </c>
      <c r="K490" s="21" t="s">
        <v>46</v>
      </c>
      <c r="L490" s="24" t="n">
        <f aca="false">DATE(YEAR(C490),MONTH(C490),1)</f>
        <v>42979</v>
      </c>
      <c r="M490" s="21" t="n">
        <f aca="false">D490-C490</f>
        <v>17</v>
      </c>
      <c r="N490" s="21" t="n">
        <f aca="false">MAX(0,D490-E490)</f>
        <v>1</v>
      </c>
      <c r="O490" s="21" t="n">
        <f aca="false">IF(D490&lt;=E490,1,0)</f>
        <v>0</v>
      </c>
      <c r="P490" s="23" t="n">
        <f aca="false">G490+H490</f>
        <v>412.01</v>
      </c>
      <c r="Q490" s="23" t="n">
        <f aca="false">G490*INDEX(Assumptions!$B$8:$B$16,MATCH(F490,Assumptions!$A$8:$A$16,0))</f>
        <v>256.8258</v>
      </c>
      <c r="R490" s="23" t="n">
        <f aca="false">H490*Assumptions!$B$3</f>
        <v>13.728</v>
      </c>
      <c r="S490" s="23" t="n">
        <f aca="false">G490-Q490-R490</f>
        <v>118.5762</v>
      </c>
      <c r="T490" s="21" t="str">
        <f aca="false">IF(M490&lt;=7,"0-7 days",IF(M490&lt;=14,"8-14 days",IF(M490&lt;=21,"15-21 days","22+ days")))</f>
        <v>15-21 days</v>
      </c>
    </row>
    <row r="491" customFormat="false" ht="15" hidden="false" customHeight="false" outlineLevel="0" collapsed="false">
      <c r="A491" s="21" t="s">
        <v>557</v>
      </c>
      <c r="B491" s="21" t="s">
        <v>48</v>
      </c>
      <c r="C491" s="22" t="n">
        <v>43006</v>
      </c>
      <c r="D491" s="22" t="n">
        <v>43016</v>
      </c>
      <c r="E491" s="22" t="n">
        <v>43027</v>
      </c>
      <c r="F491" s="21" t="s">
        <v>67</v>
      </c>
      <c r="G491" s="23" t="n">
        <v>31.53</v>
      </c>
      <c r="H491" s="23" t="n">
        <v>16.28</v>
      </c>
      <c r="I491" s="21" t="s">
        <v>45</v>
      </c>
      <c r="J491" s="21" t="n">
        <v>5</v>
      </c>
      <c r="K491" s="21" t="s">
        <v>46</v>
      </c>
      <c r="L491" s="24" t="n">
        <f aca="false">DATE(YEAR(C491),MONTH(C491),1)</f>
        <v>42979</v>
      </c>
      <c r="M491" s="21" t="n">
        <f aca="false">D491-C491</f>
        <v>10</v>
      </c>
      <c r="N491" s="21" t="n">
        <f aca="false">MAX(0,D491-E491)</f>
        <v>0</v>
      </c>
      <c r="O491" s="21" t="n">
        <f aca="false">IF(D491&lt;=E491,1,0)</f>
        <v>1</v>
      </c>
      <c r="P491" s="23" t="n">
        <f aca="false">G491+H491</f>
        <v>47.81</v>
      </c>
      <c r="Q491" s="23" t="n">
        <f aca="false">G491*INDEX(Assumptions!$B$8:$B$16,MATCH(F491,Assumptions!$A$8:$A$16,0))</f>
        <v>19.5486</v>
      </c>
      <c r="R491" s="23" t="n">
        <f aca="false">H491*Assumptions!$B$3</f>
        <v>9.768</v>
      </c>
      <c r="S491" s="23" t="n">
        <f aca="false">G491-Q491-R491</f>
        <v>2.2134</v>
      </c>
      <c r="T491" s="21" t="str">
        <f aca="false">IF(M491&lt;=7,"0-7 days",IF(M491&lt;=14,"8-14 days",IF(M491&lt;=21,"15-21 days","22+ days")))</f>
        <v>8-14 days</v>
      </c>
    </row>
    <row r="492" customFormat="false" ht="15" hidden="false" customHeight="false" outlineLevel="0" collapsed="false">
      <c r="A492" s="21" t="s">
        <v>558</v>
      </c>
      <c r="B492" s="21" t="s">
        <v>62</v>
      </c>
      <c r="C492" s="22" t="n">
        <v>43006</v>
      </c>
      <c r="D492" s="22" t="n">
        <v>43022</v>
      </c>
      <c r="E492" s="22" t="n">
        <v>43024</v>
      </c>
      <c r="F492" s="21" t="s">
        <v>67</v>
      </c>
      <c r="G492" s="23" t="n">
        <v>31.14</v>
      </c>
      <c r="H492" s="23" t="n">
        <v>25.86</v>
      </c>
      <c r="I492" s="21" t="s">
        <v>45</v>
      </c>
      <c r="J492" s="21" t="n">
        <v>5</v>
      </c>
      <c r="K492" s="21" t="s">
        <v>46</v>
      </c>
      <c r="L492" s="24" t="n">
        <f aca="false">DATE(YEAR(C492),MONTH(C492),1)</f>
        <v>42979</v>
      </c>
      <c r="M492" s="21" t="n">
        <f aca="false">D492-C492</f>
        <v>16</v>
      </c>
      <c r="N492" s="21" t="n">
        <f aca="false">MAX(0,D492-E492)</f>
        <v>0</v>
      </c>
      <c r="O492" s="21" t="n">
        <f aca="false">IF(D492&lt;=E492,1,0)</f>
        <v>1</v>
      </c>
      <c r="P492" s="23" t="n">
        <f aca="false">G492+H492</f>
        <v>57</v>
      </c>
      <c r="Q492" s="23" t="n">
        <f aca="false">G492*INDEX(Assumptions!$B$8:$B$16,MATCH(F492,Assumptions!$A$8:$A$16,0))</f>
        <v>19.3068</v>
      </c>
      <c r="R492" s="23" t="n">
        <f aca="false">H492*Assumptions!$B$3</f>
        <v>15.516</v>
      </c>
      <c r="S492" s="23" t="n">
        <f aca="false">G492-Q492-R492</f>
        <v>-3.6828</v>
      </c>
      <c r="T492" s="21" t="str">
        <f aca="false">IF(M492&lt;=7,"0-7 days",IF(M492&lt;=14,"8-14 days",IF(M492&lt;=21,"15-21 days","22+ days")))</f>
        <v>15-21 days</v>
      </c>
    </row>
    <row r="493" customFormat="false" ht="15" hidden="false" customHeight="false" outlineLevel="0" collapsed="false">
      <c r="A493" s="21" t="s">
        <v>559</v>
      </c>
      <c r="B493" s="21" t="s">
        <v>19</v>
      </c>
      <c r="C493" s="22" t="n">
        <v>43008</v>
      </c>
      <c r="D493" s="22" t="n">
        <v>43015</v>
      </c>
      <c r="E493" s="22" t="n">
        <v>43025</v>
      </c>
      <c r="F493" s="21" t="s">
        <v>79</v>
      </c>
      <c r="G493" s="23" t="n">
        <v>106.25</v>
      </c>
      <c r="H493" s="23" t="n">
        <v>19.99</v>
      </c>
      <c r="I493" s="21" t="s">
        <v>45</v>
      </c>
      <c r="J493" s="21" t="n">
        <v>4</v>
      </c>
      <c r="K493" s="21" t="s">
        <v>46</v>
      </c>
      <c r="L493" s="24" t="n">
        <f aca="false">DATE(YEAR(C493),MONTH(C493),1)</f>
        <v>42979</v>
      </c>
      <c r="M493" s="21" t="n">
        <f aca="false">D493-C493</f>
        <v>7</v>
      </c>
      <c r="N493" s="21" t="n">
        <f aca="false">MAX(0,D493-E493)</f>
        <v>0</v>
      </c>
      <c r="O493" s="21" t="n">
        <f aca="false">IF(D493&lt;=E493,1,0)</f>
        <v>1</v>
      </c>
      <c r="P493" s="23" t="n">
        <f aca="false">G493+H493</f>
        <v>126.24</v>
      </c>
      <c r="Q493" s="23" t="n">
        <f aca="false">G493*INDEX(Assumptions!$B$8:$B$16,MATCH(F493,Assumptions!$A$8:$A$16,0))</f>
        <v>74.375</v>
      </c>
      <c r="R493" s="23" t="n">
        <f aca="false">H493*Assumptions!$B$3</f>
        <v>11.994</v>
      </c>
      <c r="S493" s="23" t="n">
        <f aca="false">G493-Q493-R493</f>
        <v>19.881</v>
      </c>
      <c r="T493" s="21" t="str">
        <f aca="false">IF(M493&lt;=7,"0-7 days",IF(M493&lt;=14,"8-14 days",IF(M493&lt;=21,"15-21 days","22+ days")))</f>
        <v>0-7 days</v>
      </c>
    </row>
    <row r="494" customFormat="false" ht="15" hidden="false" customHeight="false" outlineLevel="0" collapsed="false">
      <c r="A494" s="21" t="s">
        <v>560</v>
      </c>
      <c r="B494" s="21" t="s">
        <v>55</v>
      </c>
      <c r="C494" s="22" t="n">
        <v>43009</v>
      </c>
      <c r="D494" s="22" t="n">
        <v>43023</v>
      </c>
      <c r="E494" s="22" t="n">
        <v>43036</v>
      </c>
      <c r="F494" s="21" t="s">
        <v>53</v>
      </c>
      <c r="G494" s="23" t="n">
        <v>34.84</v>
      </c>
      <c r="H494" s="23" t="n">
        <v>24.96</v>
      </c>
      <c r="I494" s="21" t="s">
        <v>45</v>
      </c>
      <c r="J494" s="21" t="n">
        <v>4</v>
      </c>
      <c r="K494" s="21" t="s">
        <v>46</v>
      </c>
      <c r="L494" s="24" t="n">
        <f aca="false">DATE(YEAR(C494),MONTH(C494),1)</f>
        <v>43009</v>
      </c>
      <c r="M494" s="21" t="n">
        <f aca="false">D494-C494</f>
        <v>14</v>
      </c>
      <c r="N494" s="21" t="n">
        <f aca="false">MAX(0,D494-E494)</f>
        <v>0</v>
      </c>
      <c r="O494" s="21" t="n">
        <f aca="false">IF(D494&lt;=E494,1,0)</f>
        <v>1</v>
      </c>
      <c r="P494" s="23" t="n">
        <f aca="false">G494+H494</f>
        <v>59.8</v>
      </c>
      <c r="Q494" s="23" t="n">
        <f aca="false">G494*INDEX(Assumptions!$B$8:$B$16,MATCH(F494,Assumptions!$A$8:$A$16,0))</f>
        <v>25.7816</v>
      </c>
      <c r="R494" s="23" t="n">
        <f aca="false">H494*Assumptions!$B$3</f>
        <v>14.976</v>
      </c>
      <c r="S494" s="23" t="n">
        <f aca="false">G494-Q494-R494</f>
        <v>-5.9176</v>
      </c>
      <c r="T494" s="21" t="str">
        <f aca="false">IF(M494&lt;=7,"0-7 days",IF(M494&lt;=14,"8-14 days",IF(M494&lt;=21,"15-21 days","22+ days")))</f>
        <v>8-14 days</v>
      </c>
    </row>
    <row r="495" customFormat="false" ht="15" hidden="false" customHeight="false" outlineLevel="0" collapsed="false">
      <c r="A495" s="21" t="s">
        <v>561</v>
      </c>
      <c r="B495" s="21" t="s">
        <v>52</v>
      </c>
      <c r="C495" s="22" t="n">
        <v>43010</v>
      </c>
      <c r="D495" s="22" t="n">
        <v>43033</v>
      </c>
      <c r="E495" s="22" t="n">
        <v>43034</v>
      </c>
      <c r="F495" s="21" t="s">
        <v>64</v>
      </c>
      <c r="G495" s="23" t="n">
        <v>70.34</v>
      </c>
      <c r="H495" s="23" t="n">
        <v>31.35</v>
      </c>
      <c r="I495" s="21" t="s">
        <v>45</v>
      </c>
      <c r="J495" s="21" t="n">
        <v>4</v>
      </c>
      <c r="K495" s="21" t="s">
        <v>46</v>
      </c>
      <c r="L495" s="24" t="n">
        <f aca="false">DATE(YEAR(C495),MONTH(C495),1)</f>
        <v>43009</v>
      </c>
      <c r="M495" s="21" t="n">
        <f aca="false">D495-C495</f>
        <v>23</v>
      </c>
      <c r="N495" s="21" t="n">
        <f aca="false">MAX(0,D495-E495)</f>
        <v>0</v>
      </c>
      <c r="O495" s="21" t="n">
        <f aca="false">IF(D495&lt;=E495,1,0)</f>
        <v>1</v>
      </c>
      <c r="P495" s="23" t="n">
        <f aca="false">G495+H495</f>
        <v>101.69</v>
      </c>
      <c r="Q495" s="23" t="n">
        <f aca="false">G495*INDEX(Assumptions!$B$8:$B$16,MATCH(F495,Assumptions!$A$8:$A$16,0))</f>
        <v>46.4244</v>
      </c>
      <c r="R495" s="23" t="n">
        <f aca="false">H495*Assumptions!$B$3</f>
        <v>18.81</v>
      </c>
      <c r="S495" s="23" t="n">
        <f aca="false">G495-Q495-R495</f>
        <v>5.1056</v>
      </c>
      <c r="T495" s="21" t="str">
        <f aca="false">IF(M495&lt;=7,"0-7 days",IF(M495&lt;=14,"8-14 days",IF(M495&lt;=21,"15-21 days","22+ days")))</f>
        <v>22+ days</v>
      </c>
    </row>
    <row r="496" customFormat="false" ht="15" hidden="false" customHeight="false" outlineLevel="0" collapsed="false">
      <c r="A496" s="21" t="s">
        <v>562</v>
      </c>
      <c r="B496" s="21" t="s">
        <v>55</v>
      </c>
      <c r="C496" s="22" t="n">
        <v>43010</v>
      </c>
      <c r="D496" s="22" t="n">
        <v>43019</v>
      </c>
      <c r="E496" s="22" t="n">
        <v>43033</v>
      </c>
      <c r="F496" s="21" t="s">
        <v>59</v>
      </c>
      <c r="G496" s="23" t="n">
        <v>67.87</v>
      </c>
      <c r="H496" s="23" t="n">
        <v>18.51</v>
      </c>
      <c r="I496" s="21" t="s">
        <v>50</v>
      </c>
      <c r="J496" s="21" t="n">
        <v>5</v>
      </c>
      <c r="K496" s="21" t="s">
        <v>46</v>
      </c>
      <c r="L496" s="24" t="n">
        <f aca="false">DATE(YEAR(C496),MONTH(C496),1)</f>
        <v>43009</v>
      </c>
      <c r="M496" s="21" t="n">
        <f aca="false">D496-C496</f>
        <v>9</v>
      </c>
      <c r="N496" s="21" t="n">
        <f aca="false">MAX(0,D496-E496)</f>
        <v>0</v>
      </c>
      <c r="O496" s="21" t="n">
        <f aca="false">IF(D496&lt;=E496,1,0)</f>
        <v>1</v>
      </c>
      <c r="P496" s="23" t="n">
        <f aca="false">G496+H496</f>
        <v>86.38</v>
      </c>
      <c r="Q496" s="23" t="n">
        <f aca="false">G496*INDEX(Assumptions!$B$8:$B$16,MATCH(F496,Assumptions!$A$8:$A$16,0))</f>
        <v>43.4368</v>
      </c>
      <c r="R496" s="23" t="n">
        <f aca="false">H496*Assumptions!$B$3</f>
        <v>11.106</v>
      </c>
      <c r="S496" s="23" t="n">
        <f aca="false">G496-Q496-R496</f>
        <v>13.3272</v>
      </c>
      <c r="T496" s="21" t="str">
        <f aca="false">IF(M496&lt;=7,"0-7 days",IF(M496&lt;=14,"8-14 days",IF(M496&lt;=21,"15-21 days","22+ days")))</f>
        <v>8-14 days</v>
      </c>
    </row>
    <row r="497" customFormat="false" ht="15" hidden="false" customHeight="false" outlineLevel="0" collapsed="false">
      <c r="A497" s="21" t="s">
        <v>563</v>
      </c>
      <c r="B497" s="21" t="s">
        <v>19</v>
      </c>
      <c r="C497" s="22" t="n">
        <v>43010</v>
      </c>
      <c r="D497" s="22" t="n">
        <v>43020</v>
      </c>
      <c r="E497" s="22" t="n">
        <v>43025</v>
      </c>
      <c r="F497" s="21" t="s">
        <v>44</v>
      </c>
      <c r="G497" s="23" t="n">
        <v>66.48</v>
      </c>
      <c r="H497" s="23" t="n">
        <v>20.41</v>
      </c>
      <c r="I497" s="21" t="s">
        <v>45</v>
      </c>
      <c r="J497" s="21" t="n">
        <v>4</v>
      </c>
      <c r="K497" s="21" t="s">
        <v>46</v>
      </c>
      <c r="L497" s="24" t="n">
        <f aca="false">DATE(YEAR(C497),MONTH(C497),1)</f>
        <v>43009</v>
      </c>
      <c r="M497" s="21" t="n">
        <f aca="false">D497-C497</f>
        <v>10</v>
      </c>
      <c r="N497" s="21" t="n">
        <f aca="false">MAX(0,D497-E497)</f>
        <v>0</v>
      </c>
      <c r="O497" s="21" t="n">
        <f aca="false">IF(D497&lt;=E497,1,0)</f>
        <v>1</v>
      </c>
      <c r="P497" s="23" t="n">
        <f aca="false">G497+H497</f>
        <v>86.89</v>
      </c>
      <c r="Q497" s="23" t="n">
        <f aca="false">G497*INDEX(Assumptions!$B$8:$B$16,MATCH(F497,Assumptions!$A$8:$A$16,0))</f>
        <v>39.888</v>
      </c>
      <c r="R497" s="23" t="n">
        <f aca="false">H497*Assumptions!$B$3</f>
        <v>12.246</v>
      </c>
      <c r="S497" s="23" t="n">
        <f aca="false">G497-Q497-R497</f>
        <v>14.346</v>
      </c>
      <c r="T497" s="21" t="str">
        <f aca="false">IF(M497&lt;=7,"0-7 days",IF(M497&lt;=14,"8-14 days",IF(M497&lt;=21,"15-21 days","22+ days")))</f>
        <v>8-14 days</v>
      </c>
    </row>
    <row r="498" customFormat="false" ht="15" hidden="false" customHeight="false" outlineLevel="0" collapsed="false">
      <c r="A498" s="21" t="s">
        <v>564</v>
      </c>
      <c r="B498" s="21" t="s">
        <v>19</v>
      </c>
      <c r="C498" s="22" t="n">
        <v>43010</v>
      </c>
      <c r="D498" s="22" t="n">
        <v>43014</v>
      </c>
      <c r="E498" s="22" t="n">
        <v>43026</v>
      </c>
      <c r="F498" s="21" t="s">
        <v>49</v>
      </c>
      <c r="G498" s="23" t="n">
        <v>63.36</v>
      </c>
      <c r="H498" s="23" t="n">
        <v>20.37</v>
      </c>
      <c r="I498" s="21" t="s">
        <v>45</v>
      </c>
      <c r="J498" s="21" t="n">
        <v>5</v>
      </c>
      <c r="K498" s="21" t="s">
        <v>46</v>
      </c>
      <c r="L498" s="24" t="n">
        <f aca="false">DATE(YEAR(C498),MONTH(C498),1)</f>
        <v>43009</v>
      </c>
      <c r="M498" s="21" t="n">
        <f aca="false">D498-C498</f>
        <v>4</v>
      </c>
      <c r="N498" s="21" t="n">
        <f aca="false">MAX(0,D498-E498)</f>
        <v>0</v>
      </c>
      <c r="O498" s="21" t="n">
        <f aca="false">IF(D498&lt;=E498,1,0)</f>
        <v>1</v>
      </c>
      <c r="P498" s="23" t="n">
        <f aca="false">G498+H498</f>
        <v>83.73</v>
      </c>
      <c r="Q498" s="23" t="n">
        <f aca="false">G498*INDEX(Assumptions!$B$8:$B$16,MATCH(F498,Assumptions!$A$8:$A$16,0))</f>
        <v>36.7488</v>
      </c>
      <c r="R498" s="23" t="n">
        <f aca="false">H498*Assumptions!$B$3</f>
        <v>12.222</v>
      </c>
      <c r="S498" s="23" t="n">
        <f aca="false">G498-Q498-R498</f>
        <v>14.3892</v>
      </c>
      <c r="T498" s="21" t="str">
        <f aca="false">IF(M498&lt;=7,"0-7 days",IF(M498&lt;=14,"8-14 days",IF(M498&lt;=21,"15-21 days","22+ days")))</f>
        <v>0-7 days</v>
      </c>
    </row>
    <row r="499" customFormat="false" ht="15" hidden="false" customHeight="false" outlineLevel="0" collapsed="false">
      <c r="A499" s="21" t="s">
        <v>565</v>
      </c>
      <c r="B499" s="21" t="s">
        <v>156</v>
      </c>
      <c r="C499" s="22" t="n">
        <v>43011</v>
      </c>
      <c r="D499" s="22" t="n">
        <v>43039</v>
      </c>
      <c r="E499" s="22" t="n">
        <v>43036</v>
      </c>
      <c r="F499" s="21" t="s">
        <v>53</v>
      </c>
      <c r="G499" s="23" t="n">
        <v>87.39</v>
      </c>
      <c r="H499" s="23" t="n">
        <v>29.86</v>
      </c>
      <c r="I499" s="21" t="s">
        <v>60</v>
      </c>
      <c r="J499" s="21" t="n">
        <v>3</v>
      </c>
      <c r="K499" s="21" t="s">
        <v>46</v>
      </c>
      <c r="L499" s="24" t="n">
        <f aca="false">DATE(YEAR(C499),MONTH(C499),1)</f>
        <v>43009</v>
      </c>
      <c r="M499" s="21" t="n">
        <f aca="false">D499-C499</f>
        <v>28</v>
      </c>
      <c r="N499" s="21" t="n">
        <f aca="false">MAX(0,D499-E499)</f>
        <v>3</v>
      </c>
      <c r="O499" s="21" t="n">
        <f aca="false">IF(D499&lt;=E499,1,0)</f>
        <v>0</v>
      </c>
      <c r="P499" s="23" t="n">
        <f aca="false">G499+H499</f>
        <v>117.25</v>
      </c>
      <c r="Q499" s="23" t="n">
        <f aca="false">G499*INDEX(Assumptions!$B$8:$B$16,MATCH(F499,Assumptions!$A$8:$A$16,0))</f>
        <v>64.6686</v>
      </c>
      <c r="R499" s="23" t="n">
        <f aca="false">H499*Assumptions!$B$3</f>
        <v>17.916</v>
      </c>
      <c r="S499" s="23" t="n">
        <f aca="false">G499-Q499-R499</f>
        <v>4.8054</v>
      </c>
      <c r="T499" s="21" t="str">
        <f aca="false">IF(M499&lt;=7,"0-7 days",IF(M499&lt;=14,"8-14 days",IF(M499&lt;=21,"15-21 days","22+ days")))</f>
        <v>22+ days</v>
      </c>
    </row>
    <row r="500" customFormat="false" ht="15" hidden="false" customHeight="false" outlineLevel="0" collapsed="false">
      <c r="A500" s="21" t="s">
        <v>566</v>
      </c>
      <c r="B500" s="21" t="s">
        <v>174</v>
      </c>
      <c r="C500" s="22" t="n">
        <v>43011</v>
      </c>
      <c r="D500" s="22" t="n">
        <v>43047</v>
      </c>
      <c r="E500" s="22" t="n">
        <v>43042</v>
      </c>
      <c r="F500" s="21" t="s">
        <v>67</v>
      </c>
      <c r="G500" s="23" t="n">
        <v>141.34</v>
      </c>
      <c r="H500" s="23" t="n">
        <v>30.81</v>
      </c>
      <c r="I500" s="21" t="s">
        <v>45</v>
      </c>
      <c r="J500" s="21" t="n">
        <v>3</v>
      </c>
      <c r="K500" s="21" t="s">
        <v>46</v>
      </c>
      <c r="L500" s="24" t="n">
        <f aca="false">DATE(YEAR(C500),MONTH(C500),1)</f>
        <v>43009</v>
      </c>
      <c r="M500" s="21" t="n">
        <f aca="false">D500-C500</f>
        <v>36</v>
      </c>
      <c r="N500" s="21" t="n">
        <f aca="false">MAX(0,D500-E500)</f>
        <v>5</v>
      </c>
      <c r="O500" s="21" t="n">
        <f aca="false">IF(D500&lt;=E500,1,0)</f>
        <v>0</v>
      </c>
      <c r="P500" s="23" t="n">
        <f aca="false">G500+H500</f>
        <v>172.15</v>
      </c>
      <c r="Q500" s="23" t="n">
        <f aca="false">G500*INDEX(Assumptions!$B$8:$B$16,MATCH(F500,Assumptions!$A$8:$A$16,0))</f>
        <v>87.6308</v>
      </c>
      <c r="R500" s="23" t="n">
        <f aca="false">H500*Assumptions!$B$3</f>
        <v>18.486</v>
      </c>
      <c r="S500" s="23" t="n">
        <f aca="false">G500-Q500-R500</f>
        <v>35.2232</v>
      </c>
      <c r="T500" s="21" t="str">
        <f aca="false">IF(M500&lt;=7,"0-7 days",IF(M500&lt;=14,"8-14 days",IF(M500&lt;=21,"15-21 days","22+ days")))</f>
        <v>22+ days</v>
      </c>
    </row>
    <row r="501" customFormat="false" ht="15" hidden="false" customHeight="false" outlineLevel="0" collapsed="false">
      <c r="A501" s="21" t="s">
        <v>567</v>
      </c>
      <c r="B501" s="21" t="s">
        <v>48</v>
      </c>
      <c r="C501" s="22" t="n">
        <v>43011</v>
      </c>
      <c r="D501" s="22" t="n">
        <v>43018</v>
      </c>
      <c r="E501" s="22" t="n">
        <v>43035</v>
      </c>
      <c r="F501" s="21" t="s">
        <v>53</v>
      </c>
      <c r="G501" s="23" t="n">
        <v>220.46</v>
      </c>
      <c r="H501" s="23" t="n">
        <v>25.2</v>
      </c>
      <c r="I501" s="21" t="s">
        <v>45</v>
      </c>
      <c r="J501" s="21" t="n">
        <v>5</v>
      </c>
      <c r="K501" s="21" t="s">
        <v>46</v>
      </c>
      <c r="L501" s="24" t="n">
        <f aca="false">DATE(YEAR(C501),MONTH(C501),1)</f>
        <v>43009</v>
      </c>
      <c r="M501" s="21" t="n">
        <f aca="false">D501-C501</f>
        <v>7</v>
      </c>
      <c r="N501" s="21" t="n">
        <f aca="false">MAX(0,D501-E501)</f>
        <v>0</v>
      </c>
      <c r="O501" s="21" t="n">
        <f aca="false">IF(D501&lt;=E501,1,0)</f>
        <v>1</v>
      </c>
      <c r="P501" s="23" t="n">
        <f aca="false">G501+H501</f>
        <v>245.66</v>
      </c>
      <c r="Q501" s="23" t="n">
        <f aca="false">G501*INDEX(Assumptions!$B$8:$B$16,MATCH(F501,Assumptions!$A$8:$A$16,0))</f>
        <v>163.1404</v>
      </c>
      <c r="R501" s="23" t="n">
        <f aca="false">H501*Assumptions!$B$3</f>
        <v>15.12</v>
      </c>
      <c r="S501" s="23" t="n">
        <f aca="false">G501-Q501-R501</f>
        <v>42.1996</v>
      </c>
      <c r="T501" s="21" t="str">
        <f aca="false">IF(M501&lt;=7,"0-7 days",IF(M501&lt;=14,"8-14 days",IF(M501&lt;=21,"15-21 days","22+ days")))</f>
        <v>0-7 days</v>
      </c>
    </row>
    <row r="502" customFormat="false" ht="15" hidden="false" customHeight="false" outlineLevel="0" collapsed="false">
      <c r="A502" s="21" t="s">
        <v>568</v>
      </c>
      <c r="B502" s="21" t="s">
        <v>19</v>
      </c>
      <c r="C502" s="22" t="n">
        <v>43011</v>
      </c>
      <c r="D502" s="22" t="n">
        <v>43027</v>
      </c>
      <c r="E502" s="22" t="n">
        <v>43026</v>
      </c>
      <c r="F502" s="21" t="s">
        <v>59</v>
      </c>
      <c r="G502" s="23" t="n">
        <v>81.31</v>
      </c>
      <c r="H502" s="23" t="n">
        <v>18.34</v>
      </c>
      <c r="I502" s="21" t="s">
        <v>60</v>
      </c>
      <c r="J502" s="21" t="n">
        <v>2</v>
      </c>
      <c r="K502" s="21" t="s">
        <v>46</v>
      </c>
      <c r="L502" s="24" t="n">
        <f aca="false">DATE(YEAR(C502),MONTH(C502),1)</f>
        <v>43009</v>
      </c>
      <c r="M502" s="21" t="n">
        <f aca="false">D502-C502</f>
        <v>16</v>
      </c>
      <c r="N502" s="21" t="n">
        <f aca="false">MAX(0,D502-E502)</f>
        <v>1</v>
      </c>
      <c r="O502" s="21" t="n">
        <f aca="false">IF(D502&lt;=E502,1,0)</f>
        <v>0</v>
      </c>
      <c r="P502" s="23" t="n">
        <f aca="false">G502+H502</f>
        <v>99.65</v>
      </c>
      <c r="Q502" s="23" t="n">
        <f aca="false">G502*INDEX(Assumptions!$B$8:$B$16,MATCH(F502,Assumptions!$A$8:$A$16,0))</f>
        <v>52.0384</v>
      </c>
      <c r="R502" s="23" t="n">
        <f aca="false">H502*Assumptions!$B$3</f>
        <v>11.004</v>
      </c>
      <c r="S502" s="23" t="n">
        <f aca="false">G502-Q502-R502</f>
        <v>18.2676</v>
      </c>
      <c r="T502" s="21" t="str">
        <f aca="false">IF(M502&lt;=7,"0-7 days",IF(M502&lt;=14,"8-14 days",IF(M502&lt;=21,"15-21 days","22+ days")))</f>
        <v>15-21 days</v>
      </c>
    </row>
    <row r="503" customFormat="false" ht="15" hidden="false" customHeight="false" outlineLevel="0" collapsed="false">
      <c r="A503" s="21" t="s">
        <v>569</v>
      </c>
      <c r="B503" s="21" t="s">
        <v>19</v>
      </c>
      <c r="C503" s="22" t="n">
        <v>43012</v>
      </c>
      <c r="D503" s="22" t="n">
        <v>43017</v>
      </c>
      <c r="E503" s="22" t="n">
        <v>43026</v>
      </c>
      <c r="F503" s="21" t="s">
        <v>44</v>
      </c>
      <c r="G503" s="23" t="n">
        <v>25.82</v>
      </c>
      <c r="H503" s="23" t="n">
        <v>21.18</v>
      </c>
      <c r="I503" s="21" t="s">
        <v>45</v>
      </c>
      <c r="J503" s="21" t="n">
        <v>4</v>
      </c>
      <c r="K503" s="21" t="s">
        <v>46</v>
      </c>
      <c r="L503" s="24" t="n">
        <f aca="false">DATE(YEAR(C503),MONTH(C503),1)</f>
        <v>43009</v>
      </c>
      <c r="M503" s="21" t="n">
        <f aca="false">D503-C503</f>
        <v>5</v>
      </c>
      <c r="N503" s="21" t="n">
        <f aca="false">MAX(0,D503-E503)</f>
        <v>0</v>
      </c>
      <c r="O503" s="21" t="n">
        <f aca="false">IF(D503&lt;=E503,1,0)</f>
        <v>1</v>
      </c>
      <c r="P503" s="23" t="n">
        <f aca="false">G503+H503</f>
        <v>47</v>
      </c>
      <c r="Q503" s="23" t="n">
        <f aca="false">G503*INDEX(Assumptions!$B$8:$B$16,MATCH(F503,Assumptions!$A$8:$A$16,0))</f>
        <v>15.492</v>
      </c>
      <c r="R503" s="23" t="n">
        <f aca="false">H503*Assumptions!$B$3</f>
        <v>12.708</v>
      </c>
      <c r="S503" s="23" t="n">
        <f aca="false">G503-Q503-R503</f>
        <v>-2.38</v>
      </c>
      <c r="T503" s="21" t="str">
        <f aca="false">IF(M503&lt;=7,"0-7 days",IF(M503&lt;=14,"8-14 days",IF(M503&lt;=21,"15-21 days","22+ days")))</f>
        <v>0-7 days</v>
      </c>
    </row>
    <row r="504" customFormat="false" ht="15" hidden="false" customHeight="false" outlineLevel="0" collapsed="false">
      <c r="A504" s="21" t="s">
        <v>570</v>
      </c>
      <c r="B504" s="21" t="s">
        <v>19</v>
      </c>
      <c r="C504" s="22" t="n">
        <v>43012</v>
      </c>
      <c r="D504" s="22" t="n">
        <v>43020</v>
      </c>
      <c r="E504" s="22" t="n">
        <v>43027</v>
      </c>
      <c r="F504" s="21" t="s">
        <v>57</v>
      </c>
      <c r="G504" s="23" t="n">
        <v>112.26</v>
      </c>
      <c r="H504" s="23" t="n">
        <v>17.6</v>
      </c>
      <c r="I504" s="21" t="s">
        <v>60</v>
      </c>
      <c r="J504" s="21" t="n">
        <v>5</v>
      </c>
      <c r="K504" s="21" t="s">
        <v>46</v>
      </c>
      <c r="L504" s="24" t="n">
        <f aca="false">DATE(YEAR(C504),MONTH(C504),1)</f>
        <v>43009</v>
      </c>
      <c r="M504" s="21" t="n">
        <f aca="false">D504-C504</f>
        <v>8</v>
      </c>
      <c r="N504" s="21" t="n">
        <f aca="false">MAX(0,D504-E504)</f>
        <v>0</v>
      </c>
      <c r="O504" s="21" t="n">
        <f aca="false">IF(D504&lt;=E504,1,0)</f>
        <v>1</v>
      </c>
      <c r="P504" s="23" t="n">
        <f aca="false">G504+H504</f>
        <v>129.86</v>
      </c>
      <c r="Q504" s="23" t="n">
        <f aca="false">G504*INDEX(Assumptions!$B$8:$B$16,MATCH(F504,Assumptions!$A$8:$A$16,0))</f>
        <v>76.3368</v>
      </c>
      <c r="R504" s="23" t="n">
        <f aca="false">H504*Assumptions!$B$3</f>
        <v>10.56</v>
      </c>
      <c r="S504" s="23" t="n">
        <f aca="false">G504-Q504-R504</f>
        <v>25.3632</v>
      </c>
      <c r="T504" s="21" t="str">
        <f aca="false">IF(M504&lt;=7,"0-7 days",IF(M504&lt;=14,"8-14 days",IF(M504&lt;=21,"15-21 days","22+ days")))</f>
        <v>8-14 days</v>
      </c>
    </row>
    <row r="505" customFormat="false" ht="15" hidden="false" customHeight="false" outlineLevel="0" collapsed="false">
      <c r="A505" s="21" t="s">
        <v>571</v>
      </c>
      <c r="B505" s="21" t="s">
        <v>55</v>
      </c>
      <c r="C505" s="22" t="n">
        <v>43013</v>
      </c>
      <c r="D505" s="22" t="n">
        <v>43024</v>
      </c>
      <c r="E505" s="22" t="n">
        <v>43034</v>
      </c>
      <c r="F505" s="21" t="s">
        <v>59</v>
      </c>
      <c r="G505" s="23" t="n">
        <v>154.23</v>
      </c>
      <c r="H505" s="23" t="n">
        <v>29.19</v>
      </c>
      <c r="I505" s="21" t="s">
        <v>60</v>
      </c>
      <c r="J505" s="21" t="n">
        <v>4</v>
      </c>
      <c r="K505" s="21" t="s">
        <v>46</v>
      </c>
      <c r="L505" s="24" t="n">
        <f aca="false">DATE(YEAR(C505),MONTH(C505),1)</f>
        <v>43009</v>
      </c>
      <c r="M505" s="21" t="n">
        <f aca="false">D505-C505</f>
        <v>11</v>
      </c>
      <c r="N505" s="21" t="n">
        <f aca="false">MAX(0,D505-E505)</f>
        <v>0</v>
      </c>
      <c r="O505" s="21" t="n">
        <f aca="false">IF(D505&lt;=E505,1,0)</f>
        <v>1</v>
      </c>
      <c r="P505" s="23" t="n">
        <f aca="false">G505+H505</f>
        <v>183.42</v>
      </c>
      <c r="Q505" s="23" t="n">
        <f aca="false">G505*INDEX(Assumptions!$B$8:$B$16,MATCH(F505,Assumptions!$A$8:$A$16,0))</f>
        <v>98.7072</v>
      </c>
      <c r="R505" s="23" t="n">
        <f aca="false">H505*Assumptions!$B$3</f>
        <v>17.514</v>
      </c>
      <c r="S505" s="23" t="n">
        <f aca="false">G505-Q505-R505</f>
        <v>38.0088</v>
      </c>
      <c r="T505" s="21" t="str">
        <f aca="false">IF(M505&lt;=7,"0-7 days",IF(M505&lt;=14,"8-14 days",IF(M505&lt;=21,"15-21 days","22+ days")))</f>
        <v>8-14 days</v>
      </c>
    </row>
    <row r="506" customFormat="false" ht="15" hidden="false" customHeight="false" outlineLevel="0" collapsed="false">
      <c r="A506" s="21" t="s">
        <v>572</v>
      </c>
      <c r="B506" s="21" t="s">
        <v>19</v>
      </c>
      <c r="C506" s="22" t="n">
        <v>43013</v>
      </c>
      <c r="D506" s="22" t="n">
        <v>43027</v>
      </c>
      <c r="E506" s="22" t="n">
        <v>43030</v>
      </c>
      <c r="F506" s="21" t="s">
        <v>57</v>
      </c>
      <c r="G506" s="23" t="n">
        <v>47.92</v>
      </c>
      <c r="H506" s="23" t="n">
        <v>20.88</v>
      </c>
      <c r="I506" s="21" t="s">
        <v>45</v>
      </c>
      <c r="J506" s="21" t="n">
        <v>3</v>
      </c>
      <c r="K506" s="21" t="s">
        <v>46</v>
      </c>
      <c r="L506" s="24" t="n">
        <f aca="false">DATE(YEAR(C506),MONTH(C506),1)</f>
        <v>43009</v>
      </c>
      <c r="M506" s="21" t="n">
        <f aca="false">D506-C506</f>
        <v>14</v>
      </c>
      <c r="N506" s="21" t="n">
        <f aca="false">MAX(0,D506-E506)</f>
        <v>0</v>
      </c>
      <c r="O506" s="21" t="n">
        <f aca="false">IF(D506&lt;=E506,1,0)</f>
        <v>1</v>
      </c>
      <c r="P506" s="23" t="n">
        <f aca="false">G506+H506</f>
        <v>68.8</v>
      </c>
      <c r="Q506" s="23" t="n">
        <f aca="false">G506*INDEX(Assumptions!$B$8:$B$16,MATCH(F506,Assumptions!$A$8:$A$16,0))</f>
        <v>32.5856</v>
      </c>
      <c r="R506" s="23" t="n">
        <f aca="false">H506*Assumptions!$B$3</f>
        <v>12.528</v>
      </c>
      <c r="S506" s="23" t="n">
        <f aca="false">G506-Q506-R506</f>
        <v>2.8064</v>
      </c>
      <c r="T506" s="21" t="str">
        <f aca="false">IF(M506&lt;=7,"0-7 days",IF(M506&lt;=14,"8-14 days",IF(M506&lt;=21,"15-21 days","22+ days")))</f>
        <v>8-14 days</v>
      </c>
    </row>
    <row r="507" customFormat="false" ht="15" hidden="false" customHeight="false" outlineLevel="0" collapsed="false">
      <c r="A507" s="21" t="s">
        <v>573</v>
      </c>
      <c r="B507" s="21" t="s">
        <v>62</v>
      </c>
      <c r="C507" s="22" t="n">
        <v>43014</v>
      </c>
      <c r="D507" s="22" t="n">
        <v>43028</v>
      </c>
      <c r="E507" s="22" t="n">
        <v>43035</v>
      </c>
      <c r="F507" s="21" t="s">
        <v>59</v>
      </c>
      <c r="G507" s="23" t="n">
        <v>27.24</v>
      </c>
      <c r="H507" s="23" t="n">
        <v>18.51</v>
      </c>
      <c r="I507" s="21" t="s">
        <v>45</v>
      </c>
      <c r="J507" s="21" t="n">
        <v>5</v>
      </c>
      <c r="K507" s="21" t="s">
        <v>46</v>
      </c>
      <c r="L507" s="24" t="n">
        <f aca="false">DATE(YEAR(C507),MONTH(C507),1)</f>
        <v>43009</v>
      </c>
      <c r="M507" s="21" t="n">
        <f aca="false">D507-C507</f>
        <v>14</v>
      </c>
      <c r="N507" s="21" t="n">
        <f aca="false">MAX(0,D507-E507)</f>
        <v>0</v>
      </c>
      <c r="O507" s="21" t="n">
        <f aca="false">IF(D507&lt;=E507,1,0)</f>
        <v>1</v>
      </c>
      <c r="P507" s="23" t="n">
        <f aca="false">G507+H507</f>
        <v>45.75</v>
      </c>
      <c r="Q507" s="23" t="n">
        <f aca="false">G507*INDEX(Assumptions!$B$8:$B$16,MATCH(F507,Assumptions!$A$8:$A$16,0))</f>
        <v>17.4336</v>
      </c>
      <c r="R507" s="23" t="n">
        <f aca="false">H507*Assumptions!$B$3</f>
        <v>11.106</v>
      </c>
      <c r="S507" s="23" t="n">
        <f aca="false">G507-Q507-R507</f>
        <v>-1.2996</v>
      </c>
      <c r="T507" s="21" t="str">
        <f aca="false">IF(M507&lt;=7,"0-7 days",IF(M507&lt;=14,"8-14 days",IF(M507&lt;=21,"15-21 days","22+ days")))</f>
        <v>8-14 days</v>
      </c>
    </row>
    <row r="508" customFormat="false" ht="15" hidden="false" customHeight="false" outlineLevel="0" collapsed="false">
      <c r="A508" s="21" t="s">
        <v>574</v>
      </c>
      <c r="B508" s="21" t="s">
        <v>19</v>
      </c>
      <c r="C508" s="22" t="n">
        <v>43014</v>
      </c>
      <c r="D508" s="22" t="n">
        <v>43020</v>
      </c>
      <c r="E508" s="22" t="n">
        <v>43030</v>
      </c>
      <c r="F508" s="21" t="s">
        <v>111</v>
      </c>
      <c r="G508" s="23" t="n">
        <v>96.5</v>
      </c>
      <c r="H508" s="23" t="n">
        <v>20.7</v>
      </c>
      <c r="I508" s="21" t="s">
        <v>45</v>
      </c>
      <c r="J508" s="21" t="n">
        <v>5</v>
      </c>
      <c r="K508" s="21" t="s">
        <v>46</v>
      </c>
      <c r="L508" s="24" t="n">
        <f aca="false">DATE(YEAR(C508),MONTH(C508),1)</f>
        <v>43009</v>
      </c>
      <c r="M508" s="21" t="n">
        <f aca="false">D508-C508</f>
        <v>6</v>
      </c>
      <c r="N508" s="21" t="n">
        <f aca="false">MAX(0,D508-E508)</f>
        <v>0</v>
      </c>
      <c r="O508" s="21" t="n">
        <f aca="false">IF(D508&lt;=E508,1,0)</f>
        <v>1</v>
      </c>
      <c r="P508" s="23" t="n">
        <f aca="false">G508+H508</f>
        <v>117.2</v>
      </c>
      <c r="Q508" s="23" t="n">
        <f aca="false">G508*INDEX(Assumptions!$B$8:$B$16,MATCH(F508,Assumptions!$A$8:$A$16,0))</f>
        <v>60.795</v>
      </c>
      <c r="R508" s="23" t="n">
        <f aca="false">H508*Assumptions!$B$3</f>
        <v>12.42</v>
      </c>
      <c r="S508" s="23" t="n">
        <f aca="false">G508-Q508-R508</f>
        <v>23.285</v>
      </c>
      <c r="T508" s="21" t="str">
        <f aca="false">IF(M508&lt;=7,"0-7 days",IF(M508&lt;=14,"8-14 days",IF(M508&lt;=21,"15-21 days","22+ days")))</f>
        <v>0-7 days</v>
      </c>
    </row>
    <row r="509" customFormat="false" ht="15" hidden="false" customHeight="false" outlineLevel="0" collapsed="false">
      <c r="A509" s="21" t="s">
        <v>575</v>
      </c>
      <c r="B509" s="21" t="s">
        <v>19</v>
      </c>
      <c r="C509" s="22" t="n">
        <v>43014</v>
      </c>
      <c r="D509" s="22" t="n">
        <v>43020</v>
      </c>
      <c r="E509" s="22" t="n">
        <v>43026</v>
      </c>
      <c r="F509" s="21" t="s">
        <v>44</v>
      </c>
      <c r="G509" s="23" t="n">
        <v>138.41</v>
      </c>
      <c r="H509" s="23" t="n">
        <v>20.95</v>
      </c>
      <c r="I509" s="21" t="s">
        <v>60</v>
      </c>
      <c r="J509" s="21" t="n">
        <v>5</v>
      </c>
      <c r="K509" s="21" t="s">
        <v>46</v>
      </c>
      <c r="L509" s="24" t="n">
        <f aca="false">DATE(YEAR(C509),MONTH(C509),1)</f>
        <v>43009</v>
      </c>
      <c r="M509" s="21" t="n">
        <f aca="false">D509-C509</f>
        <v>6</v>
      </c>
      <c r="N509" s="21" t="n">
        <f aca="false">MAX(0,D509-E509)</f>
        <v>0</v>
      </c>
      <c r="O509" s="21" t="n">
        <f aca="false">IF(D509&lt;=E509,1,0)</f>
        <v>1</v>
      </c>
      <c r="P509" s="23" t="n">
        <f aca="false">G509+H509</f>
        <v>159.36</v>
      </c>
      <c r="Q509" s="23" t="n">
        <f aca="false">G509*INDEX(Assumptions!$B$8:$B$16,MATCH(F509,Assumptions!$A$8:$A$16,0))</f>
        <v>83.046</v>
      </c>
      <c r="R509" s="23" t="n">
        <f aca="false">H509*Assumptions!$B$3</f>
        <v>12.57</v>
      </c>
      <c r="S509" s="23" t="n">
        <f aca="false">G509-Q509-R509</f>
        <v>42.794</v>
      </c>
      <c r="T509" s="21" t="str">
        <f aca="false">IF(M509&lt;=7,"0-7 days",IF(M509&lt;=14,"8-14 days",IF(M509&lt;=21,"15-21 days","22+ days")))</f>
        <v>0-7 days</v>
      </c>
    </row>
    <row r="510" customFormat="false" ht="15" hidden="false" customHeight="false" outlineLevel="0" collapsed="false">
      <c r="A510" s="21" t="s">
        <v>576</v>
      </c>
      <c r="B510" s="21" t="s">
        <v>62</v>
      </c>
      <c r="C510" s="22" t="n">
        <v>43015</v>
      </c>
      <c r="D510" s="22" t="n">
        <v>43029</v>
      </c>
      <c r="E510" s="22" t="n">
        <v>43036</v>
      </c>
      <c r="F510" s="21" t="s">
        <v>44</v>
      </c>
      <c r="G510" s="23" t="n">
        <v>59.33</v>
      </c>
      <c r="H510" s="23" t="n">
        <v>19.11</v>
      </c>
      <c r="I510" s="21" t="s">
        <v>50</v>
      </c>
      <c r="J510" s="21" t="n">
        <v>4</v>
      </c>
      <c r="K510" s="21" t="s">
        <v>46</v>
      </c>
      <c r="L510" s="24" t="n">
        <f aca="false">DATE(YEAR(C510),MONTH(C510),1)</f>
        <v>43009</v>
      </c>
      <c r="M510" s="21" t="n">
        <f aca="false">D510-C510</f>
        <v>14</v>
      </c>
      <c r="N510" s="21" t="n">
        <f aca="false">MAX(0,D510-E510)</f>
        <v>0</v>
      </c>
      <c r="O510" s="21" t="n">
        <f aca="false">IF(D510&lt;=E510,1,0)</f>
        <v>1</v>
      </c>
      <c r="P510" s="23" t="n">
        <f aca="false">G510+H510</f>
        <v>78.44</v>
      </c>
      <c r="Q510" s="23" t="n">
        <f aca="false">G510*INDEX(Assumptions!$B$8:$B$16,MATCH(F510,Assumptions!$A$8:$A$16,0))</f>
        <v>35.598</v>
      </c>
      <c r="R510" s="23" t="n">
        <f aca="false">H510*Assumptions!$B$3</f>
        <v>11.466</v>
      </c>
      <c r="S510" s="23" t="n">
        <f aca="false">G510-Q510-R510</f>
        <v>12.266</v>
      </c>
      <c r="T510" s="21" t="str">
        <f aca="false">IF(M510&lt;=7,"0-7 days",IF(M510&lt;=14,"8-14 days",IF(M510&lt;=21,"15-21 days","22+ days")))</f>
        <v>8-14 days</v>
      </c>
    </row>
    <row r="511" customFormat="false" ht="15" hidden="false" customHeight="false" outlineLevel="0" collapsed="false">
      <c r="A511" s="21" t="s">
        <v>577</v>
      </c>
      <c r="B511" s="21" t="s">
        <v>93</v>
      </c>
      <c r="C511" s="22" t="n">
        <v>43015</v>
      </c>
      <c r="D511" s="22" t="n">
        <v>43033</v>
      </c>
      <c r="E511" s="22" t="n">
        <v>43040</v>
      </c>
      <c r="F511" s="21" t="s">
        <v>49</v>
      </c>
      <c r="G511" s="23" t="n">
        <v>56.27</v>
      </c>
      <c r="H511" s="23" t="n">
        <v>27.3</v>
      </c>
      <c r="I511" s="21" t="s">
        <v>60</v>
      </c>
      <c r="J511" s="21" t="n">
        <v>5</v>
      </c>
      <c r="K511" s="21" t="s">
        <v>46</v>
      </c>
      <c r="L511" s="24" t="n">
        <f aca="false">DATE(YEAR(C511),MONTH(C511),1)</f>
        <v>43009</v>
      </c>
      <c r="M511" s="21" t="n">
        <f aca="false">D511-C511</f>
        <v>18</v>
      </c>
      <c r="N511" s="21" t="n">
        <f aca="false">MAX(0,D511-E511)</f>
        <v>0</v>
      </c>
      <c r="O511" s="21" t="n">
        <f aca="false">IF(D511&lt;=E511,1,0)</f>
        <v>1</v>
      </c>
      <c r="P511" s="23" t="n">
        <f aca="false">G511+H511</f>
        <v>83.57</v>
      </c>
      <c r="Q511" s="23" t="n">
        <f aca="false">G511*INDEX(Assumptions!$B$8:$B$16,MATCH(F511,Assumptions!$A$8:$A$16,0))</f>
        <v>32.6366</v>
      </c>
      <c r="R511" s="23" t="n">
        <f aca="false">H511*Assumptions!$B$3</f>
        <v>16.38</v>
      </c>
      <c r="S511" s="23" t="n">
        <f aca="false">G511-Q511-R511</f>
        <v>7.2534</v>
      </c>
      <c r="T511" s="21" t="str">
        <f aca="false">IF(M511&lt;=7,"0-7 days",IF(M511&lt;=14,"8-14 days",IF(M511&lt;=21,"15-21 days","22+ days")))</f>
        <v>15-21 days</v>
      </c>
    </row>
    <row r="512" customFormat="false" ht="15" hidden="false" customHeight="false" outlineLevel="0" collapsed="false">
      <c r="A512" s="21" t="s">
        <v>578</v>
      </c>
      <c r="B512" s="21" t="s">
        <v>19</v>
      </c>
      <c r="C512" s="22" t="n">
        <v>43015</v>
      </c>
      <c r="D512" s="22" t="n">
        <v>43025</v>
      </c>
      <c r="E512" s="22" t="n">
        <v>43030</v>
      </c>
      <c r="F512" s="21" t="s">
        <v>44</v>
      </c>
      <c r="G512" s="23" t="n">
        <v>129.92</v>
      </c>
      <c r="H512" s="23" t="n">
        <v>22.19</v>
      </c>
      <c r="I512" s="21" t="s">
        <v>45</v>
      </c>
      <c r="J512" s="21" t="n">
        <v>3</v>
      </c>
      <c r="K512" s="21" t="s">
        <v>46</v>
      </c>
      <c r="L512" s="24" t="n">
        <f aca="false">DATE(YEAR(C512),MONTH(C512),1)</f>
        <v>43009</v>
      </c>
      <c r="M512" s="21" t="n">
        <f aca="false">D512-C512</f>
        <v>10</v>
      </c>
      <c r="N512" s="21" t="n">
        <f aca="false">MAX(0,D512-E512)</f>
        <v>0</v>
      </c>
      <c r="O512" s="21" t="n">
        <f aca="false">IF(D512&lt;=E512,1,0)</f>
        <v>1</v>
      </c>
      <c r="P512" s="23" t="n">
        <f aca="false">G512+H512</f>
        <v>152.11</v>
      </c>
      <c r="Q512" s="23" t="n">
        <f aca="false">G512*INDEX(Assumptions!$B$8:$B$16,MATCH(F512,Assumptions!$A$8:$A$16,0))</f>
        <v>77.952</v>
      </c>
      <c r="R512" s="23" t="n">
        <f aca="false">H512*Assumptions!$B$3</f>
        <v>13.314</v>
      </c>
      <c r="S512" s="23" t="n">
        <f aca="false">G512-Q512-R512</f>
        <v>38.654</v>
      </c>
      <c r="T512" s="21" t="str">
        <f aca="false">IF(M512&lt;=7,"0-7 days",IF(M512&lt;=14,"8-14 days",IF(M512&lt;=21,"15-21 days","22+ days")))</f>
        <v>8-14 days</v>
      </c>
    </row>
    <row r="513" customFormat="false" ht="15" hidden="false" customHeight="false" outlineLevel="0" collapsed="false">
      <c r="A513" s="21" t="s">
        <v>579</v>
      </c>
      <c r="B513" s="21" t="s">
        <v>77</v>
      </c>
      <c r="C513" s="22" t="n">
        <v>43015</v>
      </c>
      <c r="D513" s="22" t="n">
        <v>43028</v>
      </c>
      <c r="E513" s="22" t="n">
        <v>43041</v>
      </c>
      <c r="F513" s="21" t="s">
        <v>67</v>
      </c>
      <c r="G513" s="23" t="n">
        <v>63.28</v>
      </c>
      <c r="H513" s="23" t="n">
        <v>24.72</v>
      </c>
      <c r="I513" s="21" t="s">
        <v>60</v>
      </c>
      <c r="J513" s="21" t="n">
        <v>4</v>
      </c>
      <c r="K513" s="21" t="s">
        <v>46</v>
      </c>
      <c r="L513" s="24" t="n">
        <f aca="false">DATE(YEAR(C513),MONTH(C513),1)</f>
        <v>43009</v>
      </c>
      <c r="M513" s="21" t="n">
        <f aca="false">D513-C513</f>
        <v>13</v>
      </c>
      <c r="N513" s="21" t="n">
        <f aca="false">MAX(0,D513-E513)</f>
        <v>0</v>
      </c>
      <c r="O513" s="21" t="n">
        <f aca="false">IF(D513&lt;=E513,1,0)</f>
        <v>1</v>
      </c>
      <c r="P513" s="23" t="n">
        <f aca="false">G513+H513</f>
        <v>88</v>
      </c>
      <c r="Q513" s="23" t="n">
        <f aca="false">G513*INDEX(Assumptions!$B$8:$B$16,MATCH(F513,Assumptions!$A$8:$A$16,0))</f>
        <v>39.2336</v>
      </c>
      <c r="R513" s="23" t="n">
        <f aca="false">H513*Assumptions!$B$3</f>
        <v>14.832</v>
      </c>
      <c r="S513" s="23" t="n">
        <f aca="false">G513-Q513-R513</f>
        <v>9.2144</v>
      </c>
      <c r="T513" s="21" t="str">
        <f aca="false">IF(M513&lt;=7,"0-7 days",IF(M513&lt;=14,"8-14 days",IF(M513&lt;=21,"15-21 days","22+ days")))</f>
        <v>8-14 days</v>
      </c>
    </row>
    <row r="514" customFormat="false" ht="15" hidden="false" customHeight="false" outlineLevel="0" collapsed="false">
      <c r="A514" s="21" t="s">
        <v>580</v>
      </c>
      <c r="B514" s="21" t="s">
        <v>19</v>
      </c>
      <c r="C514" s="22" t="n">
        <v>43015</v>
      </c>
      <c r="D514" s="22" t="n">
        <v>43027</v>
      </c>
      <c r="E514" s="22" t="n">
        <v>43031</v>
      </c>
      <c r="F514" s="21" t="s">
        <v>111</v>
      </c>
      <c r="G514" s="23" t="n">
        <v>118.24</v>
      </c>
      <c r="H514" s="23" t="n">
        <v>13.34</v>
      </c>
      <c r="I514" s="21" t="s">
        <v>45</v>
      </c>
      <c r="J514" s="21" t="n">
        <v>5</v>
      </c>
      <c r="K514" s="21" t="s">
        <v>46</v>
      </c>
      <c r="L514" s="24" t="n">
        <f aca="false">DATE(YEAR(C514),MONTH(C514),1)</f>
        <v>43009</v>
      </c>
      <c r="M514" s="21" t="n">
        <f aca="false">D514-C514</f>
        <v>12</v>
      </c>
      <c r="N514" s="21" t="n">
        <f aca="false">MAX(0,D514-E514)</f>
        <v>0</v>
      </c>
      <c r="O514" s="21" t="n">
        <f aca="false">IF(D514&lt;=E514,1,0)</f>
        <v>1</v>
      </c>
      <c r="P514" s="23" t="n">
        <f aca="false">G514+H514</f>
        <v>131.58</v>
      </c>
      <c r="Q514" s="23" t="n">
        <f aca="false">G514*INDEX(Assumptions!$B$8:$B$16,MATCH(F514,Assumptions!$A$8:$A$16,0))</f>
        <v>74.4912</v>
      </c>
      <c r="R514" s="23" t="n">
        <f aca="false">H514*Assumptions!$B$3</f>
        <v>8.004</v>
      </c>
      <c r="S514" s="23" t="n">
        <f aca="false">G514-Q514-R514</f>
        <v>35.7448</v>
      </c>
      <c r="T514" s="21" t="str">
        <f aca="false">IF(M514&lt;=7,"0-7 days",IF(M514&lt;=14,"8-14 days",IF(M514&lt;=21,"15-21 days","22+ days")))</f>
        <v>8-14 days</v>
      </c>
    </row>
    <row r="515" customFormat="false" ht="15" hidden="false" customHeight="false" outlineLevel="0" collapsed="false">
      <c r="A515" s="21" t="s">
        <v>581</v>
      </c>
      <c r="B515" s="21" t="s">
        <v>19</v>
      </c>
      <c r="C515" s="22" t="n">
        <v>43016</v>
      </c>
      <c r="D515" s="22" t="n">
        <v>43023</v>
      </c>
      <c r="E515" s="22" t="n">
        <v>43033</v>
      </c>
      <c r="F515" s="21" t="s">
        <v>67</v>
      </c>
      <c r="G515" s="23" t="n">
        <v>122.17</v>
      </c>
      <c r="H515" s="23" t="n">
        <v>16.77</v>
      </c>
      <c r="I515" s="21" t="s">
        <v>45</v>
      </c>
      <c r="J515" s="21" t="n">
        <v>3</v>
      </c>
      <c r="K515" s="21" t="s">
        <v>46</v>
      </c>
      <c r="L515" s="24" t="n">
        <f aca="false">DATE(YEAR(C515),MONTH(C515),1)</f>
        <v>43009</v>
      </c>
      <c r="M515" s="21" t="n">
        <f aca="false">D515-C515</f>
        <v>7</v>
      </c>
      <c r="N515" s="21" t="n">
        <f aca="false">MAX(0,D515-E515)</f>
        <v>0</v>
      </c>
      <c r="O515" s="21" t="n">
        <f aca="false">IF(D515&lt;=E515,1,0)</f>
        <v>1</v>
      </c>
      <c r="P515" s="23" t="n">
        <f aca="false">G515+H515</f>
        <v>138.94</v>
      </c>
      <c r="Q515" s="23" t="n">
        <f aca="false">G515*INDEX(Assumptions!$B$8:$B$16,MATCH(F515,Assumptions!$A$8:$A$16,0))</f>
        <v>75.7454</v>
      </c>
      <c r="R515" s="23" t="n">
        <f aca="false">H515*Assumptions!$B$3</f>
        <v>10.062</v>
      </c>
      <c r="S515" s="23" t="n">
        <f aca="false">G515-Q515-R515</f>
        <v>36.3626</v>
      </c>
      <c r="T515" s="21" t="str">
        <f aca="false">IF(M515&lt;=7,"0-7 days",IF(M515&lt;=14,"8-14 days",IF(M515&lt;=21,"15-21 days","22+ days")))</f>
        <v>0-7 days</v>
      </c>
    </row>
    <row r="516" customFormat="false" ht="15" hidden="false" customHeight="false" outlineLevel="0" collapsed="false">
      <c r="A516" s="21" t="s">
        <v>582</v>
      </c>
      <c r="B516" s="21" t="s">
        <v>134</v>
      </c>
      <c r="C516" s="22" t="n">
        <v>43016</v>
      </c>
      <c r="D516" s="22" t="n">
        <v>43023</v>
      </c>
      <c r="E516" s="22" t="n">
        <v>43037</v>
      </c>
      <c r="F516" s="21" t="s">
        <v>53</v>
      </c>
      <c r="G516" s="23" t="n">
        <v>127.2</v>
      </c>
      <c r="H516" s="23" t="n">
        <v>19.67</v>
      </c>
      <c r="I516" s="21" t="s">
        <v>45</v>
      </c>
      <c r="J516" s="21" t="n">
        <v>5</v>
      </c>
      <c r="K516" s="21" t="s">
        <v>46</v>
      </c>
      <c r="L516" s="24" t="n">
        <f aca="false">DATE(YEAR(C516),MONTH(C516),1)</f>
        <v>43009</v>
      </c>
      <c r="M516" s="21" t="n">
        <f aca="false">D516-C516</f>
        <v>7</v>
      </c>
      <c r="N516" s="21" t="n">
        <f aca="false">MAX(0,D516-E516)</f>
        <v>0</v>
      </c>
      <c r="O516" s="21" t="n">
        <f aca="false">IF(D516&lt;=E516,1,0)</f>
        <v>1</v>
      </c>
      <c r="P516" s="23" t="n">
        <f aca="false">G516+H516</f>
        <v>146.87</v>
      </c>
      <c r="Q516" s="23" t="n">
        <f aca="false">G516*INDEX(Assumptions!$B$8:$B$16,MATCH(F516,Assumptions!$A$8:$A$16,0))</f>
        <v>94.128</v>
      </c>
      <c r="R516" s="23" t="n">
        <f aca="false">H516*Assumptions!$B$3</f>
        <v>11.802</v>
      </c>
      <c r="S516" s="23" t="n">
        <f aca="false">G516-Q516-R516</f>
        <v>21.27</v>
      </c>
      <c r="T516" s="21" t="str">
        <f aca="false">IF(M516&lt;=7,"0-7 days",IF(M516&lt;=14,"8-14 days",IF(M516&lt;=21,"15-21 days","22+ days")))</f>
        <v>0-7 days</v>
      </c>
    </row>
    <row r="517" customFormat="false" ht="15" hidden="false" customHeight="false" outlineLevel="0" collapsed="false">
      <c r="A517" s="21" t="s">
        <v>583</v>
      </c>
      <c r="B517" s="21" t="s">
        <v>93</v>
      </c>
      <c r="C517" s="22" t="n">
        <v>43017</v>
      </c>
      <c r="D517" s="22" t="n">
        <v>43041</v>
      </c>
      <c r="E517" s="22" t="n">
        <v>43046</v>
      </c>
      <c r="F517" s="21" t="s">
        <v>111</v>
      </c>
      <c r="G517" s="23" t="n">
        <v>149.23</v>
      </c>
      <c r="H517" s="23" t="n">
        <v>33.35</v>
      </c>
      <c r="I517" s="21" t="s">
        <v>45</v>
      </c>
      <c r="J517" s="21" t="n">
        <v>4</v>
      </c>
      <c r="K517" s="21" t="s">
        <v>46</v>
      </c>
      <c r="L517" s="24" t="n">
        <f aca="false">DATE(YEAR(C517),MONTH(C517),1)</f>
        <v>43009</v>
      </c>
      <c r="M517" s="21" t="n">
        <f aca="false">D517-C517</f>
        <v>24</v>
      </c>
      <c r="N517" s="21" t="n">
        <f aca="false">MAX(0,D517-E517)</f>
        <v>0</v>
      </c>
      <c r="O517" s="21" t="n">
        <f aca="false">IF(D517&lt;=E517,1,0)</f>
        <v>1</v>
      </c>
      <c r="P517" s="23" t="n">
        <f aca="false">G517+H517</f>
        <v>182.58</v>
      </c>
      <c r="Q517" s="23" t="n">
        <f aca="false">G517*INDEX(Assumptions!$B$8:$B$16,MATCH(F517,Assumptions!$A$8:$A$16,0))</f>
        <v>94.0149</v>
      </c>
      <c r="R517" s="23" t="n">
        <f aca="false">H517*Assumptions!$B$3</f>
        <v>20.01</v>
      </c>
      <c r="S517" s="23" t="n">
        <f aca="false">G517-Q517-R517</f>
        <v>35.2051</v>
      </c>
      <c r="T517" s="21" t="str">
        <f aca="false">IF(M517&lt;=7,"0-7 days",IF(M517&lt;=14,"8-14 days",IF(M517&lt;=21,"15-21 days","22+ days")))</f>
        <v>22+ days</v>
      </c>
    </row>
    <row r="518" customFormat="false" ht="15" hidden="false" customHeight="false" outlineLevel="0" collapsed="false">
      <c r="A518" s="21" t="s">
        <v>584</v>
      </c>
      <c r="B518" s="21" t="s">
        <v>48</v>
      </c>
      <c r="C518" s="22" t="n">
        <v>43017</v>
      </c>
      <c r="D518" s="22" t="n">
        <v>43026</v>
      </c>
      <c r="E518" s="22" t="n">
        <v>43038</v>
      </c>
      <c r="F518" s="21" t="s">
        <v>53</v>
      </c>
      <c r="G518" s="23" t="n">
        <v>113.48</v>
      </c>
      <c r="H518" s="23" t="n">
        <v>19.57</v>
      </c>
      <c r="I518" s="21" t="s">
        <v>45</v>
      </c>
      <c r="J518" s="21" t="n">
        <v>5</v>
      </c>
      <c r="K518" s="21" t="s">
        <v>46</v>
      </c>
      <c r="L518" s="24" t="n">
        <f aca="false">DATE(YEAR(C518),MONTH(C518),1)</f>
        <v>43009</v>
      </c>
      <c r="M518" s="21" t="n">
        <f aca="false">D518-C518</f>
        <v>9</v>
      </c>
      <c r="N518" s="21" t="n">
        <f aca="false">MAX(0,D518-E518)</f>
        <v>0</v>
      </c>
      <c r="O518" s="21" t="n">
        <f aca="false">IF(D518&lt;=E518,1,0)</f>
        <v>1</v>
      </c>
      <c r="P518" s="23" t="n">
        <f aca="false">G518+H518</f>
        <v>133.05</v>
      </c>
      <c r="Q518" s="23" t="n">
        <f aca="false">G518*INDEX(Assumptions!$B$8:$B$16,MATCH(F518,Assumptions!$A$8:$A$16,0))</f>
        <v>83.9752</v>
      </c>
      <c r="R518" s="23" t="n">
        <f aca="false">H518*Assumptions!$B$3</f>
        <v>11.742</v>
      </c>
      <c r="S518" s="23" t="n">
        <f aca="false">G518-Q518-R518</f>
        <v>17.7628</v>
      </c>
      <c r="T518" s="21" t="str">
        <f aca="false">IF(M518&lt;=7,"0-7 days",IF(M518&lt;=14,"8-14 days",IF(M518&lt;=21,"15-21 days","22+ days")))</f>
        <v>8-14 days</v>
      </c>
    </row>
    <row r="519" customFormat="false" ht="15" hidden="false" customHeight="false" outlineLevel="0" collapsed="false">
      <c r="A519" s="21" t="s">
        <v>585</v>
      </c>
      <c r="B519" s="21" t="s">
        <v>19</v>
      </c>
      <c r="C519" s="22" t="n">
        <v>43017</v>
      </c>
      <c r="D519" s="22" t="n">
        <v>43024</v>
      </c>
      <c r="E519" s="22" t="n">
        <v>43030</v>
      </c>
      <c r="F519" s="21" t="s">
        <v>111</v>
      </c>
      <c r="G519" s="23" t="n">
        <v>190.14</v>
      </c>
      <c r="H519" s="23" t="n">
        <v>20.34</v>
      </c>
      <c r="I519" s="21" t="s">
        <v>45</v>
      </c>
      <c r="J519" s="21" t="n">
        <v>4</v>
      </c>
      <c r="K519" s="21" t="s">
        <v>46</v>
      </c>
      <c r="L519" s="24" t="n">
        <f aca="false">DATE(YEAR(C519),MONTH(C519),1)</f>
        <v>43009</v>
      </c>
      <c r="M519" s="21" t="n">
        <f aca="false">D519-C519</f>
        <v>7</v>
      </c>
      <c r="N519" s="21" t="n">
        <f aca="false">MAX(0,D519-E519)</f>
        <v>0</v>
      </c>
      <c r="O519" s="21" t="n">
        <f aca="false">IF(D519&lt;=E519,1,0)</f>
        <v>1</v>
      </c>
      <c r="P519" s="23" t="n">
        <f aca="false">G519+H519</f>
        <v>210.48</v>
      </c>
      <c r="Q519" s="23" t="n">
        <f aca="false">G519*INDEX(Assumptions!$B$8:$B$16,MATCH(F519,Assumptions!$A$8:$A$16,0))</f>
        <v>119.7882</v>
      </c>
      <c r="R519" s="23" t="n">
        <f aca="false">H519*Assumptions!$B$3</f>
        <v>12.204</v>
      </c>
      <c r="S519" s="23" t="n">
        <f aca="false">G519-Q519-R519</f>
        <v>58.1478</v>
      </c>
      <c r="T519" s="21" t="str">
        <f aca="false">IF(M519&lt;=7,"0-7 days",IF(M519&lt;=14,"8-14 days",IF(M519&lt;=21,"15-21 days","22+ days")))</f>
        <v>0-7 days</v>
      </c>
    </row>
    <row r="520" customFormat="false" ht="15" hidden="false" customHeight="false" outlineLevel="0" collapsed="false">
      <c r="A520" s="21" t="s">
        <v>586</v>
      </c>
      <c r="B520" s="21" t="s">
        <v>62</v>
      </c>
      <c r="C520" s="22" t="n">
        <v>43018</v>
      </c>
      <c r="D520" s="22" t="n">
        <v>43030</v>
      </c>
      <c r="E520" s="22" t="n">
        <v>43038</v>
      </c>
      <c r="F520" s="21" t="s">
        <v>59</v>
      </c>
      <c r="G520" s="23" t="n">
        <v>69.09</v>
      </c>
      <c r="H520" s="23" t="n">
        <v>26.54</v>
      </c>
      <c r="I520" s="21" t="s">
        <v>45</v>
      </c>
      <c r="J520" s="21" t="n">
        <v>4</v>
      </c>
      <c r="K520" s="21" t="s">
        <v>46</v>
      </c>
      <c r="L520" s="24" t="n">
        <f aca="false">DATE(YEAR(C520),MONTH(C520),1)</f>
        <v>43009</v>
      </c>
      <c r="M520" s="21" t="n">
        <f aca="false">D520-C520</f>
        <v>12</v>
      </c>
      <c r="N520" s="21" t="n">
        <f aca="false">MAX(0,D520-E520)</f>
        <v>0</v>
      </c>
      <c r="O520" s="21" t="n">
        <f aca="false">IF(D520&lt;=E520,1,0)</f>
        <v>1</v>
      </c>
      <c r="P520" s="23" t="n">
        <f aca="false">G520+H520</f>
        <v>95.63</v>
      </c>
      <c r="Q520" s="23" t="n">
        <f aca="false">G520*INDEX(Assumptions!$B$8:$B$16,MATCH(F520,Assumptions!$A$8:$A$16,0))</f>
        <v>44.2176</v>
      </c>
      <c r="R520" s="23" t="n">
        <f aca="false">H520*Assumptions!$B$3</f>
        <v>15.924</v>
      </c>
      <c r="S520" s="23" t="n">
        <f aca="false">G520-Q520-R520</f>
        <v>8.9484</v>
      </c>
      <c r="T520" s="21" t="str">
        <f aca="false">IF(M520&lt;=7,"0-7 days",IF(M520&lt;=14,"8-14 days",IF(M520&lt;=21,"15-21 days","22+ days")))</f>
        <v>8-14 days</v>
      </c>
    </row>
    <row r="521" customFormat="false" ht="15" hidden="false" customHeight="false" outlineLevel="0" collapsed="false">
      <c r="A521" s="21" t="s">
        <v>587</v>
      </c>
      <c r="B521" s="21" t="s">
        <v>48</v>
      </c>
      <c r="C521" s="22" t="n">
        <v>43018</v>
      </c>
      <c r="D521" s="22" t="n">
        <v>43034</v>
      </c>
      <c r="E521" s="22" t="n">
        <v>43039</v>
      </c>
      <c r="F521" s="21" t="s">
        <v>49</v>
      </c>
      <c r="G521" s="23" t="n">
        <v>180.17</v>
      </c>
      <c r="H521" s="23" t="n">
        <v>27.19</v>
      </c>
      <c r="I521" s="21" t="s">
        <v>45</v>
      </c>
      <c r="J521" s="21" t="n">
        <v>5</v>
      </c>
      <c r="K521" s="21" t="s">
        <v>46</v>
      </c>
      <c r="L521" s="24" t="n">
        <f aca="false">DATE(YEAR(C521),MONTH(C521),1)</f>
        <v>43009</v>
      </c>
      <c r="M521" s="21" t="n">
        <f aca="false">D521-C521</f>
        <v>16</v>
      </c>
      <c r="N521" s="21" t="n">
        <f aca="false">MAX(0,D521-E521)</f>
        <v>0</v>
      </c>
      <c r="O521" s="21" t="n">
        <f aca="false">IF(D521&lt;=E521,1,0)</f>
        <v>1</v>
      </c>
      <c r="P521" s="23" t="n">
        <f aca="false">G521+H521</f>
        <v>207.36</v>
      </c>
      <c r="Q521" s="23" t="n">
        <f aca="false">G521*INDEX(Assumptions!$B$8:$B$16,MATCH(F521,Assumptions!$A$8:$A$16,0))</f>
        <v>104.4986</v>
      </c>
      <c r="R521" s="23" t="n">
        <f aca="false">H521*Assumptions!$B$3</f>
        <v>16.314</v>
      </c>
      <c r="S521" s="23" t="n">
        <f aca="false">G521-Q521-R521</f>
        <v>59.3574</v>
      </c>
      <c r="T521" s="21" t="str">
        <f aca="false">IF(M521&lt;=7,"0-7 days",IF(M521&lt;=14,"8-14 days",IF(M521&lt;=21,"15-21 days","22+ days")))</f>
        <v>15-21 days</v>
      </c>
    </row>
    <row r="522" customFormat="false" ht="15" hidden="false" customHeight="false" outlineLevel="0" collapsed="false">
      <c r="A522" s="21" t="s">
        <v>588</v>
      </c>
      <c r="B522" s="21" t="s">
        <v>19</v>
      </c>
      <c r="C522" s="22" t="n">
        <v>43018</v>
      </c>
      <c r="D522" s="22" t="n">
        <v>43022</v>
      </c>
      <c r="E522" s="22" t="n">
        <v>43031</v>
      </c>
      <c r="F522" s="21" t="s">
        <v>49</v>
      </c>
      <c r="G522" s="23" t="n">
        <v>44.8</v>
      </c>
      <c r="H522" s="23" t="n">
        <v>20.97</v>
      </c>
      <c r="I522" s="21" t="s">
        <v>60</v>
      </c>
      <c r="J522" s="21" t="n">
        <v>4</v>
      </c>
      <c r="K522" s="21" t="s">
        <v>46</v>
      </c>
      <c r="L522" s="24" t="n">
        <f aca="false">DATE(YEAR(C522),MONTH(C522),1)</f>
        <v>43009</v>
      </c>
      <c r="M522" s="21" t="n">
        <f aca="false">D522-C522</f>
        <v>4</v>
      </c>
      <c r="N522" s="21" t="n">
        <f aca="false">MAX(0,D522-E522)</f>
        <v>0</v>
      </c>
      <c r="O522" s="21" t="n">
        <f aca="false">IF(D522&lt;=E522,1,0)</f>
        <v>1</v>
      </c>
      <c r="P522" s="23" t="n">
        <f aca="false">G522+H522</f>
        <v>65.77</v>
      </c>
      <c r="Q522" s="23" t="n">
        <f aca="false">G522*INDEX(Assumptions!$B$8:$B$16,MATCH(F522,Assumptions!$A$8:$A$16,0))</f>
        <v>25.984</v>
      </c>
      <c r="R522" s="23" t="n">
        <f aca="false">H522*Assumptions!$B$3</f>
        <v>12.582</v>
      </c>
      <c r="S522" s="23" t="n">
        <f aca="false">G522-Q522-R522</f>
        <v>6.234</v>
      </c>
      <c r="T522" s="21" t="str">
        <f aca="false">IF(M522&lt;=7,"0-7 days",IF(M522&lt;=14,"8-14 days",IF(M522&lt;=21,"15-21 days","22+ days")))</f>
        <v>0-7 days</v>
      </c>
    </row>
    <row r="523" customFormat="false" ht="15" hidden="false" customHeight="false" outlineLevel="0" collapsed="false">
      <c r="A523" s="21" t="s">
        <v>589</v>
      </c>
      <c r="B523" s="21" t="s">
        <v>19</v>
      </c>
      <c r="C523" s="22" t="n">
        <v>43018</v>
      </c>
      <c r="D523" s="22" t="n">
        <v>43035</v>
      </c>
      <c r="E523" s="22" t="n">
        <v>43035</v>
      </c>
      <c r="F523" s="21" t="s">
        <v>49</v>
      </c>
      <c r="G523" s="23" t="n">
        <v>246.69</v>
      </c>
      <c r="H523" s="23" t="n">
        <v>24.65</v>
      </c>
      <c r="I523" s="21" t="s">
        <v>60</v>
      </c>
      <c r="J523" s="21" t="n">
        <v>5</v>
      </c>
      <c r="K523" s="21" t="s">
        <v>46</v>
      </c>
      <c r="L523" s="24" t="n">
        <f aca="false">DATE(YEAR(C523),MONTH(C523),1)</f>
        <v>43009</v>
      </c>
      <c r="M523" s="21" t="n">
        <f aca="false">D523-C523</f>
        <v>17</v>
      </c>
      <c r="N523" s="21" t="n">
        <f aca="false">MAX(0,D523-E523)</f>
        <v>0</v>
      </c>
      <c r="O523" s="21" t="n">
        <f aca="false">IF(D523&lt;=E523,1,0)</f>
        <v>1</v>
      </c>
      <c r="P523" s="23" t="n">
        <f aca="false">G523+H523</f>
        <v>271.34</v>
      </c>
      <c r="Q523" s="23" t="n">
        <f aca="false">G523*INDEX(Assumptions!$B$8:$B$16,MATCH(F523,Assumptions!$A$8:$A$16,0))</f>
        <v>143.0802</v>
      </c>
      <c r="R523" s="23" t="n">
        <f aca="false">H523*Assumptions!$B$3</f>
        <v>14.79</v>
      </c>
      <c r="S523" s="23" t="n">
        <f aca="false">G523-Q523-R523</f>
        <v>88.8198</v>
      </c>
      <c r="T523" s="21" t="str">
        <f aca="false">IF(M523&lt;=7,"0-7 days",IF(M523&lt;=14,"8-14 days",IF(M523&lt;=21,"15-21 days","22+ days")))</f>
        <v>15-21 days</v>
      </c>
    </row>
    <row r="524" customFormat="false" ht="15" hidden="false" customHeight="false" outlineLevel="0" collapsed="false">
      <c r="A524" s="21" t="s">
        <v>590</v>
      </c>
      <c r="B524" s="21" t="s">
        <v>134</v>
      </c>
      <c r="C524" s="22" t="n">
        <v>43018</v>
      </c>
      <c r="D524" s="22" t="n">
        <v>43028</v>
      </c>
      <c r="E524" s="22" t="n">
        <v>43040</v>
      </c>
      <c r="F524" s="21" t="s">
        <v>67</v>
      </c>
      <c r="G524" s="23" t="n">
        <v>121.08</v>
      </c>
      <c r="H524" s="23" t="n">
        <v>21.29</v>
      </c>
      <c r="I524" s="21" t="s">
        <v>45</v>
      </c>
      <c r="J524" s="21" t="n">
        <v>5</v>
      </c>
      <c r="K524" s="21" t="s">
        <v>46</v>
      </c>
      <c r="L524" s="24" t="n">
        <f aca="false">DATE(YEAR(C524),MONTH(C524),1)</f>
        <v>43009</v>
      </c>
      <c r="M524" s="21" t="n">
        <f aca="false">D524-C524</f>
        <v>10</v>
      </c>
      <c r="N524" s="21" t="n">
        <f aca="false">MAX(0,D524-E524)</f>
        <v>0</v>
      </c>
      <c r="O524" s="21" t="n">
        <f aca="false">IF(D524&lt;=E524,1,0)</f>
        <v>1</v>
      </c>
      <c r="P524" s="23" t="n">
        <f aca="false">G524+H524</f>
        <v>142.37</v>
      </c>
      <c r="Q524" s="23" t="n">
        <f aca="false">G524*INDEX(Assumptions!$B$8:$B$16,MATCH(F524,Assumptions!$A$8:$A$16,0))</f>
        <v>75.0696</v>
      </c>
      <c r="R524" s="23" t="n">
        <f aca="false">H524*Assumptions!$B$3</f>
        <v>12.774</v>
      </c>
      <c r="S524" s="23" t="n">
        <f aca="false">G524-Q524-R524</f>
        <v>33.2364</v>
      </c>
      <c r="T524" s="21" t="str">
        <f aca="false">IF(M524&lt;=7,"0-7 days",IF(M524&lt;=14,"8-14 days",IF(M524&lt;=21,"15-21 days","22+ days")))</f>
        <v>8-14 days</v>
      </c>
    </row>
    <row r="525" customFormat="false" ht="15" hidden="false" customHeight="false" outlineLevel="0" collapsed="false">
      <c r="A525" s="21" t="s">
        <v>591</v>
      </c>
      <c r="B525" s="21" t="s">
        <v>48</v>
      </c>
      <c r="C525" s="22" t="n">
        <v>43019</v>
      </c>
      <c r="D525" s="22" t="n">
        <v>43030</v>
      </c>
      <c r="E525" s="22" t="n">
        <v>43039</v>
      </c>
      <c r="F525" s="21" t="s">
        <v>57</v>
      </c>
      <c r="G525" s="23" t="n">
        <v>220.14</v>
      </c>
      <c r="H525" s="23" t="n">
        <v>27.32</v>
      </c>
      <c r="I525" s="21" t="s">
        <v>45</v>
      </c>
      <c r="J525" s="21" t="n">
        <v>4</v>
      </c>
      <c r="K525" s="21" t="s">
        <v>46</v>
      </c>
      <c r="L525" s="24" t="n">
        <f aca="false">DATE(YEAR(C525),MONTH(C525),1)</f>
        <v>43009</v>
      </c>
      <c r="M525" s="21" t="n">
        <f aca="false">D525-C525</f>
        <v>11</v>
      </c>
      <c r="N525" s="21" t="n">
        <f aca="false">MAX(0,D525-E525)</f>
        <v>0</v>
      </c>
      <c r="O525" s="21" t="n">
        <f aca="false">IF(D525&lt;=E525,1,0)</f>
        <v>1</v>
      </c>
      <c r="P525" s="23" t="n">
        <f aca="false">G525+H525</f>
        <v>247.46</v>
      </c>
      <c r="Q525" s="23" t="n">
        <f aca="false">G525*INDEX(Assumptions!$B$8:$B$16,MATCH(F525,Assumptions!$A$8:$A$16,0))</f>
        <v>149.6952</v>
      </c>
      <c r="R525" s="23" t="n">
        <f aca="false">H525*Assumptions!$B$3</f>
        <v>16.392</v>
      </c>
      <c r="S525" s="23" t="n">
        <f aca="false">G525-Q525-R525</f>
        <v>54.0528</v>
      </c>
      <c r="T525" s="21" t="str">
        <f aca="false">IF(M525&lt;=7,"0-7 days",IF(M525&lt;=14,"8-14 days",IF(M525&lt;=21,"15-21 days","22+ days")))</f>
        <v>8-14 days</v>
      </c>
    </row>
    <row r="526" customFormat="false" ht="15" hidden="false" customHeight="false" outlineLevel="0" collapsed="false">
      <c r="A526" s="21" t="s">
        <v>592</v>
      </c>
      <c r="B526" s="21" t="s">
        <v>62</v>
      </c>
      <c r="C526" s="22" t="n">
        <v>43019</v>
      </c>
      <c r="D526" s="22" t="n">
        <v>43034</v>
      </c>
      <c r="E526" s="22" t="n">
        <v>43037</v>
      </c>
      <c r="F526" s="21" t="s">
        <v>59</v>
      </c>
      <c r="G526" s="23" t="n">
        <v>97.76</v>
      </c>
      <c r="H526" s="23" t="n">
        <v>18.3</v>
      </c>
      <c r="I526" s="21" t="s">
        <v>45</v>
      </c>
      <c r="J526" s="21" t="n">
        <v>5</v>
      </c>
      <c r="K526" s="21" t="s">
        <v>46</v>
      </c>
      <c r="L526" s="24" t="n">
        <f aca="false">DATE(YEAR(C526),MONTH(C526),1)</f>
        <v>43009</v>
      </c>
      <c r="M526" s="21" t="n">
        <f aca="false">D526-C526</f>
        <v>15</v>
      </c>
      <c r="N526" s="21" t="n">
        <f aca="false">MAX(0,D526-E526)</f>
        <v>0</v>
      </c>
      <c r="O526" s="21" t="n">
        <f aca="false">IF(D526&lt;=E526,1,0)</f>
        <v>1</v>
      </c>
      <c r="P526" s="23" t="n">
        <f aca="false">G526+H526</f>
        <v>116.06</v>
      </c>
      <c r="Q526" s="23" t="n">
        <f aca="false">G526*INDEX(Assumptions!$B$8:$B$16,MATCH(F526,Assumptions!$A$8:$A$16,0))</f>
        <v>62.5664</v>
      </c>
      <c r="R526" s="23" t="n">
        <f aca="false">H526*Assumptions!$B$3</f>
        <v>10.98</v>
      </c>
      <c r="S526" s="23" t="n">
        <f aca="false">G526-Q526-R526</f>
        <v>24.2136</v>
      </c>
      <c r="T526" s="21" t="str">
        <f aca="false">IF(M526&lt;=7,"0-7 days",IF(M526&lt;=14,"8-14 days",IF(M526&lt;=21,"15-21 days","22+ days")))</f>
        <v>15-21 days</v>
      </c>
    </row>
    <row r="527" customFormat="false" ht="15" hidden="false" customHeight="false" outlineLevel="0" collapsed="false">
      <c r="A527" s="21" t="s">
        <v>593</v>
      </c>
      <c r="B527" s="21" t="s">
        <v>19</v>
      </c>
      <c r="C527" s="22" t="n">
        <v>43019</v>
      </c>
      <c r="D527" s="22" t="n">
        <v>43035</v>
      </c>
      <c r="E527" s="22" t="n">
        <v>43038</v>
      </c>
      <c r="F527" s="21" t="s">
        <v>59</v>
      </c>
      <c r="G527" s="23" t="n">
        <v>74.04</v>
      </c>
      <c r="H527" s="23" t="n">
        <v>13.47</v>
      </c>
      <c r="I527" s="21" t="s">
        <v>60</v>
      </c>
      <c r="J527" s="21" t="n">
        <v>4</v>
      </c>
      <c r="K527" s="21" t="s">
        <v>46</v>
      </c>
      <c r="L527" s="24" t="n">
        <f aca="false">DATE(YEAR(C527),MONTH(C527),1)</f>
        <v>43009</v>
      </c>
      <c r="M527" s="21" t="n">
        <f aca="false">D527-C527</f>
        <v>16</v>
      </c>
      <c r="N527" s="21" t="n">
        <f aca="false">MAX(0,D527-E527)</f>
        <v>0</v>
      </c>
      <c r="O527" s="21" t="n">
        <f aca="false">IF(D527&lt;=E527,1,0)</f>
        <v>1</v>
      </c>
      <c r="P527" s="23" t="n">
        <f aca="false">G527+H527</f>
        <v>87.51</v>
      </c>
      <c r="Q527" s="23" t="n">
        <f aca="false">G527*INDEX(Assumptions!$B$8:$B$16,MATCH(F527,Assumptions!$A$8:$A$16,0))</f>
        <v>47.3856</v>
      </c>
      <c r="R527" s="23" t="n">
        <f aca="false">H527*Assumptions!$B$3</f>
        <v>8.082</v>
      </c>
      <c r="S527" s="23" t="n">
        <f aca="false">G527-Q527-R527</f>
        <v>18.5724</v>
      </c>
      <c r="T527" s="21" t="str">
        <f aca="false">IF(M527&lt;=7,"0-7 days",IF(M527&lt;=14,"8-14 days",IF(M527&lt;=21,"15-21 days","22+ days")))</f>
        <v>15-21 days</v>
      </c>
    </row>
    <row r="528" customFormat="false" ht="15" hidden="false" customHeight="false" outlineLevel="0" collapsed="false">
      <c r="A528" s="21" t="s">
        <v>594</v>
      </c>
      <c r="B528" s="21" t="s">
        <v>52</v>
      </c>
      <c r="C528" s="22" t="n">
        <v>43019</v>
      </c>
      <c r="D528" s="22" t="n">
        <v>43044</v>
      </c>
      <c r="E528" s="22" t="n">
        <v>43044</v>
      </c>
      <c r="F528" s="21" t="s">
        <v>67</v>
      </c>
      <c r="G528" s="23" t="n">
        <v>102.83</v>
      </c>
      <c r="H528" s="23" t="n">
        <v>21.5</v>
      </c>
      <c r="I528" s="21" t="s">
        <v>45</v>
      </c>
      <c r="J528" s="21" t="n">
        <v>3</v>
      </c>
      <c r="K528" s="21" t="s">
        <v>46</v>
      </c>
      <c r="L528" s="24" t="n">
        <f aca="false">DATE(YEAR(C528),MONTH(C528),1)</f>
        <v>43009</v>
      </c>
      <c r="M528" s="21" t="n">
        <f aca="false">D528-C528</f>
        <v>25</v>
      </c>
      <c r="N528" s="21" t="n">
        <f aca="false">MAX(0,D528-E528)</f>
        <v>0</v>
      </c>
      <c r="O528" s="21" t="n">
        <f aca="false">IF(D528&lt;=E528,1,0)</f>
        <v>1</v>
      </c>
      <c r="P528" s="23" t="n">
        <f aca="false">G528+H528</f>
        <v>124.33</v>
      </c>
      <c r="Q528" s="23" t="n">
        <f aca="false">G528*INDEX(Assumptions!$B$8:$B$16,MATCH(F528,Assumptions!$A$8:$A$16,0))</f>
        <v>63.7546</v>
      </c>
      <c r="R528" s="23" t="n">
        <f aca="false">H528*Assumptions!$B$3</f>
        <v>12.9</v>
      </c>
      <c r="S528" s="23" t="n">
        <f aca="false">G528-Q528-R528</f>
        <v>26.1754</v>
      </c>
      <c r="T528" s="21" t="str">
        <f aca="false">IF(M528&lt;=7,"0-7 days",IF(M528&lt;=14,"8-14 days",IF(M528&lt;=21,"15-21 days","22+ days")))</f>
        <v>22+ days</v>
      </c>
    </row>
    <row r="529" customFormat="false" ht="15" hidden="false" customHeight="false" outlineLevel="0" collapsed="false">
      <c r="A529" s="21" t="s">
        <v>595</v>
      </c>
      <c r="B529" s="21" t="s">
        <v>48</v>
      </c>
      <c r="C529" s="22" t="n">
        <v>43019</v>
      </c>
      <c r="D529" s="22" t="n">
        <v>43042</v>
      </c>
      <c r="E529" s="22" t="n">
        <v>43040</v>
      </c>
      <c r="F529" s="21" t="s">
        <v>59</v>
      </c>
      <c r="G529" s="23" t="n">
        <v>152.38</v>
      </c>
      <c r="H529" s="23" t="n">
        <v>25</v>
      </c>
      <c r="I529" s="21" t="s">
        <v>45</v>
      </c>
      <c r="J529" s="21" t="n">
        <v>4</v>
      </c>
      <c r="K529" s="21" t="s">
        <v>46</v>
      </c>
      <c r="L529" s="24" t="n">
        <f aca="false">DATE(YEAR(C529),MONTH(C529),1)</f>
        <v>43009</v>
      </c>
      <c r="M529" s="21" t="n">
        <f aca="false">D529-C529</f>
        <v>23</v>
      </c>
      <c r="N529" s="21" t="n">
        <f aca="false">MAX(0,D529-E529)</f>
        <v>2</v>
      </c>
      <c r="O529" s="21" t="n">
        <f aca="false">IF(D529&lt;=E529,1,0)</f>
        <v>0</v>
      </c>
      <c r="P529" s="23" t="n">
        <f aca="false">G529+H529</f>
        <v>177.38</v>
      </c>
      <c r="Q529" s="23" t="n">
        <f aca="false">G529*INDEX(Assumptions!$B$8:$B$16,MATCH(F529,Assumptions!$A$8:$A$16,0))</f>
        <v>97.5232</v>
      </c>
      <c r="R529" s="23" t="n">
        <f aca="false">H529*Assumptions!$B$3</f>
        <v>15</v>
      </c>
      <c r="S529" s="23" t="n">
        <f aca="false">G529-Q529-R529</f>
        <v>39.8568</v>
      </c>
      <c r="T529" s="21" t="str">
        <f aca="false">IF(M529&lt;=7,"0-7 days",IF(M529&lt;=14,"8-14 days",IF(M529&lt;=21,"15-21 days","22+ days")))</f>
        <v>22+ days</v>
      </c>
    </row>
    <row r="530" customFormat="false" ht="15" hidden="false" customHeight="false" outlineLevel="0" collapsed="false">
      <c r="A530" s="21" t="s">
        <v>596</v>
      </c>
      <c r="B530" s="21" t="s">
        <v>62</v>
      </c>
      <c r="C530" s="22" t="n">
        <v>43019</v>
      </c>
      <c r="D530" s="22" t="n">
        <v>43037</v>
      </c>
      <c r="E530" s="22" t="n">
        <v>43040</v>
      </c>
      <c r="F530" s="21" t="s">
        <v>59</v>
      </c>
      <c r="G530" s="23" t="n">
        <v>126.75</v>
      </c>
      <c r="H530" s="23" t="n">
        <v>22.63</v>
      </c>
      <c r="I530" s="21" t="s">
        <v>45</v>
      </c>
      <c r="J530" s="21" t="n">
        <v>5</v>
      </c>
      <c r="K530" s="21" t="s">
        <v>46</v>
      </c>
      <c r="L530" s="24" t="n">
        <f aca="false">DATE(YEAR(C530),MONTH(C530),1)</f>
        <v>43009</v>
      </c>
      <c r="M530" s="21" t="n">
        <f aca="false">D530-C530</f>
        <v>18</v>
      </c>
      <c r="N530" s="21" t="n">
        <f aca="false">MAX(0,D530-E530)</f>
        <v>0</v>
      </c>
      <c r="O530" s="21" t="n">
        <f aca="false">IF(D530&lt;=E530,1,0)</f>
        <v>1</v>
      </c>
      <c r="P530" s="23" t="n">
        <f aca="false">G530+H530</f>
        <v>149.38</v>
      </c>
      <c r="Q530" s="23" t="n">
        <f aca="false">G530*INDEX(Assumptions!$B$8:$B$16,MATCH(F530,Assumptions!$A$8:$A$16,0))</f>
        <v>81.12</v>
      </c>
      <c r="R530" s="23" t="n">
        <f aca="false">H530*Assumptions!$B$3</f>
        <v>13.578</v>
      </c>
      <c r="S530" s="23" t="n">
        <f aca="false">G530-Q530-R530</f>
        <v>32.052</v>
      </c>
      <c r="T530" s="21" t="str">
        <f aca="false">IF(M530&lt;=7,"0-7 days",IF(M530&lt;=14,"8-14 days",IF(M530&lt;=21,"15-21 days","22+ days")))</f>
        <v>15-21 days</v>
      </c>
    </row>
    <row r="531" customFormat="false" ht="15" hidden="false" customHeight="false" outlineLevel="0" collapsed="false">
      <c r="A531" s="21" t="s">
        <v>597</v>
      </c>
      <c r="B531" s="21" t="s">
        <v>134</v>
      </c>
      <c r="C531" s="22" t="n">
        <v>43020</v>
      </c>
      <c r="D531" s="22" t="n">
        <v>43035</v>
      </c>
      <c r="E531" s="22" t="n">
        <v>43046</v>
      </c>
      <c r="F531" s="21" t="s">
        <v>111</v>
      </c>
      <c r="G531" s="23" t="n">
        <v>50.74</v>
      </c>
      <c r="H531" s="23" t="n">
        <v>27.36</v>
      </c>
      <c r="I531" s="21" t="s">
        <v>45</v>
      </c>
      <c r="J531" s="21" t="n">
        <v>5</v>
      </c>
      <c r="K531" s="21" t="s">
        <v>46</v>
      </c>
      <c r="L531" s="24" t="n">
        <f aca="false">DATE(YEAR(C531),MONTH(C531),1)</f>
        <v>43009</v>
      </c>
      <c r="M531" s="21" t="n">
        <f aca="false">D531-C531</f>
        <v>15</v>
      </c>
      <c r="N531" s="21" t="n">
        <f aca="false">MAX(0,D531-E531)</f>
        <v>0</v>
      </c>
      <c r="O531" s="21" t="n">
        <f aca="false">IF(D531&lt;=E531,1,0)</f>
        <v>1</v>
      </c>
      <c r="P531" s="23" t="n">
        <f aca="false">G531+H531</f>
        <v>78.1</v>
      </c>
      <c r="Q531" s="23" t="n">
        <f aca="false">G531*INDEX(Assumptions!$B$8:$B$16,MATCH(F531,Assumptions!$A$8:$A$16,0))</f>
        <v>31.9662</v>
      </c>
      <c r="R531" s="23" t="n">
        <f aca="false">H531*Assumptions!$B$3</f>
        <v>16.416</v>
      </c>
      <c r="S531" s="23" t="n">
        <f aca="false">G531-Q531-R531</f>
        <v>2.3578</v>
      </c>
      <c r="T531" s="21" t="str">
        <f aca="false">IF(M531&lt;=7,"0-7 days",IF(M531&lt;=14,"8-14 days",IF(M531&lt;=21,"15-21 days","22+ days")))</f>
        <v>15-21 days</v>
      </c>
    </row>
    <row r="532" customFormat="false" ht="15" hidden="false" customHeight="false" outlineLevel="0" collapsed="false">
      <c r="A532" s="21" t="s">
        <v>598</v>
      </c>
      <c r="B532" s="21" t="s">
        <v>19</v>
      </c>
      <c r="C532" s="22" t="n">
        <v>43021</v>
      </c>
      <c r="D532" s="22" t="n">
        <v>43032</v>
      </c>
      <c r="E532" s="22" t="n">
        <v>43038</v>
      </c>
      <c r="F532" s="21" t="s">
        <v>67</v>
      </c>
      <c r="G532" s="23" t="n">
        <v>45.05</v>
      </c>
      <c r="H532" s="23" t="n">
        <v>16.14</v>
      </c>
      <c r="I532" s="21" t="s">
        <v>45</v>
      </c>
      <c r="J532" s="21" t="n">
        <v>4</v>
      </c>
      <c r="K532" s="21" t="s">
        <v>46</v>
      </c>
      <c r="L532" s="24" t="n">
        <f aca="false">DATE(YEAR(C532),MONTH(C532),1)</f>
        <v>43009</v>
      </c>
      <c r="M532" s="21" t="n">
        <f aca="false">D532-C532</f>
        <v>11</v>
      </c>
      <c r="N532" s="21" t="n">
        <f aca="false">MAX(0,D532-E532)</f>
        <v>0</v>
      </c>
      <c r="O532" s="21" t="n">
        <f aca="false">IF(D532&lt;=E532,1,0)</f>
        <v>1</v>
      </c>
      <c r="P532" s="23" t="n">
        <f aca="false">G532+H532</f>
        <v>61.19</v>
      </c>
      <c r="Q532" s="23" t="n">
        <f aca="false">G532*INDEX(Assumptions!$B$8:$B$16,MATCH(F532,Assumptions!$A$8:$A$16,0))</f>
        <v>27.931</v>
      </c>
      <c r="R532" s="23" t="n">
        <f aca="false">H532*Assumptions!$B$3</f>
        <v>9.684</v>
      </c>
      <c r="S532" s="23" t="n">
        <f aca="false">G532-Q532-R532</f>
        <v>7.435</v>
      </c>
      <c r="T532" s="21" t="str">
        <f aca="false">IF(M532&lt;=7,"0-7 days",IF(M532&lt;=14,"8-14 days",IF(M532&lt;=21,"15-21 days","22+ days")))</f>
        <v>8-14 days</v>
      </c>
    </row>
    <row r="533" customFormat="false" ht="15" hidden="false" customHeight="false" outlineLevel="0" collapsed="false">
      <c r="A533" s="21" t="s">
        <v>599</v>
      </c>
      <c r="B533" s="21" t="s">
        <v>19</v>
      </c>
      <c r="C533" s="22" t="n">
        <v>43021</v>
      </c>
      <c r="D533" s="22" t="n">
        <v>43034</v>
      </c>
      <c r="E533" s="22" t="n">
        <v>43036</v>
      </c>
      <c r="F533" s="21" t="s">
        <v>79</v>
      </c>
      <c r="G533" s="23" t="n">
        <v>65.63</v>
      </c>
      <c r="H533" s="23" t="n">
        <v>16.85</v>
      </c>
      <c r="I533" s="21" t="s">
        <v>45</v>
      </c>
      <c r="J533" s="21" t="n">
        <v>4</v>
      </c>
      <c r="K533" s="21" t="s">
        <v>46</v>
      </c>
      <c r="L533" s="24" t="n">
        <f aca="false">DATE(YEAR(C533),MONTH(C533),1)</f>
        <v>43009</v>
      </c>
      <c r="M533" s="21" t="n">
        <f aca="false">D533-C533</f>
        <v>13</v>
      </c>
      <c r="N533" s="21" t="n">
        <f aca="false">MAX(0,D533-E533)</f>
        <v>0</v>
      </c>
      <c r="O533" s="21" t="n">
        <f aca="false">IF(D533&lt;=E533,1,0)</f>
        <v>1</v>
      </c>
      <c r="P533" s="23" t="n">
        <f aca="false">G533+H533</f>
        <v>82.48</v>
      </c>
      <c r="Q533" s="23" t="n">
        <f aca="false">G533*INDEX(Assumptions!$B$8:$B$16,MATCH(F533,Assumptions!$A$8:$A$16,0))</f>
        <v>45.941</v>
      </c>
      <c r="R533" s="23" t="n">
        <f aca="false">H533*Assumptions!$B$3</f>
        <v>10.11</v>
      </c>
      <c r="S533" s="23" t="n">
        <f aca="false">G533-Q533-R533</f>
        <v>9.579</v>
      </c>
      <c r="T533" s="21" t="str">
        <f aca="false">IF(M533&lt;=7,"0-7 days",IF(M533&lt;=14,"8-14 days",IF(M533&lt;=21,"15-21 days","22+ days")))</f>
        <v>8-14 days</v>
      </c>
    </row>
    <row r="534" customFormat="false" ht="15" hidden="false" customHeight="false" outlineLevel="0" collapsed="false">
      <c r="A534" s="21" t="s">
        <v>600</v>
      </c>
      <c r="B534" s="21" t="s">
        <v>19</v>
      </c>
      <c r="C534" s="22" t="n">
        <v>43021</v>
      </c>
      <c r="D534" s="22" t="n">
        <v>43029</v>
      </c>
      <c r="E534" s="22" t="n">
        <v>43039</v>
      </c>
      <c r="F534" s="21" t="s">
        <v>44</v>
      </c>
      <c r="G534" s="23" t="n">
        <v>219.65</v>
      </c>
      <c r="H534" s="23" t="n">
        <v>23.44</v>
      </c>
      <c r="I534" s="21" t="s">
        <v>60</v>
      </c>
      <c r="J534" s="21" t="n">
        <v>5</v>
      </c>
      <c r="K534" s="21" t="s">
        <v>46</v>
      </c>
      <c r="L534" s="24" t="n">
        <f aca="false">DATE(YEAR(C534),MONTH(C534),1)</f>
        <v>43009</v>
      </c>
      <c r="M534" s="21" t="n">
        <f aca="false">D534-C534</f>
        <v>8</v>
      </c>
      <c r="N534" s="21" t="n">
        <f aca="false">MAX(0,D534-E534)</f>
        <v>0</v>
      </c>
      <c r="O534" s="21" t="n">
        <f aca="false">IF(D534&lt;=E534,1,0)</f>
        <v>1</v>
      </c>
      <c r="P534" s="23" t="n">
        <f aca="false">G534+H534</f>
        <v>243.09</v>
      </c>
      <c r="Q534" s="23" t="n">
        <f aca="false">G534*INDEX(Assumptions!$B$8:$B$16,MATCH(F534,Assumptions!$A$8:$A$16,0))</f>
        <v>131.79</v>
      </c>
      <c r="R534" s="23" t="n">
        <f aca="false">H534*Assumptions!$B$3</f>
        <v>14.064</v>
      </c>
      <c r="S534" s="23" t="n">
        <f aca="false">G534-Q534-R534</f>
        <v>73.796</v>
      </c>
      <c r="T534" s="21" t="str">
        <f aca="false">IF(M534&lt;=7,"0-7 days",IF(M534&lt;=14,"8-14 days",IF(M534&lt;=21,"15-21 days","22+ days")))</f>
        <v>8-14 days</v>
      </c>
    </row>
    <row r="535" customFormat="false" ht="15" hidden="false" customHeight="false" outlineLevel="0" collapsed="false">
      <c r="A535" s="21" t="s">
        <v>601</v>
      </c>
      <c r="B535" s="21" t="s">
        <v>93</v>
      </c>
      <c r="C535" s="22" t="n">
        <v>43022</v>
      </c>
      <c r="D535" s="22" t="n">
        <v>43053</v>
      </c>
      <c r="E535" s="22" t="n">
        <v>43051</v>
      </c>
      <c r="F535" s="21" t="s">
        <v>53</v>
      </c>
      <c r="G535" s="23" t="n">
        <v>46.01</v>
      </c>
      <c r="H535" s="23" t="n">
        <v>36.82</v>
      </c>
      <c r="I535" s="21" t="s">
        <v>45</v>
      </c>
      <c r="J535" s="21" t="n">
        <v>2</v>
      </c>
      <c r="K535" s="21" t="s">
        <v>46</v>
      </c>
      <c r="L535" s="24" t="n">
        <f aca="false">DATE(YEAR(C535),MONTH(C535),1)</f>
        <v>43009</v>
      </c>
      <c r="M535" s="21" t="n">
        <f aca="false">D535-C535</f>
        <v>31</v>
      </c>
      <c r="N535" s="21" t="n">
        <f aca="false">MAX(0,D535-E535)</f>
        <v>2</v>
      </c>
      <c r="O535" s="21" t="n">
        <f aca="false">IF(D535&lt;=E535,1,0)</f>
        <v>0</v>
      </c>
      <c r="P535" s="23" t="n">
        <f aca="false">G535+H535</f>
        <v>82.83</v>
      </c>
      <c r="Q535" s="23" t="n">
        <f aca="false">G535*INDEX(Assumptions!$B$8:$B$16,MATCH(F535,Assumptions!$A$8:$A$16,0))</f>
        <v>34.0474</v>
      </c>
      <c r="R535" s="23" t="n">
        <f aca="false">H535*Assumptions!$B$3</f>
        <v>22.092</v>
      </c>
      <c r="S535" s="23" t="n">
        <f aca="false">G535-Q535-R535</f>
        <v>-10.1294</v>
      </c>
      <c r="T535" s="21" t="str">
        <f aca="false">IF(M535&lt;=7,"0-7 days",IF(M535&lt;=14,"8-14 days",IF(M535&lt;=21,"15-21 days","22+ days")))</f>
        <v>22+ days</v>
      </c>
    </row>
    <row r="536" customFormat="false" ht="15" hidden="false" customHeight="false" outlineLevel="0" collapsed="false">
      <c r="A536" s="21" t="s">
        <v>602</v>
      </c>
      <c r="B536" s="21" t="s">
        <v>48</v>
      </c>
      <c r="C536" s="22" t="n">
        <v>43022</v>
      </c>
      <c r="D536" s="22" t="n">
        <v>43034</v>
      </c>
      <c r="E536" s="22" t="n">
        <v>43045</v>
      </c>
      <c r="F536" s="21" t="s">
        <v>49</v>
      </c>
      <c r="G536" s="23" t="n">
        <v>153.83</v>
      </c>
      <c r="H536" s="23" t="n">
        <v>29.06</v>
      </c>
      <c r="I536" s="21" t="s">
        <v>45</v>
      </c>
      <c r="J536" s="21" t="n">
        <v>4</v>
      </c>
      <c r="K536" s="21" t="s">
        <v>46</v>
      </c>
      <c r="L536" s="24" t="n">
        <f aca="false">DATE(YEAR(C536),MONTH(C536),1)</f>
        <v>43009</v>
      </c>
      <c r="M536" s="21" t="n">
        <f aca="false">D536-C536</f>
        <v>12</v>
      </c>
      <c r="N536" s="21" t="n">
        <f aca="false">MAX(0,D536-E536)</f>
        <v>0</v>
      </c>
      <c r="O536" s="21" t="n">
        <f aca="false">IF(D536&lt;=E536,1,0)</f>
        <v>1</v>
      </c>
      <c r="P536" s="23" t="n">
        <f aca="false">G536+H536</f>
        <v>182.89</v>
      </c>
      <c r="Q536" s="23" t="n">
        <f aca="false">G536*INDEX(Assumptions!$B$8:$B$16,MATCH(F536,Assumptions!$A$8:$A$16,0))</f>
        <v>89.2214</v>
      </c>
      <c r="R536" s="23" t="n">
        <f aca="false">H536*Assumptions!$B$3</f>
        <v>17.436</v>
      </c>
      <c r="S536" s="23" t="n">
        <f aca="false">G536-Q536-R536</f>
        <v>47.1726</v>
      </c>
      <c r="T536" s="21" t="str">
        <f aca="false">IF(M536&lt;=7,"0-7 days",IF(M536&lt;=14,"8-14 days",IF(M536&lt;=21,"15-21 days","22+ days")))</f>
        <v>8-14 days</v>
      </c>
    </row>
    <row r="537" customFormat="false" ht="15" hidden="false" customHeight="false" outlineLevel="0" collapsed="false">
      <c r="A537" s="21" t="s">
        <v>603</v>
      </c>
      <c r="B537" s="21" t="s">
        <v>55</v>
      </c>
      <c r="C537" s="22" t="n">
        <v>43023</v>
      </c>
      <c r="D537" s="22" t="n">
        <v>43041</v>
      </c>
      <c r="E537" s="22" t="n">
        <v>43050</v>
      </c>
      <c r="F537" s="21" t="s">
        <v>67</v>
      </c>
      <c r="G537" s="23" t="n">
        <v>40.57</v>
      </c>
      <c r="H537" s="23" t="n">
        <v>17.48</v>
      </c>
      <c r="I537" s="21" t="s">
        <v>45</v>
      </c>
      <c r="J537" s="21" t="n">
        <v>5</v>
      </c>
      <c r="K537" s="21" t="s">
        <v>46</v>
      </c>
      <c r="L537" s="24" t="n">
        <f aca="false">DATE(YEAR(C537),MONTH(C537),1)</f>
        <v>43009</v>
      </c>
      <c r="M537" s="21" t="n">
        <f aca="false">D537-C537</f>
        <v>18</v>
      </c>
      <c r="N537" s="21" t="n">
        <f aca="false">MAX(0,D537-E537)</f>
        <v>0</v>
      </c>
      <c r="O537" s="21" t="n">
        <f aca="false">IF(D537&lt;=E537,1,0)</f>
        <v>1</v>
      </c>
      <c r="P537" s="23" t="n">
        <f aca="false">G537+H537</f>
        <v>58.05</v>
      </c>
      <c r="Q537" s="23" t="n">
        <f aca="false">G537*INDEX(Assumptions!$B$8:$B$16,MATCH(F537,Assumptions!$A$8:$A$16,0))</f>
        <v>25.1534</v>
      </c>
      <c r="R537" s="23" t="n">
        <f aca="false">H537*Assumptions!$B$3</f>
        <v>10.488</v>
      </c>
      <c r="S537" s="23" t="n">
        <f aca="false">G537-Q537-R537</f>
        <v>4.9286</v>
      </c>
      <c r="T537" s="21" t="str">
        <f aca="false">IF(M537&lt;=7,"0-7 days",IF(M537&lt;=14,"8-14 days",IF(M537&lt;=21,"15-21 days","22+ days")))</f>
        <v>15-21 days</v>
      </c>
    </row>
    <row r="538" customFormat="false" ht="15" hidden="false" customHeight="false" outlineLevel="0" collapsed="false">
      <c r="A538" s="21" t="s">
        <v>604</v>
      </c>
      <c r="B538" s="21" t="s">
        <v>62</v>
      </c>
      <c r="C538" s="22" t="n">
        <v>43023</v>
      </c>
      <c r="D538" s="22" t="n">
        <v>43031</v>
      </c>
      <c r="E538" s="22" t="n">
        <v>43043</v>
      </c>
      <c r="F538" s="21" t="s">
        <v>64</v>
      </c>
      <c r="G538" s="23" t="n">
        <v>103.98</v>
      </c>
      <c r="H538" s="23" t="n">
        <v>20.8</v>
      </c>
      <c r="I538" s="21" t="s">
        <v>50</v>
      </c>
      <c r="J538" s="21" t="n">
        <v>4</v>
      </c>
      <c r="K538" s="21" t="s">
        <v>46</v>
      </c>
      <c r="L538" s="24" t="n">
        <f aca="false">DATE(YEAR(C538),MONTH(C538),1)</f>
        <v>43009</v>
      </c>
      <c r="M538" s="21" t="n">
        <f aca="false">D538-C538</f>
        <v>8</v>
      </c>
      <c r="N538" s="21" t="n">
        <f aca="false">MAX(0,D538-E538)</f>
        <v>0</v>
      </c>
      <c r="O538" s="21" t="n">
        <f aca="false">IF(D538&lt;=E538,1,0)</f>
        <v>1</v>
      </c>
      <c r="P538" s="23" t="n">
        <f aca="false">G538+H538</f>
        <v>124.78</v>
      </c>
      <c r="Q538" s="23" t="n">
        <f aca="false">G538*INDEX(Assumptions!$B$8:$B$16,MATCH(F538,Assumptions!$A$8:$A$16,0))</f>
        <v>68.6268</v>
      </c>
      <c r="R538" s="23" t="n">
        <f aca="false">H538*Assumptions!$B$3</f>
        <v>12.48</v>
      </c>
      <c r="S538" s="23" t="n">
        <f aca="false">G538-Q538-R538</f>
        <v>22.8732</v>
      </c>
      <c r="T538" s="21" t="str">
        <f aca="false">IF(M538&lt;=7,"0-7 days",IF(M538&lt;=14,"8-14 days",IF(M538&lt;=21,"15-21 days","22+ days")))</f>
        <v>8-14 days</v>
      </c>
    </row>
    <row r="539" customFormat="false" ht="15" hidden="false" customHeight="false" outlineLevel="0" collapsed="false">
      <c r="A539" s="21" t="s">
        <v>605</v>
      </c>
      <c r="B539" s="21" t="s">
        <v>156</v>
      </c>
      <c r="C539" s="22" t="n">
        <v>43024</v>
      </c>
      <c r="D539" s="22" t="n">
        <v>43066</v>
      </c>
      <c r="E539" s="22" t="n">
        <v>43051</v>
      </c>
      <c r="F539" s="21" t="s">
        <v>64</v>
      </c>
      <c r="G539" s="23" t="n">
        <v>127.94</v>
      </c>
      <c r="H539" s="23" t="n">
        <v>33.97</v>
      </c>
      <c r="I539" s="21" t="s">
        <v>45</v>
      </c>
      <c r="J539" s="21" t="n">
        <v>2</v>
      </c>
      <c r="K539" s="21" t="s">
        <v>46</v>
      </c>
      <c r="L539" s="24" t="n">
        <f aca="false">DATE(YEAR(C539),MONTH(C539),1)</f>
        <v>43009</v>
      </c>
      <c r="M539" s="21" t="n">
        <f aca="false">D539-C539</f>
        <v>42</v>
      </c>
      <c r="N539" s="21" t="n">
        <f aca="false">MAX(0,D539-E539)</f>
        <v>15</v>
      </c>
      <c r="O539" s="21" t="n">
        <f aca="false">IF(D539&lt;=E539,1,0)</f>
        <v>0</v>
      </c>
      <c r="P539" s="23" t="n">
        <f aca="false">G539+H539</f>
        <v>161.91</v>
      </c>
      <c r="Q539" s="23" t="n">
        <f aca="false">G539*INDEX(Assumptions!$B$8:$B$16,MATCH(F539,Assumptions!$A$8:$A$16,0))</f>
        <v>84.4404</v>
      </c>
      <c r="R539" s="23" t="n">
        <f aca="false">H539*Assumptions!$B$3</f>
        <v>20.382</v>
      </c>
      <c r="S539" s="23" t="n">
        <f aca="false">G539-Q539-R539</f>
        <v>23.1176</v>
      </c>
      <c r="T539" s="21" t="str">
        <f aca="false">IF(M539&lt;=7,"0-7 days",IF(M539&lt;=14,"8-14 days",IF(M539&lt;=21,"15-21 days","22+ days")))</f>
        <v>22+ days</v>
      </c>
    </row>
    <row r="540" customFormat="false" ht="15" hidden="false" customHeight="false" outlineLevel="0" collapsed="false">
      <c r="A540" s="21" t="s">
        <v>606</v>
      </c>
      <c r="B540" s="21" t="s">
        <v>19</v>
      </c>
      <c r="C540" s="22" t="n">
        <v>43024</v>
      </c>
      <c r="D540" s="22" t="n">
        <v>43034</v>
      </c>
      <c r="E540" s="22" t="n">
        <v>43041</v>
      </c>
      <c r="F540" s="21" t="s">
        <v>79</v>
      </c>
      <c r="G540" s="23" t="n">
        <v>28.56</v>
      </c>
      <c r="H540" s="23" t="n">
        <v>16.46</v>
      </c>
      <c r="I540" s="21" t="s">
        <v>45</v>
      </c>
      <c r="J540" s="21" t="n">
        <v>5</v>
      </c>
      <c r="K540" s="21" t="s">
        <v>46</v>
      </c>
      <c r="L540" s="24" t="n">
        <f aca="false">DATE(YEAR(C540),MONTH(C540),1)</f>
        <v>43009</v>
      </c>
      <c r="M540" s="21" t="n">
        <f aca="false">D540-C540</f>
        <v>10</v>
      </c>
      <c r="N540" s="21" t="n">
        <f aca="false">MAX(0,D540-E540)</f>
        <v>0</v>
      </c>
      <c r="O540" s="21" t="n">
        <f aca="false">IF(D540&lt;=E540,1,0)</f>
        <v>1</v>
      </c>
      <c r="P540" s="23" t="n">
        <f aca="false">G540+H540</f>
        <v>45.02</v>
      </c>
      <c r="Q540" s="23" t="n">
        <f aca="false">G540*INDEX(Assumptions!$B$8:$B$16,MATCH(F540,Assumptions!$A$8:$A$16,0))</f>
        <v>19.992</v>
      </c>
      <c r="R540" s="23" t="n">
        <f aca="false">H540*Assumptions!$B$3</f>
        <v>9.876</v>
      </c>
      <c r="S540" s="23" t="n">
        <f aca="false">G540-Q540-R540</f>
        <v>-1.308</v>
      </c>
      <c r="T540" s="21" t="str">
        <f aca="false">IF(M540&lt;=7,"0-7 days",IF(M540&lt;=14,"8-14 days",IF(M540&lt;=21,"15-21 days","22+ days")))</f>
        <v>8-14 days</v>
      </c>
    </row>
    <row r="541" customFormat="false" ht="15" hidden="false" customHeight="false" outlineLevel="0" collapsed="false">
      <c r="A541" s="21" t="s">
        <v>607</v>
      </c>
      <c r="B541" s="21" t="s">
        <v>55</v>
      </c>
      <c r="C541" s="22" t="n">
        <v>43024</v>
      </c>
      <c r="D541" s="22" t="n">
        <v>43042</v>
      </c>
      <c r="E541" s="22" t="n">
        <v>43048</v>
      </c>
      <c r="F541" s="21" t="s">
        <v>67</v>
      </c>
      <c r="G541" s="23" t="n">
        <v>62.83</v>
      </c>
      <c r="H541" s="23" t="n">
        <v>23.34</v>
      </c>
      <c r="I541" s="21" t="s">
        <v>45</v>
      </c>
      <c r="J541" s="21" t="n">
        <v>5</v>
      </c>
      <c r="K541" s="21" t="s">
        <v>46</v>
      </c>
      <c r="L541" s="24" t="n">
        <f aca="false">DATE(YEAR(C541),MONTH(C541),1)</f>
        <v>43009</v>
      </c>
      <c r="M541" s="21" t="n">
        <f aca="false">D541-C541</f>
        <v>18</v>
      </c>
      <c r="N541" s="21" t="n">
        <f aca="false">MAX(0,D541-E541)</f>
        <v>0</v>
      </c>
      <c r="O541" s="21" t="n">
        <f aca="false">IF(D541&lt;=E541,1,0)</f>
        <v>1</v>
      </c>
      <c r="P541" s="23" t="n">
        <f aca="false">G541+H541</f>
        <v>86.17</v>
      </c>
      <c r="Q541" s="23" t="n">
        <f aca="false">G541*INDEX(Assumptions!$B$8:$B$16,MATCH(F541,Assumptions!$A$8:$A$16,0))</f>
        <v>38.9546</v>
      </c>
      <c r="R541" s="23" t="n">
        <f aca="false">H541*Assumptions!$B$3</f>
        <v>14.004</v>
      </c>
      <c r="S541" s="23" t="n">
        <f aca="false">G541-Q541-R541</f>
        <v>9.8714</v>
      </c>
      <c r="T541" s="21" t="str">
        <f aca="false">IF(M541&lt;=7,"0-7 days",IF(M541&lt;=14,"8-14 days",IF(M541&lt;=21,"15-21 days","22+ days")))</f>
        <v>15-21 days</v>
      </c>
    </row>
    <row r="542" customFormat="false" ht="15" hidden="false" customHeight="false" outlineLevel="0" collapsed="false">
      <c r="A542" s="21" t="s">
        <v>608</v>
      </c>
      <c r="B542" s="21" t="s">
        <v>55</v>
      </c>
      <c r="C542" s="22" t="n">
        <v>43024</v>
      </c>
      <c r="D542" s="22" t="n">
        <v>43041</v>
      </c>
      <c r="E542" s="22" t="n">
        <v>43048</v>
      </c>
      <c r="F542" s="21" t="s">
        <v>53</v>
      </c>
      <c r="G542" s="23" t="n">
        <v>174.86</v>
      </c>
      <c r="H542" s="23" t="n">
        <v>21.29</v>
      </c>
      <c r="I542" s="21" t="s">
        <v>45</v>
      </c>
      <c r="J542" s="21" t="n">
        <v>3</v>
      </c>
      <c r="K542" s="21" t="s">
        <v>46</v>
      </c>
      <c r="L542" s="24" t="n">
        <f aca="false">DATE(YEAR(C542),MONTH(C542),1)</f>
        <v>43009</v>
      </c>
      <c r="M542" s="21" t="n">
        <f aca="false">D542-C542</f>
        <v>17</v>
      </c>
      <c r="N542" s="21" t="n">
        <f aca="false">MAX(0,D542-E542)</f>
        <v>0</v>
      </c>
      <c r="O542" s="21" t="n">
        <f aca="false">IF(D542&lt;=E542,1,0)</f>
        <v>1</v>
      </c>
      <c r="P542" s="23" t="n">
        <f aca="false">G542+H542</f>
        <v>196.15</v>
      </c>
      <c r="Q542" s="23" t="n">
        <f aca="false">G542*INDEX(Assumptions!$B$8:$B$16,MATCH(F542,Assumptions!$A$8:$A$16,0))</f>
        <v>129.3964</v>
      </c>
      <c r="R542" s="23" t="n">
        <f aca="false">H542*Assumptions!$B$3</f>
        <v>12.774</v>
      </c>
      <c r="S542" s="23" t="n">
        <f aca="false">G542-Q542-R542</f>
        <v>32.6896</v>
      </c>
      <c r="T542" s="21" t="str">
        <f aca="false">IF(M542&lt;=7,"0-7 days",IF(M542&lt;=14,"8-14 days",IF(M542&lt;=21,"15-21 days","22+ days")))</f>
        <v>15-21 days</v>
      </c>
    </row>
    <row r="543" customFormat="false" ht="15" hidden="false" customHeight="false" outlineLevel="0" collapsed="false">
      <c r="A543" s="21" t="s">
        <v>609</v>
      </c>
      <c r="B543" s="21" t="s">
        <v>52</v>
      </c>
      <c r="C543" s="22" t="n">
        <v>43025</v>
      </c>
      <c r="D543" s="22" t="n">
        <v>43044</v>
      </c>
      <c r="E543" s="22" t="n">
        <v>43049</v>
      </c>
      <c r="F543" s="21" t="s">
        <v>67</v>
      </c>
      <c r="G543" s="23" t="n">
        <v>97.41</v>
      </c>
      <c r="H543" s="23" t="n">
        <v>19.5</v>
      </c>
      <c r="I543" s="21" t="s">
        <v>45</v>
      </c>
      <c r="J543" s="21" t="n">
        <v>4</v>
      </c>
      <c r="K543" s="21" t="s">
        <v>46</v>
      </c>
      <c r="L543" s="24" t="n">
        <f aca="false">DATE(YEAR(C543),MONTH(C543),1)</f>
        <v>43009</v>
      </c>
      <c r="M543" s="21" t="n">
        <f aca="false">D543-C543</f>
        <v>19</v>
      </c>
      <c r="N543" s="21" t="n">
        <f aca="false">MAX(0,D543-E543)</f>
        <v>0</v>
      </c>
      <c r="O543" s="21" t="n">
        <f aca="false">IF(D543&lt;=E543,1,0)</f>
        <v>1</v>
      </c>
      <c r="P543" s="23" t="n">
        <f aca="false">G543+H543</f>
        <v>116.91</v>
      </c>
      <c r="Q543" s="23" t="n">
        <f aca="false">G543*INDEX(Assumptions!$B$8:$B$16,MATCH(F543,Assumptions!$A$8:$A$16,0))</f>
        <v>60.3942</v>
      </c>
      <c r="R543" s="23" t="n">
        <f aca="false">H543*Assumptions!$B$3</f>
        <v>11.7</v>
      </c>
      <c r="S543" s="23" t="n">
        <f aca="false">G543-Q543-R543</f>
        <v>25.3158</v>
      </c>
      <c r="T543" s="21" t="str">
        <f aca="false">IF(M543&lt;=7,"0-7 days",IF(M543&lt;=14,"8-14 days",IF(M543&lt;=21,"15-21 days","22+ days")))</f>
        <v>15-21 days</v>
      </c>
    </row>
    <row r="544" customFormat="false" ht="15" hidden="false" customHeight="false" outlineLevel="0" collapsed="false">
      <c r="A544" s="21" t="s">
        <v>610</v>
      </c>
      <c r="B544" s="21" t="s">
        <v>19</v>
      </c>
      <c r="C544" s="22" t="n">
        <v>43026</v>
      </c>
      <c r="D544" s="22" t="n">
        <v>43035</v>
      </c>
      <c r="E544" s="22" t="n">
        <v>43043</v>
      </c>
      <c r="F544" s="21" t="s">
        <v>49</v>
      </c>
      <c r="G544" s="23" t="n">
        <v>92.84</v>
      </c>
      <c r="H544" s="23" t="n">
        <v>17.52</v>
      </c>
      <c r="I544" s="21" t="s">
        <v>104</v>
      </c>
      <c r="J544" s="21" t="n">
        <v>4</v>
      </c>
      <c r="K544" s="21" t="s">
        <v>46</v>
      </c>
      <c r="L544" s="24" t="n">
        <f aca="false">DATE(YEAR(C544),MONTH(C544),1)</f>
        <v>43009</v>
      </c>
      <c r="M544" s="21" t="n">
        <f aca="false">D544-C544</f>
        <v>9</v>
      </c>
      <c r="N544" s="21" t="n">
        <f aca="false">MAX(0,D544-E544)</f>
        <v>0</v>
      </c>
      <c r="O544" s="21" t="n">
        <f aca="false">IF(D544&lt;=E544,1,0)</f>
        <v>1</v>
      </c>
      <c r="P544" s="23" t="n">
        <f aca="false">G544+H544</f>
        <v>110.36</v>
      </c>
      <c r="Q544" s="23" t="n">
        <f aca="false">G544*INDEX(Assumptions!$B$8:$B$16,MATCH(F544,Assumptions!$A$8:$A$16,0))</f>
        <v>53.8472</v>
      </c>
      <c r="R544" s="23" t="n">
        <f aca="false">H544*Assumptions!$B$3</f>
        <v>10.512</v>
      </c>
      <c r="S544" s="23" t="n">
        <f aca="false">G544-Q544-R544</f>
        <v>28.4808</v>
      </c>
      <c r="T544" s="21" t="str">
        <f aca="false">IF(M544&lt;=7,"0-7 days",IF(M544&lt;=14,"8-14 days",IF(M544&lt;=21,"15-21 days","22+ days")))</f>
        <v>8-14 days</v>
      </c>
    </row>
    <row r="545" customFormat="false" ht="15" hidden="false" customHeight="false" outlineLevel="0" collapsed="false">
      <c r="A545" s="21" t="s">
        <v>611</v>
      </c>
      <c r="B545" s="21" t="s">
        <v>62</v>
      </c>
      <c r="C545" s="22" t="n">
        <v>43026</v>
      </c>
      <c r="D545" s="22" t="n">
        <v>43037</v>
      </c>
      <c r="E545" s="22" t="n">
        <v>43049</v>
      </c>
      <c r="F545" s="21" t="s">
        <v>111</v>
      </c>
      <c r="G545" s="23" t="n">
        <v>55.06</v>
      </c>
      <c r="H545" s="23" t="n">
        <v>15.35</v>
      </c>
      <c r="I545" s="21" t="s">
        <v>45</v>
      </c>
      <c r="J545" s="21" t="n">
        <v>5</v>
      </c>
      <c r="K545" s="21" t="s">
        <v>46</v>
      </c>
      <c r="L545" s="24" t="n">
        <f aca="false">DATE(YEAR(C545),MONTH(C545),1)</f>
        <v>43009</v>
      </c>
      <c r="M545" s="21" t="n">
        <f aca="false">D545-C545</f>
        <v>11</v>
      </c>
      <c r="N545" s="21" t="n">
        <f aca="false">MAX(0,D545-E545)</f>
        <v>0</v>
      </c>
      <c r="O545" s="21" t="n">
        <f aca="false">IF(D545&lt;=E545,1,0)</f>
        <v>1</v>
      </c>
      <c r="P545" s="23" t="n">
        <f aca="false">G545+H545</f>
        <v>70.41</v>
      </c>
      <c r="Q545" s="23" t="n">
        <f aca="false">G545*INDEX(Assumptions!$B$8:$B$16,MATCH(F545,Assumptions!$A$8:$A$16,0))</f>
        <v>34.6878</v>
      </c>
      <c r="R545" s="23" t="n">
        <f aca="false">H545*Assumptions!$B$3</f>
        <v>9.21</v>
      </c>
      <c r="S545" s="23" t="n">
        <f aca="false">G545-Q545-R545</f>
        <v>11.1622</v>
      </c>
      <c r="T545" s="21" t="str">
        <f aca="false">IF(M545&lt;=7,"0-7 days",IF(M545&lt;=14,"8-14 days",IF(M545&lt;=21,"15-21 days","22+ days")))</f>
        <v>8-14 days</v>
      </c>
    </row>
    <row r="546" customFormat="false" ht="15" hidden="false" customHeight="false" outlineLevel="0" collapsed="false">
      <c r="A546" s="21" t="s">
        <v>612</v>
      </c>
      <c r="B546" s="21" t="s">
        <v>52</v>
      </c>
      <c r="C546" s="22" t="n">
        <v>43026</v>
      </c>
      <c r="D546" s="22" t="n">
        <v>43036</v>
      </c>
      <c r="E546" s="22" t="n">
        <v>43050</v>
      </c>
      <c r="F546" s="21" t="s">
        <v>57</v>
      </c>
      <c r="G546" s="23" t="n">
        <v>148.78</v>
      </c>
      <c r="H546" s="23" t="n">
        <v>20.31</v>
      </c>
      <c r="I546" s="21" t="s">
        <v>104</v>
      </c>
      <c r="J546" s="21" t="n">
        <v>5</v>
      </c>
      <c r="K546" s="21" t="s">
        <v>46</v>
      </c>
      <c r="L546" s="24" t="n">
        <f aca="false">DATE(YEAR(C546),MONTH(C546),1)</f>
        <v>43009</v>
      </c>
      <c r="M546" s="21" t="n">
        <f aca="false">D546-C546</f>
        <v>10</v>
      </c>
      <c r="N546" s="21" t="n">
        <f aca="false">MAX(0,D546-E546)</f>
        <v>0</v>
      </c>
      <c r="O546" s="21" t="n">
        <f aca="false">IF(D546&lt;=E546,1,0)</f>
        <v>1</v>
      </c>
      <c r="P546" s="23" t="n">
        <f aca="false">G546+H546</f>
        <v>169.09</v>
      </c>
      <c r="Q546" s="23" t="n">
        <f aca="false">G546*INDEX(Assumptions!$B$8:$B$16,MATCH(F546,Assumptions!$A$8:$A$16,0))</f>
        <v>101.1704</v>
      </c>
      <c r="R546" s="23" t="n">
        <f aca="false">H546*Assumptions!$B$3</f>
        <v>12.186</v>
      </c>
      <c r="S546" s="23" t="n">
        <f aca="false">G546-Q546-R546</f>
        <v>35.4236</v>
      </c>
      <c r="T546" s="21" t="str">
        <f aca="false">IF(M546&lt;=7,"0-7 days",IF(M546&lt;=14,"8-14 days",IF(M546&lt;=21,"15-21 days","22+ days")))</f>
        <v>8-14 days</v>
      </c>
    </row>
    <row r="547" customFormat="false" ht="15" hidden="false" customHeight="false" outlineLevel="0" collapsed="false">
      <c r="A547" s="21" t="s">
        <v>613</v>
      </c>
      <c r="B547" s="21" t="s">
        <v>52</v>
      </c>
      <c r="C547" s="22" t="n">
        <v>43027</v>
      </c>
      <c r="D547" s="22" t="n">
        <v>43056</v>
      </c>
      <c r="E547" s="22" t="n">
        <v>43051</v>
      </c>
      <c r="F547" s="21" t="s">
        <v>49</v>
      </c>
      <c r="G547" s="23" t="n">
        <v>65.49</v>
      </c>
      <c r="H547" s="23" t="n">
        <v>16.93</v>
      </c>
      <c r="I547" s="21" t="s">
        <v>50</v>
      </c>
      <c r="J547" s="21" t="n">
        <v>3</v>
      </c>
      <c r="K547" s="21" t="s">
        <v>46</v>
      </c>
      <c r="L547" s="24" t="n">
        <f aca="false">DATE(YEAR(C547),MONTH(C547),1)</f>
        <v>43009</v>
      </c>
      <c r="M547" s="21" t="n">
        <f aca="false">D547-C547</f>
        <v>29</v>
      </c>
      <c r="N547" s="21" t="n">
        <f aca="false">MAX(0,D547-E547)</f>
        <v>5</v>
      </c>
      <c r="O547" s="21" t="n">
        <f aca="false">IF(D547&lt;=E547,1,0)</f>
        <v>0</v>
      </c>
      <c r="P547" s="23" t="n">
        <f aca="false">G547+H547</f>
        <v>82.42</v>
      </c>
      <c r="Q547" s="23" t="n">
        <f aca="false">G547*INDEX(Assumptions!$B$8:$B$16,MATCH(F547,Assumptions!$A$8:$A$16,0))</f>
        <v>37.9842</v>
      </c>
      <c r="R547" s="23" t="n">
        <f aca="false">H547*Assumptions!$B$3</f>
        <v>10.158</v>
      </c>
      <c r="S547" s="23" t="n">
        <f aca="false">G547-Q547-R547</f>
        <v>17.3478</v>
      </c>
      <c r="T547" s="21" t="str">
        <f aca="false">IF(M547&lt;=7,"0-7 days",IF(M547&lt;=14,"8-14 days",IF(M547&lt;=21,"15-21 days","22+ days")))</f>
        <v>22+ days</v>
      </c>
    </row>
    <row r="548" customFormat="false" ht="15" hidden="false" customHeight="false" outlineLevel="0" collapsed="false">
      <c r="A548" s="21" t="s">
        <v>614</v>
      </c>
      <c r="B548" s="21" t="s">
        <v>134</v>
      </c>
      <c r="C548" s="22" t="n">
        <v>43027</v>
      </c>
      <c r="D548" s="22" t="n">
        <v>43040</v>
      </c>
      <c r="E548" s="22" t="n">
        <v>43052</v>
      </c>
      <c r="F548" s="21" t="s">
        <v>49</v>
      </c>
      <c r="G548" s="23" t="n">
        <v>119.16</v>
      </c>
      <c r="H548" s="23" t="n">
        <v>26.39</v>
      </c>
      <c r="I548" s="21" t="s">
        <v>60</v>
      </c>
      <c r="J548" s="21" t="n">
        <v>3</v>
      </c>
      <c r="K548" s="21" t="s">
        <v>46</v>
      </c>
      <c r="L548" s="24" t="n">
        <f aca="false">DATE(YEAR(C548),MONTH(C548),1)</f>
        <v>43009</v>
      </c>
      <c r="M548" s="21" t="n">
        <f aca="false">D548-C548</f>
        <v>13</v>
      </c>
      <c r="N548" s="21" t="n">
        <f aca="false">MAX(0,D548-E548)</f>
        <v>0</v>
      </c>
      <c r="O548" s="21" t="n">
        <f aca="false">IF(D548&lt;=E548,1,0)</f>
        <v>1</v>
      </c>
      <c r="P548" s="23" t="n">
        <f aca="false">G548+H548</f>
        <v>145.55</v>
      </c>
      <c r="Q548" s="23" t="n">
        <f aca="false">G548*INDEX(Assumptions!$B$8:$B$16,MATCH(F548,Assumptions!$A$8:$A$16,0))</f>
        <v>69.1128</v>
      </c>
      <c r="R548" s="23" t="n">
        <f aca="false">H548*Assumptions!$B$3</f>
        <v>15.834</v>
      </c>
      <c r="S548" s="23" t="n">
        <f aca="false">G548-Q548-R548</f>
        <v>34.2132</v>
      </c>
      <c r="T548" s="21" t="str">
        <f aca="false">IF(M548&lt;=7,"0-7 days",IF(M548&lt;=14,"8-14 days",IF(M548&lt;=21,"15-21 days","22+ days")))</f>
        <v>8-14 days</v>
      </c>
    </row>
    <row r="549" customFormat="false" ht="15" hidden="false" customHeight="false" outlineLevel="0" collapsed="false">
      <c r="A549" s="21" t="s">
        <v>615</v>
      </c>
      <c r="B549" s="21" t="s">
        <v>52</v>
      </c>
      <c r="C549" s="22" t="n">
        <v>43027</v>
      </c>
      <c r="D549" s="22" t="n">
        <v>43040</v>
      </c>
      <c r="E549" s="22" t="n">
        <v>43048</v>
      </c>
      <c r="F549" s="21" t="s">
        <v>49</v>
      </c>
      <c r="G549" s="23" t="n">
        <v>96.44</v>
      </c>
      <c r="H549" s="23" t="n">
        <v>26.23</v>
      </c>
      <c r="I549" s="21" t="s">
        <v>45</v>
      </c>
      <c r="J549" s="21" t="n">
        <v>4</v>
      </c>
      <c r="K549" s="21" t="s">
        <v>46</v>
      </c>
      <c r="L549" s="24" t="n">
        <f aca="false">DATE(YEAR(C549),MONTH(C549),1)</f>
        <v>43009</v>
      </c>
      <c r="M549" s="21" t="n">
        <f aca="false">D549-C549</f>
        <v>13</v>
      </c>
      <c r="N549" s="21" t="n">
        <f aca="false">MAX(0,D549-E549)</f>
        <v>0</v>
      </c>
      <c r="O549" s="21" t="n">
        <f aca="false">IF(D549&lt;=E549,1,0)</f>
        <v>1</v>
      </c>
      <c r="P549" s="23" t="n">
        <f aca="false">G549+H549</f>
        <v>122.67</v>
      </c>
      <c r="Q549" s="23" t="n">
        <f aca="false">G549*INDEX(Assumptions!$B$8:$B$16,MATCH(F549,Assumptions!$A$8:$A$16,0))</f>
        <v>55.9352</v>
      </c>
      <c r="R549" s="23" t="n">
        <f aca="false">H549*Assumptions!$B$3</f>
        <v>15.738</v>
      </c>
      <c r="S549" s="23" t="n">
        <f aca="false">G549-Q549-R549</f>
        <v>24.7668</v>
      </c>
      <c r="T549" s="21" t="str">
        <f aca="false">IF(M549&lt;=7,"0-7 days",IF(M549&lt;=14,"8-14 days",IF(M549&lt;=21,"15-21 days","22+ days")))</f>
        <v>8-14 days</v>
      </c>
    </row>
    <row r="550" customFormat="false" ht="15" hidden="false" customHeight="false" outlineLevel="0" collapsed="false">
      <c r="A550" s="21" t="s">
        <v>616</v>
      </c>
      <c r="B550" s="21" t="s">
        <v>62</v>
      </c>
      <c r="C550" s="22" t="n">
        <v>43027</v>
      </c>
      <c r="D550" s="22" t="n">
        <v>43041</v>
      </c>
      <c r="E550" s="22" t="n">
        <v>43050</v>
      </c>
      <c r="F550" s="21" t="s">
        <v>64</v>
      </c>
      <c r="G550" s="23" t="n">
        <v>109.15</v>
      </c>
      <c r="H550" s="23" t="n">
        <v>28.45</v>
      </c>
      <c r="I550" s="21" t="s">
        <v>60</v>
      </c>
      <c r="J550" s="21" t="n">
        <v>5</v>
      </c>
      <c r="K550" s="21" t="s">
        <v>46</v>
      </c>
      <c r="L550" s="24" t="n">
        <f aca="false">DATE(YEAR(C550),MONTH(C550),1)</f>
        <v>43009</v>
      </c>
      <c r="M550" s="21" t="n">
        <f aca="false">D550-C550</f>
        <v>14</v>
      </c>
      <c r="N550" s="21" t="n">
        <f aca="false">MAX(0,D550-E550)</f>
        <v>0</v>
      </c>
      <c r="O550" s="21" t="n">
        <f aca="false">IF(D550&lt;=E550,1,0)</f>
        <v>1</v>
      </c>
      <c r="P550" s="23" t="n">
        <f aca="false">G550+H550</f>
        <v>137.6</v>
      </c>
      <c r="Q550" s="23" t="n">
        <f aca="false">G550*INDEX(Assumptions!$B$8:$B$16,MATCH(F550,Assumptions!$A$8:$A$16,0))</f>
        <v>72.039</v>
      </c>
      <c r="R550" s="23" t="n">
        <f aca="false">H550*Assumptions!$B$3</f>
        <v>17.07</v>
      </c>
      <c r="S550" s="23" t="n">
        <f aca="false">G550-Q550-R550</f>
        <v>20.041</v>
      </c>
      <c r="T550" s="21" t="str">
        <f aca="false">IF(M550&lt;=7,"0-7 days",IF(M550&lt;=14,"8-14 days",IF(M550&lt;=21,"15-21 days","22+ days")))</f>
        <v>8-14 days</v>
      </c>
    </row>
    <row r="551" customFormat="false" ht="15" hidden="false" customHeight="false" outlineLevel="0" collapsed="false">
      <c r="A551" s="21" t="s">
        <v>617</v>
      </c>
      <c r="B551" s="21" t="s">
        <v>62</v>
      </c>
      <c r="C551" s="22" t="n">
        <v>43027</v>
      </c>
      <c r="D551" s="22" t="n">
        <v>43044</v>
      </c>
      <c r="E551" s="22" t="n">
        <v>43046</v>
      </c>
      <c r="F551" s="21" t="s">
        <v>64</v>
      </c>
      <c r="G551" s="23" t="n">
        <v>60.31</v>
      </c>
      <c r="H551" s="23" t="n">
        <v>18.94</v>
      </c>
      <c r="I551" s="21" t="s">
        <v>45</v>
      </c>
      <c r="J551" s="21" t="n">
        <v>5</v>
      </c>
      <c r="K551" s="21" t="s">
        <v>46</v>
      </c>
      <c r="L551" s="24" t="n">
        <f aca="false">DATE(YEAR(C551),MONTH(C551),1)</f>
        <v>43009</v>
      </c>
      <c r="M551" s="21" t="n">
        <f aca="false">D551-C551</f>
        <v>17</v>
      </c>
      <c r="N551" s="21" t="n">
        <f aca="false">MAX(0,D551-E551)</f>
        <v>0</v>
      </c>
      <c r="O551" s="21" t="n">
        <f aca="false">IF(D551&lt;=E551,1,0)</f>
        <v>1</v>
      </c>
      <c r="P551" s="23" t="n">
        <f aca="false">G551+H551</f>
        <v>79.25</v>
      </c>
      <c r="Q551" s="23" t="n">
        <f aca="false">G551*INDEX(Assumptions!$B$8:$B$16,MATCH(F551,Assumptions!$A$8:$A$16,0))</f>
        <v>39.8046</v>
      </c>
      <c r="R551" s="23" t="n">
        <f aca="false">H551*Assumptions!$B$3</f>
        <v>11.364</v>
      </c>
      <c r="S551" s="23" t="n">
        <f aca="false">G551-Q551-R551</f>
        <v>9.1414</v>
      </c>
      <c r="T551" s="21" t="str">
        <f aca="false">IF(M551&lt;=7,"0-7 days",IF(M551&lt;=14,"8-14 days",IF(M551&lt;=21,"15-21 days","22+ days")))</f>
        <v>15-21 days</v>
      </c>
    </row>
    <row r="552" customFormat="false" ht="15" hidden="false" customHeight="false" outlineLevel="0" collapsed="false">
      <c r="A552" s="21" t="s">
        <v>618</v>
      </c>
      <c r="B552" s="21" t="s">
        <v>62</v>
      </c>
      <c r="C552" s="22" t="n">
        <v>43027</v>
      </c>
      <c r="D552" s="22" t="n">
        <v>43038</v>
      </c>
      <c r="E552" s="22" t="n">
        <v>43050</v>
      </c>
      <c r="F552" s="21" t="s">
        <v>111</v>
      </c>
      <c r="G552" s="23" t="n">
        <v>32.38</v>
      </c>
      <c r="H552" s="23" t="n">
        <v>26.31</v>
      </c>
      <c r="I552" s="21" t="s">
        <v>45</v>
      </c>
      <c r="J552" s="21" t="n">
        <v>5</v>
      </c>
      <c r="K552" s="21" t="s">
        <v>46</v>
      </c>
      <c r="L552" s="24" t="n">
        <f aca="false">DATE(YEAR(C552),MONTH(C552),1)</f>
        <v>43009</v>
      </c>
      <c r="M552" s="21" t="n">
        <f aca="false">D552-C552</f>
        <v>11</v>
      </c>
      <c r="N552" s="21" t="n">
        <f aca="false">MAX(0,D552-E552)</f>
        <v>0</v>
      </c>
      <c r="O552" s="21" t="n">
        <f aca="false">IF(D552&lt;=E552,1,0)</f>
        <v>1</v>
      </c>
      <c r="P552" s="23" t="n">
        <f aca="false">G552+H552</f>
        <v>58.69</v>
      </c>
      <c r="Q552" s="23" t="n">
        <f aca="false">G552*INDEX(Assumptions!$B$8:$B$16,MATCH(F552,Assumptions!$A$8:$A$16,0))</f>
        <v>20.3994</v>
      </c>
      <c r="R552" s="23" t="n">
        <f aca="false">H552*Assumptions!$B$3</f>
        <v>15.786</v>
      </c>
      <c r="S552" s="23" t="n">
        <f aca="false">G552-Q552-R552</f>
        <v>-3.8054</v>
      </c>
      <c r="T552" s="21" t="str">
        <f aca="false">IF(M552&lt;=7,"0-7 days",IF(M552&lt;=14,"8-14 days",IF(M552&lt;=21,"15-21 days","22+ days")))</f>
        <v>8-14 days</v>
      </c>
    </row>
    <row r="553" customFormat="false" ht="15" hidden="false" customHeight="false" outlineLevel="0" collapsed="false">
      <c r="A553" s="21" t="s">
        <v>619</v>
      </c>
      <c r="B553" s="21" t="s">
        <v>134</v>
      </c>
      <c r="C553" s="22" t="n">
        <v>43027</v>
      </c>
      <c r="D553" s="22" t="n">
        <v>43039</v>
      </c>
      <c r="E553" s="22" t="n">
        <v>43051</v>
      </c>
      <c r="F553" s="21" t="s">
        <v>59</v>
      </c>
      <c r="G553" s="23" t="n">
        <v>155.88</v>
      </c>
      <c r="H553" s="23" t="n">
        <v>28.7</v>
      </c>
      <c r="I553" s="21" t="s">
        <v>45</v>
      </c>
      <c r="J553" s="21" t="n">
        <v>4</v>
      </c>
      <c r="K553" s="21" t="s">
        <v>46</v>
      </c>
      <c r="L553" s="24" t="n">
        <f aca="false">DATE(YEAR(C553),MONTH(C553),1)</f>
        <v>43009</v>
      </c>
      <c r="M553" s="21" t="n">
        <f aca="false">D553-C553</f>
        <v>12</v>
      </c>
      <c r="N553" s="21" t="n">
        <f aca="false">MAX(0,D553-E553)</f>
        <v>0</v>
      </c>
      <c r="O553" s="21" t="n">
        <f aca="false">IF(D553&lt;=E553,1,0)</f>
        <v>1</v>
      </c>
      <c r="P553" s="23" t="n">
        <f aca="false">G553+H553</f>
        <v>184.58</v>
      </c>
      <c r="Q553" s="23" t="n">
        <f aca="false">G553*INDEX(Assumptions!$B$8:$B$16,MATCH(F553,Assumptions!$A$8:$A$16,0))</f>
        <v>99.7632</v>
      </c>
      <c r="R553" s="23" t="n">
        <f aca="false">H553*Assumptions!$B$3</f>
        <v>17.22</v>
      </c>
      <c r="S553" s="23" t="n">
        <f aca="false">G553-Q553-R553</f>
        <v>38.8968</v>
      </c>
      <c r="T553" s="21" t="str">
        <f aca="false">IF(M553&lt;=7,"0-7 days",IF(M553&lt;=14,"8-14 days",IF(M553&lt;=21,"15-21 days","22+ days")))</f>
        <v>8-14 days</v>
      </c>
    </row>
    <row r="554" customFormat="false" ht="15" hidden="false" customHeight="false" outlineLevel="0" collapsed="false">
      <c r="A554" s="21" t="s">
        <v>620</v>
      </c>
      <c r="B554" s="21" t="s">
        <v>19</v>
      </c>
      <c r="C554" s="22" t="n">
        <v>43028</v>
      </c>
      <c r="D554" s="22" t="n">
        <v>43037</v>
      </c>
      <c r="E554" s="22" t="n">
        <v>43043</v>
      </c>
      <c r="F554" s="21" t="s">
        <v>64</v>
      </c>
      <c r="G554" s="23" t="n">
        <v>166.18</v>
      </c>
      <c r="H554" s="23" t="n">
        <v>21.13</v>
      </c>
      <c r="I554" s="21" t="s">
        <v>60</v>
      </c>
      <c r="J554" s="21" t="n">
        <v>4</v>
      </c>
      <c r="K554" s="21" t="s">
        <v>46</v>
      </c>
      <c r="L554" s="24" t="n">
        <f aca="false">DATE(YEAR(C554),MONTH(C554),1)</f>
        <v>43009</v>
      </c>
      <c r="M554" s="21" t="n">
        <f aca="false">D554-C554</f>
        <v>9</v>
      </c>
      <c r="N554" s="21" t="n">
        <f aca="false">MAX(0,D554-E554)</f>
        <v>0</v>
      </c>
      <c r="O554" s="21" t="n">
        <f aca="false">IF(D554&lt;=E554,1,0)</f>
        <v>1</v>
      </c>
      <c r="P554" s="23" t="n">
        <f aca="false">G554+H554</f>
        <v>187.31</v>
      </c>
      <c r="Q554" s="23" t="n">
        <f aca="false">G554*INDEX(Assumptions!$B$8:$B$16,MATCH(F554,Assumptions!$A$8:$A$16,0))</f>
        <v>109.6788</v>
      </c>
      <c r="R554" s="23" t="n">
        <f aca="false">H554*Assumptions!$B$3</f>
        <v>12.678</v>
      </c>
      <c r="S554" s="23" t="n">
        <f aca="false">G554-Q554-R554</f>
        <v>43.8232</v>
      </c>
      <c r="T554" s="21" t="str">
        <f aca="false">IF(M554&lt;=7,"0-7 days",IF(M554&lt;=14,"8-14 days",IF(M554&lt;=21,"15-21 days","22+ days")))</f>
        <v>8-14 days</v>
      </c>
    </row>
    <row r="555" customFormat="false" ht="15" hidden="false" customHeight="false" outlineLevel="0" collapsed="false">
      <c r="A555" s="21" t="s">
        <v>621</v>
      </c>
      <c r="B555" s="21" t="s">
        <v>156</v>
      </c>
      <c r="C555" s="22" t="n">
        <v>43028</v>
      </c>
      <c r="D555" s="22" t="n">
        <v>43042</v>
      </c>
      <c r="E555" s="22" t="n">
        <v>43050</v>
      </c>
      <c r="F555" s="21" t="s">
        <v>53</v>
      </c>
      <c r="G555" s="23" t="n">
        <v>130.88</v>
      </c>
      <c r="H555" s="23" t="n">
        <v>34.48</v>
      </c>
      <c r="I555" s="21" t="s">
        <v>45</v>
      </c>
      <c r="J555" s="21" t="n">
        <v>4</v>
      </c>
      <c r="K555" s="21" t="s">
        <v>46</v>
      </c>
      <c r="L555" s="24" t="n">
        <f aca="false">DATE(YEAR(C555),MONTH(C555),1)</f>
        <v>43009</v>
      </c>
      <c r="M555" s="21" t="n">
        <f aca="false">D555-C555</f>
        <v>14</v>
      </c>
      <c r="N555" s="21" t="n">
        <f aca="false">MAX(0,D555-E555)</f>
        <v>0</v>
      </c>
      <c r="O555" s="21" t="n">
        <f aca="false">IF(D555&lt;=E555,1,0)</f>
        <v>1</v>
      </c>
      <c r="P555" s="23" t="n">
        <f aca="false">G555+H555</f>
        <v>165.36</v>
      </c>
      <c r="Q555" s="23" t="n">
        <f aca="false">G555*INDEX(Assumptions!$B$8:$B$16,MATCH(F555,Assumptions!$A$8:$A$16,0))</f>
        <v>96.8512</v>
      </c>
      <c r="R555" s="23" t="n">
        <f aca="false">H555*Assumptions!$B$3</f>
        <v>20.688</v>
      </c>
      <c r="S555" s="23" t="n">
        <f aca="false">G555-Q555-R555</f>
        <v>13.3408</v>
      </c>
      <c r="T555" s="21" t="str">
        <f aca="false">IF(M555&lt;=7,"0-7 days",IF(M555&lt;=14,"8-14 days",IF(M555&lt;=21,"15-21 days","22+ days")))</f>
        <v>8-14 days</v>
      </c>
    </row>
    <row r="556" customFormat="false" ht="15" hidden="false" customHeight="false" outlineLevel="0" collapsed="false">
      <c r="A556" s="21" t="s">
        <v>622</v>
      </c>
      <c r="B556" s="21" t="s">
        <v>156</v>
      </c>
      <c r="C556" s="22" t="n">
        <v>43029</v>
      </c>
      <c r="D556" s="22" t="n">
        <v>43045</v>
      </c>
      <c r="E556" s="22" t="n">
        <v>43054</v>
      </c>
      <c r="F556" s="21" t="s">
        <v>53</v>
      </c>
      <c r="G556" s="23" t="n">
        <v>155.35</v>
      </c>
      <c r="H556" s="23" t="n">
        <v>25.07</v>
      </c>
      <c r="I556" s="21" t="s">
        <v>45</v>
      </c>
      <c r="J556" s="21" t="n">
        <v>3</v>
      </c>
      <c r="K556" s="21" t="s">
        <v>46</v>
      </c>
      <c r="L556" s="24" t="n">
        <f aca="false">DATE(YEAR(C556),MONTH(C556),1)</f>
        <v>43009</v>
      </c>
      <c r="M556" s="21" t="n">
        <f aca="false">D556-C556</f>
        <v>16</v>
      </c>
      <c r="N556" s="21" t="n">
        <f aca="false">MAX(0,D556-E556)</f>
        <v>0</v>
      </c>
      <c r="O556" s="21" t="n">
        <f aca="false">IF(D556&lt;=E556,1,0)</f>
        <v>1</v>
      </c>
      <c r="P556" s="23" t="n">
        <f aca="false">G556+H556</f>
        <v>180.42</v>
      </c>
      <c r="Q556" s="23" t="n">
        <f aca="false">G556*INDEX(Assumptions!$B$8:$B$16,MATCH(F556,Assumptions!$A$8:$A$16,0))</f>
        <v>114.959</v>
      </c>
      <c r="R556" s="23" t="n">
        <f aca="false">H556*Assumptions!$B$3</f>
        <v>15.042</v>
      </c>
      <c r="S556" s="23" t="n">
        <f aca="false">G556-Q556-R556</f>
        <v>25.349</v>
      </c>
      <c r="T556" s="21" t="str">
        <f aca="false">IF(M556&lt;=7,"0-7 days",IF(M556&lt;=14,"8-14 days",IF(M556&lt;=21,"15-21 days","22+ days")))</f>
        <v>15-21 days</v>
      </c>
    </row>
    <row r="557" customFormat="false" ht="15" hidden="false" customHeight="false" outlineLevel="0" collapsed="false">
      <c r="A557" s="21" t="s">
        <v>623</v>
      </c>
      <c r="B557" s="21" t="s">
        <v>19</v>
      </c>
      <c r="C557" s="22" t="n">
        <v>43029</v>
      </c>
      <c r="D557" s="22" t="n">
        <v>43033</v>
      </c>
      <c r="E557" s="22" t="n">
        <v>43046</v>
      </c>
      <c r="F557" s="21" t="s">
        <v>64</v>
      </c>
      <c r="G557" s="23" t="n">
        <v>219.48</v>
      </c>
      <c r="H557" s="23" t="n">
        <v>21.03</v>
      </c>
      <c r="I557" s="21" t="s">
        <v>45</v>
      </c>
      <c r="J557" s="21" t="n">
        <v>4</v>
      </c>
      <c r="K557" s="21" t="s">
        <v>46</v>
      </c>
      <c r="L557" s="24" t="n">
        <f aca="false">DATE(YEAR(C557),MONTH(C557),1)</f>
        <v>43009</v>
      </c>
      <c r="M557" s="21" t="n">
        <f aca="false">D557-C557</f>
        <v>4</v>
      </c>
      <c r="N557" s="21" t="n">
        <f aca="false">MAX(0,D557-E557)</f>
        <v>0</v>
      </c>
      <c r="O557" s="21" t="n">
        <f aca="false">IF(D557&lt;=E557,1,0)</f>
        <v>1</v>
      </c>
      <c r="P557" s="23" t="n">
        <f aca="false">G557+H557</f>
        <v>240.51</v>
      </c>
      <c r="Q557" s="23" t="n">
        <f aca="false">G557*INDEX(Assumptions!$B$8:$B$16,MATCH(F557,Assumptions!$A$8:$A$16,0))</f>
        <v>144.8568</v>
      </c>
      <c r="R557" s="23" t="n">
        <f aca="false">H557*Assumptions!$B$3</f>
        <v>12.618</v>
      </c>
      <c r="S557" s="23" t="n">
        <f aca="false">G557-Q557-R557</f>
        <v>62.0052</v>
      </c>
      <c r="T557" s="21" t="str">
        <f aca="false">IF(M557&lt;=7,"0-7 days",IF(M557&lt;=14,"8-14 days",IF(M557&lt;=21,"15-21 days","22+ days")))</f>
        <v>0-7 days</v>
      </c>
    </row>
    <row r="558" customFormat="false" ht="15" hidden="false" customHeight="false" outlineLevel="0" collapsed="false">
      <c r="A558" s="21" t="s">
        <v>624</v>
      </c>
      <c r="B558" s="21" t="s">
        <v>19</v>
      </c>
      <c r="C558" s="22" t="n">
        <v>43029</v>
      </c>
      <c r="D558" s="22" t="n">
        <v>43035</v>
      </c>
      <c r="E558" s="22" t="n">
        <v>43047</v>
      </c>
      <c r="F558" s="21" t="s">
        <v>49</v>
      </c>
      <c r="G558" s="23" t="n">
        <v>104.04</v>
      </c>
      <c r="H558" s="23" t="n">
        <v>17.55</v>
      </c>
      <c r="I558" s="21" t="s">
        <v>60</v>
      </c>
      <c r="J558" s="21" t="n">
        <v>5</v>
      </c>
      <c r="K558" s="21" t="s">
        <v>46</v>
      </c>
      <c r="L558" s="24" t="n">
        <f aca="false">DATE(YEAR(C558),MONTH(C558),1)</f>
        <v>43009</v>
      </c>
      <c r="M558" s="21" t="n">
        <f aca="false">D558-C558</f>
        <v>6</v>
      </c>
      <c r="N558" s="21" t="n">
        <f aca="false">MAX(0,D558-E558)</f>
        <v>0</v>
      </c>
      <c r="O558" s="21" t="n">
        <f aca="false">IF(D558&lt;=E558,1,0)</f>
        <v>1</v>
      </c>
      <c r="P558" s="23" t="n">
        <f aca="false">G558+H558</f>
        <v>121.59</v>
      </c>
      <c r="Q558" s="23" t="n">
        <f aca="false">G558*INDEX(Assumptions!$B$8:$B$16,MATCH(F558,Assumptions!$A$8:$A$16,0))</f>
        <v>60.3432</v>
      </c>
      <c r="R558" s="23" t="n">
        <f aca="false">H558*Assumptions!$B$3</f>
        <v>10.53</v>
      </c>
      <c r="S558" s="23" t="n">
        <f aca="false">G558-Q558-R558</f>
        <v>33.1668</v>
      </c>
      <c r="T558" s="21" t="str">
        <f aca="false">IF(M558&lt;=7,"0-7 days",IF(M558&lt;=14,"8-14 days",IF(M558&lt;=21,"15-21 days","22+ days")))</f>
        <v>0-7 days</v>
      </c>
    </row>
    <row r="559" customFormat="false" ht="15" hidden="false" customHeight="false" outlineLevel="0" collapsed="false">
      <c r="A559" s="21" t="s">
        <v>625</v>
      </c>
      <c r="B559" s="21" t="s">
        <v>93</v>
      </c>
      <c r="C559" s="22" t="n">
        <v>43030</v>
      </c>
      <c r="D559" s="22" t="n">
        <v>43052</v>
      </c>
      <c r="E559" s="22" t="n">
        <v>43061</v>
      </c>
      <c r="F559" s="21" t="s">
        <v>64</v>
      </c>
      <c r="G559" s="23" t="n">
        <v>103.58</v>
      </c>
      <c r="H559" s="23" t="n">
        <v>36.61</v>
      </c>
      <c r="I559" s="21" t="s">
        <v>45</v>
      </c>
      <c r="J559" s="21" t="n">
        <v>3</v>
      </c>
      <c r="K559" s="21" t="s">
        <v>46</v>
      </c>
      <c r="L559" s="24" t="n">
        <f aca="false">DATE(YEAR(C559),MONTH(C559),1)</f>
        <v>43009</v>
      </c>
      <c r="M559" s="21" t="n">
        <f aca="false">D559-C559</f>
        <v>22</v>
      </c>
      <c r="N559" s="21" t="n">
        <f aca="false">MAX(0,D559-E559)</f>
        <v>0</v>
      </c>
      <c r="O559" s="21" t="n">
        <f aca="false">IF(D559&lt;=E559,1,0)</f>
        <v>1</v>
      </c>
      <c r="P559" s="23" t="n">
        <f aca="false">G559+H559</f>
        <v>140.19</v>
      </c>
      <c r="Q559" s="23" t="n">
        <f aca="false">G559*INDEX(Assumptions!$B$8:$B$16,MATCH(F559,Assumptions!$A$8:$A$16,0))</f>
        <v>68.3628</v>
      </c>
      <c r="R559" s="23" t="n">
        <f aca="false">H559*Assumptions!$B$3</f>
        <v>21.966</v>
      </c>
      <c r="S559" s="23" t="n">
        <f aca="false">G559-Q559-R559</f>
        <v>13.2512</v>
      </c>
      <c r="T559" s="21" t="str">
        <f aca="false">IF(M559&lt;=7,"0-7 days",IF(M559&lt;=14,"8-14 days",IF(M559&lt;=21,"15-21 days","22+ days")))</f>
        <v>22+ days</v>
      </c>
    </row>
    <row r="560" customFormat="false" ht="15" hidden="false" customHeight="false" outlineLevel="0" collapsed="false">
      <c r="A560" s="21" t="s">
        <v>626</v>
      </c>
      <c r="B560" s="21" t="s">
        <v>19</v>
      </c>
      <c r="C560" s="22" t="n">
        <v>43031</v>
      </c>
      <c r="D560" s="22" t="n">
        <v>43043</v>
      </c>
      <c r="E560" s="22" t="n">
        <v>43046</v>
      </c>
      <c r="F560" s="21" t="s">
        <v>67</v>
      </c>
      <c r="G560" s="23" t="n">
        <v>78.28</v>
      </c>
      <c r="H560" s="23" t="n">
        <v>22.04</v>
      </c>
      <c r="I560" s="21" t="s">
        <v>60</v>
      </c>
      <c r="J560" s="21" t="n">
        <v>4</v>
      </c>
      <c r="K560" s="21" t="s">
        <v>46</v>
      </c>
      <c r="L560" s="24" t="n">
        <f aca="false">DATE(YEAR(C560),MONTH(C560),1)</f>
        <v>43009</v>
      </c>
      <c r="M560" s="21" t="n">
        <f aca="false">D560-C560</f>
        <v>12</v>
      </c>
      <c r="N560" s="21" t="n">
        <f aca="false">MAX(0,D560-E560)</f>
        <v>0</v>
      </c>
      <c r="O560" s="21" t="n">
        <f aca="false">IF(D560&lt;=E560,1,0)</f>
        <v>1</v>
      </c>
      <c r="P560" s="23" t="n">
        <f aca="false">G560+H560</f>
        <v>100.32</v>
      </c>
      <c r="Q560" s="23" t="n">
        <f aca="false">G560*INDEX(Assumptions!$B$8:$B$16,MATCH(F560,Assumptions!$A$8:$A$16,0))</f>
        <v>48.5336</v>
      </c>
      <c r="R560" s="23" t="n">
        <f aca="false">H560*Assumptions!$B$3</f>
        <v>13.224</v>
      </c>
      <c r="S560" s="23" t="n">
        <f aca="false">G560-Q560-R560</f>
        <v>16.5224</v>
      </c>
      <c r="T560" s="21" t="str">
        <f aca="false">IF(M560&lt;=7,"0-7 days",IF(M560&lt;=14,"8-14 days",IF(M560&lt;=21,"15-21 days","22+ days")))</f>
        <v>8-14 days</v>
      </c>
    </row>
    <row r="561" customFormat="false" ht="15" hidden="false" customHeight="false" outlineLevel="0" collapsed="false">
      <c r="A561" s="21" t="s">
        <v>627</v>
      </c>
      <c r="B561" s="21" t="s">
        <v>62</v>
      </c>
      <c r="C561" s="22" t="n">
        <v>43031</v>
      </c>
      <c r="D561" s="22" t="n">
        <v>43040</v>
      </c>
      <c r="E561" s="22" t="n">
        <v>43051</v>
      </c>
      <c r="F561" s="21" t="s">
        <v>111</v>
      </c>
      <c r="G561" s="23" t="n">
        <v>63.82</v>
      </c>
      <c r="H561" s="23" t="n">
        <v>29.01</v>
      </c>
      <c r="I561" s="21" t="s">
        <v>45</v>
      </c>
      <c r="J561" s="21" t="n">
        <v>5</v>
      </c>
      <c r="K561" s="21" t="s">
        <v>46</v>
      </c>
      <c r="L561" s="24" t="n">
        <f aca="false">DATE(YEAR(C561),MONTH(C561),1)</f>
        <v>43009</v>
      </c>
      <c r="M561" s="21" t="n">
        <f aca="false">D561-C561</f>
        <v>9</v>
      </c>
      <c r="N561" s="21" t="n">
        <f aca="false">MAX(0,D561-E561)</f>
        <v>0</v>
      </c>
      <c r="O561" s="21" t="n">
        <f aca="false">IF(D561&lt;=E561,1,0)</f>
        <v>1</v>
      </c>
      <c r="P561" s="23" t="n">
        <f aca="false">G561+H561</f>
        <v>92.83</v>
      </c>
      <c r="Q561" s="23" t="n">
        <f aca="false">G561*INDEX(Assumptions!$B$8:$B$16,MATCH(F561,Assumptions!$A$8:$A$16,0))</f>
        <v>40.2066</v>
      </c>
      <c r="R561" s="23" t="n">
        <f aca="false">H561*Assumptions!$B$3</f>
        <v>17.406</v>
      </c>
      <c r="S561" s="23" t="n">
        <f aca="false">G561-Q561-R561</f>
        <v>6.2074</v>
      </c>
      <c r="T561" s="21" t="str">
        <f aca="false">IF(M561&lt;=7,"0-7 days",IF(M561&lt;=14,"8-14 days",IF(M561&lt;=21,"15-21 days","22+ days")))</f>
        <v>8-14 days</v>
      </c>
    </row>
    <row r="562" customFormat="false" ht="15" hidden="false" customHeight="false" outlineLevel="0" collapsed="false">
      <c r="A562" s="21" t="s">
        <v>628</v>
      </c>
      <c r="B562" s="21" t="s">
        <v>19</v>
      </c>
      <c r="C562" s="22" t="n">
        <v>43031</v>
      </c>
      <c r="D562" s="22" t="n">
        <v>43041</v>
      </c>
      <c r="E562" s="22" t="n">
        <v>43043</v>
      </c>
      <c r="F562" s="21" t="s">
        <v>79</v>
      </c>
      <c r="G562" s="23" t="n">
        <v>138.91</v>
      </c>
      <c r="H562" s="23" t="n">
        <v>21.4</v>
      </c>
      <c r="I562" s="21" t="s">
        <v>45</v>
      </c>
      <c r="J562" s="21" t="n">
        <v>5</v>
      </c>
      <c r="K562" s="21" t="s">
        <v>46</v>
      </c>
      <c r="L562" s="24" t="n">
        <f aca="false">DATE(YEAR(C562),MONTH(C562),1)</f>
        <v>43009</v>
      </c>
      <c r="M562" s="21" t="n">
        <f aca="false">D562-C562</f>
        <v>10</v>
      </c>
      <c r="N562" s="21" t="n">
        <f aca="false">MAX(0,D562-E562)</f>
        <v>0</v>
      </c>
      <c r="O562" s="21" t="n">
        <f aca="false">IF(D562&lt;=E562,1,0)</f>
        <v>1</v>
      </c>
      <c r="P562" s="23" t="n">
        <f aca="false">G562+H562</f>
        <v>160.31</v>
      </c>
      <c r="Q562" s="23" t="n">
        <f aca="false">G562*INDEX(Assumptions!$B$8:$B$16,MATCH(F562,Assumptions!$A$8:$A$16,0))</f>
        <v>97.237</v>
      </c>
      <c r="R562" s="23" t="n">
        <f aca="false">H562*Assumptions!$B$3</f>
        <v>12.84</v>
      </c>
      <c r="S562" s="23" t="n">
        <f aca="false">G562-Q562-R562</f>
        <v>28.833</v>
      </c>
      <c r="T562" s="21" t="str">
        <f aca="false">IF(M562&lt;=7,"0-7 days",IF(M562&lt;=14,"8-14 days",IF(M562&lt;=21,"15-21 days","22+ days")))</f>
        <v>8-14 days</v>
      </c>
    </row>
    <row r="563" customFormat="false" ht="15" hidden="false" customHeight="false" outlineLevel="0" collapsed="false">
      <c r="A563" s="21" t="s">
        <v>629</v>
      </c>
      <c r="B563" s="21" t="s">
        <v>19</v>
      </c>
      <c r="C563" s="22" t="n">
        <v>43032</v>
      </c>
      <c r="D563" s="22" t="n">
        <v>43041</v>
      </c>
      <c r="E563" s="22" t="n">
        <v>43048</v>
      </c>
      <c r="F563" s="21" t="s">
        <v>67</v>
      </c>
      <c r="G563" s="23" t="n">
        <v>162.6</v>
      </c>
      <c r="H563" s="23" t="n">
        <v>14.03</v>
      </c>
      <c r="I563" s="21" t="s">
        <v>45</v>
      </c>
      <c r="J563" s="21" t="n">
        <v>5</v>
      </c>
      <c r="K563" s="21" t="s">
        <v>46</v>
      </c>
      <c r="L563" s="24" t="n">
        <f aca="false">DATE(YEAR(C563),MONTH(C563),1)</f>
        <v>43009</v>
      </c>
      <c r="M563" s="21" t="n">
        <f aca="false">D563-C563</f>
        <v>9</v>
      </c>
      <c r="N563" s="21" t="n">
        <f aca="false">MAX(0,D563-E563)</f>
        <v>0</v>
      </c>
      <c r="O563" s="21" t="n">
        <f aca="false">IF(D563&lt;=E563,1,0)</f>
        <v>1</v>
      </c>
      <c r="P563" s="23" t="n">
        <f aca="false">G563+H563</f>
        <v>176.63</v>
      </c>
      <c r="Q563" s="23" t="n">
        <f aca="false">G563*INDEX(Assumptions!$B$8:$B$16,MATCH(F563,Assumptions!$A$8:$A$16,0))</f>
        <v>100.812</v>
      </c>
      <c r="R563" s="23" t="n">
        <f aca="false">H563*Assumptions!$B$3</f>
        <v>8.418</v>
      </c>
      <c r="S563" s="23" t="n">
        <f aca="false">G563-Q563-R563</f>
        <v>53.37</v>
      </c>
      <c r="T563" s="21" t="str">
        <f aca="false">IF(M563&lt;=7,"0-7 days",IF(M563&lt;=14,"8-14 days",IF(M563&lt;=21,"15-21 days","22+ days")))</f>
        <v>8-14 days</v>
      </c>
    </row>
    <row r="564" customFormat="false" ht="15" hidden="false" customHeight="false" outlineLevel="0" collapsed="false">
      <c r="A564" s="21" t="s">
        <v>630</v>
      </c>
      <c r="B564" s="21" t="s">
        <v>19</v>
      </c>
      <c r="C564" s="22" t="n">
        <v>43032</v>
      </c>
      <c r="D564" s="22" t="n">
        <v>43037</v>
      </c>
      <c r="E564" s="22" t="n">
        <v>43045</v>
      </c>
      <c r="F564" s="21" t="s">
        <v>79</v>
      </c>
      <c r="G564" s="23" t="n">
        <v>159.38</v>
      </c>
      <c r="H564" s="23" t="n">
        <v>22.86</v>
      </c>
      <c r="I564" s="21" t="s">
        <v>45</v>
      </c>
      <c r="J564" s="21" t="n">
        <v>5</v>
      </c>
      <c r="K564" s="21" t="s">
        <v>46</v>
      </c>
      <c r="L564" s="24" t="n">
        <f aca="false">DATE(YEAR(C564),MONTH(C564),1)</f>
        <v>43009</v>
      </c>
      <c r="M564" s="21" t="n">
        <f aca="false">D564-C564</f>
        <v>5</v>
      </c>
      <c r="N564" s="21" t="n">
        <f aca="false">MAX(0,D564-E564)</f>
        <v>0</v>
      </c>
      <c r="O564" s="21" t="n">
        <f aca="false">IF(D564&lt;=E564,1,0)</f>
        <v>1</v>
      </c>
      <c r="P564" s="23" t="n">
        <f aca="false">G564+H564</f>
        <v>182.24</v>
      </c>
      <c r="Q564" s="23" t="n">
        <f aca="false">G564*INDEX(Assumptions!$B$8:$B$16,MATCH(F564,Assumptions!$A$8:$A$16,0))</f>
        <v>111.566</v>
      </c>
      <c r="R564" s="23" t="n">
        <f aca="false">H564*Assumptions!$B$3</f>
        <v>13.716</v>
      </c>
      <c r="S564" s="23" t="n">
        <f aca="false">G564-Q564-R564</f>
        <v>34.098</v>
      </c>
      <c r="T564" s="21" t="str">
        <f aca="false">IF(M564&lt;=7,"0-7 days",IF(M564&lt;=14,"8-14 days",IF(M564&lt;=21,"15-21 days","22+ days")))</f>
        <v>0-7 days</v>
      </c>
    </row>
    <row r="565" customFormat="false" ht="15" hidden="false" customHeight="false" outlineLevel="0" collapsed="false">
      <c r="A565" s="21" t="s">
        <v>631</v>
      </c>
      <c r="B565" s="21" t="s">
        <v>55</v>
      </c>
      <c r="C565" s="22" t="n">
        <v>43032</v>
      </c>
      <c r="D565" s="22" t="n">
        <v>43050</v>
      </c>
      <c r="E565" s="22" t="n">
        <v>43056</v>
      </c>
      <c r="F565" s="21" t="s">
        <v>44</v>
      </c>
      <c r="G565" s="23" t="n">
        <v>49.89</v>
      </c>
      <c r="H565" s="23" t="n">
        <v>21.59</v>
      </c>
      <c r="I565" s="21" t="s">
        <v>45</v>
      </c>
      <c r="J565" s="21" t="n">
        <v>4</v>
      </c>
      <c r="K565" s="21" t="s">
        <v>46</v>
      </c>
      <c r="L565" s="24" t="n">
        <f aca="false">DATE(YEAR(C565),MONTH(C565),1)</f>
        <v>43009</v>
      </c>
      <c r="M565" s="21" t="n">
        <f aca="false">D565-C565</f>
        <v>18</v>
      </c>
      <c r="N565" s="21" t="n">
        <f aca="false">MAX(0,D565-E565)</f>
        <v>0</v>
      </c>
      <c r="O565" s="21" t="n">
        <f aca="false">IF(D565&lt;=E565,1,0)</f>
        <v>1</v>
      </c>
      <c r="P565" s="23" t="n">
        <f aca="false">G565+H565</f>
        <v>71.48</v>
      </c>
      <c r="Q565" s="23" t="n">
        <f aca="false">G565*INDEX(Assumptions!$B$8:$B$16,MATCH(F565,Assumptions!$A$8:$A$16,0))</f>
        <v>29.934</v>
      </c>
      <c r="R565" s="23" t="n">
        <f aca="false">H565*Assumptions!$B$3</f>
        <v>12.954</v>
      </c>
      <c r="S565" s="23" t="n">
        <f aca="false">G565-Q565-R565</f>
        <v>7.002</v>
      </c>
      <c r="T565" s="21" t="str">
        <f aca="false">IF(M565&lt;=7,"0-7 days",IF(M565&lt;=14,"8-14 days",IF(M565&lt;=21,"15-21 days","22+ days")))</f>
        <v>15-21 days</v>
      </c>
    </row>
    <row r="566" customFormat="false" ht="15" hidden="false" customHeight="false" outlineLevel="0" collapsed="false">
      <c r="A566" s="21" t="s">
        <v>632</v>
      </c>
      <c r="B566" s="21" t="s">
        <v>19</v>
      </c>
      <c r="C566" s="22" t="n">
        <v>43033</v>
      </c>
      <c r="D566" s="22" t="n">
        <v>43041</v>
      </c>
      <c r="E566" s="22" t="n">
        <v>43049</v>
      </c>
      <c r="F566" s="21" t="s">
        <v>67</v>
      </c>
      <c r="G566" s="23" t="n">
        <v>53.29</v>
      </c>
      <c r="H566" s="23" t="n">
        <v>20.98</v>
      </c>
      <c r="I566" s="21" t="s">
        <v>45</v>
      </c>
      <c r="J566" s="21" t="n">
        <v>4</v>
      </c>
      <c r="K566" s="21" t="s">
        <v>46</v>
      </c>
      <c r="L566" s="24" t="n">
        <f aca="false">DATE(YEAR(C566),MONTH(C566),1)</f>
        <v>43009</v>
      </c>
      <c r="M566" s="21" t="n">
        <f aca="false">D566-C566</f>
        <v>8</v>
      </c>
      <c r="N566" s="21" t="n">
        <f aca="false">MAX(0,D566-E566)</f>
        <v>0</v>
      </c>
      <c r="O566" s="21" t="n">
        <f aca="false">IF(D566&lt;=E566,1,0)</f>
        <v>1</v>
      </c>
      <c r="P566" s="23" t="n">
        <f aca="false">G566+H566</f>
        <v>74.27</v>
      </c>
      <c r="Q566" s="23" t="n">
        <f aca="false">G566*INDEX(Assumptions!$B$8:$B$16,MATCH(F566,Assumptions!$A$8:$A$16,0))</f>
        <v>33.0398</v>
      </c>
      <c r="R566" s="23" t="n">
        <f aca="false">H566*Assumptions!$B$3</f>
        <v>12.588</v>
      </c>
      <c r="S566" s="23" t="n">
        <f aca="false">G566-Q566-R566</f>
        <v>7.6622</v>
      </c>
      <c r="T566" s="21" t="str">
        <f aca="false">IF(M566&lt;=7,"0-7 days",IF(M566&lt;=14,"8-14 days",IF(M566&lt;=21,"15-21 days","22+ days")))</f>
        <v>8-14 days</v>
      </c>
    </row>
    <row r="567" customFormat="false" ht="15" hidden="false" customHeight="false" outlineLevel="0" collapsed="false">
      <c r="A567" s="21" t="s">
        <v>633</v>
      </c>
      <c r="B567" s="21" t="s">
        <v>19</v>
      </c>
      <c r="C567" s="22" t="n">
        <v>43033</v>
      </c>
      <c r="D567" s="22" t="n">
        <v>43041</v>
      </c>
      <c r="E567" s="22" t="n">
        <v>43046</v>
      </c>
      <c r="F567" s="21" t="s">
        <v>57</v>
      </c>
      <c r="G567" s="23" t="n">
        <v>238.92</v>
      </c>
      <c r="H567" s="23" t="n">
        <v>23.5</v>
      </c>
      <c r="I567" s="21" t="s">
        <v>45</v>
      </c>
      <c r="J567" s="21" t="n">
        <v>4</v>
      </c>
      <c r="K567" s="21" t="s">
        <v>46</v>
      </c>
      <c r="L567" s="24" t="n">
        <f aca="false">DATE(YEAR(C567),MONTH(C567),1)</f>
        <v>43009</v>
      </c>
      <c r="M567" s="21" t="n">
        <f aca="false">D567-C567</f>
        <v>8</v>
      </c>
      <c r="N567" s="21" t="n">
        <f aca="false">MAX(0,D567-E567)</f>
        <v>0</v>
      </c>
      <c r="O567" s="21" t="n">
        <f aca="false">IF(D567&lt;=E567,1,0)</f>
        <v>1</v>
      </c>
      <c r="P567" s="23" t="n">
        <f aca="false">G567+H567</f>
        <v>262.42</v>
      </c>
      <c r="Q567" s="23" t="n">
        <f aca="false">G567*INDEX(Assumptions!$B$8:$B$16,MATCH(F567,Assumptions!$A$8:$A$16,0))</f>
        <v>162.4656</v>
      </c>
      <c r="R567" s="23" t="n">
        <f aca="false">H567*Assumptions!$B$3</f>
        <v>14.1</v>
      </c>
      <c r="S567" s="23" t="n">
        <f aca="false">G567-Q567-R567</f>
        <v>62.3544</v>
      </c>
      <c r="T567" s="21" t="str">
        <f aca="false">IF(M567&lt;=7,"0-7 days",IF(M567&lt;=14,"8-14 days",IF(M567&lt;=21,"15-21 days","22+ days")))</f>
        <v>8-14 days</v>
      </c>
    </row>
    <row r="568" customFormat="false" ht="15" hidden="false" customHeight="false" outlineLevel="0" collapsed="false">
      <c r="A568" s="21" t="s">
        <v>634</v>
      </c>
      <c r="B568" s="21" t="s">
        <v>62</v>
      </c>
      <c r="C568" s="22" t="n">
        <v>43033</v>
      </c>
      <c r="D568" s="22" t="n">
        <v>43048</v>
      </c>
      <c r="E568" s="22" t="n">
        <v>43050</v>
      </c>
      <c r="F568" s="21" t="s">
        <v>59</v>
      </c>
      <c r="G568" s="23" t="n">
        <v>208.88</v>
      </c>
      <c r="H568" s="23" t="n">
        <v>31.57</v>
      </c>
      <c r="I568" s="21" t="s">
        <v>45</v>
      </c>
      <c r="J568" s="21" t="n">
        <v>4</v>
      </c>
      <c r="K568" s="21" t="s">
        <v>46</v>
      </c>
      <c r="L568" s="24" t="n">
        <f aca="false">DATE(YEAR(C568),MONTH(C568),1)</f>
        <v>43009</v>
      </c>
      <c r="M568" s="21" t="n">
        <f aca="false">D568-C568</f>
        <v>15</v>
      </c>
      <c r="N568" s="21" t="n">
        <f aca="false">MAX(0,D568-E568)</f>
        <v>0</v>
      </c>
      <c r="O568" s="21" t="n">
        <f aca="false">IF(D568&lt;=E568,1,0)</f>
        <v>1</v>
      </c>
      <c r="P568" s="23" t="n">
        <f aca="false">G568+H568</f>
        <v>240.45</v>
      </c>
      <c r="Q568" s="23" t="n">
        <f aca="false">G568*INDEX(Assumptions!$B$8:$B$16,MATCH(F568,Assumptions!$A$8:$A$16,0))</f>
        <v>133.6832</v>
      </c>
      <c r="R568" s="23" t="n">
        <f aca="false">H568*Assumptions!$B$3</f>
        <v>18.942</v>
      </c>
      <c r="S568" s="23" t="n">
        <f aca="false">G568-Q568-R568</f>
        <v>56.2548</v>
      </c>
      <c r="T568" s="21" t="str">
        <f aca="false">IF(M568&lt;=7,"0-7 days",IF(M568&lt;=14,"8-14 days",IF(M568&lt;=21,"15-21 days","22+ days")))</f>
        <v>15-21 days</v>
      </c>
    </row>
    <row r="569" customFormat="false" ht="15" hidden="false" customHeight="false" outlineLevel="0" collapsed="false">
      <c r="A569" s="21" t="s">
        <v>635</v>
      </c>
      <c r="B569" s="21" t="s">
        <v>55</v>
      </c>
      <c r="C569" s="22" t="n">
        <v>43033</v>
      </c>
      <c r="D569" s="22" t="n">
        <v>43056</v>
      </c>
      <c r="E569" s="22" t="n">
        <v>43056</v>
      </c>
      <c r="F569" s="21" t="s">
        <v>79</v>
      </c>
      <c r="G569" s="23" t="n">
        <v>51.95</v>
      </c>
      <c r="H569" s="23" t="n">
        <v>29.39</v>
      </c>
      <c r="I569" s="21" t="s">
        <v>45</v>
      </c>
      <c r="J569" s="21" t="n">
        <v>5</v>
      </c>
      <c r="K569" s="21" t="s">
        <v>46</v>
      </c>
      <c r="L569" s="24" t="n">
        <f aca="false">DATE(YEAR(C569),MONTH(C569),1)</f>
        <v>43009</v>
      </c>
      <c r="M569" s="21" t="n">
        <f aca="false">D569-C569</f>
        <v>23</v>
      </c>
      <c r="N569" s="21" t="n">
        <f aca="false">MAX(0,D569-E569)</f>
        <v>0</v>
      </c>
      <c r="O569" s="21" t="n">
        <f aca="false">IF(D569&lt;=E569,1,0)</f>
        <v>1</v>
      </c>
      <c r="P569" s="23" t="n">
        <f aca="false">G569+H569</f>
        <v>81.34</v>
      </c>
      <c r="Q569" s="23" t="n">
        <f aca="false">G569*INDEX(Assumptions!$B$8:$B$16,MATCH(F569,Assumptions!$A$8:$A$16,0))</f>
        <v>36.365</v>
      </c>
      <c r="R569" s="23" t="n">
        <f aca="false">H569*Assumptions!$B$3</f>
        <v>17.634</v>
      </c>
      <c r="S569" s="23" t="n">
        <f aca="false">G569-Q569-R569</f>
        <v>-2.049</v>
      </c>
      <c r="T569" s="21" t="str">
        <f aca="false">IF(M569&lt;=7,"0-7 days",IF(M569&lt;=14,"8-14 days",IF(M569&lt;=21,"15-21 days","22+ days")))</f>
        <v>22+ days</v>
      </c>
    </row>
    <row r="570" customFormat="false" ht="15" hidden="false" customHeight="false" outlineLevel="0" collapsed="false">
      <c r="A570" s="21" t="s">
        <v>636</v>
      </c>
      <c r="B570" s="21" t="s">
        <v>48</v>
      </c>
      <c r="C570" s="22" t="n">
        <v>43034</v>
      </c>
      <c r="D570" s="22" t="n">
        <v>43047</v>
      </c>
      <c r="E570" s="22" t="n">
        <v>43053</v>
      </c>
      <c r="F570" s="21" t="s">
        <v>53</v>
      </c>
      <c r="G570" s="23" t="n">
        <v>209.43</v>
      </c>
      <c r="H570" s="23" t="n">
        <v>20.74</v>
      </c>
      <c r="I570" s="21" t="s">
        <v>50</v>
      </c>
      <c r="J570" s="21" t="n">
        <v>5</v>
      </c>
      <c r="K570" s="21" t="s">
        <v>46</v>
      </c>
      <c r="L570" s="24" t="n">
        <f aca="false">DATE(YEAR(C570),MONTH(C570),1)</f>
        <v>43009</v>
      </c>
      <c r="M570" s="21" t="n">
        <f aca="false">D570-C570</f>
        <v>13</v>
      </c>
      <c r="N570" s="21" t="n">
        <f aca="false">MAX(0,D570-E570)</f>
        <v>0</v>
      </c>
      <c r="O570" s="21" t="n">
        <f aca="false">IF(D570&lt;=E570,1,0)</f>
        <v>1</v>
      </c>
      <c r="P570" s="23" t="n">
        <f aca="false">G570+H570</f>
        <v>230.17</v>
      </c>
      <c r="Q570" s="23" t="n">
        <f aca="false">G570*INDEX(Assumptions!$B$8:$B$16,MATCH(F570,Assumptions!$A$8:$A$16,0))</f>
        <v>154.9782</v>
      </c>
      <c r="R570" s="23" t="n">
        <f aca="false">H570*Assumptions!$B$3</f>
        <v>12.444</v>
      </c>
      <c r="S570" s="23" t="n">
        <f aca="false">G570-Q570-R570</f>
        <v>42.0078</v>
      </c>
      <c r="T570" s="21" t="str">
        <f aca="false">IF(M570&lt;=7,"0-7 days",IF(M570&lt;=14,"8-14 days",IF(M570&lt;=21,"15-21 days","22+ days")))</f>
        <v>8-14 days</v>
      </c>
    </row>
    <row r="571" customFormat="false" ht="15" hidden="false" customHeight="false" outlineLevel="0" collapsed="false">
      <c r="A571" s="21" t="s">
        <v>637</v>
      </c>
      <c r="B571" s="21" t="s">
        <v>52</v>
      </c>
      <c r="C571" s="22" t="n">
        <v>43034</v>
      </c>
      <c r="D571" s="22" t="n">
        <v>43043</v>
      </c>
      <c r="E571" s="22" t="n">
        <v>43055</v>
      </c>
      <c r="F571" s="21" t="s">
        <v>64</v>
      </c>
      <c r="G571" s="23" t="n">
        <v>68.08</v>
      </c>
      <c r="H571" s="23" t="n">
        <v>18.58</v>
      </c>
      <c r="I571" s="21" t="s">
        <v>60</v>
      </c>
      <c r="J571" s="21" t="n">
        <v>4</v>
      </c>
      <c r="K571" s="21" t="s">
        <v>46</v>
      </c>
      <c r="L571" s="24" t="n">
        <f aca="false">DATE(YEAR(C571),MONTH(C571),1)</f>
        <v>43009</v>
      </c>
      <c r="M571" s="21" t="n">
        <f aca="false">D571-C571</f>
        <v>9</v>
      </c>
      <c r="N571" s="21" t="n">
        <f aca="false">MAX(0,D571-E571)</f>
        <v>0</v>
      </c>
      <c r="O571" s="21" t="n">
        <f aca="false">IF(D571&lt;=E571,1,0)</f>
        <v>1</v>
      </c>
      <c r="P571" s="23" t="n">
        <f aca="false">G571+H571</f>
        <v>86.66</v>
      </c>
      <c r="Q571" s="23" t="n">
        <f aca="false">G571*INDEX(Assumptions!$B$8:$B$16,MATCH(F571,Assumptions!$A$8:$A$16,0))</f>
        <v>44.9328</v>
      </c>
      <c r="R571" s="23" t="n">
        <f aca="false">H571*Assumptions!$B$3</f>
        <v>11.148</v>
      </c>
      <c r="S571" s="23" t="n">
        <f aca="false">G571-Q571-R571</f>
        <v>11.9992</v>
      </c>
      <c r="T571" s="21" t="str">
        <f aca="false">IF(M571&lt;=7,"0-7 days",IF(M571&lt;=14,"8-14 days",IF(M571&lt;=21,"15-21 days","22+ days")))</f>
        <v>8-14 days</v>
      </c>
    </row>
    <row r="572" customFormat="false" ht="15" hidden="false" customHeight="false" outlineLevel="0" collapsed="false">
      <c r="A572" s="21" t="s">
        <v>638</v>
      </c>
      <c r="B572" s="21" t="s">
        <v>48</v>
      </c>
      <c r="C572" s="22" t="n">
        <v>43035</v>
      </c>
      <c r="D572" s="22" t="n">
        <v>43042</v>
      </c>
      <c r="E572" s="22" t="n">
        <v>43054</v>
      </c>
      <c r="F572" s="21" t="s">
        <v>79</v>
      </c>
      <c r="G572" s="23" t="n">
        <v>158.98</v>
      </c>
      <c r="H572" s="23" t="n">
        <v>30.51</v>
      </c>
      <c r="I572" s="21" t="s">
        <v>45</v>
      </c>
      <c r="J572" s="21" t="n">
        <v>5</v>
      </c>
      <c r="K572" s="21" t="s">
        <v>46</v>
      </c>
      <c r="L572" s="24" t="n">
        <f aca="false">DATE(YEAR(C572),MONTH(C572),1)</f>
        <v>43009</v>
      </c>
      <c r="M572" s="21" t="n">
        <f aca="false">D572-C572</f>
        <v>7</v>
      </c>
      <c r="N572" s="21" t="n">
        <f aca="false">MAX(0,D572-E572)</f>
        <v>0</v>
      </c>
      <c r="O572" s="21" t="n">
        <f aca="false">IF(D572&lt;=E572,1,0)</f>
        <v>1</v>
      </c>
      <c r="P572" s="23" t="n">
        <f aca="false">G572+H572</f>
        <v>189.49</v>
      </c>
      <c r="Q572" s="23" t="n">
        <f aca="false">G572*INDEX(Assumptions!$B$8:$B$16,MATCH(F572,Assumptions!$A$8:$A$16,0))</f>
        <v>111.286</v>
      </c>
      <c r="R572" s="23" t="n">
        <f aca="false">H572*Assumptions!$B$3</f>
        <v>18.306</v>
      </c>
      <c r="S572" s="23" t="n">
        <f aca="false">G572-Q572-R572</f>
        <v>29.388</v>
      </c>
      <c r="T572" s="21" t="str">
        <f aca="false">IF(M572&lt;=7,"0-7 days",IF(M572&lt;=14,"8-14 days",IF(M572&lt;=21,"15-21 days","22+ days")))</f>
        <v>0-7 days</v>
      </c>
    </row>
    <row r="573" customFormat="false" ht="15" hidden="false" customHeight="false" outlineLevel="0" collapsed="false">
      <c r="A573" s="21" t="s">
        <v>639</v>
      </c>
      <c r="B573" s="21" t="s">
        <v>52</v>
      </c>
      <c r="C573" s="22" t="n">
        <v>43035</v>
      </c>
      <c r="D573" s="22" t="n">
        <v>43066</v>
      </c>
      <c r="E573" s="22" t="n">
        <v>43059</v>
      </c>
      <c r="F573" s="21" t="s">
        <v>49</v>
      </c>
      <c r="G573" s="23" t="n">
        <v>59.11</v>
      </c>
      <c r="H573" s="23" t="n">
        <v>21.17</v>
      </c>
      <c r="I573" s="21" t="s">
        <v>45</v>
      </c>
      <c r="J573" s="21" t="n">
        <v>3</v>
      </c>
      <c r="K573" s="21" t="s">
        <v>46</v>
      </c>
      <c r="L573" s="24" t="n">
        <f aca="false">DATE(YEAR(C573),MONTH(C573),1)</f>
        <v>43009</v>
      </c>
      <c r="M573" s="21" t="n">
        <f aca="false">D573-C573</f>
        <v>31</v>
      </c>
      <c r="N573" s="21" t="n">
        <f aca="false">MAX(0,D573-E573)</f>
        <v>7</v>
      </c>
      <c r="O573" s="21" t="n">
        <f aca="false">IF(D573&lt;=E573,1,0)</f>
        <v>0</v>
      </c>
      <c r="P573" s="23" t="n">
        <f aca="false">G573+H573</f>
        <v>80.28</v>
      </c>
      <c r="Q573" s="23" t="n">
        <f aca="false">G573*INDEX(Assumptions!$B$8:$B$16,MATCH(F573,Assumptions!$A$8:$A$16,0))</f>
        <v>34.2838</v>
      </c>
      <c r="R573" s="23" t="n">
        <f aca="false">H573*Assumptions!$B$3</f>
        <v>12.702</v>
      </c>
      <c r="S573" s="23" t="n">
        <f aca="false">G573-Q573-R573</f>
        <v>12.1242</v>
      </c>
      <c r="T573" s="21" t="str">
        <f aca="false">IF(M573&lt;=7,"0-7 days",IF(M573&lt;=14,"8-14 days",IF(M573&lt;=21,"15-21 days","22+ days")))</f>
        <v>22+ days</v>
      </c>
    </row>
    <row r="574" customFormat="false" ht="15" hidden="false" customHeight="false" outlineLevel="0" collapsed="false">
      <c r="A574" s="21" t="s">
        <v>640</v>
      </c>
      <c r="B574" s="21" t="s">
        <v>55</v>
      </c>
      <c r="C574" s="22" t="n">
        <v>43036</v>
      </c>
      <c r="D574" s="22" t="n">
        <v>43059</v>
      </c>
      <c r="E574" s="22" t="n">
        <v>43058</v>
      </c>
      <c r="F574" s="21" t="s">
        <v>59</v>
      </c>
      <c r="G574" s="23" t="n">
        <v>164.68</v>
      </c>
      <c r="H574" s="23" t="n">
        <v>21.64</v>
      </c>
      <c r="I574" s="21" t="s">
        <v>45</v>
      </c>
      <c r="J574" s="21" t="n">
        <v>3</v>
      </c>
      <c r="K574" s="21" t="s">
        <v>46</v>
      </c>
      <c r="L574" s="24" t="n">
        <f aca="false">DATE(YEAR(C574),MONTH(C574),1)</f>
        <v>43009</v>
      </c>
      <c r="M574" s="21" t="n">
        <f aca="false">D574-C574</f>
        <v>23</v>
      </c>
      <c r="N574" s="21" t="n">
        <f aca="false">MAX(0,D574-E574)</f>
        <v>1</v>
      </c>
      <c r="O574" s="21" t="n">
        <f aca="false">IF(D574&lt;=E574,1,0)</f>
        <v>0</v>
      </c>
      <c r="P574" s="23" t="n">
        <f aca="false">G574+H574</f>
        <v>186.32</v>
      </c>
      <c r="Q574" s="23" t="n">
        <f aca="false">G574*INDEX(Assumptions!$B$8:$B$16,MATCH(F574,Assumptions!$A$8:$A$16,0))</f>
        <v>105.3952</v>
      </c>
      <c r="R574" s="23" t="n">
        <f aca="false">H574*Assumptions!$B$3</f>
        <v>12.984</v>
      </c>
      <c r="S574" s="23" t="n">
        <f aca="false">G574-Q574-R574</f>
        <v>46.3008</v>
      </c>
      <c r="T574" s="21" t="str">
        <f aca="false">IF(M574&lt;=7,"0-7 days",IF(M574&lt;=14,"8-14 days",IF(M574&lt;=21,"15-21 days","22+ days")))</f>
        <v>22+ days</v>
      </c>
    </row>
    <row r="575" customFormat="false" ht="15" hidden="false" customHeight="false" outlineLevel="0" collapsed="false">
      <c r="A575" s="21" t="s">
        <v>641</v>
      </c>
      <c r="B575" s="21" t="s">
        <v>55</v>
      </c>
      <c r="C575" s="22" t="n">
        <v>43036</v>
      </c>
      <c r="D575" s="22" t="n">
        <v>43049</v>
      </c>
      <c r="E575" s="22" t="n">
        <v>43060</v>
      </c>
      <c r="F575" s="21" t="s">
        <v>67</v>
      </c>
      <c r="G575" s="23" t="n">
        <v>113.52</v>
      </c>
      <c r="H575" s="23" t="n">
        <v>17.09</v>
      </c>
      <c r="I575" s="21" t="s">
        <v>50</v>
      </c>
      <c r="J575" s="21" t="n">
        <v>5</v>
      </c>
      <c r="K575" s="21" t="s">
        <v>46</v>
      </c>
      <c r="L575" s="24" t="n">
        <f aca="false">DATE(YEAR(C575),MONTH(C575),1)</f>
        <v>43009</v>
      </c>
      <c r="M575" s="21" t="n">
        <f aca="false">D575-C575</f>
        <v>13</v>
      </c>
      <c r="N575" s="21" t="n">
        <f aca="false">MAX(0,D575-E575)</f>
        <v>0</v>
      </c>
      <c r="O575" s="21" t="n">
        <f aca="false">IF(D575&lt;=E575,1,0)</f>
        <v>1</v>
      </c>
      <c r="P575" s="23" t="n">
        <f aca="false">G575+H575</f>
        <v>130.61</v>
      </c>
      <c r="Q575" s="23" t="n">
        <f aca="false">G575*INDEX(Assumptions!$B$8:$B$16,MATCH(F575,Assumptions!$A$8:$A$16,0))</f>
        <v>70.3824</v>
      </c>
      <c r="R575" s="23" t="n">
        <f aca="false">H575*Assumptions!$B$3</f>
        <v>10.254</v>
      </c>
      <c r="S575" s="23" t="n">
        <f aca="false">G575-Q575-R575</f>
        <v>32.8836</v>
      </c>
      <c r="T575" s="21" t="str">
        <f aca="false">IF(M575&lt;=7,"0-7 days",IF(M575&lt;=14,"8-14 days",IF(M575&lt;=21,"15-21 days","22+ days")))</f>
        <v>8-14 days</v>
      </c>
    </row>
    <row r="576" customFormat="false" ht="15" hidden="false" customHeight="false" outlineLevel="0" collapsed="false">
      <c r="A576" s="21" t="s">
        <v>642</v>
      </c>
      <c r="B576" s="21" t="s">
        <v>19</v>
      </c>
      <c r="C576" s="22" t="n">
        <v>43036</v>
      </c>
      <c r="D576" s="22" t="n">
        <v>43041</v>
      </c>
      <c r="E576" s="22" t="n">
        <v>43052</v>
      </c>
      <c r="F576" s="21" t="s">
        <v>53</v>
      </c>
      <c r="G576" s="23" t="n">
        <v>233.76</v>
      </c>
      <c r="H576" s="23" t="n">
        <v>21.23</v>
      </c>
      <c r="I576" s="21" t="s">
        <v>50</v>
      </c>
      <c r="J576" s="21" t="n">
        <v>5</v>
      </c>
      <c r="K576" s="21" t="s">
        <v>46</v>
      </c>
      <c r="L576" s="24" t="n">
        <f aca="false">DATE(YEAR(C576),MONTH(C576),1)</f>
        <v>43009</v>
      </c>
      <c r="M576" s="21" t="n">
        <f aca="false">D576-C576</f>
        <v>5</v>
      </c>
      <c r="N576" s="21" t="n">
        <f aca="false">MAX(0,D576-E576)</f>
        <v>0</v>
      </c>
      <c r="O576" s="21" t="n">
        <f aca="false">IF(D576&lt;=E576,1,0)</f>
        <v>1</v>
      </c>
      <c r="P576" s="23" t="n">
        <f aca="false">G576+H576</f>
        <v>254.99</v>
      </c>
      <c r="Q576" s="23" t="n">
        <f aca="false">G576*INDEX(Assumptions!$B$8:$B$16,MATCH(F576,Assumptions!$A$8:$A$16,0))</f>
        <v>172.9824</v>
      </c>
      <c r="R576" s="23" t="n">
        <f aca="false">H576*Assumptions!$B$3</f>
        <v>12.738</v>
      </c>
      <c r="S576" s="23" t="n">
        <f aca="false">G576-Q576-R576</f>
        <v>48.0396</v>
      </c>
      <c r="T576" s="21" t="str">
        <f aca="false">IF(M576&lt;=7,"0-7 days",IF(M576&lt;=14,"8-14 days",IF(M576&lt;=21,"15-21 days","22+ days")))</f>
        <v>0-7 days</v>
      </c>
    </row>
    <row r="577" customFormat="false" ht="15" hidden="false" customHeight="false" outlineLevel="0" collapsed="false">
      <c r="A577" s="21" t="s">
        <v>643</v>
      </c>
      <c r="B577" s="21" t="s">
        <v>19</v>
      </c>
      <c r="C577" s="22" t="n">
        <v>43037</v>
      </c>
      <c r="D577" s="22" t="n">
        <v>43048</v>
      </c>
      <c r="E577" s="22" t="n">
        <v>43053</v>
      </c>
      <c r="F577" s="21" t="s">
        <v>64</v>
      </c>
      <c r="G577" s="23" t="n">
        <v>102.68</v>
      </c>
      <c r="H577" s="23" t="n">
        <v>17.91</v>
      </c>
      <c r="I577" s="21" t="s">
        <v>45</v>
      </c>
      <c r="J577" s="21" t="n">
        <v>5</v>
      </c>
      <c r="K577" s="21" t="s">
        <v>46</v>
      </c>
      <c r="L577" s="24" t="n">
        <f aca="false">DATE(YEAR(C577),MONTH(C577),1)</f>
        <v>43009</v>
      </c>
      <c r="M577" s="21" t="n">
        <f aca="false">D577-C577</f>
        <v>11</v>
      </c>
      <c r="N577" s="21" t="n">
        <f aca="false">MAX(0,D577-E577)</f>
        <v>0</v>
      </c>
      <c r="O577" s="21" t="n">
        <f aca="false">IF(D577&lt;=E577,1,0)</f>
        <v>1</v>
      </c>
      <c r="P577" s="23" t="n">
        <f aca="false">G577+H577</f>
        <v>120.59</v>
      </c>
      <c r="Q577" s="23" t="n">
        <f aca="false">G577*INDEX(Assumptions!$B$8:$B$16,MATCH(F577,Assumptions!$A$8:$A$16,0))</f>
        <v>67.7688</v>
      </c>
      <c r="R577" s="23" t="n">
        <f aca="false">H577*Assumptions!$B$3</f>
        <v>10.746</v>
      </c>
      <c r="S577" s="23" t="n">
        <f aca="false">G577-Q577-R577</f>
        <v>24.1652</v>
      </c>
      <c r="T577" s="21" t="str">
        <f aca="false">IF(M577&lt;=7,"0-7 days",IF(M577&lt;=14,"8-14 days",IF(M577&lt;=21,"15-21 days","22+ days")))</f>
        <v>8-14 days</v>
      </c>
    </row>
    <row r="578" customFormat="false" ht="15" hidden="false" customHeight="false" outlineLevel="0" collapsed="false">
      <c r="A578" s="21" t="s">
        <v>644</v>
      </c>
      <c r="B578" s="21" t="s">
        <v>48</v>
      </c>
      <c r="C578" s="22" t="n">
        <v>43037</v>
      </c>
      <c r="D578" s="22" t="n">
        <v>43047</v>
      </c>
      <c r="E578" s="22" t="n">
        <v>43058</v>
      </c>
      <c r="F578" s="21" t="s">
        <v>79</v>
      </c>
      <c r="G578" s="23" t="n">
        <v>170.27</v>
      </c>
      <c r="H578" s="23" t="n">
        <v>17.47</v>
      </c>
      <c r="I578" s="21" t="s">
        <v>60</v>
      </c>
      <c r="J578" s="21" t="n">
        <v>5</v>
      </c>
      <c r="K578" s="21" t="s">
        <v>46</v>
      </c>
      <c r="L578" s="24" t="n">
        <f aca="false">DATE(YEAR(C578),MONTH(C578),1)</f>
        <v>43009</v>
      </c>
      <c r="M578" s="21" t="n">
        <f aca="false">D578-C578</f>
        <v>10</v>
      </c>
      <c r="N578" s="21" t="n">
        <f aca="false">MAX(0,D578-E578)</f>
        <v>0</v>
      </c>
      <c r="O578" s="21" t="n">
        <f aca="false">IF(D578&lt;=E578,1,0)</f>
        <v>1</v>
      </c>
      <c r="P578" s="23" t="n">
        <f aca="false">G578+H578</f>
        <v>187.74</v>
      </c>
      <c r="Q578" s="23" t="n">
        <f aca="false">G578*INDEX(Assumptions!$B$8:$B$16,MATCH(F578,Assumptions!$A$8:$A$16,0))</f>
        <v>119.189</v>
      </c>
      <c r="R578" s="23" t="n">
        <f aca="false">H578*Assumptions!$B$3</f>
        <v>10.482</v>
      </c>
      <c r="S578" s="23" t="n">
        <f aca="false">G578-Q578-R578</f>
        <v>40.599</v>
      </c>
      <c r="T578" s="21" t="str">
        <f aca="false">IF(M578&lt;=7,"0-7 days",IF(M578&lt;=14,"8-14 days",IF(M578&lt;=21,"15-21 days","22+ days")))</f>
        <v>8-14 days</v>
      </c>
    </row>
    <row r="579" customFormat="false" ht="15" hidden="false" customHeight="false" outlineLevel="0" collapsed="false">
      <c r="A579" s="21" t="s">
        <v>645</v>
      </c>
      <c r="B579" s="21" t="s">
        <v>62</v>
      </c>
      <c r="C579" s="22" t="n">
        <v>43037</v>
      </c>
      <c r="D579" s="22" t="n">
        <v>43051</v>
      </c>
      <c r="E579" s="22" t="n">
        <v>43057</v>
      </c>
      <c r="F579" s="21" t="s">
        <v>57</v>
      </c>
      <c r="G579" s="23" t="n">
        <v>126.29</v>
      </c>
      <c r="H579" s="23" t="n">
        <v>22.61</v>
      </c>
      <c r="I579" s="21" t="s">
        <v>50</v>
      </c>
      <c r="J579" s="21" t="n">
        <v>5</v>
      </c>
      <c r="K579" s="21" t="s">
        <v>46</v>
      </c>
      <c r="L579" s="24" t="n">
        <f aca="false">DATE(YEAR(C579),MONTH(C579),1)</f>
        <v>43009</v>
      </c>
      <c r="M579" s="21" t="n">
        <f aca="false">D579-C579</f>
        <v>14</v>
      </c>
      <c r="N579" s="21" t="n">
        <f aca="false">MAX(0,D579-E579)</f>
        <v>0</v>
      </c>
      <c r="O579" s="21" t="n">
        <f aca="false">IF(D579&lt;=E579,1,0)</f>
        <v>1</v>
      </c>
      <c r="P579" s="23" t="n">
        <f aca="false">G579+H579</f>
        <v>148.9</v>
      </c>
      <c r="Q579" s="23" t="n">
        <f aca="false">G579*INDEX(Assumptions!$B$8:$B$16,MATCH(F579,Assumptions!$A$8:$A$16,0))</f>
        <v>85.8772</v>
      </c>
      <c r="R579" s="23" t="n">
        <f aca="false">H579*Assumptions!$B$3</f>
        <v>13.566</v>
      </c>
      <c r="S579" s="23" t="n">
        <f aca="false">G579-Q579-R579</f>
        <v>26.8468</v>
      </c>
      <c r="T579" s="21" t="str">
        <f aca="false">IF(M579&lt;=7,"0-7 days",IF(M579&lt;=14,"8-14 days",IF(M579&lt;=21,"15-21 days","22+ days")))</f>
        <v>8-14 days</v>
      </c>
    </row>
    <row r="580" customFormat="false" ht="15" hidden="false" customHeight="false" outlineLevel="0" collapsed="false">
      <c r="A580" s="21" t="s">
        <v>646</v>
      </c>
      <c r="B580" s="21" t="s">
        <v>156</v>
      </c>
      <c r="C580" s="22" t="n">
        <v>43037</v>
      </c>
      <c r="D580" s="22" t="n">
        <v>43042</v>
      </c>
      <c r="E580" s="22" t="n">
        <v>43059</v>
      </c>
      <c r="F580" s="21" t="s">
        <v>53</v>
      </c>
      <c r="G580" s="23" t="n">
        <v>279.63</v>
      </c>
      <c r="H580" s="23" t="n">
        <v>29.2</v>
      </c>
      <c r="I580" s="21" t="s">
        <v>45</v>
      </c>
      <c r="J580" s="21" t="n">
        <v>4</v>
      </c>
      <c r="K580" s="21" t="s">
        <v>46</v>
      </c>
      <c r="L580" s="24" t="n">
        <f aca="false">DATE(YEAR(C580),MONTH(C580),1)</f>
        <v>43009</v>
      </c>
      <c r="M580" s="21" t="n">
        <f aca="false">D580-C580</f>
        <v>5</v>
      </c>
      <c r="N580" s="21" t="n">
        <f aca="false">MAX(0,D580-E580)</f>
        <v>0</v>
      </c>
      <c r="O580" s="21" t="n">
        <f aca="false">IF(D580&lt;=E580,1,0)</f>
        <v>1</v>
      </c>
      <c r="P580" s="23" t="n">
        <f aca="false">G580+H580</f>
        <v>308.83</v>
      </c>
      <c r="Q580" s="23" t="n">
        <f aca="false">G580*INDEX(Assumptions!$B$8:$B$16,MATCH(F580,Assumptions!$A$8:$A$16,0))</f>
        <v>206.9262</v>
      </c>
      <c r="R580" s="23" t="n">
        <f aca="false">H580*Assumptions!$B$3</f>
        <v>17.52</v>
      </c>
      <c r="S580" s="23" t="n">
        <f aca="false">G580-Q580-R580</f>
        <v>55.1838</v>
      </c>
      <c r="T580" s="21" t="str">
        <f aca="false">IF(M580&lt;=7,"0-7 days",IF(M580&lt;=14,"8-14 days",IF(M580&lt;=21,"15-21 days","22+ days")))</f>
        <v>0-7 days</v>
      </c>
    </row>
    <row r="581" customFormat="false" ht="15" hidden="false" customHeight="false" outlineLevel="0" collapsed="false">
      <c r="A581" s="21" t="s">
        <v>647</v>
      </c>
      <c r="B581" s="21" t="s">
        <v>201</v>
      </c>
      <c r="C581" s="22" t="n">
        <v>43038</v>
      </c>
      <c r="D581" s="22" t="n">
        <v>43054</v>
      </c>
      <c r="E581" s="22" t="n">
        <v>43070</v>
      </c>
      <c r="F581" s="21" t="s">
        <v>67</v>
      </c>
      <c r="G581" s="23" t="n">
        <v>88.57</v>
      </c>
      <c r="H581" s="23" t="n">
        <v>45.39</v>
      </c>
      <c r="I581" s="21" t="s">
        <v>60</v>
      </c>
      <c r="J581" s="21" t="n">
        <v>5</v>
      </c>
      <c r="K581" s="21" t="s">
        <v>46</v>
      </c>
      <c r="L581" s="24" t="n">
        <f aca="false">DATE(YEAR(C581),MONTH(C581),1)</f>
        <v>43009</v>
      </c>
      <c r="M581" s="21" t="n">
        <f aca="false">D581-C581</f>
        <v>16</v>
      </c>
      <c r="N581" s="21" t="n">
        <f aca="false">MAX(0,D581-E581)</f>
        <v>0</v>
      </c>
      <c r="O581" s="21" t="n">
        <f aca="false">IF(D581&lt;=E581,1,0)</f>
        <v>1</v>
      </c>
      <c r="P581" s="23" t="n">
        <f aca="false">G581+H581</f>
        <v>133.96</v>
      </c>
      <c r="Q581" s="23" t="n">
        <f aca="false">G581*INDEX(Assumptions!$B$8:$B$16,MATCH(F581,Assumptions!$A$8:$A$16,0))</f>
        <v>54.9134</v>
      </c>
      <c r="R581" s="23" t="n">
        <f aca="false">H581*Assumptions!$B$3</f>
        <v>27.234</v>
      </c>
      <c r="S581" s="23" t="n">
        <f aca="false">G581-Q581-R581</f>
        <v>6.4226</v>
      </c>
      <c r="T581" s="21" t="str">
        <f aca="false">IF(M581&lt;=7,"0-7 days",IF(M581&lt;=14,"8-14 days",IF(M581&lt;=21,"15-21 days","22+ days")))</f>
        <v>15-21 days</v>
      </c>
    </row>
    <row r="582" customFormat="false" ht="15" hidden="false" customHeight="false" outlineLevel="0" collapsed="false">
      <c r="A582" s="21" t="s">
        <v>648</v>
      </c>
      <c r="B582" s="21" t="s">
        <v>19</v>
      </c>
      <c r="C582" s="22" t="n">
        <v>43039</v>
      </c>
      <c r="D582" s="22" t="n">
        <v>43047</v>
      </c>
      <c r="E582" s="22" t="n">
        <v>43053</v>
      </c>
      <c r="F582" s="21" t="s">
        <v>49</v>
      </c>
      <c r="G582" s="23" t="n">
        <v>80.68</v>
      </c>
      <c r="H582" s="23" t="n">
        <v>21.07</v>
      </c>
      <c r="I582" s="21" t="s">
        <v>45</v>
      </c>
      <c r="J582" s="21" t="n">
        <v>4</v>
      </c>
      <c r="K582" s="21" t="s">
        <v>46</v>
      </c>
      <c r="L582" s="24" t="n">
        <f aca="false">DATE(YEAR(C582),MONTH(C582),1)</f>
        <v>43009</v>
      </c>
      <c r="M582" s="21" t="n">
        <f aca="false">D582-C582</f>
        <v>8</v>
      </c>
      <c r="N582" s="21" t="n">
        <f aca="false">MAX(0,D582-E582)</f>
        <v>0</v>
      </c>
      <c r="O582" s="21" t="n">
        <f aca="false">IF(D582&lt;=E582,1,0)</f>
        <v>1</v>
      </c>
      <c r="P582" s="23" t="n">
        <f aca="false">G582+H582</f>
        <v>101.75</v>
      </c>
      <c r="Q582" s="23" t="n">
        <f aca="false">G582*INDEX(Assumptions!$B$8:$B$16,MATCH(F582,Assumptions!$A$8:$A$16,0))</f>
        <v>46.7944</v>
      </c>
      <c r="R582" s="23" t="n">
        <f aca="false">H582*Assumptions!$B$3</f>
        <v>12.642</v>
      </c>
      <c r="S582" s="23" t="n">
        <f aca="false">G582-Q582-R582</f>
        <v>21.2436</v>
      </c>
      <c r="T582" s="21" t="str">
        <f aca="false">IF(M582&lt;=7,"0-7 days",IF(M582&lt;=14,"8-14 days",IF(M582&lt;=21,"15-21 days","22+ days")))</f>
        <v>8-14 days</v>
      </c>
    </row>
    <row r="583" customFormat="false" ht="15" hidden="false" customHeight="false" outlineLevel="0" collapsed="false">
      <c r="A583" s="21" t="s">
        <v>649</v>
      </c>
      <c r="B583" s="21" t="s">
        <v>19</v>
      </c>
      <c r="C583" s="22" t="n">
        <v>43039</v>
      </c>
      <c r="D583" s="22" t="n">
        <v>43049</v>
      </c>
      <c r="E583" s="22" t="n">
        <v>43053</v>
      </c>
      <c r="F583" s="21" t="s">
        <v>59</v>
      </c>
      <c r="G583" s="23" t="n">
        <v>344.87</v>
      </c>
      <c r="H583" s="23" t="n">
        <v>27.6</v>
      </c>
      <c r="I583" s="21" t="s">
        <v>45</v>
      </c>
      <c r="J583" s="21" t="n">
        <v>3</v>
      </c>
      <c r="K583" s="21" t="s">
        <v>46</v>
      </c>
      <c r="L583" s="24" t="n">
        <f aca="false">DATE(YEAR(C583),MONTH(C583),1)</f>
        <v>43009</v>
      </c>
      <c r="M583" s="21" t="n">
        <f aca="false">D583-C583</f>
        <v>10</v>
      </c>
      <c r="N583" s="21" t="n">
        <f aca="false">MAX(0,D583-E583)</f>
        <v>0</v>
      </c>
      <c r="O583" s="21" t="n">
        <f aca="false">IF(D583&lt;=E583,1,0)</f>
        <v>1</v>
      </c>
      <c r="P583" s="23" t="n">
        <f aca="false">G583+H583</f>
        <v>372.47</v>
      </c>
      <c r="Q583" s="23" t="n">
        <f aca="false">G583*INDEX(Assumptions!$B$8:$B$16,MATCH(F583,Assumptions!$A$8:$A$16,0))</f>
        <v>220.7168</v>
      </c>
      <c r="R583" s="23" t="n">
        <f aca="false">H583*Assumptions!$B$3</f>
        <v>16.56</v>
      </c>
      <c r="S583" s="23" t="n">
        <f aca="false">G583-Q583-R583</f>
        <v>107.5932</v>
      </c>
      <c r="T583" s="21" t="str">
        <f aca="false">IF(M583&lt;=7,"0-7 days",IF(M583&lt;=14,"8-14 days",IF(M583&lt;=21,"15-21 days","22+ days")))</f>
        <v>8-14 days</v>
      </c>
    </row>
    <row r="584" customFormat="false" ht="15" hidden="false" customHeight="false" outlineLevel="0" collapsed="false">
      <c r="A584" s="21" t="s">
        <v>650</v>
      </c>
      <c r="B584" s="21" t="s">
        <v>19</v>
      </c>
      <c r="C584" s="22" t="n">
        <v>43039</v>
      </c>
      <c r="D584" s="22" t="n">
        <v>43044</v>
      </c>
      <c r="E584" s="22" t="n">
        <v>43053</v>
      </c>
      <c r="F584" s="21" t="s">
        <v>59</v>
      </c>
      <c r="G584" s="23" t="n">
        <v>75.15</v>
      </c>
      <c r="H584" s="23" t="n">
        <v>12.84</v>
      </c>
      <c r="I584" s="21" t="s">
        <v>45</v>
      </c>
      <c r="J584" s="21" t="n">
        <v>4</v>
      </c>
      <c r="K584" s="21" t="s">
        <v>46</v>
      </c>
      <c r="L584" s="24" t="n">
        <f aca="false">DATE(YEAR(C584),MONTH(C584),1)</f>
        <v>43009</v>
      </c>
      <c r="M584" s="21" t="n">
        <f aca="false">D584-C584</f>
        <v>5</v>
      </c>
      <c r="N584" s="21" t="n">
        <f aca="false">MAX(0,D584-E584)</f>
        <v>0</v>
      </c>
      <c r="O584" s="21" t="n">
        <f aca="false">IF(D584&lt;=E584,1,0)</f>
        <v>1</v>
      </c>
      <c r="P584" s="23" t="n">
        <f aca="false">G584+H584</f>
        <v>87.99</v>
      </c>
      <c r="Q584" s="23" t="n">
        <f aca="false">G584*INDEX(Assumptions!$B$8:$B$16,MATCH(F584,Assumptions!$A$8:$A$16,0))</f>
        <v>48.096</v>
      </c>
      <c r="R584" s="23" t="n">
        <f aca="false">H584*Assumptions!$B$3</f>
        <v>7.704</v>
      </c>
      <c r="S584" s="23" t="n">
        <f aca="false">G584-Q584-R584</f>
        <v>19.35</v>
      </c>
      <c r="T584" s="21" t="str">
        <f aca="false">IF(M584&lt;=7,"0-7 days",IF(M584&lt;=14,"8-14 days",IF(M584&lt;=21,"15-21 days","22+ days")))</f>
        <v>0-7 days</v>
      </c>
    </row>
    <row r="585" customFormat="false" ht="15" hidden="false" customHeight="false" outlineLevel="0" collapsed="false">
      <c r="A585" s="21" t="s">
        <v>651</v>
      </c>
      <c r="B585" s="21" t="s">
        <v>19</v>
      </c>
      <c r="C585" s="22" t="n">
        <v>43039</v>
      </c>
      <c r="D585" s="22" t="n">
        <v>43052</v>
      </c>
      <c r="E585" s="22" t="n">
        <v>43056</v>
      </c>
      <c r="F585" s="21" t="s">
        <v>59</v>
      </c>
      <c r="G585" s="23" t="n">
        <v>166.3</v>
      </c>
      <c r="H585" s="23" t="n">
        <v>24.09</v>
      </c>
      <c r="I585" s="21" t="s">
        <v>45</v>
      </c>
      <c r="J585" s="21" t="n">
        <v>3</v>
      </c>
      <c r="K585" s="21" t="s">
        <v>46</v>
      </c>
      <c r="L585" s="24" t="n">
        <f aca="false">DATE(YEAR(C585),MONTH(C585),1)</f>
        <v>43009</v>
      </c>
      <c r="M585" s="21" t="n">
        <f aca="false">D585-C585</f>
        <v>13</v>
      </c>
      <c r="N585" s="21" t="n">
        <f aca="false">MAX(0,D585-E585)</f>
        <v>0</v>
      </c>
      <c r="O585" s="21" t="n">
        <f aca="false">IF(D585&lt;=E585,1,0)</f>
        <v>1</v>
      </c>
      <c r="P585" s="23" t="n">
        <f aca="false">G585+H585</f>
        <v>190.39</v>
      </c>
      <c r="Q585" s="23" t="n">
        <f aca="false">G585*INDEX(Assumptions!$B$8:$B$16,MATCH(F585,Assumptions!$A$8:$A$16,0))</f>
        <v>106.432</v>
      </c>
      <c r="R585" s="23" t="n">
        <f aca="false">H585*Assumptions!$B$3</f>
        <v>14.454</v>
      </c>
      <c r="S585" s="23" t="n">
        <f aca="false">G585-Q585-R585</f>
        <v>45.414</v>
      </c>
      <c r="T585" s="21" t="str">
        <f aca="false">IF(M585&lt;=7,"0-7 days",IF(M585&lt;=14,"8-14 days",IF(M585&lt;=21,"15-21 days","22+ days")))</f>
        <v>8-14 days</v>
      </c>
    </row>
    <row r="586" customFormat="false" ht="15" hidden="false" customHeight="false" outlineLevel="0" collapsed="false">
      <c r="A586" s="21" t="s">
        <v>652</v>
      </c>
      <c r="B586" s="21" t="s">
        <v>55</v>
      </c>
      <c r="C586" s="22" t="n">
        <v>43039</v>
      </c>
      <c r="D586" s="22" t="n">
        <v>43052</v>
      </c>
      <c r="E586" s="22" t="n">
        <v>43070</v>
      </c>
      <c r="F586" s="21" t="s">
        <v>64</v>
      </c>
      <c r="G586" s="23" t="n">
        <v>134.28</v>
      </c>
      <c r="H586" s="23" t="n">
        <v>23.2</v>
      </c>
      <c r="I586" s="21" t="s">
        <v>60</v>
      </c>
      <c r="J586" s="21" t="n">
        <v>3</v>
      </c>
      <c r="K586" s="21" t="s">
        <v>46</v>
      </c>
      <c r="L586" s="24" t="n">
        <f aca="false">DATE(YEAR(C586),MONTH(C586),1)</f>
        <v>43009</v>
      </c>
      <c r="M586" s="21" t="n">
        <f aca="false">D586-C586</f>
        <v>13</v>
      </c>
      <c r="N586" s="21" t="n">
        <f aca="false">MAX(0,D586-E586)</f>
        <v>0</v>
      </c>
      <c r="O586" s="21" t="n">
        <f aca="false">IF(D586&lt;=E586,1,0)</f>
        <v>1</v>
      </c>
      <c r="P586" s="23" t="n">
        <f aca="false">G586+H586</f>
        <v>157.48</v>
      </c>
      <c r="Q586" s="23" t="n">
        <f aca="false">G586*INDEX(Assumptions!$B$8:$B$16,MATCH(F586,Assumptions!$A$8:$A$16,0))</f>
        <v>88.6248</v>
      </c>
      <c r="R586" s="23" t="n">
        <f aca="false">H586*Assumptions!$B$3</f>
        <v>13.92</v>
      </c>
      <c r="S586" s="23" t="n">
        <f aca="false">G586-Q586-R586</f>
        <v>31.7352</v>
      </c>
      <c r="T586" s="21" t="str">
        <f aca="false">IF(M586&lt;=7,"0-7 days",IF(M586&lt;=14,"8-14 days",IF(M586&lt;=21,"15-21 days","22+ days")))</f>
        <v>8-14 days</v>
      </c>
    </row>
    <row r="587" customFormat="false" ht="15" hidden="false" customHeight="false" outlineLevel="0" collapsed="false">
      <c r="A587" s="21" t="s">
        <v>653</v>
      </c>
      <c r="B587" s="21" t="s">
        <v>156</v>
      </c>
      <c r="C587" s="22" t="n">
        <v>43040</v>
      </c>
      <c r="D587" s="22" t="n">
        <v>43048</v>
      </c>
      <c r="E587" s="22" t="n">
        <v>43060</v>
      </c>
      <c r="F587" s="21" t="s">
        <v>111</v>
      </c>
      <c r="G587" s="23" t="n">
        <v>237.26</v>
      </c>
      <c r="H587" s="23" t="n">
        <v>28.2</v>
      </c>
      <c r="I587" s="21" t="s">
        <v>45</v>
      </c>
      <c r="J587" s="21" t="n">
        <v>5</v>
      </c>
      <c r="K587" s="21" t="s">
        <v>46</v>
      </c>
      <c r="L587" s="24" t="n">
        <f aca="false">DATE(YEAR(C587),MONTH(C587),1)</f>
        <v>43040</v>
      </c>
      <c r="M587" s="21" t="n">
        <f aca="false">D587-C587</f>
        <v>8</v>
      </c>
      <c r="N587" s="21" t="n">
        <f aca="false">MAX(0,D587-E587)</f>
        <v>0</v>
      </c>
      <c r="O587" s="21" t="n">
        <f aca="false">IF(D587&lt;=E587,1,0)</f>
        <v>1</v>
      </c>
      <c r="P587" s="23" t="n">
        <f aca="false">G587+H587</f>
        <v>265.46</v>
      </c>
      <c r="Q587" s="23" t="n">
        <f aca="false">G587*INDEX(Assumptions!$B$8:$B$16,MATCH(F587,Assumptions!$A$8:$A$16,0))</f>
        <v>149.4738</v>
      </c>
      <c r="R587" s="23" t="n">
        <f aca="false">H587*Assumptions!$B$3</f>
        <v>16.92</v>
      </c>
      <c r="S587" s="23" t="n">
        <f aca="false">G587-Q587-R587</f>
        <v>70.8662</v>
      </c>
      <c r="T587" s="21" t="str">
        <f aca="false">IF(M587&lt;=7,"0-7 days",IF(M587&lt;=14,"8-14 days",IF(M587&lt;=21,"15-21 days","22+ days")))</f>
        <v>8-14 days</v>
      </c>
    </row>
    <row r="588" customFormat="false" ht="15" hidden="false" customHeight="false" outlineLevel="0" collapsed="false">
      <c r="A588" s="21" t="s">
        <v>654</v>
      </c>
      <c r="B588" s="21" t="s">
        <v>55</v>
      </c>
      <c r="C588" s="22" t="n">
        <v>43040</v>
      </c>
      <c r="D588" s="22" t="n">
        <v>43054</v>
      </c>
      <c r="E588" s="22" t="n">
        <v>43063</v>
      </c>
      <c r="F588" s="21" t="s">
        <v>44</v>
      </c>
      <c r="G588" s="23" t="n">
        <v>37.74</v>
      </c>
      <c r="H588" s="23" t="n">
        <v>25.23</v>
      </c>
      <c r="I588" s="21" t="s">
        <v>60</v>
      </c>
      <c r="J588" s="21" t="n">
        <v>5</v>
      </c>
      <c r="K588" s="21" t="s">
        <v>46</v>
      </c>
      <c r="L588" s="24" t="n">
        <f aca="false">DATE(YEAR(C588),MONTH(C588),1)</f>
        <v>43040</v>
      </c>
      <c r="M588" s="21" t="n">
        <f aca="false">D588-C588</f>
        <v>14</v>
      </c>
      <c r="N588" s="21" t="n">
        <f aca="false">MAX(0,D588-E588)</f>
        <v>0</v>
      </c>
      <c r="O588" s="21" t="n">
        <f aca="false">IF(D588&lt;=E588,1,0)</f>
        <v>1</v>
      </c>
      <c r="P588" s="23" t="n">
        <f aca="false">G588+H588</f>
        <v>62.97</v>
      </c>
      <c r="Q588" s="23" t="n">
        <f aca="false">G588*INDEX(Assumptions!$B$8:$B$16,MATCH(F588,Assumptions!$A$8:$A$16,0))</f>
        <v>22.644</v>
      </c>
      <c r="R588" s="23" t="n">
        <f aca="false">H588*Assumptions!$B$3</f>
        <v>15.138</v>
      </c>
      <c r="S588" s="23" t="n">
        <f aca="false">G588-Q588-R588</f>
        <v>-0.0419999999999998</v>
      </c>
      <c r="T588" s="21" t="str">
        <f aca="false">IF(M588&lt;=7,"0-7 days",IF(M588&lt;=14,"8-14 days",IF(M588&lt;=21,"15-21 days","22+ days")))</f>
        <v>8-14 days</v>
      </c>
    </row>
    <row r="589" customFormat="false" ht="15" hidden="false" customHeight="false" outlineLevel="0" collapsed="false">
      <c r="A589" s="21" t="s">
        <v>655</v>
      </c>
      <c r="B589" s="21" t="s">
        <v>19</v>
      </c>
      <c r="C589" s="22" t="n">
        <v>43040</v>
      </c>
      <c r="D589" s="22" t="n">
        <v>43049</v>
      </c>
      <c r="E589" s="22" t="n">
        <v>43057</v>
      </c>
      <c r="F589" s="21" t="s">
        <v>49</v>
      </c>
      <c r="G589" s="23" t="n">
        <v>50.06</v>
      </c>
      <c r="H589" s="23" t="n">
        <v>11.51</v>
      </c>
      <c r="I589" s="21" t="s">
        <v>45</v>
      </c>
      <c r="J589" s="21" t="n">
        <v>3</v>
      </c>
      <c r="K589" s="21" t="s">
        <v>46</v>
      </c>
      <c r="L589" s="24" t="n">
        <f aca="false">DATE(YEAR(C589),MONTH(C589),1)</f>
        <v>43040</v>
      </c>
      <c r="M589" s="21" t="n">
        <f aca="false">D589-C589</f>
        <v>9</v>
      </c>
      <c r="N589" s="21" t="n">
        <f aca="false">MAX(0,D589-E589)</f>
        <v>0</v>
      </c>
      <c r="O589" s="21" t="n">
        <f aca="false">IF(D589&lt;=E589,1,0)</f>
        <v>1</v>
      </c>
      <c r="P589" s="23" t="n">
        <f aca="false">G589+H589</f>
        <v>61.57</v>
      </c>
      <c r="Q589" s="23" t="n">
        <f aca="false">G589*INDEX(Assumptions!$B$8:$B$16,MATCH(F589,Assumptions!$A$8:$A$16,0))</f>
        <v>29.0348</v>
      </c>
      <c r="R589" s="23" t="n">
        <f aca="false">H589*Assumptions!$B$3</f>
        <v>6.906</v>
      </c>
      <c r="S589" s="23" t="n">
        <f aca="false">G589-Q589-R589</f>
        <v>14.1192</v>
      </c>
      <c r="T589" s="21" t="str">
        <f aca="false">IF(M589&lt;=7,"0-7 days",IF(M589&lt;=14,"8-14 days",IF(M589&lt;=21,"15-21 days","22+ days")))</f>
        <v>8-14 days</v>
      </c>
    </row>
    <row r="590" customFormat="false" ht="15" hidden="false" customHeight="false" outlineLevel="0" collapsed="false">
      <c r="A590" s="21" t="s">
        <v>656</v>
      </c>
      <c r="B590" s="21" t="s">
        <v>93</v>
      </c>
      <c r="C590" s="22" t="n">
        <v>43040</v>
      </c>
      <c r="D590" s="22" t="n">
        <v>43051</v>
      </c>
      <c r="E590" s="22" t="n">
        <v>43070</v>
      </c>
      <c r="F590" s="21" t="s">
        <v>49</v>
      </c>
      <c r="G590" s="23" t="n">
        <v>59.64</v>
      </c>
      <c r="H590" s="23" t="n">
        <v>28.49</v>
      </c>
      <c r="I590" s="21" t="s">
        <v>60</v>
      </c>
      <c r="J590" s="21" t="n">
        <v>4</v>
      </c>
      <c r="K590" s="21" t="s">
        <v>46</v>
      </c>
      <c r="L590" s="24" t="n">
        <f aca="false">DATE(YEAR(C590),MONTH(C590),1)</f>
        <v>43040</v>
      </c>
      <c r="M590" s="21" t="n">
        <f aca="false">D590-C590</f>
        <v>11</v>
      </c>
      <c r="N590" s="21" t="n">
        <f aca="false">MAX(0,D590-E590)</f>
        <v>0</v>
      </c>
      <c r="O590" s="21" t="n">
        <f aca="false">IF(D590&lt;=E590,1,0)</f>
        <v>1</v>
      </c>
      <c r="P590" s="23" t="n">
        <f aca="false">G590+H590</f>
        <v>88.13</v>
      </c>
      <c r="Q590" s="23" t="n">
        <f aca="false">G590*INDEX(Assumptions!$B$8:$B$16,MATCH(F590,Assumptions!$A$8:$A$16,0))</f>
        <v>34.5912</v>
      </c>
      <c r="R590" s="23" t="n">
        <f aca="false">H590*Assumptions!$B$3</f>
        <v>17.094</v>
      </c>
      <c r="S590" s="23" t="n">
        <f aca="false">G590-Q590-R590</f>
        <v>7.9548</v>
      </c>
      <c r="T590" s="21" t="str">
        <f aca="false">IF(M590&lt;=7,"0-7 days",IF(M590&lt;=14,"8-14 days",IF(M590&lt;=21,"15-21 days","22+ days")))</f>
        <v>8-14 days</v>
      </c>
    </row>
    <row r="591" customFormat="false" ht="15" hidden="false" customHeight="false" outlineLevel="0" collapsed="false">
      <c r="A591" s="21" t="s">
        <v>657</v>
      </c>
      <c r="B591" s="21" t="s">
        <v>52</v>
      </c>
      <c r="C591" s="22" t="n">
        <v>43040</v>
      </c>
      <c r="D591" s="22" t="n">
        <v>43058</v>
      </c>
      <c r="E591" s="22" t="n">
        <v>43063</v>
      </c>
      <c r="F591" s="21" t="s">
        <v>53</v>
      </c>
      <c r="G591" s="23" t="n">
        <v>140.66</v>
      </c>
      <c r="H591" s="23" t="n">
        <v>27.12</v>
      </c>
      <c r="I591" s="21" t="s">
        <v>60</v>
      </c>
      <c r="J591" s="21" t="n">
        <v>4</v>
      </c>
      <c r="K591" s="21" t="s">
        <v>46</v>
      </c>
      <c r="L591" s="24" t="n">
        <f aca="false">DATE(YEAR(C591),MONTH(C591),1)</f>
        <v>43040</v>
      </c>
      <c r="M591" s="21" t="n">
        <f aca="false">D591-C591</f>
        <v>18</v>
      </c>
      <c r="N591" s="21" t="n">
        <f aca="false">MAX(0,D591-E591)</f>
        <v>0</v>
      </c>
      <c r="O591" s="21" t="n">
        <f aca="false">IF(D591&lt;=E591,1,0)</f>
        <v>1</v>
      </c>
      <c r="P591" s="23" t="n">
        <f aca="false">G591+H591</f>
        <v>167.78</v>
      </c>
      <c r="Q591" s="23" t="n">
        <f aca="false">G591*INDEX(Assumptions!$B$8:$B$16,MATCH(F591,Assumptions!$A$8:$A$16,0))</f>
        <v>104.0884</v>
      </c>
      <c r="R591" s="23" t="n">
        <f aca="false">H591*Assumptions!$B$3</f>
        <v>16.272</v>
      </c>
      <c r="S591" s="23" t="n">
        <f aca="false">G591-Q591-R591</f>
        <v>20.2996</v>
      </c>
      <c r="T591" s="21" t="str">
        <f aca="false">IF(M591&lt;=7,"0-7 days",IF(M591&lt;=14,"8-14 days",IF(M591&lt;=21,"15-21 days","22+ days")))</f>
        <v>15-21 days</v>
      </c>
    </row>
    <row r="592" customFormat="false" ht="15" hidden="false" customHeight="false" outlineLevel="0" collapsed="false">
      <c r="A592" s="21" t="s">
        <v>658</v>
      </c>
      <c r="B592" s="21" t="s">
        <v>19</v>
      </c>
      <c r="C592" s="22" t="n">
        <v>43040</v>
      </c>
      <c r="D592" s="22" t="n">
        <v>43047</v>
      </c>
      <c r="E592" s="22" t="n">
        <v>43058</v>
      </c>
      <c r="F592" s="21" t="s">
        <v>53</v>
      </c>
      <c r="G592" s="23" t="n">
        <v>101.14</v>
      </c>
      <c r="H592" s="23" t="n">
        <v>19.65</v>
      </c>
      <c r="I592" s="21" t="s">
        <v>50</v>
      </c>
      <c r="J592" s="21" t="n">
        <v>4</v>
      </c>
      <c r="K592" s="21" t="s">
        <v>46</v>
      </c>
      <c r="L592" s="24" t="n">
        <f aca="false">DATE(YEAR(C592),MONTH(C592),1)</f>
        <v>43040</v>
      </c>
      <c r="M592" s="21" t="n">
        <f aca="false">D592-C592</f>
        <v>7</v>
      </c>
      <c r="N592" s="21" t="n">
        <f aca="false">MAX(0,D592-E592)</f>
        <v>0</v>
      </c>
      <c r="O592" s="21" t="n">
        <f aca="false">IF(D592&lt;=E592,1,0)</f>
        <v>1</v>
      </c>
      <c r="P592" s="23" t="n">
        <f aca="false">G592+H592</f>
        <v>120.79</v>
      </c>
      <c r="Q592" s="23" t="n">
        <f aca="false">G592*INDEX(Assumptions!$B$8:$B$16,MATCH(F592,Assumptions!$A$8:$A$16,0))</f>
        <v>74.8436</v>
      </c>
      <c r="R592" s="23" t="n">
        <f aca="false">H592*Assumptions!$B$3</f>
        <v>11.79</v>
      </c>
      <c r="S592" s="23" t="n">
        <f aca="false">G592-Q592-R592</f>
        <v>14.5064</v>
      </c>
      <c r="T592" s="21" t="str">
        <f aca="false">IF(M592&lt;=7,"0-7 days",IF(M592&lt;=14,"8-14 days",IF(M592&lt;=21,"15-21 days","22+ days")))</f>
        <v>0-7 days</v>
      </c>
    </row>
    <row r="593" customFormat="false" ht="15" hidden="false" customHeight="false" outlineLevel="0" collapsed="false">
      <c r="A593" s="21" t="s">
        <v>659</v>
      </c>
      <c r="B593" s="21" t="s">
        <v>19</v>
      </c>
      <c r="C593" s="22" t="n">
        <v>43040</v>
      </c>
      <c r="D593" s="22" t="n">
        <v>43043</v>
      </c>
      <c r="E593" s="22" t="n">
        <v>43054</v>
      </c>
      <c r="F593" s="21" t="s">
        <v>67</v>
      </c>
      <c r="G593" s="23" t="n">
        <v>85.13</v>
      </c>
      <c r="H593" s="23" t="n">
        <v>17.34</v>
      </c>
      <c r="I593" s="21" t="s">
        <v>45</v>
      </c>
      <c r="J593" s="21" t="n">
        <v>5</v>
      </c>
      <c r="K593" s="21" t="s">
        <v>46</v>
      </c>
      <c r="L593" s="24" t="n">
        <f aca="false">DATE(YEAR(C593),MONTH(C593),1)</f>
        <v>43040</v>
      </c>
      <c r="M593" s="21" t="n">
        <f aca="false">D593-C593</f>
        <v>3</v>
      </c>
      <c r="N593" s="21" t="n">
        <f aca="false">MAX(0,D593-E593)</f>
        <v>0</v>
      </c>
      <c r="O593" s="21" t="n">
        <f aca="false">IF(D593&lt;=E593,1,0)</f>
        <v>1</v>
      </c>
      <c r="P593" s="23" t="n">
        <f aca="false">G593+H593</f>
        <v>102.47</v>
      </c>
      <c r="Q593" s="23" t="n">
        <f aca="false">G593*INDEX(Assumptions!$B$8:$B$16,MATCH(F593,Assumptions!$A$8:$A$16,0))</f>
        <v>52.7806</v>
      </c>
      <c r="R593" s="23" t="n">
        <f aca="false">H593*Assumptions!$B$3</f>
        <v>10.404</v>
      </c>
      <c r="S593" s="23" t="n">
        <f aca="false">G593-Q593-R593</f>
        <v>21.9454</v>
      </c>
      <c r="T593" s="21" t="str">
        <f aca="false">IF(M593&lt;=7,"0-7 days",IF(M593&lt;=14,"8-14 days",IF(M593&lt;=21,"15-21 days","22+ days")))</f>
        <v>0-7 days</v>
      </c>
    </row>
    <row r="594" customFormat="false" ht="15" hidden="false" customHeight="false" outlineLevel="0" collapsed="false">
      <c r="A594" s="21" t="s">
        <v>660</v>
      </c>
      <c r="B594" s="21" t="s">
        <v>55</v>
      </c>
      <c r="C594" s="22" t="n">
        <v>43041</v>
      </c>
      <c r="D594" s="22" t="n">
        <v>43058</v>
      </c>
      <c r="E594" s="22" t="n">
        <v>43069</v>
      </c>
      <c r="F594" s="21" t="s">
        <v>49</v>
      </c>
      <c r="G594" s="23" t="n">
        <v>134.23</v>
      </c>
      <c r="H594" s="23" t="n">
        <v>23.72</v>
      </c>
      <c r="I594" s="21" t="s">
        <v>45</v>
      </c>
      <c r="J594" s="21" t="n">
        <v>5</v>
      </c>
      <c r="K594" s="21" t="s">
        <v>46</v>
      </c>
      <c r="L594" s="24" t="n">
        <f aca="false">DATE(YEAR(C594),MONTH(C594),1)</f>
        <v>43040</v>
      </c>
      <c r="M594" s="21" t="n">
        <f aca="false">D594-C594</f>
        <v>17</v>
      </c>
      <c r="N594" s="21" t="n">
        <f aca="false">MAX(0,D594-E594)</f>
        <v>0</v>
      </c>
      <c r="O594" s="21" t="n">
        <f aca="false">IF(D594&lt;=E594,1,0)</f>
        <v>1</v>
      </c>
      <c r="P594" s="23" t="n">
        <f aca="false">G594+H594</f>
        <v>157.95</v>
      </c>
      <c r="Q594" s="23" t="n">
        <f aca="false">G594*INDEX(Assumptions!$B$8:$B$16,MATCH(F594,Assumptions!$A$8:$A$16,0))</f>
        <v>77.8534</v>
      </c>
      <c r="R594" s="23" t="n">
        <f aca="false">H594*Assumptions!$B$3</f>
        <v>14.232</v>
      </c>
      <c r="S594" s="23" t="n">
        <f aca="false">G594-Q594-R594</f>
        <v>42.1446</v>
      </c>
      <c r="T594" s="21" t="str">
        <f aca="false">IF(M594&lt;=7,"0-7 days",IF(M594&lt;=14,"8-14 days",IF(M594&lt;=21,"15-21 days","22+ days")))</f>
        <v>15-21 days</v>
      </c>
    </row>
    <row r="595" customFormat="false" ht="15" hidden="false" customHeight="false" outlineLevel="0" collapsed="false">
      <c r="A595" s="21" t="s">
        <v>661</v>
      </c>
      <c r="B595" s="21" t="s">
        <v>103</v>
      </c>
      <c r="C595" s="22" t="n">
        <v>43041</v>
      </c>
      <c r="D595" s="22" t="n">
        <v>43054</v>
      </c>
      <c r="E595" s="22" t="n">
        <v>43062</v>
      </c>
      <c r="F595" s="21" t="s">
        <v>67</v>
      </c>
      <c r="G595" s="23" t="n">
        <v>104.23</v>
      </c>
      <c r="H595" s="23" t="n">
        <v>23.58</v>
      </c>
      <c r="I595" s="21" t="s">
        <v>60</v>
      </c>
      <c r="J595" s="21" t="n">
        <v>5</v>
      </c>
      <c r="K595" s="21" t="s">
        <v>46</v>
      </c>
      <c r="L595" s="24" t="n">
        <f aca="false">DATE(YEAR(C595),MONTH(C595),1)</f>
        <v>43040</v>
      </c>
      <c r="M595" s="21" t="n">
        <f aca="false">D595-C595</f>
        <v>13</v>
      </c>
      <c r="N595" s="21" t="n">
        <f aca="false">MAX(0,D595-E595)</f>
        <v>0</v>
      </c>
      <c r="O595" s="21" t="n">
        <f aca="false">IF(D595&lt;=E595,1,0)</f>
        <v>1</v>
      </c>
      <c r="P595" s="23" t="n">
        <f aca="false">G595+H595</f>
        <v>127.81</v>
      </c>
      <c r="Q595" s="23" t="n">
        <f aca="false">G595*INDEX(Assumptions!$B$8:$B$16,MATCH(F595,Assumptions!$A$8:$A$16,0))</f>
        <v>64.6226</v>
      </c>
      <c r="R595" s="23" t="n">
        <f aca="false">H595*Assumptions!$B$3</f>
        <v>14.148</v>
      </c>
      <c r="S595" s="23" t="n">
        <f aca="false">G595-Q595-R595</f>
        <v>25.4594</v>
      </c>
      <c r="T595" s="21" t="str">
        <f aca="false">IF(M595&lt;=7,"0-7 days",IF(M595&lt;=14,"8-14 days",IF(M595&lt;=21,"15-21 days","22+ days")))</f>
        <v>8-14 days</v>
      </c>
    </row>
    <row r="596" customFormat="false" ht="15" hidden="false" customHeight="false" outlineLevel="0" collapsed="false">
      <c r="A596" s="21" t="s">
        <v>662</v>
      </c>
      <c r="B596" s="21" t="s">
        <v>156</v>
      </c>
      <c r="C596" s="22" t="n">
        <v>43041</v>
      </c>
      <c r="D596" s="22" t="n">
        <v>43066</v>
      </c>
      <c r="E596" s="22" t="n">
        <v>43067</v>
      </c>
      <c r="F596" s="21" t="s">
        <v>44</v>
      </c>
      <c r="G596" s="23" t="n">
        <v>29.95</v>
      </c>
      <c r="H596" s="23" t="n">
        <v>28.35</v>
      </c>
      <c r="I596" s="21" t="s">
        <v>45</v>
      </c>
      <c r="J596" s="21" t="n">
        <v>3</v>
      </c>
      <c r="K596" s="21" t="s">
        <v>46</v>
      </c>
      <c r="L596" s="24" t="n">
        <f aca="false">DATE(YEAR(C596),MONTH(C596),1)</f>
        <v>43040</v>
      </c>
      <c r="M596" s="21" t="n">
        <f aca="false">D596-C596</f>
        <v>25</v>
      </c>
      <c r="N596" s="21" t="n">
        <f aca="false">MAX(0,D596-E596)</f>
        <v>0</v>
      </c>
      <c r="O596" s="21" t="n">
        <f aca="false">IF(D596&lt;=E596,1,0)</f>
        <v>1</v>
      </c>
      <c r="P596" s="23" t="n">
        <f aca="false">G596+H596</f>
        <v>58.3</v>
      </c>
      <c r="Q596" s="23" t="n">
        <f aca="false">G596*INDEX(Assumptions!$B$8:$B$16,MATCH(F596,Assumptions!$A$8:$A$16,0))</f>
        <v>17.97</v>
      </c>
      <c r="R596" s="23" t="n">
        <f aca="false">H596*Assumptions!$B$3</f>
        <v>17.01</v>
      </c>
      <c r="S596" s="23" t="n">
        <f aca="false">G596-Q596-R596</f>
        <v>-5.03</v>
      </c>
      <c r="T596" s="21" t="str">
        <f aca="false">IF(M596&lt;=7,"0-7 days",IF(M596&lt;=14,"8-14 days",IF(M596&lt;=21,"15-21 days","22+ days")))</f>
        <v>22+ days</v>
      </c>
    </row>
    <row r="597" customFormat="false" ht="15" hidden="false" customHeight="false" outlineLevel="0" collapsed="false">
      <c r="A597" s="21" t="s">
        <v>663</v>
      </c>
      <c r="B597" s="21" t="s">
        <v>19</v>
      </c>
      <c r="C597" s="22" t="n">
        <v>43042</v>
      </c>
      <c r="D597" s="22" t="n">
        <v>43049</v>
      </c>
      <c r="E597" s="22" t="n">
        <v>43058</v>
      </c>
      <c r="F597" s="21" t="s">
        <v>79</v>
      </c>
      <c r="G597" s="23" t="n">
        <v>108.55</v>
      </c>
      <c r="H597" s="23" t="n">
        <v>12.95</v>
      </c>
      <c r="I597" s="21" t="s">
        <v>45</v>
      </c>
      <c r="J597" s="21" t="n">
        <v>5</v>
      </c>
      <c r="K597" s="21" t="s">
        <v>46</v>
      </c>
      <c r="L597" s="24" t="n">
        <f aca="false">DATE(YEAR(C597),MONTH(C597),1)</f>
        <v>43040</v>
      </c>
      <c r="M597" s="21" t="n">
        <f aca="false">D597-C597</f>
        <v>7</v>
      </c>
      <c r="N597" s="21" t="n">
        <f aca="false">MAX(0,D597-E597)</f>
        <v>0</v>
      </c>
      <c r="O597" s="21" t="n">
        <f aca="false">IF(D597&lt;=E597,1,0)</f>
        <v>1</v>
      </c>
      <c r="P597" s="23" t="n">
        <f aca="false">G597+H597</f>
        <v>121.5</v>
      </c>
      <c r="Q597" s="23" t="n">
        <f aca="false">G597*INDEX(Assumptions!$B$8:$B$16,MATCH(F597,Assumptions!$A$8:$A$16,0))</f>
        <v>75.985</v>
      </c>
      <c r="R597" s="23" t="n">
        <f aca="false">H597*Assumptions!$B$3</f>
        <v>7.77</v>
      </c>
      <c r="S597" s="23" t="n">
        <f aca="false">G597-Q597-R597</f>
        <v>24.795</v>
      </c>
      <c r="T597" s="21" t="str">
        <f aca="false">IF(M597&lt;=7,"0-7 days",IF(M597&lt;=14,"8-14 days",IF(M597&lt;=21,"15-21 days","22+ days")))</f>
        <v>0-7 days</v>
      </c>
    </row>
    <row r="598" customFormat="false" ht="15" hidden="false" customHeight="false" outlineLevel="0" collapsed="false">
      <c r="A598" s="21" t="s">
        <v>664</v>
      </c>
      <c r="B598" s="21" t="s">
        <v>19</v>
      </c>
      <c r="C598" s="22" t="n">
        <v>43042</v>
      </c>
      <c r="D598" s="22" t="n">
        <v>43046</v>
      </c>
      <c r="E598" s="22" t="n">
        <v>43058</v>
      </c>
      <c r="F598" s="21" t="s">
        <v>44</v>
      </c>
      <c r="G598" s="23" t="n">
        <v>99.38</v>
      </c>
      <c r="H598" s="23" t="n">
        <v>17.68</v>
      </c>
      <c r="I598" s="21" t="s">
        <v>45</v>
      </c>
      <c r="J598" s="21" t="n">
        <v>5</v>
      </c>
      <c r="K598" s="21" t="s">
        <v>46</v>
      </c>
      <c r="L598" s="24" t="n">
        <f aca="false">DATE(YEAR(C598),MONTH(C598),1)</f>
        <v>43040</v>
      </c>
      <c r="M598" s="21" t="n">
        <f aca="false">D598-C598</f>
        <v>4</v>
      </c>
      <c r="N598" s="21" t="n">
        <f aca="false">MAX(0,D598-E598)</f>
        <v>0</v>
      </c>
      <c r="O598" s="21" t="n">
        <f aca="false">IF(D598&lt;=E598,1,0)</f>
        <v>1</v>
      </c>
      <c r="P598" s="23" t="n">
        <f aca="false">G598+H598</f>
        <v>117.06</v>
      </c>
      <c r="Q598" s="23" t="n">
        <f aca="false">G598*INDEX(Assumptions!$B$8:$B$16,MATCH(F598,Assumptions!$A$8:$A$16,0))</f>
        <v>59.628</v>
      </c>
      <c r="R598" s="23" t="n">
        <f aca="false">H598*Assumptions!$B$3</f>
        <v>10.608</v>
      </c>
      <c r="S598" s="23" t="n">
        <f aca="false">G598-Q598-R598</f>
        <v>29.144</v>
      </c>
      <c r="T598" s="21" t="str">
        <f aca="false">IF(M598&lt;=7,"0-7 days",IF(M598&lt;=14,"8-14 days",IF(M598&lt;=21,"15-21 days","22+ days")))</f>
        <v>0-7 days</v>
      </c>
    </row>
    <row r="599" customFormat="false" ht="15" hidden="false" customHeight="false" outlineLevel="0" collapsed="false">
      <c r="A599" s="21" t="s">
        <v>665</v>
      </c>
      <c r="B599" s="21" t="s">
        <v>19</v>
      </c>
      <c r="C599" s="22" t="n">
        <v>43042</v>
      </c>
      <c r="D599" s="22" t="n">
        <v>43047</v>
      </c>
      <c r="E599" s="22" t="n">
        <v>43061</v>
      </c>
      <c r="F599" s="21" t="s">
        <v>111</v>
      </c>
      <c r="G599" s="23" t="n">
        <v>102.09</v>
      </c>
      <c r="H599" s="23" t="n">
        <v>16.52</v>
      </c>
      <c r="I599" s="21" t="s">
        <v>45</v>
      </c>
      <c r="J599" s="21" t="n">
        <v>4</v>
      </c>
      <c r="K599" s="21" t="s">
        <v>46</v>
      </c>
      <c r="L599" s="24" t="n">
        <f aca="false">DATE(YEAR(C599),MONTH(C599),1)</f>
        <v>43040</v>
      </c>
      <c r="M599" s="21" t="n">
        <f aca="false">D599-C599</f>
        <v>5</v>
      </c>
      <c r="N599" s="21" t="n">
        <f aca="false">MAX(0,D599-E599)</f>
        <v>0</v>
      </c>
      <c r="O599" s="21" t="n">
        <f aca="false">IF(D599&lt;=E599,1,0)</f>
        <v>1</v>
      </c>
      <c r="P599" s="23" t="n">
        <f aca="false">G599+H599</f>
        <v>118.61</v>
      </c>
      <c r="Q599" s="23" t="n">
        <f aca="false">G599*INDEX(Assumptions!$B$8:$B$16,MATCH(F599,Assumptions!$A$8:$A$16,0))</f>
        <v>64.3167</v>
      </c>
      <c r="R599" s="23" t="n">
        <f aca="false">H599*Assumptions!$B$3</f>
        <v>9.912</v>
      </c>
      <c r="S599" s="23" t="n">
        <f aca="false">G599-Q599-R599</f>
        <v>27.8613</v>
      </c>
      <c r="T599" s="21" t="str">
        <f aca="false">IF(M599&lt;=7,"0-7 days",IF(M599&lt;=14,"8-14 days",IF(M599&lt;=21,"15-21 days","22+ days")))</f>
        <v>0-7 days</v>
      </c>
    </row>
    <row r="600" customFormat="false" ht="15" hidden="false" customHeight="false" outlineLevel="0" collapsed="false">
      <c r="A600" s="21" t="s">
        <v>666</v>
      </c>
      <c r="B600" s="21" t="s">
        <v>19</v>
      </c>
      <c r="C600" s="22" t="n">
        <v>43042</v>
      </c>
      <c r="D600" s="22" t="n">
        <v>43055</v>
      </c>
      <c r="E600" s="22" t="n">
        <v>43061</v>
      </c>
      <c r="F600" s="21" t="s">
        <v>79</v>
      </c>
      <c r="G600" s="23" t="n">
        <v>102.38</v>
      </c>
      <c r="H600" s="23" t="n">
        <v>20.92</v>
      </c>
      <c r="I600" s="21" t="s">
        <v>60</v>
      </c>
      <c r="J600" s="21" t="n">
        <v>5</v>
      </c>
      <c r="K600" s="21" t="s">
        <v>46</v>
      </c>
      <c r="L600" s="24" t="n">
        <f aca="false">DATE(YEAR(C600),MONTH(C600),1)</f>
        <v>43040</v>
      </c>
      <c r="M600" s="21" t="n">
        <f aca="false">D600-C600</f>
        <v>13</v>
      </c>
      <c r="N600" s="21" t="n">
        <f aca="false">MAX(0,D600-E600)</f>
        <v>0</v>
      </c>
      <c r="O600" s="21" t="n">
        <f aca="false">IF(D600&lt;=E600,1,0)</f>
        <v>1</v>
      </c>
      <c r="P600" s="23" t="n">
        <f aca="false">G600+H600</f>
        <v>123.3</v>
      </c>
      <c r="Q600" s="23" t="n">
        <f aca="false">G600*INDEX(Assumptions!$B$8:$B$16,MATCH(F600,Assumptions!$A$8:$A$16,0))</f>
        <v>71.666</v>
      </c>
      <c r="R600" s="23" t="n">
        <f aca="false">H600*Assumptions!$B$3</f>
        <v>12.552</v>
      </c>
      <c r="S600" s="23" t="n">
        <f aca="false">G600-Q600-R600</f>
        <v>18.162</v>
      </c>
      <c r="T600" s="21" t="str">
        <f aca="false">IF(M600&lt;=7,"0-7 days",IF(M600&lt;=14,"8-14 days",IF(M600&lt;=21,"15-21 days","22+ days")))</f>
        <v>8-14 days</v>
      </c>
    </row>
    <row r="601" customFormat="false" ht="15" hidden="false" customHeight="false" outlineLevel="0" collapsed="false">
      <c r="A601" s="21" t="s">
        <v>667</v>
      </c>
      <c r="B601" s="21" t="s">
        <v>52</v>
      </c>
      <c r="C601" s="22" t="n">
        <v>43042</v>
      </c>
      <c r="D601" s="22" t="n">
        <v>43052</v>
      </c>
      <c r="E601" s="22" t="n">
        <v>43065</v>
      </c>
      <c r="F601" s="21" t="s">
        <v>53</v>
      </c>
      <c r="G601" s="23" t="n">
        <v>109.57</v>
      </c>
      <c r="H601" s="23" t="n">
        <v>30.26</v>
      </c>
      <c r="I601" s="21" t="s">
        <v>50</v>
      </c>
      <c r="J601" s="21" t="n">
        <v>5</v>
      </c>
      <c r="K601" s="21" t="s">
        <v>46</v>
      </c>
      <c r="L601" s="24" t="n">
        <f aca="false">DATE(YEAR(C601),MONTH(C601),1)</f>
        <v>43040</v>
      </c>
      <c r="M601" s="21" t="n">
        <f aca="false">D601-C601</f>
        <v>10</v>
      </c>
      <c r="N601" s="21" t="n">
        <f aca="false">MAX(0,D601-E601)</f>
        <v>0</v>
      </c>
      <c r="O601" s="21" t="n">
        <f aca="false">IF(D601&lt;=E601,1,0)</f>
        <v>1</v>
      </c>
      <c r="P601" s="23" t="n">
        <f aca="false">G601+H601</f>
        <v>139.83</v>
      </c>
      <c r="Q601" s="23" t="n">
        <f aca="false">G601*INDEX(Assumptions!$B$8:$B$16,MATCH(F601,Assumptions!$A$8:$A$16,0))</f>
        <v>81.0818</v>
      </c>
      <c r="R601" s="23" t="n">
        <f aca="false">H601*Assumptions!$B$3</f>
        <v>18.156</v>
      </c>
      <c r="S601" s="23" t="n">
        <f aca="false">G601-Q601-R601</f>
        <v>10.3322</v>
      </c>
      <c r="T601" s="21" t="str">
        <f aca="false">IF(M601&lt;=7,"0-7 days",IF(M601&lt;=14,"8-14 days",IF(M601&lt;=21,"15-21 days","22+ days")))</f>
        <v>8-14 days</v>
      </c>
    </row>
    <row r="602" customFormat="false" ht="15" hidden="false" customHeight="false" outlineLevel="0" collapsed="false">
      <c r="A602" s="21" t="s">
        <v>668</v>
      </c>
      <c r="B602" s="21" t="s">
        <v>156</v>
      </c>
      <c r="C602" s="22" t="n">
        <v>43042</v>
      </c>
      <c r="D602" s="22" t="n">
        <v>43058</v>
      </c>
      <c r="E602" s="22" t="n">
        <v>43068</v>
      </c>
      <c r="F602" s="21" t="s">
        <v>111</v>
      </c>
      <c r="G602" s="23" t="n">
        <v>106.87</v>
      </c>
      <c r="H602" s="23" t="n">
        <v>19.25</v>
      </c>
      <c r="I602" s="21" t="s">
        <v>60</v>
      </c>
      <c r="J602" s="21" t="n">
        <v>5</v>
      </c>
      <c r="K602" s="21" t="s">
        <v>46</v>
      </c>
      <c r="L602" s="24" t="n">
        <f aca="false">DATE(YEAR(C602),MONTH(C602),1)</f>
        <v>43040</v>
      </c>
      <c r="M602" s="21" t="n">
        <f aca="false">D602-C602</f>
        <v>16</v>
      </c>
      <c r="N602" s="21" t="n">
        <f aca="false">MAX(0,D602-E602)</f>
        <v>0</v>
      </c>
      <c r="O602" s="21" t="n">
        <f aca="false">IF(D602&lt;=E602,1,0)</f>
        <v>1</v>
      </c>
      <c r="P602" s="23" t="n">
        <f aca="false">G602+H602</f>
        <v>126.12</v>
      </c>
      <c r="Q602" s="23" t="n">
        <f aca="false">G602*INDEX(Assumptions!$B$8:$B$16,MATCH(F602,Assumptions!$A$8:$A$16,0))</f>
        <v>67.3281</v>
      </c>
      <c r="R602" s="23" t="n">
        <f aca="false">H602*Assumptions!$B$3</f>
        <v>11.55</v>
      </c>
      <c r="S602" s="23" t="n">
        <f aca="false">G602-Q602-R602</f>
        <v>27.9919</v>
      </c>
      <c r="T602" s="21" t="str">
        <f aca="false">IF(M602&lt;=7,"0-7 days",IF(M602&lt;=14,"8-14 days",IF(M602&lt;=21,"15-21 days","22+ days")))</f>
        <v>15-21 days</v>
      </c>
    </row>
    <row r="603" customFormat="false" ht="15" hidden="false" customHeight="false" outlineLevel="0" collapsed="false">
      <c r="A603" s="21" t="s">
        <v>669</v>
      </c>
      <c r="B603" s="21" t="s">
        <v>19</v>
      </c>
      <c r="C603" s="22" t="n">
        <v>43042</v>
      </c>
      <c r="D603" s="22" t="n">
        <v>43055</v>
      </c>
      <c r="E603" s="22" t="n">
        <v>43055</v>
      </c>
      <c r="F603" s="21" t="s">
        <v>49</v>
      </c>
      <c r="G603" s="23" t="n">
        <v>87.88</v>
      </c>
      <c r="H603" s="23" t="n">
        <v>17.85</v>
      </c>
      <c r="I603" s="21" t="s">
        <v>45</v>
      </c>
      <c r="J603" s="21" t="n">
        <v>5</v>
      </c>
      <c r="K603" s="21" t="s">
        <v>46</v>
      </c>
      <c r="L603" s="24" t="n">
        <f aca="false">DATE(YEAR(C603),MONTH(C603),1)</f>
        <v>43040</v>
      </c>
      <c r="M603" s="21" t="n">
        <f aca="false">D603-C603</f>
        <v>13</v>
      </c>
      <c r="N603" s="21" t="n">
        <f aca="false">MAX(0,D603-E603)</f>
        <v>0</v>
      </c>
      <c r="O603" s="21" t="n">
        <f aca="false">IF(D603&lt;=E603,1,0)</f>
        <v>1</v>
      </c>
      <c r="P603" s="23" t="n">
        <f aca="false">G603+H603</f>
        <v>105.73</v>
      </c>
      <c r="Q603" s="23" t="n">
        <f aca="false">G603*INDEX(Assumptions!$B$8:$B$16,MATCH(F603,Assumptions!$A$8:$A$16,0))</f>
        <v>50.9704</v>
      </c>
      <c r="R603" s="23" t="n">
        <f aca="false">H603*Assumptions!$B$3</f>
        <v>10.71</v>
      </c>
      <c r="S603" s="23" t="n">
        <f aca="false">G603-Q603-R603</f>
        <v>26.1996</v>
      </c>
      <c r="T603" s="21" t="str">
        <f aca="false">IF(M603&lt;=7,"0-7 days",IF(M603&lt;=14,"8-14 days",IF(M603&lt;=21,"15-21 days","22+ days")))</f>
        <v>8-14 days</v>
      </c>
    </row>
    <row r="604" customFormat="false" ht="15" hidden="false" customHeight="false" outlineLevel="0" collapsed="false">
      <c r="A604" s="21" t="s">
        <v>670</v>
      </c>
      <c r="B604" s="21" t="s">
        <v>62</v>
      </c>
      <c r="C604" s="22" t="n">
        <v>43042</v>
      </c>
      <c r="D604" s="22" t="n">
        <v>43056</v>
      </c>
      <c r="E604" s="22" t="n">
        <v>43065</v>
      </c>
      <c r="F604" s="21" t="s">
        <v>59</v>
      </c>
      <c r="G604" s="23" t="n">
        <v>44.46</v>
      </c>
      <c r="H604" s="23" t="n">
        <v>18.94</v>
      </c>
      <c r="I604" s="21" t="s">
        <v>50</v>
      </c>
      <c r="J604" s="21" t="n">
        <v>5</v>
      </c>
      <c r="K604" s="21" t="s">
        <v>46</v>
      </c>
      <c r="L604" s="24" t="n">
        <f aca="false">DATE(YEAR(C604),MONTH(C604),1)</f>
        <v>43040</v>
      </c>
      <c r="M604" s="21" t="n">
        <f aca="false">D604-C604</f>
        <v>14</v>
      </c>
      <c r="N604" s="21" t="n">
        <f aca="false">MAX(0,D604-E604)</f>
        <v>0</v>
      </c>
      <c r="O604" s="21" t="n">
        <f aca="false">IF(D604&lt;=E604,1,0)</f>
        <v>1</v>
      </c>
      <c r="P604" s="23" t="n">
        <f aca="false">G604+H604</f>
        <v>63.4</v>
      </c>
      <c r="Q604" s="23" t="n">
        <f aca="false">G604*INDEX(Assumptions!$B$8:$B$16,MATCH(F604,Assumptions!$A$8:$A$16,0))</f>
        <v>28.4544</v>
      </c>
      <c r="R604" s="23" t="n">
        <f aca="false">H604*Assumptions!$B$3</f>
        <v>11.364</v>
      </c>
      <c r="S604" s="23" t="n">
        <f aca="false">G604-Q604-R604</f>
        <v>4.6416</v>
      </c>
      <c r="T604" s="21" t="str">
        <f aca="false">IF(M604&lt;=7,"0-7 days",IF(M604&lt;=14,"8-14 days",IF(M604&lt;=21,"15-21 days","22+ days")))</f>
        <v>8-14 days</v>
      </c>
    </row>
    <row r="605" customFormat="false" ht="15" hidden="false" customHeight="false" outlineLevel="0" collapsed="false">
      <c r="A605" s="21" t="s">
        <v>671</v>
      </c>
      <c r="B605" s="21" t="s">
        <v>52</v>
      </c>
      <c r="C605" s="22" t="n">
        <v>43043</v>
      </c>
      <c r="D605" s="22" t="n">
        <v>43055</v>
      </c>
      <c r="E605" s="22" t="n">
        <v>43066</v>
      </c>
      <c r="F605" s="21" t="s">
        <v>57</v>
      </c>
      <c r="G605" s="23" t="n">
        <v>71.16</v>
      </c>
      <c r="H605" s="23" t="n">
        <v>17.28</v>
      </c>
      <c r="I605" s="21" t="s">
        <v>45</v>
      </c>
      <c r="J605" s="21" t="n">
        <v>5</v>
      </c>
      <c r="K605" s="21" t="s">
        <v>46</v>
      </c>
      <c r="L605" s="24" t="n">
        <f aca="false">DATE(YEAR(C605),MONTH(C605),1)</f>
        <v>43040</v>
      </c>
      <c r="M605" s="21" t="n">
        <f aca="false">D605-C605</f>
        <v>12</v>
      </c>
      <c r="N605" s="21" t="n">
        <f aca="false">MAX(0,D605-E605)</f>
        <v>0</v>
      </c>
      <c r="O605" s="21" t="n">
        <f aca="false">IF(D605&lt;=E605,1,0)</f>
        <v>1</v>
      </c>
      <c r="P605" s="23" t="n">
        <f aca="false">G605+H605</f>
        <v>88.44</v>
      </c>
      <c r="Q605" s="23" t="n">
        <f aca="false">G605*INDEX(Assumptions!$B$8:$B$16,MATCH(F605,Assumptions!$A$8:$A$16,0))</f>
        <v>48.3888</v>
      </c>
      <c r="R605" s="23" t="n">
        <f aca="false">H605*Assumptions!$B$3</f>
        <v>10.368</v>
      </c>
      <c r="S605" s="23" t="n">
        <f aca="false">G605-Q605-R605</f>
        <v>12.4032</v>
      </c>
      <c r="T605" s="21" t="str">
        <f aca="false">IF(M605&lt;=7,"0-7 days",IF(M605&lt;=14,"8-14 days",IF(M605&lt;=21,"15-21 days","22+ days")))</f>
        <v>8-14 days</v>
      </c>
    </row>
    <row r="606" customFormat="false" ht="15" hidden="false" customHeight="false" outlineLevel="0" collapsed="false">
      <c r="A606" s="21" t="s">
        <v>672</v>
      </c>
      <c r="B606" s="21" t="s">
        <v>19</v>
      </c>
      <c r="C606" s="22" t="n">
        <v>43043</v>
      </c>
      <c r="D606" s="22" t="n">
        <v>43053</v>
      </c>
      <c r="E606" s="22" t="n">
        <v>43060</v>
      </c>
      <c r="F606" s="21" t="s">
        <v>67</v>
      </c>
      <c r="G606" s="23" t="n">
        <v>78.4</v>
      </c>
      <c r="H606" s="23" t="n">
        <v>15.87</v>
      </c>
      <c r="I606" s="21" t="s">
        <v>60</v>
      </c>
      <c r="J606" s="21" t="n">
        <v>4</v>
      </c>
      <c r="K606" s="21" t="s">
        <v>46</v>
      </c>
      <c r="L606" s="24" t="n">
        <f aca="false">DATE(YEAR(C606),MONTH(C606),1)</f>
        <v>43040</v>
      </c>
      <c r="M606" s="21" t="n">
        <f aca="false">D606-C606</f>
        <v>10</v>
      </c>
      <c r="N606" s="21" t="n">
        <f aca="false">MAX(0,D606-E606)</f>
        <v>0</v>
      </c>
      <c r="O606" s="21" t="n">
        <f aca="false">IF(D606&lt;=E606,1,0)</f>
        <v>1</v>
      </c>
      <c r="P606" s="23" t="n">
        <f aca="false">G606+H606</f>
        <v>94.27</v>
      </c>
      <c r="Q606" s="23" t="n">
        <f aca="false">G606*INDEX(Assumptions!$B$8:$B$16,MATCH(F606,Assumptions!$A$8:$A$16,0))</f>
        <v>48.608</v>
      </c>
      <c r="R606" s="23" t="n">
        <f aca="false">H606*Assumptions!$B$3</f>
        <v>9.522</v>
      </c>
      <c r="S606" s="23" t="n">
        <f aca="false">G606-Q606-R606</f>
        <v>20.27</v>
      </c>
      <c r="T606" s="21" t="str">
        <f aca="false">IF(M606&lt;=7,"0-7 days",IF(M606&lt;=14,"8-14 days",IF(M606&lt;=21,"15-21 days","22+ days")))</f>
        <v>8-14 days</v>
      </c>
    </row>
    <row r="607" customFormat="false" ht="15" hidden="false" customHeight="false" outlineLevel="0" collapsed="false">
      <c r="A607" s="21" t="s">
        <v>673</v>
      </c>
      <c r="B607" s="21" t="s">
        <v>77</v>
      </c>
      <c r="C607" s="22" t="n">
        <v>43043</v>
      </c>
      <c r="D607" s="22" t="n">
        <v>43054</v>
      </c>
      <c r="E607" s="22" t="n">
        <v>43065</v>
      </c>
      <c r="F607" s="21" t="s">
        <v>49</v>
      </c>
      <c r="G607" s="23" t="n">
        <v>91.61</v>
      </c>
      <c r="H607" s="23" t="n">
        <v>26.76</v>
      </c>
      <c r="I607" s="21" t="s">
        <v>45</v>
      </c>
      <c r="J607" s="21" t="n">
        <v>4</v>
      </c>
      <c r="K607" s="21" t="s">
        <v>46</v>
      </c>
      <c r="L607" s="24" t="n">
        <f aca="false">DATE(YEAR(C607),MONTH(C607),1)</f>
        <v>43040</v>
      </c>
      <c r="M607" s="21" t="n">
        <f aca="false">D607-C607</f>
        <v>11</v>
      </c>
      <c r="N607" s="21" t="n">
        <f aca="false">MAX(0,D607-E607)</f>
        <v>0</v>
      </c>
      <c r="O607" s="21" t="n">
        <f aca="false">IF(D607&lt;=E607,1,0)</f>
        <v>1</v>
      </c>
      <c r="P607" s="23" t="n">
        <f aca="false">G607+H607</f>
        <v>118.37</v>
      </c>
      <c r="Q607" s="23" t="n">
        <f aca="false">G607*INDEX(Assumptions!$B$8:$B$16,MATCH(F607,Assumptions!$A$8:$A$16,0))</f>
        <v>53.1338</v>
      </c>
      <c r="R607" s="23" t="n">
        <f aca="false">H607*Assumptions!$B$3</f>
        <v>16.056</v>
      </c>
      <c r="S607" s="23" t="n">
        <f aca="false">G607-Q607-R607</f>
        <v>22.4202</v>
      </c>
      <c r="T607" s="21" t="str">
        <f aca="false">IF(M607&lt;=7,"0-7 days",IF(M607&lt;=14,"8-14 days",IF(M607&lt;=21,"15-21 days","22+ days")))</f>
        <v>8-14 days</v>
      </c>
    </row>
    <row r="608" customFormat="false" ht="15" hidden="false" customHeight="false" outlineLevel="0" collapsed="false">
      <c r="A608" s="21" t="s">
        <v>674</v>
      </c>
      <c r="B608" s="21" t="s">
        <v>55</v>
      </c>
      <c r="C608" s="22" t="n">
        <v>43043</v>
      </c>
      <c r="D608" s="22" t="n">
        <v>43061</v>
      </c>
      <c r="E608" s="22" t="n">
        <v>43065</v>
      </c>
      <c r="F608" s="21" t="s">
        <v>49</v>
      </c>
      <c r="G608" s="23" t="n">
        <v>143.34</v>
      </c>
      <c r="H608" s="23" t="n">
        <v>19.68</v>
      </c>
      <c r="I608" s="21" t="s">
        <v>45</v>
      </c>
      <c r="J608" s="21" t="n">
        <v>4</v>
      </c>
      <c r="K608" s="21" t="s">
        <v>46</v>
      </c>
      <c r="L608" s="24" t="n">
        <f aca="false">DATE(YEAR(C608),MONTH(C608),1)</f>
        <v>43040</v>
      </c>
      <c r="M608" s="21" t="n">
        <f aca="false">D608-C608</f>
        <v>18</v>
      </c>
      <c r="N608" s="21" t="n">
        <f aca="false">MAX(0,D608-E608)</f>
        <v>0</v>
      </c>
      <c r="O608" s="21" t="n">
        <f aca="false">IF(D608&lt;=E608,1,0)</f>
        <v>1</v>
      </c>
      <c r="P608" s="23" t="n">
        <f aca="false">G608+H608</f>
        <v>163.02</v>
      </c>
      <c r="Q608" s="23" t="n">
        <f aca="false">G608*INDEX(Assumptions!$B$8:$B$16,MATCH(F608,Assumptions!$A$8:$A$16,0))</f>
        <v>83.1372</v>
      </c>
      <c r="R608" s="23" t="n">
        <f aca="false">H608*Assumptions!$B$3</f>
        <v>11.808</v>
      </c>
      <c r="S608" s="23" t="n">
        <f aca="false">G608-Q608-R608</f>
        <v>48.3948</v>
      </c>
      <c r="T608" s="21" t="str">
        <f aca="false">IF(M608&lt;=7,"0-7 days",IF(M608&lt;=14,"8-14 days",IF(M608&lt;=21,"15-21 days","22+ days")))</f>
        <v>15-21 days</v>
      </c>
    </row>
    <row r="609" customFormat="false" ht="15" hidden="false" customHeight="false" outlineLevel="0" collapsed="false">
      <c r="A609" s="21" t="s">
        <v>675</v>
      </c>
      <c r="B609" s="21" t="s">
        <v>55</v>
      </c>
      <c r="C609" s="22" t="n">
        <v>43043</v>
      </c>
      <c r="D609" s="22" t="n">
        <v>43065</v>
      </c>
      <c r="E609" s="22" t="n">
        <v>43068</v>
      </c>
      <c r="F609" s="21" t="s">
        <v>49</v>
      </c>
      <c r="G609" s="23" t="n">
        <v>131.53</v>
      </c>
      <c r="H609" s="23" t="n">
        <v>26.93</v>
      </c>
      <c r="I609" s="21" t="s">
        <v>45</v>
      </c>
      <c r="J609" s="21" t="n">
        <v>5</v>
      </c>
      <c r="K609" s="21" t="s">
        <v>46</v>
      </c>
      <c r="L609" s="24" t="n">
        <f aca="false">DATE(YEAR(C609),MONTH(C609),1)</f>
        <v>43040</v>
      </c>
      <c r="M609" s="21" t="n">
        <f aca="false">D609-C609</f>
        <v>22</v>
      </c>
      <c r="N609" s="21" t="n">
        <f aca="false">MAX(0,D609-E609)</f>
        <v>0</v>
      </c>
      <c r="O609" s="21" t="n">
        <f aca="false">IF(D609&lt;=E609,1,0)</f>
        <v>1</v>
      </c>
      <c r="P609" s="23" t="n">
        <f aca="false">G609+H609</f>
        <v>158.46</v>
      </c>
      <c r="Q609" s="23" t="n">
        <f aca="false">G609*INDEX(Assumptions!$B$8:$B$16,MATCH(F609,Assumptions!$A$8:$A$16,0))</f>
        <v>76.2874</v>
      </c>
      <c r="R609" s="23" t="n">
        <f aca="false">H609*Assumptions!$B$3</f>
        <v>16.158</v>
      </c>
      <c r="S609" s="23" t="n">
        <f aca="false">G609-Q609-R609</f>
        <v>39.0846</v>
      </c>
      <c r="T609" s="21" t="str">
        <f aca="false">IF(M609&lt;=7,"0-7 days",IF(M609&lt;=14,"8-14 days",IF(M609&lt;=21,"15-21 days","22+ days")))</f>
        <v>22+ days</v>
      </c>
    </row>
    <row r="610" customFormat="false" ht="15" hidden="false" customHeight="false" outlineLevel="0" collapsed="false">
      <c r="A610" s="21" t="s">
        <v>676</v>
      </c>
      <c r="B610" s="21" t="s">
        <v>19</v>
      </c>
      <c r="C610" s="22" t="n">
        <v>43043</v>
      </c>
      <c r="D610" s="22" t="n">
        <v>43059</v>
      </c>
      <c r="E610" s="22" t="n">
        <v>43055</v>
      </c>
      <c r="F610" s="21" t="s">
        <v>79</v>
      </c>
      <c r="G610" s="23" t="n">
        <v>220.42</v>
      </c>
      <c r="H610" s="23" t="n">
        <v>20.02</v>
      </c>
      <c r="I610" s="21" t="s">
        <v>60</v>
      </c>
      <c r="J610" s="21" t="n">
        <v>3</v>
      </c>
      <c r="K610" s="21" t="s">
        <v>46</v>
      </c>
      <c r="L610" s="24" t="n">
        <f aca="false">DATE(YEAR(C610),MONTH(C610),1)</f>
        <v>43040</v>
      </c>
      <c r="M610" s="21" t="n">
        <f aca="false">D610-C610</f>
        <v>16</v>
      </c>
      <c r="N610" s="21" t="n">
        <f aca="false">MAX(0,D610-E610)</f>
        <v>4</v>
      </c>
      <c r="O610" s="21" t="n">
        <f aca="false">IF(D610&lt;=E610,1,0)</f>
        <v>0</v>
      </c>
      <c r="P610" s="23" t="n">
        <f aca="false">G610+H610</f>
        <v>240.44</v>
      </c>
      <c r="Q610" s="23" t="n">
        <f aca="false">G610*INDEX(Assumptions!$B$8:$B$16,MATCH(F610,Assumptions!$A$8:$A$16,0))</f>
        <v>154.294</v>
      </c>
      <c r="R610" s="23" t="n">
        <f aca="false">H610*Assumptions!$B$3</f>
        <v>12.012</v>
      </c>
      <c r="S610" s="23" t="n">
        <f aca="false">G610-Q610-R610</f>
        <v>54.114</v>
      </c>
      <c r="T610" s="21" t="str">
        <f aca="false">IF(M610&lt;=7,"0-7 days",IF(M610&lt;=14,"8-14 days",IF(M610&lt;=21,"15-21 days","22+ days")))</f>
        <v>15-21 days</v>
      </c>
    </row>
    <row r="611" customFormat="false" ht="15" hidden="false" customHeight="false" outlineLevel="0" collapsed="false">
      <c r="A611" s="21" t="s">
        <v>677</v>
      </c>
      <c r="B611" s="21" t="s">
        <v>19</v>
      </c>
      <c r="C611" s="22" t="n">
        <v>43044</v>
      </c>
      <c r="D611" s="22" t="n">
        <v>43048</v>
      </c>
      <c r="E611" s="22" t="n">
        <v>43057</v>
      </c>
      <c r="F611" s="21" t="s">
        <v>49</v>
      </c>
      <c r="G611" s="23" t="n">
        <v>90.9</v>
      </c>
      <c r="H611" s="23" t="n">
        <v>21.07</v>
      </c>
      <c r="I611" s="21" t="s">
        <v>60</v>
      </c>
      <c r="J611" s="21" t="n">
        <v>5</v>
      </c>
      <c r="K611" s="21" t="s">
        <v>46</v>
      </c>
      <c r="L611" s="24" t="n">
        <f aca="false">DATE(YEAR(C611),MONTH(C611),1)</f>
        <v>43040</v>
      </c>
      <c r="M611" s="21" t="n">
        <f aca="false">D611-C611</f>
        <v>4</v>
      </c>
      <c r="N611" s="21" t="n">
        <f aca="false">MAX(0,D611-E611)</f>
        <v>0</v>
      </c>
      <c r="O611" s="21" t="n">
        <f aca="false">IF(D611&lt;=E611,1,0)</f>
        <v>1</v>
      </c>
      <c r="P611" s="23" t="n">
        <f aca="false">G611+H611</f>
        <v>111.97</v>
      </c>
      <c r="Q611" s="23" t="n">
        <f aca="false">G611*INDEX(Assumptions!$B$8:$B$16,MATCH(F611,Assumptions!$A$8:$A$16,0))</f>
        <v>52.722</v>
      </c>
      <c r="R611" s="23" t="n">
        <f aca="false">H611*Assumptions!$B$3</f>
        <v>12.642</v>
      </c>
      <c r="S611" s="23" t="n">
        <f aca="false">G611-Q611-R611</f>
        <v>25.536</v>
      </c>
      <c r="T611" s="21" t="str">
        <f aca="false">IF(M611&lt;=7,"0-7 days",IF(M611&lt;=14,"8-14 days",IF(M611&lt;=21,"15-21 days","22+ days")))</f>
        <v>0-7 days</v>
      </c>
    </row>
    <row r="612" customFormat="false" ht="15" hidden="false" customHeight="false" outlineLevel="0" collapsed="false">
      <c r="A612" s="21" t="s">
        <v>678</v>
      </c>
      <c r="B612" s="21" t="s">
        <v>19</v>
      </c>
      <c r="C612" s="22" t="n">
        <v>43044</v>
      </c>
      <c r="D612" s="22" t="n">
        <v>43050</v>
      </c>
      <c r="E612" s="22" t="n">
        <v>43059</v>
      </c>
      <c r="F612" s="21" t="s">
        <v>53</v>
      </c>
      <c r="G612" s="23" t="n">
        <v>82.36</v>
      </c>
      <c r="H612" s="23" t="n">
        <v>15.56</v>
      </c>
      <c r="I612" s="21" t="s">
        <v>60</v>
      </c>
      <c r="J612" s="21" t="n">
        <v>5</v>
      </c>
      <c r="K612" s="21" t="s">
        <v>46</v>
      </c>
      <c r="L612" s="24" t="n">
        <f aca="false">DATE(YEAR(C612),MONTH(C612),1)</f>
        <v>43040</v>
      </c>
      <c r="M612" s="21" t="n">
        <f aca="false">D612-C612</f>
        <v>6</v>
      </c>
      <c r="N612" s="21" t="n">
        <f aca="false">MAX(0,D612-E612)</f>
        <v>0</v>
      </c>
      <c r="O612" s="21" t="n">
        <f aca="false">IF(D612&lt;=E612,1,0)</f>
        <v>1</v>
      </c>
      <c r="P612" s="23" t="n">
        <f aca="false">G612+H612</f>
        <v>97.92</v>
      </c>
      <c r="Q612" s="23" t="n">
        <f aca="false">G612*INDEX(Assumptions!$B$8:$B$16,MATCH(F612,Assumptions!$A$8:$A$16,0))</f>
        <v>60.9464</v>
      </c>
      <c r="R612" s="23" t="n">
        <f aca="false">H612*Assumptions!$B$3</f>
        <v>9.336</v>
      </c>
      <c r="S612" s="23" t="n">
        <f aca="false">G612-Q612-R612</f>
        <v>12.0776</v>
      </c>
      <c r="T612" s="21" t="str">
        <f aca="false">IF(M612&lt;=7,"0-7 days",IF(M612&lt;=14,"8-14 days",IF(M612&lt;=21,"15-21 days","22+ days")))</f>
        <v>0-7 days</v>
      </c>
    </row>
    <row r="613" customFormat="false" ht="15" hidden="false" customHeight="false" outlineLevel="0" collapsed="false">
      <c r="A613" s="21" t="s">
        <v>679</v>
      </c>
      <c r="B613" s="21" t="s">
        <v>19</v>
      </c>
      <c r="C613" s="22" t="n">
        <v>43044</v>
      </c>
      <c r="D613" s="22" t="n">
        <v>43051</v>
      </c>
      <c r="E613" s="22" t="n">
        <v>43061</v>
      </c>
      <c r="F613" s="21" t="s">
        <v>67</v>
      </c>
      <c r="G613" s="23" t="n">
        <v>46.99</v>
      </c>
      <c r="H613" s="23" t="n">
        <v>13.1</v>
      </c>
      <c r="I613" s="21" t="s">
        <v>45</v>
      </c>
      <c r="J613" s="21" t="n">
        <v>5</v>
      </c>
      <c r="K613" s="21" t="s">
        <v>46</v>
      </c>
      <c r="L613" s="24" t="n">
        <f aca="false">DATE(YEAR(C613),MONTH(C613),1)</f>
        <v>43040</v>
      </c>
      <c r="M613" s="21" t="n">
        <f aca="false">D613-C613</f>
        <v>7</v>
      </c>
      <c r="N613" s="21" t="n">
        <f aca="false">MAX(0,D613-E613)</f>
        <v>0</v>
      </c>
      <c r="O613" s="21" t="n">
        <f aca="false">IF(D613&lt;=E613,1,0)</f>
        <v>1</v>
      </c>
      <c r="P613" s="23" t="n">
        <f aca="false">G613+H613</f>
        <v>60.09</v>
      </c>
      <c r="Q613" s="23" t="n">
        <f aca="false">G613*INDEX(Assumptions!$B$8:$B$16,MATCH(F613,Assumptions!$A$8:$A$16,0))</f>
        <v>29.1338</v>
      </c>
      <c r="R613" s="23" t="n">
        <f aca="false">H613*Assumptions!$B$3</f>
        <v>7.86</v>
      </c>
      <c r="S613" s="23" t="n">
        <f aca="false">G613-Q613-R613</f>
        <v>9.9962</v>
      </c>
      <c r="T613" s="21" t="str">
        <f aca="false">IF(M613&lt;=7,"0-7 days",IF(M613&lt;=14,"8-14 days",IF(M613&lt;=21,"15-21 days","22+ days")))</f>
        <v>0-7 days</v>
      </c>
    </row>
    <row r="614" customFormat="false" ht="15" hidden="false" customHeight="false" outlineLevel="0" collapsed="false">
      <c r="A614" s="21" t="s">
        <v>680</v>
      </c>
      <c r="B614" s="21" t="s">
        <v>62</v>
      </c>
      <c r="C614" s="22" t="n">
        <v>43044</v>
      </c>
      <c r="D614" s="22" t="n">
        <v>43053</v>
      </c>
      <c r="E614" s="22" t="n">
        <v>43063</v>
      </c>
      <c r="F614" s="21" t="s">
        <v>44</v>
      </c>
      <c r="G614" s="23" t="n">
        <v>60.65</v>
      </c>
      <c r="H614" s="23" t="n">
        <v>16.3</v>
      </c>
      <c r="I614" s="21" t="s">
        <v>45</v>
      </c>
      <c r="J614" s="21" t="n">
        <v>5</v>
      </c>
      <c r="K614" s="21" t="s">
        <v>46</v>
      </c>
      <c r="L614" s="24" t="n">
        <f aca="false">DATE(YEAR(C614),MONTH(C614),1)</f>
        <v>43040</v>
      </c>
      <c r="M614" s="21" t="n">
        <f aca="false">D614-C614</f>
        <v>9</v>
      </c>
      <c r="N614" s="21" t="n">
        <f aca="false">MAX(0,D614-E614)</f>
        <v>0</v>
      </c>
      <c r="O614" s="21" t="n">
        <f aca="false">IF(D614&lt;=E614,1,0)</f>
        <v>1</v>
      </c>
      <c r="P614" s="23" t="n">
        <f aca="false">G614+H614</f>
        <v>76.95</v>
      </c>
      <c r="Q614" s="23" t="n">
        <f aca="false">G614*INDEX(Assumptions!$B$8:$B$16,MATCH(F614,Assumptions!$A$8:$A$16,0))</f>
        <v>36.39</v>
      </c>
      <c r="R614" s="23" t="n">
        <f aca="false">H614*Assumptions!$B$3</f>
        <v>9.78</v>
      </c>
      <c r="S614" s="23" t="n">
        <f aca="false">G614-Q614-R614</f>
        <v>14.48</v>
      </c>
      <c r="T614" s="21" t="str">
        <f aca="false">IF(M614&lt;=7,"0-7 days",IF(M614&lt;=14,"8-14 days",IF(M614&lt;=21,"15-21 days","22+ days")))</f>
        <v>8-14 days</v>
      </c>
    </row>
    <row r="615" customFormat="false" ht="15" hidden="false" customHeight="false" outlineLevel="0" collapsed="false">
      <c r="A615" s="21" t="s">
        <v>681</v>
      </c>
      <c r="B615" s="21" t="s">
        <v>19</v>
      </c>
      <c r="C615" s="22" t="n">
        <v>43044</v>
      </c>
      <c r="D615" s="22" t="n">
        <v>43049</v>
      </c>
      <c r="E615" s="22" t="n">
        <v>43061</v>
      </c>
      <c r="F615" s="21" t="s">
        <v>49</v>
      </c>
      <c r="G615" s="23" t="n">
        <v>136.87</v>
      </c>
      <c r="H615" s="23" t="n">
        <v>13.44</v>
      </c>
      <c r="I615" s="21" t="s">
        <v>60</v>
      </c>
      <c r="J615" s="21" t="n">
        <v>5</v>
      </c>
      <c r="K615" s="21" t="s">
        <v>46</v>
      </c>
      <c r="L615" s="24" t="n">
        <f aca="false">DATE(YEAR(C615),MONTH(C615),1)</f>
        <v>43040</v>
      </c>
      <c r="M615" s="21" t="n">
        <f aca="false">D615-C615</f>
        <v>5</v>
      </c>
      <c r="N615" s="21" t="n">
        <f aca="false">MAX(0,D615-E615)</f>
        <v>0</v>
      </c>
      <c r="O615" s="21" t="n">
        <f aca="false">IF(D615&lt;=E615,1,0)</f>
        <v>1</v>
      </c>
      <c r="P615" s="23" t="n">
        <f aca="false">G615+H615</f>
        <v>150.31</v>
      </c>
      <c r="Q615" s="23" t="n">
        <f aca="false">G615*INDEX(Assumptions!$B$8:$B$16,MATCH(F615,Assumptions!$A$8:$A$16,0))</f>
        <v>79.3846</v>
      </c>
      <c r="R615" s="23" t="n">
        <f aca="false">H615*Assumptions!$B$3</f>
        <v>8.064</v>
      </c>
      <c r="S615" s="23" t="n">
        <f aca="false">G615-Q615-R615</f>
        <v>49.4214</v>
      </c>
      <c r="T615" s="21" t="str">
        <f aca="false">IF(M615&lt;=7,"0-7 days",IF(M615&lt;=14,"8-14 days",IF(M615&lt;=21,"15-21 days","22+ days")))</f>
        <v>0-7 days</v>
      </c>
    </row>
    <row r="616" customFormat="false" ht="15" hidden="false" customHeight="false" outlineLevel="0" collapsed="false">
      <c r="A616" s="21" t="s">
        <v>682</v>
      </c>
      <c r="B616" s="21" t="s">
        <v>55</v>
      </c>
      <c r="C616" s="22" t="n">
        <v>43044</v>
      </c>
      <c r="D616" s="22" t="n">
        <v>43051</v>
      </c>
      <c r="E616" s="22" t="n">
        <v>43070</v>
      </c>
      <c r="F616" s="21" t="s">
        <v>67</v>
      </c>
      <c r="G616" s="23" t="n">
        <v>118.73</v>
      </c>
      <c r="H616" s="23" t="n">
        <v>26.42</v>
      </c>
      <c r="I616" s="21" t="s">
        <v>45</v>
      </c>
      <c r="J616" s="21" t="n">
        <v>5</v>
      </c>
      <c r="K616" s="21" t="s">
        <v>46</v>
      </c>
      <c r="L616" s="24" t="n">
        <f aca="false">DATE(YEAR(C616),MONTH(C616),1)</f>
        <v>43040</v>
      </c>
      <c r="M616" s="21" t="n">
        <f aca="false">D616-C616</f>
        <v>7</v>
      </c>
      <c r="N616" s="21" t="n">
        <f aca="false">MAX(0,D616-E616)</f>
        <v>0</v>
      </c>
      <c r="O616" s="21" t="n">
        <f aca="false">IF(D616&lt;=E616,1,0)</f>
        <v>1</v>
      </c>
      <c r="P616" s="23" t="n">
        <f aca="false">G616+H616</f>
        <v>145.15</v>
      </c>
      <c r="Q616" s="23" t="n">
        <f aca="false">G616*INDEX(Assumptions!$B$8:$B$16,MATCH(F616,Assumptions!$A$8:$A$16,0))</f>
        <v>73.6126</v>
      </c>
      <c r="R616" s="23" t="n">
        <f aca="false">H616*Assumptions!$B$3</f>
        <v>15.852</v>
      </c>
      <c r="S616" s="23" t="n">
        <f aca="false">G616-Q616-R616</f>
        <v>29.2654</v>
      </c>
      <c r="T616" s="21" t="str">
        <f aca="false">IF(M616&lt;=7,"0-7 days",IF(M616&lt;=14,"8-14 days",IF(M616&lt;=21,"15-21 days","22+ days")))</f>
        <v>0-7 days</v>
      </c>
    </row>
    <row r="617" customFormat="false" ht="15" hidden="false" customHeight="false" outlineLevel="0" collapsed="false">
      <c r="A617" s="21" t="s">
        <v>683</v>
      </c>
      <c r="B617" s="21" t="s">
        <v>156</v>
      </c>
      <c r="C617" s="22" t="n">
        <v>43044</v>
      </c>
      <c r="D617" s="22" t="n">
        <v>43062</v>
      </c>
      <c r="E617" s="22" t="n">
        <v>43068</v>
      </c>
      <c r="F617" s="21" t="s">
        <v>79</v>
      </c>
      <c r="G617" s="23" t="n">
        <v>42.43</v>
      </c>
      <c r="H617" s="23" t="n">
        <v>29.52</v>
      </c>
      <c r="I617" s="21" t="s">
        <v>60</v>
      </c>
      <c r="J617" s="21" t="n">
        <v>5</v>
      </c>
      <c r="K617" s="21" t="s">
        <v>46</v>
      </c>
      <c r="L617" s="24" t="n">
        <f aca="false">DATE(YEAR(C617),MONTH(C617),1)</f>
        <v>43040</v>
      </c>
      <c r="M617" s="21" t="n">
        <f aca="false">D617-C617</f>
        <v>18</v>
      </c>
      <c r="N617" s="21" t="n">
        <f aca="false">MAX(0,D617-E617)</f>
        <v>0</v>
      </c>
      <c r="O617" s="21" t="n">
        <f aca="false">IF(D617&lt;=E617,1,0)</f>
        <v>1</v>
      </c>
      <c r="P617" s="23" t="n">
        <f aca="false">G617+H617</f>
        <v>71.95</v>
      </c>
      <c r="Q617" s="23" t="n">
        <f aca="false">G617*INDEX(Assumptions!$B$8:$B$16,MATCH(F617,Assumptions!$A$8:$A$16,0))</f>
        <v>29.701</v>
      </c>
      <c r="R617" s="23" t="n">
        <f aca="false">H617*Assumptions!$B$3</f>
        <v>17.712</v>
      </c>
      <c r="S617" s="23" t="n">
        <f aca="false">G617-Q617-R617</f>
        <v>-4.983</v>
      </c>
      <c r="T617" s="21" t="str">
        <f aca="false">IF(M617&lt;=7,"0-7 days",IF(M617&lt;=14,"8-14 days",IF(M617&lt;=21,"15-21 days","22+ days")))</f>
        <v>15-21 days</v>
      </c>
    </row>
    <row r="618" customFormat="false" ht="15" hidden="false" customHeight="false" outlineLevel="0" collapsed="false">
      <c r="A618" s="21" t="s">
        <v>684</v>
      </c>
      <c r="B618" s="21" t="s">
        <v>19</v>
      </c>
      <c r="C618" s="22" t="n">
        <v>43044</v>
      </c>
      <c r="D618" s="22" t="n">
        <v>43051</v>
      </c>
      <c r="E618" s="22" t="n">
        <v>43059</v>
      </c>
      <c r="F618" s="21" t="s">
        <v>53</v>
      </c>
      <c r="G618" s="23" t="n">
        <v>76.9</v>
      </c>
      <c r="H618" s="23" t="n">
        <v>22.52</v>
      </c>
      <c r="I618" s="21" t="s">
        <v>45</v>
      </c>
      <c r="J618" s="21" t="n">
        <v>4</v>
      </c>
      <c r="K618" s="21" t="s">
        <v>46</v>
      </c>
      <c r="L618" s="24" t="n">
        <f aca="false">DATE(YEAR(C618),MONTH(C618),1)</f>
        <v>43040</v>
      </c>
      <c r="M618" s="21" t="n">
        <f aca="false">D618-C618</f>
        <v>7</v>
      </c>
      <c r="N618" s="21" t="n">
        <f aca="false">MAX(0,D618-E618)</f>
        <v>0</v>
      </c>
      <c r="O618" s="21" t="n">
        <f aca="false">IF(D618&lt;=E618,1,0)</f>
        <v>1</v>
      </c>
      <c r="P618" s="23" t="n">
        <f aca="false">G618+H618</f>
        <v>99.42</v>
      </c>
      <c r="Q618" s="23" t="n">
        <f aca="false">G618*INDEX(Assumptions!$B$8:$B$16,MATCH(F618,Assumptions!$A$8:$A$16,0))</f>
        <v>56.906</v>
      </c>
      <c r="R618" s="23" t="n">
        <f aca="false">H618*Assumptions!$B$3</f>
        <v>13.512</v>
      </c>
      <c r="S618" s="23" t="n">
        <f aca="false">G618-Q618-R618</f>
        <v>6.482</v>
      </c>
      <c r="T618" s="21" t="str">
        <f aca="false">IF(M618&lt;=7,"0-7 days",IF(M618&lt;=14,"8-14 days",IF(M618&lt;=21,"15-21 days","22+ days")))</f>
        <v>0-7 days</v>
      </c>
    </row>
    <row r="619" customFormat="false" ht="15" hidden="false" customHeight="false" outlineLevel="0" collapsed="false">
      <c r="A619" s="21" t="s">
        <v>685</v>
      </c>
      <c r="B619" s="21" t="s">
        <v>55</v>
      </c>
      <c r="C619" s="22" t="n">
        <v>43045</v>
      </c>
      <c r="D619" s="22" t="n">
        <v>43059</v>
      </c>
      <c r="E619" s="22" t="n">
        <v>43067</v>
      </c>
      <c r="F619" s="21" t="s">
        <v>44</v>
      </c>
      <c r="G619" s="23" t="n">
        <v>178.61</v>
      </c>
      <c r="H619" s="23" t="n">
        <v>22.16</v>
      </c>
      <c r="I619" s="21" t="s">
        <v>45</v>
      </c>
      <c r="J619" s="21" t="n">
        <v>4</v>
      </c>
      <c r="K619" s="21" t="s">
        <v>46</v>
      </c>
      <c r="L619" s="24" t="n">
        <f aca="false">DATE(YEAR(C619),MONTH(C619),1)</f>
        <v>43040</v>
      </c>
      <c r="M619" s="21" t="n">
        <f aca="false">D619-C619</f>
        <v>14</v>
      </c>
      <c r="N619" s="21" t="n">
        <f aca="false">MAX(0,D619-E619)</f>
        <v>0</v>
      </c>
      <c r="O619" s="21" t="n">
        <f aca="false">IF(D619&lt;=E619,1,0)</f>
        <v>1</v>
      </c>
      <c r="P619" s="23" t="n">
        <f aca="false">G619+H619</f>
        <v>200.77</v>
      </c>
      <c r="Q619" s="23" t="n">
        <f aca="false">G619*INDEX(Assumptions!$B$8:$B$16,MATCH(F619,Assumptions!$A$8:$A$16,0))</f>
        <v>107.166</v>
      </c>
      <c r="R619" s="23" t="n">
        <f aca="false">H619*Assumptions!$B$3</f>
        <v>13.296</v>
      </c>
      <c r="S619" s="23" t="n">
        <f aca="false">G619-Q619-R619</f>
        <v>58.148</v>
      </c>
      <c r="T619" s="21" t="str">
        <f aca="false">IF(M619&lt;=7,"0-7 days",IF(M619&lt;=14,"8-14 days",IF(M619&lt;=21,"15-21 days","22+ days")))</f>
        <v>8-14 days</v>
      </c>
    </row>
    <row r="620" customFormat="false" ht="15" hidden="false" customHeight="false" outlineLevel="0" collapsed="false">
      <c r="A620" s="21" t="s">
        <v>686</v>
      </c>
      <c r="B620" s="21" t="s">
        <v>19</v>
      </c>
      <c r="C620" s="22" t="n">
        <v>43045</v>
      </c>
      <c r="D620" s="22" t="n">
        <v>43052</v>
      </c>
      <c r="E620" s="22" t="n">
        <v>43058</v>
      </c>
      <c r="F620" s="21" t="s">
        <v>53</v>
      </c>
      <c r="G620" s="23" t="n">
        <v>95.44</v>
      </c>
      <c r="H620" s="23" t="n">
        <v>18.05</v>
      </c>
      <c r="I620" s="21" t="s">
        <v>45</v>
      </c>
      <c r="J620" s="21" t="n">
        <v>5</v>
      </c>
      <c r="K620" s="21" t="s">
        <v>46</v>
      </c>
      <c r="L620" s="24" t="n">
        <f aca="false">DATE(YEAR(C620),MONTH(C620),1)</f>
        <v>43040</v>
      </c>
      <c r="M620" s="21" t="n">
        <f aca="false">D620-C620</f>
        <v>7</v>
      </c>
      <c r="N620" s="21" t="n">
        <f aca="false">MAX(0,D620-E620)</f>
        <v>0</v>
      </c>
      <c r="O620" s="21" t="n">
        <f aca="false">IF(D620&lt;=E620,1,0)</f>
        <v>1</v>
      </c>
      <c r="P620" s="23" t="n">
        <f aca="false">G620+H620</f>
        <v>113.49</v>
      </c>
      <c r="Q620" s="23" t="n">
        <f aca="false">G620*INDEX(Assumptions!$B$8:$B$16,MATCH(F620,Assumptions!$A$8:$A$16,0))</f>
        <v>70.6256</v>
      </c>
      <c r="R620" s="23" t="n">
        <f aca="false">H620*Assumptions!$B$3</f>
        <v>10.83</v>
      </c>
      <c r="S620" s="23" t="n">
        <f aca="false">G620-Q620-R620</f>
        <v>13.9844</v>
      </c>
      <c r="T620" s="21" t="str">
        <f aca="false">IF(M620&lt;=7,"0-7 days",IF(M620&lt;=14,"8-14 days",IF(M620&lt;=21,"15-21 days","22+ days")))</f>
        <v>0-7 days</v>
      </c>
    </row>
    <row r="621" customFormat="false" ht="15" hidden="false" customHeight="false" outlineLevel="0" collapsed="false">
      <c r="A621" s="21" t="s">
        <v>687</v>
      </c>
      <c r="B621" s="21" t="s">
        <v>19</v>
      </c>
      <c r="C621" s="22" t="n">
        <v>43045</v>
      </c>
      <c r="D621" s="22" t="n">
        <v>43051</v>
      </c>
      <c r="E621" s="22" t="n">
        <v>43062</v>
      </c>
      <c r="F621" s="21" t="s">
        <v>67</v>
      </c>
      <c r="G621" s="23" t="n">
        <v>178.56</v>
      </c>
      <c r="H621" s="23" t="n">
        <v>19.27</v>
      </c>
      <c r="I621" s="21" t="s">
        <v>60</v>
      </c>
      <c r="J621" s="21" t="n">
        <v>5</v>
      </c>
      <c r="K621" s="21" t="s">
        <v>46</v>
      </c>
      <c r="L621" s="24" t="n">
        <f aca="false">DATE(YEAR(C621),MONTH(C621),1)</f>
        <v>43040</v>
      </c>
      <c r="M621" s="21" t="n">
        <f aca="false">D621-C621</f>
        <v>6</v>
      </c>
      <c r="N621" s="21" t="n">
        <f aca="false">MAX(0,D621-E621)</f>
        <v>0</v>
      </c>
      <c r="O621" s="21" t="n">
        <f aca="false">IF(D621&lt;=E621,1,0)</f>
        <v>1</v>
      </c>
      <c r="P621" s="23" t="n">
        <f aca="false">G621+H621</f>
        <v>197.83</v>
      </c>
      <c r="Q621" s="23" t="n">
        <f aca="false">G621*INDEX(Assumptions!$B$8:$B$16,MATCH(F621,Assumptions!$A$8:$A$16,0))</f>
        <v>110.7072</v>
      </c>
      <c r="R621" s="23" t="n">
        <f aca="false">H621*Assumptions!$B$3</f>
        <v>11.562</v>
      </c>
      <c r="S621" s="23" t="n">
        <f aca="false">G621-Q621-R621</f>
        <v>56.2908</v>
      </c>
      <c r="T621" s="21" t="str">
        <f aca="false">IF(M621&lt;=7,"0-7 days",IF(M621&lt;=14,"8-14 days",IF(M621&lt;=21,"15-21 days","22+ days")))</f>
        <v>0-7 days</v>
      </c>
    </row>
    <row r="622" customFormat="false" ht="15" hidden="false" customHeight="false" outlineLevel="0" collapsed="false">
      <c r="A622" s="21" t="s">
        <v>688</v>
      </c>
      <c r="B622" s="21" t="s">
        <v>19</v>
      </c>
      <c r="C622" s="22" t="n">
        <v>43045</v>
      </c>
      <c r="D622" s="22" t="n">
        <v>43056</v>
      </c>
      <c r="E622" s="22" t="n">
        <v>43063</v>
      </c>
      <c r="F622" s="21" t="s">
        <v>67</v>
      </c>
      <c r="G622" s="23" t="n">
        <v>28.76</v>
      </c>
      <c r="H622" s="23" t="n">
        <v>21.13</v>
      </c>
      <c r="I622" s="21" t="s">
        <v>45</v>
      </c>
      <c r="J622" s="21" t="n">
        <v>5</v>
      </c>
      <c r="K622" s="21" t="s">
        <v>46</v>
      </c>
      <c r="L622" s="24" t="n">
        <f aca="false">DATE(YEAR(C622),MONTH(C622),1)</f>
        <v>43040</v>
      </c>
      <c r="M622" s="21" t="n">
        <f aca="false">D622-C622</f>
        <v>11</v>
      </c>
      <c r="N622" s="21" t="n">
        <f aca="false">MAX(0,D622-E622)</f>
        <v>0</v>
      </c>
      <c r="O622" s="21" t="n">
        <f aca="false">IF(D622&lt;=E622,1,0)</f>
        <v>1</v>
      </c>
      <c r="P622" s="23" t="n">
        <f aca="false">G622+H622</f>
        <v>49.89</v>
      </c>
      <c r="Q622" s="23" t="n">
        <f aca="false">G622*INDEX(Assumptions!$B$8:$B$16,MATCH(F622,Assumptions!$A$8:$A$16,0))</f>
        <v>17.8312</v>
      </c>
      <c r="R622" s="23" t="n">
        <f aca="false">H622*Assumptions!$B$3</f>
        <v>12.678</v>
      </c>
      <c r="S622" s="23" t="n">
        <f aca="false">G622-Q622-R622</f>
        <v>-1.7492</v>
      </c>
      <c r="T622" s="21" t="str">
        <f aca="false">IF(M622&lt;=7,"0-7 days",IF(M622&lt;=14,"8-14 days",IF(M622&lt;=21,"15-21 days","22+ days")))</f>
        <v>8-14 days</v>
      </c>
    </row>
    <row r="623" customFormat="false" ht="15" hidden="false" customHeight="false" outlineLevel="0" collapsed="false">
      <c r="A623" s="21" t="s">
        <v>689</v>
      </c>
      <c r="B623" s="21" t="s">
        <v>19</v>
      </c>
      <c r="C623" s="22" t="n">
        <v>43045</v>
      </c>
      <c r="D623" s="22" t="n">
        <v>43054</v>
      </c>
      <c r="E623" s="22" t="n">
        <v>43061</v>
      </c>
      <c r="F623" s="21" t="s">
        <v>67</v>
      </c>
      <c r="G623" s="23" t="n">
        <v>86.59</v>
      </c>
      <c r="H623" s="23" t="n">
        <v>17.01</v>
      </c>
      <c r="I623" s="21" t="s">
        <v>60</v>
      </c>
      <c r="J623" s="21" t="n">
        <v>5</v>
      </c>
      <c r="K623" s="21" t="s">
        <v>46</v>
      </c>
      <c r="L623" s="24" t="n">
        <f aca="false">DATE(YEAR(C623),MONTH(C623),1)</f>
        <v>43040</v>
      </c>
      <c r="M623" s="21" t="n">
        <f aca="false">D623-C623</f>
        <v>9</v>
      </c>
      <c r="N623" s="21" t="n">
        <f aca="false">MAX(0,D623-E623)</f>
        <v>0</v>
      </c>
      <c r="O623" s="21" t="n">
        <f aca="false">IF(D623&lt;=E623,1,0)</f>
        <v>1</v>
      </c>
      <c r="P623" s="23" t="n">
        <f aca="false">G623+H623</f>
        <v>103.6</v>
      </c>
      <c r="Q623" s="23" t="n">
        <f aca="false">G623*INDEX(Assumptions!$B$8:$B$16,MATCH(F623,Assumptions!$A$8:$A$16,0))</f>
        <v>53.6858</v>
      </c>
      <c r="R623" s="23" t="n">
        <f aca="false">H623*Assumptions!$B$3</f>
        <v>10.206</v>
      </c>
      <c r="S623" s="23" t="n">
        <f aca="false">G623-Q623-R623</f>
        <v>22.6982</v>
      </c>
      <c r="T623" s="21" t="str">
        <f aca="false">IF(M623&lt;=7,"0-7 days",IF(M623&lt;=14,"8-14 days",IF(M623&lt;=21,"15-21 days","22+ days")))</f>
        <v>8-14 days</v>
      </c>
    </row>
    <row r="624" customFormat="false" ht="15" hidden="false" customHeight="false" outlineLevel="0" collapsed="false">
      <c r="A624" s="21" t="s">
        <v>690</v>
      </c>
      <c r="B624" s="21" t="s">
        <v>62</v>
      </c>
      <c r="C624" s="22" t="n">
        <v>43045</v>
      </c>
      <c r="D624" s="22" t="n">
        <v>43060</v>
      </c>
      <c r="E624" s="22" t="n">
        <v>43067</v>
      </c>
      <c r="F624" s="21" t="s">
        <v>53</v>
      </c>
      <c r="G624" s="23" t="n">
        <v>184.48</v>
      </c>
      <c r="H624" s="23" t="n">
        <v>28.3</v>
      </c>
      <c r="I624" s="21" t="s">
        <v>45</v>
      </c>
      <c r="J624" s="21" t="n">
        <v>5</v>
      </c>
      <c r="K624" s="21" t="s">
        <v>46</v>
      </c>
      <c r="L624" s="24" t="n">
        <f aca="false">DATE(YEAR(C624),MONTH(C624),1)</f>
        <v>43040</v>
      </c>
      <c r="M624" s="21" t="n">
        <f aca="false">D624-C624</f>
        <v>15</v>
      </c>
      <c r="N624" s="21" t="n">
        <f aca="false">MAX(0,D624-E624)</f>
        <v>0</v>
      </c>
      <c r="O624" s="21" t="n">
        <f aca="false">IF(D624&lt;=E624,1,0)</f>
        <v>1</v>
      </c>
      <c r="P624" s="23" t="n">
        <f aca="false">G624+H624</f>
        <v>212.78</v>
      </c>
      <c r="Q624" s="23" t="n">
        <f aca="false">G624*INDEX(Assumptions!$B$8:$B$16,MATCH(F624,Assumptions!$A$8:$A$16,0))</f>
        <v>136.5152</v>
      </c>
      <c r="R624" s="23" t="n">
        <f aca="false">H624*Assumptions!$B$3</f>
        <v>16.98</v>
      </c>
      <c r="S624" s="23" t="n">
        <f aca="false">G624-Q624-R624</f>
        <v>30.9848</v>
      </c>
      <c r="T624" s="21" t="str">
        <f aca="false">IF(M624&lt;=7,"0-7 days",IF(M624&lt;=14,"8-14 days",IF(M624&lt;=21,"15-21 days","22+ days")))</f>
        <v>15-21 days</v>
      </c>
    </row>
    <row r="625" customFormat="false" ht="15" hidden="false" customHeight="false" outlineLevel="0" collapsed="false">
      <c r="A625" s="21" t="s">
        <v>691</v>
      </c>
      <c r="B625" s="21" t="s">
        <v>19</v>
      </c>
      <c r="C625" s="22" t="n">
        <v>43045</v>
      </c>
      <c r="D625" s="22" t="n">
        <v>43052</v>
      </c>
      <c r="E625" s="22" t="n">
        <v>43064</v>
      </c>
      <c r="F625" s="21" t="s">
        <v>67</v>
      </c>
      <c r="G625" s="23" t="n">
        <v>56.5</v>
      </c>
      <c r="H625" s="23" t="n">
        <v>11.98</v>
      </c>
      <c r="I625" s="21" t="s">
        <v>45</v>
      </c>
      <c r="J625" s="21" t="n">
        <v>4</v>
      </c>
      <c r="K625" s="21" t="s">
        <v>46</v>
      </c>
      <c r="L625" s="24" t="n">
        <f aca="false">DATE(YEAR(C625),MONTH(C625),1)</f>
        <v>43040</v>
      </c>
      <c r="M625" s="21" t="n">
        <f aca="false">D625-C625</f>
        <v>7</v>
      </c>
      <c r="N625" s="21" t="n">
        <f aca="false">MAX(0,D625-E625)</f>
        <v>0</v>
      </c>
      <c r="O625" s="21" t="n">
        <f aca="false">IF(D625&lt;=E625,1,0)</f>
        <v>1</v>
      </c>
      <c r="P625" s="23" t="n">
        <f aca="false">G625+H625</f>
        <v>68.48</v>
      </c>
      <c r="Q625" s="23" t="n">
        <f aca="false">G625*INDEX(Assumptions!$B$8:$B$16,MATCH(F625,Assumptions!$A$8:$A$16,0))</f>
        <v>35.03</v>
      </c>
      <c r="R625" s="23" t="n">
        <f aca="false">H625*Assumptions!$B$3</f>
        <v>7.188</v>
      </c>
      <c r="S625" s="23" t="n">
        <f aca="false">G625-Q625-R625</f>
        <v>14.282</v>
      </c>
      <c r="T625" s="21" t="str">
        <f aca="false">IF(M625&lt;=7,"0-7 days",IF(M625&lt;=14,"8-14 days",IF(M625&lt;=21,"15-21 days","22+ days")))</f>
        <v>0-7 days</v>
      </c>
    </row>
    <row r="626" customFormat="false" ht="15" hidden="false" customHeight="false" outlineLevel="0" collapsed="false">
      <c r="A626" s="21" t="s">
        <v>692</v>
      </c>
      <c r="B626" s="21" t="s">
        <v>134</v>
      </c>
      <c r="C626" s="22" t="n">
        <v>43045</v>
      </c>
      <c r="D626" s="22" t="n">
        <v>43054</v>
      </c>
      <c r="E626" s="22" t="n">
        <v>43073</v>
      </c>
      <c r="F626" s="21" t="s">
        <v>49</v>
      </c>
      <c r="G626" s="23" t="n">
        <v>113.89</v>
      </c>
      <c r="H626" s="23" t="n">
        <v>19.15</v>
      </c>
      <c r="I626" s="21" t="s">
        <v>45</v>
      </c>
      <c r="J626" s="21" t="n">
        <v>4</v>
      </c>
      <c r="K626" s="21" t="s">
        <v>46</v>
      </c>
      <c r="L626" s="24" t="n">
        <f aca="false">DATE(YEAR(C626),MONTH(C626),1)</f>
        <v>43040</v>
      </c>
      <c r="M626" s="21" t="n">
        <f aca="false">D626-C626</f>
        <v>9</v>
      </c>
      <c r="N626" s="21" t="n">
        <f aca="false">MAX(0,D626-E626)</f>
        <v>0</v>
      </c>
      <c r="O626" s="21" t="n">
        <f aca="false">IF(D626&lt;=E626,1,0)</f>
        <v>1</v>
      </c>
      <c r="P626" s="23" t="n">
        <f aca="false">G626+H626</f>
        <v>133.04</v>
      </c>
      <c r="Q626" s="23" t="n">
        <f aca="false">G626*INDEX(Assumptions!$B$8:$B$16,MATCH(F626,Assumptions!$A$8:$A$16,0))</f>
        <v>66.0562</v>
      </c>
      <c r="R626" s="23" t="n">
        <f aca="false">H626*Assumptions!$B$3</f>
        <v>11.49</v>
      </c>
      <c r="S626" s="23" t="n">
        <f aca="false">G626-Q626-R626</f>
        <v>36.3438</v>
      </c>
      <c r="T626" s="21" t="str">
        <f aca="false">IF(M626&lt;=7,"0-7 days",IF(M626&lt;=14,"8-14 days",IF(M626&lt;=21,"15-21 days","22+ days")))</f>
        <v>8-14 days</v>
      </c>
    </row>
    <row r="627" customFormat="false" ht="15" hidden="false" customHeight="false" outlineLevel="0" collapsed="false">
      <c r="A627" s="21" t="s">
        <v>693</v>
      </c>
      <c r="B627" s="21" t="s">
        <v>19</v>
      </c>
      <c r="C627" s="22" t="n">
        <v>43046</v>
      </c>
      <c r="D627" s="22" t="n">
        <v>43055</v>
      </c>
      <c r="E627" s="22" t="n">
        <v>43059</v>
      </c>
      <c r="F627" s="21" t="s">
        <v>44</v>
      </c>
      <c r="G627" s="23" t="n">
        <v>145.53</v>
      </c>
      <c r="H627" s="23" t="n">
        <v>17.44</v>
      </c>
      <c r="I627" s="21" t="s">
        <v>45</v>
      </c>
      <c r="J627" s="21" t="n">
        <v>5</v>
      </c>
      <c r="K627" s="21" t="s">
        <v>46</v>
      </c>
      <c r="L627" s="24" t="n">
        <f aca="false">DATE(YEAR(C627),MONTH(C627),1)</f>
        <v>43040</v>
      </c>
      <c r="M627" s="21" t="n">
        <f aca="false">D627-C627</f>
        <v>9</v>
      </c>
      <c r="N627" s="21" t="n">
        <f aca="false">MAX(0,D627-E627)</f>
        <v>0</v>
      </c>
      <c r="O627" s="21" t="n">
        <f aca="false">IF(D627&lt;=E627,1,0)</f>
        <v>1</v>
      </c>
      <c r="P627" s="23" t="n">
        <f aca="false">G627+H627</f>
        <v>162.97</v>
      </c>
      <c r="Q627" s="23" t="n">
        <f aca="false">G627*INDEX(Assumptions!$B$8:$B$16,MATCH(F627,Assumptions!$A$8:$A$16,0))</f>
        <v>87.318</v>
      </c>
      <c r="R627" s="23" t="n">
        <f aca="false">H627*Assumptions!$B$3</f>
        <v>10.464</v>
      </c>
      <c r="S627" s="23" t="n">
        <f aca="false">G627-Q627-R627</f>
        <v>47.748</v>
      </c>
      <c r="T627" s="21" t="str">
        <f aca="false">IF(M627&lt;=7,"0-7 days",IF(M627&lt;=14,"8-14 days",IF(M627&lt;=21,"15-21 days","22+ days")))</f>
        <v>8-14 days</v>
      </c>
    </row>
    <row r="628" customFormat="false" ht="15" hidden="false" customHeight="false" outlineLevel="0" collapsed="false">
      <c r="A628" s="21" t="s">
        <v>694</v>
      </c>
      <c r="B628" s="21" t="s">
        <v>52</v>
      </c>
      <c r="C628" s="22" t="n">
        <v>43046</v>
      </c>
      <c r="D628" s="22" t="n">
        <v>43061</v>
      </c>
      <c r="E628" s="22" t="n">
        <v>43070</v>
      </c>
      <c r="F628" s="21" t="s">
        <v>57</v>
      </c>
      <c r="G628" s="23" t="n">
        <v>136.39</v>
      </c>
      <c r="H628" s="23" t="n">
        <v>32.32</v>
      </c>
      <c r="I628" s="21" t="s">
        <v>45</v>
      </c>
      <c r="J628" s="21" t="n">
        <v>4</v>
      </c>
      <c r="K628" s="21" t="s">
        <v>46</v>
      </c>
      <c r="L628" s="24" t="n">
        <f aca="false">DATE(YEAR(C628),MONTH(C628),1)</f>
        <v>43040</v>
      </c>
      <c r="M628" s="21" t="n">
        <f aca="false">D628-C628</f>
        <v>15</v>
      </c>
      <c r="N628" s="21" t="n">
        <f aca="false">MAX(0,D628-E628)</f>
        <v>0</v>
      </c>
      <c r="O628" s="21" t="n">
        <f aca="false">IF(D628&lt;=E628,1,0)</f>
        <v>1</v>
      </c>
      <c r="P628" s="23" t="n">
        <f aca="false">G628+H628</f>
        <v>168.71</v>
      </c>
      <c r="Q628" s="23" t="n">
        <f aca="false">G628*INDEX(Assumptions!$B$8:$B$16,MATCH(F628,Assumptions!$A$8:$A$16,0))</f>
        <v>92.7452</v>
      </c>
      <c r="R628" s="23" t="n">
        <f aca="false">H628*Assumptions!$B$3</f>
        <v>19.392</v>
      </c>
      <c r="S628" s="23" t="n">
        <f aca="false">G628-Q628-R628</f>
        <v>24.2528</v>
      </c>
      <c r="T628" s="21" t="str">
        <f aca="false">IF(M628&lt;=7,"0-7 days",IF(M628&lt;=14,"8-14 days",IF(M628&lt;=21,"15-21 days","22+ days")))</f>
        <v>15-21 days</v>
      </c>
    </row>
    <row r="629" customFormat="false" ht="15" hidden="false" customHeight="false" outlineLevel="0" collapsed="false">
      <c r="A629" s="21" t="s">
        <v>695</v>
      </c>
      <c r="B629" s="21" t="s">
        <v>19</v>
      </c>
      <c r="C629" s="22" t="n">
        <v>43046</v>
      </c>
      <c r="D629" s="22" t="n">
        <v>43057</v>
      </c>
      <c r="E629" s="22" t="n">
        <v>43064</v>
      </c>
      <c r="F629" s="21" t="s">
        <v>44</v>
      </c>
      <c r="G629" s="23" t="n">
        <v>81.35</v>
      </c>
      <c r="H629" s="23" t="n">
        <v>19.85</v>
      </c>
      <c r="I629" s="21" t="s">
        <v>45</v>
      </c>
      <c r="J629" s="21" t="n">
        <v>4</v>
      </c>
      <c r="K629" s="21" t="s">
        <v>46</v>
      </c>
      <c r="L629" s="24" t="n">
        <f aca="false">DATE(YEAR(C629),MONTH(C629),1)</f>
        <v>43040</v>
      </c>
      <c r="M629" s="21" t="n">
        <f aca="false">D629-C629</f>
        <v>11</v>
      </c>
      <c r="N629" s="21" t="n">
        <f aca="false">MAX(0,D629-E629)</f>
        <v>0</v>
      </c>
      <c r="O629" s="21" t="n">
        <f aca="false">IF(D629&lt;=E629,1,0)</f>
        <v>1</v>
      </c>
      <c r="P629" s="23" t="n">
        <f aca="false">G629+H629</f>
        <v>101.2</v>
      </c>
      <c r="Q629" s="23" t="n">
        <f aca="false">G629*INDEX(Assumptions!$B$8:$B$16,MATCH(F629,Assumptions!$A$8:$A$16,0))</f>
        <v>48.81</v>
      </c>
      <c r="R629" s="23" t="n">
        <f aca="false">H629*Assumptions!$B$3</f>
        <v>11.91</v>
      </c>
      <c r="S629" s="23" t="n">
        <f aca="false">G629-Q629-R629</f>
        <v>20.63</v>
      </c>
      <c r="T629" s="21" t="str">
        <f aca="false">IF(M629&lt;=7,"0-7 days",IF(M629&lt;=14,"8-14 days",IF(M629&lt;=21,"15-21 days","22+ days")))</f>
        <v>8-14 days</v>
      </c>
    </row>
    <row r="630" customFormat="false" ht="15" hidden="false" customHeight="false" outlineLevel="0" collapsed="false">
      <c r="A630" s="21" t="s">
        <v>696</v>
      </c>
      <c r="B630" s="21" t="s">
        <v>19</v>
      </c>
      <c r="C630" s="22" t="n">
        <v>43046</v>
      </c>
      <c r="D630" s="22" t="n">
        <v>43052</v>
      </c>
      <c r="E630" s="22" t="n">
        <v>43063</v>
      </c>
      <c r="F630" s="21" t="s">
        <v>57</v>
      </c>
      <c r="G630" s="23" t="n">
        <v>93.33</v>
      </c>
      <c r="H630" s="23" t="n">
        <v>12.84</v>
      </c>
      <c r="I630" s="21" t="s">
        <v>45</v>
      </c>
      <c r="J630" s="21" t="n">
        <v>5</v>
      </c>
      <c r="K630" s="21" t="s">
        <v>46</v>
      </c>
      <c r="L630" s="24" t="n">
        <f aca="false">DATE(YEAR(C630),MONTH(C630),1)</f>
        <v>43040</v>
      </c>
      <c r="M630" s="21" t="n">
        <f aca="false">D630-C630</f>
        <v>6</v>
      </c>
      <c r="N630" s="21" t="n">
        <f aca="false">MAX(0,D630-E630)</f>
        <v>0</v>
      </c>
      <c r="O630" s="21" t="n">
        <f aca="false">IF(D630&lt;=E630,1,0)</f>
        <v>1</v>
      </c>
      <c r="P630" s="23" t="n">
        <f aca="false">G630+H630</f>
        <v>106.17</v>
      </c>
      <c r="Q630" s="23" t="n">
        <f aca="false">G630*INDEX(Assumptions!$B$8:$B$16,MATCH(F630,Assumptions!$A$8:$A$16,0))</f>
        <v>63.4644</v>
      </c>
      <c r="R630" s="23" t="n">
        <f aca="false">H630*Assumptions!$B$3</f>
        <v>7.704</v>
      </c>
      <c r="S630" s="23" t="n">
        <f aca="false">G630-Q630-R630</f>
        <v>22.1616</v>
      </c>
      <c r="T630" s="21" t="str">
        <f aca="false">IF(M630&lt;=7,"0-7 days",IF(M630&lt;=14,"8-14 days",IF(M630&lt;=21,"15-21 days","22+ days")))</f>
        <v>0-7 days</v>
      </c>
    </row>
    <row r="631" customFormat="false" ht="15" hidden="false" customHeight="false" outlineLevel="0" collapsed="false">
      <c r="A631" s="21" t="s">
        <v>697</v>
      </c>
      <c r="B631" s="21" t="s">
        <v>19</v>
      </c>
      <c r="C631" s="22" t="n">
        <v>43046</v>
      </c>
      <c r="D631" s="22" t="n">
        <v>43054</v>
      </c>
      <c r="E631" s="22" t="n">
        <v>43059</v>
      </c>
      <c r="F631" s="21" t="s">
        <v>79</v>
      </c>
      <c r="G631" s="23" t="n">
        <v>357.96</v>
      </c>
      <c r="H631" s="23" t="n">
        <v>24.1</v>
      </c>
      <c r="I631" s="21" t="s">
        <v>45</v>
      </c>
      <c r="J631" s="21" t="n">
        <v>5</v>
      </c>
      <c r="K631" s="21" t="s">
        <v>46</v>
      </c>
      <c r="L631" s="24" t="n">
        <f aca="false">DATE(YEAR(C631),MONTH(C631),1)</f>
        <v>43040</v>
      </c>
      <c r="M631" s="21" t="n">
        <f aca="false">D631-C631</f>
        <v>8</v>
      </c>
      <c r="N631" s="21" t="n">
        <f aca="false">MAX(0,D631-E631)</f>
        <v>0</v>
      </c>
      <c r="O631" s="21" t="n">
        <f aca="false">IF(D631&lt;=E631,1,0)</f>
        <v>1</v>
      </c>
      <c r="P631" s="23" t="n">
        <f aca="false">G631+H631</f>
        <v>382.06</v>
      </c>
      <c r="Q631" s="23" t="n">
        <f aca="false">G631*INDEX(Assumptions!$B$8:$B$16,MATCH(F631,Assumptions!$A$8:$A$16,0))</f>
        <v>250.572</v>
      </c>
      <c r="R631" s="23" t="n">
        <f aca="false">H631*Assumptions!$B$3</f>
        <v>14.46</v>
      </c>
      <c r="S631" s="23" t="n">
        <f aca="false">G631-Q631-R631</f>
        <v>92.928</v>
      </c>
      <c r="T631" s="21" t="str">
        <f aca="false">IF(M631&lt;=7,"0-7 days",IF(M631&lt;=14,"8-14 days",IF(M631&lt;=21,"15-21 days","22+ days")))</f>
        <v>8-14 days</v>
      </c>
    </row>
    <row r="632" customFormat="false" ht="15" hidden="false" customHeight="false" outlineLevel="0" collapsed="false">
      <c r="A632" s="21" t="s">
        <v>698</v>
      </c>
      <c r="B632" s="21" t="s">
        <v>156</v>
      </c>
      <c r="C632" s="22" t="n">
        <v>43046</v>
      </c>
      <c r="D632" s="22" t="n">
        <v>43061</v>
      </c>
      <c r="E632" s="22" t="n">
        <v>43069</v>
      </c>
      <c r="F632" s="21" t="s">
        <v>64</v>
      </c>
      <c r="G632" s="23" t="n">
        <v>73.31</v>
      </c>
      <c r="H632" s="23" t="n">
        <v>31.15</v>
      </c>
      <c r="I632" s="21" t="s">
        <v>45</v>
      </c>
      <c r="J632" s="21" t="n">
        <v>4</v>
      </c>
      <c r="K632" s="21" t="s">
        <v>46</v>
      </c>
      <c r="L632" s="24" t="n">
        <f aca="false">DATE(YEAR(C632),MONTH(C632),1)</f>
        <v>43040</v>
      </c>
      <c r="M632" s="21" t="n">
        <f aca="false">D632-C632</f>
        <v>15</v>
      </c>
      <c r="N632" s="21" t="n">
        <f aca="false">MAX(0,D632-E632)</f>
        <v>0</v>
      </c>
      <c r="O632" s="21" t="n">
        <f aca="false">IF(D632&lt;=E632,1,0)</f>
        <v>1</v>
      </c>
      <c r="P632" s="23" t="n">
        <f aca="false">G632+H632</f>
        <v>104.46</v>
      </c>
      <c r="Q632" s="23" t="n">
        <f aca="false">G632*INDEX(Assumptions!$B$8:$B$16,MATCH(F632,Assumptions!$A$8:$A$16,0))</f>
        <v>48.3846</v>
      </c>
      <c r="R632" s="23" t="n">
        <f aca="false">H632*Assumptions!$B$3</f>
        <v>18.69</v>
      </c>
      <c r="S632" s="23" t="n">
        <f aca="false">G632-Q632-R632</f>
        <v>6.2354</v>
      </c>
      <c r="T632" s="21" t="str">
        <f aca="false">IF(M632&lt;=7,"0-7 days",IF(M632&lt;=14,"8-14 days",IF(M632&lt;=21,"15-21 days","22+ days")))</f>
        <v>15-21 days</v>
      </c>
    </row>
    <row r="633" customFormat="false" ht="15" hidden="false" customHeight="false" outlineLevel="0" collapsed="false">
      <c r="A633" s="21" t="s">
        <v>699</v>
      </c>
      <c r="B633" s="21" t="s">
        <v>62</v>
      </c>
      <c r="C633" s="22" t="n">
        <v>43046</v>
      </c>
      <c r="D633" s="22" t="n">
        <v>43064</v>
      </c>
      <c r="E633" s="22" t="n">
        <v>43069</v>
      </c>
      <c r="F633" s="21" t="s">
        <v>53</v>
      </c>
      <c r="G633" s="23" t="n">
        <v>154.84</v>
      </c>
      <c r="H633" s="23" t="n">
        <v>24.98</v>
      </c>
      <c r="I633" s="21" t="s">
        <v>60</v>
      </c>
      <c r="J633" s="21" t="n">
        <v>4</v>
      </c>
      <c r="K633" s="21" t="s">
        <v>46</v>
      </c>
      <c r="L633" s="24" t="n">
        <f aca="false">DATE(YEAR(C633),MONTH(C633),1)</f>
        <v>43040</v>
      </c>
      <c r="M633" s="21" t="n">
        <f aca="false">D633-C633</f>
        <v>18</v>
      </c>
      <c r="N633" s="21" t="n">
        <f aca="false">MAX(0,D633-E633)</f>
        <v>0</v>
      </c>
      <c r="O633" s="21" t="n">
        <f aca="false">IF(D633&lt;=E633,1,0)</f>
        <v>1</v>
      </c>
      <c r="P633" s="23" t="n">
        <f aca="false">G633+H633</f>
        <v>179.82</v>
      </c>
      <c r="Q633" s="23" t="n">
        <f aca="false">G633*INDEX(Assumptions!$B$8:$B$16,MATCH(F633,Assumptions!$A$8:$A$16,0))</f>
        <v>114.5816</v>
      </c>
      <c r="R633" s="23" t="n">
        <f aca="false">H633*Assumptions!$B$3</f>
        <v>14.988</v>
      </c>
      <c r="S633" s="23" t="n">
        <f aca="false">G633-Q633-R633</f>
        <v>25.2704</v>
      </c>
      <c r="T633" s="21" t="str">
        <f aca="false">IF(M633&lt;=7,"0-7 days",IF(M633&lt;=14,"8-14 days",IF(M633&lt;=21,"15-21 days","22+ days")))</f>
        <v>15-21 days</v>
      </c>
    </row>
    <row r="634" customFormat="false" ht="15" hidden="false" customHeight="false" outlineLevel="0" collapsed="false">
      <c r="A634" s="21" t="s">
        <v>700</v>
      </c>
      <c r="B634" s="21" t="s">
        <v>19</v>
      </c>
      <c r="C634" s="22" t="n">
        <v>43046</v>
      </c>
      <c r="D634" s="22" t="n">
        <v>43056</v>
      </c>
      <c r="E634" s="22" t="n">
        <v>43058</v>
      </c>
      <c r="F634" s="21" t="s">
        <v>59</v>
      </c>
      <c r="G634" s="23" t="n">
        <v>109.16</v>
      </c>
      <c r="H634" s="23" t="n">
        <v>17.8</v>
      </c>
      <c r="I634" s="21" t="s">
        <v>60</v>
      </c>
      <c r="J634" s="21" t="n">
        <v>5</v>
      </c>
      <c r="K634" s="21" t="s">
        <v>46</v>
      </c>
      <c r="L634" s="24" t="n">
        <f aca="false">DATE(YEAR(C634),MONTH(C634),1)</f>
        <v>43040</v>
      </c>
      <c r="M634" s="21" t="n">
        <f aca="false">D634-C634</f>
        <v>10</v>
      </c>
      <c r="N634" s="21" t="n">
        <f aca="false">MAX(0,D634-E634)</f>
        <v>0</v>
      </c>
      <c r="O634" s="21" t="n">
        <f aca="false">IF(D634&lt;=E634,1,0)</f>
        <v>1</v>
      </c>
      <c r="P634" s="23" t="n">
        <f aca="false">G634+H634</f>
        <v>126.96</v>
      </c>
      <c r="Q634" s="23" t="n">
        <f aca="false">G634*INDEX(Assumptions!$B$8:$B$16,MATCH(F634,Assumptions!$A$8:$A$16,0))</f>
        <v>69.8624</v>
      </c>
      <c r="R634" s="23" t="n">
        <f aca="false">H634*Assumptions!$B$3</f>
        <v>10.68</v>
      </c>
      <c r="S634" s="23" t="n">
        <f aca="false">G634-Q634-R634</f>
        <v>28.6176</v>
      </c>
      <c r="T634" s="21" t="str">
        <f aca="false">IF(M634&lt;=7,"0-7 days",IF(M634&lt;=14,"8-14 days",IF(M634&lt;=21,"15-21 days","22+ days")))</f>
        <v>8-14 days</v>
      </c>
    </row>
    <row r="635" customFormat="false" ht="15" hidden="false" customHeight="false" outlineLevel="0" collapsed="false">
      <c r="A635" s="21" t="s">
        <v>701</v>
      </c>
      <c r="B635" s="21" t="s">
        <v>62</v>
      </c>
      <c r="C635" s="22" t="n">
        <v>43047</v>
      </c>
      <c r="D635" s="22" t="n">
        <v>43059</v>
      </c>
      <c r="E635" s="22" t="n">
        <v>43068</v>
      </c>
      <c r="F635" s="21" t="s">
        <v>67</v>
      </c>
      <c r="G635" s="23" t="n">
        <v>36.78</v>
      </c>
      <c r="H635" s="23" t="n">
        <v>16.06</v>
      </c>
      <c r="I635" s="21" t="s">
        <v>45</v>
      </c>
      <c r="J635" s="21" t="n">
        <v>5</v>
      </c>
      <c r="K635" s="21" t="s">
        <v>46</v>
      </c>
      <c r="L635" s="24" t="n">
        <f aca="false">DATE(YEAR(C635),MONTH(C635),1)</f>
        <v>43040</v>
      </c>
      <c r="M635" s="21" t="n">
        <f aca="false">D635-C635</f>
        <v>12</v>
      </c>
      <c r="N635" s="21" t="n">
        <f aca="false">MAX(0,D635-E635)</f>
        <v>0</v>
      </c>
      <c r="O635" s="21" t="n">
        <f aca="false">IF(D635&lt;=E635,1,0)</f>
        <v>1</v>
      </c>
      <c r="P635" s="23" t="n">
        <f aca="false">G635+H635</f>
        <v>52.84</v>
      </c>
      <c r="Q635" s="23" t="n">
        <f aca="false">G635*INDEX(Assumptions!$B$8:$B$16,MATCH(F635,Assumptions!$A$8:$A$16,0))</f>
        <v>22.8036</v>
      </c>
      <c r="R635" s="23" t="n">
        <f aca="false">H635*Assumptions!$B$3</f>
        <v>9.636</v>
      </c>
      <c r="S635" s="23" t="n">
        <f aca="false">G635-Q635-R635</f>
        <v>4.3404</v>
      </c>
      <c r="T635" s="21" t="str">
        <f aca="false">IF(M635&lt;=7,"0-7 days",IF(M635&lt;=14,"8-14 days",IF(M635&lt;=21,"15-21 days","22+ days")))</f>
        <v>8-14 days</v>
      </c>
    </row>
    <row r="636" customFormat="false" ht="15" hidden="false" customHeight="false" outlineLevel="0" collapsed="false">
      <c r="A636" s="21" t="s">
        <v>702</v>
      </c>
      <c r="B636" s="21" t="s">
        <v>19</v>
      </c>
      <c r="C636" s="22" t="n">
        <v>43047</v>
      </c>
      <c r="D636" s="22" t="n">
        <v>43051</v>
      </c>
      <c r="E636" s="22" t="n">
        <v>43065</v>
      </c>
      <c r="F636" s="21" t="s">
        <v>53</v>
      </c>
      <c r="G636" s="23" t="n">
        <v>127.33</v>
      </c>
      <c r="H636" s="23" t="n">
        <v>20.53</v>
      </c>
      <c r="I636" s="21" t="s">
        <v>45</v>
      </c>
      <c r="J636" s="21" t="n">
        <v>4</v>
      </c>
      <c r="K636" s="21" t="s">
        <v>46</v>
      </c>
      <c r="L636" s="24" t="n">
        <f aca="false">DATE(YEAR(C636),MONTH(C636),1)</f>
        <v>43040</v>
      </c>
      <c r="M636" s="21" t="n">
        <f aca="false">D636-C636</f>
        <v>4</v>
      </c>
      <c r="N636" s="21" t="n">
        <f aca="false">MAX(0,D636-E636)</f>
        <v>0</v>
      </c>
      <c r="O636" s="21" t="n">
        <f aca="false">IF(D636&lt;=E636,1,0)</f>
        <v>1</v>
      </c>
      <c r="P636" s="23" t="n">
        <f aca="false">G636+H636</f>
        <v>147.86</v>
      </c>
      <c r="Q636" s="23" t="n">
        <f aca="false">G636*INDEX(Assumptions!$B$8:$B$16,MATCH(F636,Assumptions!$A$8:$A$16,0))</f>
        <v>94.2242</v>
      </c>
      <c r="R636" s="23" t="n">
        <f aca="false">H636*Assumptions!$B$3</f>
        <v>12.318</v>
      </c>
      <c r="S636" s="23" t="n">
        <f aca="false">G636-Q636-R636</f>
        <v>20.7878</v>
      </c>
      <c r="T636" s="21" t="str">
        <f aca="false">IF(M636&lt;=7,"0-7 days",IF(M636&lt;=14,"8-14 days",IF(M636&lt;=21,"15-21 days","22+ days")))</f>
        <v>0-7 days</v>
      </c>
    </row>
    <row r="637" customFormat="false" ht="15" hidden="false" customHeight="false" outlineLevel="0" collapsed="false">
      <c r="A637" s="21" t="s">
        <v>703</v>
      </c>
      <c r="B637" s="21" t="s">
        <v>19</v>
      </c>
      <c r="C637" s="22" t="n">
        <v>43047</v>
      </c>
      <c r="D637" s="22" t="n">
        <v>43052</v>
      </c>
      <c r="E637" s="22" t="n">
        <v>43063</v>
      </c>
      <c r="F637" s="21" t="s">
        <v>67</v>
      </c>
      <c r="G637" s="23" t="n">
        <v>198.07</v>
      </c>
      <c r="H637" s="23" t="n">
        <v>19.68</v>
      </c>
      <c r="I637" s="21" t="s">
        <v>45</v>
      </c>
      <c r="J637" s="21" t="n">
        <v>5</v>
      </c>
      <c r="K637" s="21" t="s">
        <v>46</v>
      </c>
      <c r="L637" s="24" t="n">
        <f aca="false">DATE(YEAR(C637),MONTH(C637),1)</f>
        <v>43040</v>
      </c>
      <c r="M637" s="21" t="n">
        <f aca="false">D637-C637</f>
        <v>5</v>
      </c>
      <c r="N637" s="21" t="n">
        <f aca="false">MAX(0,D637-E637)</f>
        <v>0</v>
      </c>
      <c r="O637" s="21" t="n">
        <f aca="false">IF(D637&lt;=E637,1,0)</f>
        <v>1</v>
      </c>
      <c r="P637" s="23" t="n">
        <f aca="false">G637+H637</f>
        <v>217.75</v>
      </c>
      <c r="Q637" s="23" t="n">
        <f aca="false">G637*INDEX(Assumptions!$B$8:$B$16,MATCH(F637,Assumptions!$A$8:$A$16,0))</f>
        <v>122.8034</v>
      </c>
      <c r="R637" s="23" t="n">
        <f aca="false">H637*Assumptions!$B$3</f>
        <v>11.808</v>
      </c>
      <c r="S637" s="23" t="n">
        <f aca="false">G637-Q637-R637</f>
        <v>63.4586</v>
      </c>
      <c r="T637" s="21" t="str">
        <f aca="false">IF(M637&lt;=7,"0-7 days",IF(M637&lt;=14,"8-14 days",IF(M637&lt;=21,"15-21 days","22+ days")))</f>
        <v>0-7 days</v>
      </c>
    </row>
    <row r="638" customFormat="false" ht="15" hidden="false" customHeight="false" outlineLevel="0" collapsed="false">
      <c r="A638" s="21" t="s">
        <v>704</v>
      </c>
      <c r="B638" s="21" t="s">
        <v>77</v>
      </c>
      <c r="C638" s="22" t="n">
        <v>43047</v>
      </c>
      <c r="D638" s="22" t="n">
        <v>43072</v>
      </c>
      <c r="E638" s="22" t="n">
        <v>43070</v>
      </c>
      <c r="F638" s="21" t="s">
        <v>49</v>
      </c>
      <c r="G638" s="23" t="n">
        <v>31.03</v>
      </c>
      <c r="H638" s="23" t="n">
        <v>21.71</v>
      </c>
      <c r="I638" s="21" t="s">
        <v>45</v>
      </c>
      <c r="J638" s="21" t="n">
        <v>2</v>
      </c>
      <c r="K638" s="21" t="s">
        <v>46</v>
      </c>
      <c r="L638" s="24" t="n">
        <f aca="false">DATE(YEAR(C638),MONTH(C638),1)</f>
        <v>43040</v>
      </c>
      <c r="M638" s="21" t="n">
        <f aca="false">D638-C638</f>
        <v>25</v>
      </c>
      <c r="N638" s="21" t="n">
        <f aca="false">MAX(0,D638-E638)</f>
        <v>2</v>
      </c>
      <c r="O638" s="21" t="n">
        <f aca="false">IF(D638&lt;=E638,1,0)</f>
        <v>0</v>
      </c>
      <c r="P638" s="23" t="n">
        <f aca="false">G638+H638</f>
        <v>52.74</v>
      </c>
      <c r="Q638" s="23" t="n">
        <f aca="false">G638*INDEX(Assumptions!$B$8:$B$16,MATCH(F638,Assumptions!$A$8:$A$16,0))</f>
        <v>17.9974</v>
      </c>
      <c r="R638" s="23" t="n">
        <f aca="false">H638*Assumptions!$B$3</f>
        <v>13.026</v>
      </c>
      <c r="S638" s="23" t="n">
        <f aca="false">G638-Q638-R638</f>
        <v>0.00660000000000238</v>
      </c>
      <c r="T638" s="21" t="str">
        <f aca="false">IF(M638&lt;=7,"0-7 days",IF(M638&lt;=14,"8-14 days",IF(M638&lt;=21,"15-21 days","22+ days")))</f>
        <v>22+ days</v>
      </c>
    </row>
    <row r="639" customFormat="false" ht="15" hidden="false" customHeight="false" outlineLevel="0" collapsed="false">
      <c r="A639" s="21" t="s">
        <v>705</v>
      </c>
      <c r="B639" s="21" t="s">
        <v>55</v>
      </c>
      <c r="C639" s="22" t="n">
        <v>43047</v>
      </c>
      <c r="D639" s="22" t="n">
        <v>43058</v>
      </c>
      <c r="E639" s="22" t="n">
        <v>43074</v>
      </c>
      <c r="F639" s="21" t="s">
        <v>59</v>
      </c>
      <c r="G639" s="23" t="n">
        <v>40.6</v>
      </c>
      <c r="H639" s="23" t="n">
        <v>17.81</v>
      </c>
      <c r="I639" s="21" t="s">
        <v>50</v>
      </c>
      <c r="J639" s="21" t="n">
        <v>4</v>
      </c>
      <c r="K639" s="21" t="s">
        <v>46</v>
      </c>
      <c r="L639" s="24" t="n">
        <f aca="false">DATE(YEAR(C639),MONTH(C639),1)</f>
        <v>43040</v>
      </c>
      <c r="M639" s="21" t="n">
        <f aca="false">D639-C639</f>
        <v>11</v>
      </c>
      <c r="N639" s="21" t="n">
        <f aca="false">MAX(0,D639-E639)</f>
        <v>0</v>
      </c>
      <c r="O639" s="21" t="n">
        <f aca="false">IF(D639&lt;=E639,1,0)</f>
        <v>1</v>
      </c>
      <c r="P639" s="23" t="n">
        <f aca="false">G639+H639</f>
        <v>58.41</v>
      </c>
      <c r="Q639" s="23" t="n">
        <f aca="false">G639*INDEX(Assumptions!$B$8:$B$16,MATCH(F639,Assumptions!$A$8:$A$16,0))</f>
        <v>25.984</v>
      </c>
      <c r="R639" s="23" t="n">
        <f aca="false">H639*Assumptions!$B$3</f>
        <v>10.686</v>
      </c>
      <c r="S639" s="23" t="n">
        <f aca="false">G639-Q639-R639</f>
        <v>3.93</v>
      </c>
      <c r="T639" s="21" t="str">
        <f aca="false">IF(M639&lt;=7,"0-7 days",IF(M639&lt;=14,"8-14 days",IF(M639&lt;=21,"15-21 days","22+ days")))</f>
        <v>8-14 days</v>
      </c>
    </row>
    <row r="640" customFormat="false" ht="15" hidden="false" customHeight="false" outlineLevel="0" collapsed="false">
      <c r="A640" s="21" t="s">
        <v>706</v>
      </c>
      <c r="B640" s="21" t="s">
        <v>52</v>
      </c>
      <c r="C640" s="22" t="n">
        <v>43047</v>
      </c>
      <c r="D640" s="22" t="n">
        <v>43059</v>
      </c>
      <c r="E640" s="22" t="n">
        <v>43068</v>
      </c>
      <c r="F640" s="21" t="s">
        <v>111</v>
      </c>
      <c r="G640" s="23" t="n">
        <v>130.64</v>
      </c>
      <c r="H640" s="23" t="n">
        <v>29.62</v>
      </c>
      <c r="I640" s="21" t="s">
        <v>45</v>
      </c>
      <c r="J640" s="21" t="n">
        <v>4</v>
      </c>
      <c r="K640" s="21" t="s">
        <v>46</v>
      </c>
      <c r="L640" s="24" t="n">
        <f aca="false">DATE(YEAR(C640),MONTH(C640),1)</f>
        <v>43040</v>
      </c>
      <c r="M640" s="21" t="n">
        <f aca="false">D640-C640</f>
        <v>12</v>
      </c>
      <c r="N640" s="21" t="n">
        <f aca="false">MAX(0,D640-E640)</f>
        <v>0</v>
      </c>
      <c r="O640" s="21" t="n">
        <f aca="false">IF(D640&lt;=E640,1,0)</f>
        <v>1</v>
      </c>
      <c r="P640" s="23" t="n">
        <f aca="false">G640+H640</f>
        <v>160.26</v>
      </c>
      <c r="Q640" s="23" t="n">
        <f aca="false">G640*INDEX(Assumptions!$B$8:$B$16,MATCH(F640,Assumptions!$A$8:$A$16,0))</f>
        <v>82.3032</v>
      </c>
      <c r="R640" s="23" t="n">
        <f aca="false">H640*Assumptions!$B$3</f>
        <v>17.772</v>
      </c>
      <c r="S640" s="23" t="n">
        <f aca="false">G640-Q640-R640</f>
        <v>30.5648</v>
      </c>
      <c r="T640" s="21" t="str">
        <f aca="false">IF(M640&lt;=7,"0-7 days",IF(M640&lt;=14,"8-14 days",IF(M640&lt;=21,"15-21 days","22+ days")))</f>
        <v>8-14 days</v>
      </c>
    </row>
    <row r="641" customFormat="false" ht="15" hidden="false" customHeight="false" outlineLevel="0" collapsed="false">
      <c r="A641" s="21" t="s">
        <v>707</v>
      </c>
      <c r="B641" s="21" t="s">
        <v>19</v>
      </c>
      <c r="C641" s="22" t="n">
        <v>43048</v>
      </c>
      <c r="D641" s="22" t="n">
        <v>43057</v>
      </c>
      <c r="E641" s="22" t="n">
        <v>43065</v>
      </c>
      <c r="F641" s="21" t="s">
        <v>53</v>
      </c>
      <c r="G641" s="23" t="n">
        <v>264.82</v>
      </c>
      <c r="H641" s="23" t="n">
        <v>25.25</v>
      </c>
      <c r="I641" s="21" t="s">
        <v>60</v>
      </c>
      <c r="J641" s="21" t="n">
        <v>4</v>
      </c>
      <c r="K641" s="21" t="s">
        <v>46</v>
      </c>
      <c r="L641" s="24" t="n">
        <f aca="false">DATE(YEAR(C641),MONTH(C641),1)</f>
        <v>43040</v>
      </c>
      <c r="M641" s="21" t="n">
        <f aca="false">D641-C641</f>
        <v>9</v>
      </c>
      <c r="N641" s="21" t="n">
        <f aca="false">MAX(0,D641-E641)</f>
        <v>0</v>
      </c>
      <c r="O641" s="21" t="n">
        <f aca="false">IF(D641&lt;=E641,1,0)</f>
        <v>1</v>
      </c>
      <c r="P641" s="23" t="n">
        <f aca="false">G641+H641</f>
        <v>290.07</v>
      </c>
      <c r="Q641" s="23" t="n">
        <f aca="false">G641*INDEX(Assumptions!$B$8:$B$16,MATCH(F641,Assumptions!$A$8:$A$16,0))</f>
        <v>195.9668</v>
      </c>
      <c r="R641" s="23" t="n">
        <f aca="false">H641*Assumptions!$B$3</f>
        <v>15.15</v>
      </c>
      <c r="S641" s="23" t="n">
        <f aca="false">G641-Q641-R641</f>
        <v>53.7032</v>
      </c>
      <c r="T641" s="21" t="str">
        <f aca="false">IF(M641&lt;=7,"0-7 days",IF(M641&lt;=14,"8-14 days",IF(M641&lt;=21,"15-21 days","22+ days")))</f>
        <v>8-14 days</v>
      </c>
    </row>
    <row r="642" customFormat="false" ht="15" hidden="false" customHeight="false" outlineLevel="0" collapsed="false">
      <c r="A642" s="21" t="s">
        <v>708</v>
      </c>
      <c r="B642" s="21" t="s">
        <v>19</v>
      </c>
      <c r="C642" s="22" t="n">
        <v>43048</v>
      </c>
      <c r="D642" s="22" t="n">
        <v>43058</v>
      </c>
      <c r="E642" s="22" t="n">
        <v>43062</v>
      </c>
      <c r="F642" s="21" t="s">
        <v>79</v>
      </c>
      <c r="G642" s="23" t="n">
        <v>139.44</v>
      </c>
      <c r="H642" s="23" t="n">
        <v>19.19</v>
      </c>
      <c r="I642" s="21" t="s">
        <v>45</v>
      </c>
      <c r="J642" s="21" t="n">
        <v>4</v>
      </c>
      <c r="K642" s="21" t="s">
        <v>46</v>
      </c>
      <c r="L642" s="24" t="n">
        <f aca="false">DATE(YEAR(C642),MONTH(C642),1)</f>
        <v>43040</v>
      </c>
      <c r="M642" s="21" t="n">
        <f aca="false">D642-C642</f>
        <v>10</v>
      </c>
      <c r="N642" s="21" t="n">
        <f aca="false">MAX(0,D642-E642)</f>
        <v>0</v>
      </c>
      <c r="O642" s="21" t="n">
        <f aca="false">IF(D642&lt;=E642,1,0)</f>
        <v>1</v>
      </c>
      <c r="P642" s="23" t="n">
        <f aca="false">G642+H642</f>
        <v>158.63</v>
      </c>
      <c r="Q642" s="23" t="n">
        <f aca="false">G642*INDEX(Assumptions!$B$8:$B$16,MATCH(F642,Assumptions!$A$8:$A$16,0))</f>
        <v>97.608</v>
      </c>
      <c r="R642" s="23" t="n">
        <f aca="false">H642*Assumptions!$B$3</f>
        <v>11.514</v>
      </c>
      <c r="S642" s="23" t="n">
        <f aca="false">G642-Q642-R642</f>
        <v>30.318</v>
      </c>
      <c r="T642" s="21" t="str">
        <f aca="false">IF(M642&lt;=7,"0-7 days",IF(M642&lt;=14,"8-14 days",IF(M642&lt;=21,"15-21 days","22+ days")))</f>
        <v>8-14 days</v>
      </c>
    </row>
    <row r="643" customFormat="false" ht="15" hidden="false" customHeight="false" outlineLevel="0" collapsed="false">
      <c r="A643" s="21" t="s">
        <v>709</v>
      </c>
      <c r="B643" s="21" t="s">
        <v>19</v>
      </c>
      <c r="C643" s="22" t="n">
        <v>43048</v>
      </c>
      <c r="D643" s="22" t="n">
        <v>43057</v>
      </c>
      <c r="E643" s="22" t="n">
        <v>43066</v>
      </c>
      <c r="F643" s="21" t="s">
        <v>57</v>
      </c>
      <c r="G643" s="23" t="n">
        <v>162.1</v>
      </c>
      <c r="H643" s="23" t="n">
        <v>18.47</v>
      </c>
      <c r="I643" s="21" t="s">
        <v>45</v>
      </c>
      <c r="J643" s="21" t="n">
        <v>4</v>
      </c>
      <c r="K643" s="21" t="s">
        <v>46</v>
      </c>
      <c r="L643" s="24" t="n">
        <f aca="false">DATE(YEAR(C643),MONTH(C643),1)</f>
        <v>43040</v>
      </c>
      <c r="M643" s="21" t="n">
        <f aca="false">D643-C643</f>
        <v>9</v>
      </c>
      <c r="N643" s="21" t="n">
        <f aca="false">MAX(0,D643-E643)</f>
        <v>0</v>
      </c>
      <c r="O643" s="21" t="n">
        <f aca="false">IF(D643&lt;=E643,1,0)</f>
        <v>1</v>
      </c>
      <c r="P643" s="23" t="n">
        <f aca="false">G643+H643</f>
        <v>180.57</v>
      </c>
      <c r="Q643" s="23" t="n">
        <f aca="false">G643*INDEX(Assumptions!$B$8:$B$16,MATCH(F643,Assumptions!$A$8:$A$16,0))</f>
        <v>110.228</v>
      </c>
      <c r="R643" s="23" t="n">
        <f aca="false">H643*Assumptions!$B$3</f>
        <v>11.082</v>
      </c>
      <c r="S643" s="23" t="n">
        <f aca="false">G643-Q643-R643</f>
        <v>40.79</v>
      </c>
      <c r="T643" s="21" t="str">
        <f aca="false">IF(M643&lt;=7,"0-7 days",IF(M643&lt;=14,"8-14 days",IF(M643&lt;=21,"15-21 days","22+ days")))</f>
        <v>8-14 days</v>
      </c>
    </row>
    <row r="644" customFormat="false" ht="15" hidden="false" customHeight="false" outlineLevel="0" collapsed="false">
      <c r="A644" s="21" t="s">
        <v>710</v>
      </c>
      <c r="B644" s="21" t="s">
        <v>19</v>
      </c>
      <c r="C644" s="22" t="n">
        <v>43048</v>
      </c>
      <c r="D644" s="22" t="n">
        <v>43062</v>
      </c>
      <c r="E644" s="22" t="n">
        <v>43064</v>
      </c>
      <c r="F644" s="21" t="s">
        <v>59</v>
      </c>
      <c r="G644" s="23" t="n">
        <v>101.26</v>
      </c>
      <c r="H644" s="23" t="n">
        <v>17.29</v>
      </c>
      <c r="I644" s="21" t="s">
        <v>45</v>
      </c>
      <c r="J644" s="21" t="n">
        <v>4</v>
      </c>
      <c r="K644" s="21" t="s">
        <v>46</v>
      </c>
      <c r="L644" s="24" t="n">
        <f aca="false">DATE(YEAR(C644),MONTH(C644),1)</f>
        <v>43040</v>
      </c>
      <c r="M644" s="21" t="n">
        <f aca="false">D644-C644</f>
        <v>14</v>
      </c>
      <c r="N644" s="21" t="n">
        <f aca="false">MAX(0,D644-E644)</f>
        <v>0</v>
      </c>
      <c r="O644" s="21" t="n">
        <f aca="false">IF(D644&lt;=E644,1,0)</f>
        <v>1</v>
      </c>
      <c r="P644" s="23" t="n">
        <f aca="false">G644+H644</f>
        <v>118.55</v>
      </c>
      <c r="Q644" s="23" t="n">
        <f aca="false">G644*INDEX(Assumptions!$B$8:$B$16,MATCH(F644,Assumptions!$A$8:$A$16,0))</f>
        <v>64.8064</v>
      </c>
      <c r="R644" s="23" t="n">
        <f aca="false">H644*Assumptions!$B$3</f>
        <v>10.374</v>
      </c>
      <c r="S644" s="23" t="n">
        <f aca="false">G644-Q644-R644</f>
        <v>26.0796</v>
      </c>
      <c r="T644" s="21" t="str">
        <f aca="false">IF(M644&lt;=7,"0-7 days",IF(M644&lt;=14,"8-14 days",IF(M644&lt;=21,"15-21 days","22+ days")))</f>
        <v>8-14 days</v>
      </c>
    </row>
    <row r="645" customFormat="false" ht="15" hidden="false" customHeight="false" outlineLevel="0" collapsed="false">
      <c r="A645" s="21" t="s">
        <v>711</v>
      </c>
      <c r="B645" s="21" t="s">
        <v>19</v>
      </c>
      <c r="C645" s="22" t="n">
        <v>43049</v>
      </c>
      <c r="D645" s="22" t="n">
        <v>43055</v>
      </c>
      <c r="E645" s="22" t="n">
        <v>43063</v>
      </c>
      <c r="F645" s="21" t="s">
        <v>67</v>
      </c>
      <c r="G645" s="23" t="n">
        <v>139.09</v>
      </c>
      <c r="H645" s="23" t="n">
        <v>18.91</v>
      </c>
      <c r="I645" s="21" t="s">
        <v>45</v>
      </c>
      <c r="J645" s="21" t="n">
        <v>4</v>
      </c>
      <c r="K645" s="21" t="s">
        <v>46</v>
      </c>
      <c r="L645" s="24" t="n">
        <f aca="false">DATE(YEAR(C645),MONTH(C645),1)</f>
        <v>43040</v>
      </c>
      <c r="M645" s="21" t="n">
        <f aca="false">D645-C645</f>
        <v>6</v>
      </c>
      <c r="N645" s="21" t="n">
        <f aca="false">MAX(0,D645-E645)</f>
        <v>0</v>
      </c>
      <c r="O645" s="21" t="n">
        <f aca="false">IF(D645&lt;=E645,1,0)</f>
        <v>1</v>
      </c>
      <c r="P645" s="23" t="n">
        <f aca="false">G645+H645</f>
        <v>158</v>
      </c>
      <c r="Q645" s="23" t="n">
        <f aca="false">G645*INDEX(Assumptions!$B$8:$B$16,MATCH(F645,Assumptions!$A$8:$A$16,0))</f>
        <v>86.2358</v>
      </c>
      <c r="R645" s="23" t="n">
        <f aca="false">H645*Assumptions!$B$3</f>
        <v>11.346</v>
      </c>
      <c r="S645" s="23" t="n">
        <f aca="false">G645-Q645-R645</f>
        <v>41.5082</v>
      </c>
      <c r="T645" s="21" t="str">
        <f aca="false">IF(M645&lt;=7,"0-7 days",IF(M645&lt;=14,"8-14 days",IF(M645&lt;=21,"15-21 days","22+ days")))</f>
        <v>0-7 days</v>
      </c>
    </row>
    <row r="646" customFormat="false" ht="15" hidden="false" customHeight="false" outlineLevel="0" collapsed="false">
      <c r="A646" s="21" t="s">
        <v>712</v>
      </c>
      <c r="B646" s="21" t="s">
        <v>201</v>
      </c>
      <c r="C646" s="22" t="n">
        <v>43049</v>
      </c>
      <c r="D646" s="22" t="n">
        <v>43067</v>
      </c>
      <c r="E646" s="22" t="n">
        <v>43082</v>
      </c>
      <c r="F646" s="21" t="s">
        <v>79</v>
      </c>
      <c r="G646" s="23" t="n">
        <v>84.51</v>
      </c>
      <c r="H646" s="23" t="n">
        <v>40.91</v>
      </c>
      <c r="I646" s="21" t="s">
        <v>45</v>
      </c>
      <c r="J646" s="21" t="n">
        <v>4</v>
      </c>
      <c r="K646" s="21" t="s">
        <v>46</v>
      </c>
      <c r="L646" s="24" t="n">
        <f aca="false">DATE(YEAR(C646),MONTH(C646),1)</f>
        <v>43040</v>
      </c>
      <c r="M646" s="21" t="n">
        <f aca="false">D646-C646</f>
        <v>18</v>
      </c>
      <c r="N646" s="21" t="n">
        <f aca="false">MAX(0,D646-E646)</f>
        <v>0</v>
      </c>
      <c r="O646" s="21" t="n">
        <f aca="false">IF(D646&lt;=E646,1,0)</f>
        <v>1</v>
      </c>
      <c r="P646" s="23" t="n">
        <f aca="false">G646+H646</f>
        <v>125.42</v>
      </c>
      <c r="Q646" s="23" t="n">
        <f aca="false">G646*INDEX(Assumptions!$B$8:$B$16,MATCH(F646,Assumptions!$A$8:$A$16,0))</f>
        <v>59.157</v>
      </c>
      <c r="R646" s="23" t="n">
        <f aca="false">H646*Assumptions!$B$3</f>
        <v>24.546</v>
      </c>
      <c r="S646" s="23" t="n">
        <f aca="false">G646-Q646-R646</f>
        <v>0.807000000000013</v>
      </c>
      <c r="T646" s="21" t="str">
        <f aca="false">IF(M646&lt;=7,"0-7 days",IF(M646&lt;=14,"8-14 days",IF(M646&lt;=21,"15-21 days","22+ days")))</f>
        <v>15-21 days</v>
      </c>
    </row>
    <row r="647" customFormat="false" ht="15" hidden="false" customHeight="false" outlineLevel="0" collapsed="false">
      <c r="A647" s="21" t="s">
        <v>713</v>
      </c>
      <c r="B647" s="21" t="s">
        <v>19</v>
      </c>
      <c r="C647" s="22" t="n">
        <v>43049</v>
      </c>
      <c r="D647" s="22" t="n">
        <v>43054</v>
      </c>
      <c r="E647" s="22" t="n">
        <v>43064</v>
      </c>
      <c r="F647" s="21" t="s">
        <v>49</v>
      </c>
      <c r="G647" s="23" t="n">
        <v>193.69</v>
      </c>
      <c r="H647" s="23" t="n">
        <v>24.6</v>
      </c>
      <c r="I647" s="21" t="s">
        <v>45</v>
      </c>
      <c r="J647" s="21" t="n">
        <v>5</v>
      </c>
      <c r="K647" s="21" t="s">
        <v>46</v>
      </c>
      <c r="L647" s="24" t="n">
        <f aca="false">DATE(YEAR(C647),MONTH(C647),1)</f>
        <v>43040</v>
      </c>
      <c r="M647" s="21" t="n">
        <f aca="false">D647-C647</f>
        <v>5</v>
      </c>
      <c r="N647" s="21" t="n">
        <f aca="false">MAX(0,D647-E647)</f>
        <v>0</v>
      </c>
      <c r="O647" s="21" t="n">
        <f aca="false">IF(D647&lt;=E647,1,0)</f>
        <v>1</v>
      </c>
      <c r="P647" s="23" t="n">
        <f aca="false">G647+H647</f>
        <v>218.29</v>
      </c>
      <c r="Q647" s="23" t="n">
        <f aca="false">G647*INDEX(Assumptions!$B$8:$B$16,MATCH(F647,Assumptions!$A$8:$A$16,0))</f>
        <v>112.3402</v>
      </c>
      <c r="R647" s="23" t="n">
        <f aca="false">H647*Assumptions!$B$3</f>
        <v>14.76</v>
      </c>
      <c r="S647" s="23" t="n">
        <f aca="false">G647-Q647-R647</f>
        <v>66.5898</v>
      </c>
      <c r="T647" s="21" t="str">
        <f aca="false">IF(M647&lt;=7,"0-7 days",IF(M647&lt;=14,"8-14 days",IF(M647&lt;=21,"15-21 days","22+ days")))</f>
        <v>0-7 days</v>
      </c>
    </row>
    <row r="648" customFormat="false" ht="15" hidden="false" customHeight="false" outlineLevel="0" collapsed="false">
      <c r="A648" s="21" t="s">
        <v>714</v>
      </c>
      <c r="B648" s="21" t="s">
        <v>174</v>
      </c>
      <c r="C648" s="22" t="n">
        <v>43049</v>
      </c>
      <c r="D648" s="22" t="n">
        <v>43073</v>
      </c>
      <c r="E648" s="22" t="n">
        <v>43080</v>
      </c>
      <c r="F648" s="21" t="s">
        <v>59</v>
      </c>
      <c r="G648" s="23" t="n">
        <v>48.47</v>
      </c>
      <c r="H648" s="23" t="n">
        <v>32.17</v>
      </c>
      <c r="I648" s="21" t="s">
        <v>60</v>
      </c>
      <c r="J648" s="21" t="n">
        <v>4</v>
      </c>
      <c r="K648" s="21" t="s">
        <v>46</v>
      </c>
      <c r="L648" s="24" t="n">
        <f aca="false">DATE(YEAR(C648),MONTH(C648),1)</f>
        <v>43040</v>
      </c>
      <c r="M648" s="21" t="n">
        <f aca="false">D648-C648</f>
        <v>24</v>
      </c>
      <c r="N648" s="21" t="n">
        <f aca="false">MAX(0,D648-E648)</f>
        <v>0</v>
      </c>
      <c r="O648" s="21" t="n">
        <f aca="false">IF(D648&lt;=E648,1,0)</f>
        <v>1</v>
      </c>
      <c r="P648" s="23" t="n">
        <f aca="false">G648+H648</f>
        <v>80.64</v>
      </c>
      <c r="Q648" s="23" t="n">
        <f aca="false">G648*INDEX(Assumptions!$B$8:$B$16,MATCH(F648,Assumptions!$A$8:$A$16,0))</f>
        <v>31.0208</v>
      </c>
      <c r="R648" s="23" t="n">
        <f aca="false">H648*Assumptions!$B$3</f>
        <v>19.302</v>
      </c>
      <c r="S648" s="23" t="n">
        <f aca="false">G648-Q648-R648</f>
        <v>-1.8528</v>
      </c>
      <c r="T648" s="21" t="str">
        <f aca="false">IF(M648&lt;=7,"0-7 days",IF(M648&lt;=14,"8-14 days",IF(M648&lt;=21,"15-21 days","22+ days")))</f>
        <v>22+ days</v>
      </c>
    </row>
    <row r="649" customFormat="false" ht="15" hidden="false" customHeight="false" outlineLevel="0" collapsed="false">
      <c r="A649" s="21" t="s">
        <v>715</v>
      </c>
      <c r="B649" s="21" t="s">
        <v>62</v>
      </c>
      <c r="C649" s="22" t="n">
        <v>43049</v>
      </c>
      <c r="D649" s="22" t="n">
        <v>43060</v>
      </c>
      <c r="E649" s="22" t="n">
        <v>43069</v>
      </c>
      <c r="F649" s="21" t="s">
        <v>49</v>
      </c>
      <c r="G649" s="23" t="n">
        <v>108.09</v>
      </c>
      <c r="H649" s="23" t="n">
        <v>19.77</v>
      </c>
      <c r="I649" s="21" t="s">
        <v>45</v>
      </c>
      <c r="J649" s="21" t="n">
        <v>5</v>
      </c>
      <c r="K649" s="21" t="s">
        <v>46</v>
      </c>
      <c r="L649" s="24" t="n">
        <f aca="false">DATE(YEAR(C649),MONTH(C649),1)</f>
        <v>43040</v>
      </c>
      <c r="M649" s="21" t="n">
        <f aca="false">D649-C649</f>
        <v>11</v>
      </c>
      <c r="N649" s="21" t="n">
        <f aca="false">MAX(0,D649-E649)</f>
        <v>0</v>
      </c>
      <c r="O649" s="21" t="n">
        <f aca="false">IF(D649&lt;=E649,1,0)</f>
        <v>1</v>
      </c>
      <c r="P649" s="23" t="n">
        <f aca="false">G649+H649</f>
        <v>127.86</v>
      </c>
      <c r="Q649" s="23" t="n">
        <f aca="false">G649*INDEX(Assumptions!$B$8:$B$16,MATCH(F649,Assumptions!$A$8:$A$16,0))</f>
        <v>62.6922</v>
      </c>
      <c r="R649" s="23" t="n">
        <f aca="false">H649*Assumptions!$B$3</f>
        <v>11.862</v>
      </c>
      <c r="S649" s="23" t="n">
        <f aca="false">G649-Q649-R649</f>
        <v>33.5358</v>
      </c>
      <c r="T649" s="21" t="str">
        <f aca="false">IF(M649&lt;=7,"0-7 days",IF(M649&lt;=14,"8-14 days",IF(M649&lt;=21,"15-21 days","22+ days")))</f>
        <v>8-14 days</v>
      </c>
    </row>
    <row r="650" customFormat="false" ht="15" hidden="false" customHeight="false" outlineLevel="0" collapsed="false">
      <c r="A650" s="21" t="s">
        <v>716</v>
      </c>
      <c r="B650" s="21" t="s">
        <v>55</v>
      </c>
      <c r="C650" s="22" t="n">
        <v>43049</v>
      </c>
      <c r="D650" s="22" t="n">
        <v>43063</v>
      </c>
      <c r="E650" s="22" t="n">
        <v>43071</v>
      </c>
      <c r="F650" s="21" t="s">
        <v>111</v>
      </c>
      <c r="G650" s="23" t="n">
        <v>41.97</v>
      </c>
      <c r="H650" s="23" t="n">
        <v>18.27</v>
      </c>
      <c r="I650" s="21" t="s">
        <v>45</v>
      </c>
      <c r="J650" s="21" t="n">
        <v>3</v>
      </c>
      <c r="K650" s="21" t="s">
        <v>46</v>
      </c>
      <c r="L650" s="24" t="n">
        <f aca="false">DATE(YEAR(C650),MONTH(C650),1)</f>
        <v>43040</v>
      </c>
      <c r="M650" s="21" t="n">
        <f aca="false">D650-C650</f>
        <v>14</v>
      </c>
      <c r="N650" s="21" t="n">
        <f aca="false">MAX(0,D650-E650)</f>
        <v>0</v>
      </c>
      <c r="O650" s="21" t="n">
        <f aca="false">IF(D650&lt;=E650,1,0)</f>
        <v>1</v>
      </c>
      <c r="P650" s="23" t="n">
        <f aca="false">G650+H650</f>
        <v>60.24</v>
      </c>
      <c r="Q650" s="23" t="n">
        <f aca="false">G650*INDEX(Assumptions!$B$8:$B$16,MATCH(F650,Assumptions!$A$8:$A$16,0))</f>
        <v>26.4411</v>
      </c>
      <c r="R650" s="23" t="n">
        <f aca="false">H650*Assumptions!$B$3</f>
        <v>10.962</v>
      </c>
      <c r="S650" s="23" t="n">
        <f aca="false">G650-Q650-R650</f>
        <v>4.5669</v>
      </c>
      <c r="T650" s="21" t="str">
        <f aca="false">IF(M650&lt;=7,"0-7 days",IF(M650&lt;=14,"8-14 days",IF(M650&lt;=21,"15-21 days","22+ days")))</f>
        <v>8-14 days</v>
      </c>
    </row>
    <row r="651" customFormat="false" ht="15" hidden="false" customHeight="false" outlineLevel="0" collapsed="false">
      <c r="A651" s="21" t="s">
        <v>717</v>
      </c>
      <c r="B651" s="21" t="s">
        <v>19</v>
      </c>
      <c r="C651" s="22" t="n">
        <v>43049</v>
      </c>
      <c r="D651" s="22" t="n">
        <v>43055</v>
      </c>
      <c r="E651" s="22" t="n">
        <v>43062</v>
      </c>
      <c r="F651" s="21" t="s">
        <v>67</v>
      </c>
      <c r="G651" s="23" t="n">
        <v>52.97</v>
      </c>
      <c r="H651" s="23" t="n">
        <v>20.3</v>
      </c>
      <c r="I651" s="21" t="s">
        <v>50</v>
      </c>
      <c r="J651" s="21" t="n">
        <v>5</v>
      </c>
      <c r="K651" s="21" t="s">
        <v>46</v>
      </c>
      <c r="L651" s="24" t="n">
        <f aca="false">DATE(YEAR(C651),MONTH(C651),1)</f>
        <v>43040</v>
      </c>
      <c r="M651" s="21" t="n">
        <f aca="false">D651-C651</f>
        <v>6</v>
      </c>
      <c r="N651" s="21" t="n">
        <f aca="false">MAX(0,D651-E651)</f>
        <v>0</v>
      </c>
      <c r="O651" s="21" t="n">
        <f aca="false">IF(D651&lt;=E651,1,0)</f>
        <v>1</v>
      </c>
      <c r="P651" s="23" t="n">
        <f aca="false">G651+H651</f>
        <v>73.27</v>
      </c>
      <c r="Q651" s="23" t="n">
        <f aca="false">G651*INDEX(Assumptions!$B$8:$B$16,MATCH(F651,Assumptions!$A$8:$A$16,0))</f>
        <v>32.8414</v>
      </c>
      <c r="R651" s="23" t="n">
        <f aca="false">H651*Assumptions!$B$3</f>
        <v>12.18</v>
      </c>
      <c r="S651" s="23" t="n">
        <f aca="false">G651-Q651-R651</f>
        <v>7.9486</v>
      </c>
      <c r="T651" s="21" t="str">
        <f aca="false">IF(M651&lt;=7,"0-7 days",IF(M651&lt;=14,"8-14 days",IF(M651&lt;=21,"15-21 days","22+ days")))</f>
        <v>0-7 days</v>
      </c>
    </row>
    <row r="652" customFormat="false" ht="15" hidden="false" customHeight="false" outlineLevel="0" collapsed="false">
      <c r="A652" s="21" t="s">
        <v>718</v>
      </c>
      <c r="B652" s="21" t="s">
        <v>55</v>
      </c>
      <c r="C652" s="22" t="n">
        <v>43049</v>
      </c>
      <c r="D652" s="22" t="n">
        <v>43064</v>
      </c>
      <c r="E652" s="22" t="n">
        <v>43076</v>
      </c>
      <c r="F652" s="21" t="s">
        <v>64</v>
      </c>
      <c r="G652" s="23" t="n">
        <v>140.94</v>
      </c>
      <c r="H652" s="23" t="n">
        <v>21.64</v>
      </c>
      <c r="I652" s="21" t="s">
        <v>45</v>
      </c>
      <c r="J652" s="21" t="n">
        <v>5</v>
      </c>
      <c r="K652" s="21" t="s">
        <v>46</v>
      </c>
      <c r="L652" s="24" t="n">
        <f aca="false">DATE(YEAR(C652),MONTH(C652),1)</f>
        <v>43040</v>
      </c>
      <c r="M652" s="21" t="n">
        <f aca="false">D652-C652</f>
        <v>15</v>
      </c>
      <c r="N652" s="21" t="n">
        <f aca="false">MAX(0,D652-E652)</f>
        <v>0</v>
      </c>
      <c r="O652" s="21" t="n">
        <f aca="false">IF(D652&lt;=E652,1,0)</f>
        <v>1</v>
      </c>
      <c r="P652" s="23" t="n">
        <f aca="false">G652+H652</f>
        <v>162.58</v>
      </c>
      <c r="Q652" s="23" t="n">
        <f aca="false">G652*INDEX(Assumptions!$B$8:$B$16,MATCH(F652,Assumptions!$A$8:$A$16,0))</f>
        <v>93.0204</v>
      </c>
      <c r="R652" s="23" t="n">
        <f aca="false">H652*Assumptions!$B$3</f>
        <v>12.984</v>
      </c>
      <c r="S652" s="23" t="n">
        <f aca="false">G652-Q652-R652</f>
        <v>34.9356</v>
      </c>
      <c r="T652" s="21" t="str">
        <f aca="false">IF(M652&lt;=7,"0-7 days",IF(M652&lt;=14,"8-14 days",IF(M652&lt;=21,"15-21 days","22+ days")))</f>
        <v>15-21 days</v>
      </c>
    </row>
    <row r="653" customFormat="false" ht="15" hidden="false" customHeight="false" outlineLevel="0" collapsed="false">
      <c r="A653" s="21" t="s">
        <v>719</v>
      </c>
      <c r="B653" s="21" t="s">
        <v>19</v>
      </c>
      <c r="C653" s="22" t="n">
        <v>43049</v>
      </c>
      <c r="D653" s="22" t="n">
        <v>43056</v>
      </c>
      <c r="E653" s="22" t="n">
        <v>43065</v>
      </c>
      <c r="F653" s="21" t="s">
        <v>64</v>
      </c>
      <c r="G653" s="23" t="n">
        <v>142.51</v>
      </c>
      <c r="H653" s="23" t="n">
        <v>19.89</v>
      </c>
      <c r="I653" s="21" t="s">
        <v>45</v>
      </c>
      <c r="J653" s="21" t="n">
        <v>5</v>
      </c>
      <c r="K653" s="21" t="s">
        <v>46</v>
      </c>
      <c r="L653" s="24" t="n">
        <f aca="false">DATE(YEAR(C653),MONTH(C653),1)</f>
        <v>43040</v>
      </c>
      <c r="M653" s="21" t="n">
        <f aca="false">D653-C653</f>
        <v>7</v>
      </c>
      <c r="N653" s="21" t="n">
        <f aca="false">MAX(0,D653-E653)</f>
        <v>0</v>
      </c>
      <c r="O653" s="21" t="n">
        <f aca="false">IF(D653&lt;=E653,1,0)</f>
        <v>1</v>
      </c>
      <c r="P653" s="23" t="n">
        <f aca="false">G653+H653</f>
        <v>162.4</v>
      </c>
      <c r="Q653" s="23" t="n">
        <f aca="false">G653*INDEX(Assumptions!$B$8:$B$16,MATCH(F653,Assumptions!$A$8:$A$16,0))</f>
        <v>94.0566</v>
      </c>
      <c r="R653" s="23" t="n">
        <f aca="false">H653*Assumptions!$B$3</f>
        <v>11.934</v>
      </c>
      <c r="S653" s="23" t="n">
        <f aca="false">G653-Q653-R653</f>
        <v>36.5194</v>
      </c>
      <c r="T653" s="21" t="str">
        <f aca="false">IF(M653&lt;=7,"0-7 days",IF(M653&lt;=14,"8-14 days",IF(M653&lt;=21,"15-21 days","22+ days")))</f>
        <v>0-7 days</v>
      </c>
    </row>
    <row r="654" customFormat="false" ht="15" hidden="false" customHeight="false" outlineLevel="0" collapsed="false">
      <c r="A654" s="21" t="s">
        <v>720</v>
      </c>
      <c r="B654" s="21" t="s">
        <v>19</v>
      </c>
      <c r="C654" s="22" t="n">
        <v>43050</v>
      </c>
      <c r="D654" s="22" t="n">
        <v>43062</v>
      </c>
      <c r="E654" s="22" t="n">
        <v>43063</v>
      </c>
      <c r="F654" s="21" t="s">
        <v>59</v>
      </c>
      <c r="G654" s="23" t="n">
        <v>52.54</v>
      </c>
      <c r="H654" s="23" t="n">
        <v>15.49</v>
      </c>
      <c r="I654" s="21" t="s">
        <v>45</v>
      </c>
      <c r="J654" s="21" t="n">
        <v>3</v>
      </c>
      <c r="K654" s="21" t="s">
        <v>46</v>
      </c>
      <c r="L654" s="24" t="n">
        <f aca="false">DATE(YEAR(C654),MONTH(C654),1)</f>
        <v>43040</v>
      </c>
      <c r="M654" s="21" t="n">
        <f aca="false">D654-C654</f>
        <v>12</v>
      </c>
      <c r="N654" s="21" t="n">
        <f aca="false">MAX(0,D654-E654)</f>
        <v>0</v>
      </c>
      <c r="O654" s="21" t="n">
        <f aca="false">IF(D654&lt;=E654,1,0)</f>
        <v>1</v>
      </c>
      <c r="P654" s="23" t="n">
        <f aca="false">G654+H654</f>
        <v>68.03</v>
      </c>
      <c r="Q654" s="23" t="n">
        <f aca="false">G654*INDEX(Assumptions!$B$8:$B$16,MATCH(F654,Assumptions!$A$8:$A$16,0))</f>
        <v>33.6256</v>
      </c>
      <c r="R654" s="23" t="n">
        <f aca="false">H654*Assumptions!$B$3</f>
        <v>9.294</v>
      </c>
      <c r="S654" s="23" t="n">
        <f aca="false">G654-Q654-R654</f>
        <v>9.6204</v>
      </c>
      <c r="T654" s="21" t="str">
        <f aca="false">IF(M654&lt;=7,"0-7 days",IF(M654&lt;=14,"8-14 days",IF(M654&lt;=21,"15-21 days","22+ days")))</f>
        <v>8-14 days</v>
      </c>
    </row>
    <row r="655" customFormat="false" ht="15" hidden="false" customHeight="false" outlineLevel="0" collapsed="false">
      <c r="A655" s="21" t="s">
        <v>721</v>
      </c>
      <c r="B655" s="21" t="s">
        <v>19</v>
      </c>
      <c r="C655" s="22" t="n">
        <v>43050</v>
      </c>
      <c r="D655" s="22" t="n">
        <v>43057</v>
      </c>
      <c r="E655" s="22" t="n">
        <v>43066</v>
      </c>
      <c r="F655" s="21" t="s">
        <v>79</v>
      </c>
      <c r="G655" s="23" t="n">
        <v>67.59</v>
      </c>
      <c r="H655" s="23" t="n">
        <v>19.67</v>
      </c>
      <c r="I655" s="21" t="s">
        <v>45</v>
      </c>
      <c r="J655" s="21" t="n">
        <v>5</v>
      </c>
      <c r="K655" s="21" t="s">
        <v>46</v>
      </c>
      <c r="L655" s="24" t="n">
        <f aca="false">DATE(YEAR(C655),MONTH(C655),1)</f>
        <v>43040</v>
      </c>
      <c r="M655" s="21" t="n">
        <f aca="false">D655-C655</f>
        <v>7</v>
      </c>
      <c r="N655" s="21" t="n">
        <f aca="false">MAX(0,D655-E655)</f>
        <v>0</v>
      </c>
      <c r="O655" s="21" t="n">
        <f aca="false">IF(D655&lt;=E655,1,0)</f>
        <v>1</v>
      </c>
      <c r="P655" s="23" t="n">
        <f aca="false">G655+H655</f>
        <v>87.26</v>
      </c>
      <c r="Q655" s="23" t="n">
        <f aca="false">G655*INDEX(Assumptions!$B$8:$B$16,MATCH(F655,Assumptions!$A$8:$A$16,0))</f>
        <v>47.313</v>
      </c>
      <c r="R655" s="23" t="n">
        <f aca="false">H655*Assumptions!$B$3</f>
        <v>11.802</v>
      </c>
      <c r="S655" s="23" t="n">
        <f aca="false">G655-Q655-R655</f>
        <v>8.475</v>
      </c>
      <c r="T655" s="21" t="str">
        <f aca="false">IF(M655&lt;=7,"0-7 days",IF(M655&lt;=14,"8-14 days",IF(M655&lt;=21,"15-21 days","22+ days")))</f>
        <v>0-7 days</v>
      </c>
    </row>
    <row r="656" customFormat="false" ht="15" hidden="false" customHeight="false" outlineLevel="0" collapsed="false">
      <c r="A656" s="21" t="s">
        <v>722</v>
      </c>
      <c r="B656" s="21" t="s">
        <v>62</v>
      </c>
      <c r="C656" s="22" t="n">
        <v>43050</v>
      </c>
      <c r="D656" s="22" t="n">
        <v>43063</v>
      </c>
      <c r="E656" s="22" t="n">
        <v>43065</v>
      </c>
      <c r="F656" s="21" t="s">
        <v>67</v>
      </c>
      <c r="G656" s="23" t="n">
        <v>123.62</v>
      </c>
      <c r="H656" s="23" t="n">
        <v>21.82</v>
      </c>
      <c r="I656" s="21" t="s">
        <v>50</v>
      </c>
      <c r="J656" s="21" t="n">
        <v>3</v>
      </c>
      <c r="K656" s="21" t="s">
        <v>46</v>
      </c>
      <c r="L656" s="24" t="n">
        <f aca="false">DATE(YEAR(C656),MONTH(C656),1)</f>
        <v>43040</v>
      </c>
      <c r="M656" s="21" t="n">
        <f aca="false">D656-C656</f>
        <v>13</v>
      </c>
      <c r="N656" s="21" t="n">
        <f aca="false">MAX(0,D656-E656)</f>
        <v>0</v>
      </c>
      <c r="O656" s="21" t="n">
        <f aca="false">IF(D656&lt;=E656,1,0)</f>
        <v>1</v>
      </c>
      <c r="P656" s="23" t="n">
        <f aca="false">G656+H656</f>
        <v>145.44</v>
      </c>
      <c r="Q656" s="23" t="n">
        <f aca="false">G656*INDEX(Assumptions!$B$8:$B$16,MATCH(F656,Assumptions!$A$8:$A$16,0))</f>
        <v>76.6444</v>
      </c>
      <c r="R656" s="23" t="n">
        <f aca="false">H656*Assumptions!$B$3</f>
        <v>13.092</v>
      </c>
      <c r="S656" s="23" t="n">
        <f aca="false">G656-Q656-R656</f>
        <v>33.8836</v>
      </c>
      <c r="T656" s="21" t="str">
        <f aca="false">IF(M656&lt;=7,"0-7 days",IF(M656&lt;=14,"8-14 days",IF(M656&lt;=21,"15-21 days","22+ days")))</f>
        <v>8-14 days</v>
      </c>
    </row>
    <row r="657" customFormat="false" ht="15" hidden="false" customHeight="false" outlineLevel="0" collapsed="false">
      <c r="A657" s="21" t="s">
        <v>723</v>
      </c>
      <c r="B657" s="21" t="s">
        <v>62</v>
      </c>
      <c r="C657" s="22" t="n">
        <v>43050</v>
      </c>
      <c r="D657" s="22" t="n">
        <v>43069</v>
      </c>
      <c r="E657" s="22" t="n">
        <v>43073</v>
      </c>
      <c r="F657" s="21" t="s">
        <v>67</v>
      </c>
      <c r="G657" s="23" t="n">
        <v>55.87</v>
      </c>
      <c r="H657" s="23" t="n">
        <v>25.32</v>
      </c>
      <c r="I657" s="21" t="s">
        <v>45</v>
      </c>
      <c r="J657" s="21" t="n">
        <v>3</v>
      </c>
      <c r="K657" s="21" t="s">
        <v>46</v>
      </c>
      <c r="L657" s="24" t="n">
        <f aca="false">DATE(YEAR(C657),MONTH(C657),1)</f>
        <v>43040</v>
      </c>
      <c r="M657" s="21" t="n">
        <f aca="false">D657-C657</f>
        <v>19</v>
      </c>
      <c r="N657" s="21" t="n">
        <f aca="false">MAX(0,D657-E657)</f>
        <v>0</v>
      </c>
      <c r="O657" s="21" t="n">
        <f aca="false">IF(D657&lt;=E657,1,0)</f>
        <v>1</v>
      </c>
      <c r="P657" s="23" t="n">
        <f aca="false">G657+H657</f>
        <v>81.19</v>
      </c>
      <c r="Q657" s="23" t="n">
        <f aca="false">G657*INDEX(Assumptions!$B$8:$B$16,MATCH(F657,Assumptions!$A$8:$A$16,0))</f>
        <v>34.6394</v>
      </c>
      <c r="R657" s="23" t="n">
        <f aca="false">H657*Assumptions!$B$3</f>
        <v>15.192</v>
      </c>
      <c r="S657" s="23" t="n">
        <f aca="false">G657-Q657-R657</f>
        <v>6.0386</v>
      </c>
      <c r="T657" s="21" t="str">
        <f aca="false">IF(M657&lt;=7,"0-7 days",IF(M657&lt;=14,"8-14 days",IF(M657&lt;=21,"15-21 days","22+ days")))</f>
        <v>15-21 days</v>
      </c>
    </row>
    <row r="658" customFormat="false" ht="15" hidden="false" customHeight="false" outlineLevel="0" collapsed="false">
      <c r="A658" s="21" t="s">
        <v>724</v>
      </c>
      <c r="B658" s="21" t="s">
        <v>174</v>
      </c>
      <c r="C658" s="22" t="n">
        <v>43050</v>
      </c>
      <c r="D658" s="22" t="n">
        <v>43067</v>
      </c>
      <c r="E658" s="22" t="n">
        <v>43079</v>
      </c>
      <c r="F658" s="21" t="s">
        <v>64</v>
      </c>
      <c r="G658" s="23" t="n">
        <v>208.3</v>
      </c>
      <c r="H658" s="23" t="n">
        <v>29.67</v>
      </c>
      <c r="I658" s="21" t="s">
        <v>60</v>
      </c>
      <c r="J658" s="21" t="n">
        <v>3</v>
      </c>
      <c r="K658" s="21" t="s">
        <v>46</v>
      </c>
      <c r="L658" s="24" t="n">
        <f aca="false">DATE(YEAR(C658),MONTH(C658),1)</f>
        <v>43040</v>
      </c>
      <c r="M658" s="21" t="n">
        <f aca="false">D658-C658</f>
        <v>17</v>
      </c>
      <c r="N658" s="21" t="n">
        <f aca="false">MAX(0,D658-E658)</f>
        <v>0</v>
      </c>
      <c r="O658" s="21" t="n">
        <f aca="false">IF(D658&lt;=E658,1,0)</f>
        <v>1</v>
      </c>
      <c r="P658" s="23" t="n">
        <f aca="false">G658+H658</f>
        <v>237.97</v>
      </c>
      <c r="Q658" s="23" t="n">
        <f aca="false">G658*INDEX(Assumptions!$B$8:$B$16,MATCH(F658,Assumptions!$A$8:$A$16,0))</f>
        <v>137.478</v>
      </c>
      <c r="R658" s="23" t="n">
        <f aca="false">H658*Assumptions!$B$3</f>
        <v>17.802</v>
      </c>
      <c r="S658" s="23" t="n">
        <f aca="false">G658-Q658-R658</f>
        <v>53.02</v>
      </c>
      <c r="T658" s="21" t="str">
        <f aca="false">IF(M658&lt;=7,"0-7 days",IF(M658&lt;=14,"8-14 days",IF(M658&lt;=21,"15-21 days","22+ days")))</f>
        <v>15-21 days</v>
      </c>
    </row>
    <row r="659" customFormat="false" ht="15" hidden="false" customHeight="false" outlineLevel="0" collapsed="false">
      <c r="A659" s="21" t="s">
        <v>725</v>
      </c>
      <c r="B659" s="21" t="s">
        <v>62</v>
      </c>
      <c r="C659" s="22" t="n">
        <v>43051</v>
      </c>
      <c r="D659" s="22" t="n">
        <v>43063</v>
      </c>
      <c r="E659" s="22" t="n">
        <v>43076</v>
      </c>
      <c r="F659" s="21" t="s">
        <v>79</v>
      </c>
      <c r="G659" s="23" t="n">
        <v>76.75</v>
      </c>
      <c r="H659" s="23" t="n">
        <v>23.41</v>
      </c>
      <c r="I659" s="21" t="s">
        <v>45</v>
      </c>
      <c r="J659" s="21" t="n">
        <v>5</v>
      </c>
      <c r="K659" s="21" t="s">
        <v>46</v>
      </c>
      <c r="L659" s="24" t="n">
        <f aca="false">DATE(YEAR(C659),MONTH(C659),1)</f>
        <v>43040</v>
      </c>
      <c r="M659" s="21" t="n">
        <f aca="false">D659-C659</f>
        <v>12</v>
      </c>
      <c r="N659" s="21" t="n">
        <f aca="false">MAX(0,D659-E659)</f>
        <v>0</v>
      </c>
      <c r="O659" s="21" t="n">
        <f aca="false">IF(D659&lt;=E659,1,0)</f>
        <v>1</v>
      </c>
      <c r="P659" s="23" t="n">
        <f aca="false">G659+H659</f>
        <v>100.16</v>
      </c>
      <c r="Q659" s="23" t="n">
        <f aca="false">G659*INDEX(Assumptions!$B$8:$B$16,MATCH(F659,Assumptions!$A$8:$A$16,0))</f>
        <v>53.725</v>
      </c>
      <c r="R659" s="23" t="n">
        <f aca="false">H659*Assumptions!$B$3</f>
        <v>14.046</v>
      </c>
      <c r="S659" s="23" t="n">
        <f aca="false">G659-Q659-R659</f>
        <v>8.97900000000001</v>
      </c>
      <c r="T659" s="21" t="str">
        <f aca="false">IF(M659&lt;=7,"0-7 days",IF(M659&lt;=14,"8-14 days",IF(M659&lt;=21,"15-21 days","22+ days")))</f>
        <v>8-14 days</v>
      </c>
    </row>
    <row r="660" customFormat="false" ht="15" hidden="false" customHeight="false" outlineLevel="0" collapsed="false">
      <c r="A660" s="21" t="s">
        <v>726</v>
      </c>
      <c r="B660" s="21" t="s">
        <v>62</v>
      </c>
      <c r="C660" s="22" t="n">
        <v>43051</v>
      </c>
      <c r="D660" s="22" t="n">
        <v>43063</v>
      </c>
      <c r="E660" s="22" t="n">
        <v>43073</v>
      </c>
      <c r="F660" s="21" t="s">
        <v>59</v>
      </c>
      <c r="G660" s="23" t="n">
        <v>93.67</v>
      </c>
      <c r="H660" s="23" t="n">
        <v>17.78</v>
      </c>
      <c r="I660" s="21" t="s">
        <v>45</v>
      </c>
      <c r="J660" s="21" t="n">
        <v>5</v>
      </c>
      <c r="K660" s="21" t="s">
        <v>46</v>
      </c>
      <c r="L660" s="24" t="n">
        <f aca="false">DATE(YEAR(C660),MONTH(C660),1)</f>
        <v>43040</v>
      </c>
      <c r="M660" s="21" t="n">
        <f aca="false">D660-C660</f>
        <v>12</v>
      </c>
      <c r="N660" s="21" t="n">
        <f aca="false">MAX(0,D660-E660)</f>
        <v>0</v>
      </c>
      <c r="O660" s="21" t="n">
        <f aca="false">IF(D660&lt;=E660,1,0)</f>
        <v>1</v>
      </c>
      <c r="P660" s="23" t="n">
        <f aca="false">G660+H660</f>
        <v>111.45</v>
      </c>
      <c r="Q660" s="23" t="n">
        <f aca="false">G660*INDEX(Assumptions!$B$8:$B$16,MATCH(F660,Assumptions!$A$8:$A$16,0))</f>
        <v>59.9488</v>
      </c>
      <c r="R660" s="23" t="n">
        <f aca="false">H660*Assumptions!$B$3</f>
        <v>10.668</v>
      </c>
      <c r="S660" s="23" t="n">
        <f aca="false">G660-Q660-R660</f>
        <v>23.0532</v>
      </c>
      <c r="T660" s="21" t="str">
        <f aca="false">IF(M660&lt;=7,"0-7 days",IF(M660&lt;=14,"8-14 days",IF(M660&lt;=21,"15-21 days","22+ days")))</f>
        <v>8-14 days</v>
      </c>
    </row>
    <row r="661" customFormat="false" ht="15" hidden="false" customHeight="false" outlineLevel="0" collapsed="false">
      <c r="A661" s="21" t="s">
        <v>727</v>
      </c>
      <c r="B661" s="21" t="s">
        <v>62</v>
      </c>
      <c r="C661" s="22" t="n">
        <v>43051</v>
      </c>
      <c r="D661" s="22" t="n">
        <v>43065</v>
      </c>
      <c r="E661" s="22" t="n">
        <v>43072</v>
      </c>
      <c r="F661" s="21" t="s">
        <v>57</v>
      </c>
      <c r="G661" s="23" t="n">
        <v>165.79</v>
      </c>
      <c r="H661" s="23" t="n">
        <v>17.91</v>
      </c>
      <c r="I661" s="21" t="s">
        <v>45</v>
      </c>
      <c r="J661" s="21" t="n">
        <v>4</v>
      </c>
      <c r="K661" s="21" t="s">
        <v>46</v>
      </c>
      <c r="L661" s="24" t="n">
        <f aca="false">DATE(YEAR(C661),MONTH(C661),1)</f>
        <v>43040</v>
      </c>
      <c r="M661" s="21" t="n">
        <f aca="false">D661-C661</f>
        <v>14</v>
      </c>
      <c r="N661" s="21" t="n">
        <f aca="false">MAX(0,D661-E661)</f>
        <v>0</v>
      </c>
      <c r="O661" s="21" t="n">
        <f aca="false">IF(D661&lt;=E661,1,0)</f>
        <v>1</v>
      </c>
      <c r="P661" s="23" t="n">
        <f aca="false">G661+H661</f>
        <v>183.7</v>
      </c>
      <c r="Q661" s="23" t="n">
        <f aca="false">G661*INDEX(Assumptions!$B$8:$B$16,MATCH(F661,Assumptions!$A$8:$A$16,0))</f>
        <v>112.7372</v>
      </c>
      <c r="R661" s="23" t="n">
        <f aca="false">H661*Assumptions!$B$3</f>
        <v>10.746</v>
      </c>
      <c r="S661" s="23" t="n">
        <f aca="false">G661-Q661-R661</f>
        <v>42.3068</v>
      </c>
      <c r="T661" s="21" t="str">
        <f aca="false">IF(M661&lt;=7,"0-7 days",IF(M661&lt;=14,"8-14 days",IF(M661&lt;=21,"15-21 days","22+ days")))</f>
        <v>8-14 days</v>
      </c>
    </row>
    <row r="662" customFormat="false" ht="15" hidden="false" customHeight="false" outlineLevel="0" collapsed="false">
      <c r="A662" s="21" t="s">
        <v>728</v>
      </c>
      <c r="B662" s="21" t="s">
        <v>174</v>
      </c>
      <c r="C662" s="22" t="n">
        <v>43051</v>
      </c>
      <c r="D662" s="22" t="n">
        <v>43071</v>
      </c>
      <c r="E662" s="22" t="n">
        <v>43085</v>
      </c>
      <c r="F662" s="21" t="s">
        <v>59</v>
      </c>
      <c r="G662" s="23" t="n">
        <v>75.78</v>
      </c>
      <c r="H662" s="23" t="n">
        <v>35.89</v>
      </c>
      <c r="I662" s="21" t="s">
        <v>45</v>
      </c>
      <c r="J662" s="21" t="n">
        <v>4</v>
      </c>
      <c r="K662" s="21" t="s">
        <v>46</v>
      </c>
      <c r="L662" s="24" t="n">
        <f aca="false">DATE(YEAR(C662),MONTH(C662),1)</f>
        <v>43040</v>
      </c>
      <c r="M662" s="21" t="n">
        <f aca="false">D662-C662</f>
        <v>20</v>
      </c>
      <c r="N662" s="21" t="n">
        <f aca="false">MAX(0,D662-E662)</f>
        <v>0</v>
      </c>
      <c r="O662" s="21" t="n">
        <f aca="false">IF(D662&lt;=E662,1,0)</f>
        <v>1</v>
      </c>
      <c r="P662" s="23" t="n">
        <f aca="false">G662+H662</f>
        <v>111.67</v>
      </c>
      <c r="Q662" s="23" t="n">
        <f aca="false">G662*INDEX(Assumptions!$B$8:$B$16,MATCH(F662,Assumptions!$A$8:$A$16,0))</f>
        <v>48.4992</v>
      </c>
      <c r="R662" s="23" t="n">
        <f aca="false">H662*Assumptions!$B$3</f>
        <v>21.534</v>
      </c>
      <c r="S662" s="23" t="n">
        <f aca="false">G662-Q662-R662</f>
        <v>5.7468</v>
      </c>
      <c r="T662" s="21" t="str">
        <f aca="false">IF(M662&lt;=7,"0-7 days",IF(M662&lt;=14,"8-14 days",IF(M662&lt;=21,"15-21 days","22+ days")))</f>
        <v>15-21 days</v>
      </c>
    </row>
    <row r="663" customFormat="false" ht="15" hidden="false" customHeight="false" outlineLevel="0" collapsed="false">
      <c r="A663" s="21" t="s">
        <v>729</v>
      </c>
      <c r="B663" s="21" t="s">
        <v>55</v>
      </c>
      <c r="C663" s="22" t="n">
        <v>43051</v>
      </c>
      <c r="D663" s="22" t="n">
        <v>43064</v>
      </c>
      <c r="E663" s="22" t="n">
        <v>43077</v>
      </c>
      <c r="F663" s="21" t="s">
        <v>57</v>
      </c>
      <c r="G663" s="23" t="n">
        <v>56.21</v>
      </c>
      <c r="H663" s="23" t="n">
        <v>23.65</v>
      </c>
      <c r="I663" s="21" t="s">
        <v>60</v>
      </c>
      <c r="J663" s="21" t="n">
        <v>5</v>
      </c>
      <c r="K663" s="21" t="s">
        <v>46</v>
      </c>
      <c r="L663" s="24" t="n">
        <f aca="false">DATE(YEAR(C663),MONTH(C663),1)</f>
        <v>43040</v>
      </c>
      <c r="M663" s="21" t="n">
        <f aca="false">D663-C663</f>
        <v>13</v>
      </c>
      <c r="N663" s="21" t="n">
        <f aca="false">MAX(0,D663-E663)</f>
        <v>0</v>
      </c>
      <c r="O663" s="21" t="n">
        <f aca="false">IF(D663&lt;=E663,1,0)</f>
        <v>1</v>
      </c>
      <c r="P663" s="23" t="n">
        <f aca="false">G663+H663</f>
        <v>79.86</v>
      </c>
      <c r="Q663" s="23" t="n">
        <f aca="false">G663*INDEX(Assumptions!$B$8:$B$16,MATCH(F663,Assumptions!$A$8:$A$16,0))</f>
        <v>38.2228</v>
      </c>
      <c r="R663" s="23" t="n">
        <f aca="false">H663*Assumptions!$B$3</f>
        <v>14.19</v>
      </c>
      <c r="S663" s="23" t="n">
        <f aca="false">G663-Q663-R663</f>
        <v>3.7972</v>
      </c>
      <c r="T663" s="21" t="str">
        <f aca="false">IF(M663&lt;=7,"0-7 days",IF(M663&lt;=14,"8-14 days",IF(M663&lt;=21,"15-21 days","22+ days")))</f>
        <v>8-14 days</v>
      </c>
    </row>
    <row r="664" customFormat="false" ht="15" hidden="false" customHeight="false" outlineLevel="0" collapsed="false">
      <c r="A664" s="21" t="s">
        <v>730</v>
      </c>
      <c r="B664" s="21" t="s">
        <v>134</v>
      </c>
      <c r="C664" s="22" t="n">
        <v>43051</v>
      </c>
      <c r="D664" s="22" t="n">
        <v>43068</v>
      </c>
      <c r="E664" s="22" t="n">
        <v>43073</v>
      </c>
      <c r="F664" s="21" t="s">
        <v>44</v>
      </c>
      <c r="G664" s="23" t="n">
        <v>112.19</v>
      </c>
      <c r="H664" s="23" t="n">
        <v>24.02</v>
      </c>
      <c r="I664" s="21" t="s">
        <v>45</v>
      </c>
      <c r="J664" s="21" t="n">
        <v>3</v>
      </c>
      <c r="K664" s="21" t="s">
        <v>46</v>
      </c>
      <c r="L664" s="24" t="n">
        <f aca="false">DATE(YEAR(C664),MONTH(C664),1)</f>
        <v>43040</v>
      </c>
      <c r="M664" s="21" t="n">
        <f aca="false">D664-C664</f>
        <v>17</v>
      </c>
      <c r="N664" s="21" t="n">
        <f aca="false">MAX(0,D664-E664)</f>
        <v>0</v>
      </c>
      <c r="O664" s="21" t="n">
        <f aca="false">IF(D664&lt;=E664,1,0)</f>
        <v>1</v>
      </c>
      <c r="P664" s="23" t="n">
        <f aca="false">G664+H664</f>
        <v>136.21</v>
      </c>
      <c r="Q664" s="23" t="n">
        <f aca="false">G664*INDEX(Assumptions!$B$8:$B$16,MATCH(F664,Assumptions!$A$8:$A$16,0))</f>
        <v>67.314</v>
      </c>
      <c r="R664" s="23" t="n">
        <f aca="false">H664*Assumptions!$B$3</f>
        <v>14.412</v>
      </c>
      <c r="S664" s="23" t="n">
        <f aca="false">G664-Q664-R664</f>
        <v>30.464</v>
      </c>
      <c r="T664" s="21" t="str">
        <f aca="false">IF(M664&lt;=7,"0-7 days",IF(M664&lt;=14,"8-14 days",IF(M664&lt;=21,"15-21 days","22+ days")))</f>
        <v>15-21 days</v>
      </c>
    </row>
    <row r="665" customFormat="false" ht="15" hidden="false" customHeight="false" outlineLevel="0" collapsed="false">
      <c r="A665" s="21" t="s">
        <v>731</v>
      </c>
      <c r="B665" s="21" t="s">
        <v>174</v>
      </c>
      <c r="C665" s="22" t="n">
        <v>43052</v>
      </c>
      <c r="D665" s="22" t="n">
        <v>43077</v>
      </c>
      <c r="E665" s="22" t="n">
        <v>43082</v>
      </c>
      <c r="F665" s="21" t="s">
        <v>53</v>
      </c>
      <c r="G665" s="23" t="n">
        <v>346.06</v>
      </c>
      <c r="H665" s="23" t="n">
        <v>36.89</v>
      </c>
      <c r="I665" s="21" t="s">
        <v>45</v>
      </c>
      <c r="J665" s="21" t="n">
        <v>5</v>
      </c>
      <c r="K665" s="21" t="s">
        <v>46</v>
      </c>
      <c r="L665" s="24" t="n">
        <f aca="false">DATE(YEAR(C665),MONTH(C665),1)</f>
        <v>43040</v>
      </c>
      <c r="M665" s="21" t="n">
        <f aca="false">D665-C665</f>
        <v>25</v>
      </c>
      <c r="N665" s="21" t="n">
        <f aca="false">MAX(0,D665-E665)</f>
        <v>0</v>
      </c>
      <c r="O665" s="21" t="n">
        <f aca="false">IF(D665&lt;=E665,1,0)</f>
        <v>1</v>
      </c>
      <c r="P665" s="23" t="n">
        <f aca="false">G665+H665</f>
        <v>382.95</v>
      </c>
      <c r="Q665" s="23" t="n">
        <f aca="false">G665*INDEX(Assumptions!$B$8:$B$16,MATCH(F665,Assumptions!$A$8:$A$16,0))</f>
        <v>256.0844</v>
      </c>
      <c r="R665" s="23" t="n">
        <f aca="false">H665*Assumptions!$B$3</f>
        <v>22.134</v>
      </c>
      <c r="S665" s="23" t="n">
        <f aca="false">G665-Q665-R665</f>
        <v>67.8416</v>
      </c>
      <c r="T665" s="21" t="str">
        <f aca="false">IF(M665&lt;=7,"0-7 days",IF(M665&lt;=14,"8-14 days",IF(M665&lt;=21,"15-21 days","22+ days")))</f>
        <v>22+ days</v>
      </c>
    </row>
    <row r="666" customFormat="false" ht="15" hidden="false" customHeight="false" outlineLevel="0" collapsed="false">
      <c r="A666" s="21" t="s">
        <v>732</v>
      </c>
      <c r="B666" s="21" t="s">
        <v>134</v>
      </c>
      <c r="C666" s="22" t="n">
        <v>43052</v>
      </c>
      <c r="D666" s="22" t="n">
        <v>43076</v>
      </c>
      <c r="E666" s="22" t="n">
        <v>43073</v>
      </c>
      <c r="F666" s="21" t="s">
        <v>53</v>
      </c>
      <c r="G666" s="23" t="n">
        <v>160.43</v>
      </c>
      <c r="H666" s="23" t="n">
        <v>18.37</v>
      </c>
      <c r="I666" s="21" t="s">
        <v>45</v>
      </c>
      <c r="J666" s="21" t="n">
        <v>2</v>
      </c>
      <c r="K666" s="21" t="s">
        <v>46</v>
      </c>
      <c r="L666" s="24" t="n">
        <f aca="false">DATE(YEAR(C666),MONTH(C666),1)</f>
        <v>43040</v>
      </c>
      <c r="M666" s="21" t="n">
        <f aca="false">D666-C666</f>
        <v>24</v>
      </c>
      <c r="N666" s="21" t="n">
        <f aca="false">MAX(0,D666-E666)</f>
        <v>3</v>
      </c>
      <c r="O666" s="21" t="n">
        <f aca="false">IF(D666&lt;=E666,1,0)</f>
        <v>0</v>
      </c>
      <c r="P666" s="23" t="n">
        <f aca="false">G666+H666</f>
        <v>178.8</v>
      </c>
      <c r="Q666" s="23" t="n">
        <f aca="false">G666*INDEX(Assumptions!$B$8:$B$16,MATCH(F666,Assumptions!$A$8:$A$16,0))</f>
        <v>118.7182</v>
      </c>
      <c r="R666" s="23" t="n">
        <f aca="false">H666*Assumptions!$B$3</f>
        <v>11.022</v>
      </c>
      <c r="S666" s="23" t="n">
        <f aca="false">G666-Q666-R666</f>
        <v>30.6898</v>
      </c>
      <c r="T666" s="21" t="str">
        <f aca="false">IF(M666&lt;=7,"0-7 days",IF(M666&lt;=14,"8-14 days",IF(M666&lt;=21,"15-21 days","22+ days")))</f>
        <v>22+ days</v>
      </c>
    </row>
    <row r="667" customFormat="false" ht="15" hidden="false" customHeight="false" outlineLevel="0" collapsed="false">
      <c r="A667" s="21" t="s">
        <v>733</v>
      </c>
      <c r="B667" s="21" t="s">
        <v>19</v>
      </c>
      <c r="C667" s="22" t="n">
        <v>43052</v>
      </c>
      <c r="D667" s="22" t="n">
        <v>43060</v>
      </c>
      <c r="E667" s="22" t="n">
        <v>43069</v>
      </c>
      <c r="F667" s="21" t="s">
        <v>111</v>
      </c>
      <c r="G667" s="23" t="n">
        <v>113.78</v>
      </c>
      <c r="H667" s="23" t="n">
        <v>17.3</v>
      </c>
      <c r="I667" s="21" t="s">
        <v>60</v>
      </c>
      <c r="J667" s="21" t="n">
        <v>5</v>
      </c>
      <c r="K667" s="21" t="s">
        <v>46</v>
      </c>
      <c r="L667" s="24" t="n">
        <f aca="false">DATE(YEAR(C667),MONTH(C667),1)</f>
        <v>43040</v>
      </c>
      <c r="M667" s="21" t="n">
        <f aca="false">D667-C667</f>
        <v>8</v>
      </c>
      <c r="N667" s="21" t="n">
        <f aca="false">MAX(0,D667-E667)</f>
        <v>0</v>
      </c>
      <c r="O667" s="21" t="n">
        <f aca="false">IF(D667&lt;=E667,1,0)</f>
        <v>1</v>
      </c>
      <c r="P667" s="23" t="n">
        <f aca="false">G667+H667</f>
        <v>131.08</v>
      </c>
      <c r="Q667" s="23" t="n">
        <f aca="false">G667*INDEX(Assumptions!$B$8:$B$16,MATCH(F667,Assumptions!$A$8:$A$16,0))</f>
        <v>71.6814</v>
      </c>
      <c r="R667" s="23" t="n">
        <f aca="false">H667*Assumptions!$B$3</f>
        <v>10.38</v>
      </c>
      <c r="S667" s="23" t="n">
        <f aca="false">G667-Q667-R667</f>
        <v>31.7186</v>
      </c>
      <c r="T667" s="21" t="str">
        <f aca="false">IF(M667&lt;=7,"0-7 days",IF(M667&lt;=14,"8-14 days",IF(M667&lt;=21,"15-21 days","22+ days")))</f>
        <v>8-14 days</v>
      </c>
    </row>
    <row r="668" customFormat="false" ht="15" hidden="false" customHeight="false" outlineLevel="0" collapsed="false">
      <c r="A668" s="21" t="s">
        <v>734</v>
      </c>
      <c r="B668" s="21" t="s">
        <v>62</v>
      </c>
      <c r="C668" s="22" t="n">
        <v>43052</v>
      </c>
      <c r="D668" s="22" t="n">
        <v>43060</v>
      </c>
      <c r="E668" s="22" t="n">
        <v>43075</v>
      </c>
      <c r="F668" s="21" t="s">
        <v>79</v>
      </c>
      <c r="G668" s="23" t="n">
        <v>60.4</v>
      </c>
      <c r="H668" s="23" t="n">
        <v>18.86</v>
      </c>
      <c r="I668" s="21" t="s">
        <v>60</v>
      </c>
      <c r="J668" s="21" t="n">
        <v>4</v>
      </c>
      <c r="K668" s="21" t="s">
        <v>46</v>
      </c>
      <c r="L668" s="24" t="n">
        <f aca="false">DATE(YEAR(C668),MONTH(C668),1)</f>
        <v>43040</v>
      </c>
      <c r="M668" s="21" t="n">
        <f aca="false">D668-C668</f>
        <v>8</v>
      </c>
      <c r="N668" s="21" t="n">
        <f aca="false">MAX(0,D668-E668)</f>
        <v>0</v>
      </c>
      <c r="O668" s="21" t="n">
        <f aca="false">IF(D668&lt;=E668,1,0)</f>
        <v>1</v>
      </c>
      <c r="P668" s="23" t="n">
        <f aca="false">G668+H668</f>
        <v>79.26</v>
      </c>
      <c r="Q668" s="23" t="n">
        <f aca="false">G668*INDEX(Assumptions!$B$8:$B$16,MATCH(F668,Assumptions!$A$8:$A$16,0))</f>
        <v>42.28</v>
      </c>
      <c r="R668" s="23" t="n">
        <f aca="false">H668*Assumptions!$B$3</f>
        <v>11.316</v>
      </c>
      <c r="S668" s="23" t="n">
        <f aca="false">G668-Q668-R668</f>
        <v>6.80400000000001</v>
      </c>
      <c r="T668" s="21" t="str">
        <f aca="false">IF(M668&lt;=7,"0-7 days",IF(M668&lt;=14,"8-14 days",IF(M668&lt;=21,"15-21 days","22+ days")))</f>
        <v>8-14 days</v>
      </c>
    </row>
    <row r="669" customFormat="false" ht="15" hidden="false" customHeight="false" outlineLevel="0" collapsed="false">
      <c r="A669" s="21" t="s">
        <v>735</v>
      </c>
      <c r="B669" s="21" t="s">
        <v>19</v>
      </c>
      <c r="C669" s="22" t="n">
        <v>43052</v>
      </c>
      <c r="D669" s="22" t="n">
        <v>43059</v>
      </c>
      <c r="E669" s="22" t="n">
        <v>43066</v>
      </c>
      <c r="F669" s="21" t="s">
        <v>44</v>
      </c>
      <c r="G669" s="23" t="n">
        <v>111.47</v>
      </c>
      <c r="H669" s="23" t="n">
        <v>19.86</v>
      </c>
      <c r="I669" s="21" t="s">
        <v>45</v>
      </c>
      <c r="J669" s="21" t="n">
        <v>5</v>
      </c>
      <c r="K669" s="21" t="s">
        <v>46</v>
      </c>
      <c r="L669" s="24" t="n">
        <f aca="false">DATE(YEAR(C669),MONTH(C669),1)</f>
        <v>43040</v>
      </c>
      <c r="M669" s="21" t="n">
        <f aca="false">D669-C669</f>
        <v>7</v>
      </c>
      <c r="N669" s="21" t="n">
        <f aca="false">MAX(0,D669-E669)</f>
        <v>0</v>
      </c>
      <c r="O669" s="21" t="n">
        <f aca="false">IF(D669&lt;=E669,1,0)</f>
        <v>1</v>
      </c>
      <c r="P669" s="23" t="n">
        <f aca="false">G669+H669</f>
        <v>131.33</v>
      </c>
      <c r="Q669" s="23" t="n">
        <f aca="false">G669*INDEX(Assumptions!$B$8:$B$16,MATCH(F669,Assumptions!$A$8:$A$16,0))</f>
        <v>66.882</v>
      </c>
      <c r="R669" s="23" t="n">
        <f aca="false">H669*Assumptions!$B$3</f>
        <v>11.916</v>
      </c>
      <c r="S669" s="23" t="n">
        <f aca="false">G669-Q669-R669</f>
        <v>32.672</v>
      </c>
      <c r="T669" s="21" t="str">
        <f aca="false">IF(M669&lt;=7,"0-7 days",IF(M669&lt;=14,"8-14 days",IF(M669&lt;=21,"15-21 days","22+ days")))</f>
        <v>0-7 days</v>
      </c>
    </row>
    <row r="670" customFormat="false" ht="15" hidden="false" customHeight="false" outlineLevel="0" collapsed="false">
      <c r="A670" s="21" t="s">
        <v>736</v>
      </c>
      <c r="B670" s="21" t="s">
        <v>62</v>
      </c>
      <c r="C670" s="22" t="n">
        <v>43052</v>
      </c>
      <c r="D670" s="22" t="n">
        <v>43062</v>
      </c>
      <c r="E670" s="22" t="n">
        <v>43070</v>
      </c>
      <c r="F670" s="21" t="s">
        <v>59</v>
      </c>
      <c r="G670" s="23" t="n">
        <v>114.48</v>
      </c>
      <c r="H670" s="23" t="n">
        <v>18.15</v>
      </c>
      <c r="I670" s="21" t="s">
        <v>45</v>
      </c>
      <c r="J670" s="21" t="n">
        <v>5</v>
      </c>
      <c r="K670" s="21" t="s">
        <v>46</v>
      </c>
      <c r="L670" s="24" t="n">
        <f aca="false">DATE(YEAR(C670),MONTH(C670),1)</f>
        <v>43040</v>
      </c>
      <c r="M670" s="21" t="n">
        <f aca="false">D670-C670</f>
        <v>10</v>
      </c>
      <c r="N670" s="21" t="n">
        <f aca="false">MAX(0,D670-E670)</f>
        <v>0</v>
      </c>
      <c r="O670" s="21" t="n">
        <f aca="false">IF(D670&lt;=E670,1,0)</f>
        <v>1</v>
      </c>
      <c r="P670" s="23" t="n">
        <f aca="false">G670+H670</f>
        <v>132.63</v>
      </c>
      <c r="Q670" s="23" t="n">
        <f aca="false">G670*INDEX(Assumptions!$B$8:$B$16,MATCH(F670,Assumptions!$A$8:$A$16,0))</f>
        <v>73.2672</v>
      </c>
      <c r="R670" s="23" t="n">
        <f aca="false">H670*Assumptions!$B$3</f>
        <v>10.89</v>
      </c>
      <c r="S670" s="23" t="n">
        <f aca="false">G670-Q670-R670</f>
        <v>30.3228</v>
      </c>
      <c r="T670" s="21" t="str">
        <f aca="false">IF(M670&lt;=7,"0-7 days",IF(M670&lt;=14,"8-14 days",IF(M670&lt;=21,"15-21 days","22+ days")))</f>
        <v>8-14 days</v>
      </c>
    </row>
    <row r="671" customFormat="false" ht="15" hidden="false" customHeight="false" outlineLevel="0" collapsed="false">
      <c r="A671" s="21" t="s">
        <v>737</v>
      </c>
      <c r="B671" s="21" t="s">
        <v>174</v>
      </c>
      <c r="C671" s="22" t="n">
        <v>43052</v>
      </c>
      <c r="D671" s="22" t="n">
        <v>43073</v>
      </c>
      <c r="E671" s="22" t="n">
        <v>43087</v>
      </c>
      <c r="F671" s="21" t="s">
        <v>64</v>
      </c>
      <c r="G671" s="23" t="n">
        <v>89.51</v>
      </c>
      <c r="H671" s="23" t="n">
        <v>34.15</v>
      </c>
      <c r="I671" s="21" t="s">
        <v>45</v>
      </c>
      <c r="J671" s="21" t="n">
        <v>5</v>
      </c>
      <c r="K671" s="21" t="s">
        <v>46</v>
      </c>
      <c r="L671" s="24" t="n">
        <f aca="false">DATE(YEAR(C671),MONTH(C671),1)</f>
        <v>43040</v>
      </c>
      <c r="M671" s="21" t="n">
        <f aca="false">D671-C671</f>
        <v>21</v>
      </c>
      <c r="N671" s="21" t="n">
        <f aca="false">MAX(0,D671-E671)</f>
        <v>0</v>
      </c>
      <c r="O671" s="21" t="n">
        <f aca="false">IF(D671&lt;=E671,1,0)</f>
        <v>1</v>
      </c>
      <c r="P671" s="23" t="n">
        <f aca="false">G671+H671</f>
        <v>123.66</v>
      </c>
      <c r="Q671" s="23" t="n">
        <f aca="false">G671*INDEX(Assumptions!$B$8:$B$16,MATCH(F671,Assumptions!$A$8:$A$16,0))</f>
        <v>59.0766</v>
      </c>
      <c r="R671" s="23" t="n">
        <f aca="false">H671*Assumptions!$B$3</f>
        <v>20.49</v>
      </c>
      <c r="S671" s="23" t="n">
        <f aca="false">G671-Q671-R671</f>
        <v>9.9434</v>
      </c>
      <c r="T671" s="21" t="str">
        <f aca="false">IF(M671&lt;=7,"0-7 days",IF(M671&lt;=14,"8-14 days",IF(M671&lt;=21,"15-21 days","22+ days")))</f>
        <v>15-21 days</v>
      </c>
    </row>
    <row r="672" customFormat="false" ht="15" hidden="false" customHeight="false" outlineLevel="0" collapsed="false">
      <c r="A672" s="21" t="s">
        <v>738</v>
      </c>
      <c r="B672" s="21" t="s">
        <v>19</v>
      </c>
      <c r="C672" s="22" t="n">
        <v>43053</v>
      </c>
      <c r="D672" s="22" t="n">
        <v>43058</v>
      </c>
      <c r="E672" s="22" t="n">
        <v>43069</v>
      </c>
      <c r="F672" s="21" t="s">
        <v>111</v>
      </c>
      <c r="G672" s="23" t="n">
        <v>51.05</v>
      </c>
      <c r="H672" s="23" t="n">
        <v>14.64</v>
      </c>
      <c r="I672" s="21" t="s">
        <v>45</v>
      </c>
      <c r="J672" s="21" t="n">
        <v>5</v>
      </c>
      <c r="K672" s="21" t="s">
        <v>46</v>
      </c>
      <c r="L672" s="24" t="n">
        <f aca="false">DATE(YEAR(C672),MONTH(C672),1)</f>
        <v>43040</v>
      </c>
      <c r="M672" s="21" t="n">
        <f aca="false">D672-C672</f>
        <v>5</v>
      </c>
      <c r="N672" s="21" t="n">
        <f aca="false">MAX(0,D672-E672)</f>
        <v>0</v>
      </c>
      <c r="O672" s="21" t="n">
        <f aca="false">IF(D672&lt;=E672,1,0)</f>
        <v>1</v>
      </c>
      <c r="P672" s="23" t="n">
        <f aca="false">G672+H672</f>
        <v>65.69</v>
      </c>
      <c r="Q672" s="23" t="n">
        <f aca="false">G672*INDEX(Assumptions!$B$8:$B$16,MATCH(F672,Assumptions!$A$8:$A$16,0))</f>
        <v>32.1615</v>
      </c>
      <c r="R672" s="23" t="n">
        <f aca="false">H672*Assumptions!$B$3</f>
        <v>8.784</v>
      </c>
      <c r="S672" s="23" t="n">
        <f aca="false">G672-Q672-R672</f>
        <v>10.1045</v>
      </c>
      <c r="T672" s="21" t="str">
        <f aca="false">IF(M672&lt;=7,"0-7 days",IF(M672&lt;=14,"8-14 days",IF(M672&lt;=21,"15-21 days","22+ days")))</f>
        <v>0-7 days</v>
      </c>
    </row>
    <row r="673" customFormat="false" ht="15" hidden="false" customHeight="false" outlineLevel="0" collapsed="false">
      <c r="A673" s="21" t="s">
        <v>739</v>
      </c>
      <c r="B673" s="21" t="s">
        <v>134</v>
      </c>
      <c r="C673" s="22" t="n">
        <v>43053</v>
      </c>
      <c r="D673" s="22" t="n">
        <v>43062</v>
      </c>
      <c r="E673" s="22" t="n">
        <v>43075</v>
      </c>
      <c r="F673" s="21" t="s">
        <v>67</v>
      </c>
      <c r="G673" s="23" t="n">
        <v>95.4</v>
      </c>
      <c r="H673" s="23" t="n">
        <v>20.99</v>
      </c>
      <c r="I673" s="21" t="s">
        <v>104</v>
      </c>
      <c r="J673" s="21" t="n">
        <v>4</v>
      </c>
      <c r="K673" s="21" t="s">
        <v>46</v>
      </c>
      <c r="L673" s="24" t="n">
        <f aca="false">DATE(YEAR(C673),MONTH(C673),1)</f>
        <v>43040</v>
      </c>
      <c r="M673" s="21" t="n">
        <f aca="false">D673-C673</f>
        <v>9</v>
      </c>
      <c r="N673" s="21" t="n">
        <f aca="false">MAX(0,D673-E673)</f>
        <v>0</v>
      </c>
      <c r="O673" s="21" t="n">
        <f aca="false">IF(D673&lt;=E673,1,0)</f>
        <v>1</v>
      </c>
      <c r="P673" s="23" t="n">
        <f aca="false">G673+H673</f>
        <v>116.39</v>
      </c>
      <c r="Q673" s="23" t="n">
        <f aca="false">G673*INDEX(Assumptions!$B$8:$B$16,MATCH(F673,Assumptions!$A$8:$A$16,0))</f>
        <v>59.148</v>
      </c>
      <c r="R673" s="23" t="n">
        <f aca="false">H673*Assumptions!$B$3</f>
        <v>12.594</v>
      </c>
      <c r="S673" s="23" t="n">
        <f aca="false">G673-Q673-R673</f>
        <v>23.658</v>
      </c>
      <c r="T673" s="21" t="str">
        <f aca="false">IF(M673&lt;=7,"0-7 days",IF(M673&lt;=14,"8-14 days",IF(M673&lt;=21,"15-21 days","22+ days")))</f>
        <v>8-14 days</v>
      </c>
    </row>
    <row r="674" customFormat="false" ht="15" hidden="false" customHeight="false" outlineLevel="0" collapsed="false">
      <c r="A674" s="21" t="s">
        <v>740</v>
      </c>
      <c r="B674" s="21" t="s">
        <v>52</v>
      </c>
      <c r="C674" s="22" t="n">
        <v>43053</v>
      </c>
      <c r="D674" s="22" t="n">
        <v>43063</v>
      </c>
      <c r="E674" s="22" t="n">
        <v>43078</v>
      </c>
      <c r="F674" s="21" t="s">
        <v>67</v>
      </c>
      <c r="G674" s="23" t="n">
        <v>128.47</v>
      </c>
      <c r="H674" s="23" t="n">
        <v>19.22</v>
      </c>
      <c r="I674" s="21" t="s">
        <v>45</v>
      </c>
      <c r="J674" s="21" t="n">
        <v>4</v>
      </c>
      <c r="K674" s="21" t="s">
        <v>46</v>
      </c>
      <c r="L674" s="24" t="n">
        <f aca="false">DATE(YEAR(C674),MONTH(C674),1)</f>
        <v>43040</v>
      </c>
      <c r="M674" s="21" t="n">
        <f aca="false">D674-C674</f>
        <v>10</v>
      </c>
      <c r="N674" s="21" t="n">
        <f aca="false">MAX(0,D674-E674)</f>
        <v>0</v>
      </c>
      <c r="O674" s="21" t="n">
        <f aca="false">IF(D674&lt;=E674,1,0)</f>
        <v>1</v>
      </c>
      <c r="P674" s="23" t="n">
        <f aca="false">G674+H674</f>
        <v>147.69</v>
      </c>
      <c r="Q674" s="23" t="n">
        <f aca="false">G674*INDEX(Assumptions!$B$8:$B$16,MATCH(F674,Assumptions!$A$8:$A$16,0))</f>
        <v>79.6514</v>
      </c>
      <c r="R674" s="23" t="n">
        <f aca="false">H674*Assumptions!$B$3</f>
        <v>11.532</v>
      </c>
      <c r="S674" s="23" t="n">
        <f aca="false">G674-Q674-R674</f>
        <v>37.2866</v>
      </c>
      <c r="T674" s="21" t="str">
        <f aca="false">IF(M674&lt;=7,"0-7 days",IF(M674&lt;=14,"8-14 days",IF(M674&lt;=21,"15-21 days","22+ days")))</f>
        <v>8-14 days</v>
      </c>
    </row>
    <row r="675" customFormat="false" ht="15" hidden="false" customHeight="false" outlineLevel="0" collapsed="false">
      <c r="A675" s="21" t="s">
        <v>741</v>
      </c>
      <c r="B675" s="21" t="s">
        <v>103</v>
      </c>
      <c r="C675" s="22" t="n">
        <v>43053</v>
      </c>
      <c r="D675" s="22" t="n">
        <v>43071</v>
      </c>
      <c r="E675" s="22" t="n">
        <v>43073</v>
      </c>
      <c r="F675" s="21" t="s">
        <v>57</v>
      </c>
      <c r="G675" s="23" t="n">
        <v>196.3</v>
      </c>
      <c r="H675" s="23" t="n">
        <v>21.42</v>
      </c>
      <c r="I675" s="21" t="s">
        <v>45</v>
      </c>
      <c r="J675" s="21" t="n">
        <v>5</v>
      </c>
      <c r="K675" s="21" t="s">
        <v>46</v>
      </c>
      <c r="L675" s="24" t="n">
        <f aca="false">DATE(YEAR(C675),MONTH(C675),1)</f>
        <v>43040</v>
      </c>
      <c r="M675" s="21" t="n">
        <f aca="false">D675-C675</f>
        <v>18</v>
      </c>
      <c r="N675" s="21" t="n">
        <f aca="false">MAX(0,D675-E675)</f>
        <v>0</v>
      </c>
      <c r="O675" s="21" t="n">
        <f aca="false">IF(D675&lt;=E675,1,0)</f>
        <v>1</v>
      </c>
      <c r="P675" s="23" t="n">
        <f aca="false">G675+H675</f>
        <v>217.72</v>
      </c>
      <c r="Q675" s="23" t="n">
        <f aca="false">G675*INDEX(Assumptions!$B$8:$B$16,MATCH(F675,Assumptions!$A$8:$A$16,0))</f>
        <v>133.484</v>
      </c>
      <c r="R675" s="23" t="n">
        <f aca="false">H675*Assumptions!$B$3</f>
        <v>12.852</v>
      </c>
      <c r="S675" s="23" t="n">
        <f aca="false">G675-Q675-R675</f>
        <v>49.964</v>
      </c>
      <c r="T675" s="21" t="str">
        <f aca="false">IF(M675&lt;=7,"0-7 days",IF(M675&lt;=14,"8-14 days",IF(M675&lt;=21,"15-21 days","22+ days")))</f>
        <v>15-21 days</v>
      </c>
    </row>
    <row r="676" customFormat="false" ht="15" hidden="false" customHeight="false" outlineLevel="0" collapsed="false">
      <c r="A676" s="21" t="s">
        <v>742</v>
      </c>
      <c r="B676" s="21" t="s">
        <v>19</v>
      </c>
      <c r="C676" s="22" t="n">
        <v>43053</v>
      </c>
      <c r="D676" s="22" t="n">
        <v>43059</v>
      </c>
      <c r="E676" s="22" t="n">
        <v>43068</v>
      </c>
      <c r="F676" s="21" t="s">
        <v>111</v>
      </c>
      <c r="G676" s="23" t="n">
        <v>154.41</v>
      </c>
      <c r="H676" s="23" t="n">
        <v>19.23</v>
      </c>
      <c r="I676" s="21" t="s">
        <v>45</v>
      </c>
      <c r="J676" s="21" t="n">
        <v>4</v>
      </c>
      <c r="K676" s="21" t="s">
        <v>46</v>
      </c>
      <c r="L676" s="24" t="n">
        <f aca="false">DATE(YEAR(C676),MONTH(C676),1)</f>
        <v>43040</v>
      </c>
      <c r="M676" s="21" t="n">
        <f aca="false">D676-C676</f>
        <v>6</v>
      </c>
      <c r="N676" s="21" t="n">
        <f aca="false">MAX(0,D676-E676)</f>
        <v>0</v>
      </c>
      <c r="O676" s="21" t="n">
        <f aca="false">IF(D676&lt;=E676,1,0)</f>
        <v>1</v>
      </c>
      <c r="P676" s="23" t="n">
        <f aca="false">G676+H676</f>
        <v>173.64</v>
      </c>
      <c r="Q676" s="23" t="n">
        <f aca="false">G676*INDEX(Assumptions!$B$8:$B$16,MATCH(F676,Assumptions!$A$8:$A$16,0))</f>
        <v>97.2783</v>
      </c>
      <c r="R676" s="23" t="n">
        <f aca="false">H676*Assumptions!$B$3</f>
        <v>11.538</v>
      </c>
      <c r="S676" s="23" t="n">
        <f aca="false">G676-Q676-R676</f>
        <v>45.5937</v>
      </c>
      <c r="T676" s="21" t="str">
        <f aca="false">IF(M676&lt;=7,"0-7 days",IF(M676&lt;=14,"8-14 days",IF(M676&lt;=21,"15-21 days","22+ days")))</f>
        <v>0-7 days</v>
      </c>
    </row>
    <row r="677" customFormat="false" ht="15" hidden="false" customHeight="false" outlineLevel="0" collapsed="false">
      <c r="A677" s="21" t="s">
        <v>743</v>
      </c>
      <c r="B677" s="21" t="s">
        <v>62</v>
      </c>
      <c r="C677" s="22" t="n">
        <v>43053</v>
      </c>
      <c r="D677" s="22" t="n">
        <v>43070</v>
      </c>
      <c r="E677" s="22" t="n">
        <v>43075</v>
      </c>
      <c r="F677" s="21" t="s">
        <v>67</v>
      </c>
      <c r="G677" s="23" t="n">
        <v>168.99</v>
      </c>
      <c r="H677" s="23" t="n">
        <v>22.49</v>
      </c>
      <c r="I677" s="21" t="s">
        <v>45</v>
      </c>
      <c r="J677" s="21" t="n">
        <v>5</v>
      </c>
      <c r="K677" s="21" t="s">
        <v>46</v>
      </c>
      <c r="L677" s="24" t="n">
        <f aca="false">DATE(YEAR(C677),MONTH(C677),1)</f>
        <v>43040</v>
      </c>
      <c r="M677" s="21" t="n">
        <f aca="false">D677-C677</f>
        <v>17</v>
      </c>
      <c r="N677" s="21" t="n">
        <f aca="false">MAX(0,D677-E677)</f>
        <v>0</v>
      </c>
      <c r="O677" s="21" t="n">
        <f aca="false">IF(D677&lt;=E677,1,0)</f>
        <v>1</v>
      </c>
      <c r="P677" s="23" t="n">
        <f aca="false">G677+H677</f>
        <v>191.48</v>
      </c>
      <c r="Q677" s="23" t="n">
        <f aca="false">G677*INDEX(Assumptions!$B$8:$B$16,MATCH(F677,Assumptions!$A$8:$A$16,0))</f>
        <v>104.7738</v>
      </c>
      <c r="R677" s="23" t="n">
        <f aca="false">H677*Assumptions!$B$3</f>
        <v>13.494</v>
      </c>
      <c r="S677" s="23" t="n">
        <f aca="false">G677-Q677-R677</f>
        <v>50.7222</v>
      </c>
      <c r="T677" s="21" t="str">
        <f aca="false">IF(M677&lt;=7,"0-7 days",IF(M677&lt;=14,"8-14 days",IF(M677&lt;=21,"15-21 days","22+ days")))</f>
        <v>15-21 days</v>
      </c>
    </row>
    <row r="678" customFormat="false" ht="15" hidden="false" customHeight="false" outlineLevel="0" collapsed="false">
      <c r="A678" s="21" t="s">
        <v>744</v>
      </c>
      <c r="B678" s="21" t="s">
        <v>93</v>
      </c>
      <c r="C678" s="22" t="n">
        <v>43053</v>
      </c>
      <c r="D678" s="22" t="n">
        <v>43087</v>
      </c>
      <c r="E678" s="22" t="n">
        <v>43088</v>
      </c>
      <c r="F678" s="21" t="s">
        <v>49</v>
      </c>
      <c r="G678" s="23" t="n">
        <v>78.31</v>
      </c>
      <c r="H678" s="23" t="n">
        <v>35.68</v>
      </c>
      <c r="I678" s="21" t="s">
        <v>60</v>
      </c>
      <c r="J678" s="21" t="n">
        <v>3</v>
      </c>
      <c r="K678" s="21" t="s">
        <v>46</v>
      </c>
      <c r="L678" s="24" t="n">
        <f aca="false">DATE(YEAR(C678),MONTH(C678),1)</f>
        <v>43040</v>
      </c>
      <c r="M678" s="21" t="n">
        <f aca="false">D678-C678</f>
        <v>34</v>
      </c>
      <c r="N678" s="21" t="n">
        <f aca="false">MAX(0,D678-E678)</f>
        <v>0</v>
      </c>
      <c r="O678" s="21" t="n">
        <f aca="false">IF(D678&lt;=E678,1,0)</f>
        <v>1</v>
      </c>
      <c r="P678" s="23" t="n">
        <f aca="false">G678+H678</f>
        <v>113.99</v>
      </c>
      <c r="Q678" s="23" t="n">
        <f aca="false">G678*INDEX(Assumptions!$B$8:$B$16,MATCH(F678,Assumptions!$A$8:$A$16,0))</f>
        <v>45.4198</v>
      </c>
      <c r="R678" s="23" t="n">
        <f aca="false">H678*Assumptions!$B$3</f>
        <v>21.408</v>
      </c>
      <c r="S678" s="23" t="n">
        <f aca="false">G678-Q678-R678</f>
        <v>11.4822</v>
      </c>
      <c r="T678" s="21" t="str">
        <f aca="false">IF(M678&lt;=7,"0-7 days",IF(M678&lt;=14,"8-14 days",IF(M678&lt;=21,"15-21 days","22+ days")))</f>
        <v>22+ days</v>
      </c>
    </row>
    <row r="679" customFormat="false" ht="15" hidden="false" customHeight="false" outlineLevel="0" collapsed="false">
      <c r="A679" s="21" t="s">
        <v>745</v>
      </c>
      <c r="B679" s="21" t="s">
        <v>19</v>
      </c>
      <c r="C679" s="22" t="n">
        <v>43053</v>
      </c>
      <c r="D679" s="22" t="n">
        <v>43057</v>
      </c>
      <c r="E679" s="22" t="n">
        <v>43067</v>
      </c>
      <c r="F679" s="21" t="s">
        <v>59</v>
      </c>
      <c r="G679" s="23" t="n">
        <v>127.02</v>
      </c>
      <c r="H679" s="23" t="n">
        <v>21.51</v>
      </c>
      <c r="I679" s="21" t="s">
        <v>45</v>
      </c>
      <c r="J679" s="21" t="n">
        <v>5</v>
      </c>
      <c r="K679" s="21" t="s">
        <v>46</v>
      </c>
      <c r="L679" s="24" t="n">
        <f aca="false">DATE(YEAR(C679),MONTH(C679),1)</f>
        <v>43040</v>
      </c>
      <c r="M679" s="21" t="n">
        <f aca="false">D679-C679</f>
        <v>4</v>
      </c>
      <c r="N679" s="21" t="n">
        <f aca="false">MAX(0,D679-E679)</f>
        <v>0</v>
      </c>
      <c r="O679" s="21" t="n">
        <f aca="false">IF(D679&lt;=E679,1,0)</f>
        <v>1</v>
      </c>
      <c r="P679" s="23" t="n">
        <f aca="false">G679+H679</f>
        <v>148.53</v>
      </c>
      <c r="Q679" s="23" t="n">
        <f aca="false">G679*INDEX(Assumptions!$B$8:$B$16,MATCH(F679,Assumptions!$A$8:$A$16,0))</f>
        <v>81.2928</v>
      </c>
      <c r="R679" s="23" t="n">
        <f aca="false">H679*Assumptions!$B$3</f>
        <v>12.906</v>
      </c>
      <c r="S679" s="23" t="n">
        <f aca="false">G679-Q679-R679</f>
        <v>32.8212</v>
      </c>
      <c r="T679" s="21" t="str">
        <f aca="false">IF(M679&lt;=7,"0-7 days",IF(M679&lt;=14,"8-14 days",IF(M679&lt;=21,"15-21 days","22+ days")))</f>
        <v>0-7 days</v>
      </c>
    </row>
    <row r="680" customFormat="false" ht="15" hidden="false" customHeight="false" outlineLevel="0" collapsed="false">
      <c r="A680" s="21" t="s">
        <v>746</v>
      </c>
      <c r="B680" s="21" t="s">
        <v>55</v>
      </c>
      <c r="C680" s="22" t="n">
        <v>43053</v>
      </c>
      <c r="D680" s="22" t="n">
        <v>43072</v>
      </c>
      <c r="E680" s="22" t="n">
        <v>43078</v>
      </c>
      <c r="F680" s="21" t="s">
        <v>53</v>
      </c>
      <c r="G680" s="23" t="n">
        <v>49.85</v>
      </c>
      <c r="H680" s="23" t="n">
        <v>29.65</v>
      </c>
      <c r="I680" s="21" t="s">
        <v>45</v>
      </c>
      <c r="J680" s="21" t="n">
        <v>4</v>
      </c>
      <c r="K680" s="21" t="s">
        <v>46</v>
      </c>
      <c r="L680" s="24" t="n">
        <f aca="false">DATE(YEAR(C680),MONTH(C680),1)</f>
        <v>43040</v>
      </c>
      <c r="M680" s="21" t="n">
        <f aca="false">D680-C680</f>
        <v>19</v>
      </c>
      <c r="N680" s="21" t="n">
        <f aca="false">MAX(0,D680-E680)</f>
        <v>0</v>
      </c>
      <c r="O680" s="21" t="n">
        <f aca="false">IF(D680&lt;=E680,1,0)</f>
        <v>1</v>
      </c>
      <c r="P680" s="23" t="n">
        <f aca="false">G680+H680</f>
        <v>79.5</v>
      </c>
      <c r="Q680" s="23" t="n">
        <f aca="false">G680*INDEX(Assumptions!$B$8:$B$16,MATCH(F680,Assumptions!$A$8:$A$16,0))</f>
        <v>36.889</v>
      </c>
      <c r="R680" s="23" t="n">
        <f aca="false">H680*Assumptions!$B$3</f>
        <v>17.79</v>
      </c>
      <c r="S680" s="23" t="n">
        <f aca="false">G680-Q680-R680</f>
        <v>-4.829</v>
      </c>
      <c r="T680" s="21" t="str">
        <f aca="false">IF(M680&lt;=7,"0-7 days",IF(M680&lt;=14,"8-14 days",IF(M680&lt;=21,"15-21 days","22+ days")))</f>
        <v>15-21 days</v>
      </c>
    </row>
    <row r="681" customFormat="false" ht="15" hidden="false" customHeight="false" outlineLevel="0" collapsed="false">
      <c r="A681" s="21" t="s">
        <v>747</v>
      </c>
      <c r="B681" s="21" t="s">
        <v>19</v>
      </c>
      <c r="C681" s="22" t="n">
        <v>43053</v>
      </c>
      <c r="D681" s="22" t="n">
        <v>43058</v>
      </c>
      <c r="E681" s="22" t="n">
        <v>43069</v>
      </c>
      <c r="F681" s="21" t="s">
        <v>59</v>
      </c>
      <c r="G681" s="23" t="n">
        <v>113.48</v>
      </c>
      <c r="H681" s="23" t="n">
        <v>17.89</v>
      </c>
      <c r="I681" s="21" t="s">
        <v>50</v>
      </c>
      <c r="J681" s="21" t="n">
        <v>5</v>
      </c>
      <c r="K681" s="21" t="s">
        <v>46</v>
      </c>
      <c r="L681" s="24" t="n">
        <f aca="false">DATE(YEAR(C681),MONTH(C681),1)</f>
        <v>43040</v>
      </c>
      <c r="M681" s="21" t="n">
        <f aca="false">D681-C681</f>
        <v>5</v>
      </c>
      <c r="N681" s="21" t="n">
        <f aca="false">MAX(0,D681-E681)</f>
        <v>0</v>
      </c>
      <c r="O681" s="21" t="n">
        <f aca="false">IF(D681&lt;=E681,1,0)</f>
        <v>1</v>
      </c>
      <c r="P681" s="23" t="n">
        <f aca="false">G681+H681</f>
        <v>131.37</v>
      </c>
      <c r="Q681" s="23" t="n">
        <f aca="false">G681*INDEX(Assumptions!$B$8:$B$16,MATCH(F681,Assumptions!$A$8:$A$16,0))</f>
        <v>72.6272</v>
      </c>
      <c r="R681" s="23" t="n">
        <f aca="false">H681*Assumptions!$B$3</f>
        <v>10.734</v>
      </c>
      <c r="S681" s="23" t="n">
        <f aca="false">G681-Q681-R681</f>
        <v>30.1188</v>
      </c>
      <c r="T681" s="21" t="str">
        <f aca="false">IF(M681&lt;=7,"0-7 days",IF(M681&lt;=14,"8-14 days",IF(M681&lt;=21,"15-21 days","22+ days")))</f>
        <v>0-7 days</v>
      </c>
    </row>
    <row r="682" customFormat="false" ht="15" hidden="false" customHeight="false" outlineLevel="0" collapsed="false">
      <c r="A682" s="21" t="s">
        <v>748</v>
      </c>
      <c r="B682" s="21" t="s">
        <v>19</v>
      </c>
      <c r="C682" s="22" t="n">
        <v>43053</v>
      </c>
      <c r="D682" s="22" t="n">
        <v>43060</v>
      </c>
      <c r="E682" s="22" t="n">
        <v>43070</v>
      </c>
      <c r="F682" s="21" t="s">
        <v>79</v>
      </c>
      <c r="G682" s="23" t="n">
        <v>57.81</v>
      </c>
      <c r="H682" s="23" t="n">
        <v>15.42</v>
      </c>
      <c r="I682" s="21" t="s">
        <v>45</v>
      </c>
      <c r="J682" s="21" t="n">
        <v>4</v>
      </c>
      <c r="K682" s="21" t="s">
        <v>46</v>
      </c>
      <c r="L682" s="24" t="n">
        <f aca="false">DATE(YEAR(C682),MONTH(C682),1)</f>
        <v>43040</v>
      </c>
      <c r="M682" s="21" t="n">
        <f aca="false">D682-C682</f>
        <v>7</v>
      </c>
      <c r="N682" s="21" t="n">
        <f aca="false">MAX(0,D682-E682)</f>
        <v>0</v>
      </c>
      <c r="O682" s="21" t="n">
        <f aca="false">IF(D682&lt;=E682,1,0)</f>
        <v>1</v>
      </c>
      <c r="P682" s="23" t="n">
        <f aca="false">G682+H682</f>
        <v>73.23</v>
      </c>
      <c r="Q682" s="23" t="n">
        <f aca="false">G682*INDEX(Assumptions!$B$8:$B$16,MATCH(F682,Assumptions!$A$8:$A$16,0))</f>
        <v>40.467</v>
      </c>
      <c r="R682" s="23" t="n">
        <f aca="false">H682*Assumptions!$B$3</f>
        <v>9.252</v>
      </c>
      <c r="S682" s="23" t="n">
        <f aca="false">G682-Q682-R682</f>
        <v>8.09100000000001</v>
      </c>
      <c r="T682" s="21" t="str">
        <f aca="false">IF(M682&lt;=7,"0-7 days",IF(M682&lt;=14,"8-14 days",IF(M682&lt;=21,"15-21 days","22+ days")))</f>
        <v>0-7 days</v>
      </c>
    </row>
    <row r="683" customFormat="false" ht="15" hidden="false" customHeight="false" outlineLevel="0" collapsed="false">
      <c r="A683" s="21" t="s">
        <v>749</v>
      </c>
      <c r="B683" s="21" t="s">
        <v>62</v>
      </c>
      <c r="C683" s="22" t="n">
        <v>43054</v>
      </c>
      <c r="D683" s="22" t="n">
        <v>43065</v>
      </c>
      <c r="E683" s="22" t="n">
        <v>43070</v>
      </c>
      <c r="F683" s="21" t="s">
        <v>111</v>
      </c>
      <c r="G683" s="23" t="n">
        <v>72.85</v>
      </c>
      <c r="H683" s="23" t="n">
        <v>20.15</v>
      </c>
      <c r="I683" s="21" t="s">
        <v>45</v>
      </c>
      <c r="J683" s="21" t="n">
        <v>5</v>
      </c>
      <c r="K683" s="21" t="s">
        <v>46</v>
      </c>
      <c r="L683" s="24" t="n">
        <f aca="false">DATE(YEAR(C683),MONTH(C683),1)</f>
        <v>43040</v>
      </c>
      <c r="M683" s="21" t="n">
        <f aca="false">D683-C683</f>
        <v>11</v>
      </c>
      <c r="N683" s="21" t="n">
        <f aca="false">MAX(0,D683-E683)</f>
        <v>0</v>
      </c>
      <c r="O683" s="21" t="n">
        <f aca="false">IF(D683&lt;=E683,1,0)</f>
        <v>1</v>
      </c>
      <c r="P683" s="23" t="n">
        <f aca="false">G683+H683</f>
        <v>93</v>
      </c>
      <c r="Q683" s="23" t="n">
        <f aca="false">G683*INDEX(Assumptions!$B$8:$B$16,MATCH(F683,Assumptions!$A$8:$A$16,0))</f>
        <v>45.8955</v>
      </c>
      <c r="R683" s="23" t="n">
        <f aca="false">H683*Assumptions!$B$3</f>
        <v>12.09</v>
      </c>
      <c r="S683" s="23" t="n">
        <f aca="false">G683-Q683-R683</f>
        <v>14.8645</v>
      </c>
      <c r="T683" s="21" t="str">
        <f aca="false">IF(M683&lt;=7,"0-7 days",IF(M683&lt;=14,"8-14 days",IF(M683&lt;=21,"15-21 days","22+ days")))</f>
        <v>8-14 days</v>
      </c>
    </row>
    <row r="684" customFormat="false" ht="15" hidden="false" customHeight="false" outlineLevel="0" collapsed="false">
      <c r="A684" s="21" t="s">
        <v>750</v>
      </c>
      <c r="B684" s="21" t="s">
        <v>19</v>
      </c>
      <c r="C684" s="22" t="n">
        <v>43054</v>
      </c>
      <c r="D684" s="22" t="n">
        <v>43062</v>
      </c>
      <c r="E684" s="22" t="n">
        <v>43070</v>
      </c>
      <c r="F684" s="21" t="s">
        <v>59</v>
      </c>
      <c r="G684" s="23" t="n">
        <v>100.27</v>
      </c>
      <c r="H684" s="23" t="n">
        <v>21.65</v>
      </c>
      <c r="I684" s="21" t="s">
        <v>45</v>
      </c>
      <c r="J684" s="21" t="n">
        <v>5</v>
      </c>
      <c r="K684" s="21" t="s">
        <v>46</v>
      </c>
      <c r="L684" s="24" t="n">
        <f aca="false">DATE(YEAR(C684),MONTH(C684),1)</f>
        <v>43040</v>
      </c>
      <c r="M684" s="21" t="n">
        <f aca="false">D684-C684</f>
        <v>8</v>
      </c>
      <c r="N684" s="21" t="n">
        <f aca="false">MAX(0,D684-E684)</f>
        <v>0</v>
      </c>
      <c r="O684" s="21" t="n">
        <f aca="false">IF(D684&lt;=E684,1,0)</f>
        <v>1</v>
      </c>
      <c r="P684" s="23" t="n">
        <f aca="false">G684+H684</f>
        <v>121.92</v>
      </c>
      <c r="Q684" s="23" t="n">
        <f aca="false">G684*INDEX(Assumptions!$B$8:$B$16,MATCH(F684,Assumptions!$A$8:$A$16,0))</f>
        <v>64.1728</v>
      </c>
      <c r="R684" s="23" t="n">
        <f aca="false">H684*Assumptions!$B$3</f>
        <v>12.99</v>
      </c>
      <c r="S684" s="23" t="n">
        <f aca="false">G684-Q684-R684</f>
        <v>23.1072</v>
      </c>
      <c r="T684" s="21" t="str">
        <f aca="false">IF(M684&lt;=7,"0-7 days",IF(M684&lt;=14,"8-14 days",IF(M684&lt;=21,"15-21 days","22+ days")))</f>
        <v>8-14 days</v>
      </c>
    </row>
    <row r="685" customFormat="false" ht="15" hidden="false" customHeight="false" outlineLevel="0" collapsed="false">
      <c r="A685" s="21" t="s">
        <v>751</v>
      </c>
      <c r="B685" s="21" t="s">
        <v>134</v>
      </c>
      <c r="C685" s="22" t="n">
        <v>43054</v>
      </c>
      <c r="D685" s="22" t="n">
        <v>43067</v>
      </c>
      <c r="E685" s="22" t="n">
        <v>43078</v>
      </c>
      <c r="F685" s="21" t="s">
        <v>67</v>
      </c>
      <c r="G685" s="23" t="n">
        <v>198.91</v>
      </c>
      <c r="H685" s="23" t="n">
        <v>27.18</v>
      </c>
      <c r="I685" s="21" t="s">
        <v>45</v>
      </c>
      <c r="J685" s="21" t="n">
        <v>3</v>
      </c>
      <c r="K685" s="21" t="s">
        <v>46</v>
      </c>
      <c r="L685" s="24" t="n">
        <f aca="false">DATE(YEAR(C685),MONTH(C685),1)</f>
        <v>43040</v>
      </c>
      <c r="M685" s="21" t="n">
        <f aca="false">D685-C685</f>
        <v>13</v>
      </c>
      <c r="N685" s="21" t="n">
        <f aca="false">MAX(0,D685-E685)</f>
        <v>0</v>
      </c>
      <c r="O685" s="21" t="n">
        <f aca="false">IF(D685&lt;=E685,1,0)</f>
        <v>1</v>
      </c>
      <c r="P685" s="23" t="n">
        <f aca="false">G685+H685</f>
        <v>226.09</v>
      </c>
      <c r="Q685" s="23" t="n">
        <f aca="false">G685*INDEX(Assumptions!$B$8:$B$16,MATCH(F685,Assumptions!$A$8:$A$16,0))</f>
        <v>123.3242</v>
      </c>
      <c r="R685" s="23" t="n">
        <f aca="false">H685*Assumptions!$B$3</f>
        <v>16.308</v>
      </c>
      <c r="S685" s="23" t="n">
        <f aca="false">G685-Q685-R685</f>
        <v>59.2778</v>
      </c>
      <c r="T685" s="21" t="str">
        <f aca="false">IF(M685&lt;=7,"0-7 days",IF(M685&lt;=14,"8-14 days",IF(M685&lt;=21,"15-21 days","22+ days")))</f>
        <v>8-14 days</v>
      </c>
    </row>
    <row r="686" customFormat="false" ht="15" hidden="false" customHeight="false" outlineLevel="0" collapsed="false">
      <c r="A686" s="21" t="s">
        <v>752</v>
      </c>
      <c r="B686" s="21" t="s">
        <v>19</v>
      </c>
      <c r="C686" s="22" t="n">
        <v>43054</v>
      </c>
      <c r="D686" s="22" t="n">
        <v>43067</v>
      </c>
      <c r="E686" s="22" t="n">
        <v>43071</v>
      </c>
      <c r="F686" s="21" t="s">
        <v>49</v>
      </c>
      <c r="G686" s="23" t="n">
        <v>59.13</v>
      </c>
      <c r="H686" s="23" t="n">
        <v>19.49</v>
      </c>
      <c r="I686" s="21" t="s">
        <v>50</v>
      </c>
      <c r="J686" s="21" t="n">
        <v>5</v>
      </c>
      <c r="K686" s="21" t="s">
        <v>46</v>
      </c>
      <c r="L686" s="24" t="n">
        <f aca="false">DATE(YEAR(C686),MONTH(C686),1)</f>
        <v>43040</v>
      </c>
      <c r="M686" s="21" t="n">
        <f aca="false">D686-C686</f>
        <v>13</v>
      </c>
      <c r="N686" s="21" t="n">
        <f aca="false">MAX(0,D686-E686)</f>
        <v>0</v>
      </c>
      <c r="O686" s="21" t="n">
        <f aca="false">IF(D686&lt;=E686,1,0)</f>
        <v>1</v>
      </c>
      <c r="P686" s="23" t="n">
        <f aca="false">G686+H686</f>
        <v>78.62</v>
      </c>
      <c r="Q686" s="23" t="n">
        <f aca="false">G686*INDEX(Assumptions!$B$8:$B$16,MATCH(F686,Assumptions!$A$8:$A$16,0))</f>
        <v>34.2954</v>
      </c>
      <c r="R686" s="23" t="n">
        <f aca="false">H686*Assumptions!$B$3</f>
        <v>11.694</v>
      </c>
      <c r="S686" s="23" t="n">
        <f aca="false">G686-Q686-R686</f>
        <v>13.1406</v>
      </c>
      <c r="T686" s="21" t="str">
        <f aca="false">IF(M686&lt;=7,"0-7 days",IF(M686&lt;=14,"8-14 days",IF(M686&lt;=21,"15-21 days","22+ days")))</f>
        <v>8-14 days</v>
      </c>
    </row>
    <row r="687" customFormat="false" ht="15" hidden="false" customHeight="false" outlineLevel="0" collapsed="false">
      <c r="A687" s="21" t="s">
        <v>753</v>
      </c>
      <c r="B687" s="21" t="s">
        <v>19</v>
      </c>
      <c r="C687" s="22" t="n">
        <v>43055</v>
      </c>
      <c r="D687" s="22" t="n">
        <v>43060</v>
      </c>
      <c r="E687" s="22" t="n">
        <v>43072</v>
      </c>
      <c r="F687" s="21" t="s">
        <v>79</v>
      </c>
      <c r="G687" s="23" t="n">
        <v>62</v>
      </c>
      <c r="H687" s="23" t="n">
        <v>20.63</v>
      </c>
      <c r="I687" s="21" t="s">
        <v>60</v>
      </c>
      <c r="J687" s="21" t="n">
        <v>5</v>
      </c>
      <c r="K687" s="21" t="s">
        <v>46</v>
      </c>
      <c r="L687" s="24" t="n">
        <f aca="false">DATE(YEAR(C687),MONTH(C687),1)</f>
        <v>43040</v>
      </c>
      <c r="M687" s="21" t="n">
        <f aca="false">D687-C687</f>
        <v>5</v>
      </c>
      <c r="N687" s="21" t="n">
        <f aca="false">MAX(0,D687-E687)</f>
        <v>0</v>
      </c>
      <c r="O687" s="21" t="n">
        <f aca="false">IF(D687&lt;=E687,1,0)</f>
        <v>1</v>
      </c>
      <c r="P687" s="23" t="n">
        <f aca="false">G687+H687</f>
        <v>82.63</v>
      </c>
      <c r="Q687" s="23" t="n">
        <f aca="false">G687*INDEX(Assumptions!$B$8:$B$16,MATCH(F687,Assumptions!$A$8:$A$16,0))</f>
        <v>43.4</v>
      </c>
      <c r="R687" s="23" t="n">
        <f aca="false">H687*Assumptions!$B$3</f>
        <v>12.378</v>
      </c>
      <c r="S687" s="23" t="n">
        <f aca="false">G687-Q687-R687</f>
        <v>6.222</v>
      </c>
      <c r="T687" s="21" t="str">
        <f aca="false">IF(M687&lt;=7,"0-7 days",IF(M687&lt;=14,"8-14 days",IF(M687&lt;=21,"15-21 days","22+ days")))</f>
        <v>0-7 days</v>
      </c>
    </row>
    <row r="688" customFormat="false" ht="15" hidden="false" customHeight="false" outlineLevel="0" collapsed="false">
      <c r="A688" s="21" t="s">
        <v>754</v>
      </c>
      <c r="B688" s="21" t="s">
        <v>19</v>
      </c>
      <c r="C688" s="22" t="n">
        <v>43055</v>
      </c>
      <c r="D688" s="22" t="n">
        <v>43062</v>
      </c>
      <c r="E688" s="22" t="n">
        <v>43073</v>
      </c>
      <c r="F688" s="21" t="s">
        <v>67</v>
      </c>
      <c r="G688" s="23" t="n">
        <v>147.42</v>
      </c>
      <c r="H688" s="23" t="n">
        <v>13.45</v>
      </c>
      <c r="I688" s="21" t="s">
        <v>45</v>
      </c>
      <c r="J688" s="21" t="n">
        <v>5</v>
      </c>
      <c r="K688" s="21" t="s">
        <v>46</v>
      </c>
      <c r="L688" s="24" t="n">
        <f aca="false">DATE(YEAR(C688),MONTH(C688),1)</f>
        <v>43040</v>
      </c>
      <c r="M688" s="21" t="n">
        <f aca="false">D688-C688</f>
        <v>7</v>
      </c>
      <c r="N688" s="21" t="n">
        <f aca="false">MAX(0,D688-E688)</f>
        <v>0</v>
      </c>
      <c r="O688" s="21" t="n">
        <f aca="false">IF(D688&lt;=E688,1,0)</f>
        <v>1</v>
      </c>
      <c r="P688" s="23" t="n">
        <f aca="false">G688+H688</f>
        <v>160.87</v>
      </c>
      <c r="Q688" s="23" t="n">
        <f aca="false">G688*INDEX(Assumptions!$B$8:$B$16,MATCH(F688,Assumptions!$A$8:$A$16,0))</f>
        <v>91.4004</v>
      </c>
      <c r="R688" s="23" t="n">
        <f aca="false">H688*Assumptions!$B$3</f>
        <v>8.07</v>
      </c>
      <c r="S688" s="23" t="n">
        <f aca="false">G688-Q688-R688</f>
        <v>47.9496</v>
      </c>
      <c r="T688" s="21" t="str">
        <f aca="false">IF(M688&lt;=7,"0-7 days",IF(M688&lt;=14,"8-14 days",IF(M688&lt;=21,"15-21 days","22+ days")))</f>
        <v>0-7 days</v>
      </c>
    </row>
    <row r="689" customFormat="false" ht="15" hidden="false" customHeight="false" outlineLevel="0" collapsed="false">
      <c r="A689" s="21" t="s">
        <v>755</v>
      </c>
      <c r="B689" s="21" t="s">
        <v>19</v>
      </c>
      <c r="C689" s="22" t="n">
        <v>43055</v>
      </c>
      <c r="D689" s="22" t="n">
        <v>43071</v>
      </c>
      <c r="E689" s="22" t="n">
        <v>43070</v>
      </c>
      <c r="F689" s="21" t="s">
        <v>67</v>
      </c>
      <c r="G689" s="23" t="n">
        <v>80.14</v>
      </c>
      <c r="H689" s="23" t="n">
        <v>12.47</v>
      </c>
      <c r="I689" s="21" t="s">
        <v>45</v>
      </c>
      <c r="J689" s="21" t="n">
        <v>3</v>
      </c>
      <c r="K689" s="21" t="s">
        <v>46</v>
      </c>
      <c r="L689" s="24" t="n">
        <f aca="false">DATE(YEAR(C689),MONTH(C689),1)</f>
        <v>43040</v>
      </c>
      <c r="M689" s="21" t="n">
        <f aca="false">D689-C689</f>
        <v>16</v>
      </c>
      <c r="N689" s="21" t="n">
        <f aca="false">MAX(0,D689-E689)</f>
        <v>1</v>
      </c>
      <c r="O689" s="21" t="n">
        <f aca="false">IF(D689&lt;=E689,1,0)</f>
        <v>0</v>
      </c>
      <c r="P689" s="23" t="n">
        <f aca="false">G689+H689</f>
        <v>92.61</v>
      </c>
      <c r="Q689" s="23" t="n">
        <f aca="false">G689*INDEX(Assumptions!$B$8:$B$16,MATCH(F689,Assumptions!$A$8:$A$16,0))</f>
        <v>49.6868</v>
      </c>
      <c r="R689" s="23" t="n">
        <f aca="false">H689*Assumptions!$B$3</f>
        <v>7.482</v>
      </c>
      <c r="S689" s="23" t="n">
        <f aca="false">G689-Q689-R689</f>
        <v>22.9712</v>
      </c>
      <c r="T689" s="21" t="str">
        <f aca="false">IF(M689&lt;=7,"0-7 days",IF(M689&lt;=14,"8-14 days",IF(M689&lt;=21,"15-21 days","22+ days")))</f>
        <v>15-21 days</v>
      </c>
    </row>
    <row r="690" customFormat="false" ht="15" hidden="false" customHeight="false" outlineLevel="0" collapsed="false">
      <c r="A690" s="21" t="s">
        <v>756</v>
      </c>
      <c r="B690" s="21" t="s">
        <v>19</v>
      </c>
      <c r="C690" s="22" t="n">
        <v>43055</v>
      </c>
      <c r="D690" s="22" t="n">
        <v>43064</v>
      </c>
      <c r="E690" s="22" t="n">
        <v>43071</v>
      </c>
      <c r="F690" s="21" t="s">
        <v>49</v>
      </c>
      <c r="G690" s="23" t="n">
        <v>96.59</v>
      </c>
      <c r="H690" s="23" t="n">
        <v>15.96</v>
      </c>
      <c r="I690" s="21" t="s">
        <v>45</v>
      </c>
      <c r="J690" s="21" t="n">
        <v>3</v>
      </c>
      <c r="K690" s="21" t="s">
        <v>46</v>
      </c>
      <c r="L690" s="24" t="n">
        <f aca="false">DATE(YEAR(C690),MONTH(C690),1)</f>
        <v>43040</v>
      </c>
      <c r="M690" s="21" t="n">
        <f aca="false">D690-C690</f>
        <v>9</v>
      </c>
      <c r="N690" s="21" t="n">
        <f aca="false">MAX(0,D690-E690)</f>
        <v>0</v>
      </c>
      <c r="O690" s="21" t="n">
        <f aca="false">IF(D690&lt;=E690,1,0)</f>
        <v>1</v>
      </c>
      <c r="P690" s="23" t="n">
        <f aca="false">G690+H690</f>
        <v>112.55</v>
      </c>
      <c r="Q690" s="23" t="n">
        <f aca="false">G690*INDEX(Assumptions!$B$8:$B$16,MATCH(F690,Assumptions!$A$8:$A$16,0))</f>
        <v>56.0222</v>
      </c>
      <c r="R690" s="23" t="n">
        <f aca="false">H690*Assumptions!$B$3</f>
        <v>9.576</v>
      </c>
      <c r="S690" s="23" t="n">
        <f aca="false">G690-Q690-R690</f>
        <v>30.9918</v>
      </c>
      <c r="T690" s="21" t="str">
        <f aca="false">IF(M690&lt;=7,"0-7 days",IF(M690&lt;=14,"8-14 days",IF(M690&lt;=21,"15-21 days","22+ days")))</f>
        <v>8-14 days</v>
      </c>
    </row>
    <row r="691" customFormat="false" ht="15" hidden="false" customHeight="false" outlineLevel="0" collapsed="false">
      <c r="A691" s="21" t="s">
        <v>757</v>
      </c>
      <c r="B691" s="21" t="s">
        <v>62</v>
      </c>
      <c r="C691" s="22" t="n">
        <v>43055</v>
      </c>
      <c r="D691" s="22" t="n">
        <v>43065</v>
      </c>
      <c r="E691" s="22" t="n">
        <v>43071</v>
      </c>
      <c r="F691" s="21" t="s">
        <v>67</v>
      </c>
      <c r="G691" s="23" t="n">
        <v>16.66</v>
      </c>
      <c r="H691" s="23" t="n">
        <v>17.69</v>
      </c>
      <c r="I691" s="21" t="s">
        <v>45</v>
      </c>
      <c r="J691" s="21" t="n">
        <v>4</v>
      </c>
      <c r="K691" s="21" t="s">
        <v>46</v>
      </c>
      <c r="L691" s="24" t="n">
        <f aca="false">DATE(YEAR(C691),MONTH(C691),1)</f>
        <v>43040</v>
      </c>
      <c r="M691" s="21" t="n">
        <f aca="false">D691-C691</f>
        <v>10</v>
      </c>
      <c r="N691" s="21" t="n">
        <f aca="false">MAX(0,D691-E691)</f>
        <v>0</v>
      </c>
      <c r="O691" s="21" t="n">
        <f aca="false">IF(D691&lt;=E691,1,0)</f>
        <v>1</v>
      </c>
      <c r="P691" s="23" t="n">
        <f aca="false">G691+H691</f>
        <v>34.35</v>
      </c>
      <c r="Q691" s="23" t="n">
        <f aca="false">G691*INDEX(Assumptions!$B$8:$B$16,MATCH(F691,Assumptions!$A$8:$A$16,0))</f>
        <v>10.3292</v>
      </c>
      <c r="R691" s="23" t="n">
        <f aca="false">H691*Assumptions!$B$3</f>
        <v>10.614</v>
      </c>
      <c r="S691" s="23" t="n">
        <f aca="false">G691-Q691-R691</f>
        <v>-4.2832</v>
      </c>
      <c r="T691" s="21" t="str">
        <f aca="false">IF(M691&lt;=7,"0-7 days",IF(M691&lt;=14,"8-14 days",IF(M691&lt;=21,"15-21 days","22+ days")))</f>
        <v>8-14 days</v>
      </c>
    </row>
    <row r="692" customFormat="false" ht="15" hidden="false" customHeight="false" outlineLevel="0" collapsed="false">
      <c r="A692" s="21" t="s">
        <v>758</v>
      </c>
      <c r="B692" s="21" t="s">
        <v>62</v>
      </c>
      <c r="C692" s="22" t="n">
        <v>43056</v>
      </c>
      <c r="D692" s="22" t="n">
        <v>43069</v>
      </c>
      <c r="E692" s="22" t="n">
        <v>43075</v>
      </c>
      <c r="F692" s="21" t="s">
        <v>111</v>
      </c>
      <c r="G692" s="23" t="n">
        <v>35.41</v>
      </c>
      <c r="H692" s="23" t="n">
        <v>23.11</v>
      </c>
      <c r="I692" s="21" t="s">
        <v>45</v>
      </c>
      <c r="J692" s="21" t="n">
        <v>5</v>
      </c>
      <c r="K692" s="21" t="s">
        <v>46</v>
      </c>
      <c r="L692" s="24" t="n">
        <f aca="false">DATE(YEAR(C692),MONTH(C692),1)</f>
        <v>43040</v>
      </c>
      <c r="M692" s="21" t="n">
        <f aca="false">D692-C692</f>
        <v>13</v>
      </c>
      <c r="N692" s="21" t="n">
        <f aca="false">MAX(0,D692-E692)</f>
        <v>0</v>
      </c>
      <c r="O692" s="21" t="n">
        <f aca="false">IF(D692&lt;=E692,1,0)</f>
        <v>1</v>
      </c>
      <c r="P692" s="23" t="n">
        <f aca="false">G692+H692</f>
        <v>58.52</v>
      </c>
      <c r="Q692" s="23" t="n">
        <f aca="false">G692*INDEX(Assumptions!$B$8:$B$16,MATCH(F692,Assumptions!$A$8:$A$16,0))</f>
        <v>22.3083</v>
      </c>
      <c r="R692" s="23" t="n">
        <f aca="false">H692*Assumptions!$B$3</f>
        <v>13.866</v>
      </c>
      <c r="S692" s="23" t="n">
        <f aca="false">G692-Q692-R692</f>
        <v>-0.764300000000002</v>
      </c>
      <c r="T692" s="21" t="str">
        <f aca="false">IF(M692&lt;=7,"0-7 days",IF(M692&lt;=14,"8-14 days",IF(M692&lt;=21,"15-21 days","22+ days")))</f>
        <v>8-14 days</v>
      </c>
    </row>
    <row r="693" customFormat="false" ht="15" hidden="false" customHeight="false" outlineLevel="0" collapsed="false">
      <c r="A693" s="21" t="s">
        <v>759</v>
      </c>
      <c r="B693" s="21" t="s">
        <v>103</v>
      </c>
      <c r="C693" s="22" t="n">
        <v>43056</v>
      </c>
      <c r="D693" s="22" t="n">
        <v>43069</v>
      </c>
      <c r="E693" s="22" t="n">
        <v>43079</v>
      </c>
      <c r="F693" s="21" t="s">
        <v>67</v>
      </c>
      <c r="G693" s="23" t="n">
        <v>64.79</v>
      </c>
      <c r="H693" s="23" t="n">
        <v>20.84</v>
      </c>
      <c r="I693" s="21" t="s">
        <v>45</v>
      </c>
      <c r="J693" s="21" t="n">
        <v>3</v>
      </c>
      <c r="K693" s="21" t="s">
        <v>46</v>
      </c>
      <c r="L693" s="24" t="n">
        <f aca="false">DATE(YEAR(C693),MONTH(C693),1)</f>
        <v>43040</v>
      </c>
      <c r="M693" s="21" t="n">
        <f aca="false">D693-C693</f>
        <v>13</v>
      </c>
      <c r="N693" s="21" t="n">
        <f aca="false">MAX(0,D693-E693)</f>
        <v>0</v>
      </c>
      <c r="O693" s="21" t="n">
        <f aca="false">IF(D693&lt;=E693,1,0)</f>
        <v>1</v>
      </c>
      <c r="P693" s="23" t="n">
        <f aca="false">G693+H693</f>
        <v>85.63</v>
      </c>
      <c r="Q693" s="23" t="n">
        <f aca="false">G693*INDEX(Assumptions!$B$8:$B$16,MATCH(F693,Assumptions!$A$8:$A$16,0))</f>
        <v>40.1698</v>
      </c>
      <c r="R693" s="23" t="n">
        <f aca="false">H693*Assumptions!$B$3</f>
        <v>12.504</v>
      </c>
      <c r="S693" s="23" t="n">
        <f aca="false">G693-Q693-R693</f>
        <v>12.1162</v>
      </c>
      <c r="T693" s="21" t="str">
        <f aca="false">IF(M693&lt;=7,"0-7 days",IF(M693&lt;=14,"8-14 days",IF(M693&lt;=21,"15-21 days","22+ days")))</f>
        <v>8-14 days</v>
      </c>
    </row>
    <row r="694" customFormat="false" ht="15" hidden="false" customHeight="false" outlineLevel="0" collapsed="false">
      <c r="A694" s="21" t="s">
        <v>760</v>
      </c>
      <c r="B694" s="21" t="s">
        <v>55</v>
      </c>
      <c r="C694" s="22" t="n">
        <v>43056</v>
      </c>
      <c r="D694" s="22" t="n">
        <v>43082</v>
      </c>
      <c r="E694" s="22" t="n">
        <v>43081</v>
      </c>
      <c r="F694" s="21" t="s">
        <v>53</v>
      </c>
      <c r="G694" s="23" t="n">
        <v>156.19</v>
      </c>
      <c r="H694" s="23" t="n">
        <v>17.96</v>
      </c>
      <c r="I694" s="21" t="s">
        <v>45</v>
      </c>
      <c r="J694" s="21" t="n">
        <v>3</v>
      </c>
      <c r="K694" s="21" t="s">
        <v>46</v>
      </c>
      <c r="L694" s="24" t="n">
        <f aca="false">DATE(YEAR(C694),MONTH(C694),1)</f>
        <v>43040</v>
      </c>
      <c r="M694" s="21" t="n">
        <f aca="false">D694-C694</f>
        <v>26</v>
      </c>
      <c r="N694" s="21" t="n">
        <f aca="false">MAX(0,D694-E694)</f>
        <v>1</v>
      </c>
      <c r="O694" s="21" t="n">
        <f aca="false">IF(D694&lt;=E694,1,0)</f>
        <v>0</v>
      </c>
      <c r="P694" s="23" t="n">
        <f aca="false">G694+H694</f>
        <v>174.15</v>
      </c>
      <c r="Q694" s="23" t="n">
        <f aca="false">G694*INDEX(Assumptions!$B$8:$B$16,MATCH(F694,Assumptions!$A$8:$A$16,0))</f>
        <v>115.5806</v>
      </c>
      <c r="R694" s="23" t="n">
        <f aca="false">H694*Assumptions!$B$3</f>
        <v>10.776</v>
      </c>
      <c r="S694" s="23" t="n">
        <f aca="false">G694-Q694-R694</f>
        <v>29.8334</v>
      </c>
      <c r="T694" s="21" t="str">
        <f aca="false">IF(M694&lt;=7,"0-7 days",IF(M694&lt;=14,"8-14 days",IF(M694&lt;=21,"15-21 days","22+ days")))</f>
        <v>22+ days</v>
      </c>
    </row>
    <row r="695" customFormat="false" ht="15" hidden="false" customHeight="false" outlineLevel="0" collapsed="false">
      <c r="A695" s="21" t="s">
        <v>761</v>
      </c>
      <c r="B695" s="21" t="s">
        <v>62</v>
      </c>
      <c r="C695" s="22" t="n">
        <v>43056</v>
      </c>
      <c r="D695" s="22" t="n">
        <v>43065</v>
      </c>
      <c r="E695" s="22" t="n">
        <v>43074</v>
      </c>
      <c r="F695" s="21" t="s">
        <v>79</v>
      </c>
      <c r="G695" s="23" t="n">
        <v>133.2</v>
      </c>
      <c r="H695" s="23" t="n">
        <v>26.71</v>
      </c>
      <c r="I695" s="21" t="s">
        <v>45</v>
      </c>
      <c r="J695" s="21" t="n">
        <v>5</v>
      </c>
      <c r="K695" s="21" t="s">
        <v>46</v>
      </c>
      <c r="L695" s="24" t="n">
        <f aca="false">DATE(YEAR(C695),MONTH(C695),1)</f>
        <v>43040</v>
      </c>
      <c r="M695" s="21" t="n">
        <f aca="false">D695-C695</f>
        <v>9</v>
      </c>
      <c r="N695" s="21" t="n">
        <f aca="false">MAX(0,D695-E695)</f>
        <v>0</v>
      </c>
      <c r="O695" s="21" t="n">
        <f aca="false">IF(D695&lt;=E695,1,0)</f>
        <v>1</v>
      </c>
      <c r="P695" s="23" t="n">
        <f aca="false">G695+H695</f>
        <v>159.91</v>
      </c>
      <c r="Q695" s="23" t="n">
        <f aca="false">G695*INDEX(Assumptions!$B$8:$B$16,MATCH(F695,Assumptions!$A$8:$A$16,0))</f>
        <v>93.24</v>
      </c>
      <c r="R695" s="23" t="n">
        <f aca="false">H695*Assumptions!$B$3</f>
        <v>16.026</v>
      </c>
      <c r="S695" s="23" t="n">
        <f aca="false">G695-Q695-R695</f>
        <v>23.934</v>
      </c>
      <c r="T695" s="21" t="str">
        <f aca="false">IF(M695&lt;=7,"0-7 days",IF(M695&lt;=14,"8-14 days",IF(M695&lt;=21,"15-21 days","22+ days")))</f>
        <v>8-14 days</v>
      </c>
    </row>
    <row r="696" customFormat="false" ht="15" hidden="false" customHeight="false" outlineLevel="0" collapsed="false">
      <c r="A696" s="21" t="s">
        <v>762</v>
      </c>
      <c r="B696" s="21" t="s">
        <v>19</v>
      </c>
      <c r="C696" s="22" t="n">
        <v>43056</v>
      </c>
      <c r="D696" s="22" t="n">
        <v>43066</v>
      </c>
      <c r="E696" s="22" t="n">
        <v>43068</v>
      </c>
      <c r="F696" s="21" t="s">
        <v>67</v>
      </c>
      <c r="G696" s="23" t="n">
        <v>117.99</v>
      </c>
      <c r="H696" s="23" t="n">
        <v>18.32</v>
      </c>
      <c r="I696" s="21" t="s">
        <v>50</v>
      </c>
      <c r="J696" s="21" t="n">
        <v>5</v>
      </c>
      <c r="K696" s="21" t="s">
        <v>46</v>
      </c>
      <c r="L696" s="24" t="n">
        <f aca="false">DATE(YEAR(C696),MONTH(C696),1)</f>
        <v>43040</v>
      </c>
      <c r="M696" s="21" t="n">
        <f aca="false">D696-C696</f>
        <v>10</v>
      </c>
      <c r="N696" s="21" t="n">
        <f aca="false">MAX(0,D696-E696)</f>
        <v>0</v>
      </c>
      <c r="O696" s="21" t="n">
        <f aca="false">IF(D696&lt;=E696,1,0)</f>
        <v>1</v>
      </c>
      <c r="P696" s="23" t="n">
        <f aca="false">G696+H696</f>
        <v>136.31</v>
      </c>
      <c r="Q696" s="23" t="n">
        <f aca="false">G696*INDEX(Assumptions!$B$8:$B$16,MATCH(F696,Assumptions!$A$8:$A$16,0))</f>
        <v>73.1538</v>
      </c>
      <c r="R696" s="23" t="n">
        <f aca="false">H696*Assumptions!$B$3</f>
        <v>10.992</v>
      </c>
      <c r="S696" s="23" t="n">
        <f aca="false">G696-Q696-R696</f>
        <v>33.8442</v>
      </c>
      <c r="T696" s="21" t="str">
        <f aca="false">IF(M696&lt;=7,"0-7 days",IF(M696&lt;=14,"8-14 days",IF(M696&lt;=21,"15-21 days","22+ days")))</f>
        <v>8-14 days</v>
      </c>
    </row>
    <row r="697" customFormat="false" ht="15" hidden="false" customHeight="false" outlineLevel="0" collapsed="false">
      <c r="A697" s="21" t="s">
        <v>763</v>
      </c>
      <c r="B697" s="21" t="s">
        <v>19</v>
      </c>
      <c r="C697" s="22" t="n">
        <v>43056</v>
      </c>
      <c r="D697" s="22" t="n">
        <v>43063</v>
      </c>
      <c r="E697" s="22" t="n">
        <v>43075</v>
      </c>
      <c r="F697" s="21" t="s">
        <v>64</v>
      </c>
      <c r="G697" s="23" t="n">
        <v>127.54</v>
      </c>
      <c r="H697" s="23" t="n">
        <v>16.5</v>
      </c>
      <c r="I697" s="21" t="s">
        <v>45</v>
      </c>
      <c r="J697" s="21" t="n">
        <v>5</v>
      </c>
      <c r="K697" s="21" t="s">
        <v>46</v>
      </c>
      <c r="L697" s="24" t="n">
        <f aca="false">DATE(YEAR(C697),MONTH(C697),1)</f>
        <v>43040</v>
      </c>
      <c r="M697" s="21" t="n">
        <f aca="false">D697-C697</f>
        <v>7</v>
      </c>
      <c r="N697" s="21" t="n">
        <f aca="false">MAX(0,D697-E697)</f>
        <v>0</v>
      </c>
      <c r="O697" s="21" t="n">
        <f aca="false">IF(D697&lt;=E697,1,0)</f>
        <v>1</v>
      </c>
      <c r="P697" s="23" t="n">
        <f aca="false">G697+H697</f>
        <v>144.04</v>
      </c>
      <c r="Q697" s="23" t="n">
        <f aca="false">G697*INDEX(Assumptions!$B$8:$B$16,MATCH(F697,Assumptions!$A$8:$A$16,0))</f>
        <v>84.1764</v>
      </c>
      <c r="R697" s="23" t="n">
        <f aca="false">H697*Assumptions!$B$3</f>
        <v>9.9</v>
      </c>
      <c r="S697" s="23" t="n">
        <f aca="false">G697-Q697-R697</f>
        <v>33.4636</v>
      </c>
      <c r="T697" s="21" t="str">
        <f aca="false">IF(M697&lt;=7,"0-7 days",IF(M697&lt;=14,"8-14 days",IF(M697&lt;=21,"15-21 days","22+ days")))</f>
        <v>0-7 days</v>
      </c>
    </row>
    <row r="698" customFormat="false" ht="15" hidden="false" customHeight="false" outlineLevel="0" collapsed="false">
      <c r="A698" s="21" t="s">
        <v>764</v>
      </c>
      <c r="B698" s="21" t="s">
        <v>19</v>
      </c>
      <c r="C698" s="22" t="n">
        <v>43056</v>
      </c>
      <c r="D698" s="22" t="n">
        <v>43064</v>
      </c>
      <c r="E698" s="22" t="n">
        <v>43068</v>
      </c>
      <c r="F698" s="21" t="s">
        <v>111</v>
      </c>
      <c r="G698" s="23" t="n">
        <v>132.29</v>
      </c>
      <c r="H698" s="23" t="n">
        <v>20.95</v>
      </c>
      <c r="I698" s="21" t="s">
        <v>50</v>
      </c>
      <c r="J698" s="21" t="n">
        <v>4</v>
      </c>
      <c r="K698" s="21" t="s">
        <v>46</v>
      </c>
      <c r="L698" s="24" t="n">
        <f aca="false">DATE(YEAR(C698),MONTH(C698),1)</f>
        <v>43040</v>
      </c>
      <c r="M698" s="21" t="n">
        <f aca="false">D698-C698</f>
        <v>8</v>
      </c>
      <c r="N698" s="21" t="n">
        <f aca="false">MAX(0,D698-E698)</f>
        <v>0</v>
      </c>
      <c r="O698" s="21" t="n">
        <f aca="false">IF(D698&lt;=E698,1,0)</f>
        <v>1</v>
      </c>
      <c r="P698" s="23" t="n">
        <f aca="false">G698+H698</f>
        <v>153.24</v>
      </c>
      <c r="Q698" s="23" t="n">
        <f aca="false">G698*INDEX(Assumptions!$B$8:$B$16,MATCH(F698,Assumptions!$A$8:$A$16,0))</f>
        <v>83.3427</v>
      </c>
      <c r="R698" s="23" t="n">
        <f aca="false">H698*Assumptions!$B$3</f>
        <v>12.57</v>
      </c>
      <c r="S698" s="23" t="n">
        <f aca="false">G698-Q698-R698</f>
        <v>36.3773</v>
      </c>
      <c r="T698" s="21" t="str">
        <f aca="false">IF(M698&lt;=7,"0-7 days",IF(M698&lt;=14,"8-14 days",IF(M698&lt;=21,"15-21 days","22+ days")))</f>
        <v>8-14 days</v>
      </c>
    </row>
    <row r="699" customFormat="false" ht="15" hidden="false" customHeight="false" outlineLevel="0" collapsed="false">
      <c r="A699" s="21" t="s">
        <v>765</v>
      </c>
      <c r="B699" s="21" t="s">
        <v>55</v>
      </c>
      <c r="C699" s="22" t="n">
        <v>43057</v>
      </c>
      <c r="D699" s="22" t="n">
        <v>43074</v>
      </c>
      <c r="E699" s="22" t="n">
        <v>43081</v>
      </c>
      <c r="F699" s="21" t="s">
        <v>67</v>
      </c>
      <c r="G699" s="23" t="n">
        <v>37.06</v>
      </c>
      <c r="H699" s="23" t="n">
        <v>24.16</v>
      </c>
      <c r="I699" s="21" t="s">
        <v>45</v>
      </c>
      <c r="J699" s="21" t="n">
        <v>5</v>
      </c>
      <c r="K699" s="21" t="s">
        <v>46</v>
      </c>
      <c r="L699" s="24" t="n">
        <f aca="false">DATE(YEAR(C699),MONTH(C699),1)</f>
        <v>43040</v>
      </c>
      <c r="M699" s="21" t="n">
        <f aca="false">D699-C699</f>
        <v>17</v>
      </c>
      <c r="N699" s="21" t="n">
        <f aca="false">MAX(0,D699-E699)</f>
        <v>0</v>
      </c>
      <c r="O699" s="21" t="n">
        <f aca="false">IF(D699&lt;=E699,1,0)</f>
        <v>1</v>
      </c>
      <c r="P699" s="23" t="n">
        <f aca="false">G699+H699</f>
        <v>61.22</v>
      </c>
      <c r="Q699" s="23" t="n">
        <f aca="false">G699*INDEX(Assumptions!$B$8:$B$16,MATCH(F699,Assumptions!$A$8:$A$16,0))</f>
        <v>22.9772</v>
      </c>
      <c r="R699" s="23" t="n">
        <f aca="false">H699*Assumptions!$B$3</f>
        <v>14.496</v>
      </c>
      <c r="S699" s="23" t="n">
        <f aca="false">G699-Q699-R699</f>
        <v>-0.413199999999996</v>
      </c>
      <c r="T699" s="21" t="str">
        <f aca="false">IF(M699&lt;=7,"0-7 days",IF(M699&lt;=14,"8-14 days",IF(M699&lt;=21,"15-21 days","22+ days")))</f>
        <v>15-21 days</v>
      </c>
    </row>
    <row r="700" customFormat="false" ht="15" hidden="false" customHeight="false" outlineLevel="0" collapsed="false">
      <c r="A700" s="21" t="s">
        <v>766</v>
      </c>
      <c r="B700" s="21" t="s">
        <v>134</v>
      </c>
      <c r="C700" s="22" t="n">
        <v>43057</v>
      </c>
      <c r="D700" s="22" t="n">
        <v>43065</v>
      </c>
      <c r="E700" s="22" t="n">
        <v>43083</v>
      </c>
      <c r="F700" s="21" t="s">
        <v>79</v>
      </c>
      <c r="G700" s="23" t="n">
        <v>151.72</v>
      </c>
      <c r="H700" s="23" t="n">
        <v>21.6</v>
      </c>
      <c r="I700" s="21" t="s">
        <v>45</v>
      </c>
      <c r="J700" s="21" t="n">
        <v>3</v>
      </c>
      <c r="K700" s="21" t="s">
        <v>46</v>
      </c>
      <c r="L700" s="24" t="n">
        <f aca="false">DATE(YEAR(C700),MONTH(C700),1)</f>
        <v>43040</v>
      </c>
      <c r="M700" s="21" t="n">
        <f aca="false">D700-C700</f>
        <v>8</v>
      </c>
      <c r="N700" s="21" t="n">
        <f aca="false">MAX(0,D700-E700)</f>
        <v>0</v>
      </c>
      <c r="O700" s="21" t="n">
        <f aca="false">IF(D700&lt;=E700,1,0)</f>
        <v>1</v>
      </c>
      <c r="P700" s="23" t="n">
        <f aca="false">G700+H700</f>
        <v>173.32</v>
      </c>
      <c r="Q700" s="23" t="n">
        <f aca="false">G700*INDEX(Assumptions!$B$8:$B$16,MATCH(F700,Assumptions!$A$8:$A$16,0))</f>
        <v>106.204</v>
      </c>
      <c r="R700" s="23" t="n">
        <f aca="false">H700*Assumptions!$B$3</f>
        <v>12.96</v>
      </c>
      <c r="S700" s="23" t="n">
        <f aca="false">G700-Q700-R700</f>
        <v>32.556</v>
      </c>
      <c r="T700" s="21" t="str">
        <f aca="false">IF(M700&lt;=7,"0-7 days",IF(M700&lt;=14,"8-14 days",IF(M700&lt;=21,"15-21 days","22+ days")))</f>
        <v>8-14 days</v>
      </c>
    </row>
    <row r="701" customFormat="false" ht="15" hidden="false" customHeight="false" outlineLevel="0" collapsed="false">
      <c r="A701" s="21" t="s">
        <v>767</v>
      </c>
      <c r="B701" s="21" t="s">
        <v>19</v>
      </c>
      <c r="C701" s="22" t="n">
        <v>43058</v>
      </c>
      <c r="D701" s="22" t="n">
        <v>43063</v>
      </c>
      <c r="E701" s="22" t="n">
        <v>43071</v>
      </c>
      <c r="F701" s="21" t="s">
        <v>59</v>
      </c>
      <c r="G701" s="23" t="n">
        <v>112.12</v>
      </c>
      <c r="H701" s="23" t="n">
        <v>19.99</v>
      </c>
      <c r="I701" s="21" t="s">
        <v>60</v>
      </c>
      <c r="J701" s="21" t="n">
        <v>3</v>
      </c>
      <c r="K701" s="21" t="s">
        <v>46</v>
      </c>
      <c r="L701" s="24" t="n">
        <f aca="false">DATE(YEAR(C701),MONTH(C701),1)</f>
        <v>43040</v>
      </c>
      <c r="M701" s="21" t="n">
        <f aca="false">D701-C701</f>
        <v>5</v>
      </c>
      <c r="N701" s="21" t="n">
        <f aca="false">MAX(0,D701-E701)</f>
        <v>0</v>
      </c>
      <c r="O701" s="21" t="n">
        <f aca="false">IF(D701&lt;=E701,1,0)</f>
        <v>1</v>
      </c>
      <c r="P701" s="23" t="n">
        <f aca="false">G701+H701</f>
        <v>132.11</v>
      </c>
      <c r="Q701" s="23" t="n">
        <f aca="false">G701*INDEX(Assumptions!$B$8:$B$16,MATCH(F701,Assumptions!$A$8:$A$16,0))</f>
        <v>71.7568</v>
      </c>
      <c r="R701" s="23" t="n">
        <f aca="false">H701*Assumptions!$B$3</f>
        <v>11.994</v>
      </c>
      <c r="S701" s="23" t="n">
        <f aca="false">G701-Q701-R701</f>
        <v>28.3692</v>
      </c>
      <c r="T701" s="21" t="str">
        <f aca="false">IF(M701&lt;=7,"0-7 days",IF(M701&lt;=14,"8-14 days",IF(M701&lt;=21,"15-21 days","22+ days")))</f>
        <v>0-7 days</v>
      </c>
    </row>
    <row r="702" customFormat="false" ht="15" hidden="false" customHeight="false" outlineLevel="0" collapsed="false">
      <c r="A702" s="21" t="s">
        <v>768</v>
      </c>
      <c r="B702" s="21" t="s">
        <v>19</v>
      </c>
      <c r="C702" s="22" t="n">
        <v>43058</v>
      </c>
      <c r="D702" s="22" t="n">
        <v>43067</v>
      </c>
      <c r="E702" s="22" t="n">
        <v>43075</v>
      </c>
      <c r="F702" s="21" t="s">
        <v>79</v>
      </c>
      <c r="G702" s="23" t="n">
        <v>51.07</v>
      </c>
      <c r="H702" s="23" t="n">
        <v>15.48</v>
      </c>
      <c r="I702" s="21" t="s">
        <v>104</v>
      </c>
      <c r="J702" s="21" t="n">
        <v>4</v>
      </c>
      <c r="K702" s="21" t="s">
        <v>46</v>
      </c>
      <c r="L702" s="24" t="n">
        <f aca="false">DATE(YEAR(C702),MONTH(C702),1)</f>
        <v>43040</v>
      </c>
      <c r="M702" s="21" t="n">
        <f aca="false">D702-C702</f>
        <v>9</v>
      </c>
      <c r="N702" s="21" t="n">
        <f aca="false">MAX(0,D702-E702)</f>
        <v>0</v>
      </c>
      <c r="O702" s="21" t="n">
        <f aca="false">IF(D702&lt;=E702,1,0)</f>
        <v>1</v>
      </c>
      <c r="P702" s="23" t="n">
        <f aca="false">G702+H702</f>
        <v>66.55</v>
      </c>
      <c r="Q702" s="23" t="n">
        <f aca="false">G702*INDEX(Assumptions!$B$8:$B$16,MATCH(F702,Assumptions!$A$8:$A$16,0))</f>
        <v>35.749</v>
      </c>
      <c r="R702" s="23" t="n">
        <f aca="false">H702*Assumptions!$B$3</f>
        <v>9.288</v>
      </c>
      <c r="S702" s="23" t="n">
        <f aca="false">G702-Q702-R702</f>
        <v>6.03300000000001</v>
      </c>
      <c r="T702" s="21" t="str">
        <f aca="false">IF(M702&lt;=7,"0-7 days",IF(M702&lt;=14,"8-14 days",IF(M702&lt;=21,"15-21 days","22+ days")))</f>
        <v>8-14 days</v>
      </c>
    </row>
    <row r="703" customFormat="false" ht="15" hidden="false" customHeight="false" outlineLevel="0" collapsed="false">
      <c r="A703" s="21" t="s">
        <v>769</v>
      </c>
      <c r="B703" s="21" t="s">
        <v>55</v>
      </c>
      <c r="C703" s="22" t="n">
        <v>43058</v>
      </c>
      <c r="D703" s="22" t="n">
        <v>43067</v>
      </c>
      <c r="E703" s="22" t="n">
        <v>43081</v>
      </c>
      <c r="F703" s="21" t="s">
        <v>53</v>
      </c>
      <c r="G703" s="23" t="n">
        <v>388.47</v>
      </c>
      <c r="H703" s="23" t="n">
        <v>31.33</v>
      </c>
      <c r="I703" s="21" t="s">
        <v>45</v>
      </c>
      <c r="J703" s="21" t="n">
        <v>4</v>
      </c>
      <c r="K703" s="21" t="s">
        <v>46</v>
      </c>
      <c r="L703" s="24" t="n">
        <f aca="false">DATE(YEAR(C703),MONTH(C703),1)</f>
        <v>43040</v>
      </c>
      <c r="M703" s="21" t="n">
        <f aca="false">D703-C703</f>
        <v>9</v>
      </c>
      <c r="N703" s="21" t="n">
        <f aca="false">MAX(0,D703-E703)</f>
        <v>0</v>
      </c>
      <c r="O703" s="21" t="n">
        <f aca="false">IF(D703&lt;=E703,1,0)</f>
        <v>1</v>
      </c>
      <c r="P703" s="23" t="n">
        <f aca="false">G703+H703</f>
        <v>419.8</v>
      </c>
      <c r="Q703" s="23" t="n">
        <f aca="false">G703*INDEX(Assumptions!$B$8:$B$16,MATCH(F703,Assumptions!$A$8:$A$16,0))</f>
        <v>287.4678</v>
      </c>
      <c r="R703" s="23" t="n">
        <f aca="false">H703*Assumptions!$B$3</f>
        <v>18.798</v>
      </c>
      <c r="S703" s="23" t="n">
        <f aca="false">G703-Q703-R703</f>
        <v>82.2042</v>
      </c>
      <c r="T703" s="21" t="str">
        <f aca="false">IF(M703&lt;=7,"0-7 days",IF(M703&lt;=14,"8-14 days",IF(M703&lt;=21,"15-21 days","22+ days")))</f>
        <v>8-14 days</v>
      </c>
    </row>
    <row r="704" customFormat="false" ht="15" hidden="false" customHeight="false" outlineLevel="0" collapsed="false">
      <c r="A704" s="21" t="s">
        <v>770</v>
      </c>
      <c r="B704" s="21" t="s">
        <v>55</v>
      </c>
      <c r="C704" s="22" t="n">
        <v>43058</v>
      </c>
      <c r="D704" s="22" t="n">
        <v>43084</v>
      </c>
      <c r="E704" s="22" t="n">
        <v>43083</v>
      </c>
      <c r="F704" s="21" t="s">
        <v>111</v>
      </c>
      <c r="G704" s="23" t="n">
        <v>313.51</v>
      </c>
      <c r="H704" s="23" t="n">
        <v>25.75</v>
      </c>
      <c r="I704" s="21" t="s">
        <v>60</v>
      </c>
      <c r="J704" s="21" t="n">
        <v>2</v>
      </c>
      <c r="K704" s="21" t="s">
        <v>46</v>
      </c>
      <c r="L704" s="24" t="n">
        <f aca="false">DATE(YEAR(C704),MONTH(C704),1)</f>
        <v>43040</v>
      </c>
      <c r="M704" s="21" t="n">
        <f aca="false">D704-C704</f>
        <v>26</v>
      </c>
      <c r="N704" s="21" t="n">
        <f aca="false">MAX(0,D704-E704)</f>
        <v>1</v>
      </c>
      <c r="O704" s="21" t="n">
        <f aca="false">IF(D704&lt;=E704,1,0)</f>
        <v>0</v>
      </c>
      <c r="P704" s="23" t="n">
        <f aca="false">G704+H704</f>
        <v>339.26</v>
      </c>
      <c r="Q704" s="23" t="n">
        <f aca="false">G704*INDEX(Assumptions!$B$8:$B$16,MATCH(F704,Assumptions!$A$8:$A$16,0))</f>
        <v>197.5113</v>
      </c>
      <c r="R704" s="23" t="n">
        <f aca="false">H704*Assumptions!$B$3</f>
        <v>15.45</v>
      </c>
      <c r="S704" s="23" t="n">
        <f aca="false">G704-Q704-R704</f>
        <v>100.5487</v>
      </c>
      <c r="T704" s="21" t="str">
        <f aca="false">IF(M704&lt;=7,"0-7 days",IF(M704&lt;=14,"8-14 days",IF(M704&lt;=21,"15-21 days","22+ days")))</f>
        <v>22+ days</v>
      </c>
    </row>
    <row r="705" customFormat="false" ht="15" hidden="false" customHeight="false" outlineLevel="0" collapsed="false">
      <c r="A705" s="21" t="s">
        <v>771</v>
      </c>
      <c r="B705" s="21" t="s">
        <v>174</v>
      </c>
      <c r="C705" s="22" t="n">
        <v>43059</v>
      </c>
      <c r="D705" s="22" t="n">
        <v>43077</v>
      </c>
      <c r="E705" s="22" t="n">
        <v>43090</v>
      </c>
      <c r="F705" s="21" t="s">
        <v>67</v>
      </c>
      <c r="G705" s="23" t="n">
        <v>69.95</v>
      </c>
      <c r="H705" s="23" t="n">
        <v>45.88</v>
      </c>
      <c r="I705" s="21" t="s">
        <v>45</v>
      </c>
      <c r="J705" s="21" t="n">
        <v>4</v>
      </c>
      <c r="K705" s="21" t="s">
        <v>46</v>
      </c>
      <c r="L705" s="24" t="n">
        <f aca="false">DATE(YEAR(C705),MONTH(C705),1)</f>
        <v>43040</v>
      </c>
      <c r="M705" s="21" t="n">
        <f aca="false">D705-C705</f>
        <v>18</v>
      </c>
      <c r="N705" s="21" t="n">
        <f aca="false">MAX(0,D705-E705)</f>
        <v>0</v>
      </c>
      <c r="O705" s="21" t="n">
        <f aca="false">IF(D705&lt;=E705,1,0)</f>
        <v>1</v>
      </c>
      <c r="P705" s="23" t="n">
        <f aca="false">G705+H705</f>
        <v>115.83</v>
      </c>
      <c r="Q705" s="23" t="n">
        <f aca="false">G705*INDEX(Assumptions!$B$8:$B$16,MATCH(F705,Assumptions!$A$8:$A$16,0))</f>
        <v>43.369</v>
      </c>
      <c r="R705" s="23" t="n">
        <f aca="false">H705*Assumptions!$B$3</f>
        <v>27.528</v>
      </c>
      <c r="S705" s="23" t="n">
        <f aca="false">G705-Q705-R705</f>
        <v>-0.946999999999999</v>
      </c>
      <c r="T705" s="21" t="str">
        <f aca="false">IF(M705&lt;=7,"0-7 days",IF(M705&lt;=14,"8-14 days",IF(M705&lt;=21,"15-21 days","22+ days")))</f>
        <v>15-21 days</v>
      </c>
    </row>
    <row r="706" customFormat="false" ht="15" hidden="false" customHeight="false" outlineLevel="0" collapsed="false">
      <c r="A706" s="21" t="s">
        <v>772</v>
      </c>
      <c r="B706" s="21" t="s">
        <v>62</v>
      </c>
      <c r="C706" s="22" t="n">
        <v>43059</v>
      </c>
      <c r="D706" s="22" t="n">
        <v>43066</v>
      </c>
      <c r="E706" s="22" t="n">
        <v>43078</v>
      </c>
      <c r="F706" s="21" t="s">
        <v>59</v>
      </c>
      <c r="G706" s="23" t="n">
        <v>89.47</v>
      </c>
      <c r="H706" s="23" t="n">
        <v>23.51</v>
      </c>
      <c r="I706" s="21" t="s">
        <v>45</v>
      </c>
      <c r="J706" s="21" t="n">
        <v>4</v>
      </c>
      <c r="K706" s="21" t="s">
        <v>46</v>
      </c>
      <c r="L706" s="24" t="n">
        <f aca="false">DATE(YEAR(C706),MONTH(C706),1)</f>
        <v>43040</v>
      </c>
      <c r="M706" s="21" t="n">
        <f aca="false">D706-C706</f>
        <v>7</v>
      </c>
      <c r="N706" s="21" t="n">
        <f aca="false">MAX(0,D706-E706)</f>
        <v>0</v>
      </c>
      <c r="O706" s="21" t="n">
        <f aca="false">IF(D706&lt;=E706,1,0)</f>
        <v>1</v>
      </c>
      <c r="P706" s="23" t="n">
        <f aca="false">G706+H706</f>
        <v>112.98</v>
      </c>
      <c r="Q706" s="23" t="n">
        <f aca="false">G706*INDEX(Assumptions!$B$8:$B$16,MATCH(F706,Assumptions!$A$8:$A$16,0))</f>
        <v>57.2608</v>
      </c>
      <c r="R706" s="23" t="n">
        <f aca="false">H706*Assumptions!$B$3</f>
        <v>14.106</v>
      </c>
      <c r="S706" s="23" t="n">
        <f aca="false">G706-Q706-R706</f>
        <v>18.1032</v>
      </c>
      <c r="T706" s="21" t="str">
        <f aca="false">IF(M706&lt;=7,"0-7 days",IF(M706&lt;=14,"8-14 days",IF(M706&lt;=21,"15-21 days","22+ days")))</f>
        <v>0-7 days</v>
      </c>
    </row>
    <row r="707" customFormat="false" ht="15" hidden="false" customHeight="false" outlineLevel="0" collapsed="false">
      <c r="A707" s="21" t="s">
        <v>773</v>
      </c>
      <c r="B707" s="21" t="s">
        <v>62</v>
      </c>
      <c r="C707" s="22" t="n">
        <v>43059</v>
      </c>
      <c r="D707" s="22" t="n">
        <v>43079</v>
      </c>
      <c r="E707" s="22" t="n">
        <v>43082</v>
      </c>
      <c r="F707" s="21" t="s">
        <v>111</v>
      </c>
      <c r="G707" s="23" t="n">
        <v>54.91</v>
      </c>
      <c r="H707" s="23" t="n">
        <v>25.82</v>
      </c>
      <c r="I707" s="21" t="s">
        <v>45</v>
      </c>
      <c r="J707" s="21" t="n">
        <v>4</v>
      </c>
      <c r="K707" s="21" t="s">
        <v>46</v>
      </c>
      <c r="L707" s="24" t="n">
        <f aca="false">DATE(YEAR(C707),MONTH(C707),1)</f>
        <v>43040</v>
      </c>
      <c r="M707" s="21" t="n">
        <f aca="false">D707-C707</f>
        <v>20</v>
      </c>
      <c r="N707" s="21" t="n">
        <f aca="false">MAX(0,D707-E707)</f>
        <v>0</v>
      </c>
      <c r="O707" s="21" t="n">
        <f aca="false">IF(D707&lt;=E707,1,0)</f>
        <v>1</v>
      </c>
      <c r="P707" s="23" t="n">
        <f aca="false">G707+H707</f>
        <v>80.73</v>
      </c>
      <c r="Q707" s="23" t="n">
        <f aca="false">G707*INDEX(Assumptions!$B$8:$B$16,MATCH(F707,Assumptions!$A$8:$A$16,0))</f>
        <v>34.5933</v>
      </c>
      <c r="R707" s="23" t="n">
        <f aca="false">H707*Assumptions!$B$3</f>
        <v>15.492</v>
      </c>
      <c r="S707" s="23" t="n">
        <f aca="false">G707-Q707-R707</f>
        <v>4.8247</v>
      </c>
      <c r="T707" s="21" t="str">
        <f aca="false">IF(M707&lt;=7,"0-7 days",IF(M707&lt;=14,"8-14 days",IF(M707&lt;=21,"15-21 days","22+ days")))</f>
        <v>15-21 days</v>
      </c>
    </row>
    <row r="708" customFormat="false" ht="15" hidden="false" customHeight="false" outlineLevel="0" collapsed="false">
      <c r="A708" s="21" t="s">
        <v>774</v>
      </c>
      <c r="B708" s="21" t="s">
        <v>134</v>
      </c>
      <c r="C708" s="22" t="n">
        <v>43059</v>
      </c>
      <c r="D708" s="22" t="n">
        <v>43072</v>
      </c>
      <c r="E708" s="22" t="n">
        <v>43084</v>
      </c>
      <c r="F708" s="21" t="s">
        <v>67</v>
      </c>
      <c r="G708" s="23" t="n">
        <v>114.1</v>
      </c>
      <c r="H708" s="23" t="n">
        <v>21.71</v>
      </c>
      <c r="I708" s="21" t="s">
        <v>60</v>
      </c>
      <c r="J708" s="21" t="n">
        <v>4</v>
      </c>
      <c r="K708" s="21" t="s">
        <v>46</v>
      </c>
      <c r="L708" s="24" t="n">
        <f aca="false">DATE(YEAR(C708),MONTH(C708),1)</f>
        <v>43040</v>
      </c>
      <c r="M708" s="21" t="n">
        <f aca="false">D708-C708</f>
        <v>13</v>
      </c>
      <c r="N708" s="21" t="n">
        <f aca="false">MAX(0,D708-E708)</f>
        <v>0</v>
      </c>
      <c r="O708" s="21" t="n">
        <f aca="false">IF(D708&lt;=E708,1,0)</f>
        <v>1</v>
      </c>
      <c r="P708" s="23" t="n">
        <f aca="false">G708+H708</f>
        <v>135.81</v>
      </c>
      <c r="Q708" s="23" t="n">
        <f aca="false">G708*INDEX(Assumptions!$B$8:$B$16,MATCH(F708,Assumptions!$A$8:$A$16,0))</f>
        <v>70.742</v>
      </c>
      <c r="R708" s="23" t="n">
        <f aca="false">H708*Assumptions!$B$3</f>
        <v>13.026</v>
      </c>
      <c r="S708" s="23" t="n">
        <f aca="false">G708-Q708-R708</f>
        <v>30.332</v>
      </c>
      <c r="T708" s="21" t="str">
        <f aca="false">IF(M708&lt;=7,"0-7 days",IF(M708&lt;=14,"8-14 days",IF(M708&lt;=21,"15-21 days","22+ days")))</f>
        <v>8-14 days</v>
      </c>
    </row>
    <row r="709" customFormat="false" ht="15" hidden="false" customHeight="false" outlineLevel="0" collapsed="false">
      <c r="A709" s="21" t="s">
        <v>775</v>
      </c>
      <c r="B709" s="21" t="s">
        <v>134</v>
      </c>
      <c r="C709" s="22" t="n">
        <v>43060</v>
      </c>
      <c r="D709" s="22" t="n">
        <v>43088</v>
      </c>
      <c r="E709" s="22" t="n">
        <v>43089</v>
      </c>
      <c r="F709" s="21" t="s">
        <v>49</v>
      </c>
      <c r="G709" s="23" t="n">
        <v>184.49</v>
      </c>
      <c r="H709" s="23" t="n">
        <v>19.74</v>
      </c>
      <c r="I709" s="21" t="s">
        <v>45</v>
      </c>
      <c r="J709" s="21" t="n">
        <v>5</v>
      </c>
      <c r="K709" s="21" t="s">
        <v>46</v>
      </c>
      <c r="L709" s="24" t="n">
        <f aca="false">DATE(YEAR(C709),MONTH(C709),1)</f>
        <v>43040</v>
      </c>
      <c r="M709" s="21" t="n">
        <f aca="false">D709-C709</f>
        <v>28</v>
      </c>
      <c r="N709" s="21" t="n">
        <f aca="false">MAX(0,D709-E709)</f>
        <v>0</v>
      </c>
      <c r="O709" s="21" t="n">
        <f aca="false">IF(D709&lt;=E709,1,0)</f>
        <v>1</v>
      </c>
      <c r="P709" s="23" t="n">
        <f aca="false">G709+H709</f>
        <v>204.23</v>
      </c>
      <c r="Q709" s="23" t="n">
        <f aca="false">G709*INDEX(Assumptions!$B$8:$B$16,MATCH(F709,Assumptions!$A$8:$A$16,0))</f>
        <v>107.0042</v>
      </c>
      <c r="R709" s="23" t="n">
        <f aca="false">H709*Assumptions!$B$3</f>
        <v>11.844</v>
      </c>
      <c r="S709" s="23" t="n">
        <f aca="false">G709-Q709-R709</f>
        <v>65.6418</v>
      </c>
      <c r="T709" s="21" t="str">
        <f aca="false">IF(M709&lt;=7,"0-7 days",IF(M709&lt;=14,"8-14 days",IF(M709&lt;=21,"15-21 days","22+ days")))</f>
        <v>22+ days</v>
      </c>
    </row>
    <row r="710" customFormat="false" ht="15" hidden="false" customHeight="false" outlineLevel="0" collapsed="false">
      <c r="A710" s="21" t="s">
        <v>776</v>
      </c>
      <c r="B710" s="21" t="s">
        <v>19</v>
      </c>
      <c r="C710" s="22" t="n">
        <v>43060</v>
      </c>
      <c r="D710" s="22" t="n">
        <v>43074</v>
      </c>
      <c r="E710" s="22" t="n">
        <v>43074</v>
      </c>
      <c r="F710" s="21" t="s">
        <v>79</v>
      </c>
      <c r="G710" s="23" t="n">
        <v>73.94</v>
      </c>
      <c r="H710" s="23" t="n">
        <v>12.53</v>
      </c>
      <c r="I710" s="21" t="s">
        <v>45</v>
      </c>
      <c r="J710" s="21" t="n">
        <v>4</v>
      </c>
      <c r="K710" s="21" t="s">
        <v>46</v>
      </c>
      <c r="L710" s="24" t="n">
        <f aca="false">DATE(YEAR(C710),MONTH(C710),1)</f>
        <v>43040</v>
      </c>
      <c r="M710" s="21" t="n">
        <f aca="false">D710-C710</f>
        <v>14</v>
      </c>
      <c r="N710" s="21" t="n">
        <f aca="false">MAX(0,D710-E710)</f>
        <v>0</v>
      </c>
      <c r="O710" s="21" t="n">
        <f aca="false">IF(D710&lt;=E710,1,0)</f>
        <v>1</v>
      </c>
      <c r="P710" s="23" t="n">
        <f aca="false">G710+H710</f>
        <v>86.47</v>
      </c>
      <c r="Q710" s="23" t="n">
        <f aca="false">G710*INDEX(Assumptions!$B$8:$B$16,MATCH(F710,Assumptions!$A$8:$A$16,0))</f>
        <v>51.758</v>
      </c>
      <c r="R710" s="23" t="n">
        <f aca="false">H710*Assumptions!$B$3</f>
        <v>7.518</v>
      </c>
      <c r="S710" s="23" t="n">
        <f aca="false">G710-Q710-R710</f>
        <v>14.664</v>
      </c>
      <c r="T710" s="21" t="str">
        <f aca="false">IF(M710&lt;=7,"0-7 days",IF(M710&lt;=14,"8-14 days",IF(M710&lt;=21,"15-21 days","22+ days")))</f>
        <v>8-14 days</v>
      </c>
    </row>
    <row r="711" customFormat="false" ht="15" hidden="false" customHeight="false" outlineLevel="0" collapsed="false">
      <c r="A711" s="21" t="s">
        <v>777</v>
      </c>
      <c r="B711" s="21" t="s">
        <v>55</v>
      </c>
      <c r="C711" s="22" t="n">
        <v>43060</v>
      </c>
      <c r="D711" s="22" t="n">
        <v>43074</v>
      </c>
      <c r="E711" s="22" t="n">
        <v>43086</v>
      </c>
      <c r="F711" s="21" t="s">
        <v>79</v>
      </c>
      <c r="G711" s="23" t="n">
        <v>71.82</v>
      </c>
      <c r="H711" s="23" t="n">
        <v>21.47</v>
      </c>
      <c r="I711" s="21" t="s">
        <v>45</v>
      </c>
      <c r="J711" s="21" t="n">
        <v>5</v>
      </c>
      <c r="K711" s="21" t="s">
        <v>46</v>
      </c>
      <c r="L711" s="24" t="n">
        <f aca="false">DATE(YEAR(C711),MONTH(C711),1)</f>
        <v>43040</v>
      </c>
      <c r="M711" s="21" t="n">
        <f aca="false">D711-C711</f>
        <v>14</v>
      </c>
      <c r="N711" s="21" t="n">
        <f aca="false">MAX(0,D711-E711)</f>
        <v>0</v>
      </c>
      <c r="O711" s="21" t="n">
        <f aca="false">IF(D711&lt;=E711,1,0)</f>
        <v>1</v>
      </c>
      <c r="P711" s="23" t="n">
        <f aca="false">G711+H711</f>
        <v>93.29</v>
      </c>
      <c r="Q711" s="23" t="n">
        <f aca="false">G711*INDEX(Assumptions!$B$8:$B$16,MATCH(F711,Assumptions!$A$8:$A$16,0))</f>
        <v>50.274</v>
      </c>
      <c r="R711" s="23" t="n">
        <f aca="false">H711*Assumptions!$B$3</f>
        <v>12.882</v>
      </c>
      <c r="S711" s="23" t="n">
        <f aca="false">G711-Q711-R711</f>
        <v>8.664</v>
      </c>
      <c r="T711" s="21" t="str">
        <f aca="false">IF(M711&lt;=7,"0-7 days",IF(M711&lt;=14,"8-14 days",IF(M711&lt;=21,"15-21 days","22+ days")))</f>
        <v>8-14 days</v>
      </c>
    </row>
    <row r="712" customFormat="false" ht="15" hidden="false" customHeight="false" outlineLevel="0" collapsed="false">
      <c r="A712" s="21" t="s">
        <v>778</v>
      </c>
      <c r="B712" s="21" t="s">
        <v>19</v>
      </c>
      <c r="C712" s="22" t="n">
        <v>43060</v>
      </c>
      <c r="D712" s="22" t="n">
        <v>43066</v>
      </c>
      <c r="E712" s="22" t="n">
        <v>43078</v>
      </c>
      <c r="F712" s="21" t="s">
        <v>79</v>
      </c>
      <c r="G712" s="23" t="n">
        <v>123.45</v>
      </c>
      <c r="H712" s="23" t="n">
        <v>14.28</v>
      </c>
      <c r="I712" s="21" t="s">
        <v>45</v>
      </c>
      <c r="J712" s="21" t="n">
        <v>5</v>
      </c>
      <c r="K712" s="21" t="s">
        <v>46</v>
      </c>
      <c r="L712" s="24" t="n">
        <f aca="false">DATE(YEAR(C712),MONTH(C712),1)</f>
        <v>43040</v>
      </c>
      <c r="M712" s="21" t="n">
        <f aca="false">D712-C712</f>
        <v>6</v>
      </c>
      <c r="N712" s="21" t="n">
        <f aca="false">MAX(0,D712-E712)</f>
        <v>0</v>
      </c>
      <c r="O712" s="21" t="n">
        <f aca="false">IF(D712&lt;=E712,1,0)</f>
        <v>1</v>
      </c>
      <c r="P712" s="23" t="n">
        <f aca="false">G712+H712</f>
        <v>137.73</v>
      </c>
      <c r="Q712" s="23" t="n">
        <f aca="false">G712*INDEX(Assumptions!$B$8:$B$16,MATCH(F712,Assumptions!$A$8:$A$16,0))</f>
        <v>86.415</v>
      </c>
      <c r="R712" s="23" t="n">
        <f aca="false">H712*Assumptions!$B$3</f>
        <v>8.568</v>
      </c>
      <c r="S712" s="23" t="n">
        <f aca="false">G712-Q712-R712</f>
        <v>28.467</v>
      </c>
      <c r="T712" s="21" t="str">
        <f aca="false">IF(M712&lt;=7,"0-7 days",IF(M712&lt;=14,"8-14 days",IF(M712&lt;=21,"15-21 days","22+ days")))</f>
        <v>0-7 days</v>
      </c>
    </row>
    <row r="713" customFormat="false" ht="15" hidden="false" customHeight="false" outlineLevel="0" collapsed="false">
      <c r="A713" s="21" t="s">
        <v>779</v>
      </c>
      <c r="B713" s="21" t="s">
        <v>19</v>
      </c>
      <c r="C713" s="22" t="n">
        <v>43061</v>
      </c>
      <c r="D713" s="22" t="n">
        <v>43068</v>
      </c>
      <c r="E713" s="22" t="n">
        <v>43073</v>
      </c>
      <c r="F713" s="21" t="s">
        <v>111</v>
      </c>
      <c r="G713" s="23" t="n">
        <v>42.58</v>
      </c>
      <c r="H713" s="23" t="n">
        <v>20.08</v>
      </c>
      <c r="I713" s="21" t="s">
        <v>104</v>
      </c>
      <c r="J713" s="21" t="n">
        <v>5</v>
      </c>
      <c r="K713" s="21" t="s">
        <v>46</v>
      </c>
      <c r="L713" s="24" t="n">
        <f aca="false">DATE(YEAR(C713),MONTH(C713),1)</f>
        <v>43040</v>
      </c>
      <c r="M713" s="21" t="n">
        <f aca="false">D713-C713</f>
        <v>7</v>
      </c>
      <c r="N713" s="21" t="n">
        <f aca="false">MAX(0,D713-E713)</f>
        <v>0</v>
      </c>
      <c r="O713" s="21" t="n">
        <f aca="false">IF(D713&lt;=E713,1,0)</f>
        <v>1</v>
      </c>
      <c r="P713" s="23" t="n">
        <f aca="false">G713+H713</f>
        <v>62.66</v>
      </c>
      <c r="Q713" s="23" t="n">
        <f aca="false">G713*INDEX(Assumptions!$B$8:$B$16,MATCH(F713,Assumptions!$A$8:$A$16,0))</f>
        <v>26.8254</v>
      </c>
      <c r="R713" s="23" t="n">
        <f aca="false">H713*Assumptions!$B$3</f>
        <v>12.048</v>
      </c>
      <c r="S713" s="23" t="n">
        <f aca="false">G713-Q713-R713</f>
        <v>3.7066</v>
      </c>
      <c r="T713" s="21" t="str">
        <f aca="false">IF(M713&lt;=7,"0-7 days",IF(M713&lt;=14,"8-14 days",IF(M713&lt;=21,"15-21 days","22+ days")))</f>
        <v>0-7 days</v>
      </c>
    </row>
    <row r="714" customFormat="false" ht="15" hidden="false" customHeight="false" outlineLevel="0" collapsed="false">
      <c r="A714" s="21" t="s">
        <v>780</v>
      </c>
      <c r="B714" s="21" t="s">
        <v>19</v>
      </c>
      <c r="C714" s="22" t="n">
        <v>43061</v>
      </c>
      <c r="D714" s="22" t="n">
        <v>43071</v>
      </c>
      <c r="E714" s="22" t="n">
        <v>43073</v>
      </c>
      <c r="F714" s="21" t="s">
        <v>64</v>
      </c>
      <c r="G714" s="23" t="n">
        <v>113.77</v>
      </c>
      <c r="H714" s="23" t="n">
        <v>18.7</v>
      </c>
      <c r="I714" s="21" t="s">
        <v>45</v>
      </c>
      <c r="J714" s="21" t="n">
        <v>5</v>
      </c>
      <c r="K714" s="21" t="s">
        <v>46</v>
      </c>
      <c r="L714" s="24" t="n">
        <f aca="false">DATE(YEAR(C714),MONTH(C714),1)</f>
        <v>43040</v>
      </c>
      <c r="M714" s="21" t="n">
        <f aca="false">D714-C714</f>
        <v>10</v>
      </c>
      <c r="N714" s="21" t="n">
        <f aca="false">MAX(0,D714-E714)</f>
        <v>0</v>
      </c>
      <c r="O714" s="21" t="n">
        <f aca="false">IF(D714&lt;=E714,1,0)</f>
        <v>1</v>
      </c>
      <c r="P714" s="23" t="n">
        <f aca="false">G714+H714</f>
        <v>132.47</v>
      </c>
      <c r="Q714" s="23" t="n">
        <f aca="false">G714*INDEX(Assumptions!$B$8:$B$16,MATCH(F714,Assumptions!$A$8:$A$16,0))</f>
        <v>75.0882</v>
      </c>
      <c r="R714" s="23" t="n">
        <f aca="false">H714*Assumptions!$B$3</f>
        <v>11.22</v>
      </c>
      <c r="S714" s="23" t="n">
        <f aca="false">G714-Q714-R714</f>
        <v>27.4618</v>
      </c>
      <c r="T714" s="21" t="str">
        <f aca="false">IF(M714&lt;=7,"0-7 days",IF(M714&lt;=14,"8-14 days",IF(M714&lt;=21,"15-21 days","22+ days")))</f>
        <v>8-14 days</v>
      </c>
    </row>
    <row r="715" customFormat="false" ht="15" hidden="false" customHeight="false" outlineLevel="0" collapsed="false">
      <c r="A715" s="21" t="s">
        <v>781</v>
      </c>
      <c r="B715" s="21" t="s">
        <v>19</v>
      </c>
      <c r="C715" s="22" t="n">
        <v>43061</v>
      </c>
      <c r="D715" s="22" t="n">
        <v>43070</v>
      </c>
      <c r="E715" s="22" t="n">
        <v>43075</v>
      </c>
      <c r="F715" s="21" t="s">
        <v>44</v>
      </c>
      <c r="G715" s="23" t="n">
        <v>379.53</v>
      </c>
      <c r="H715" s="23" t="n">
        <v>19.97</v>
      </c>
      <c r="I715" s="21" t="s">
        <v>45</v>
      </c>
      <c r="J715" s="21" t="n">
        <v>4</v>
      </c>
      <c r="K715" s="21" t="s">
        <v>46</v>
      </c>
      <c r="L715" s="24" t="n">
        <f aca="false">DATE(YEAR(C715),MONTH(C715),1)</f>
        <v>43040</v>
      </c>
      <c r="M715" s="21" t="n">
        <f aca="false">D715-C715</f>
        <v>9</v>
      </c>
      <c r="N715" s="21" t="n">
        <f aca="false">MAX(0,D715-E715)</f>
        <v>0</v>
      </c>
      <c r="O715" s="21" t="n">
        <f aca="false">IF(D715&lt;=E715,1,0)</f>
        <v>1</v>
      </c>
      <c r="P715" s="23" t="n">
        <f aca="false">G715+H715</f>
        <v>399.5</v>
      </c>
      <c r="Q715" s="23" t="n">
        <f aca="false">G715*INDEX(Assumptions!$B$8:$B$16,MATCH(F715,Assumptions!$A$8:$A$16,0))</f>
        <v>227.718</v>
      </c>
      <c r="R715" s="23" t="n">
        <f aca="false">H715*Assumptions!$B$3</f>
        <v>11.982</v>
      </c>
      <c r="S715" s="23" t="n">
        <f aca="false">G715-Q715-R715</f>
        <v>139.83</v>
      </c>
      <c r="T715" s="21" t="str">
        <f aca="false">IF(M715&lt;=7,"0-7 days",IF(M715&lt;=14,"8-14 days",IF(M715&lt;=21,"15-21 days","22+ days")))</f>
        <v>8-14 days</v>
      </c>
    </row>
    <row r="716" customFormat="false" ht="15" hidden="false" customHeight="false" outlineLevel="0" collapsed="false">
      <c r="A716" s="21" t="s">
        <v>782</v>
      </c>
      <c r="B716" s="21" t="s">
        <v>134</v>
      </c>
      <c r="C716" s="22" t="n">
        <v>43062</v>
      </c>
      <c r="D716" s="22" t="n">
        <v>43071</v>
      </c>
      <c r="E716" s="22" t="n">
        <v>43087</v>
      </c>
      <c r="F716" s="21" t="s">
        <v>59</v>
      </c>
      <c r="G716" s="23" t="n">
        <v>103.71</v>
      </c>
      <c r="H716" s="23" t="n">
        <v>20.52</v>
      </c>
      <c r="I716" s="21" t="s">
        <v>45</v>
      </c>
      <c r="J716" s="21" t="n">
        <v>5</v>
      </c>
      <c r="K716" s="21" t="s">
        <v>46</v>
      </c>
      <c r="L716" s="24" t="n">
        <f aca="false">DATE(YEAR(C716),MONTH(C716),1)</f>
        <v>43040</v>
      </c>
      <c r="M716" s="21" t="n">
        <f aca="false">D716-C716</f>
        <v>9</v>
      </c>
      <c r="N716" s="21" t="n">
        <f aca="false">MAX(0,D716-E716)</f>
        <v>0</v>
      </c>
      <c r="O716" s="21" t="n">
        <f aca="false">IF(D716&lt;=E716,1,0)</f>
        <v>1</v>
      </c>
      <c r="P716" s="23" t="n">
        <f aca="false">G716+H716</f>
        <v>124.23</v>
      </c>
      <c r="Q716" s="23" t="n">
        <f aca="false">G716*INDEX(Assumptions!$B$8:$B$16,MATCH(F716,Assumptions!$A$8:$A$16,0))</f>
        <v>66.3744</v>
      </c>
      <c r="R716" s="23" t="n">
        <f aca="false">H716*Assumptions!$B$3</f>
        <v>12.312</v>
      </c>
      <c r="S716" s="23" t="n">
        <f aca="false">G716-Q716-R716</f>
        <v>25.0236</v>
      </c>
      <c r="T716" s="21" t="str">
        <f aca="false">IF(M716&lt;=7,"0-7 days",IF(M716&lt;=14,"8-14 days",IF(M716&lt;=21,"15-21 days","22+ days")))</f>
        <v>8-14 days</v>
      </c>
    </row>
    <row r="717" customFormat="false" ht="15" hidden="false" customHeight="false" outlineLevel="0" collapsed="false">
      <c r="A717" s="21" t="s">
        <v>783</v>
      </c>
      <c r="B717" s="21" t="s">
        <v>48</v>
      </c>
      <c r="C717" s="22" t="n">
        <v>43062</v>
      </c>
      <c r="D717" s="22" t="n">
        <v>43072</v>
      </c>
      <c r="E717" s="22" t="n">
        <v>43082</v>
      </c>
      <c r="F717" s="21" t="s">
        <v>53</v>
      </c>
      <c r="G717" s="23" t="n">
        <v>164.47</v>
      </c>
      <c r="H717" s="23" t="n">
        <v>21.33</v>
      </c>
      <c r="I717" s="21" t="s">
        <v>45</v>
      </c>
      <c r="J717" s="21" t="n">
        <v>4</v>
      </c>
      <c r="K717" s="21" t="s">
        <v>46</v>
      </c>
      <c r="L717" s="24" t="n">
        <f aca="false">DATE(YEAR(C717),MONTH(C717),1)</f>
        <v>43040</v>
      </c>
      <c r="M717" s="21" t="n">
        <f aca="false">D717-C717</f>
        <v>10</v>
      </c>
      <c r="N717" s="21" t="n">
        <f aca="false">MAX(0,D717-E717)</f>
        <v>0</v>
      </c>
      <c r="O717" s="21" t="n">
        <f aca="false">IF(D717&lt;=E717,1,0)</f>
        <v>1</v>
      </c>
      <c r="P717" s="23" t="n">
        <f aca="false">G717+H717</f>
        <v>185.8</v>
      </c>
      <c r="Q717" s="23" t="n">
        <f aca="false">G717*INDEX(Assumptions!$B$8:$B$16,MATCH(F717,Assumptions!$A$8:$A$16,0))</f>
        <v>121.7078</v>
      </c>
      <c r="R717" s="23" t="n">
        <f aca="false">H717*Assumptions!$B$3</f>
        <v>12.798</v>
      </c>
      <c r="S717" s="23" t="n">
        <f aca="false">G717-Q717-R717</f>
        <v>29.9642</v>
      </c>
      <c r="T717" s="21" t="str">
        <f aca="false">IF(M717&lt;=7,"0-7 days",IF(M717&lt;=14,"8-14 days",IF(M717&lt;=21,"15-21 days","22+ days")))</f>
        <v>8-14 days</v>
      </c>
    </row>
    <row r="718" customFormat="false" ht="15" hidden="false" customHeight="false" outlineLevel="0" collapsed="false">
      <c r="A718" s="21" t="s">
        <v>784</v>
      </c>
      <c r="B718" s="21" t="s">
        <v>93</v>
      </c>
      <c r="C718" s="22" t="n">
        <v>43062</v>
      </c>
      <c r="D718" s="22" t="n">
        <v>43083</v>
      </c>
      <c r="E718" s="22" t="n">
        <v>43093</v>
      </c>
      <c r="F718" s="21" t="s">
        <v>67</v>
      </c>
      <c r="G718" s="23" t="n">
        <v>234.29</v>
      </c>
      <c r="H718" s="23" t="n">
        <v>27.79</v>
      </c>
      <c r="I718" s="21" t="s">
        <v>104</v>
      </c>
      <c r="J718" s="21" t="n">
        <v>5</v>
      </c>
      <c r="K718" s="21" t="s">
        <v>46</v>
      </c>
      <c r="L718" s="24" t="n">
        <f aca="false">DATE(YEAR(C718),MONTH(C718),1)</f>
        <v>43040</v>
      </c>
      <c r="M718" s="21" t="n">
        <f aca="false">D718-C718</f>
        <v>21</v>
      </c>
      <c r="N718" s="21" t="n">
        <f aca="false">MAX(0,D718-E718)</f>
        <v>0</v>
      </c>
      <c r="O718" s="21" t="n">
        <f aca="false">IF(D718&lt;=E718,1,0)</f>
        <v>1</v>
      </c>
      <c r="P718" s="23" t="n">
        <f aca="false">G718+H718</f>
        <v>262.08</v>
      </c>
      <c r="Q718" s="23" t="n">
        <f aca="false">G718*INDEX(Assumptions!$B$8:$B$16,MATCH(F718,Assumptions!$A$8:$A$16,0))</f>
        <v>145.2598</v>
      </c>
      <c r="R718" s="23" t="n">
        <f aca="false">H718*Assumptions!$B$3</f>
        <v>16.674</v>
      </c>
      <c r="S718" s="23" t="n">
        <f aca="false">G718-Q718-R718</f>
        <v>72.3562</v>
      </c>
      <c r="T718" s="21" t="str">
        <f aca="false">IF(M718&lt;=7,"0-7 days",IF(M718&lt;=14,"8-14 days",IF(M718&lt;=21,"15-21 days","22+ days")))</f>
        <v>15-21 days</v>
      </c>
    </row>
    <row r="719" customFormat="false" ht="15" hidden="false" customHeight="false" outlineLevel="0" collapsed="false">
      <c r="A719" s="21" t="s">
        <v>785</v>
      </c>
      <c r="B719" s="21" t="s">
        <v>19</v>
      </c>
      <c r="C719" s="22" t="n">
        <v>43063</v>
      </c>
      <c r="D719" s="22" t="n">
        <v>43073</v>
      </c>
      <c r="E719" s="22" t="n">
        <v>43077</v>
      </c>
      <c r="F719" s="21" t="s">
        <v>59</v>
      </c>
      <c r="G719" s="23" t="n">
        <v>147.22</v>
      </c>
      <c r="H719" s="23" t="n">
        <v>14.64</v>
      </c>
      <c r="I719" s="21" t="s">
        <v>45</v>
      </c>
      <c r="J719" s="21" t="n">
        <v>4</v>
      </c>
      <c r="K719" s="21" t="s">
        <v>46</v>
      </c>
      <c r="L719" s="24" t="n">
        <f aca="false">DATE(YEAR(C719),MONTH(C719),1)</f>
        <v>43040</v>
      </c>
      <c r="M719" s="21" t="n">
        <f aca="false">D719-C719</f>
        <v>10</v>
      </c>
      <c r="N719" s="21" t="n">
        <f aca="false">MAX(0,D719-E719)</f>
        <v>0</v>
      </c>
      <c r="O719" s="21" t="n">
        <f aca="false">IF(D719&lt;=E719,1,0)</f>
        <v>1</v>
      </c>
      <c r="P719" s="23" t="n">
        <f aca="false">G719+H719</f>
        <v>161.86</v>
      </c>
      <c r="Q719" s="23" t="n">
        <f aca="false">G719*INDEX(Assumptions!$B$8:$B$16,MATCH(F719,Assumptions!$A$8:$A$16,0))</f>
        <v>94.2208</v>
      </c>
      <c r="R719" s="23" t="n">
        <f aca="false">H719*Assumptions!$B$3</f>
        <v>8.784</v>
      </c>
      <c r="S719" s="23" t="n">
        <f aca="false">G719-Q719-R719</f>
        <v>44.2152</v>
      </c>
      <c r="T719" s="21" t="str">
        <f aca="false">IF(M719&lt;=7,"0-7 days",IF(M719&lt;=14,"8-14 days",IF(M719&lt;=21,"15-21 days","22+ days")))</f>
        <v>8-14 days</v>
      </c>
    </row>
    <row r="720" customFormat="false" ht="15" hidden="false" customHeight="false" outlineLevel="0" collapsed="false">
      <c r="A720" s="21" t="s">
        <v>786</v>
      </c>
      <c r="B720" s="21" t="s">
        <v>62</v>
      </c>
      <c r="C720" s="22" t="n">
        <v>43063</v>
      </c>
      <c r="D720" s="22" t="n">
        <v>43076</v>
      </c>
      <c r="E720" s="22" t="n">
        <v>43084</v>
      </c>
      <c r="F720" s="21" t="s">
        <v>111</v>
      </c>
      <c r="G720" s="23" t="n">
        <v>46.48</v>
      </c>
      <c r="H720" s="23" t="n">
        <v>23.41</v>
      </c>
      <c r="I720" s="21" t="s">
        <v>45</v>
      </c>
      <c r="J720" s="21" t="n">
        <v>4</v>
      </c>
      <c r="K720" s="21" t="s">
        <v>46</v>
      </c>
      <c r="L720" s="24" t="n">
        <f aca="false">DATE(YEAR(C720),MONTH(C720),1)</f>
        <v>43040</v>
      </c>
      <c r="M720" s="21" t="n">
        <f aca="false">D720-C720</f>
        <v>13</v>
      </c>
      <c r="N720" s="21" t="n">
        <f aca="false">MAX(0,D720-E720)</f>
        <v>0</v>
      </c>
      <c r="O720" s="21" t="n">
        <f aca="false">IF(D720&lt;=E720,1,0)</f>
        <v>1</v>
      </c>
      <c r="P720" s="23" t="n">
        <f aca="false">G720+H720</f>
        <v>69.89</v>
      </c>
      <c r="Q720" s="23" t="n">
        <f aca="false">G720*INDEX(Assumptions!$B$8:$B$16,MATCH(F720,Assumptions!$A$8:$A$16,0))</f>
        <v>29.2824</v>
      </c>
      <c r="R720" s="23" t="n">
        <f aca="false">H720*Assumptions!$B$3</f>
        <v>14.046</v>
      </c>
      <c r="S720" s="23" t="n">
        <f aca="false">G720-Q720-R720</f>
        <v>3.1516</v>
      </c>
      <c r="T720" s="21" t="str">
        <f aca="false">IF(M720&lt;=7,"0-7 days",IF(M720&lt;=14,"8-14 days",IF(M720&lt;=21,"15-21 days","22+ days")))</f>
        <v>8-14 days</v>
      </c>
    </row>
    <row r="721" customFormat="false" ht="15" hidden="false" customHeight="false" outlineLevel="0" collapsed="false">
      <c r="A721" s="21" t="s">
        <v>787</v>
      </c>
      <c r="B721" s="21" t="s">
        <v>19</v>
      </c>
      <c r="C721" s="22" t="n">
        <v>43063</v>
      </c>
      <c r="D721" s="22" t="n">
        <v>43072</v>
      </c>
      <c r="E721" s="22" t="n">
        <v>43079</v>
      </c>
      <c r="F721" s="21" t="s">
        <v>53</v>
      </c>
      <c r="G721" s="23" t="n">
        <v>184.26</v>
      </c>
      <c r="H721" s="23" t="n">
        <v>19.9</v>
      </c>
      <c r="I721" s="21" t="s">
        <v>60</v>
      </c>
      <c r="J721" s="21" t="n">
        <v>5</v>
      </c>
      <c r="K721" s="21" t="s">
        <v>46</v>
      </c>
      <c r="L721" s="24" t="n">
        <f aca="false">DATE(YEAR(C721),MONTH(C721),1)</f>
        <v>43040</v>
      </c>
      <c r="M721" s="21" t="n">
        <f aca="false">D721-C721</f>
        <v>9</v>
      </c>
      <c r="N721" s="21" t="n">
        <f aca="false">MAX(0,D721-E721)</f>
        <v>0</v>
      </c>
      <c r="O721" s="21" t="n">
        <f aca="false">IF(D721&lt;=E721,1,0)</f>
        <v>1</v>
      </c>
      <c r="P721" s="23" t="n">
        <f aca="false">G721+H721</f>
        <v>204.16</v>
      </c>
      <c r="Q721" s="23" t="n">
        <f aca="false">G721*INDEX(Assumptions!$B$8:$B$16,MATCH(F721,Assumptions!$A$8:$A$16,0))</f>
        <v>136.3524</v>
      </c>
      <c r="R721" s="23" t="n">
        <f aca="false">H721*Assumptions!$B$3</f>
        <v>11.94</v>
      </c>
      <c r="S721" s="23" t="n">
        <f aca="false">G721-Q721-R721</f>
        <v>35.9676</v>
      </c>
      <c r="T721" s="21" t="str">
        <f aca="false">IF(M721&lt;=7,"0-7 days",IF(M721&lt;=14,"8-14 days",IF(M721&lt;=21,"15-21 days","22+ days")))</f>
        <v>8-14 days</v>
      </c>
    </row>
    <row r="722" customFormat="false" ht="15" hidden="false" customHeight="false" outlineLevel="0" collapsed="false">
      <c r="A722" s="21" t="s">
        <v>788</v>
      </c>
      <c r="B722" s="21" t="s">
        <v>19</v>
      </c>
      <c r="C722" s="22" t="n">
        <v>43063</v>
      </c>
      <c r="D722" s="22" t="n">
        <v>43070</v>
      </c>
      <c r="E722" s="22" t="n">
        <v>43079</v>
      </c>
      <c r="F722" s="21" t="s">
        <v>53</v>
      </c>
      <c r="G722" s="23" t="n">
        <v>111.01</v>
      </c>
      <c r="H722" s="23" t="n">
        <v>15.45</v>
      </c>
      <c r="I722" s="21" t="s">
        <v>45</v>
      </c>
      <c r="J722" s="21" t="n">
        <v>5</v>
      </c>
      <c r="K722" s="21" t="s">
        <v>46</v>
      </c>
      <c r="L722" s="24" t="n">
        <f aca="false">DATE(YEAR(C722),MONTH(C722),1)</f>
        <v>43040</v>
      </c>
      <c r="M722" s="21" t="n">
        <f aca="false">D722-C722</f>
        <v>7</v>
      </c>
      <c r="N722" s="21" t="n">
        <f aca="false">MAX(0,D722-E722)</f>
        <v>0</v>
      </c>
      <c r="O722" s="21" t="n">
        <f aca="false">IF(D722&lt;=E722,1,0)</f>
        <v>1</v>
      </c>
      <c r="P722" s="23" t="n">
        <f aca="false">G722+H722</f>
        <v>126.46</v>
      </c>
      <c r="Q722" s="23" t="n">
        <f aca="false">G722*INDEX(Assumptions!$B$8:$B$16,MATCH(F722,Assumptions!$A$8:$A$16,0))</f>
        <v>82.1474</v>
      </c>
      <c r="R722" s="23" t="n">
        <f aca="false">H722*Assumptions!$B$3</f>
        <v>9.27</v>
      </c>
      <c r="S722" s="23" t="n">
        <f aca="false">G722-Q722-R722</f>
        <v>19.5926</v>
      </c>
      <c r="T722" s="21" t="str">
        <f aca="false">IF(M722&lt;=7,"0-7 days",IF(M722&lt;=14,"8-14 days",IF(M722&lt;=21,"15-21 days","22+ days")))</f>
        <v>0-7 days</v>
      </c>
    </row>
    <row r="723" customFormat="false" ht="15" hidden="false" customHeight="false" outlineLevel="0" collapsed="false">
      <c r="A723" s="21" t="s">
        <v>789</v>
      </c>
      <c r="B723" s="21" t="s">
        <v>174</v>
      </c>
      <c r="C723" s="22" t="n">
        <v>43063</v>
      </c>
      <c r="D723" s="22" t="n">
        <v>43090</v>
      </c>
      <c r="E723" s="22" t="n">
        <v>43099</v>
      </c>
      <c r="F723" s="21" t="s">
        <v>59</v>
      </c>
      <c r="G723" s="23" t="n">
        <v>149.3</v>
      </c>
      <c r="H723" s="23" t="n">
        <v>43.25</v>
      </c>
      <c r="I723" s="21" t="s">
        <v>45</v>
      </c>
      <c r="J723" s="21" t="n">
        <v>4</v>
      </c>
      <c r="K723" s="21" t="s">
        <v>46</v>
      </c>
      <c r="L723" s="24" t="n">
        <f aca="false">DATE(YEAR(C723),MONTH(C723),1)</f>
        <v>43040</v>
      </c>
      <c r="M723" s="21" t="n">
        <f aca="false">D723-C723</f>
        <v>27</v>
      </c>
      <c r="N723" s="21" t="n">
        <f aca="false">MAX(0,D723-E723)</f>
        <v>0</v>
      </c>
      <c r="O723" s="21" t="n">
        <f aca="false">IF(D723&lt;=E723,1,0)</f>
        <v>1</v>
      </c>
      <c r="P723" s="23" t="n">
        <f aca="false">G723+H723</f>
        <v>192.55</v>
      </c>
      <c r="Q723" s="23" t="n">
        <f aca="false">G723*INDEX(Assumptions!$B$8:$B$16,MATCH(F723,Assumptions!$A$8:$A$16,0))</f>
        <v>95.552</v>
      </c>
      <c r="R723" s="23" t="n">
        <f aca="false">H723*Assumptions!$B$3</f>
        <v>25.95</v>
      </c>
      <c r="S723" s="23" t="n">
        <f aca="false">G723-Q723-R723</f>
        <v>27.798</v>
      </c>
      <c r="T723" s="21" t="str">
        <f aca="false">IF(M723&lt;=7,"0-7 days",IF(M723&lt;=14,"8-14 days",IF(M723&lt;=21,"15-21 days","22+ days")))</f>
        <v>22+ days</v>
      </c>
    </row>
    <row r="724" customFormat="false" ht="15" hidden="false" customHeight="false" outlineLevel="0" collapsed="false">
      <c r="A724" s="21" t="s">
        <v>790</v>
      </c>
      <c r="B724" s="21" t="s">
        <v>19</v>
      </c>
      <c r="C724" s="22" t="n">
        <v>43063</v>
      </c>
      <c r="D724" s="22" t="n">
        <v>43079</v>
      </c>
      <c r="E724" s="22" t="n">
        <v>43081</v>
      </c>
      <c r="F724" s="21" t="s">
        <v>57</v>
      </c>
      <c r="G724" s="23" t="n">
        <v>231.35</v>
      </c>
      <c r="H724" s="23" t="n">
        <v>23.86</v>
      </c>
      <c r="I724" s="21" t="s">
        <v>60</v>
      </c>
      <c r="J724" s="21" t="n">
        <v>4</v>
      </c>
      <c r="K724" s="21" t="s">
        <v>46</v>
      </c>
      <c r="L724" s="24" t="n">
        <f aca="false">DATE(YEAR(C724),MONTH(C724),1)</f>
        <v>43040</v>
      </c>
      <c r="M724" s="21" t="n">
        <f aca="false">D724-C724</f>
        <v>16</v>
      </c>
      <c r="N724" s="21" t="n">
        <f aca="false">MAX(0,D724-E724)</f>
        <v>0</v>
      </c>
      <c r="O724" s="21" t="n">
        <f aca="false">IF(D724&lt;=E724,1,0)</f>
        <v>1</v>
      </c>
      <c r="P724" s="23" t="n">
        <f aca="false">G724+H724</f>
        <v>255.21</v>
      </c>
      <c r="Q724" s="23" t="n">
        <f aca="false">G724*INDEX(Assumptions!$B$8:$B$16,MATCH(F724,Assumptions!$A$8:$A$16,0))</f>
        <v>157.318</v>
      </c>
      <c r="R724" s="23" t="n">
        <f aca="false">H724*Assumptions!$B$3</f>
        <v>14.316</v>
      </c>
      <c r="S724" s="23" t="n">
        <f aca="false">G724-Q724-R724</f>
        <v>59.716</v>
      </c>
      <c r="T724" s="21" t="str">
        <f aca="false">IF(M724&lt;=7,"0-7 days",IF(M724&lt;=14,"8-14 days",IF(M724&lt;=21,"15-21 days","22+ days")))</f>
        <v>15-21 days</v>
      </c>
    </row>
    <row r="725" customFormat="false" ht="15" hidden="false" customHeight="false" outlineLevel="0" collapsed="false">
      <c r="A725" s="21" t="s">
        <v>791</v>
      </c>
      <c r="B725" s="21" t="s">
        <v>19</v>
      </c>
      <c r="C725" s="22" t="n">
        <v>43064</v>
      </c>
      <c r="D725" s="22" t="n">
        <v>43076</v>
      </c>
      <c r="E725" s="22" t="n">
        <v>43081</v>
      </c>
      <c r="F725" s="21" t="s">
        <v>57</v>
      </c>
      <c r="G725" s="23" t="n">
        <v>98.82</v>
      </c>
      <c r="H725" s="23" t="n">
        <v>18.86</v>
      </c>
      <c r="I725" s="21" t="s">
        <v>45</v>
      </c>
      <c r="J725" s="21" t="n">
        <v>5</v>
      </c>
      <c r="K725" s="21" t="s">
        <v>46</v>
      </c>
      <c r="L725" s="24" t="n">
        <f aca="false">DATE(YEAR(C725),MONTH(C725),1)</f>
        <v>43040</v>
      </c>
      <c r="M725" s="21" t="n">
        <f aca="false">D725-C725</f>
        <v>12</v>
      </c>
      <c r="N725" s="21" t="n">
        <f aca="false">MAX(0,D725-E725)</f>
        <v>0</v>
      </c>
      <c r="O725" s="21" t="n">
        <f aca="false">IF(D725&lt;=E725,1,0)</f>
        <v>1</v>
      </c>
      <c r="P725" s="23" t="n">
        <f aca="false">G725+H725</f>
        <v>117.68</v>
      </c>
      <c r="Q725" s="23" t="n">
        <f aca="false">G725*INDEX(Assumptions!$B$8:$B$16,MATCH(F725,Assumptions!$A$8:$A$16,0))</f>
        <v>67.1976</v>
      </c>
      <c r="R725" s="23" t="n">
        <f aca="false">H725*Assumptions!$B$3</f>
        <v>11.316</v>
      </c>
      <c r="S725" s="23" t="n">
        <f aca="false">G725-Q725-R725</f>
        <v>20.3064</v>
      </c>
      <c r="T725" s="21" t="str">
        <f aca="false">IF(M725&lt;=7,"0-7 days",IF(M725&lt;=14,"8-14 days",IF(M725&lt;=21,"15-21 days","22+ days")))</f>
        <v>8-14 days</v>
      </c>
    </row>
    <row r="726" customFormat="false" ht="15" hidden="false" customHeight="false" outlineLevel="0" collapsed="false">
      <c r="A726" s="21" t="s">
        <v>792</v>
      </c>
      <c r="B726" s="21" t="s">
        <v>48</v>
      </c>
      <c r="C726" s="22" t="n">
        <v>43064</v>
      </c>
      <c r="D726" s="22" t="n">
        <v>43085</v>
      </c>
      <c r="E726" s="22" t="n">
        <v>43088</v>
      </c>
      <c r="F726" s="21" t="s">
        <v>53</v>
      </c>
      <c r="G726" s="23" t="n">
        <v>200.67</v>
      </c>
      <c r="H726" s="23" t="n">
        <v>18.05</v>
      </c>
      <c r="I726" s="21" t="s">
        <v>60</v>
      </c>
      <c r="J726" s="21" t="n">
        <v>4</v>
      </c>
      <c r="K726" s="21" t="s">
        <v>46</v>
      </c>
      <c r="L726" s="24" t="n">
        <f aca="false">DATE(YEAR(C726),MONTH(C726),1)</f>
        <v>43040</v>
      </c>
      <c r="M726" s="21" t="n">
        <f aca="false">D726-C726</f>
        <v>21</v>
      </c>
      <c r="N726" s="21" t="n">
        <f aca="false">MAX(0,D726-E726)</f>
        <v>0</v>
      </c>
      <c r="O726" s="21" t="n">
        <f aca="false">IF(D726&lt;=E726,1,0)</f>
        <v>1</v>
      </c>
      <c r="P726" s="23" t="n">
        <f aca="false">G726+H726</f>
        <v>218.72</v>
      </c>
      <c r="Q726" s="23" t="n">
        <f aca="false">G726*INDEX(Assumptions!$B$8:$B$16,MATCH(F726,Assumptions!$A$8:$A$16,0))</f>
        <v>148.4958</v>
      </c>
      <c r="R726" s="23" t="n">
        <f aca="false">H726*Assumptions!$B$3</f>
        <v>10.83</v>
      </c>
      <c r="S726" s="23" t="n">
        <f aca="false">G726-Q726-R726</f>
        <v>41.3442</v>
      </c>
      <c r="T726" s="21" t="str">
        <f aca="false">IF(M726&lt;=7,"0-7 days",IF(M726&lt;=14,"8-14 days",IF(M726&lt;=21,"15-21 days","22+ days")))</f>
        <v>15-21 days</v>
      </c>
    </row>
    <row r="727" customFormat="false" ht="15" hidden="false" customHeight="false" outlineLevel="0" collapsed="false">
      <c r="A727" s="21" t="s">
        <v>793</v>
      </c>
      <c r="B727" s="21" t="s">
        <v>62</v>
      </c>
      <c r="C727" s="22" t="n">
        <v>43064</v>
      </c>
      <c r="D727" s="22" t="n">
        <v>43070</v>
      </c>
      <c r="E727" s="22" t="n">
        <v>43082</v>
      </c>
      <c r="F727" s="21" t="s">
        <v>64</v>
      </c>
      <c r="G727" s="23" t="n">
        <v>445.8</v>
      </c>
      <c r="H727" s="23" t="n">
        <v>23.48</v>
      </c>
      <c r="I727" s="21" t="s">
        <v>45</v>
      </c>
      <c r="J727" s="21" t="n">
        <v>5</v>
      </c>
      <c r="K727" s="21" t="s">
        <v>46</v>
      </c>
      <c r="L727" s="24" t="n">
        <f aca="false">DATE(YEAR(C727),MONTH(C727),1)</f>
        <v>43040</v>
      </c>
      <c r="M727" s="21" t="n">
        <f aca="false">D727-C727</f>
        <v>6</v>
      </c>
      <c r="N727" s="21" t="n">
        <f aca="false">MAX(0,D727-E727)</f>
        <v>0</v>
      </c>
      <c r="O727" s="21" t="n">
        <f aca="false">IF(D727&lt;=E727,1,0)</f>
        <v>1</v>
      </c>
      <c r="P727" s="23" t="n">
        <f aca="false">G727+H727</f>
        <v>469.28</v>
      </c>
      <c r="Q727" s="23" t="n">
        <f aca="false">G727*INDEX(Assumptions!$B$8:$B$16,MATCH(F727,Assumptions!$A$8:$A$16,0))</f>
        <v>294.228</v>
      </c>
      <c r="R727" s="23" t="n">
        <f aca="false">H727*Assumptions!$B$3</f>
        <v>14.088</v>
      </c>
      <c r="S727" s="23" t="n">
        <f aca="false">G727-Q727-R727</f>
        <v>137.484</v>
      </c>
      <c r="T727" s="21" t="str">
        <f aca="false">IF(M727&lt;=7,"0-7 days",IF(M727&lt;=14,"8-14 days",IF(M727&lt;=21,"15-21 days","22+ days")))</f>
        <v>0-7 days</v>
      </c>
    </row>
    <row r="728" customFormat="false" ht="15" hidden="false" customHeight="false" outlineLevel="0" collapsed="false">
      <c r="A728" s="21" t="s">
        <v>794</v>
      </c>
      <c r="B728" s="21" t="s">
        <v>93</v>
      </c>
      <c r="C728" s="22" t="n">
        <v>43064</v>
      </c>
      <c r="D728" s="22" t="n">
        <v>43079</v>
      </c>
      <c r="E728" s="22" t="n">
        <v>43094</v>
      </c>
      <c r="F728" s="21" t="s">
        <v>67</v>
      </c>
      <c r="G728" s="23" t="n">
        <v>27.92</v>
      </c>
      <c r="H728" s="23" t="n">
        <v>23.64</v>
      </c>
      <c r="I728" s="21" t="s">
        <v>45</v>
      </c>
      <c r="J728" s="21" t="n">
        <v>5</v>
      </c>
      <c r="K728" s="21" t="s">
        <v>46</v>
      </c>
      <c r="L728" s="24" t="n">
        <f aca="false">DATE(YEAR(C728),MONTH(C728),1)</f>
        <v>43040</v>
      </c>
      <c r="M728" s="21" t="n">
        <f aca="false">D728-C728</f>
        <v>15</v>
      </c>
      <c r="N728" s="21" t="n">
        <f aca="false">MAX(0,D728-E728)</f>
        <v>0</v>
      </c>
      <c r="O728" s="21" t="n">
        <f aca="false">IF(D728&lt;=E728,1,0)</f>
        <v>1</v>
      </c>
      <c r="P728" s="23" t="n">
        <f aca="false">G728+H728</f>
        <v>51.56</v>
      </c>
      <c r="Q728" s="23" t="n">
        <f aca="false">G728*INDEX(Assumptions!$B$8:$B$16,MATCH(F728,Assumptions!$A$8:$A$16,0))</f>
        <v>17.3104</v>
      </c>
      <c r="R728" s="23" t="n">
        <f aca="false">H728*Assumptions!$B$3</f>
        <v>14.184</v>
      </c>
      <c r="S728" s="23" t="n">
        <f aca="false">G728-Q728-R728</f>
        <v>-3.5744</v>
      </c>
      <c r="T728" s="21" t="str">
        <f aca="false">IF(M728&lt;=7,"0-7 days",IF(M728&lt;=14,"8-14 days",IF(M728&lt;=21,"15-21 days","22+ days")))</f>
        <v>15-21 days</v>
      </c>
    </row>
    <row r="729" customFormat="false" ht="15" hidden="false" customHeight="false" outlineLevel="0" collapsed="false">
      <c r="A729" s="21" t="s">
        <v>795</v>
      </c>
      <c r="B729" s="21" t="s">
        <v>55</v>
      </c>
      <c r="C729" s="22" t="n">
        <v>43065</v>
      </c>
      <c r="D729" s="22" t="n">
        <v>43073</v>
      </c>
      <c r="E729" s="22" t="n">
        <v>43088</v>
      </c>
      <c r="F729" s="21" t="s">
        <v>111</v>
      </c>
      <c r="G729" s="23" t="n">
        <v>114.95</v>
      </c>
      <c r="H729" s="23" t="n">
        <v>23.15</v>
      </c>
      <c r="I729" s="21" t="s">
        <v>45</v>
      </c>
      <c r="J729" s="21" t="n">
        <v>4</v>
      </c>
      <c r="K729" s="21" t="s">
        <v>46</v>
      </c>
      <c r="L729" s="24" t="n">
        <f aca="false">DATE(YEAR(C729),MONTH(C729),1)</f>
        <v>43040</v>
      </c>
      <c r="M729" s="21" t="n">
        <f aca="false">D729-C729</f>
        <v>8</v>
      </c>
      <c r="N729" s="21" t="n">
        <f aca="false">MAX(0,D729-E729)</f>
        <v>0</v>
      </c>
      <c r="O729" s="21" t="n">
        <f aca="false">IF(D729&lt;=E729,1,0)</f>
        <v>1</v>
      </c>
      <c r="P729" s="23" t="n">
        <f aca="false">G729+H729</f>
        <v>138.1</v>
      </c>
      <c r="Q729" s="23" t="n">
        <f aca="false">G729*INDEX(Assumptions!$B$8:$B$16,MATCH(F729,Assumptions!$A$8:$A$16,0))</f>
        <v>72.4185</v>
      </c>
      <c r="R729" s="23" t="n">
        <f aca="false">H729*Assumptions!$B$3</f>
        <v>13.89</v>
      </c>
      <c r="S729" s="23" t="n">
        <f aca="false">G729-Q729-R729</f>
        <v>28.6415</v>
      </c>
      <c r="T729" s="21" t="str">
        <f aca="false">IF(M729&lt;=7,"0-7 days",IF(M729&lt;=14,"8-14 days",IF(M729&lt;=21,"15-21 days","22+ days")))</f>
        <v>8-14 days</v>
      </c>
    </row>
    <row r="730" customFormat="false" ht="15" hidden="false" customHeight="false" outlineLevel="0" collapsed="false">
      <c r="A730" s="21" t="s">
        <v>796</v>
      </c>
      <c r="B730" s="21" t="s">
        <v>48</v>
      </c>
      <c r="C730" s="22" t="n">
        <v>43065</v>
      </c>
      <c r="D730" s="22" t="n">
        <v>43088</v>
      </c>
      <c r="E730" s="22" t="n">
        <v>43085</v>
      </c>
      <c r="F730" s="21" t="s">
        <v>67</v>
      </c>
      <c r="G730" s="23" t="n">
        <v>80.26</v>
      </c>
      <c r="H730" s="23" t="n">
        <v>27.63</v>
      </c>
      <c r="I730" s="21" t="s">
        <v>45</v>
      </c>
      <c r="J730" s="21" t="n">
        <v>2</v>
      </c>
      <c r="K730" s="21" t="s">
        <v>46</v>
      </c>
      <c r="L730" s="24" t="n">
        <f aca="false">DATE(YEAR(C730),MONTH(C730),1)</f>
        <v>43040</v>
      </c>
      <c r="M730" s="21" t="n">
        <f aca="false">D730-C730</f>
        <v>23</v>
      </c>
      <c r="N730" s="21" t="n">
        <f aca="false">MAX(0,D730-E730)</f>
        <v>3</v>
      </c>
      <c r="O730" s="21" t="n">
        <f aca="false">IF(D730&lt;=E730,1,0)</f>
        <v>0</v>
      </c>
      <c r="P730" s="23" t="n">
        <f aca="false">G730+H730</f>
        <v>107.89</v>
      </c>
      <c r="Q730" s="23" t="n">
        <f aca="false">G730*INDEX(Assumptions!$B$8:$B$16,MATCH(F730,Assumptions!$A$8:$A$16,0))</f>
        <v>49.7612</v>
      </c>
      <c r="R730" s="23" t="n">
        <f aca="false">H730*Assumptions!$B$3</f>
        <v>16.578</v>
      </c>
      <c r="S730" s="23" t="n">
        <f aca="false">G730-Q730-R730</f>
        <v>13.9208</v>
      </c>
      <c r="T730" s="21" t="str">
        <f aca="false">IF(M730&lt;=7,"0-7 days",IF(M730&lt;=14,"8-14 days",IF(M730&lt;=21,"15-21 days","22+ days")))</f>
        <v>22+ days</v>
      </c>
    </row>
    <row r="731" customFormat="false" ht="15" hidden="false" customHeight="false" outlineLevel="0" collapsed="false">
      <c r="A731" s="21" t="s">
        <v>797</v>
      </c>
      <c r="B731" s="21" t="s">
        <v>19</v>
      </c>
      <c r="C731" s="22" t="n">
        <v>43065</v>
      </c>
      <c r="D731" s="22" t="n">
        <v>43077</v>
      </c>
      <c r="E731" s="22" t="n">
        <v>43081</v>
      </c>
      <c r="F731" s="21" t="s">
        <v>67</v>
      </c>
      <c r="G731" s="23" t="n">
        <v>50.95</v>
      </c>
      <c r="H731" s="23" t="n">
        <v>14.72</v>
      </c>
      <c r="I731" s="21" t="s">
        <v>45</v>
      </c>
      <c r="J731" s="21" t="n">
        <v>5</v>
      </c>
      <c r="K731" s="21" t="s">
        <v>46</v>
      </c>
      <c r="L731" s="24" t="n">
        <f aca="false">DATE(YEAR(C731),MONTH(C731),1)</f>
        <v>43040</v>
      </c>
      <c r="M731" s="21" t="n">
        <f aca="false">D731-C731</f>
        <v>12</v>
      </c>
      <c r="N731" s="21" t="n">
        <f aca="false">MAX(0,D731-E731)</f>
        <v>0</v>
      </c>
      <c r="O731" s="21" t="n">
        <f aca="false">IF(D731&lt;=E731,1,0)</f>
        <v>1</v>
      </c>
      <c r="P731" s="23" t="n">
        <f aca="false">G731+H731</f>
        <v>65.67</v>
      </c>
      <c r="Q731" s="23" t="n">
        <f aca="false">G731*INDEX(Assumptions!$B$8:$B$16,MATCH(F731,Assumptions!$A$8:$A$16,0))</f>
        <v>31.589</v>
      </c>
      <c r="R731" s="23" t="n">
        <f aca="false">H731*Assumptions!$B$3</f>
        <v>8.832</v>
      </c>
      <c r="S731" s="23" t="n">
        <f aca="false">G731-Q731-R731</f>
        <v>10.529</v>
      </c>
      <c r="T731" s="21" t="str">
        <f aca="false">IF(M731&lt;=7,"0-7 days",IF(M731&lt;=14,"8-14 days",IF(M731&lt;=21,"15-21 days","22+ days")))</f>
        <v>8-14 days</v>
      </c>
    </row>
    <row r="732" customFormat="false" ht="15" hidden="false" customHeight="false" outlineLevel="0" collapsed="false">
      <c r="A732" s="21" t="s">
        <v>798</v>
      </c>
      <c r="B732" s="21" t="s">
        <v>19</v>
      </c>
      <c r="C732" s="22" t="n">
        <v>43065</v>
      </c>
      <c r="D732" s="22" t="n">
        <v>43071</v>
      </c>
      <c r="E732" s="22" t="n">
        <v>43079</v>
      </c>
      <c r="F732" s="21" t="s">
        <v>67</v>
      </c>
      <c r="G732" s="23" t="n">
        <v>109.73</v>
      </c>
      <c r="H732" s="23" t="n">
        <v>15.06</v>
      </c>
      <c r="I732" s="21" t="s">
        <v>50</v>
      </c>
      <c r="J732" s="21" t="n">
        <v>4</v>
      </c>
      <c r="K732" s="21" t="s">
        <v>46</v>
      </c>
      <c r="L732" s="24" t="n">
        <f aca="false">DATE(YEAR(C732),MONTH(C732),1)</f>
        <v>43040</v>
      </c>
      <c r="M732" s="21" t="n">
        <f aca="false">D732-C732</f>
        <v>6</v>
      </c>
      <c r="N732" s="21" t="n">
        <f aca="false">MAX(0,D732-E732)</f>
        <v>0</v>
      </c>
      <c r="O732" s="21" t="n">
        <f aca="false">IF(D732&lt;=E732,1,0)</f>
        <v>1</v>
      </c>
      <c r="P732" s="23" t="n">
        <f aca="false">G732+H732</f>
        <v>124.79</v>
      </c>
      <c r="Q732" s="23" t="n">
        <f aca="false">G732*INDEX(Assumptions!$B$8:$B$16,MATCH(F732,Assumptions!$A$8:$A$16,0))</f>
        <v>68.0326</v>
      </c>
      <c r="R732" s="23" t="n">
        <f aca="false">H732*Assumptions!$B$3</f>
        <v>9.036</v>
      </c>
      <c r="S732" s="23" t="n">
        <f aca="false">G732-Q732-R732</f>
        <v>32.6614</v>
      </c>
      <c r="T732" s="21" t="str">
        <f aca="false">IF(M732&lt;=7,"0-7 days",IF(M732&lt;=14,"8-14 days",IF(M732&lt;=21,"15-21 days","22+ days")))</f>
        <v>0-7 days</v>
      </c>
    </row>
    <row r="733" customFormat="false" ht="15" hidden="false" customHeight="false" outlineLevel="0" collapsed="false">
      <c r="A733" s="21" t="s">
        <v>799</v>
      </c>
      <c r="B733" s="21" t="s">
        <v>103</v>
      </c>
      <c r="C733" s="22" t="n">
        <v>43065</v>
      </c>
      <c r="D733" s="22" t="n">
        <v>43076</v>
      </c>
      <c r="E733" s="22" t="n">
        <v>43087</v>
      </c>
      <c r="F733" s="21" t="s">
        <v>67</v>
      </c>
      <c r="G733" s="23" t="n">
        <v>157.47</v>
      </c>
      <c r="H733" s="23" t="n">
        <v>25.86</v>
      </c>
      <c r="I733" s="21" t="s">
        <v>45</v>
      </c>
      <c r="J733" s="21" t="n">
        <v>5</v>
      </c>
      <c r="K733" s="21" t="s">
        <v>46</v>
      </c>
      <c r="L733" s="24" t="n">
        <f aca="false">DATE(YEAR(C733),MONTH(C733),1)</f>
        <v>43040</v>
      </c>
      <c r="M733" s="21" t="n">
        <f aca="false">D733-C733</f>
        <v>11</v>
      </c>
      <c r="N733" s="21" t="n">
        <f aca="false">MAX(0,D733-E733)</f>
        <v>0</v>
      </c>
      <c r="O733" s="21" t="n">
        <f aca="false">IF(D733&lt;=E733,1,0)</f>
        <v>1</v>
      </c>
      <c r="P733" s="23" t="n">
        <f aca="false">G733+H733</f>
        <v>183.33</v>
      </c>
      <c r="Q733" s="23" t="n">
        <f aca="false">G733*INDEX(Assumptions!$B$8:$B$16,MATCH(F733,Assumptions!$A$8:$A$16,0))</f>
        <v>97.6314</v>
      </c>
      <c r="R733" s="23" t="n">
        <f aca="false">H733*Assumptions!$B$3</f>
        <v>15.516</v>
      </c>
      <c r="S733" s="23" t="n">
        <f aca="false">G733-Q733-R733</f>
        <v>44.3226</v>
      </c>
      <c r="T733" s="21" t="str">
        <f aca="false">IF(M733&lt;=7,"0-7 days",IF(M733&lt;=14,"8-14 days",IF(M733&lt;=21,"15-21 days","22+ days")))</f>
        <v>8-14 days</v>
      </c>
    </row>
    <row r="734" customFormat="false" ht="15" hidden="false" customHeight="false" outlineLevel="0" collapsed="false">
      <c r="A734" s="21" t="s">
        <v>800</v>
      </c>
      <c r="B734" s="21" t="s">
        <v>55</v>
      </c>
      <c r="C734" s="22" t="n">
        <v>43065</v>
      </c>
      <c r="D734" s="22" t="n">
        <v>43076</v>
      </c>
      <c r="E734" s="22" t="n">
        <v>43088</v>
      </c>
      <c r="F734" s="21" t="s">
        <v>79</v>
      </c>
      <c r="G734" s="23" t="n">
        <v>102.84</v>
      </c>
      <c r="H734" s="23" t="n">
        <v>21.72</v>
      </c>
      <c r="I734" s="21" t="s">
        <v>45</v>
      </c>
      <c r="J734" s="21" t="n">
        <v>5</v>
      </c>
      <c r="K734" s="21" t="s">
        <v>46</v>
      </c>
      <c r="L734" s="24" t="n">
        <f aca="false">DATE(YEAR(C734),MONTH(C734),1)</f>
        <v>43040</v>
      </c>
      <c r="M734" s="21" t="n">
        <f aca="false">D734-C734</f>
        <v>11</v>
      </c>
      <c r="N734" s="21" t="n">
        <f aca="false">MAX(0,D734-E734)</f>
        <v>0</v>
      </c>
      <c r="O734" s="21" t="n">
        <f aca="false">IF(D734&lt;=E734,1,0)</f>
        <v>1</v>
      </c>
      <c r="P734" s="23" t="n">
        <f aca="false">G734+H734</f>
        <v>124.56</v>
      </c>
      <c r="Q734" s="23" t="n">
        <f aca="false">G734*INDEX(Assumptions!$B$8:$B$16,MATCH(F734,Assumptions!$A$8:$A$16,0))</f>
        <v>71.988</v>
      </c>
      <c r="R734" s="23" t="n">
        <f aca="false">H734*Assumptions!$B$3</f>
        <v>13.032</v>
      </c>
      <c r="S734" s="23" t="n">
        <f aca="false">G734-Q734-R734</f>
        <v>17.82</v>
      </c>
      <c r="T734" s="21" t="str">
        <f aca="false">IF(M734&lt;=7,"0-7 days",IF(M734&lt;=14,"8-14 days",IF(M734&lt;=21,"15-21 days","22+ days")))</f>
        <v>8-14 days</v>
      </c>
    </row>
    <row r="735" customFormat="false" ht="15" hidden="false" customHeight="false" outlineLevel="0" collapsed="false">
      <c r="A735" s="21" t="s">
        <v>801</v>
      </c>
      <c r="B735" s="21" t="s">
        <v>201</v>
      </c>
      <c r="C735" s="22" t="n">
        <v>43066</v>
      </c>
      <c r="D735" s="22" t="n">
        <v>43088</v>
      </c>
      <c r="E735" s="22" t="n">
        <v>43097</v>
      </c>
      <c r="F735" s="21" t="s">
        <v>79</v>
      </c>
      <c r="G735" s="23" t="n">
        <v>43.2</v>
      </c>
      <c r="H735" s="23" t="n">
        <v>41.05</v>
      </c>
      <c r="I735" s="21" t="s">
        <v>45</v>
      </c>
      <c r="J735" s="21" t="n">
        <v>5</v>
      </c>
      <c r="K735" s="21" t="s">
        <v>46</v>
      </c>
      <c r="L735" s="24" t="n">
        <f aca="false">DATE(YEAR(C735),MONTH(C735),1)</f>
        <v>43040</v>
      </c>
      <c r="M735" s="21" t="n">
        <f aca="false">D735-C735</f>
        <v>22</v>
      </c>
      <c r="N735" s="21" t="n">
        <f aca="false">MAX(0,D735-E735)</f>
        <v>0</v>
      </c>
      <c r="O735" s="21" t="n">
        <f aca="false">IF(D735&lt;=E735,1,0)</f>
        <v>1</v>
      </c>
      <c r="P735" s="23" t="n">
        <f aca="false">G735+H735</f>
        <v>84.25</v>
      </c>
      <c r="Q735" s="23" t="n">
        <f aca="false">G735*INDEX(Assumptions!$B$8:$B$16,MATCH(F735,Assumptions!$A$8:$A$16,0))</f>
        <v>30.24</v>
      </c>
      <c r="R735" s="23" t="n">
        <f aca="false">H735*Assumptions!$B$3</f>
        <v>24.63</v>
      </c>
      <c r="S735" s="23" t="n">
        <f aca="false">G735-Q735-R735</f>
        <v>-11.67</v>
      </c>
      <c r="T735" s="21" t="str">
        <f aca="false">IF(M735&lt;=7,"0-7 days",IF(M735&lt;=14,"8-14 days",IF(M735&lt;=21,"15-21 days","22+ days")))</f>
        <v>22+ days</v>
      </c>
    </row>
    <row r="736" customFormat="false" ht="15" hidden="false" customHeight="false" outlineLevel="0" collapsed="false">
      <c r="A736" s="21" t="s">
        <v>802</v>
      </c>
      <c r="B736" s="21" t="s">
        <v>134</v>
      </c>
      <c r="C736" s="22" t="n">
        <v>43066</v>
      </c>
      <c r="D736" s="22" t="n">
        <v>43086</v>
      </c>
      <c r="E736" s="22" t="n">
        <v>43088</v>
      </c>
      <c r="F736" s="21" t="s">
        <v>111</v>
      </c>
      <c r="G736" s="23" t="n">
        <v>88.15</v>
      </c>
      <c r="H736" s="23" t="n">
        <v>20.72</v>
      </c>
      <c r="I736" s="21" t="s">
        <v>45</v>
      </c>
      <c r="J736" s="21" t="n">
        <v>5</v>
      </c>
      <c r="K736" s="21" t="s">
        <v>46</v>
      </c>
      <c r="L736" s="24" t="n">
        <f aca="false">DATE(YEAR(C736),MONTH(C736),1)</f>
        <v>43040</v>
      </c>
      <c r="M736" s="21" t="n">
        <f aca="false">D736-C736</f>
        <v>20</v>
      </c>
      <c r="N736" s="21" t="n">
        <f aca="false">MAX(0,D736-E736)</f>
        <v>0</v>
      </c>
      <c r="O736" s="21" t="n">
        <f aca="false">IF(D736&lt;=E736,1,0)</f>
        <v>1</v>
      </c>
      <c r="P736" s="23" t="n">
        <f aca="false">G736+H736</f>
        <v>108.87</v>
      </c>
      <c r="Q736" s="23" t="n">
        <f aca="false">G736*INDEX(Assumptions!$B$8:$B$16,MATCH(F736,Assumptions!$A$8:$A$16,0))</f>
        <v>55.5345</v>
      </c>
      <c r="R736" s="23" t="n">
        <f aca="false">H736*Assumptions!$B$3</f>
        <v>12.432</v>
      </c>
      <c r="S736" s="23" t="n">
        <f aca="false">G736-Q736-R736</f>
        <v>20.1835</v>
      </c>
      <c r="T736" s="21" t="str">
        <f aca="false">IF(M736&lt;=7,"0-7 days",IF(M736&lt;=14,"8-14 days",IF(M736&lt;=21,"15-21 days","22+ days")))</f>
        <v>15-21 days</v>
      </c>
    </row>
    <row r="737" customFormat="false" ht="15" hidden="false" customHeight="false" outlineLevel="0" collapsed="false">
      <c r="A737" s="21" t="s">
        <v>803</v>
      </c>
      <c r="B737" s="21" t="s">
        <v>156</v>
      </c>
      <c r="C737" s="22" t="n">
        <v>43066</v>
      </c>
      <c r="D737" s="22" t="n">
        <v>43103</v>
      </c>
      <c r="E737" s="22" t="n">
        <v>43091</v>
      </c>
      <c r="F737" s="21" t="s">
        <v>59</v>
      </c>
      <c r="G737" s="23" t="n">
        <v>81.47</v>
      </c>
      <c r="H737" s="23" t="n">
        <v>30.4</v>
      </c>
      <c r="I737" s="21" t="s">
        <v>45</v>
      </c>
      <c r="J737" s="21" t="n">
        <v>2</v>
      </c>
      <c r="K737" s="21" t="s">
        <v>46</v>
      </c>
      <c r="L737" s="24" t="n">
        <f aca="false">DATE(YEAR(C737),MONTH(C737),1)</f>
        <v>43040</v>
      </c>
      <c r="M737" s="21" t="n">
        <f aca="false">D737-C737</f>
        <v>37</v>
      </c>
      <c r="N737" s="21" t="n">
        <f aca="false">MAX(0,D737-E737)</f>
        <v>12</v>
      </c>
      <c r="O737" s="21" t="n">
        <f aca="false">IF(D737&lt;=E737,1,0)</f>
        <v>0</v>
      </c>
      <c r="P737" s="23" t="n">
        <f aca="false">G737+H737</f>
        <v>111.87</v>
      </c>
      <c r="Q737" s="23" t="n">
        <f aca="false">G737*INDEX(Assumptions!$B$8:$B$16,MATCH(F737,Assumptions!$A$8:$A$16,0))</f>
        <v>52.1408</v>
      </c>
      <c r="R737" s="23" t="n">
        <f aca="false">H737*Assumptions!$B$3</f>
        <v>18.24</v>
      </c>
      <c r="S737" s="23" t="n">
        <f aca="false">G737-Q737-R737</f>
        <v>11.0892</v>
      </c>
      <c r="T737" s="21" t="str">
        <f aca="false">IF(M737&lt;=7,"0-7 days",IF(M737&lt;=14,"8-14 days",IF(M737&lt;=21,"15-21 days","22+ days")))</f>
        <v>22+ days</v>
      </c>
    </row>
    <row r="738" customFormat="false" ht="15" hidden="false" customHeight="false" outlineLevel="0" collapsed="false">
      <c r="A738" s="21" t="s">
        <v>804</v>
      </c>
      <c r="B738" s="21" t="s">
        <v>62</v>
      </c>
      <c r="C738" s="22" t="n">
        <v>43067</v>
      </c>
      <c r="D738" s="22" t="n">
        <v>43078</v>
      </c>
      <c r="E738" s="22" t="n">
        <v>43085</v>
      </c>
      <c r="F738" s="21" t="s">
        <v>111</v>
      </c>
      <c r="G738" s="23" t="n">
        <v>128.48</v>
      </c>
      <c r="H738" s="23" t="n">
        <v>30.2</v>
      </c>
      <c r="I738" s="21" t="s">
        <v>60</v>
      </c>
      <c r="J738" s="21" t="n">
        <v>5</v>
      </c>
      <c r="K738" s="21" t="s">
        <v>46</v>
      </c>
      <c r="L738" s="24" t="n">
        <f aca="false">DATE(YEAR(C738),MONTH(C738),1)</f>
        <v>43040</v>
      </c>
      <c r="M738" s="21" t="n">
        <f aca="false">D738-C738</f>
        <v>11</v>
      </c>
      <c r="N738" s="21" t="n">
        <f aca="false">MAX(0,D738-E738)</f>
        <v>0</v>
      </c>
      <c r="O738" s="21" t="n">
        <f aca="false">IF(D738&lt;=E738,1,0)</f>
        <v>1</v>
      </c>
      <c r="P738" s="23" t="n">
        <f aca="false">G738+H738</f>
        <v>158.68</v>
      </c>
      <c r="Q738" s="23" t="n">
        <f aca="false">G738*INDEX(Assumptions!$B$8:$B$16,MATCH(F738,Assumptions!$A$8:$A$16,0))</f>
        <v>80.9424</v>
      </c>
      <c r="R738" s="23" t="n">
        <f aca="false">H738*Assumptions!$B$3</f>
        <v>18.12</v>
      </c>
      <c r="S738" s="23" t="n">
        <f aca="false">G738-Q738-R738</f>
        <v>29.4176</v>
      </c>
      <c r="T738" s="21" t="str">
        <f aca="false">IF(M738&lt;=7,"0-7 days",IF(M738&lt;=14,"8-14 days",IF(M738&lt;=21,"15-21 days","22+ days")))</f>
        <v>8-14 days</v>
      </c>
    </row>
    <row r="739" customFormat="false" ht="15" hidden="false" customHeight="false" outlineLevel="0" collapsed="false">
      <c r="A739" s="21" t="s">
        <v>805</v>
      </c>
      <c r="B739" s="21" t="s">
        <v>134</v>
      </c>
      <c r="C739" s="22" t="n">
        <v>43067</v>
      </c>
      <c r="D739" s="22" t="n">
        <v>43080</v>
      </c>
      <c r="E739" s="22" t="n">
        <v>43088</v>
      </c>
      <c r="F739" s="21" t="s">
        <v>59</v>
      </c>
      <c r="G739" s="23" t="n">
        <v>91.63</v>
      </c>
      <c r="H739" s="23" t="n">
        <v>19.08</v>
      </c>
      <c r="I739" s="21" t="s">
        <v>60</v>
      </c>
      <c r="J739" s="21" t="n">
        <v>4</v>
      </c>
      <c r="K739" s="21" t="s">
        <v>46</v>
      </c>
      <c r="L739" s="24" t="n">
        <f aca="false">DATE(YEAR(C739),MONTH(C739),1)</f>
        <v>43040</v>
      </c>
      <c r="M739" s="21" t="n">
        <f aca="false">D739-C739</f>
        <v>13</v>
      </c>
      <c r="N739" s="21" t="n">
        <f aca="false">MAX(0,D739-E739)</f>
        <v>0</v>
      </c>
      <c r="O739" s="21" t="n">
        <f aca="false">IF(D739&lt;=E739,1,0)</f>
        <v>1</v>
      </c>
      <c r="P739" s="23" t="n">
        <f aca="false">G739+H739</f>
        <v>110.71</v>
      </c>
      <c r="Q739" s="23" t="n">
        <f aca="false">G739*INDEX(Assumptions!$B$8:$B$16,MATCH(F739,Assumptions!$A$8:$A$16,0))</f>
        <v>58.6432</v>
      </c>
      <c r="R739" s="23" t="n">
        <f aca="false">H739*Assumptions!$B$3</f>
        <v>11.448</v>
      </c>
      <c r="S739" s="23" t="n">
        <f aca="false">G739-Q739-R739</f>
        <v>21.5388</v>
      </c>
      <c r="T739" s="21" t="str">
        <f aca="false">IF(M739&lt;=7,"0-7 days",IF(M739&lt;=14,"8-14 days",IF(M739&lt;=21,"15-21 days","22+ days")))</f>
        <v>8-14 days</v>
      </c>
    </row>
    <row r="740" customFormat="false" ht="15" hidden="false" customHeight="false" outlineLevel="0" collapsed="false">
      <c r="A740" s="21" t="s">
        <v>806</v>
      </c>
      <c r="B740" s="21" t="s">
        <v>55</v>
      </c>
      <c r="C740" s="22" t="n">
        <v>43067</v>
      </c>
      <c r="D740" s="22" t="n">
        <v>43078</v>
      </c>
      <c r="E740" s="22" t="n">
        <v>43094</v>
      </c>
      <c r="F740" s="21" t="s">
        <v>57</v>
      </c>
      <c r="G740" s="23" t="n">
        <v>151.07</v>
      </c>
      <c r="H740" s="23" t="n">
        <v>23.55</v>
      </c>
      <c r="I740" s="21" t="s">
        <v>45</v>
      </c>
      <c r="J740" s="21" t="n">
        <v>4</v>
      </c>
      <c r="K740" s="21" t="s">
        <v>46</v>
      </c>
      <c r="L740" s="24" t="n">
        <f aca="false">DATE(YEAR(C740),MONTH(C740),1)</f>
        <v>43040</v>
      </c>
      <c r="M740" s="21" t="n">
        <f aca="false">D740-C740</f>
        <v>11</v>
      </c>
      <c r="N740" s="21" t="n">
        <f aca="false">MAX(0,D740-E740)</f>
        <v>0</v>
      </c>
      <c r="O740" s="21" t="n">
        <f aca="false">IF(D740&lt;=E740,1,0)</f>
        <v>1</v>
      </c>
      <c r="P740" s="23" t="n">
        <f aca="false">G740+H740</f>
        <v>174.62</v>
      </c>
      <c r="Q740" s="23" t="n">
        <f aca="false">G740*INDEX(Assumptions!$B$8:$B$16,MATCH(F740,Assumptions!$A$8:$A$16,0))</f>
        <v>102.7276</v>
      </c>
      <c r="R740" s="23" t="n">
        <f aca="false">H740*Assumptions!$B$3</f>
        <v>14.13</v>
      </c>
      <c r="S740" s="23" t="n">
        <f aca="false">G740-Q740-R740</f>
        <v>34.2124</v>
      </c>
      <c r="T740" s="21" t="str">
        <f aca="false">IF(M740&lt;=7,"0-7 days",IF(M740&lt;=14,"8-14 days",IF(M740&lt;=21,"15-21 days","22+ days")))</f>
        <v>8-14 days</v>
      </c>
    </row>
    <row r="741" customFormat="false" ht="15" hidden="false" customHeight="false" outlineLevel="0" collapsed="false">
      <c r="A741" s="21" t="s">
        <v>807</v>
      </c>
      <c r="B741" s="21" t="s">
        <v>19</v>
      </c>
      <c r="C741" s="22" t="n">
        <v>43067</v>
      </c>
      <c r="D741" s="22" t="n">
        <v>43080</v>
      </c>
      <c r="E741" s="22" t="n">
        <v>43080</v>
      </c>
      <c r="F741" s="21" t="s">
        <v>64</v>
      </c>
      <c r="G741" s="23" t="n">
        <v>87.38</v>
      </c>
      <c r="H741" s="23" t="n">
        <v>14.42</v>
      </c>
      <c r="I741" s="21" t="s">
        <v>45</v>
      </c>
      <c r="J741" s="21" t="n">
        <v>4</v>
      </c>
      <c r="K741" s="21" t="s">
        <v>46</v>
      </c>
      <c r="L741" s="24" t="n">
        <f aca="false">DATE(YEAR(C741),MONTH(C741),1)</f>
        <v>43040</v>
      </c>
      <c r="M741" s="21" t="n">
        <f aca="false">D741-C741</f>
        <v>13</v>
      </c>
      <c r="N741" s="21" t="n">
        <f aca="false">MAX(0,D741-E741)</f>
        <v>0</v>
      </c>
      <c r="O741" s="21" t="n">
        <f aca="false">IF(D741&lt;=E741,1,0)</f>
        <v>1</v>
      </c>
      <c r="P741" s="23" t="n">
        <f aca="false">G741+H741</f>
        <v>101.8</v>
      </c>
      <c r="Q741" s="23" t="n">
        <f aca="false">G741*INDEX(Assumptions!$B$8:$B$16,MATCH(F741,Assumptions!$A$8:$A$16,0))</f>
        <v>57.6708</v>
      </c>
      <c r="R741" s="23" t="n">
        <f aca="false">H741*Assumptions!$B$3</f>
        <v>8.652</v>
      </c>
      <c r="S741" s="23" t="n">
        <f aca="false">G741-Q741-R741</f>
        <v>21.0572</v>
      </c>
      <c r="T741" s="21" t="str">
        <f aca="false">IF(M741&lt;=7,"0-7 days",IF(M741&lt;=14,"8-14 days",IF(M741&lt;=21,"15-21 days","22+ days")))</f>
        <v>8-14 days</v>
      </c>
    </row>
    <row r="742" customFormat="false" ht="15" hidden="false" customHeight="false" outlineLevel="0" collapsed="false">
      <c r="A742" s="21" t="s">
        <v>808</v>
      </c>
      <c r="B742" s="21" t="s">
        <v>156</v>
      </c>
      <c r="C742" s="22" t="n">
        <v>43067</v>
      </c>
      <c r="D742" s="22" t="n">
        <v>43077</v>
      </c>
      <c r="E742" s="22" t="n">
        <v>43089</v>
      </c>
      <c r="F742" s="21" t="s">
        <v>53</v>
      </c>
      <c r="G742" s="23" t="n">
        <v>177.83</v>
      </c>
      <c r="H742" s="23" t="n">
        <v>24.79</v>
      </c>
      <c r="I742" s="21" t="s">
        <v>60</v>
      </c>
      <c r="J742" s="21" t="n">
        <v>5</v>
      </c>
      <c r="K742" s="21" t="s">
        <v>46</v>
      </c>
      <c r="L742" s="24" t="n">
        <f aca="false">DATE(YEAR(C742),MONTH(C742),1)</f>
        <v>43040</v>
      </c>
      <c r="M742" s="21" t="n">
        <f aca="false">D742-C742</f>
        <v>10</v>
      </c>
      <c r="N742" s="21" t="n">
        <f aca="false">MAX(0,D742-E742)</f>
        <v>0</v>
      </c>
      <c r="O742" s="21" t="n">
        <f aca="false">IF(D742&lt;=E742,1,0)</f>
        <v>1</v>
      </c>
      <c r="P742" s="23" t="n">
        <f aca="false">G742+H742</f>
        <v>202.62</v>
      </c>
      <c r="Q742" s="23" t="n">
        <f aca="false">G742*INDEX(Assumptions!$B$8:$B$16,MATCH(F742,Assumptions!$A$8:$A$16,0))</f>
        <v>131.5942</v>
      </c>
      <c r="R742" s="23" t="n">
        <f aca="false">H742*Assumptions!$B$3</f>
        <v>14.874</v>
      </c>
      <c r="S742" s="23" t="n">
        <f aca="false">G742-Q742-R742</f>
        <v>31.3618</v>
      </c>
      <c r="T742" s="21" t="str">
        <f aca="false">IF(M742&lt;=7,"0-7 days",IF(M742&lt;=14,"8-14 days",IF(M742&lt;=21,"15-21 days","22+ days")))</f>
        <v>8-14 days</v>
      </c>
    </row>
    <row r="743" customFormat="false" ht="15" hidden="false" customHeight="false" outlineLevel="0" collapsed="false">
      <c r="A743" s="21" t="s">
        <v>809</v>
      </c>
      <c r="B743" s="21" t="s">
        <v>62</v>
      </c>
      <c r="C743" s="22" t="n">
        <v>43067</v>
      </c>
      <c r="D743" s="22" t="n">
        <v>43076</v>
      </c>
      <c r="E743" s="22" t="n">
        <v>43089</v>
      </c>
      <c r="F743" s="21" t="s">
        <v>111</v>
      </c>
      <c r="G743" s="23" t="n">
        <v>34.02</v>
      </c>
      <c r="H743" s="23" t="n">
        <v>18.58</v>
      </c>
      <c r="I743" s="21" t="s">
        <v>60</v>
      </c>
      <c r="J743" s="21" t="n">
        <v>5</v>
      </c>
      <c r="K743" s="21" t="s">
        <v>46</v>
      </c>
      <c r="L743" s="24" t="n">
        <f aca="false">DATE(YEAR(C743),MONTH(C743),1)</f>
        <v>43040</v>
      </c>
      <c r="M743" s="21" t="n">
        <f aca="false">D743-C743</f>
        <v>9</v>
      </c>
      <c r="N743" s="21" t="n">
        <f aca="false">MAX(0,D743-E743)</f>
        <v>0</v>
      </c>
      <c r="O743" s="21" t="n">
        <f aca="false">IF(D743&lt;=E743,1,0)</f>
        <v>1</v>
      </c>
      <c r="P743" s="23" t="n">
        <f aca="false">G743+H743</f>
        <v>52.6</v>
      </c>
      <c r="Q743" s="23" t="n">
        <f aca="false">G743*INDEX(Assumptions!$B$8:$B$16,MATCH(F743,Assumptions!$A$8:$A$16,0))</f>
        <v>21.4326</v>
      </c>
      <c r="R743" s="23" t="n">
        <f aca="false">H743*Assumptions!$B$3</f>
        <v>11.148</v>
      </c>
      <c r="S743" s="23" t="n">
        <f aca="false">G743-Q743-R743</f>
        <v>1.4394</v>
      </c>
      <c r="T743" s="21" t="str">
        <f aca="false">IF(M743&lt;=7,"0-7 days",IF(M743&lt;=14,"8-14 days",IF(M743&lt;=21,"15-21 days","22+ days")))</f>
        <v>8-14 days</v>
      </c>
    </row>
    <row r="744" customFormat="false" ht="15" hidden="false" customHeight="false" outlineLevel="0" collapsed="false">
      <c r="A744" s="21" t="s">
        <v>810</v>
      </c>
      <c r="B744" s="21" t="s">
        <v>19</v>
      </c>
      <c r="C744" s="22" t="n">
        <v>43067</v>
      </c>
      <c r="D744" s="22" t="n">
        <v>43079</v>
      </c>
      <c r="E744" s="22" t="n">
        <v>43085</v>
      </c>
      <c r="F744" s="21" t="s">
        <v>67</v>
      </c>
      <c r="G744" s="23" t="n">
        <v>85.62</v>
      </c>
      <c r="H744" s="23" t="n">
        <v>19.55</v>
      </c>
      <c r="I744" s="21" t="s">
        <v>45</v>
      </c>
      <c r="J744" s="21" t="n">
        <v>3</v>
      </c>
      <c r="K744" s="21" t="s">
        <v>46</v>
      </c>
      <c r="L744" s="24" t="n">
        <f aca="false">DATE(YEAR(C744),MONTH(C744),1)</f>
        <v>43040</v>
      </c>
      <c r="M744" s="21" t="n">
        <f aca="false">D744-C744</f>
        <v>12</v>
      </c>
      <c r="N744" s="21" t="n">
        <f aca="false">MAX(0,D744-E744)</f>
        <v>0</v>
      </c>
      <c r="O744" s="21" t="n">
        <f aca="false">IF(D744&lt;=E744,1,0)</f>
        <v>1</v>
      </c>
      <c r="P744" s="23" t="n">
        <f aca="false">G744+H744</f>
        <v>105.17</v>
      </c>
      <c r="Q744" s="23" t="n">
        <f aca="false">G744*INDEX(Assumptions!$B$8:$B$16,MATCH(F744,Assumptions!$A$8:$A$16,0))</f>
        <v>53.0844</v>
      </c>
      <c r="R744" s="23" t="n">
        <f aca="false">H744*Assumptions!$B$3</f>
        <v>11.73</v>
      </c>
      <c r="S744" s="23" t="n">
        <f aca="false">G744-Q744-R744</f>
        <v>20.8056</v>
      </c>
      <c r="T744" s="21" t="str">
        <f aca="false">IF(M744&lt;=7,"0-7 days",IF(M744&lt;=14,"8-14 days",IF(M744&lt;=21,"15-21 days","22+ days")))</f>
        <v>8-14 days</v>
      </c>
    </row>
    <row r="745" customFormat="false" ht="15" hidden="false" customHeight="false" outlineLevel="0" collapsed="false">
      <c r="A745" s="21" t="s">
        <v>811</v>
      </c>
      <c r="B745" s="21" t="s">
        <v>19</v>
      </c>
      <c r="C745" s="22" t="n">
        <v>43068</v>
      </c>
      <c r="D745" s="22" t="n">
        <v>43074</v>
      </c>
      <c r="E745" s="22" t="n">
        <v>43082</v>
      </c>
      <c r="F745" s="21" t="s">
        <v>111</v>
      </c>
      <c r="G745" s="23" t="n">
        <v>43.09</v>
      </c>
      <c r="H745" s="23" t="n">
        <v>17.81</v>
      </c>
      <c r="I745" s="21" t="s">
        <v>45</v>
      </c>
      <c r="J745" s="21" t="n">
        <v>5</v>
      </c>
      <c r="K745" s="21" t="s">
        <v>46</v>
      </c>
      <c r="L745" s="24" t="n">
        <f aca="false">DATE(YEAR(C745),MONTH(C745),1)</f>
        <v>43040</v>
      </c>
      <c r="M745" s="21" t="n">
        <f aca="false">D745-C745</f>
        <v>6</v>
      </c>
      <c r="N745" s="21" t="n">
        <f aca="false">MAX(0,D745-E745)</f>
        <v>0</v>
      </c>
      <c r="O745" s="21" t="n">
        <f aca="false">IF(D745&lt;=E745,1,0)</f>
        <v>1</v>
      </c>
      <c r="P745" s="23" t="n">
        <f aca="false">G745+H745</f>
        <v>60.9</v>
      </c>
      <c r="Q745" s="23" t="n">
        <f aca="false">G745*INDEX(Assumptions!$B$8:$B$16,MATCH(F745,Assumptions!$A$8:$A$16,0))</f>
        <v>27.1467</v>
      </c>
      <c r="R745" s="23" t="n">
        <f aca="false">H745*Assumptions!$B$3</f>
        <v>10.686</v>
      </c>
      <c r="S745" s="23" t="n">
        <f aca="false">G745-Q745-R745</f>
        <v>5.2573</v>
      </c>
      <c r="T745" s="21" t="str">
        <f aca="false">IF(M745&lt;=7,"0-7 days",IF(M745&lt;=14,"8-14 days",IF(M745&lt;=21,"15-21 days","22+ days")))</f>
        <v>0-7 days</v>
      </c>
    </row>
    <row r="746" customFormat="false" ht="15" hidden="false" customHeight="false" outlineLevel="0" collapsed="false">
      <c r="A746" s="21" t="s">
        <v>812</v>
      </c>
      <c r="B746" s="21" t="s">
        <v>103</v>
      </c>
      <c r="C746" s="22" t="n">
        <v>43068</v>
      </c>
      <c r="D746" s="22" t="n">
        <v>43081</v>
      </c>
      <c r="E746" s="22" t="n">
        <v>43090</v>
      </c>
      <c r="F746" s="21" t="s">
        <v>44</v>
      </c>
      <c r="G746" s="23" t="n">
        <v>79.23</v>
      </c>
      <c r="H746" s="23" t="n">
        <v>26.4</v>
      </c>
      <c r="I746" s="21" t="s">
        <v>45</v>
      </c>
      <c r="J746" s="21" t="n">
        <v>4</v>
      </c>
      <c r="K746" s="21" t="s">
        <v>46</v>
      </c>
      <c r="L746" s="24" t="n">
        <f aca="false">DATE(YEAR(C746),MONTH(C746),1)</f>
        <v>43040</v>
      </c>
      <c r="M746" s="21" t="n">
        <f aca="false">D746-C746</f>
        <v>13</v>
      </c>
      <c r="N746" s="21" t="n">
        <f aca="false">MAX(0,D746-E746)</f>
        <v>0</v>
      </c>
      <c r="O746" s="21" t="n">
        <f aca="false">IF(D746&lt;=E746,1,0)</f>
        <v>1</v>
      </c>
      <c r="P746" s="23" t="n">
        <f aca="false">G746+H746</f>
        <v>105.63</v>
      </c>
      <c r="Q746" s="23" t="n">
        <f aca="false">G746*INDEX(Assumptions!$B$8:$B$16,MATCH(F746,Assumptions!$A$8:$A$16,0))</f>
        <v>47.538</v>
      </c>
      <c r="R746" s="23" t="n">
        <f aca="false">H746*Assumptions!$B$3</f>
        <v>15.84</v>
      </c>
      <c r="S746" s="23" t="n">
        <f aca="false">G746-Q746-R746</f>
        <v>15.852</v>
      </c>
      <c r="T746" s="21" t="str">
        <f aca="false">IF(M746&lt;=7,"0-7 days",IF(M746&lt;=14,"8-14 days",IF(M746&lt;=21,"15-21 days","22+ days")))</f>
        <v>8-14 days</v>
      </c>
    </row>
    <row r="747" customFormat="false" ht="15" hidden="false" customHeight="false" outlineLevel="0" collapsed="false">
      <c r="A747" s="21" t="s">
        <v>813</v>
      </c>
      <c r="B747" s="21" t="s">
        <v>62</v>
      </c>
      <c r="C747" s="22" t="n">
        <v>43069</v>
      </c>
      <c r="D747" s="22" t="n">
        <v>43083</v>
      </c>
      <c r="E747" s="22" t="n">
        <v>43090</v>
      </c>
      <c r="F747" s="21" t="s">
        <v>49</v>
      </c>
      <c r="G747" s="23" t="n">
        <v>43.71</v>
      </c>
      <c r="H747" s="23" t="n">
        <v>24.59</v>
      </c>
      <c r="I747" s="21" t="s">
        <v>60</v>
      </c>
      <c r="J747" s="21" t="n">
        <v>5</v>
      </c>
      <c r="K747" s="21" t="s">
        <v>46</v>
      </c>
      <c r="L747" s="24" t="n">
        <f aca="false">DATE(YEAR(C747),MONTH(C747),1)</f>
        <v>43040</v>
      </c>
      <c r="M747" s="21" t="n">
        <f aca="false">D747-C747</f>
        <v>14</v>
      </c>
      <c r="N747" s="21" t="n">
        <f aca="false">MAX(0,D747-E747)</f>
        <v>0</v>
      </c>
      <c r="O747" s="21" t="n">
        <f aca="false">IF(D747&lt;=E747,1,0)</f>
        <v>1</v>
      </c>
      <c r="P747" s="23" t="n">
        <f aca="false">G747+H747</f>
        <v>68.3</v>
      </c>
      <c r="Q747" s="23" t="n">
        <f aca="false">G747*INDEX(Assumptions!$B$8:$B$16,MATCH(F747,Assumptions!$A$8:$A$16,0))</f>
        <v>25.3518</v>
      </c>
      <c r="R747" s="23" t="n">
        <f aca="false">H747*Assumptions!$B$3</f>
        <v>14.754</v>
      </c>
      <c r="S747" s="23" t="n">
        <f aca="false">G747-Q747-R747</f>
        <v>3.6042</v>
      </c>
      <c r="T747" s="21" t="str">
        <f aca="false">IF(M747&lt;=7,"0-7 days",IF(M747&lt;=14,"8-14 days",IF(M747&lt;=21,"15-21 days","22+ days")))</f>
        <v>8-14 days</v>
      </c>
    </row>
    <row r="748" customFormat="false" ht="15" hidden="false" customHeight="false" outlineLevel="0" collapsed="false">
      <c r="A748" s="21" t="s">
        <v>814</v>
      </c>
      <c r="B748" s="21" t="s">
        <v>156</v>
      </c>
      <c r="C748" s="22" t="n">
        <v>43069</v>
      </c>
      <c r="D748" s="22" t="n">
        <v>43078</v>
      </c>
      <c r="E748" s="22" t="n">
        <v>43090</v>
      </c>
      <c r="F748" s="21" t="s">
        <v>53</v>
      </c>
      <c r="G748" s="23" t="n">
        <v>274.78</v>
      </c>
      <c r="H748" s="23" t="n">
        <v>26.6</v>
      </c>
      <c r="I748" s="21" t="s">
        <v>60</v>
      </c>
      <c r="J748" s="21" t="n">
        <v>5</v>
      </c>
      <c r="K748" s="21" t="s">
        <v>46</v>
      </c>
      <c r="L748" s="24" t="n">
        <f aca="false">DATE(YEAR(C748),MONTH(C748),1)</f>
        <v>43040</v>
      </c>
      <c r="M748" s="21" t="n">
        <f aca="false">D748-C748</f>
        <v>9</v>
      </c>
      <c r="N748" s="21" t="n">
        <f aca="false">MAX(0,D748-E748)</f>
        <v>0</v>
      </c>
      <c r="O748" s="21" t="n">
        <f aca="false">IF(D748&lt;=E748,1,0)</f>
        <v>1</v>
      </c>
      <c r="P748" s="23" t="n">
        <f aca="false">G748+H748</f>
        <v>301.38</v>
      </c>
      <c r="Q748" s="23" t="n">
        <f aca="false">G748*INDEX(Assumptions!$B$8:$B$16,MATCH(F748,Assumptions!$A$8:$A$16,0))</f>
        <v>203.3372</v>
      </c>
      <c r="R748" s="23" t="n">
        <f aca="false">H748*Assumptions!$B$3</f>
        <v>15.96</v>
      </c>
      <c r="S748" s="23" t="n">
        <f aca="false">G748-Q748-R748</f>
        <v>55.4828</v>
      </c>
      <c r="T748" s="21" t="str">
        <f aca="false">IF(M748&lt;=7,"0-7 days",IF(M748&lt;=14,"8-14 days",IF(M748&lt;=21,"15-21 days","22+ days")))</f>
        <v>8-14 days</v>
      </c>
    </row>
    <row r="749" customFormat="false" ht="15" hidden="false" customHeight="false" outlineLevel="0" collapsed="false">
      <c r="A749" s="21" t="s">
        <v>815</v>
      </c>
      <c r="B749" s="21" t="s">
        <v>93</v>
      </c>
      <c r="C749" s="22" t="n">
        <v>43070</v>
      </c>
      <c r="D749" s="22" t="n">
        <v>43098</v>
      </c>
      <c r="E749" s="22" t="n">
        <v>43101</v>
      </c>
      <c r="F749" s="21" t="s">
        <v>49</v>
      </c>
      <c r="G749" s="23" t="n">
        <v>72.25</v>
      </c>
      <c r="H749" s="23" t="n">
        <v>27.94</v>
      </c>
      <c r="I749" s="21" t="s">
        <v>45</v>
      </c>
      <c r="J749" s="21" t="n">
        <v>4</v>
      </c>
      <c r="K749" s="21" t="s">
        <v>46</v>
      </c>
      <c r="L749" s="24" t="n">
        <f aca="false">DATE(YEAR(C749),MONTH(C749),1)</f>
        <v>43070</v>
      </c>
      <c r="M749" s="21" t="n">
        <f aca="false">D749-C749</f>
        <v>28</v>
      </c>
      <c r="N749" s="21" t="n">
        <f aca="false">MAX(0,D749-E749)</f>
        <v>0</v>
      </c>
      <c r="O749" s="21" t="n">
        <f aca="false">IF(D749&lt;=E749,1,0)</f>
        <v>1</v>
      </c>
      <c r="P749" s="23" t="n">
        <f aca="false">G749+H749</f>
        <v>100.19</v>
      </c>
      <c r="Q749" s="23" t="n">
        <f aca="false">G749*INDEX(Assumptions!$B$8:$B$16,MATCH(F749,Assumptions!$A$8:$A$16,0))</f>
        <v>41.905</v>
      </c>
      <c r="R749" s="23" t="n">
        <f aca="false">H749*Assumptions!$B$3</f>
        <v>16.764</v>
      </c>
      <c r="S749" s="23" t="n">
        <f aca="false">G749-Q749-R749</f>
        <v>13.581</v>
      </c>
      <c r="T749" s="21" t="str">
        <f aca="false">IF(M749&lt;=7,"0-7 days",IF(M749&lt;=14,"8-14 days",IF(M749&lt;=21,"15-21 days","22+ days")))</f>
        <v>22+ days</v>
      </c>
    </row>
    <row r="750" customFormat="false" ht="15" hidden="false" customHeight="false" outlineLevel="0" collapsed="false">
      <c r="A750" s="21" t="s">
        <v>816</v>
      </c>
      <c r="B750" s="21" t="s">
        <v>93</v>
      </c>
      <c r="C750" s="22" t="n">
        <v>43070</v>
      </c>
      <c r="D750" s="22" t="n">
        <v>43090</v>
      </c>
      <c r="E750" s="22" t="n">
        <v>43099</v>
      </c>
      <c r="F750" s="21" t="s">
        <v>44</v>
      </c>
      <c r="G750" s="23" t="n">
        <v>56.34</v>
      </c>
      <c r="H750" s="23" t="n">
        <v>41.2</v>
      </c>
      <c r="I750" s="21" t="s">
        <v>45</v>
      </c>
      <c r="J750" s="21" t="n">
        <v>4</v>
      </c>
      <c r="K750" s="21" t="s">
        <v>46</v>
      </c>
      <c r="L750" s="24" t="n">
        <f aca="false">DATE(YEAR(C750),MONTH(C750),1)</f>
        <v>43070</v>
      </c>
      <c r="M750" s="21" t="n">
        <f aca="false">D750-C750</f>
        <v>20</v>
      </c>
      <c r="N750" s="21" t="n">
        <f aca="false">MAX(0,D750-E750)</f>
        <v>0</v>
      </c>
      <c r="O750" s="21" t="n">
        <f aca="false">IF(D750&lt;=E750,1,0)</f>
        <v>1</v>
      </c>
      <c r="P750" s="23" t="n">
        <f aca="false">G750+H750</f>
        <v>97.54</v>
      </c>
      <c r="Q750" s="23" t="n">
        <f aca="false">G750*INDEX(Assumptions!$B$8:$B$16,MATCH(F750,Assumptions!$A$8:$A$16,0))</f>
        <v>33.804</v>
      </c>
      <c r="R750" s="23" t="n">
        <f aca="false">H750*Assumptions!$B$3</f>
        <v>24.72</v>
      </c>
      <c r="S750" s="23" t="n">
        <f aca="false">G750-Q750-R750</f>
        <v>-2.184</v>
      </c>
      <c r="T750" s="21" t="str">
        <f aca="false">IF(M750&lt;=7,"0-7 days",IF(M750&lt;=14,"8-14 days",IF(M750&lt;=21,"15-21 days","22+ days")))</f>
        <v>15-21 days</v>
      </c>
    </row>
    <row r="751" customFormat="false" ht="15" hidden="false" customHeight="false" outlineLevel="0" collapsed="false">
      <c r="A751" s="21" t="s">
        <v>817</v>
      </c>
      <c r="B751" s="21" t="s">
        <v>19</v>
      </c>
      <c r="C751" s="22" t="n">
        <v>43070</v>
      </c>
      <c r="D751" s="22" t="n">
        <v>43079</v>
      </c>
      <c r="E751" s="22" t="n">
        <v>43087</v>
      </c>
      <c r="F751" s="21" t="s">
        <v>67</v>
      </c>
      <c r="G751" s="23" t="n">
        <v>134.53</v>
      </c>
      <c r="H751" s="23" t="n">
        <v>16.03</v>
      </c>
      <c r="I751" s="21" t="s">
        <v>45</v>
      </c>
      <c r="J751" s="21" t="n">
        <v>5</v>
      </c>
      <c r="K751" s="21" t="s">
        <v>46</v>
      </c>
      <c r="L751" s="24" t="n">
        <f aca="false">DATE(YEAR(C751),MONTH(C751),1)</f>
        <v>43070</v>
      </c>
      <c r="M751" s="21" t="n">
        <f aca="false">D751-C751</f>
        <v>9</v>
      </c>
      <c r="N751" s="21" t="n">
        <f aca="false">MAX(0,D751-E751)</f>
        <v>0</v>
      </c>
      <c r="O751" s="21" t="n">
        <f aca="false">IF(D751&lt;=E751,1,0)</f>
        <v>1</v>
      </c>
      <c r="P751" s="23" t="n">
        <f aca="false">G751+H751</f>
        <v>150.56</v>
      </c>
      <c r="Q751" s="23" t="n">
        <f aca="false">G751*INDEX(Assumptions!$B$8:$B$16,MATCH(F751,Assumptions!$A$8:$A$16,0))</f>
        <v>83.4086</v>
      </c>
      <c r="R751" s="23" t="n">
        <f aca="false">H751*Assumptions!$B$3</f>
        <v>9.618</v>
      </c>
      <c r="S751" s="23" t="n">
        <f aca="false">G751-Q751-R751</f>
        <v>41.5034</v>
      </c>
      <c r="T751" s="21" t="str">
        <f aca="false">IF(M751&lt;=7,"0-7 days",IF(M751&lt;=14,"8-14 days",IF(M751&lt;=21,"15-21 days","22+ days")))</f>
        <v>8-14 days</v>
      </c>
    </row>
    <row r="752" customFormat="false" ht="15" hidden="false" customHeight="false" outlineLevel="0" collapsed="false">
      <c r="A752" s="21" t="s">
        <v>818</v>
      </c>
      <c r="B752" s="21" t="s">
        <v>19</v>
      </c>
      <c r="C752" s="22" t="n">
        <v>43070</v>
      </c>
      <c r="D752" s="22" t="n">
        <v>43078</v>
      </c>
      <c r="E752" s="22" t="n">
        <v>43085</v>
      </c>
      <c r="F752" s="21" t="s">
        <v>79</v>
      </c>
      <c r="G752" s="23" t="n">
        <v>85.6</v>
      </c>
      <c r="H752" s="23" t="n">
        <v>19.55</v>
      </c>
      <c r="I752" s="21" t="s">
        <v>45</v>
      </c>
      <c r="J752" s="21" t="n">
        <v>3</v>
      </c>
      <c r="K752" s="21" t="s">
        <v>46</v>
      </c>
      <c r="L752" s="24" t="n">
        <f aca="false">DATE(YEAR(C752),MONTH(C752),1)</f>
        <v>43070</v>
      </c>
      <c r="M752" s="21" t="n">
        <f aca="false">D752-C752</f>
        <v>8</v>
      </c>
      <c r="N752" s="21" t="n">
        <f aca="false">MAX(0,D752-E752)</f>
        <v>0</v>
      </c>
      <c r="O752" s="21" t="n">
        <f aca="false">IF(D752&lt;=E752,1,0)</f>
        <v>1</v>
      </c>
      <c r="P752" s="23" t="n">
        <f aca="false">G752+H752</f>
        <v>105.15</v>
      </c>
      <c r="Q752" s="23" t="n">
        <f aca="false">G752*INDEX(Assumptions!$B$8:$B$16,MATCH(F752,Assumptions!$A$8:$A$16,0))</f>
        <v>59.92</v>
      </c>
      <c r="R752" s="23" t="n">
        <f aca="false">H752*Assumptions!$B$3</f>
        <v>11.73</v>
      </c>
      <c r="S752" s="23" t="n">
        <f aca="false">G752-Q752-R752</f>
        <v>13.95</v>
      </c>
      <c r="T752" s="21" t="str">
        <f aca="false">IF(M752&lt;=7,"0-7 days",IF(M752&lt;=14,"8-14 days",IF(M752&lt;=21,"15-21 days","22+ days")))</f>
        <v>8-14 days</v>
      </c>
    </row>
    <row r="753" customFormat="false" ht="15" hidden="false" customHeight="false" outlineLevel="0" collapsed="false">
      <c r="A753" s="21" t="s">
        <v>819</v>
      </c>
      <c r="B753" s="21" t="s">
        <v>174</v>
      </c>
      <c r="C753" s="22" t="n">
        <v>43070</v>
      </c>
      <c r="D753" s="22" t="n">
        <v>43101</v>
      </c>
      <c r="E753" s="22" t="n">
        <v>43102</v>
      </c>
      <c r="F753" s="21" t="s">
        <v>111</v>
      </c>
      <c r="G753" s="23" t="n">
        <v>301.54</v>
      </c>
      <c r="H753" s="23" t="n">
        <v>44.31</v>
      </c>
      <c r="I753" s="21" t="s">
        <v>45</v>
      </c>
      <c r="J753" s="21" t="n">
        <v>3</v>
      </c>
      <c r="K753" s="21" t="s">
        <v>46</v>
      </c>
      <c r="L753" s="24" t="n">
        <f aca="false">DATE(YEAR(C753),MONTH(C753),1)</f>
        <v>43070</v>
      </c>
      <c r="M753" s="21" t="n">
        <f aca="false">D753-C753</f>
        <v>31</v>
      </c>
      <c r="N753" s="21" t="n">
        <f aca="false">MAX(0,D753-E753)</f>
        <v>0</v>
      </c>
      <c r="O753" s="21" t="n">
        <f aca="false">IF(D753&lt;=E753,1,0)</f>
        <v>1</v>
      </c>
      <c r="P753" s="23" t="n">
        <f aca="false">G753+H753</f>
        <v>345.85</v>
      </c>
      <c r="Q753" s="23" t="n">
        <f aca="false">G753*INDEX(Assumptions!$B$8:$B$16,MATCH(F753,Assumptions!$A$8:$A$16,0))</f>
        <v>189.9702</v>
      </c>
      <c r="R753" s="23" t="n">
        <f aca="false">H753*Assumptions!$B$3</f>
        <v>26.586</v>
      </c>
      <c r="S753" s="23" t="n">
        <f aca="false">G753-Q753-R753</f>
        <v>84.9838</v>
      </c>
      <c r="T753" s="21" t="str">
        <f aca="false">IF(M753&lt;=7,"0-7 days",IF(M753&lt;=14,"8-14 days",IF(M753&lt;=21,"15-21 days","22+ days")))</f>
        <v>22+ days</v>
      </c>
    </row>
    <row r="754" customFormat="false" ht="15" hidden="false" customHeight="false" outlineLevel="0" collapsed="false">
      <c r="A754" s="21" t="s">
        <v>820</v>
      </c>
      <c r="B754" s="21" t="s">
        <v>62</v>
      </c>
      <c r="C754" s="22" t="n">
        <v>43071</v>
      </c>
      <c r="D754" s="22" t="n">
        <v>43082</v>
      </c>
      <c r="E754" s="22" t="n">
        <v>43091</v>
      </c>
      <c r="F754" s="21" t="s">
        <v>67</v>
      </c>
      <c r="G754" s="23" t="n">
        <v>73.06</v>
      </c>
      <c r="H754" s="23" t="n">
        <v>16.74</v>
      </c>
      <c r="I754" s="21" t="s">
        <v>45</v>
      </c>
      <c r="J754" s="21" t="n">
        <v>5</v>
      </c>
      <c r="K754" s="21" t="s">
        <v>46</v>
      </c>
      <c r="L754" s="24" t="n">
        <f aca="false">DATE(YEAR(C754),MONTH(C754),1)</f>
        <v>43070</v>
      </c>
      <c r="M754" s="21" t="n">
        <f aca="false">D754-C754</f>
        <v>11</v>
      </c>
      <c r="N754" s="21" t="n">
        <f aca="false">MAX(0,D754-E754)</f>
        <v>0</v>
      </c>
      <c r="O754" s="21" t="n">
        <f aca="false">IF(D754&lt;=E754,1,0)</f>
        <v>1</v>
      </c>
      <c r="P754" s="23" t="n">
        <f aca="false">G754+H754</f>
        <v>89.8</v>
      </c>
      <c r="Q754" s="23" t="n">
        <f aca="false">G754*INDEX(Assumptions!$B$8:$B$16,MATCH(F754,Assumptions!$A$8:$A$16,0))</f>
        <v>45.2972</v>
      </c>
      <c r="R754" s="23" t="n">
        <f aca="false">H754*Assumptions!$B$3</f>
        <v>10.044</v>
      </c>
      <c r="S754" s="23" t="n">
        <f aca="false">G754-Q754-R754</f>
        <v>17.7188</v>
      </c>
      <c r="T754" s="21" t="str">
        <f aca="false">IF(M754&lt;=7,"0-7 days",IF(M754&lt;=14,"8-14 days",IF(M754&lt;=21,"15-21 days","22+ days")))</f>
        <v>8-14 days</v>
      </c>
    </row>
    <row r="755" customFormat="false" ht="15" hidden="false" customHeight="false" outlineLevel="0" collapsed="false">
      <c r="A755" s="21" t="s">
        <v>821</v>
      </c>
      <c r="B755" s="21" t="s">
        <v>201</v>
      </c>
      <c r="C755" s="22" t="n">
        <v>43071</v>
      </c>
      <c r="D755" s="22" t="n">
        <v>43093</v>
      </c>
      <c r="E755" s="22" t="n">
        <v>43103</v>
      </c>
      <c r="F755" s="21" t="s">
        <v>67</v>
      </c>
      <c r="G755" s="23" t="n">
        <v>125.12</v>
      </c>
      <c r="H755" s="23" t="n">
        <v>42.06</v>
      </c>
      <c r="I755" s="21" t="s">
        <v>45</v>
      </c>
      <c r="J755" s="21" t="n">
        <v>4</v>
      </c>
      <c r="K755" s="21" t="s">
        <v>46</v>
      </c>
      <c r="L755" s="24" t="n">
        <f aca="false">DATE(YEAR(C755),MONTH(C755),1)</f>
        <v>43070</v>
      </c>
      <c r="M755" s="21" t="n">
        <f aca="false">D755-C755</f>
        <v>22</v>
      </c>
      <c r="N755" s="21" t="n">
        <f aca="false">MAX(0,D755-E755)</f>
        <v>0</v>
      </c>
      <c r="O755" s="21" t="n">
        <f aca="false">IF(D755&lt;=E755,1,0)</f>
        <v>1</v>
      </c>
      <c r="P755" s="23" t="n">
        <f aca="false">G755+H755</f>
        <v>167.18</v>
      </c>
      <c r="Q755" s="23" t="n">
        <f aca="false">G755*INDEX(Assumptions!$B$8:$B$16,MATCH(F755,Assumptions!$A$8:$A$16,0))</f>
        <v>77.5744</v>
      </c>
      <c r="R755" s="23" t="n">
        <f aca="false">H755*Assumptions!$B$3</f>
        <v>25.236</v>
      </c>
      <c r="S755" s="23" t="n">
        <f aca="false">G755-Q755-R755</f>
        <v>22.3096</v>
      </c>
      <c r="T755" s="21" t="str">
        <f aca="false">IF(M755&lt;=7,"0-7 days",IF(M755&lt;=14,"8-14 days",IF(M755&lt;=21,"15-21 days","22+ days")))</f>
        <v>22+ days</v>
      </c>
    </row>
    <row r="756" customFormat="false" ht="15" hidden="false" customHeight="false" outlineLevel="0" collapsed="false">
      <c r="A756" s="21" t="s">
        <v>822</v>
      </c>
      <c r="B756" s="21" t="s">
        <v>19</v>
      </c>
      <c r="C756" s="22" t="n">
        <v>43071</v>
      </c>
      <c r="D756" s="22" t="n">
        <v>43083</v>
      </c>
      <c r="E756" s="22" t="n">
        <v>43087</v>
      </c>
      <c r="F756" s="21" t="s">
        <v>79</v>
      </c>
      <c r="G756" s="23" t="n">
        <v>33.77</v>
      </c>
      <c r="H756" s="23" t="n">
        <v>11.44</v>
      </c>
      <c r="I756" s="21" t="s">
        <v>45</v>
      </c>
      <c r="J756" s="21" t="n">
        <v>5</v>
      </c>
      <c r="K756" s="21" t="s">
        <v>46</v>
      </c>
      <c r="L756" s="24" t="n">
        <f aca="false">DATE(YEAR(C756),MONTH(C756),1)</f>
        <v>43070</v>
      </c>
      <c r="M756" s="21" t="n">
        <f aca="false">D756-C756</f>
        <v>12</v>
      </c>
      <c r="N756" s="21" t="n">
        <f aca="false">MAX(0,D756-E756)</f>
        <v>0</v>
      </c>
      <c r="O756" s="21" t="n">
        <f aca="false">IF(D756&lt;=E756,1,0)</f>
        <v>1</v>
      </c>
      <c r="P756" s="23" t="n">
        <f aca="false">G756+H756</f>
        <v>45.21</v>
      </c>
      <c r="Q756" s="23" t="n">
        <f aca="false">G756*INDEX(Assumptions!$B$8:$B$16,MATCH(F756,Assumptions!$A$8:$A$16,0))</f>
        <v>23.639</v>
      </c>
      <c r="R756" s="23" t="n">
        <f aca="false">H756*Assumptions!$B$3</f>
        <v>6.864</v>
      </c>
      <c r="S756" s="23" t="n">
        <f aca="false">G756-Q756-R756</f>
        <v>3.267</v>
      </c>
      <c r="T756" s="21" t="str">
        <f aca="false">IF(M756&lt;=7,"0-7 days",IF(M756&lt;=14,"8-14 days",IF(M756&lt;=21,"15-21 days","22+ days")))</f>
        <v>8-14 days</v>
      </c>
    </row>
    <row r="757" customFormat="false" ht="15" hidden="false" customHeight="false" outlineLevel="0" collapsed="false">
      <c r="A757" s="21" t="s">
        <v>823</v>
      </c>
      <c r="B757" s="21" t="s">
        <v>52</v>
      </c>
      <c r="C757" s="22" t="n">
        <v>43071</v>
      </c>
      <c r="D757" s="22" t="n">
        <v>43091</v>
      </c>
      <c r="E757" s="22" t="n">
        <v>43097</v>
      </c>
      <c r="F757" s="21" t="s">
        <v>59</v>
      </c>
      <c r="G757" s="23" t="n">
        <v>65.67</v>
      </c>
      <c r="H757" s="23" t="n">
        <v>17.9</v>
      </c>
      <c r="I757" s="21" t="s">
        <v>60</v>
      </c>
      <c r="J757" s="21" t="n">
        <v>3</v>
      </c>
      <c r="K757" s="21" t="s">
        <v>46</v>
      </c>
      <c r="L757" s="24" t="n">
        <f aca="false">DATE(YEAR(C757),MONTH(C757),1)</f>
        <v>43070</v>
      </c>
      <c r="M757" s="21" t="n">
        <f aca="false">D757-C757</f>
        <v>20</v>
      </c>
      <c r="N757" s="21" t="n">
        <f aca="false">MAX(0,D757-E757)</f>
        <v>0</v>
      </c>
      <c r="O757" s="21" t="n">
        <f aca="false">IF(D757&lt;=E757,1,0)</f>
        <v>1</v>
      </c>
      <c r="P757" s="23" t="n">
        <f aca="false">G757+H757</f>
        <v>83.57</v>
      </c>
      <c r="Q757" s="23" t="n">
        <f aca="false">G757*INDEX(Assumptions!$B$8:$B$16,MATCH(F757,Assumptions!$A$8:$A$16,0))</f>
        <v>42.0288</v>
      </c>
      <c r="R757" s="23" t="n">
        <f aca="false">H757*Assumptions!$B$3</f>
        <v>10.74</v>
      </c>
      <c r="S757" s="23" t="n">
        <f aca="false">G757-Q757-R757</f>
        <v>12.9012</v>
      </c>
      <c r="T757" s="21" t="str">
        <f aca="false">IF(M757&lt;=7,"0-7 days",IF(M757&lt;=14,"8-14 days",IF(M757&lt;=21,"15-21 days","22+ days")))</f>
        <v>15-21 days</v>
      </c>
    </row>
    <row r="758" customFormat="false" ht="15" hidden="false" customHeight="false" outlineLevel="0" collapsed="false">
      <c r="A758" s="21" t="s">
        <v>824</v>
      </c>
      <c r="B758" s="21" t="s">
        <v>19</v>
      </c>
      <c r="C758" s="22" t="n">
        <v>43071</v>
      </c>
      <c r="D758" s="22" t="n">
        <v>43093</v>
      </c>
      <c r="E758" s="22" t="n">
        <v>43086</v>
      </c>
      <c r="F758" s="21" t="s">
        <v>57</v>
      </c>
      <c r="G758" s="23" t="n">
        <v>203.54</v>
      </c>
      <c r="H758" s="23" t="n">
        <v>22.48</v>
      </c>
      <c r="I758" s="21" t="s">
        <v>45</v>
      </c>
      <c r="J758" s="21" t="n">
        <v>3</v>
      </c>
      <c r="K758" s="21" t="s">
        <v>46</v>
      </c>
      <c r="L758" s="24" t="n">
        <f aca="false">DATE(YEAR(C758),MONTH(C758),1)</f>
        <v>43070</v>
      </c>
      <c r="M758" s="21" t="n">
        <f aca="false">D758-C758</f>
        <v>22</v>
      </c>
      <c r="N758" s="21" t="n">
        <f aca="false">MAX(0,D758-E758)</f>
        <v>7</v>
      </c>
      <c r="O758" s="21" t="n">
        <f aca="false">IF(D758&lt;=E758,1,0)</f>
        <v>0</v>
      </c>
      <c r="P758" s="23" t="n">
        <f aca="false">G758+H758</f>
        <v>226.02</v>
      </c>
      <c r="Q758" s="23" t="n">
        <f aca="false">G758*INDEX(Assumptions!$B$8:$B$16,MATCH(F758,Assumptions!$A$8:$A$16,0))</f>
        <v>138.4072</v>
      </c>
      <c r="R758" s="23" t="n">
        <f aca="false">H758*Assumptions!$B$3</f>
        <v>13.488</v>
      </c>
      <c r="S758" s="23" t="n">
        <f aca="false">G758-Q758-R758</f>
        <v>51.6448</v>
      </c>
      <c r="T758" s="21" t="str">
        <f aca="false">IF(M758&lt;=7,"0-7 days",IF(M758&lt;=14,"8-14 days",IF(M758&lt;=21,"15-21 days","22+ days")))</f>
        <v>22+ days</v>
      </c>
    </row>
    <row r="759" customFormat="false" ht="15" hidden="false" customHeight="false" outlineLevel="0" collapsed="false">
      <c r="A759" s="21" t="s">
        <v>825</v>
      </c>
      <c r="B759" s="21" t="s">
        <v>55</v>
      </c>
      <c r="C759" s="22" t="n">
        <v>43071</v>
      </c>
      <c r="D759" s="22" t="n">
        <v>43087</v>
      </c>
      <c r="E759" s="22" t="n">
        <v>43095</v>
      </c>
      <c r="F759" s="21" t="s">
        <v>67</v>
      </c>
      <c r="G759" s="23" t="n">
        <v>23.15</v>
      </c>
      <c r="H759" s="23" t="n">
        <v>22.6</v>
      </c>
      <c r="I759" s="21" t="s">
        <v>45</v>
      </c>
      <c r="J759" s="21" t="n">
        <v>5</v>
      </c>
      <c r="K759" s="21" t="s">
        <v>46</v>
      </c>
      <c r="L759" s="24" t="n">
        <f aca="false">DATE(YEAR(C759),MONTH(C759),1)</f>
        <v>43070</v>
      </c>
      <c r="M759" s="21" t="n">
        <f aca="false">D759-C759</f>
        <v>16</v>
      </c>
      <c r="N759" s="21" t="n">
        <f aca="false">MAX(0,D759-E759)</f>
        <v>0</v>
      </c>
      <c r="O759" s="21" t="n">
        <f aca="false">IF(D759&lt;=E759,1,0)</f>
        <v>1</v>
      </c>
      <c r="P759" s="23" t="n">
        <f aca="false">G759+H759</f>
        <v>45.75</v>
      </c>
      <c r="Q759" s="23" t="n">
        <f aca="false">G759*INDEX(Assumptions!$B$8:$B$16,MATCH(F759,Assumptions!$A$8:$A$16,0))</f>
        <v>14.353</v>
      </c>
      <c r="R759" s="23" t="n">
        <f aca="false">H759*Assumptions!$B$3</f>
        <v>13.56</v>
      </c>
      <c r="S759" s="23" t="n">
        <f aca="false">G759-Q759-R759</f>
        <v>-4.763</v>
      </c>
      <c r="T759" s="21" t="str">
        <f aca="false">IF(M759&lt;=7,"0-7 days",IF(M759&lt;=14,"8-14 days",IF(M759&lt;=21,"15-21 days","22+ days")))</f>
        <v>15-21 days</v>
      </c>
    </row>
    <row r="760" customFormat="false" ht="15" hidden="false" customHeight="false" outlineLevel="0" collapsed="false">
      <c r="A760" s="21" t="s">
        <v>826</v>
      </c>
      <c r="B760" s="21" t="s">
        <v>134</v>
      </c>
      <c r="C760" s="22" t="n">
        <v>43071</v>
      </c>
      <c r="D760" s="22" t="n">
        <v>43082</v>
      </c>
      <c r="E760" s="22" t="n">
        <v>43095</v>
      </c>
      <c r="F760" s="21" t="s">
        <v>59</v>
      </c>
      <c r="G760" s="23" t="n">
        <v>163.07</v>
      </c>
      <c r="H760" s="23" t="n">
        <v>20.17</v>
      </c>
      <c r="I760" s="21" t="s">
        <v>60</v>
      </c>
      <c r="J760" s="21" t="n">
        <v>5</v>
      </c>
      <c r="K760" s="21" t="s">
        <v>46</v>
      </c>
      <c r="L760" s="24" t="n">
        <f aca="false">DATE(YEAR(C760),MONTH(C760),1)</f>
        <v>43070</v>
      </c>
      <c r="M760" s="21" t="n">
        <f aca="false">D760-C760</f>
        <v>11</v>
      </c>
      <c r="N760" s="21" t="n">
        <f aca="false">MAX(0,D760-E760)</f>
        <v>0</v>
      </c>
      <c r="O760" s="21" t="n">
        <f aca="false">IF(D760&lt;=E760,1,0)</f>
        <v>1</v>
      </c>
      <c r="P760" s="23" t="n">
        <f aca="false">G760+H760</f>
        <v>183.24</v>
      </c>
      <c r="Q760" s="23" t="n">
        <f aca="false">G760*INDEX(Assumptions!$B$8:$B$16,MATCH(F760,Assumptions!$A$8:$A$16,0))</f>
        <v>104.3648</v>
      </c>
      <c r="R760" s="23" t="n">
        <f aca="false">H760*Assumptions!$B$3</f>
        <v>12.102</v>
      </c>
      <c r="S760" s="23" t="n">
        <f aca="false">G760-Q760-R760</f>
        <v>46.6032</v>
      </c>
      <c r="T760" s="21" t="str">
        <f aca="false">IF(M760&lt;=7,"0-7 days",IF(M760&lt;=14,"8-14 days",IF(M760&lt;=21,"15-21 days","22+ days")))</f>
        <v>8-14 days</v>
      </c>
    </row>
    <row r="761" customFormat="false" ht="15" hidden="false" customHeight="false" outlineLevel="0" collapsed="false">
      <c r="A761" s="21" t="s">
        <v>827</v>
      </c>
      <c r="B761" s="21" t="s">
        <v>48</v>
      </c>
      <c r="C761" s="22" t="n">
        <v>43072</v>
      </c>
      <c r="D761" s="22" t="n">
        <v>43085</v>
      </c>
      <c r="E761" s="22" t="n">
        <v>43092</v>
      </c>
      <c r="F761" s="21" t="s">
        <v>79</v>
      </c>
      <c r="G761" s="23" t="n">
        <v>103.88</v>
      </c>
      <c r="H761" s="23" t="n">
        <v>24.56</v>
      </c>
      <c r="I761" s="21" t="s">
        <v>45</v>
      </c>
      <c r="J761" s="21" t="n">
        <v>4</v>
      </c>
      <c r="K761" s="21" t="s">
        <v>46</v>
      </c>
      <c r="L761" s="24" t="n">
        <f aca="false">DATE(YEAR(C761),MONTH(C761),1)</f>
        <v>43070</v>
      </c>
      <c r="M761" s="21" t="n">
        <f aca="false">D761-C761</f>
        <v>13</v>
      </c>
      <c r="N761" s="21" t="n">
        <f aca="false">MAX(0,D761-E761)</f>
        <v>0</v>
      </c>
      <c r="O761" s="21" t="n">
        <f aca="false">IF(D761&lt;=E761,1,0)</f>
        <v>1</v>
      </c>
      <c r="P761" s="23" t="n">
        <f aca="false">G761+H761</f>
        <v>128.44</v>
      </c>
      <c r="Q761" s="23" t="n">
        <f aca="false">G761*INDEX(Assumptions!$B$8:$B$16,MATCH(F761,Assumptions!$A$8:$A$16,0))</f>
        <v>72.716</v>
      </c>
      <c r="R761" s="23" t="n">
        <f aca="false">H761*Assumptions!$B$3</f>
        <v>14.736</v>
      </c>
      <c r="S761" s="23" t="n">
        <f aca="false">G761-Q761-R761</f>
        <v>16.428</v>
      </c>
      <c r="T761" s="21" t="str">
        <f aca="false">IF(M761&lt;=7,"0-7 days",IF(M761&lt;=14,"8-14 days",IF(M761&lt;=21,"15-21 days","22+ days")))</f>
        <v>8-14 days</v>
      </c>
    </row>
    <row r="762" customFormat="false" ht="15" hidden="false" customHeight="false" outlineLevel="0" collapsed="false">
      <c r="A762" s="21" t="s">
        <v>828</v>
      </c>
      <c r="B762" s="21" t="s">
        <v>55</v>
      </c>
      <c r="C762" s="22" t="n">
        <v>43072</v>
      </c>
      <c r="D762" s="22" t="n">
        <v>43087</v>
      </c>
      <c r="E762" s="22" t="n">
        <v>43095</v>
      </c>
      <c r="F762" s="21" t="s">
        <v>67</v>
      </c>
      <c r="G762" s="23" t="n">
        <v>36.74</v>
      </c>
      <c r="H762" s="23" t="n">
        <v>24.85</v>
      </c>
      <c r="I762" s="21" t="s">
        <v>45</v>
      </c>
      <c r="J762" s="21" t="n">
        <v>4</v>
      </c>
      <c r="K762" s="21" t="s">
        <v>46</v>
      </c>
      <c r="L762" s="24" t="n">
        <f aca="false">DATE(YEAR(C762),MONTH(C762),1)</f>
        <v>43070</v>
      </c>
      <c r="M762" s="21" t="n">
        <f aca="false">D762-C762</f>
        <v>15</v>
      </c>
      <c r="N762" s="21" t="n">
        <f aca="false">MAX(0,D762-E762)</f>
        <v>0</v>
      </c>
      <c r="O762" s="21" t="n">
        <f aca="false">IF(D762&lt;=E762,1,0)</f>
        <v>1</v>
      </c>
      <c r="P762" s="23" t="n">
        <f aca="false">G762+H762</f>
        <v>61.59</v>
      </c>
      <c r="Q762" s="23" t="n">
        <f aca="false">G762*INDEX(Assumptions!$B$8:$B$16,MATCH(F762,Assumptions!$A$8:$A$16,0))</f>
        <v>22.7788</v>
      </c>
      <c r="R762" s="23" t="n">
        <f aca="false">H762*Assumptions!$B$3</f>
        <v>14.91</v>
      </c>
      <c r="S762" s="23" t="n">
        <f aca="false">G762-Q762-R762</f>
        <v>-0.948799999999999</v>
      </c>
      <c r="T762" s="21" t="str">
        <f aca="false">IF(M762&lt;=7,"0-7 days",IF(M762&lt;=14,"8-14 days",IF(M762&lt;=21,"15-21 days","22+ days")))</f>
        <v>15-21 days</v>
      </c>
    </row>
    <row r="763" customFormat="false" ht="15" hidden="false" customHeight="false" outlineLevel="0" collapsed="false">
      <c r="A763" s="21" t="s">
        <v>829</v>
      </c>
      <c r="B763" s="21" t="s">
        <v>134</v>
      </c>
      <c r="C763" s="22" t="n">
        <v>43072</v>
      </c>
      <c r="D763" s="22" t="n">
        <v>43089</v>
      </c>
      <c r="E763" s="22" t="n">
        <v>43096</v>
      </c>
      <c r="F763" s="21" t="s">
        <v>49</v>
      </c>
      <c r="G763" s="23" t="n">
        <v>133.92</v>
      </c>
      <c r="H763" s="23" t="n">
        <v>25.03</v>
      </c>
      <c r="I763" s="21" t="s">
        <v>50</v>
      </c>
      <c r="J763" s="21" t="n">
        <v>5</v>
      </c>
      <c r="K763" s="21" t="s">
        <v>46</v>
      </c>
      <c r="L763" s="24" t="n">
        <f aca="false">DATE(YEAR(C763),MONTH(C763),1)</f>
        <v>43070</v>
      </c>
      <c r="M763" s="21" t="n">
        <f aca="false">D763-C763</f>
        <v>17</v>
      </c>
      <c r="N763" s="21" t="n">
        <f aca="false">MAX(0,D763-E763)</f>
        <v>0</v>
      </c>
      <c r="O763" s="21" t="n">
        <f aca="false">IF(D763&lt;=E763,1,0)</f>
        <v>1</v>
      </c>
      <c r="P763" s="23" t="n">
        <f aca="false">G763+H763</f>
        <v>158.95</v>
      </c>
      <c r="Q763" s="23" t="n">
        <f aca="false">G763*INDEX(Assumptions!$B$8:$B$16,MATCH(F763,Assumptions!$A$8:$A$16,0))</f>
        <v>77.6736</v>
      </c>
      <c r="R763" s="23" t="n">
        <f aca="false">H763*Assumptions!$B$3</f>
        <v>15.018</v>
      </c>
      <c r="S763" s="23" t="n">
        <f aca="false">G763-Q763-R763</f>
        <v>41.2284</v>
      </c>
      <c r="T763" s="21" t="str">
        <f aca="false">IF(M763&lt;=7,"0-7 days",IF(M763&lt;=14,"8-14 days",IF(M763&lt;=21,"15-21 days","22+ days")))</f>
        <v>15-21 days</v>
      </c>
    </row>
    <row r="764" customFormat="false" ht="15" hidden="false" customHeight="false" outlineLevel="0" collapsed="false">
      <c r="A764" s="21" t="s">
        <v>830</v>
      </c>
      <c r="B764" s="21" t="s">
        <v>156</v>
      </c>
      <c r="C764" s="22" t="n">
        <v>43072</v>
      </c>
      <c r="D764" s="22" t="n">
        <v>43084</v>
      </c>
      <c r="E764" s="22" t="n">
        <v>43099</v>
      </c>
      <c r="F764" s="21" t="s">
        <v>111</v>
      </c>
      <c r="G764" s="23" t="n">
        <v>108.96</v>
      </c>
      <c r="H764" s="23" t="n">
        <v>29.26</v>
      </c>
      <c r="I764" s="21" t="s">
        <v>104</v>
      </c>
      <c r="J764" s="21" t="n">
        <v>3</v>
      </c>
      <c r="K764" s="21" t="s">
        <v>46</v>
      </c>
      <c r="L764" s="24" t="n">
        <f aca="false">DATE(YEAR(C764),MONTH(C764),1)</f>
        <v>43070</v>
      </c>
      <c r="M764" s="21" t="n">
        <f aca="false">D764-C764</f>
        <v>12</v>
      </c>
      <c r="N764" s="21" t="n">
        <f aca="false">MAX(0,D764-E764)</f>
        <v>0</v>
      </c>
      <c r="O764" s="21" t="n">
        <f aca="false">IF(D764&lt;=E764,1,0)</f>
        <v>1</v>
      </c>
      <c r="P764" s="23" t="n">
        <f aca="false">G764+H764</f>
        <v>138.22</v>
      </c>
      <c r="Q764" s="23" t="n">
        <f aca="false">G764*INDEX(Assumptions!$B$8:$B$16,MATCH(F764,Assumptions!$A$8:$A$16,0))</f>
        <v>68.6448</v>
      </c>
      <c r="R764" s="23" t="n">
        <f aca="false">H764*Assumptions!$B$3</f>
        <v>17.556</v>
      </c>
      <c r="S764" s="23" t="n">
        <f aca="false">G764-Q764-R764</f>
        <v>22.7592</v>
      </c>
      <c r="T764" s="21" t="str">
        <f aca="false">IF(M764&lt;=7,"0-7 days",IF(M764&lt;=14,"8-14 days",IF(M764&lt;=21,"15-21 days","22+ days")))</f>
        <v>8-14 days</v>
      </c>
    </row>
    <row r="765" customFormat="false" ht="15" hidden="false" customHeight="false" outlineLevel="0" collapsed="false">
      <c r="A765" s="21" t="s">
        <v>831</v>
      </c>
      <c r="B765" s="21" t="s">
        <v>19</v>
      </c>
      <c r="C765" s="22" t="n">
        <v>43072</v>
      </c>
      <c r="D765" s="22" t="n">
        <v>43078</v>
      </c>
      <c r="E765" s="22" t="n">
        <v>43087</v>
      </c>
      <c r="F765" s="21" t="s">
        <v>111</v>
      </c>
      <c r="G765" s="23" t="n">
        <v>73.82</v>
      </c>
      <c r="H765" s="23" t="n">
        <v>13.46</v>
      </c>
      <c r="I765" s="21" t="s">
        <v>45</v>
      </c>
      <c r="J765" s="21" t="n">
        <v>4</v>
      </c>
      <c r="K765" s="21" t="s">
        <v>46</v>
      </c>
      <c r="L765" s="24" t="n">
        <f aca="false">DATE(YEAR(C765),MONTH(C765),1)</f>
        <v>43070</v>
      </c>
      <c r="M765" s="21" t="n">
        <f aca="false">D765-C765</f>
        <v>6</v>
      </c>
      <c r="N765" s="21" t="n">
        <f aca="false">MAX(0,D765-E765)</f>
        <v>0</v>
      </c>
      <c r="O765" s="21" t="n">
        <f aca="false">IF(D765&lt;=E765,1,0)</f>
        <v>1</v>
      </c>
      <c r="P765" s="23" t="n">
        <f aca="false">G765+H765</f>
        <v>87.28</v>
      </c>
      <c r="Q765" s="23" t="n">
        <f aca="false">G765*INDEX(Assumptions!$B$8:$B$16,MATCH(F765,Assumptions!$A$8:$A$16,0))</f>
        <v>46.5066</v>
      </c>
      <c r="R765" s="23" t="n">
        <f aca="false">H765*Assumptions!$B$3</f>
        <v>8.076</v>
      </c>
      <c r="S765" s="23" t="n">
        <f aca="false">G765-Q765-R765</f>
        <v>19.2374</v>
      </c>
      <c r="T765" s="21" t="str">
        <f aca="false">IF(M765&lt;=7,"0-7 days",IF(M765&lt;=14,"8-14 days",IF(M765&lt;=21,"15-21 days","22+ days")))</f>
        <v>0-7 days</v>
      </c>
    </row>
    <row r="766" customFormat="false" ht="15" hidden="false" customHeight="false" outlineLevel="0" collapsed="false">
      <c r="A766" s="21" t="s">
        <v>832</v>
      </c>
      <c r="B766" s="21" t="s">
        <v>19</v>
      </c>
      <c r="C766" s="22" t="n">
        <v>43072</v>
      </c>
      <c r="D766" s="22" t="n">
        <v>43089</v>
      </c>
      <c r="E766" s="22" t="n">
        <v>43087</v>
      </c>
      <c r="F766" s="21" t="s">
        <v>44</v>
      </c>
      <c r="G766" s="23" t="n">
        <v>71.46</v>
      </c>
      <c r="H766" s="23" t="n">
        <v>12.91</v>
      </c>
      <c r="I766" s="21" t="s">
        <v>45</v>
      </c>
      <c r="J766" s="21" t="n">
        <v>2</v>
      </c>
      <c r="K766" s="21" t="s">
        <v>46</v>
      </c>
      <c r="L766" s="24" t="n">
        <f aca="false">DATE(YEAR(C766),MONTH(C766),1)</f>
        <v>43070</v>
      </c>
      <c r="M766" s="21" t="n">
        <f aca="false">D766-C766</f>
        <v>17</v>
      </c>
      <c r="N766" s="21" t="n">
        <f aca="false">MAX(0,D766-E766)</f>
        <v>2</v>
      </c>
      <c r="O766" s="21" t="n">
        <f aca="false">IF(D766&lt;=E766,1,0)</f>
        <v>0</v>
      </c>
      <c r="P766" s="23" t="n">
        <f aca="false">G766+H766</f>
        <v>84.37</v>
      </c>
      <c r="Q766" s="23" t="n">
        <f aca="false">G766*INDEX(Assumptions!$B$8:$B$16,MATCH(F766,Assumptions!$A$8:$A$16,0))</f>
        <v>42.876</v>
      </c>
      <c r="R766" s="23" t="n">
        <f aca="false">H766*Assumptions!$B$3</f>
        <v>7.746</v>
      </c>
      <c r="S766" s="23" t="n">
        <f aca="false">G766-Q766-R766</f>
        <v>20.838</v>
      </c>
      <c r="T766" s="21" t="str">
        <f aca="false">IF(M766&lt;=7,"0-7 days",IF(M766&lt;=14,"8-14 days",IF(M766&lt;=21,"15-21 days","22+ days")))</f>
        <v>15-21 days</v>
      </c>
    </row>
    <row r="767" customFormat="false" ht="15" hidden="false" customHeight="false" outlineLevel="0" collapsed="false">
      <c r="A767" s="21" t="s">
        <v>833</v>
      </c>
      <c r="B767" s="21" t="s">
        <v>134</v>
      </c>
      <c r="C767" s="22" t="n">
        <v>43073</v>
      </c>
      <c r="D767" s="22" t="n">
        <v>43083</v>
      </c>
      <c r="E767" s="22" t="n">
        <v>43099</v>
      </c>
      <c r="F767" s="21" t="s">
        <v>67</v>
      </c>
      <c r="G767" s="23" t="n">
        <v>139.91</v>
      </c>
      <c r="H767" s="23" t="n">
        <v>26.28</v>
      </c>
      <c r="I767" s="21" t="s">
        <v>45</v>
      </c>
      <c r="J767" s="21" t="n">
        <v>5</v>
      </c>
      <c r="K767" s="21" t="s">
        <v>46</v>
      </c>
      <c r="L767" s="24" t="n">
        <f aca="false">DATE(YEAR(C767),MONTH(C767),1)</f>
        <v>43070</v>
      </c>
      <c r="M767" s="21" t="n">
        <f aca="false">D767-C767</f>
        <v>10</v>
      </c>
      <c r="N767" s="21" t="n">
        <f aca="false">MAX(0,D767-E767)</f>
        <v>0</v>
      </c>
      <c r="O767" s="21" t="n">
        <f aca="false">IF(D767&lt;=E767,1,0)</f>
        <v>1</v>
      </c>
      <c r="P767" s="23" t="n">
        <f aca="false">G767+H767</f>
        <v>166.19</v>
      </c>
      <c r="Q767" s="23" t="n">
        <f aca="false">G767*INDEX(Assumptions!$B$8:$B$16,MATCH(F767,Assumptions!$A$8:$A$16,0))</f>
        <v>86.7442</v>
      </c>
      <c r="R767" s="23" t="n">
        <f aca="false">H767*Assumptions!$B$3</f>
        <v>15.768</v>
      </c>
      <c r="S767" s="23" t="n">
        <f aca="false">G767-Q767-R767</f>
        <v>37.3978</v>
      </c>
      <c r="T767" s="21" t="str">
        <f aca="false">IF(M767&lt;=7,"0-7 days",IF(M767&lt;=14,"8-14 days",IF(M767&lt;=21,"15-21 days","22+ days")))</f>
        <v>8-14 days</v>
      </c>
    </row>
    <row r="768" customFormat="false" ht="15" hidden="false" customHeight="false" outlineLevel="0" collapsed="false">
      <c r="A768" s="21" t="s">
        <v>834</v>
      </c>
      <c r="B768" s="21" t="s">
        <v>19</v>
      </c>
      <c r="C768" s="22" t="n">
        <v>43073</v>
      </c>
      <c r="D768" s="22" t="n">
        <v>43079</v>
      </c>
      <c r="E768" s="22" t="n">
        <v>43091</v>
      </c>
      <c r="F768" s="21" t="s">
        <v>79</v>
      </c>
      <c r="G768" s="23" t="n">
        <v>185.3</v>
      </c>
      <c r="H768" s="23" t="n">
        <v>23.92</v>
      </c>
      <c r="I768" s="21" t="s">
        <v>45</v>
      </c>
      <c r="J768" s="21" t="n">
        <v>5</v>
      </c>
      <c r="K768" s="21" t="s">
        <v>46</v>
      </c>
      <c r="L768" s="24" t="n">
        <f aca="false">DATE(YEAR(C768),MONTH(C768),1)</f>
        <v>43070</v>
      </c>
      <c r="M768" s="21" t="n">
        <f aca="false">D768-C768</f>
        <v>6</v>
      </c>
      <c r="N768" s="21" t="n">
        <f aca="false">MAX(0,D768-E768)</f>
        <v>0</v>
      </c>
      <c r="O768" s="21" t="n">
        <f aca="false">IF(D768&lt;=E768,1,0)</f>
        <v>1</v>
      </c>
      <c r="P768" s="23" t="n">
        <f aca="false">G768+H768</f>
        <v>209.22</v>
      </c>
      <c r="Q768" s="23" t="n">
        <f aca="false">G768*INDEX(Assumptions!$B$8:$B$16,MATCH(F768,Assumptions!$A$8:$A$16,0))</f>
        <v>129.71</v>
      </c>
      <c r="R768" s="23" t="n">
        <f aca="false">H768*Assumptions!$B$3</f>
        <v>14.352</v>
      </c>
      <c r="S768" s="23" t="n">
        <f aca="false">G768-Q768-R768</f>
        <v>41.238</v>
      </c>
      <c r="T768" s="21" t="str">
        <f aca="false">IF(M768&lt;=7,"0-7 days",IF(M768&lt;=14,"8-14 days",IF(M768&lt;=21,"15-21 days","22+ days")))</f>
        <v>0-7 days</v>
      </c>
    </row>
    <row r="769" customFormat="false" ht="15" hidden="false" customHeight="false" outlineLevel="0" collapsed="false">
      <c r="A769" s="21" t="s">
        <v>835</v>
      </c>
      <c r="B769" s="21" t="s">
        <v>62</v>
      </c>
      <c r="C769" s="22" t="n">
        <v>43073</v>
      </c>
      <c r="D769" s="22" t="n">
        <v>43081</v>
      </c>
      <c r="E769" s="22" t="n">
        <v>43094</v>
      </c>
      <c r="F769" s="21" t="s">
        <v>44</v>
      </c>
      <c r="G769" s="23" t="n">
        <v>24.36</v>
      </c>
      <c r="H769" s="23" t="n">
        <v>23.44</v>
      </c>
      <c r="I769" s="21" t="s">
        <v>60</v>
      </c>
      <c r="J769" s="21" t="n">
        <v>5</v>
      </c>
      <c r="K769" s="21" t="s">
        <v>46</v>
      </c>
      <c r="L769" s="24" t="n">
        <f aca="false">DATE(YEAR(C769),MONTH(C769),1)</f>
        <v>43070</v>
      </c>
      <c r="M769" s="21" t="n">
        <f aca="false">D769-C769</f>
        <v>8</v>
      </c>
      <c r="N769" s="21" t="n">
        <f aca="false">MAX(0,D769-E769)</f>
        <v>0</v>
      </c>
      <c r="O769" s="21" t="n">
        <f aca="false">IF(D769&lt;=E769,1,0)</f>
        <v>1</v>
      </c>
      <c r="P769" s="23" t="n">
        <f aca="false">G769+H769</f>
        <v>47.8</v>
      </c>
      <c r="Q769" s="23" t="n">
        <f aca="false">G769*INDEX(Assumptions!$B$8:$B$16,MATCH(F769,Assumptions!$A$8:$A$16,0))</f>
        <v>14.616</v>
      </c>
      <c r="R769" s="23" t="n">
        <f aca="false">H769*Assumptions!$B$3</f>
        <v>14.064</v>
      </c>
      <c r="S769" s="23" t="n">
        <f aca="false">G769-Q769-R769</f>
        <v>-4.32</v>
      </c>
      <c r="T769" s="21" t="str">
        <f aca="false">IF(M769&lt;=7,"0-7 days",IF(M769&lt;=14,"8-14 days",IF(M769&lt;=21,"15-21 days","22+ days")))</f>
        <v>8-14 days</v>
      </c>
    </row>
    <row r="770" customFormat="false" ht="15" hidden="false" customHeight="false" outlineLevel="0" collapsed="false">
      <c r="A770" s="21" t="s">
        <v>836</v>
      </c>
      <c r="B770" s="21" t="s">
        <v>62</v>
      </c>
      <c r="C770" s="22" t="n">
        <v>43073</v>
      </c>
      <c r="D770" s="22" t="n">
        <v>43082</v>
      </c>
      <c r="E770" s="22" t="n">
        <v>43096</v>
      </c>
      <c r="F770" s="21" t="s">
        <v>49</v>
      </c>
      <c r="G770" s="23" t="n">
        <v>72.35</v>
      </c>
      <c r="H770" s="23" t="n">
        <v>20.7</v>
      </c>
      <c r="I770" s="21" t="s">
        <v>45</v>
      </c>
      <c r="J770" s="21" t="n">
        <v>4</v>
      </c>
      <c r="K770" s="21" t="s">
        <v>46</v>
      </c>
      <c r="L770" s="24" t="n">
        <f aca="false">DATE(YEAR(C770),MONTH(C770),1)</f>
        <v>43070</v>
      </c>
      <c r="M770" s="21" t="n">
        <f aca="false">D770-C770</f>
        <v>9</v>
      </c>
      <c r="N770" s="21" t="n">
        <f aca="false">MAX(0,D770-E770)</f>
        <v>0</v>
      </c>
      <c r="O770" s="21" t="n">
        <f aca="false">IF(D770&lt;=E770,1,0)</f>
        <v>1</v>
      </c>
      <c r="P770" s="23" t="n">
        <f aca="false">G770+H770</f>
        <v>93.05</v>
      </c>
      <c r="Q770" s="23" t="n">
        <f aca="false">G770*INDEX(Assumptions!$B$8:$B$16,MATCH(F770,Assumptions!$A$8:$A$16,0))</f>
        <v>41.963</v>
      </c>
      <c r="R770" s="23" t="n">
        <f aca="false">H770*Assumptions!$B$3</f>
        <v>12.42</v>
      </c>
      <c r="S770" s="23" t="n">
        <f aca="false">G770-Q770-R770</f>
        <v>17.967</v>
      </c>
      <c r="T770" s="21" t="str">
        <f aca="false">IF(M770&lt;=7,"0-7 days",IF(M770&lt;=14,"8-14 days",IF(M770&lt;=21,"15-21 days","22+ days")))</f>
        <v>8-14 days</v>
      </c>
    </row>
    <row r="771" customFormat="false" ht="15" hidden="false" customHeight="false" outlineLevel="0" collapsed="false">
      <c r="A771" s="21" t="s">
        <v>837</v>
      </c>
      <c r="B771" s="21" t="s">
        <v>19</v>
      </c>
      <c r="C771" s="22" t="n">
        <v>43073</v>
      </c>
      <c r="D771" s="22" t="n">
        <v>43077</v>
      </c>
      <c r="E771" s="22" t="n">
        <v>43087</v>
      </c>
      <c r="F771" s="21" t="s">
        <v>67</v>
      </c>
      <c r="G771" s="23" t="n">
        <v>67.07</v>
      </c>
      <c r="H771" s="23" t="n">
        <v>16.24</v>
      </c>
      <c r="I771" s="21" t="s">
        <v>45</v>
      </c>
      <c r="J771" s="21" t="n">
        <v>4</v>
      </c>
      <c r="K771" s="21" t="s">
        <v>46</v>
      </c>
      <c r="L771" s="24" t="n">
        <f aca="false">DATE(YEAR(C771),MONTH(C771),1)</f>
        <v>43070</v>
      </c>
      <c r="M771" s="21" t="n">
        <f aca="false">D771-C771</f>
        <v>4</v>
      </c>
      <c r="N771" s="21" t="n">
        <f aca="false">MAX(0,D771-E771)</f>
        <v>0</v>
      </c>
      <c r="O771" s="21" t="n">
        <f aca="false">IF(D771&lt;=E771,1,0)</f>
        <v>1</v>
      </c>
      <c r="P771" s="23" t="n">
        <f aca="false">G771+H771</f>
        <v>83.31</v>
      </c>
      <c r="Q771" s="23" t="n">
        <f aca="false">G771*INDEX(Assumptions!$B$8:$B$16,MATCH(F771,Assumptions!$A$8:$A$16,0))</f>
        <v>41.5834</v>
      </c>
      <c r="R771" s="23" t="n">
        <f aca="false">H771*Assumptions!$B$3</f>
        <v>9.744</v>
      </c>
      <c r="S771" s="23" t="n">
        <f aca="false">G771-Q771-R771</f>
        <v>15.7426</v>
      </c>
      <c r="T771" s="21" t="str">
        <f aca="false">IF(M771&lt;=7,"0-7 days",IF(M771&lt;=14,"8-14 days",IF(M771&lt;=21,"15-21 days","22+ days")))</f>
        <v>0-7 days</v>
      </c>
    </row>
    <row r="772" customFormat="false" ht="15" hidden="false" customHeight="false" outlineLevel="0" collapsed="false">
      <c r="A772" s="21" t="s">
        <v>838</v>
      </c>
      <c r="B772" s="21" t="s">
        <v>19</v>
      </c>
      <c r="C772" s="22" t="n">
        <v>43074</v>
      </c>
      <c r="D772" s="22" t="n">
        <v>43093</v>
      </c>
      <c r="E772" s="22" t="n">
        <v>43088</v>
      </c>
      <c r="F772" s="21" t="s">
        <v>44</v>
      </c>
      <c r="G772" s="23" t="n">
        <v>57.47</v>
      </c>
      <c r="H772" s="23" t="n">
        <v>18.45</v>
      </c>
      <c r="I772" s="21" t="s">
        <v>45</v>
      </c>
      <c r="J772" s="21" t="n">
        <v>4</v>
      </c>
      <c r="K772" s="21" t="s">
        <v>46</v>
      </c>
      <c r="L772" s="24" t="n">
        <f aca="false">DATE(YEAR(C772),MONTH(C772),1)</f>
        <v>43070</v>
      </c>
      <c r="M772" s="21" t="n">
        <f aca="false">D772-C772</f>
        <v>19</v>
      </c>
      <c r="N772" s="21" t="n">
        <f aca="false">MAX(0,D772-E772)</f>
        <v>5</v>
      </c>
      <c r="O772" s="21" t="n">
        <f aca="false">IF(D772&lt;=E772,1,0)</f>
        <v>0</v>
      </c>
      <c r="P772" s="23" t="n">
        <f aca="false">G772+H772</f>
        <v>75.92</v>
      </c>
      <c r="Q772" s="23" t="n">
        <f aca="false">G772*INDEX(Assumptions!$B$8:$B$16,MATCH(F772,Assumptions!$A$8:$A$16,0))</f>
        <v>34.482</v>
      </c>
      <c r="R772" s="23" t="n">
        <f aca="false">H772*Assumptions!$B$3</f>
        <v>11.07</v>
      </c>
      <c r="S772" s="23" t="n">
        <f aca="false">G772-Q772-R772</f>
        <v>11.918</v>
      </c>
      <c r="T772" s="21" t="str">
        <f aca="false">IF(M772&lt;=7,"0-7 days",IF(M772&lt;=14,"8-14 days",IF(M772&lt;=21,"15-21 days","22+ days")))</f>
        <v>15-21 days</v>
      </c>
    </row>
    <row r="773" customFormat="false" ht="15" hidden="false" customHeight="false" outlineLevel="0" collapsed="false">
      <c r="A773" s="21" t="s">
        <v>839</v>
      </c>
      <c r="B773" s="21" t="s">
        <v>103</v>
      </c>
      <c r="C773" s="22" t="n">
        <v>43074</v>
      </c>
      <c r="D773" s="22" t="n">
        <v>43085</v>
      </c>
      <c r="E773" s="22" t="n">
        <v>43096</v>
      </c>
      <c r="F773" s="21" t="s">
        <v>64</v>
      </c>
      <c r="G773" s="23" t="n">
        <v>152.34</v>
      </c>
      <c r="H773" s="23" t="n">
        <v>25.6</v>
      </c>
      <c r="I773" s="21" t="s">
        <v>50</v>
      </c>
      <c r="J773" s="21" t="n">
        <v>5</v>
      </c>
      <c r="K773" s="21" t="s">
        <v>46</v>
      </c>
      <c r="L773" s="24" t="n">
        <f aca="false">DATE(YEAR(C773),MONTH(C773),1)</f>
        <v>43070</v>
      </c>
      <c r="M773" s="21" t="n">
        <f aca="false">D773-C773</f>
        <v>11</v>
      </c>
      <c r="N773" s="21" t="n">
        <f aca="false">MAX(0,D773-E773)</f>
        <v>0</v>
      </c>
      <c r="O773" s="21" t="n">
        <f aca="false">IF(D773&lt;=E773,1,0)</f>
        <v>1</v>
      </c>
      <c r="P773" s="23" t="n">
        <f aca="false">G773+H773</f>
        <v>177.94</v>
      </c>
      <c r="Q773" s="23" t="n">
        <f aca="false">G773*INDEX(Assumptions!$B$8:$B$16,MATCH(F773,Assumptions!$A$8:$A$16,0))</f>
        <v>100.5444</v>
      </c>
      <c r="R773" s="23" t="n">
        <f aca="false">H773*Assumptions!$B$3</f>
        <v>15.36</v>
      </c>
      <c r="S773" s="23" t="n">
        <f aca="false">G773-Q773-R773</f>
        <v>36.4356</v>
      </c>
      <c r="T773" s="21" t="str">
        <f aca="false">IF(M773&lt;=7,"0-7 days",IF(M773&lt;=14,"8-14 days",IF(M773&lt;=21,"15-21 days","22+ days")))</f>
        <v>8-14 days</v>
      </c>
    </row>
    <row r="774" customFormat="false" ht="15" hidden="false" customHeight="false" outlineLevel="0" collapsed="false">
      <c r="A774" s="21" t="s">
        <v>840</v>
      </c>
      <c r="B774" s="21" t="s">
        <v>19</v>
      </c>
      <c r="C774" s="22" t="n">
        <v>43075</v>
      </c>
      <c r="D774" s="22" t="n">
        <v>43084</v>
      </c>
      <c r="E774" s="22" t="n">
        <v>43087</v>
      </c>
      <c r="F774" s="21" t="s">
        <v>67</v>
      </c>
      <c r="G774" s="23" t="n">
        <v>28.83</v>
      </c>
      <c r="H774" s="23" t="n">
        <v>16.54</v>
      </c>
      <c r="I774" s="21" t="s">
        <v>60</v>
      </c>
      <c r="J774" s="21" t="n">
        <v>4</v>
      </c>
      <c r="K774" s="21" t="s">
        <v>46</v>
      </c>
      <c r="L774" s="24" t="n">
        <f aca="false">DATE(YEAR(C774),MONTH(C774),1)</f>
        <v>43070</v>
      </c>
      <c r="M774" s="21" t="n">
        <f aca="false">D774-C774</f>
        <v>9</v>
      </c>
      <c r="N774" s="21" t="n">
        <f aca="false">MAX(0,D774-E774)</f>
        <v>0</v>
      </c>
      <c r="O774" s="21" t="n">
        <f aca="false">IF(D774&lt;=E774,1,0)</f>
        <v>1</v>
      </c>
      <c r="P774" s="23" t="n">
        <f aca="false">G774+H774</f>
        <v>45.37</v>
      </c>
      <c r="Q774" s="23" t="n">
        <f aca="false">G774*INDEX(Assumptions!$B$8:$B$16,MATCH(F774,Assumptions!$A$8:$A$16,0))</f>
        <v>17.8746</v>
      </c>
      <c r="R774" s="23" t="n">
        <f aca="false">H774*Assumptions!$B$3</f>
        <v>9.924</v>
      </c>
      <c r="S774" s="23" t="n">
        <f aca="false">G774-Q774-R774</f>
        <v>1.0314</v>
      </c>
      <c r="T774" s="21" t="str">
        <f aca="false">IF(M774&lt;=7,"0-7 days",IF(M774&lt;=14,"8-14 days",IF(M774&lt;=21,"15-21 days","22+ days")))</f>
        <v>8-14 days</v>
      </c>
    </row>
    <row r="775" customFormat="false" ht="15" hidden="false" customHeight="false" outlineLevel="0" collapsed="false">
      <c r="A775" s="21" t="s">
        <v>841</v>
      </c>
      <c r="B775" s="21" t="s">
        <v>55</v>
      </c>
      <c r="C775" s="22" t="n">
        <v>43076</v>
      </c>
      <c r="D775" s="22" t="n">
        <v>43097</v>
      </c>
      <c r="E775" s="22" t="n">
        <v>43101</v>
      </c>
      <c r="F775" s="21" t="s">
        <v>67</v>
      </c>
      <c r="G775" s="23" t="n">
        <v>158.08</v>
      </c>
      <c r="H775" s="23" t="n">
        <v>24.87</v>
      </c>
      <c r="I775" s="21" t="s">
        <v>45</v>
      </c>
      <c r="J775" s="21" t="n">
        <v>2</v>
      </c>
      <c r="K775" s="21" t="s">
        <v>46</v>
      </c>
      <c r="L775" s="24" t="n">
        <f aca="false">DATE(YEAR(C775),MONTH(C775),1)</f>
        <v>43070</v>
      </c>
      <c r="M775" s="21" t="n">
        <f aca="false">D775-C775</f>
        <v>21</v>
      </c>
      <c r="N775" s="21" t="n">
        <f aca="false">MAX(0,D775-E775)</f>
        <v>0</v>
      </c>
      <c r="O775" s="21" t="n">
        <f aca="false">IF(D775&lt;=E775,1,0)</f>
        <v>1</v>
      </c>
      <c r="P775" s="23" t="n">
        <f aca="false">G775+H775</f>
        <v>182.95</v>
      </c>
      <c r="Q775" s="23" t="n">
        <f aca="false">G775*INDEX(Assumptions!$B$8:$B$16,MATCH(F775,Assumptions!$A$8:$A$16,0))</f>
        <v>98.0096</v>
      </c>
      <c r="R775" s="23" t="n">
        <f aca="false">H775*Assumptions!$B$3</f>
        <v>14.922</v>
      </c>
      <c r="S775" s="23" t="n">
        <f aca="false">G775-Q775-R775</f>
        <v>45.1484</v>
      </c>
      <c r="T775" s="21" t="str">
        <f aca="false">IF(M775&lt;=7,"0-7 days",IF(M775&lt;=14,"8-14 days",IF(M775&lt;=21,"15-21 days","22+ days")))</f>
        <v>15-21 days</v>
      </c>
    </row>
    <row r="776" customFormat="false" ht="15" hidden="false" customHeight="false" outlineLevel="0" collapsed="false">
      <c r="A776" s="21" t="s">
        <v>842</v>
      </c>
      <c r="B776" s="21" t="s">
        <v>48</v>
      </c>
      <c r="C776" s="22" t="n">
        <v>43076</v>
      </c>
      <c r="D776" s="22" t="n">
        <v>43100</v>
      </c>
      <c r="E776" s="22" t="n">
        <v>43098</v>
      </c>
      <c r="F776" s="21" t="s">
        <v>67</v>
      </c>
      <c r="G776" s="23" t="n">
        <v>118.78</v>
      </c>
      <c r="H776" s="23" t="n">
        <v>28.52</v>
      </c>
      <c r="I776" s="21" t="s">
        <v>45</v>
      </c>
      <c r="J776" s="21" t="n">
        <v>3</v>
      </c>
      <c r="K776" s="21" t="s">
        <v>46</v>
      </c>
      <c r="L776" s="24" t="n">
        <f aca="false">DATE(YEAR(C776),MONTH(C776),1)</f>
        <v>43070</v>
      </c>
      <c r="M776" s="21" t="n">
        <f aca="false">D776-C776</f>
        <v>24</v>
      </c>
      <c r="N776" s="21" t="n">
        <f aca="false">MAX(0,D776-E776)</f>
        <v>2</v>
      </c>
      <c r="O776" s="21" t="n">
        <f aca="false">IF(D776&lt;=E776,1,0)</f>
        <v>0</v>
      </c>
      <c r="P776" s="23" t="n">
        <f aca="false">G776+H776</f>
        <v>147.3</v>
      </c>
      <c r="Q776" s="23" t="n">
        <f aca="false">G776*INDEX(Assumptions!$B$8:$B$16,MATCH(F776,Assumptions!$A$8:$A$16,0))</f>
        <v>73.6436</v>
      </c>
      <c r="R776" s="23" t="n">
        <f aca="false">H776*Assumptions!$B$3</f>
        <v>17.112</v>
      </c>
      <c r="S776" s="23" t="n">
        <f aca="false">G776-Q776-R776</f>
        <v>28.0244</v>
      </c>
      <c r="T776" s="21" t="str">
        <f aca="false">IF(M776&lt;=7,"0-7 days",IF(M776&lt;=14,"8-14 days",IF(M776&lt;=21,"15-21 days","22+ days")))</f>
        <v>22+ days</v>
      </c>
    </row>
    <row r="777" customFormat="false" ht="15" hidden="false" customHeight="false" outlineLevel="0" collapsed="false">
      <c r="A777" s="21" t="s">
        <v>843</v>
      </c>
      <c r="B777" s="21" t="s">
        <v>55</v>
      </c>
      <c r="C777" s="22" t="n">
        <v>43076</v>
      </c>
      <c r="D777" s="22" t="n">
        <v>43093</v>
      </c>
      <c r="E777" s="22" t="n">
        <v>43101</v>
      </c>
      <c r="F777" s="21" t="s">
        <v>44</v>
      </c>
      <c r="G777" s="23" t="n">
        <v>40.96</v>
      </c>
      <c r="H777" s="23" t="n">
        <v>17.94</v>
      </c>
      <c r="I777" s="21" t="s">
        <v>45</v>
      </c>
      <c r="J777" s="21" t="n">
        <v>4</v>
      </c>
      <c r="K777" s="21" t="s">
        <v>46</v>
      </c>
      <c r="L777" s="24" t="n">
        <f aca="false">DATE(YEAR(C777),MONTH(C777),1)</f>
        <v>43070</v>
      </c>
      <c r="M777" s="21" t="n">
        <f aca="false">D777-C777</f>
        <v>17</v>
      </c>
      <c r="N777" s="21" t="n">
        <f aca="false">MAX(0,D777-E777)</f>
        <v>0</v>
      </c>
      <c r="O777" s="21" t="n">
        <f aca="false">IF(D777&lt;=E777,1,0)</f>
        <v>1</v>
      </c>
      <c r="P777" s="23" t="n">
        <f aca="false">G777+H777</f>
        <v>58.9</v>
      </c>
      <c r="Q777" s="23" t="n">
        <f aca="false">G777*INDEX(Assumptions!$B$8:$B$16,MATCH(F777,Assumptions!$A$8:$A$16,0))</f>
        <v>24.576</v>
      </c>
      <c r="R777" s="23" t="n">
        <f aca="false">H777*Assumptions!$B$3</f>
        <v>10.764</v>
      </c>
      <c r="S777" s="23" t="n">
        <f aca="false">G777-Q777-R777</f>
        <v>5.62</v>
      </c>
      <c r="T777" s="21" t="str">
        <f aca="false">IF(M777&lt;=7,"0-7 days",IF(M777&lt;=14,"8-14 days",IF(M777&lt;=21,"15-21 days","22+ days")))</f>
        <v>15-21 days</v>
      </c>
    </row>
    <row r="778" customFormat="false" ht="15" hidden="false" customHeight="false" outlineLevel="0" collapsed="false">
      <c r="A778" s="21" t="s">
        <v>844</v>
      </c>
      <c r="B778" s="21" t="s">
        <v>52</v>
      </c>
      <c r="C778" s="22" t="n">
        <v>43076</v>
      </c>
      <c r="D778" s="22" t="n">
        <v>43085</v>
      </c>
      <c r="E778" s="22" t="n">
        <v>43097</v>
      </c>
      <c r="F778" s="21" t="s">
        <v>57</v>
      </c>
      <c r="G778" s="23" t="n">
        <v>88.71</v>
      </c>
      <c r="H778" s="23" t="n">
        <v>19.17</v>
      </c>
      <c r="I778" s="21" t="s">
        <v>45</v>
      </c>
      <c r="J778" s="21" t="n">
        <v>5</v>
      </c>
      <c r="K778" s="21" t="s">
        <v>46</v>
      </c>
      <c r="L778" s="24" t="n">
        <f aca="false">DATE(YEAR(C778),MONTH(C778),1)</f>
        <v>43070</v>
      </c>
      <c r="M778" s="21" t="n">
        <f aca="false">D778-C778</f>
        <v>9</v>
      </c>
      <c r="N778" s="21" t="n">
        <f aca="false">MAX(0,D778-E778)</f>
        <v>0</v>
      </c>
      <c r="O778" s="21" t="n">
        <f aca="false">IF(D778&lt;=E778,1,0)</f>
        <v>1</v>
      </c>
      <c r="P778" s="23" t="n">
        <f aca="false">G778+H778</f>
        <v>107.88</v>
      </c>
      <c r="Q778" s="23" t="n">
        <f aca="false">G778*INDEX(Assumptions!$B$8:$B$16,MATCH(F778,Assumptions!$A$8:$A$16,0))</f>
        <v>60.3228</v>
      </c>
      <c r="R778" s="23" t="n">
        <f aca="false">H778*Assumptions!$B$3</f>
        <v>11.502</v>
      </c>
      <c r="S778" s="23" t="n">
        <f aca="false">G778-Q778-R778</f>
        <v>16.8852</v>
      </c>
      <c r="T778" s="21" t="str">
        <f aca="false">IF(M778&lt;=7,"0-7 days",IF(M778&lt;=14,"8-14 days",IF(M778&lt;=21,"15-21 days","22+ days")))</f>
        <v>8-14 days</v>
      </c>
    </row>
    <row r="779" customFormat="false" ht="15" hidden="false" customHeight="false" outlineLevel="0" collapsed="false">
      <c r="A779" s="21" t="s">
        <v>845</v>
      </c>
      <c r="B779" s="21" t="s">
        <v>62</v>
      </c>
      <c r="C779" s="22" t="n">
        <v>43076</v>
      </c>
      <c r="D779" s="22" t="n">
        <v>43094</v>
      </c>
      <c r="E779" s="22" t="n">
        <v>43101</v>
      </c>
      <c r="F779" s="21" t="s">
        <v>57</v>
      </c>
      <c r="G779" s="23" t="n">
        <v>112.64</v>
      </c>
      <c r="H779" s="23" t="n">
        <v>29.06</v>
      </c>
      <c r="I779" s="21" t="s">
        <v>45</v>
      </c>
      <c r="J779" s="21" t="n">
        <v>4</v>
      </c>
      <c r="K779" s="21" t="s">
        <v>46</v>
      </c>
      <c r="L779" s="24" t="n">
        <f aca="false">DATE(YEAR(C779),MONTH(C779),1)</f>
        <v>43070</v>
      </c>
      <c r="M779" s="21" t="n">
        <f aca="false">D779-C779</f>
        <v>18</v>
      </c>
      <c r="N779" s="21" t="n">
        <f aca="false">MAX(0,D779-E779)</f>
        <v>0</v>
      </c>
      <c r="O779" s="21" t="n">
        <f aca="false">IF(D779&lt;=E779,1,0)</f>
        <v>1</v>
      </c>
      <c r="P779" s="23" t="n">
        <f aca="false">G779+H779</f>
        <v>141.7</v>
      </c>
      <c r="Q779" s="23" t="n">
        <f aca="false">G779*INDEX(Assumptions!$B$8:$B$16,MATCH(F779,Assumptions!$A$8:$A$16,0))</f>
        <v>76.5952</v>
      </c>
      <c r="R779" s="23" t="n">
        <f aca="false">H779*Assumptions!$B$3</f>
        <v>17.436</v>
      </c>
      <c r="S779" s="23" t="n">
        <f aca="false">G779-Q779-R779</f>
        <v>18.6088</v>
      </c>
      <c r="T779" s="21" t="str">
        <f aca="false">IF(M779&lt;=7,"0-7 days",IF(M779&lt;=14,"8-14 days",IF(M779&lt;=21,"15-21 days","22+ days")))</f>
        <v>15-21 days</v>
      </c>
    </row>
    <row r="780" customFormat="false" ht="15" hidden="false" customHeight="false" outlineLevel="0" collapsed="false">
      <c r="A780" s="21" t="s">
        <v>846</v>
      </c>
      <c r="B780" s="21" t="s">
        <v>103</v>
      </c>
      <c r="C780" s="22" t="n">
        <v>43077</v>
      </c>
      <c r="D780" s="22" t="n">
        <v>43090</v>
      </c>
      <c r="E780" s="22" t="n">
        <v>43100</v>
      </c>
      <c r="F780" s="21" t="s">
        <v>49</v>
      </c>
      <c r="G780" s="23" t="n">
        <v>155.26</v>
      </c>
      <c r="H780" s="23" t="n">
        <v>23.46</v>
      </c>
      <c r="I780" s="21" t="s">
        <v>45</v>
      </c>
      <c r="J780" s="21" t="n">
        <v>4</v>
      </c>
      <c r="K780" s="21" t="s">
        <v>46</v>
      </c>
      <c r="L780" s="24" t="n">
        <f aca="false">DATE(YEAR(C780),MONTH(C780),1)</f>
        <v>43070</v>
      </c>
      <c r="M780" s="21" t="n">
        <f aca="false">D780-C780</f>
        <v>13</v>
      </c>
      <c r="N780" s="21" t="n">
        <f aca="false">MAX(0,D780-E780)</f>
        <v>0</v>
      </c>
      <c r="O780" s="21" t="n">
        <f aca="false">IF(D780&lt;=E780,1,0)</f>
        <v>1</v>
      </c>
      <c r="P780" s="23" t="n">
        <f aca="false">G780+H780</f>
        <v>178.72</v>
      </c>
      <c r="Q780" s="23" t="n">
        <f aca="false">G780*INDEX(Assumptions!$B$8:$B$16,MATCH(F780,Assumptions!$A$8:$A$16,0))</f>
        <v>90.0508</v>
      </c>
      <c r="R780" s="23" t="n">
        <f aca="false">H780*Assumptions!$B$3</f>
        <v>14.076</v>
      </c>
      <c r="S780" s="23" t="n">
        <f aca="false">G780-Q780-R780</f>
        <v>51.1332</v>
      </c>
      <c r="T780" s="21" t="str">
        <f aca="false">IF(M780&lt;=7,"0-7 days",IF(M780&lt;=14,"8-14 days",IF(M780&lt;=21,"15-21 days","22+ days")))</f>
        <v>8-14 days</v>
      </c>
    </row>
    <row r="781" customFormat="false" ht="15" hidden="false" customHeight="false" outlineLevel="0" collapsed="false">
      <c r="A781" s="21" t="s">
        <v>847</v>
      </c>
      <c r="B781" s="21" t="s">
        <v>48</v>
      </c>
      <c r="C781" s="22" t="n">
        <v>43077</v>
      </c>
      <c r="D781" s="22" t="n">
        <v>43090</v>
      </c>
      <c r="E781" s="22" t="n">
        <v>43097</v>
      </c>
      <c r="F781" s="21" t="s">
        <v>53</v>
      </c>
      <c r="G781" s="23" t="n">
        <v>106.13</v>
      </c>
      <c r="H781" s="23" t="n">
        <v>21.6</v>
      </c>
      <c r="I781" s="21" t="s">
        <v>45</v>
      </c>
      <c r="J781" s="21" t="n">
        <v>5</v>
      </c>
      <c r="K781" s="21" t="s">
        <v>46</v>
      </c>
      <c r="L781" s="24" t="n">
        <f aca="false">DATE(YEAR(C781),MONTH(C781),1)</f>
        <v>43070</v>
      </c>
      <c r="M781" s="21" t="n">
        <f aca="false">D781-C781</f>
        <v>13</v>
      </c>
      <c r="N781" s="21" t="n">
        <f aca="false">MAX(0,D781-E781)</f>
        <v>0</v>
      </c>
      <c r="O781" s="21" t="n">
        <f aca="false">IF(D781&lt;=E781,1,0)</f>
        <v>1</v>
      </c>
      <c r="P781" s="23" t="n">
        <f aca="false">G781+H781</f>
        <v>127.73</v>
      </c>
      <c r="Q781" s="23" t="n">
        <f aca="false">G781*INDEX(Assumptions!$B$8:$B$16,MATCH(F781,Assumptions!$A$8:$A$16,0))</f>
        <v>78.5362</v>
      </c>
      <c r="R781" s="23" t="n">
        <f aca="false">H781*Assumptions!$B$3</f>
        <v>12.96</v>
      </c>
      <c r="S781" s="23" t="n">
        <f aca="false">G781-Q781-R781</f>
        <v>14.6338</v>
      </c>
      <c r="T781" s="21" t="str">
        <f aca="false">IF(M781&lt;=7,"0-7 days",IF(M781&lt;=14,"8-14 days",IF(M781&lt;=21,"15-21 days","22+ days")))</f>
        <v>8-14 days</v>
      </c>
    </row>
    <row r="782" customFormat="false" ht="15" hidden="false" customHeight="false" outlineLevel="0" collapsed="false">
      <c r="A782" s="21" t="s">
        <v>848</v>
      </c>
      <c r="B782" s="21" t="s">
        <v>19</v>
      </c>
      <c r="C782" s="22" t="n">
        <v>43077</v>
      </c>
      <c r="D782" s="22" t="n">
        <v>43082</v>
      </c>
      <c r="E782" s="22" t="n">
        <v>43092</v>
      </c>
      <c r="F782" s="21" t="s">
        <v>49</v>
      </c>
      <c r="G782" s="23" t="n">
        <v>34.32</v>
      </c>
      <c r="H782" s="23" t="n">
        <v>11.36</v>
      </c>
      <c r="I782" s="21" t="s">
        <v>60</v>
      </c>
      <c r="J782" s="21" t="n">
        <v>5</v>
      </c>
      <c r="K782" s="21" t="s">
        <v>46</v>
      </c>
      <c r="L782" s="24" t="n">
        <f aca="false">DATE(YEAR(C782),MONTH(C782),1)</f>
        <v>43070</v>
      </c>
      <c r="M782" s="21" t="n">
        <f aca="false">D782-C782</f>
        <v>5</v>
      </c>
      <c r="N782" s="21" t="n">
        <f aca="false">MAX(0,D782-E782)</f>
        <v>0</v>
      </c>
      <c r="O782" s="21" t="n">
        <f aca="false">IF(D782&lt;=E782,1,0)</f>
        <v>1</v>
      </c>
      <c r="P782" s="23" t="n">
        <f aca="false">G782+H782</f>
        <v>45.68</v>
      </c>
      <c r="Q782" s="23" t="n">
        <f aca="false">G782*INDEX(Assumptions!$B$8:$B$16,MATCH(F782,Assumptions!$A$8:$A$16,0))</f>
        <v>19.9056</v>
      </c>
      <c r="R782" s="23" t="n">
        <f aca="false">H782*Assumptions!$B$3</f>
        <v>6.816</v>
      </c>
      <c r="S782" s="23" t="n">
        <f aca="false">G782-Q782-R782</f>
        <v>7.5984</v>
      </c>
      <c r="T782" s="21" t="str">
        <f aca="false">IF(M782&lt;=7,"0-7 days",IF(M782&lt;=14,"8-14 days",IF(M782&lt;=21,"15-21 days","22+ days")))</f>
        <v>0-7 days</v>
      </c>
    </row>
    <row r="783" customFormat="false" ht="15" hidden="false" customHeight="false" outlineLevel="0" collapsed="false">
      <c r="A783" s="21" t="s">
        <v>849</v>
      </c>
      <c r="B783" s="21" t="s">
        <v>19</v>
      </c>
      <c r="C783" s="22" t="n">
        <v>43077</v>
      </c>
      <c r="D783" s="22" t="n">
        <v>43086</v>
      </c>
      <c r="E783" s="22" t="n">
        <v>43094</v>
      </c>
      <c r="F783" s="21" t="s">
        <v>64</v>
      </c>
      <c r="G783" s="23" t="n">
        <v>110.9</v>
      </c>
      <c r="H783" s="23" t="n">
        <v>20.24</v>
      </c>
      <c r="I783" s="21" t="s">
        <v>45</v>
      </c>
      <c r="J783" s="21" t="n">
        <v>4</v>
      </c>
      <c r="K783" s="21" t="s">
        <v>46</v>
      </c>
      <c r="L783" s="24" t="n">
        <f aca="false">DATE(YEAR(C783),MONTH(C783),1)</f>
        <v>43070</v>
      </c>
      <c r="M783" s="21" t="n">
        <f aca="false">D783-C783</f>
        <v>9</v>
      </c>
      <c r="N783" s="21" t="n">
        <f aca="false">MAX(0,D783-E783)</f>
        <v>0</v>
      </c>
      <c r="O783" s="21" t="n">
        <f aca="false">IF(D783&lt;=E783,1,0)</f>
        <v>1</v>
      </c>
      <c r="P783" s="23" t="n">
        <f aca="false">G783+H783</f>
        <v>131.14</v>
      </c>
      <c r="Q783" s="23" t="n">
        <f aca="false">G783*INDEX(Assumptions!$B$8:$B$16,MATCH(F783,Assumptions!$A$8:$A$16,0))</f>
        <v>73.194</v>
      </c>
      <c r="R783" s="23" t="n">
        <f aca="false">H783*Assumptions!$B$3</f>
        <v>12.144</v>
      </c>
      <c r="S783" s="23" t="n">
        <f aca="false">G783-Q783-R783</f>
        <v>25.562</v>
      </c>
      <c r="T783" s="21" t="str">
        <f aca="false">IF(M783&lt;=7,"0-7 days",IF(M783&lt;=14,"8-14 days",IF(M783&lt;=21,"15-21 days","22+ days")))</f>
        <v>8-14 days</v>
      </c>
    </row>
    <row r="784" customFormat="false" ht="15" hidden="false" customHeight="false" outlineLevel="0" collapsed="false">
      <c r="A784" s="21" t="s">
        <v>850</v>
      </c>
      <c r="B784" s="21" t="s">
        <v>19</v>
      </c>
      <c r="C784" s="22" t="n">
        <v>43077</v>
      </c>
      <c r="D784" s="22" t="n">
        <v>43085</v>
      </c>
      <c r="E784" s="22" t="n">
        <v>43093</v>
      </c>
      <c r="F784" s="21" t="s">
        <v>57</v>
      </c>
      <c r="G784" s="23" t="n">
        <v>74.75</v>
      </c>
      <c r="H784" s="23" t="n">
        <v>18.34</v>
      </c>
      <c r="I784" s="21" t="s">
        <v>45</v>
      </c>
      <c r="J784" s="21" t="n">
        <v>5</v>
      </c>
      <c r="K784" s="21" t="s">
        <v>46</v>
      </c>
      <c r="L784" s="24" t="n">
        <f aca="false">DATE(YEAR(C784),MONTH(C784),1)</f>
        <v>43070</v>
      </c>
      <c r="M784" s="21" t="n">
        <f aca="false">D784-C784</f>
        <v>8</v>
      </c>
      <c r="N784" s="21" t="n">
        <f aca="false">MAX(0,D784-E784)</f>
        <v>0</v>
      </c>
      <c r="O784" s="21" t="n">
        <f aca="false">IF(D784&lt;=E784,1,0)</f>
        <v>1</v>
      </c>
      <c r="P784" s="23" t="n">
        <f aca="false">G784+H784</f>
        <v>93.09</v>
      </c>
      <c r="Q784" s="23" t="n">
        <f aca="false">G784*INDEX(Assumptions!$B$8:$B$16,MATCH(F784,Assumptions!$A$8:$A$16,0))</f>
        <v>50.83</v>
      </c>
      <c r="R784" s="23" t="n">
        <f aca="false">H784*Assumptions!$B$3</f>
        <v>11.004</v>
      </c>
      <c r="S784" s="23" t="n">
        <f aca="false">G784-Q784-R784</f>
        <v>12.916</v>
      </c>
      <c r="T784" s="21" t="str">
        <f aca="false">IF(M784&lt;=7,"0-7 days",IF(M784&lt;=14,"8-14 days",IF(M784&lt;=21,"15-21 days","22+ days")))</f>
        <v>8-14 days</v>
      </c>
    </row>
    <row r="785" customFormat="false" ht="15" hidden="false" customHeight="false" outlineLevel="0" collapsed="false">
      <c r="A785" s="21" t="s">
        <v>851</v>
      </c>
      <c r="B785" s="21" t="s">
        <v>55</v>
      </c>
      <c r="C785" s="22" t="n">
        <v>43078</v>
      </c>
      <c r="D785" s="22" t="n">
        <v>43101</v>
      </c>
      <c r="E785" s="22" t="n">
        <v>43106</v>
      </c>
      <c r="F785" s="21" t="s">
        <v>59</v>
      </c>
      <c r="G785" s="23" t="n">
        <v>90.7</v>
      </c>
      <c r="H785" s="23" t="n">
        <v>21.66</v>
      </c>
      <c r="I785" s="21" t="s">
        <v>45</v>
      </c>
      <c r="J785" s="21" t="n">
        <v>3</v>
      </c>
      <c r="K785" s="21" t="s">
        <v>46</v>
      </c>
      <c r="L785" s="24" t="n">
        <f aca="false">DATE(YEAR(C785),MONTH(C785),1)</f>
        <v>43070</v>
      </c>
      <c r="M785" s="21" t="n">
        <f aca="false">D785-C785</f>
        <v>23</v>
      </c>
      <c r="N785" s="21" t="n">
        <f aca="false">MAX(0,D785-E785)</f>
        <v>0</v>
      </c>
      <c r="O785" s="21" t="n">
        <f aca="false">IF(D785&lt;=E785,1,0)</f>
        <v>1</v>
      </c>
      <c r="P785" s="23" t="n">
        <f aca="false">G785+H785</f>
        <v>112.36</v>
      </c>
      <c r="Q785" s="23" t="n">
        <f aca="false">G785*INDEX(Assumptions!$B$8:$B$16,MATCH(F785,Assumptions!$A$8:$A$16,0))</f>
        <v>58.048</v>
      </c>
      <c r="R785" s="23" t="n">
        <f aca="false">H785*Assumptions!$B$3</f>
        <v>12.996</v>
      </c>
      <c r="S785" s="23" t="n">
        <f aca="false">G785-Q785-R785</f>
        <v>19.656</v>
      </c>
      <c r="T785" s="21" t="str">
        <f aca="false">IF(M785&lt;=7,"0-7 days",IF(M785&lt;=14,"8-14 days",IF(M785&lt;=21,"15-21 days","22+ days")))</f>
        <v>22+ days</v>
      </c>
    </row>
    <row r="786" customFormat="false" ht="15" hidden="false" customHeight="false" outlineLevel="0" collapsed="false">
      <c r="A786" s="21" t="s">
        <v>852</v>
      </c>
      <c r="B786" s="21" t="s">
        <v>19</v>
      </c>
      <c r="C786" s="22" t="n">
        <v>43078</v>
      </c>
      <c r="D786" s="22" t="n">
        <v>43082</v>
      </c>
      <c r="E786" s="22" t="n">
        <v>43090</v>
      </c>
      <c r="F786" s="21" t="s">
        <v>53</v>
      </c>
      <c r="G786" s="23" t="n">
        <v>141.36</v>
      </c>
      <c r="H786" s="23" t="n">
        <v>20.14</v>
      </c>
      <c r="I786" s="21" t="s">
        <v>45</v>
      </c>
      <c r="J786" s="21" t="n">
        <v>4</v>
      </c>
      <c r="K786" s="21" t="s">
        <v>46</v>
      </c>
      <c r="L786" s="24" t="n">
        <f aca="false">DATE(YEAR(C786),MONTH(C786),1)</f>
        <v>43070</v>
      </c>
      <c r="M786" s="21" t="n">
        <f aca="false">D786-C786</f>
        <v>4</v>
      </c>
      <c r="N786" s="21" t="n">
        <f aca="false">MAX(0,D786-E786)</f>
        <v>0</v>
      </c>
      <c r="O786" s="21" t="n">
        <f aca="false">IF(D786&lt;=E786,1,0)</f>
        <v>1</v>
      </c>
      <c r="P786" s="23" t="n">
        <f aca="false">G786+H786</f>
        <v>161.5</v>
      </c>
      <c r="Q786" s="23" t="n">
        <f aca="false">G786*INDEX(Assumptions!$B$8:$B$16,MATCH(F786,Assumptions!$A$8:$A$16,0))</f>
        <v>104.6064</v>
      </c>
      <c r="R786" s="23" t="n">
        <f aca="false">H786*Assumptions!$B$3</f>
        <v>12.084</v>
      </c>
      <c r="S786" s="23" t="n">
        <f aca="false">G786-Q786-R786</f>
        <v>24.6696</v>
      </c>
      <c r="T786" s="21" t="str">
        <f aca="false">IF(M786&lt;=7,"0-7 days",IF(M786&lt;=14,"8-14 days",IF(M786&lt;=21,"15-21 days","22+ days")))</f>
        <v>0-7 days</v>
      </c>
    </row>
    <row r="787" customFormat="false" ht="15" hidden="false" customHeight="false" outlineLevel="0" collapsed="false">
      <c r="A787" s="21" t="s">
        <v>853</v>
      </c>
      <c r="B787" s="21" t="s">
        <v>48</v>
      </c>
      <c r="C787" s="22" t="n">
        <v>43078</v>
      </c>
      <c r="D787" s="22" t="n">
        <v>43091</v>
      </c>
      <c r="E787" s="22" t="n">
        <v>43103</v>
      </c>
      <c r="F787" s="21" t="s">
        <v>79</v>
      </c>
      <c r="G787" s="23" t="n">
        <v>112.87</v>
      </c>
      <c r="H787" s="23" t="n">
        <v>19.88</v>
      </c>
      <c r="I787" s="21" t="s">
        <v>45</v>
      </c>
      <c r="J787" s="21" t="n">
        <v>5</v>
      </c>
      <c r="K787" s="21" t="s">
        <v>46</v>
      </c>
      <c r="L787" s="24" t="n">
        <f aca="false">DATE(YEAR(C787),MONTH(C787),1)</f>
        <v>43070</v>
      </c>
      <c r="M787" s="21" t="n">
        <f aca="false">D787-C787</f>
        <v>13</v>
      </c>
      <c r="N787" s="21" t="n">
        <f aca="false">MAX(0,D787-E787)</f>
        <v>0</v>
      </c>
      <c r="O787" s="21" t="n">
        <f aca="false">IF(D787&lt;=E787,1,0)</f>
        <v>1</v>
      </c>
      <c r="P787" s="23" t="n">
        <f aca="false">G787+H787</f>
        <v>132.75</v>
      </c>
      <c r="Q787" s="23" t="n">
        <f aca="false">G787*INDEX(Assumptions!$B$8:$B$16,MATCH(F787,Assumptions!$A$8:$A$16,0))</f>
        <v>79.009</v>
      </c>
      <c r="R787" s="23" t="n">
        <f aca="false">H787*Assumptions!$B$3</f>
        <v>11.928</v>
      </c>
      <c r="S787" s="23" t="n">
        <f aca="false">G787-Q787-R787</f>
        <v>21.933</v>
      </c>
      <c r="T787" s="21" t="str">
        <f aca="false">IF(M787&lt;=7,"0-7 days",IF(M787&lt;=14,"8-14 days",IF(M787&lt;=21,"15-21 days","22+ days")))</f>
        <v>8-14 days</v>
      </c>
    </row>
    <row r="788" customFormat="false" ht="15" hidden="false" customHeight="false" outlineLevel="0" collapsed="false">
      <c r="A788" s="21" t="s">
        <v>854</v>
      </c>
      <c r="B788" s="21" t="s">
        <v>19</v>
      </c>
      <c r="C788" s="22" t="n">
        <v>43078</v>
      </c>
      <c r="D788" s="22" t="n">
        <v>43089</v>
      </c>
      <c r="E788" s="22" t="n">
        <v>43094</v>
      </c>
      <c r="F788" s="21" t="s">
        <v>67</v>
      </c>
      <c r="G788" s="23" t="n">
        <v>89.08</v>
      </c>
      <c r="H788" s="23" t="n">
        <v>20.34</v>
      </c>
      <c r="I788" s="21" t="s">
        <v>45</v>
      </c>
      <c r="J788" s="21" t="n">
        <v>4</v>
      </c>
      <c r="K788" s="21" t="s">
        <v>46</v>
      </c>
      <c r="L788" s="24" t="n">
        <f aca="false">DATE(YEAR(C788),MONTH(C788),1)</f>
        <v>43070</v>
      </c>
      <c r="M788" s="21" t="n">
        <f aca="false">D788-C788</f>
        <v>11</v>
      </c>
      <c r="N788" s="21" t="n">
        <f aca="false">MAX(0,D788-E788)</f>
        <v>0</v>
      </c>
      <c r="O788" s="21" t="n">
        <f aca="false">IF(D788&lt;=E788,1,0)</f>
        <v>1</v>
      </c>
      <c r="P788" s="23" t="n">
        <f aca="false">G788+H788</f>
        <v>109.42</v>
      </c>
      <c r="Q788" s="23" t="n">
        <f aca="false">G788*INDEX(Assumptions!$B$8:$B$16,MATCH(F788,Assumptions!$A$8:$A$16,0))</f>
        <v>55.2296</v>
      </c>
      <c r="R788" s="23" t="n">
        <f aca="false">H788*Assumptions!$B$3</f>
        <v>12.204</v>
      </c>
      <c r="S788" s="23" t="n">
        <f aca="false">G788-Q788-R788</f>
        <v>21.6464</v>
      </c>
      <c r="T788" s="21" t="str">
        <f aca="false">IF(M788&lt;=7,"0-7 days",IF(M788&lt;=14,"8-14 days",IF(M788&lt;=21,"15-21 days","22+ days")))</f>
        <v>8-14 days</v>
      </c>
    </row>
    <row r="789" customFormat="false" ht="15" hidden="false" customHeight="false" outlineLevel="0" collapsed="false">
      <c r="A789" s="21" t="s">
        <v>855</v>
      </c>
      <c r="B789" s="21" t="s">
        <v>156</v>
      </c>
      <c r="C789" s="22" t="n">
        <v>43078</v>
      </c>
      <c r="D789" s="22" t="n">
        <v>43092</v>
      </c>
      <c r="E789" s="22" t="n">
        <v>43103</v>
      </c>
      <c r="F789" s="21" t="s">
        <v>53</v>
      </c>
      <c r="G789" s="23" t="n">
        <v>244.67</v>
      </c>
      <c r="H789" s="23" t="n">
        <v>33.23</v>
      </c>
      <c r="I789" s="21" t="s">
        <v>45</v>
      </c>
      <c r="J789" s="21" t="n">
        <v>4</v>
      </c>
      <c r="K789" s="21" t="s">
        <v>46</v>
      </c>
      <c r="L789" s="24" t="n">
        <f aca="false">DATE(YEAR(C789),MONTH(C789),1)</f>
        <v>43070</v>
      </c>
      <c r="M789" s="21" t="n">
        <f aca="false">D789-C789</f>
        <v>14</v>
      </c>
      <c r="N789" s="21" t="n">
        <f aca="false">MAX(0,D789-E789)</f>
        <v>0</v>
      </c>
      <c r="O789" s="21" t="n">
        <f aca="false">IF(D789&lt;=E789,1,0)</f>
        <v>1</v>
      </c>
      <c r="P789" s="23" t="n">
        <f aca="false">G789+H789</f>
        <v>277.9</v>
      </c>
      <c r="Q789" s="23" t="n">
        <f aca="false">G789*INDEX(Assumptions!$B$8:$B$16,MATCH(F789,Assumptions!$A$8:$A$16,0))</f>
        <v>181.0558</v>
      </c>
      <c r="R789" s="23" t="n">
        <f aca="false">H789*Assumptions!$B$3</f>
        <v>19.938</v>
      </c>
      <c r="S789" s="23" t="n">
        <f aca="false">G789-Q789-R789</f>
        <v>43.6762</v>
      </c>
      <c r="T789" s="21" t="str">
        <f aca="false">IF(M789&lt;=7,"0-7 days",IF(M789&lt;=14,"8-14 days",IF(M789&lt;=21,"15-21 days","22+ days")))</f>
        <v>8-14 days</v>
      </c>
    </row>
    <row r="790" customFormat="false" ht="15" hidden="false" customHeight="false" outlineLevel="0" collapsed="false">
      <c r="A790" s="21" t="s">
        <v>856</v>
      </c>
      <c r="B790" s="21" t="s">
        <v>19</v>
      </c>
      <c r="C790" s="22" t="n">
        <v>43078</v>
      </c>
      <c r="D790" s="22" t="n">
        <v>43082</v>
      </c>
      <c r="E790" s="22" t="n">
        <v>43090</v>
      </c>
      <c r="F790" s="21" t="s">
        <v>67</v>
      </c>
      <c r="G790" s="23" t="n">
        <v>122.36</v>
      </c>
      <c r="H790" s="23" t="n">
        <v>13.76</v>
      </c>
      <c r="I790" s="21" t="s">
        <v>45</v>
      </c>
      <c r="J790" s="21" t="n">
        <v>4</v>
      </c>
      <c r="K790" s="21" t="s">
        <v>46</v>
      </c>
      <c r="L790" s="24" t="n">
        <f aca="false">DATE(YEAR(C790),MONTH(C790),1)</f>
        <v>43070</v>
      </c>
      <c r="M790" s="21" t="n">
        <f aca="false">D790-C790</f>
        <v>4</v>
      </c>
      <c r="N790" s="21" t="n">
        <f aca="false">MAX(0,D790-E790)</f>
        <v>0</v>
      </c>
      <c r="O790" s="21" t="n">
        <f aca="false">IF(D790&lt;=E790,1,0)</f>
        <v>1</v>
      </c>
      <c r="P790" s="23" t="n">
        <f aca="false">G790+H790</f>
        <v>136.12</v>
      </c>
      <c r="Q790" s="23" t="n">
        <f aca="false">G790*INDEX(Assumptions!$B$8:$B$16,MATCH(F790,Assumptions!$A$8:$A$16,0))</f>
        <v>75.8632</v>
      </c>
      <c r="R790" s="23" t="n">
        <f aca="false">H790*Assumptions!$B$3</f>
        <v>8.256</v>
      </c>
      <c r="S790" s="23" t="n">
        <f aca="false">G790-Q790-R790</f>
        <v>38.2408</v>
      </c>
      <c r="T790" s="21" t="str">
        <f aca="false">IF(M790&lt;=7,"0-7 days",IF(M790&lt;=14,"8-14 days",IF(M790&lt;=21,"15-21 days","22+ days")))</f>
        <v>0-7 days</v>
      </c>
    </row>
    <row r="791" customFormat="false" ht="15" hidden="false" customHeight="false" outlineLevel="0" collapsed="false">
      <c r="A791" s="21" t="s">
        <v>857</v>
      </c>
      <c r="B791" s="21" t="s">
        <v>62</v>
      </c>
      <c r="C791" s="22" t="n">
        <v>43078</v>
      </c>
      <c r="D791" s="22" t="n">
        <v>43094</v>
      </c>
      <c r="E791" s="22" t="n">
        <v>43097</v>
      </c>
      <c r="F791" s="21" t="s">
        <v>111</v>
      </c>
      <c r="G791" s="23" t="n">
        <v>92.31</v>
      </c>
      <c r="H791" s="23" t="n">
        <v>28.22</v>
      </c>
      <c r="I791" s="21" t="s">
        <v>60</v>
      </c>
      <c r="J791" s="21" t="n">
        <v>5</v>
      </c>
      <c r="K791" s="21" t="s">
        <v>46</v>
      </c>
      <c r="L791" s="24" t="n">
        <f aca="false">DATE(YEAR(C791),MONTH(C791),1)</f>
        <v>43070</v>
      </c>
      <c r="M791" s="21" t="n">
        <f aca="false">D791-C791</f>
        <v>16</v>
      </c>
      <c r="N791" s="21" t="n">
        <f aca="false">MAX(0,D791-E791)</f>
        <v>0</v>
      </c>
      <c r="O791" s="21" t="n">
        <f aca="false">IF(D791&lt;=E791,1,0)</f>
        <v>1</v>
      </c>
      <c r="P791" s="23" t="n">
        <f aca="false">G791+H791</f>
        <v>120.53</v>
      </c>
      <c r="Q791" s="23" t="n">
        <f aca="false">G791*INDEX(Assumptions!$B$8:$B$16,MATCH(F791,Assumptions!$A$8:$A$16,0))</f>
        <v>58.1553</v>
      </c>
      <c r="R791" s="23" t="n">
        <f aca="false">H791*Assumptions!$B$3</f>
        <v>16.932</v>
      </c>
      <c r="S791" s="23" t="n">
        <f aca="false">G791-Q791-R791</f>
        <v>17.2227</v>
      </c>
      <c r="T791" s="21" t="str">
        <f aca="false">IF(M791&lt;=7,"0-7 days",IF(M791&lt;=14,"8-14 days",IF(M791&lt;=21,"15-21 days","22+ days")))</f>
        <v>15-21 days</v>
      </c>
    </row>
    <row r="792" customFormat="false" ht="15" hidden="false" customHeight="false" outlineLevel="0" collapsed="false">
      <c r="A792" s="21" t="s">
        <v>858</v>
      </c>
      <c r="B792" s="21" t="s">
        <v>19</v>
      </c>
      <c r="C792" s="22" t="n">
        <v>43079</v>
      </c>
      <c r="D792" s="22" t="n">
        <v>43085</v>
      </c>
      <c r="E792" s="22" t="n">
        <v>43094</v>
      </c>
      <c r="F792" s="21" t="s">
        <v>57</v>
      </c>
      <c r="G792" s="23" t="n">
        <v>59.93</v>
      </c>
      <c r="H792" s="23" t="n">
        <v>18.89</v>
      </c>
      <c r="I792" s="21" t="s">
        <v>45</v>
      </c>
      <c r="J792" s="21" t="n">
        <v>4</v>
      </c>
      <c r="K792" s="21" t="s">
        <v>46</v>
      </c>
      <c r="L792" s="24" t="n">
        <f aca="false">DATE(YEAR(C792),MONTH(C792),1)</f>
        <v>43070</v>
      </c>
      <c r="M792" s="21" t="n">
        <f aca="false">D792-C792</f>
        <v>6</v>
      </c>
      <c r="N792" s="21" t="n">
        <f aca="false">MAX(0,D792-E792)</f>
        <v>0</v>
      </c>
      <c r="O792" s="21" t="n">
        <f aca="false">IF(D792&lt;=E792,1,0)</f>
        <v>1</v>
      </c>
      <c r="P792" s="23" t="n">
        <f aca="false">G792+H792</f>
        <v>78.82</v>
      </c>
      <c r="Q792" s="23" t="n">
        <f aca="false">G792*INDEX(Assumptions!$B$8:$B$16,MATCH(F792,Assumptions!$A$8:$A$16,0))</f>
        <v>40.7524</v>
      </c>
      <c r="R792" s="23" t="n">
        <f aca="false">H792*Assumptions!$B$3</f>
        <v>11.334</v>
      </c>
      <c r="S792" s="23" t="n">
        <f aca="false">G792-Q792-R792</f>
        <v>7.8436</v>
      </c>
      <c r="T792" s="21" t="str">
        <f aca="false">IF(M792&lt;=7,"0-7 days",IF(M792&lt;=14,"8-14 days",IF(M792&lt;=21,"15-21 days","22+ days")))</f>
        <v>0-7 days</v>
      </c>
    </row>
    <row r="793" customFormat="false" ht="15" hidden="false" customHeight="false" outlineLevel="0" collapsed="false">
      <c r="A793" s="21" t="s">
        <v>859</v>
      </c>
      <c r="B793" s="21" t="s">
        <v>62</v>
      </c>
      <c r="C793" s="22" t="n">
        <v>43079</v>
      </c>
      <c r="D793" s="22" t="n">
        <v>43097</v>
      </c>
      <c r="E793" s="22" t="n">
        <v>43098</v>
      </c>
      <c r="F793" s="21" t="s">
        <v>67</v>
      </c>
      <c r="G793" s="23" t="n">
        <v>85.11</v>
      </c>
      <c r="H793" s="23" t="n">
        <v>27.78</v>
      </c>
      <c r="I793" s="21" t="s">
        <v>45</v>
      </c>
      <c r="J793" s="21" t="n">
        <v>4</v>
      </c>
      <c r="K793" s="21" t="s">
        <v>46</v>
      </c>
      <c r="L793" s="24" t="n">
        <f aca="false">DATE(YEAR(C793),MONTH(C793),1)</f>
        <v>43070</v>
      </c>
      <c r="M793" s="21" t="n">
        <f aca="false">D793-C793</f>
        <v>18</v>
      </c>
      <c r="N793" s="21" t="n">
        <f aca="false">MAX(0,D793-E793)</f>
        <v>0</v>
      </c>
      <c r="O793" s="21" t="n">
        <f aca="false">IF(D793&lt;=E793,1,0)</f>
        <v>1</v>
      </c>
      <c r="P793" s="23" t="n">
        <f aca="false">G793+H793</f>
        <v>112.89</v>
      </c>
      <c r="Q793" s="23" t="n">
        <f aca="false">G793*INDEX(Assumptions!$B$8:$B$16,MATCH(F793,Assumptions!$A$8:$A$16,0))</f>
        <v>52.7682</v>
      </c>
      <c r="R793" s="23" t="n">
        <f aca="false">H793*Assumptions!$B$3</f>
        <v>16.668</v>
      </c>
      <c r="S793" s="23" t="n">
        <f aca="false">G793-Q793-R793</f>
        <v>15.6738</v>
      </c>
      <c r="T793" s="21" t="str">
        <f aca="false">IF(M793&lt;=7,"0-7 days",IF(M793&lt;=14,"8-14 days",IF(M793&lt;=21,"15-21 days","22+ days")))</f>
        <v>15-21 days</v>
      </c>
    </row>
    <row r="794" customFormat="false" ht="15" hidden="false" customHeight="false" outlineLevel="0" collapsed="false">
      <c r="A794" s="21" t="s">
        <v>860</v>
      </c>
      <c r="B794" s="21" t="s">
        <v>19</v>
      </c>
      <c r="C794" s="22" t="n">
        <v>43079</v>
      </c>
      <c r="D794" s="22" t="n">
        <v>43087</v>
      </c>
      <c r="E794" s="22" t="n">
        <v>43095</v>
      </c>
      <c r="F794" s="21" t="s">
        <v>53</v>
      </c>
      <c r="G794" s="23" t="n">
        <v>95.02</v>
      </c>
      <c r="H794" s="23" t="n">
        <v>20.68</v>
      </c>
      <c r="I794" s="21" t="s">
        <v>45</v>
      </c>
      <c r="J794" s="21" t="n">
        <v>5</v>
      </c>
      <c r="K794" s="21" t="s">
        <v>46</v>
      </c>
      <c r="L794" s="24" t="n">
        <f aca="false">DATE(YEAR(C794),MONTH(C794),1)</f>
        <v>43070</v>
      </c>
      <c r="M794" s="21" t="n">
        <f aca="false">D794-C794</f>
        <v>8</v>
      </c>
      <c r="N794" s="21" t="n">
        <f aca="false">MAX(0,D794-E794)</f>
        <v>0</v>
      </c>
      <c r="O794" s="21" t="n">
        <f aca="false">IF(D794&lt;=E794,1,0)</f>
        <v>1</v>
      </c>
      <c r="P794" s="23" t="n">
        <f aca="false">G794+H794</f>
        <v>115.7</v>
      </c>
      <c r="Q794" s="23" t="n">
        <f aca="false">G794*INDEX(Assumptions!$B$8:$B$16,MATCH(F794,Assumptions!$A$8:$A$16,0))</f>
        <v>70.3148</v>
      </c>
      <c r="R794" s="23" t="n">
        <f aca="false">H794*Assumptions!$B$3</f>
        <v>12.408</v>
      </c>
      <c r="S794" s="23" t="n">
        <f aca="false">G794-Q794-R794</f>
        <v>12.2972</v>
      </c>
      <c r="T794" s="21" t="str">
        <f aca="false">IF(M794&lt;=7,"0-7 days",IF(M794&lt;=14,"8-14 days",IF(M794&lt;=21,"15-21 days","22+ days")))</f>
        <v>8-14 days</v>
      </c>
    </row>
    <row r="795" customFormat="false" ht="15" hidden="false" customHeight="false" outlineLevel="0" collapsed="false">
      <c r="A795" s="21" t="s">
        <v>861</v>
      </c>
      <c r="B795" s="21" t="s">
        <v>55</v>
      </c>
      <c r="C795" s="22" t="n">
        <v>43079</v>
      </c>
      <c r="D795" s="22" t="n">
        <v>43091</v>
      </c>
      <c r="E795" s="22" t="n">
        <v>43105</v>
      </c>
      <c r="F795" s="21" t="s">
        <v>49</v>
      </c>
      <c r="G795" s="23" t="n">
        <v>39.97</v>
      </c>
      <c r="H795" s="23" t="n">
        <v>27.3</v>
      </c>
      <c r="I795" s="21" t="s">
        <v>45</v>
      </c>
      <c r="J795" s="21" t="n">
        <v>4</v>
      </c>
      <c r="K795" s="21" t="s">
        <v>46</v>
      </c>
      <c r="L795" s="24" t="n">
        <f aca="false">DATE(YEAR(C795),MONTH(C795),1)</f>
        <v>43070</v>
      </c>
      <c r="M795" s="21" t="n">
        <f aca="false">D795-C795</f>
        <v>12</v>
      </c>
      <c r="N795" s="21" t="n">
        <f aca="false">MAX(0,D795-E795)</f>
        <v>0</v>
      </c>
      <c r="O795" s="21" t="n">
        <f aca="false">IF(D795&lt;=E795,1,0)</f>
        <v>1</v>
      </c>
      <c r="P795" s="23" t="n">
        <f aca="false">G795+H795</f>
        <v>67.27</v>
      </c>
      <c r="Q795" s="23" t="n">
        <f aca="false">G795*INDEX(Assumptions!$B$8:$B$16,MATCH(F795,Assumptions!$A$8:$A$16,0))</f>
        <v>23.1826</v>
      </c>
      <c r="R795" s="23" t="n">
        <f aca="false">H795*Assumptions!$B$3</f>
        <v>16.38</v>
      </c>
      <c r="S795" s="23" t="n">
        <f aca="false">G795-Q795-R795</f>
        <v>0.407400000000003</v>
      </c>
      <c r="T795" s="21" t="str">
        <f aca="false">IF(M795&lt;=7,"0-7 days",IF(M795&lt;=14,"8-14 days",IF(M795&lt;=21,"15-21 days","22+ days")))</f>
        <v>8-14 days</v>
      </c>
    </row>
    <row r="796" customFormat="false" ht="15" hidden="false" customHeight="false" outlineLevel="0" collapsed="false">
      <c r="A796" s="21" t="s">
        <v>862</v>
      </c>
      <c r="B796" s="21" t="s">
        <v>52</v>
      </c>
      <c r="C796" s="22" t="n">
        <v>43079</v>
      </c>
      <c r="D796" s="22" t="n">
        <v>43095</v>
      </c>
      <c r="E796" s="22" t="n">
        <v>43098</v>
      </c>
      <c r="F796" s="21" t="s">
        <v>67</v>
      </c>
      <c r="G796" s="23" t="n">
        <v>118.79</v>
      </c>
      <c r="H796" s="23" t="n">
        <v>21.14</v>
      </c>
      <c r="I796" s="21" t="s">
        <v>45</v>
      </c>
      <c r="J796" s="21" t="n">
        <v>5</v>
      </c>
      <c r="K796" s="21" t="s">
        <v>46</v>
      </c>
      <c r="L796" s="24" t="n">
        <f aca="false">DATE(YEAR(C796),MONTH(C796),1)</f>
        <v>43070</v>
      </c>
      <c r="M796" s="21" t="n">
        <f aca="false">D796-C796</f>
        <v>16</v>
      </c>
      <c r="N796" s="21" t="n">
        <f aca="false">MAX(0,D796-E796)</f>
        <v>0</v>
      </c>
      <c r="O796" s="21" t="n">
        <f aca="false">IF(D796&lt;=E796,1,0)</f>
        <v>1</v>
      </c>
      <c r="P796" s="23" t="n">
        <f aca="false">G796+H796</f>
        <v>139.93</v>
      </c>
      <c r="Q796" s="23" t="n">
        <f aca="false">G796*INDEX(Assumptions!$B$8:$B$16,MATCH(F796,Assumptions!$A$8:$A$16,0))</f>
        <v>73.6498</v>
      </c>
      <c r="R796" s="23" t="n">
        <f aca="false">H796*Assumptions!$B$3</f>
        <v>12.684</v>
      </c>
      <c r="S796" s="23" t="n">
        <f aca="false">G796-Q796-R796</f>
        <v>32.4562</v>
      </c>
      <c r="T796" s="21" t="str">
        <f aca="false">IF(M796&lt;=7,"0-7 days",IF(M796&lt;=14,"8-14 days",IF(M796&lt;=21,"15-21 days","22+ days")))</f>
        <v>15-21 days</v>
      </c>
    </row>
    <row r="797" customFormat="false" ht="15" hidden="false" customHeight="false" outlineLevel="0" collapsed="false">
      <c r="A797" s="21" t="s">
        <v>863</v>
      </c>
      <c r="B797" s="21" t="s">
        <v>19</v>
      </c>
      <c r="C797" s="22" t="n">
        <v>43080</v>
      </c>
      <c r="D797" s="22" t="n">
        <v>43093</v>
      </c>
      <c r="E797" s="22" t="n">
        <v>43096</v>
      </c>
      <c r="F797" s="21" t="s">
        <v>64</v>
      </c>
      <c r="G797" s="23" t="n">
        <v>216.7</v>
      </c>
      <c r="H797" s="23" t="n">
        <v>16.02</v>
      </c>
      <c r="I797" s="21" t="s">
        <v>45</v>
      </c>
      <c r="J797" s="21" t="n">
        <v>4</v>
      </c>
      <c r="K797" s="21" t="s">
        <v>46</v>
      </c>
      <c r="L797" s="24" t="n">
        <f aca="false">DATE(YEAR(C797),MONTH(C797),1)</f>
        <v>43070</v>
      </c>
      <c r="M797" s="21" t="n">
        <f aca="false">D797-C797</f>
        <v>13</v>
      </c>
      <c r="N797" s="21" t="n">
        <f aca="false">MAX(0,D797-E797)</f>
        <v>0</v>
      </c>
      <c r="O797" s="21" t="n">
        <f aca="false">IF(D797&lt;=E797,1,0)</f>
        <v>1</v>
      </c>
      <c r="P797" s="23" t="n">
        <f aca="false">G797+H797</f>
        <v>232.72</v>
      </c>
      <c r="Q797" s="23" t="n">
        <f aca="false">G797*INDEX(Assumptions!$B$8:$B$16,MATCH(F797,Assumptions!$A$8:$A$16,0))</f>
        <v>143.022</v>
      </c>
      <c r="R797" s="23" t="n">
        <f aca="false">H797*Assumptions!$B$3</f>
        <v>9.612</v>
      </c>
      <c r="S797" s="23" t="n">
        <f aca="false">G797-Q797-R797</f>
        <v>64.066</v>
      </c>
      <c r="T797" s="21" t="str">
        <f aca="false">IF(M797&lt;=7,"0-7 days",IF(M797&lt;=14,"8-14 days",IF(M797&lt;=21,"15-21 days","22+ days")))</f>
        <v>8-14 days</v>
      </c>
    </row>
    <row r="798" customFormat="false" ht="15" hidden="false" customHeight="false" outlineLevel="0" collapsed="false">
      <c r="A798" s="21" t="s">
        <v>864</v>
      </c>
      <c r="B798" s="21" t="s">
        <v>52</v>
      </c>
      <c r="C798" s="22" t="n">
        <v>43080</v>
      </c>
      <c r="D798" s="22" t="n">
        <v>43085</v>
      </c>
      <c r="E798" s="22" t="n">
        <v>43102</v>
      </c>
      <c r="F798" s="21" t="s">
        <v>53</v>
      </c>
      <c r="G798" s="23" t="n">
        <v>147.76</v>
      </c>
      <c r="H798" s="23" t="n">
        <v>20.04</v>
      </c>
      <c r="I798" s="21" t="s">
        <v>60</v>
      </c>
      <c r="J798" s="21" t="n">
        <v>4</v>
      </c>
      <c r="K798" s="21" t="s">
        <v>46</v>
      </c>
      <c r="L798" s="24" t="n">
        <f aca="false">DATE(YEAR(C798),MONTH(C798),1)</f>
        <v>43070</v>
      </c>
      <c r="M798" s="21" t="n">
        <f aca="false">D798-C798</f>
        <v>5</v>
      </c>
      <c r="N798" s="21" t="n">
        <f aca="false">MAX(0,D798-E798)</f>
        <v>0</v>
      </c>
      <c r="O798" s="21" t="n">
        <f aca="false">IF(D798&lt;=E798,1,0)</f>
        <v>1</v>
      </c>
      <c r="P798" s="23" t="n">
        <f aca="false">G798+H798</f>
        <v>167.8</v>
      </c>
      <c r="Q798" s="23" t="n">
        <f aca="false">G798*INDEX(Assumptions!$B$8:$B$16,MATCH(F798,Assumptions!$A$8:$A$16,0))</f>
        <v>109.3424</v>
      </c>
      <c r="R798" s="23" t="n">
        <f aca="false">H798*Assumptions!$B$3</f>
        <v>12.024</v>
      </c>
      <c r="S798" s="23" t="n">
        <f aca="false">G798-Q798-R798</f>
        <v>26.3936</v>
      </c>
      <c r="T798" s="21" t="str">
        <f aca="false">IF(M798&lt;=7,"0-7 days",IF(M798&lt;=14,"8-14 days",IF(M798&lt;=21,"15-21 days","22+ days")))</f>
        <v>0-7 days</v>
      </c>
    </row>
    <row r="799" customFormat="false" ht="15" hidden="false" customHeight="false" outlineLevel="0" collapsed="false">
      <c r="A799" s="21" t="s">
        <v>865</v>
      </c>
      <c r="B799" s="21" t="s">
        <v>19</v>
      </c>
      <c r="C799" s="22" t="n">
        <v>43080</v>
      </c>
      <c r="D799" s="22" t="n">
        <v>43090</v>
      </c>
      <c r="E799" s="22" t="n">
        <v>43097</v>
      </c>
      <c r="F799" s="21" t="s">
        <v>49</v>
      </c>
      <c r="G799" s="23" t="n">
        <v>129</v>
      </c>
      <c r="H799" s="23" t="n">
        <v>14.17</v>
      </c>
      <c r="I799" s="21" t="s">
        <v>50</v>
      </c>
      <c r="J799" s="21" t="n">
        <v>5</v>
      </c>
      <c r="K799" s="21" t="s">
        <v>46</v>
      </c>
      <c r="L799" s="24" t="n">
        <f aca="false">DATE(YEAR(C799),MONTH(C799),1)</f>
        <v>43070</v>
      </c>
      <c r="M799" s="21" t="n">
        <f aca="false">D799-C799</f>
        <v>10</v>
      </c>
      <c r="N799" s="21" t="n">
        <f aca="false">MAX(0,D799-E799)</f>
        <v>0</v>
      </c>
      <c r="O799" s="21" t="n">
        <f aca="false">IF(D799&lt;=E799,1,0)</f>
        <v>1</v>
      </c>
      <c r="P799" s="23" t="n">
        <f aca="false">G799+H799</f>
        <v>143.17</v>
      </c>
      <c r="Q799" s="23" t="n">
        <f aca="false">G799*INDEX(Assumptions!$B$8:$B$16,MATCH(F799,Assumptions!$A$8:$A$16,0))</f>
        <v>74.82</v>
      </c>
      <c r="R799" s="23" t="n">
        <f aca="false">H799*Assumptions!$B$3</f>
        <v>8.502</v>
      </c>
      <c r="S799" s="23" t="n">
        <f aca="false">G799-Q799-R799</f>
        <v>45.678</v>
      </c>
      <c r="T799" s="21" t="str">
        <f aca="false">IF(M799&lt;=7,"0-7 days",IF(M799&lt;=14,"8-14 days",IF(M799&lt;=21,"15-21 days","22+ days")))</f>
        <v>8-14 days</v>
      </c>
    </row>
    <row r="800" customFormat="false" ht="15" hidden="false" customHeight="false" outlineLevel="0" collapsed="false">
      <c r="A800" s="21" t="s">
        <v>866</v>
      </c>
      <c r="B800" s="21" t="s">
        <v>134</v>
      </c>
      <c r="C800" s="22" t="n">
        <v>43080</v>
      </c>
      <c r="D800" s="22" t="n">
        <v>43090</v>
      </c>
      <c r="E800" s="22" t="n">
        <v>43104</v>
      </c>
      <c r="F800" s="21" t="s">
        <v>57</v>
      </c>
      <c r="G800" s="23" t="n">
        <v>99.93</v>
      </c>
      <c r="H800" s="23" t="n">
        <v>29.63</v>
      </c>
      <c r="I800" s="21" t="s">
        <v>45</v>
      </c>
      <c r="J800" s="21" t="n">
        <v>4</v>
      </c>
      <c r="K800" s="21" t="s">
        <v>46</v>
      </c>
      <c r="L800" s="24" t="n">
        <f aca="false">DATE(YEAR(C800),MONTH(C800),1)</f>
        <v>43070</v>
      </c>
      <c r="M800" s="21" t="n">
        <f aca="false">D800-C800</f>
        <v>10</v>
      </c>
      <c r="N800" s="21" t="n">
        <f aca="false">MAX(0,D800-E800)</f>
        <v>0</v>
      </c>
      <c r="O800" s="21" t="n">
        <f aca="false">IF(D800&lt;=E800,1,0)</f>
        <v>1</v>
      </c>
      <c r="P800" s="23" t="n">
        <f aca="false">G800+H800</f>
        <v>129.56</v>
      </c>
      <c r="Q800" s="23" t="n">
        <f aca="false">G800*INDEX(Assumptions!$B$8:$B$16,MATCH(F800,Assumptions!$A$8:$A$16,0))</f>
        <v>67.9524</v>
      </c>
      <c r="R800" s="23" t="n">
        <f aca="false">H800*Assumptions!$B$3</f>
        <v>17.778</v>
      </c>
      <c r="S800" s="23" t="n">
        <f aca="false">G800-Q800-R800</f>
        <v>14.1996</v>
      </c>
      <c r="T800" s="21" t="str">
        <f aca="false">IF(M800&lt;=7,"0-7 days",IF(M800&lt;=14,"8-14 days",IF(M800&lt;=21,"15-21 days","22+ days")))</f>
        <v>8-14 days</v>
      </c>
    </row>
    <row r="801" customFormat="false" ht="15" hidden="false" customHeight="false" outlineLevel="0" collapsed="false">
      <c r="A801" s="21" t="s">
        <v>867</v>
      </c>
      <c r="B801" s="21" t="s">
        <v>156</v>
      </c>
      <c r="C801" s="22" t="n">
        <v>43080</v>
      </c>
      <c r="D801" s="22" t="n">
        <v>43099</v>
      </c>
      <c r="E801" s="22" t="n">
        <v>43104</v>
      </c>
      <c r="F801" s="21" t="s">
        <v>79</v>
      </c>
      <c r="G801" s="23" t="n">
        <v>189.4</v>
      </c>
      <c r="H801" s="23" t="n">
        <v>23.46</v>
      </c>
      <c r="I801" s="21" t="s">
        <v>45</v>
      </c>
      <c r="J801" s="21" t="n">
        <v>4</v>
      </c>
      <c r="K801" s="21" t="s">
        <v>46</v>
      </c>
      <c r="L801" s="24" t="n">
        <f aca="false">DATE(YEAR(C801),MONTH(C801),1)</f>
        <v>43070</v>
      </c>
      <c r="M801" s="21" t="n">
        <f aca="false">D801-C801</f>
        <v>19</v>
      </c>
      <c r="N801" s="21" t="n">
        <f aca="false">MAX(0,D801-E801)</f>
        <v>0</v>
      </c>
      <c r="O801" s="21" t="n">
        <f aca="false">IF(D801&lt;=E801,1,0)</f>
        <v>1</v>
      </c>
      <c r="P801" s="23" t="n">
        <f aca="false">G801+H801</f>
        <v>212.86</v>
      </c>
      <c r="Q801" s="23" t="n">
        <f aca="false">G801*INDEX(Assumptions!$B$8:$B$16,MATCH(F801,Assumptions!$A$8:$A$16,0))</f>
        <v>132.58</v>
      </c>
      <c r="R801" s="23" t="n">
        <f aca="false">H801*Assumptions!$B$3</f>
        <v>14.076</v>
      </c>
      <c r="S801" s="23" t="n">
        <f aca="false">G801-Q801-R801</f>
        <v>42.744</v>
      </c>
      <c r="T801" s="21" t="str">
        <f aca="false">IF(M801&lt;=7,"0-7 days",IF(M801&lt;=14,"8-14 days",IF(M801&lt;=21,"15-21 days","22+ days")))</f>
        <v>15-21 days</v>
      </c>
    </row>
    <row r="802" customFormat="false" ht="15" hidden="false" customHeight="false" outlineLevel="0" collapsed="false">
      <c r="A802" s="21" t="s">
        <v>868</v>
      </c>
      <c r="B802" s="21" t="s">
        <v>62</v>
      </c>
      <c r="C802" s="22" t="n">
        <v>43080</v>
      </c>
      <c r="D802" s="22" t="n">
        <v>43096</v>
      </c>
      <c r="E802" s="22" t="n">
        <v>43100</v>
      </c>
      <c r="F802" s="21" t="s">
        <v>111</v>
      </c>
      <c r="G802" s="23" t="n">
        <v>28.75</v>
      </c>
      <c r="H802" s="23" t="n">
        <v>24.69</v>
      </c>
      <c r="I802" s="21" t="s">
        <v>60</v>
      </c>
      <c r="J802" s="21" t="n">
        <v>4</v>
      </c>
      <c r="K802" s="21" t="s">
        <v>46</v>
      </c>
      <c r="L802" s="24" t="n">
        <f aca="false">DATE(YEAR(C802),MONTH(C802),1)</f>
        <v>43070</v>
      </c>
      <c r="M802" s="21" t="n">
        <f aca="false">D802-C802</f>
        <v>16</v>
      </c>
      <c r="N802" s="21" t="n">
        <f aca="false">MAX(0,D802-E802)</f>
        <v>0</v>
      </c>
      <c r="O802" s="21" t="n">
        <f aca="false">IF(D802&lt;=E802,1,0)</f>
        <v>1</v>
      </c>
      <c r="P802" s="23" t="n">
        <f aca="false">G802+H802</f>
        <v>53.44</v>
      </c>
      <c r="Q802" s="23" t="n">
        <f aca="false">G802*INDEX(Assumptions!$B$8:$B$16,MATCH(F802,Assumptions!$A$8:$A$16,0))</f>
        <v>18.1125</v>
      </c>
      <c r="R802" s="23" t="n">
        <f aca="false">H802*Assumptions!$B$3</f>
        <v>14.814</v>
      </c>
      <c r="S802" s="23" t="n">
        <f aca="false">G802-Q802-R802</f>
        <v>-4.1765</v>
      </c>
      <c r="T802" s="21" t="str">
        <f aca="false">IF(M802&lt;=7,"0-7 days",IF(M802&lt;=14,"8-14 days",IF(M802&lt;=21,"15-21 days","22+ days")))</f>
        <v>15-21 days</v>
      </c>
    </row>
    <row r="803" customFormat="false" ht="15" hidden="false" customHeight="false" outlineLevel="0" collapsed="false">
      <c r="A803" s="21" t="s">
        <v>869</v>
      </c>
      <c r="B803" s="21" t="s">
        <v>19</v>
      </c>
      <c r="C803" s="22" t="n">
        <v>43080</v>
      </c>
      <c r="D803" s="22" t="n">
        <v>43085</v>
      </c>
      <c r="E803" s="22" t="n">
        <v>43096</v>
      </c>
      <c r="F803" s="21" t="s">
        <v>67</v>
      </c>
      <c r="G803" s="23" t="n">
        <v>126.3</v>
      </c>
      <c r="H803" s="23" t="n">
        <v>14.75</v>
      </c>
      <c r="I803" s="21" t="s">
        <v>45</v>
      </c>
      <c r="J803" s="21" t="n">
        <v>5</v>
      </c>
      <c r="K803" s="21" t="s">
        <v>46</v>
      </c>
      <c r="L803" s="24" t="n">
        <f aca="false">DATE(YEAR(C803),MONTH(C803),1)</f>
        <v>43070</v>
      </c>
      <c r="M803" s="21" t="n">
        <f aca="false">D803-C803</f>
        <v>5</v>
      </c>
      <c r="N803" s="21" t="n">
        <f aca="false">MAX(0,D803-E803)</f>
        <v>0</v>
      </c>
      <c r="O803" s="21" t="n">
        <f aca="false">IF(D803&lt;=E803,1,0)</f>
        <v>1</v>
      </c>
      <c r="P803" s="23" t="n">
        <f aca="false">G803+H803</f>
        <v>141.05</v>
      </c>
      <c r="Q803" s="23" t="n">
        <f aca="false">G803*INDEX(Assumptions!$B$8:$B$16,MATCH(F803,Assumptions!$A$8:$A$16,0))</f>
        <v>78.306</v>
      </c>
      <c r="R803" s="23" t="n">
        <f aca="false">H803*Assumptions!$B$3</f>
        <v>8.85</v>
      </c>
      <c r="S803" s="23" t="n">
        <f aca="false">G803-Q803-R803</f>
        <v>39.144</v>
      </c>
      <c r="T803" s="21" t="str">
        <f aca="false">IF(M803&lt;=7,"0-7 days",IF(M803&lt;=14,"8-14 days",IF(M803&lt;=21,"15-21 days","22+ days")))</f>
        <v>0-7 days</v>
      </c>
    </row>
    <row r="804" customFormat="false" ht="15" hidden="false" customHeight="false" outlineLevel="0" collapsed="false">
      <c r="A804" s="21" t="s">
        <v>870</v>
      </c>
      <c r="B804" s="21" t="s">
        <v>19</v>
      </c>
      <c r="C804" s="22" t="n">
        <v>43080</v>
      </c>
      <c r="D804" s="22" t="n">
        <v>43087</v>
      </c>
      <c r="E804" s="22" t="n">
        <v>43096</v>
      </c>
      <c r="F804" s="21" t="s">
        <v>64</v>
      </c>
      <c r="G804" s="23" t="n">
        <v>213.04</v>
      </c>
      <c r="H804" s="23" t="n">
        <v>22.2</v>
      </c>
      <c r="I804" s="21" t="s">
        <v>50</v>
      </c>
      <c r="J804" s="21" t="n">
        <v>5</v>
      </c>
      <c r="K804" s="21" t="s">
        <v>46</v>
      </c>
      <c r="L804" s="24" t="n">
        <f aca="false">DATE(YEAR(C804),MONTH(C804),1)</f>
        <v>43070</v>
      </c>
      <c r="M804" s="21" t="n">
        <f aca="false">D804-C804</f>
        <v>7</v>
      </c>
      <c r="N804" s="21" t="n">
        <f aca="false">MAX(0,D804-E804)</f>
        <v>0</v>
      </c>
      <c r="O804" s="21" t="n">
        <f aca="false">IF(D804&lt;=E804,1,0)</f>
        <v>1</v>
      </c>
      <c r="P804" s="23" t="n">
        <f aca="false">G804+H804</f>
        <v>235.24</v>
      </c>
      <c r="Q804" s="23" t="n">
        <f aca="false">G804*INDEX(Assumptions!$B$8:$B$16,MATCH(F804,Assumptions!$A$8:$A$16,0))</f>
        <v>140.6064</v>
      </c>
      <c r="R804" s="23" t="n">
        <f aca="false">H804*Assumptions!$B$3</f>
        <v>13.32</v>
      </c>
      <c r="S804" s="23" t="n">
        <f aca="false">G804-Q804-R804</f>
        <v>59.1136</v>
      </c>
      <c r="T804" s="21" t="str">
        <f aca="false">IF(M804&lt;=7,"0-7 days",IF(M804&lt;=14,"8-14 days",IF(M804&lt;=21,"15-21 days","22+ days")))</f>
        <v>0-7 days</v>
      </c>
    </row>
    <row r="805" customFormat="false" ht="15" hidden="false" customHeight="false" outlineLevel="0" collapsed="false">
      <c r="A805" s="21" t="s">
        <v>871</v>
      </c>
      <c r="B805" s="21" t="s">
        <v>103</v>
      </c>
      <c r="C805" s="22" t="n">
        <v>43081</v>
      </c>
      <c r="D805" s="22" t="n">
        <v>43092</v>
      </c>
      <c r="E805" s="22" t="n">
        <v>43102</v>
      </c>
      <c r="F805" s="21" t="s">
        <v>79</v>
      </c>
      <c r="G805" s="23" t="n">
        <v>80</v>
      </c>
      <c r="H805" s="23" t="n">
        <v>19.27</v>
      </c>
      <c r="I805" s="21" t="s">
        <v>45</v>
      </c>
      <c r="J805" s="21" t="n">
        <v>4</v>
      </c>
      <c r="K805" s="21" t="s">
        <v>46</v>
      </c>
      <c r="L805" s="24" t="n">
        <f aca="false">DATE(YEAR(C805),MONTH(C805),1)</f>
        <v>43070</v>
      </c>
      <c r="M805" s="21" t="n">
        <f aca="false">D805-C805</f>
        <v>11</v>
      </c>
      <c r="N805" s="21" t="n">
        <f aca="false">MAX(0,D805-E805)</f>
        <v>0</v>
      </c>
      <c r="O805" s="21" t="n">
        <f aca="false">IF(D805&lt;=E805,1,0)</f>
        <v>1</v>
      </c>
      <c r="P805" s="23" t="n">
        <f aca="false">G805+H805</f>
        <v>99.27</v>
      </c>
      <c r="Q805" s="23" t="n">
        <f aca="false">G805*INDEX(Assumptions!$B$8:$B$16,MATCH(F805,Assumptions!$A$8:$A$16,0))</f>
        <v>56</v>
      </c>
      <c r="R805" s="23" t="n">
        <f aca="false">H805*Assumptions!$B$3</f>
        <v>11.562</v>
      </c>
      <c r="S805" s="23" t="n">
        <f aca="false">G805-Q805-R805</f>
        <v>12.438</v>
      </c>
      <c r="T805" s="21" t="str">
        <f aca="false">IF(M805&lt;=7,"0-7 days",IF(M805&lt;=14,"8-14 days",IF(M805&lt;=21,"15-21 days","22+ days")))</f>
        <v>8-14 days</v>
      </c>
    </row>
    <row r="806" customFormat="false" ht="15" hidden="false" customHeight="false" outlineLevel="0" collapsed="false">
      <c r="A806" s="21" t="s">
        <v>872</v>
      </c>
      <c r="B806" s="21" t="s">
        <v>19</v>
      </c>
      <c r="C806" s="22" t="n">
        <v>43081</v>
      </c>
      <c r="D806" s="22" t="n">
        <v>43094</v>
      </c>
      <c r="E806" s="22" t="n">
        <v>43095</v>
      </c>
      <c r="F806" s="21" t="s">
        <v>111</v>
      </c>
      <c r="G806" s="23" t="n">
        <v>118.57</v>
      </c>
      <c r="H806" s="23" t="n">
        <v>17.94</v>
      </c>
      <c r="I806" s="21" t="s">
        <v>45</v>
      </c>
      <c r="J806" s="21" t="n">
        <v>3</v>
      </c>
      <c r="K806" s="21" t="s">
        <v>46</v>
      </c>
      <c r="L806" s="24" t="n">
        <f aca="false">DATE(YEAR(C806),MONTH(C806),1)</f>
        <v>43070</v>
      </c>
      <c r="M806" s="21" t="n">
        <f aca="false">D806-C806</f>
        <v>13</v>
      </c>
      <c r="N806" s="21" t="n">
        <f aca="false">MAX(0,D806-E806)</f>
        <v>0</v>
      </c>
      <c r="O806" s="21" t="n">
        <f aca="false">IF(D806&lt;=E806,1,0)</f>
        <v>1</v>
      </c>
      <c r="P806" s="23" t="n">
        <f aca="false">G806+H806</f>
        <v>136.51</v>
      </c>
      <c r="Q806" s="23" t="n">
        <f aca="false">G806*INDEX(Assumptions!$B$8:$B$16,MATCH(F806,Assumptions!$A$8:$A$16,0))</f>
        <v>74.6991</v>
      </c>
      <c r="R806" s="23" t="n">
        <f aca="false">H806*Assumptions!$B$3</f>
        <v>10.764</v>
      </c>
      <c r="S806" s="23" t="n">
        <f aca="false">G806-Q806-R806</f>
        <v>33.1069</v>
      </c>
      <c r="T806" s="21" t="str">
        <f aca="false">IF(M806&lt;=7,"0-7 days",IF(M806&lt;=14,"8-14 days",IF(M806&lt;=21,"15-21 days","22+ days")))</f>
        <v>8-14 days</v>
      </c>
    </row>
    <row r="807" customFormat="false" ht="15" hidden="false" customHeight="false" outlineLevel="0" collapsed="false">
      <c r="A807" s="21" t="s">
        <v>873</v>
      </c>
      <c r="B807" s="21" t="s">
        <v>19</v>
      </c>
      <c r="C807" s="22" t="n">
        <v>43081</v>
      </c>
      <c r="D807" s="22" t="n">
        <v>43092</v>
      </c>
      <c r="E807" s="22" t="n">
        <v>43095</v>
      </c>
      <c r="F807" s="21" t="s">
        <v>59</v>
      </c>
      <c r="G807" s="23" t="n">
        <v>45.29</v>
      </c>
      <c r="H807" s="23" t="n">
        <v>17.69</v>
      </c>
      <c r="I807" s="21" t="s">
        <v>45</v>
      </c>
      <c r="J807" s="21" t="n">
        <v>5</v>
      </c>
      <c r="K807" s="21" t="s">
        <v>46</v>
      </c>
      <c r="L807" s="24" t="n">
        <f aca="false">DATE(YEAR(C807),MONTH(C807),1)</f>
        <v>43070</v>
      </c>
      <c r="M807" s="21" t="n">
        <f aca="false">D807-C807</f>
        <v>11</v>
      </c>
      <c r="N807" s="21" t="n">
        <f aca="false">MAX(0,D807-E807)</f>
        <v>0</v>
      </c>
      <c r="O807" s="21" t="n">
        <f aca="false">IF(D807&lt;=E807,1,0)</f>
        <v>1</v>
      </c>
      <c r="P807" s="23" t="n">
        <f aca="false">G807+H807</f>
        <v>62.98</v>
      </c>
      <c r="Q807" s="23" t="n">
        <f aca="false">G807*INDEX(Assumptions!$B$8:$B$16,MATCH(F807,Assumptions!$A$8:$A$16,0))</f>
        <v>28.9856</v>
      </c>
      <c r="R807" s="23" t="n">
        <f aca="false">H807*Assumptions!$B$3</f>
        <v>10.614</v>
      </c>
      <c r="S807" s="23" t="n">
        <f aca="false">G807-Q807-R807</f>
        <v>5.6904</v>
      </c>
      <c r="T807" s="21" t="str">
        <f aca="false">IF(M807&lt;=7,"0-7 days",IF(M807&lt;=14,"8-14 days",IF(M807&lt;=21,"15-21 days","22+ days")))</f>
        <v>8-14 days</v>
      </c>
    </row>
    <row r="808" customFormat="false" ht="15" hidden="false" customHeight="false" outlineLevel="0" collapsed="false">
      <c r="A808" s="21" t="s">
        <v>874</v>
      </c>
      <c r="B808" s="21" t="s">
        <v>19</v>
      </c>
      <c r="C808" s="22" t="n">
        <v>43081</v>
      </c>
      <c r="D808" s="22" t="n">
        <v>43089</v>
      </c>
      <c r="E808" s="22" t="n">
        <v>43096</v>
      </c>
      <c r="F808" s="21" t="s">
        <v>49</v>
      </c>
      <c r="G808" s="23" t="n">
        <v>41.66</v>
      </c>
      <c r="H808" s="23" t="n">
        <v>14.56</v>
      </c>
      <c r="I808" s="21" t="s">
        <v>45</v>
      </c>
      <c r="J808" s="21" t="n">
        <v>5</v>
      </c>
      <c r="K808" s="21" t="s">
        <v>46</v>
      </c>
      <c r="L808" s="24" t="n">
        <f aca="false">DATE(YEAR(C808),MONTH(C808),1)</f>
        <v>43070</v>
      </c>
      <c r="M808" s="21" t="n">
        <f aca="false">D808-C808</f>
        <v>8</v>
      </c>
      <c r="N808" s="21" t="n">
        <f aca="false">MAX(0,D808-E808)</f>
        <v>0</v>
      </c>
      <c r="O808" s="21" t="n">
        <f aca="false">IF(D808&lt;=E808,1,0)</f>
        <v>1</v>
      </c>
      <c r="P808" s="23" t="n">
        <f aca="false">G808+H808</f>
        <v>56.22</v>
      </c>
      <c r="Q808" s="23" t="n">
        <f aca="false">G808*INDEX(Assumptions!$B$8:$B$16,MATCH(F808,Assumptions!$A$8:$A$16,0))</f>
        <v>24.1628</v>
      </c>
      <c r="R808" s="23" t="n">
        <f aca="false">H808*Assumptions!$B$3</f>
        <v>8.736</v>
      </c>
      <c r="S808" s="23" t="n">
        <f aca="false">G808-Q808-R808</f>
        <v>8.7612</v>
      </c>
      <c r="T808" s="21" t="str">
        <f aca="false">IF(M808&lt;=7,"0-7 days",IF(M808&lt;=14,"8-14 days",IF(M808&lt;=21,"15-21 days","22+ days")))</f>
        <v>8-14 days</v>
      </c>
    </row>
    <row r="809" customFormat="false" ht="15" hidden="false" customHeight="false" outlineLevel="0" collapsed="false">
      <c r="A809" s="21" t="s">
        <v>875</v>
      </c>
      <c r="B809" s="21" t="s">
        <v>55</v>
      </c>
      <c r="C809" s="22" t="n">
        <v>43081</v>
      </c>
      <c r="D809" s="22" t="n">
        <v>43099</v>
      </c>
      <c r="E809" s="22" t="n">
        <v>43100</v>
      </c>
      <c r="F809" s="21" t="s">
        <v>53</v>
      </c>
      <c r="G809" s="23" t="n">
        <v>69.78</v>
      </c>
      <c r="H809" s="23" t="n">
        <v>20.73</v>
      </c>
      <c r="I809" s="21" t="s">
        <v>45</v>
      </c>
      <c r="J809" s="21" t="n">
        <v>4</v>
      </c>
      <c r="K809" s="21" t="s">
        <v>46</v>
      </c>
      <c r="L809" s="24" t="n">
        <f aca="false">DATE(YEAR(C809),MONTH(C809),1)</f>
        <v>43070</v>
      </c>
      <c r="M809" s="21" t="n">
        <f aca="false">D809-C809</f>
        <v>18</v>
      </c>
      <c r="N809" s="21" t="n">
        <f aca="false">MAX(0,D809-E809)</f>
        <v>0</v>
      </c>
      <c r="O809" s="21" t="n">
        <f aca="false">IF(D809&lt;=E809,1,0)</f>
        <v>1</v>
      </c>
      <c r="P809" s="23" t="n">
        <f aca="false">G809+H809</f>
        <v>90.51</v>
      </c>
      <c r="Q809" s="23" t="n">
        <f aca="false">G809*INDEX(Assumptions!$B$8:$B$16,MATCH(F809,Assumptions!$A$8:$A$16,0))</f>
        <v>51.6372</v>
      </c>
      <c r="R809" s="23" t="n">
        <f aca="false">H809*Assumptions!$B$3</f>
        <v>12.438</v>
      </c>
      <c r="S809" s="23" t="n">
        <f aca="false">G809-Q809-R809</f>
        <v>5.7048</v>
      </c>
      <c r="T809" s="21" t="str">
        <f aca="false">IF(M809&lt;=7,"0-7 days",IF(M809&lt;=14,"8-14 days",IF(M809&lt;=21,"15-21 days","22+ days")))</f>
        <v>15-21 days</v>
      </c>
    </row>
    <row r="810" customFormat="false" ht="15" hidden="false" customHeight="false" outlineLevel="0" collapsed="false">
      <c r="A810" s="21" t="s">
        <v>876</v>
      </c>
      <c r="B810" s="21" t="s">
        <v>19</v>
      </c>
      <c r="C810" s="22" t="n">
        <v>43081</v>
      </c>
      <c r="D810" s="22" t="n">
        <v>43091</v>
      </c>
      <c r="E810" s="22" t="n">
        <v>43096</v>
      </c>
      <c r="F810" s="21" t="s">
        <v>79</v>
      </c>
      <c r="G810" s="23" t="n">
        <v>205.19</v>
      </c>
      <c r="H810" s="23" t="n">
        <v>16.05</v>
      </c>
      <c r="I810" s="21" t="s">
        <v>45</v>
      </c>
      <c r="J810" s="21" t="n">
        <v>5</v>
      </c>
      <c r="K810" s="21" t="s">
        <v>46</v>
      </c>
      <c r="L810" s="24" t="n">
        <f aca="false">DATE(YEAR(C810),MONTH(C810),1)</f>
        <v>43070</v>
      </c>
      <c r="M810" s="21" t="n">
        <f aca="false">D810-C810</f>
        <v>10</v>
      </c>
      <c r="N810" s="21" t="n">
        <f aca="false">MAX(0,D810-E810)</f>
        <v>0</v>
      </c>
      <c r="O810" s="21" t="n">
        <f aca="false">IF(D810&lt;=E810,1,0)</f>
        <v>1</v>
      </c>
      <c r="P810" s="23" t="n">
        <f aca="false">G810+H810</f>
        <v>221.24</v>
      </c>
      <c r="Q810" s="23" t="n">
        <f aca="false">G810*INDEX(Assumptions!$B$8:$B$16,MATCH(F810,Assumptions!$A$8:$A$16,0))</f>
        <v>143.633</v>
      </c>
      <c r="R810" s="23" t="n">
        <f aca="false">H810*Assumptions!$B$3</f>
        <v>9.63</v>
      </c>
      <c r="S810" s="23" t="n">
        <f aca="false">G810-Q810-R810</f>
        <v>51.927</v>
      </c>
      <c r="T810" s="21" t="str">
        <f aca="false">IF(M810&lt;=7,"0-7 days",IF(M810&lt;=14,"8-14 days",IF(M810&lt;=21,"15-21 days","22+ days")))</f>
        <v>8-14 days</v>
      </c>
    </row>
    <row r="811" customFormat="false" ht="15" hidden="false" customHeight="false" outlineLevel="0" collapsed="false">
      <c r="A811" s="21" t="s">
        <v>877</v>
      </c>
      <c r="B811" s="21" t="s">
        <v>19</v>
      </c>
      <c r="C811" s="22" t="n">
        <v>43082</v>
      </c>
      <c r="D811" s="22" t="n">
        <v>43101</v>
      </c>
      <c r="E811" s="22" t="n">
        <v>43099</v>
      </c>
      <c r="F811" s="21" t="s">
        <v>64</v>
      </c>
      <c r="G811" s="23" t="n">
        <v>88.08</v>
      </c>
      <c r="H811" s="23" t="n">
        <v>16.77</v>
      </c>
      <c r="I811" s="21" t="s">
        <v>45</v>
      </c>
      <c r="J811" s="21" t="n">
        <v>3</v>
      </c>
      <c r="K811" s="21" t="s">
        <v>46</v>
      </c>
      <c r="L811" s="24" t="n">
        <f aca="false">DATE(YEAR(C811),MONTH(C811),1)</f>
        <v>43070</v>
      </c>
      <c r="M811" s="21" t="n">
        <f aca="false">D811-C811</f>
        <v>19</v>
      </c>
      <c r="N811" s="21" t="n">
        <f aca="false">MAX(0,D811-E811)</f>
        <v>2</v>
      </c>
      <c r="O811" s="21" t="n">
        <f aca="false">IF(D811&lt;=E811,1,0)</f>
        <v>0</v>
      </c>
      <c r="P811" s="23" t="n">
        <f aca="false">G811+H811</f>
        <v>104.85</v>
      </c>
      <c r="Q811" s="23" t="n">
        <f aca="false">G811*INDEX(Assumptions!$B$8:$B$16,MATCH(F811,Assumptions!$A$8:$A$16,0))</f>
        <v>58.1328</v>
      </c>
      <c r="R811" s="23" t="n">
        <f aca="false">H811*Assumptions!$B$3</f>
        <v>10.062</v>
      </c>
      <c r="S811" s="23" t="n">
        <f aca="false">G811-Q811-R811</f>
        <v>19.8852</v>
      </c>
      <c r="T811" s="21" t="str">
        <f aca="false">IF(M811&lt;=7,"0-7 days",IF(M811&lt;=14,"8-14 days",IF(M811&lt;=21,"15-21 days","22+ days")))</f>
        <v>15-21 days</v>
      </c>
    </row>
    <row r="812" customFormat="false" ht="15" hidden="false" customHeight="false" outlineLevel="0" collapsed="false">
      <c r="A812" s="21" t="s">
        <v>878</v>
      </c>
      <c r="B812" s="21" t="s">
        <v>62</v>
      </c>
      <c r="C812" s="22" t="n">
        <v>43082</v>
      </c>
      <c r="D812" s="22" t="n">
        <v>43089</v>
      </c>
      <c r="E812" s="22" t="n">
        <v>43101</v>
      </c>
      <c r="F812" s="21" t="s">
        <v>57</v>
      </c>
      <c r="G812" s="23" t="n">
        <v>288.15</v>
      </c>
      <c r="H812" s="23" t="n">
        <v>29.55</v>
      </c>
      <c r="I812" s="21" t="s">
        <v>50</v>
      </c>
      <c r="J812" s="21" t="n">
        <v>4</v>
      </c>
      <c r="K812" s="21" t="s">
        <v>46</v>
      </c>
      <c r="L812" s="24" t="n">
        <f aca="false">DATE(YEAR(C812),MONTH(C812),1)</f>
        <v>43070</v>
      </c>
      <c r="M812" s="21" t="n">
        <f aca="false">D812-C812</f>
        <v>7</v>
      </c>
      <c r="N812" s="21" t="n">
        <f aca="false">MAX(0,D812-E812)</f>
        <v>0</v>
      </c>
      <c r="O812" s="21" t="n">
        <f aca="false">IF(D812&lt;=E812,1,0)</f>
        <v>1</v>
      </c>
      <c r="P812" s="23" t="n">
        <f aca="false">G812+H812</f>
        <v>317.7</v>
      </c>
      <c r="Q812" s="23" t="n">
        <f aca="false">G812*INDEX(Assumptions!$B$8:$B$16,MATCH(F812,Assumptions!$A$8:$A$16,0))</f>
        <v>195.942</v>
      </c>
      <c r="R812" s="23" t="n">
        <f aca="false">H812*Assumptions!$B$3</f>
        <v>17.73</v>
      </c>
      <c r="S812" s="23" t="n">
        <f aca="false">G812-Q812-R812</f>
        <v>74.478</v>
      </c>
      <c r="T812" s="21" t="str">
        <f aca="false">IF(M812&lt;=7,"0-7 days",IF(M812&lt;=14,"8-14 days",IF(M812&lt;=21,"15-21 days","22+ days")))</f>
        <v>0-7 days</v>
      </c>
    </row>
    <row r="813" customFormat="false" ht="15" hidden="false" customHeight="false" outlineLevel="0" collapsed="false">
      <c r="A813" s="21" t="s">
        <v>879</v>
      </c>
      <c r="B813" s="21" t="s">
        <v>62</v>
      </c>
      <c r="C813" s="22" t="n">
        <v>43082</v>
      </c>
      <c r="D813" s="22" t="n">
        <v>43094</v>
      </c>
      <c r="E813" s="22" t="n">
        <v>43103</v>
      </c>
      <c r="F813" s="21" t="s">
        <v>111</v>
      </c>
      <c r="G813" s="23" t="n">
        <v>62.39</v>
      </c>
      <c r="H813" s="23" t="n">
        <v>25.87</v>
      </c>
      <c r="I813" s="21" t="s">
        <v>45</v>
      </c>
      <c r="J813" s="21" t="n">
        <v>5</v>
      </c>
      <c r="K813" s="21" t="s">
        <v>46</v>
      </c>
      <c r="L813" s="24" t="n">
        <f aca="false">DATE(YEAR(C813),MONTH(C813),1)</f>
        <v>43070</v>
      </c>
      <c r="M813" s="21" t="n">
        <f aca="false">D813-C813</f>
        <v>12</v>
      </c>
      <c r="N813" s="21" t="n">
        <f aca="false">MAX(0,D813-E813)</f>
        <v>0</v>
      </c>
      <c r="O813" s="21" t="n">
        <f aca="false">IF(D813&lt;=E813,1,0)</f>
        <v>1</v>
      </c>
      <c r="P813" s="23" t="n">
        <f aca="false">G813+H813</f>
        <v>88.26</v>
      </c>
      <c r="Q813" s="23" t="n">
        <f aca="false">G813*INDEX(Assumptions!$B$8:$B$16,MATCH(F813,Assumptions!$A$8:$A$16,0))</f>
        <v>39.3057</v>
      </c>
      <c r="R813" s="23" t="n">
        <f aca="false">H813*Assumptions!$B$3</f>
        <v>15.522</v>
      </c>
      <c r="S813" s="23" t="n">
        <f aca="false">G813-Q813-R813</f>
        <v>7.5623</v>
      </c>
      <c r="T813" s="21" t="str">
        <f aca="false">IF(M813&lt;=7,"0-7 days",IF(M813&lt;=14,"8-14 days",IF(M813&lt;=21,"15-21 days","22+ days")))</f>
        <v>8-14 days</v>
      </c>
    </row>
    <row r="814" customFormat="false" ht="15" hidden="false" customHeight="false" outlineLevel="0" collapsed="false">
      <c r="A814" s="21" t="s">
        <v>880</v>
      </c>
      <c r="B814" s="21" t="s">
        <v>62</v>
      </c>
      <c r="C814" s="22" t="n">
        <v>43082</v>
      </c>
      <c r="D814" s="22" t="n">
        <v>43099</v>
      </c>
      <c r="E814" s="22" t="n">
        <v>43104</v>
      </c>
      <c r="F814" s="21" t="s">
        <v>79</v>
      </c>
      <c r="G814" s="23" t="n">
        <v>120.15</v>
      </c>
      <c r="H814" s="23" t="n">
        <v>16.43</v>
      </c>
      <c r="I814" s="21" t="s">
        <v>45</v>
      </c>
      <c r="J814" s="21" t="n">
        <v>5</v>
      </c>
      <c r="K814" s="21" t="s">
        <v>46</v>
      </c>
      <c r="L814" s="24" t="n">
        <f aca="false">DATE(YEAR(C814),MONTH(C814),1)</f>
        <v>43070</v>
      </c>
      <c r="M814" s="21" t="n">
        <f aca="false">D814-C814</f>
        <v>17</v>
      </c>
      <c r="N814" s="21" t="n">
        <f aca="false">MAX(0,D814-E814)</f>
        <v>0</v>
      </c>
      <c r="O814" s="21" t="n">
        <f aca="false">IF(D814&lt;=E814,1,0)</f>
        <v>1</v>
      </c>
      <c r="P814" s="23" t="n">
        <f aca="false">G814+H814</f>
        <v>136.58</v>
      </c>
      <c r="Q814" s="23" t="n">
        <f aca="false">G814*INDEX(Assumptions!$B$8:$B$16,MATCH(F814,Assumptions!$A$8:$A$16,0))</f>
        <v>84.105</v>
      </c>
      <c r="R814" s="23" t="n">
        <f aca="false">H814*Assumptions!$B$3</f>
        <v>9.858</v>
      </c>
      <c r="S814" s="23" t="n">
        <f aca="false">G814-Q814-R814</f>
        <v>26.187</v>
      </c>
      <c r="T814" s="21" t="str">
        <f aca="false">IF(M814&lt;=7,"0-7 days",IF(M814&lt;=14,"8-14 days",IF(M814&lt;=21,"15-21 days","22+ days")))</f>
        <v>15-21 days</v>
      </c>
    </row>
    <row r="815" customFormat="false" ht="15" hidden="false" customHeight="false" outlineLevel="0" collapsed="false">
      <c r="A815" s="21" t="s">
        <v>881</v>
      </c>
      <c r="B815" s="21" t="s">
        <v>19</v>
      </c>
      <c r="C815" s="22" t="n">
        <v>43082</v>
      </c>
      <c r="D815" s="22" t="n">
        <v>43096</v>
      </c>
      <c r="E815" s="22" t="n">
        <v>43098</v>
      </c>
      <c r="F815" s="21" t="s">
        <v>67</v>
      </c>
      <c r="G815" s="23" t="n">
        <v>73.03</v>
      </c>
      <c r="H815" s="23" t="n">
        <v>18.58</v>
      </c>
      <c r="I815" s="21" t="s">
        <v>45</v>
      </c>
      <c r="J815" s="21" t="n">
        <v>4</v>
      </c>
      <c r="K815" s="21" t="s">
        <v>46</v>
      </c>
      <c r="L815" s="24" t="n">
        <f aca="false">DATE(YEAR(C815),MONTH(C815),1)</f>
        <v>43070</v>
      </c>
      <c r="M815" s="21" t="n">
        <f aca="false">D815-C815</f>
        <v>14</v>
      </c>
      <c r="N815" s="21" t="n">
        <f aca="false">MAX(0,D815-E815)</f>
        <v>0</v>
      </c>
      <c r="O815" s="21" t="n">
        <f aca="false">IF(D815&lt;=E815,1,0)</f>
        <v>1</v>
      </c>
      <c r="P815" s="23" t="n">
        <f aca="false">G815+H815</f>
        <v>91.61</v>
      </c>
      <c r="Q815" s="23" t="n">
        <f aca="false">G815*INDEX(Assumptions!$B$8:$B$16,MATCH(F815,Assumptions!$A$8:$A$16,0))</f>
        <v>45.2786</v>
      </c>
      <c r="R815" s="23" t="n">
        <f aca="false">H815*Assumptions!$B$3</f>
        <v>11.148</v>
      </c>
      <c r="S815" s="23" t="n">
        <f aca="false">G815-Q815-R815</f>
        <v>16.6034</v>
      </c>
      <c r="T815" s="21" t="str">
        <f aca="false">IF(M815&lt;=7,"0-7 days",IF(M815&lt;=14,"8-14 days",IF(M815&lt;=21,"15-21 days","22+ days")))</f>
        <v>8-14 days</v>
      </c>
    </row>
    <row r="816" customFormat="false" ht="15" hidden="false" customHeight="false" outlineLevel="0" collapsed="false">
      <c r="A816" s="21" t="s">
        <v>882</v>
      </c>
      <c r="B816" s="21" t="s">
        <v>55</v>
      </c>
      <c r="C816" s="22" t="n">
        <v>43083</v>
      </c>
      <c r="D816" s="22" t="n">
        <v>43102</v>
      </c>
      <c r="E816" s="22" t="n">
        <v>43110</v>
      </c>
      <c r="F816" s="21" t="s">
        <v>111</v>
      </c>
      <c r="G816" s="23" t="n">
        <v>63.23</v>
      </c>
      <c r="H816" s="23" t="n">
        <v>16.95</v>
      </c>
      <c r="I816" s="21" t="s">
        <v>45</v>
      </c>
      <c r="J816" s="21" t="n">
        <v>3</v>
      </c>
      <c r="K816" s="21" t="s">
        <v>46</v>
      </c>
      <c r="L816" s="24" t="n">
        <f aca="false">DATE(YEAR(C816),MONTH(C816),1)</f>
        <v>43070</v>
      </c>
      <c r="M816" s="21" t="n">
        <f aca="false">D816-C816</f>
        <v>19</v>
      </c>
      <c r="N816" s="21" t="n">
        <f aca="false">MAX(0,D816-E816)</f>
        <v>0</v>
      </c>
      <c r="O816" s="21" t="n">
        <f aca="false">IF(D816&lt;=E816,1,0)</f>
        <v>1</v>
      </c>
      <c r="P816" s="23" t="n">
        <f aca="false">G816+H816</f>
        <v>80.18</v>
      </c>
      <c r="Q816" s="23" t="n">
        <f aca="false">G816*INDEX(Assumptions!$B$8:$B$16,MATCH(F816,Assumptions!$A$8:$A$16,0))</f>
        <v>39.8349</v>
      </c>
      <c r="R816" s="23" t="n">
        <f aca="false">H816*Assumptions!$B$3</f>
        <v>10.17</v>
      </c>
      <c r="S816" s="23" t="n">
        <f aca="false">G816-Q816-R816</f>
        <v>13.2251</v>
      </c>
      <c r="T816" s="21" t="str">
        <f aca="false">IF(M816&lt;=7,"0-7 days",IF(M816&lt;=14,"8-14 days",IF(M816&lt;=21,"15-21 days","22+ days")))</f>
        <v>15-21 days</v>
      </c>
    </row>
    <row r="817" customFormat="false" ht="15" hidden="false" customHeight="false" outlineLevel="0" collapsed="false">
      <c r="A817" s="21" t="s">
        <v>883</v>
      </c>
      <c r="B817" s="21" t="s">
        <v>19</v>
      </c>
      <c r="C817" s="22" t="n">
        <v>43083</v>
      </c>
      <c r="D817" s="22" t="n">
        <v>43092</v>
      </c>
      <c r="E817" s="22" t="n">
        <v>43100</v>
      </c>
      <c r="F817" s="21" t="s">
        <v>111</v>
      </c>
      <c r="G817" s="23" t="n">
        <v>55.57</v>
      </c>
      <c r="H817" s="23" t="n">
        <v>21.14</v>
      </c>
      <c r="I817" s="21" t="s">
        <v>45</v>
      </c>
      <c r="J817" s="21" t="n">
        <v>5</v>
      </c>
      <c r="K817" s="21" t="s">
        <v>46</v>
      </c>
      <c r="L817" s="24" t="n">
        <f aca="false">DATE(YEAR(C817),MONTH(C817),1)</f>
        <v>43070</v>
      </c>
      <c r="M817" s="21" t="n">
        <f aca="false">D817-C817</f>
        <v>9</v>
      </c>
      <c r="N817" s="21" t="n">
        <f aca="false">MAX(0,D817-E817)</f>
        <v>0</v>
      </c>
      <c r="O817" s="21" t="n">
        <f aca="false">IF(D817&lt;=E817,1,0)</f>
        <v>1</v>
      </c>
      <c r="P817" s="23" t="n">
        <f aca="false">G817+H817</f>
        <v>76.71</v>
      </c>
      <c r="Q817" s="23" t="n">
        <f aca="false">G817*INDEX(Assumptions!$B$8:$B$16,MATCH(F817,Assumptions!$A$8:$A$16,0))</f>
        <v>35.0091</v>
      </c>
      <c r="R817" s="23" t="n">
        <f aca="false">H817*Assumptions!$B$3</f>
        <v>12.684</v>
      </c>
      <c r="S817" s="23" t="n">
        <f aca="false">G817-Q817-R817</f>
        <v>7.8769</v>
      </c>
      <c r="T817" s="21" t="str">
        <f aca="false">IF(M817&lt;=7,"0-7 days",IF(M817&lt;=14,"8-14 days",IF(M817&lt;=21,"15-21 days","22+ days")))</f>
        <v>8-14 days</v>
      </c>
    </row>
    <row r="818" customFormat="false" ht="15" hidden="false" customHeight="false" outlineLevel="0" collapsed="false">
      <c r="A818" s="21" t="s">
        <v>884</v>
      </c>
      <c r="B818" s="21" t="s">
        <v>19</v>
      </c>
      <c r="C818" s="22" t="n">
        <v>43084</v>
      </c>
      <c r="D818" s="22" t="n">
        <v>43091</v>
      </c>
      <c r="E818" s="22" t="n">
        <v>43102</v>
      </c>
      <c r="F818" s="21" t="s">
        <v>53</v>
      </c>
      <c r="G818" s="23" t="n">
        <v>168.73</v>
      </c>
      <c r="H818" s="23" t="n">
        <v>23.28</v>
      </c>
      <c r="I818" s="21" t="s">
        <v>45</v>
      </c>
      <c r="J818" s="21" t="n">
        <v>4</v>
      </c>
      <c r="K818" s="21" t="s">
        <v>46</v>
      </c>
      <c r="L818" s="24" t="n">
        <f aca="false">DATE(YEAR(C818),MONTH(C818),1)</f>
        <v>43070</v>
      </c>
      <c r="M818" s="21" t="n">
        <f aca="false">D818-C818</f>
        <v>7</v>
      </c>
      <c r="N818" s="21" t="n">
        <f aca="false">MAX(0,D818-E818)</f>
        <v>0</v>
      </c>
      <c r="O818" s="21" t="n">
        <f aca="false">IF(D818&lt;=E818,1,0)</f>
        <v>1</v>
      </c>
      <c r="P818" s="23" t="n">
        <f aca="false">G818+H818</f>
        <v>192.01</v>
      </c>
      <c r="Q818" s="23" t="n">
        <f aca="false">G818*INDEX(Assumptions!$B$8:$B$16,MATCH(F818,Assumptions!$A$8:$A$16,0))</f>
        <v>124.8602</v>
      </c>
      <c r="R818" s="23" t="n">
        <f aca="false">H818*Assumptions!$B$3</f>
        <v>13.968</v>
      </c>
      <c r="S818" s="23" t="n">
        <f aca="false">G818-Q818-R818</f>
        <v>29.9018</v>
      </c>
      <c r="T818" s="21" t="str">
        <f aca="false">IF(M818&lt;=7,"0-7 days",IF(M818&lt;=14,"8-14 days",IF(M818&lt;=21,"15-21 days","22+ days")))</f>
        <v>0-7 days</v>
      </c>
    </row>
    <row r="819" customFormat="false" ht="15" hidden="false" customHeight="false" outlineLevel="0" collapsed="false">
      <c r="A819" s="21" t="s">
        <v>885</v>
      </c>
      <c r="B819" s="21" t="s">
        <v>55</v>
      </c>
      <c r="C819" s="22" t="n">
        <v>43084</v>
      </c>
      <c r="D819" s="22" t="n">
        <v>43104</v>
      </c>
      <c r="E819" s="22" t="n">
        <v>43109</v>
      </c>
      <c r="F819" s="21" t="s">
        <v>64</v>
      </c>
      <c r="G819" s="23" t="n">
        <v>228.35</v>
      </c>
      <c r="H819" s="23" t="n">
        <v>31.32</v>
      </c>
      <c r="I819" s="21" t="s">
        <v>45</v>
      </c>
      <c r="J819" s="21" t="n">
        <v>3</v>
      </c>
      <c r="K819" s="21" t="s">
        <v>46</v>
      </c>
      <c r="L819" s="24" t="n">
        <f aca="false">DATE(YEAR(C819),MONTH(C819),1)</f>
        <v>43070</v>
      </c>
      <c r="M819" s="21" t="n">
        <f aca="false">D819-C819</f>
        <v>20</v>
      </c>
      <c r="N819" s="21" t="n">
        <f aca="false">MAX(0,D819-E819)</f>
        <v>0</v>
      </c>
      <c r="O819" s="21" t="n">
        <f aca="false">IF(D819&lt;=E819,1,0)</f>
        <v>1</v>
      </c>
      <c r="P819" s="23" t="n">
        <f aca="false">G819+H819</f>
        <v>259.67</v>
      </c>
      <c r="Q819" s="23" t="n">
        <f aca="false">G819*INDEX(Assumptions!$B$8:$B$16,MATCH(F819,Assumptions!$A$8:$A$16,0))</f>
        <v>150.711</v>
      </c>
      <c r="R819" s="23" t="n">
        <f aca="false">H819*Assumptions!$B$3</f>
        <v>18.792</v>
      </c>
      <c r="S819" s="23" t="n">
        <f aca="false">G819-Q819-R819</f>
        <v>58.847</v>
      </c>
      <c r="T819" s="21" t="str">
        <f aca="false">IF(M819&lt;=7,"0-7 days",IF(M819&lt;=14,"8-14 days",IF(M819&lt;=21,"15-21 days","22+ days")))</f>
        <v>15-21 days</v>
      </c>
    </row>
    <row r="820" customFormat="false" ht="15" hidden="false" customHeight="false" outlineLevel="0" collapsed="false">
      <c r="A820" s="21" t="s">
        <v>886</v>
      </c>
      <c r="B820" s="21" t="s">
        <v>48</v>
      </c>
      <c r="C820" s="22" t="n">
        <v>43084</v>
      </c>
      <c r="D820" s="22" t="n">
        <v>43102</v>
      </c>
      <c r="E820" s="22" t="n">
        <v>43106</v>
      </c>
      <c r="F820" s="21" t="s">
        <v>49</v>
      </c>
      <c r="G820" s="23" t="n">
        <v>153.1</v>
      </c>
      <c r="H820" s="23" t="n">
        <v>25.95</v>
      </c>
      <c r="I820" s="21" t="s">
        <v>45</v>
      </c>
      <c r="J820" s="21" t="n">
        <v>4</v>
      </c>
      <c r="K820" s="21" t="s">
        <v>46</v>
      </c>
      <c r="L820" s="24" t="n">
        <f aca="false">DATE(YEAR(C820),MONTH(C820),1)</f>
        <v>43070</v>
      </c>
      <c r="M820" s="21" t="n">
        <f aca="false">D820-C820</f>
        <v>18</v>
      </c>
      <c r="N820" s="21" t="n">
        <f aca="false">MAX(0,D820-E820)</f>
        <v>0</v>
      </c>
      <c r="O820" s="21" t="n">
        <f aca="false">IF(D820&lt;=E820,1,0)</f>
        <v>1</v>
      </c>
      <c r="P820" s="23" t="n">
        <f aca="false">G820+H820</f>
        <v>179.05</v>
      </c>
      <c r="Q820" s="23" t="n">
        <f aca="false">G820*INDEX(Assumptions!$B$8:$B$16,MATCH(F820,Assumptions!$A$8:$A$16,0))</f>
        <v>88.798</v>
      </c>
      <c r="R820" s="23" t="n">
        <f aca="false">H820*Assumptions!$B$3</f>
        <v>15.57</v>
      </c>
      <c r="S820" s="23" t="n">
        <f aca="false">G820-Q820-R820</f>
        <v>48.732</v>
      </c>
      <c r="T820" s="21" t="str">
        <f aca="false">IF(M820&lt;=7,"0-7 days",IF(M820&lt;=14,"8-14 days",IF(M820&lt;=21,"15-21 days","22+ days")))</f>
        <v>15-21 days</v>
      </c>
    </row>
    <row r="821" customFormat="false" ht="15" hidden="false" customHeight="false" outlineLevel="0" collapsed="false">
      <c r="A821" s="21" t="s">
        <v>887</v>
      </c>
      <c r="B821" s="21" t="s">
        <v>55</v>
      </c>
      <c r="C821" s="22" t="n">
        <v>43085</v>
      </c>
      <c r="D821" s="22" t="n">
        <v>43107</v>
      </c>
      <c r="E821" s="22" t="n">
        <v>43108</v>
      </c>
      <c r="F821" s="21" t="s">
        <v>79</v>
      </c>
      <c r="G821" s="23" t="n">
        <v>88.64</v>
      </c>
      <c r="H821" s="23" t="n">
        <v>25.46</v>
      </c>
      <c r="I821" s="21" t="s">
        <v>45</v>
      </c>
      <c r="J821" s="21" t="n">
        <v>4</v>
      </c>
      <c r="K821" s="21" t="s">
        <v>46</v>
      </c>
      <c r="L821" s="24" t="n">
        <f aca="false">DATE(YEAR(C821),MONTH(C821),1)</f>
        <v>43070</v>
      </c>
      <c r="M821" s="21" t="n">
        <f aca="false">D821-C821</f>
        <v>22</v>
      </c>
      <c r="N821" s="21" t="n">
        <f aca="false">MAX(0,D821-E821)</f>
        <v>0</v>
      </c>
      <c r="O821" s="21" t="n">
        <f aca="false">IF(D821&lt;=E821,1,0)</f>
        <v>1</v>
      </c>
      <c r="P821" s="23" t="n">
        <f aca="false">G821+H821</f>
        <v>114.1</v>
      </c>
      <c r="Q821" s="23" t="n">
        <f aca="false">G821*INDEX(Assumptions!$B$8:$B$16,MATCH(F821,Assumptions!$A$8:$A$16,0))</f>
        <v>62.048</v>
      </c>
      <c r="R821" s="23" t="n">
        <f aca="false">H821*Assumptions!$B$3</f>
        <v>15.276</v>
      </c>
      <c r="S821" s="23" t="n">
        <f aca="false">G821-Q821-R821</f>
        <v>11.316</v>
      </c>
      <c r="T821" s="21" t="str">
        <f aca="false">IF(M821&lt;=7,"0-7 days",IF(M821&lt;=14,"8-14 days",IF(M821&lt;=21,"15-21 days","22+ days")))</f>
        <v>22+ days</v>
      </c>
    </row>
    <row r="822" customFormat="false" ht="15" hidden="false" customHeight="false" outlineLevel="0" collapsed="false">
      <c r="A822" s="21" t="s">
        <v>888</v>
      </c>
      <c r="B822" s="21" t="s">
        <v>55</v>
      </c>
      <c r="C822" s="22" t="n">
        <v>43085</v>
      </c>
      <c r="D822" s="22" t="n">
        <v>43112</v>
      </c>
      <c r="E822" s="22" t="n">
        <v>43107</v>
      </c>
      <c r="F822" s="21" t="s">
        <v>67</v>
      </c>
      <c r="G822" s="23" t="n">
        <v>107.71</v>
      </c>
      <c r="H822" s="23" t="n">
        <v>23.86</v>
      </c>
      <c r="I822" s="21" t="s">
        <v>45</v>
      </c>
      <c r="J822" s="21" t="n">
        <v>3</v>
      </c>
      <c r="K822" s="21" t="s">
        <v>46</v>
      </c>
      <c r="L822" s="24" t="n">
        <f aca="false">DATE(YEAR(C822),MONTH(C822),1)</f>
        <v>43070</v>
      </c>
      <c r="M822" s="21" t="n">
        <f aca="false">D822-C822</f>
        <v>27</v>
      </c>
      <c r="N822" s="21" t="n">
        <f aca="false">MAX(0,D822-E822)</f>
        <v>5</v>
      </c>
      <c r="O822" s="21" t="n">
        <f aca="false">IF(D822&lt;=E822,1,0)</f>
        <v>0</v>
      </c>
      <c r="P822" s="23" t="n">
        <f aca="false">G822+H822</f>
        <v>131.57</v>
      </c>
      <c r="Q822" s="23" t="n">
        <f aca="false">G822*INDEX(Assumptions!$B$8:$B$16,MATCH(F822,Assumptions!$A$8:$A$16,0))</f>
        <v>66.7802</v>
      </c>
      <c r="R822" s="23" t="n">
        <f aca="false">H822*Assumptions!$B$3</f>
        <v>14.316</v>
      </c>
      <c r="S822" s="23" t="n">
        <f aca="false">G822-Q822-R822</f>
        <v>26.6138</v>
      </c>
      <c r="T822" s="21" t="str">
        <f aca="false">IF(M822&lt;=7,"0-7 days",IF(M822&lt;=14,"8-14 days",IF(M822&lt;=21,"15-21 days","22+ days")))</f>
        <v>22+ days</v>
      </c>
    </row>
    <row r="823" customFormat="false" ht="15" hidden="false" customHeight="false" outlineLevel="0" collapsed="false">
      <c r="A823" s="21" t="s">
        <v>889</v>
      </c>
      <c r="B823" s="21" t="s">
        <v>19</v>
      </c>
      <c r="C823" s="22" t="n">
        <v>43085</v>
      </c>
      <c r="D823" s="22" t="n">
        <v>43089</v>
      </c>
      <c r="E823" s="22" t="n">
        <v>43100</v>
      </c>
      <c r="F823" s="21" t="s">
        <v>53</v>
      </c>
      <c r="G823" s="23" t="n">
        <v>79.54</v>
      </c>
      <c r="H823" s="23" t="n">
        <v>18.75</v>
      </c>
      <c r="I823" s="21" t="s">
        <v>45</v>
      </c>
      <c r="J823" s="21" t="n">
        <v>5</v>
      </c>
      <c r="K823" s="21" t="s">
        <v>46</v>
      </c>
      <c r="L823" s="24" t="n">
        <f aca="false">DATE(YEAR(C823),MONTH(C823),1)</f>
        <v>43070</v>
      </c>
      <c r="M823" s="21" t="n">
        <f aca="false">D823-C823</f>
        <v>4</v>
      </c>
      <c r="N823" s="21" t="n">
        <f aca="false">MAX(0,D823-E823)</f>
        <v>0</v>
      </c>
      <c r="O823" s="21" t="n">
        <f aca="false">IF(D823&lt;=E823,1,0)</f>
        <v>1</v>
      </c>
      <c r="P823" s="23" t="n">
        <f aca="false">G823+H823</f>
        <v>98.29</v>
      </c>
      <c r="Q823" s="23" t="n">
        <f aca="false">G823*INDEX(Assumptions!$B$8:$B$16,MATCH(F823,Assumptions!$A$8:$A$16,0))</f>
        <v>58.8596</v>
      </c>
      <c r="R823" s="23" t="n">
        <f aca="false">H823*Assumptions!$B$3</f>
        <v>11.25</v>
      </c>
      <c r="S823" s="23" t="n">
        <f aca="false">G823-Q823-R823</f>
        <v>9.4304</v>
      </c>
      <c r="T823" s="21" t="str">
        <f aca="false">IF(M823&lt;=7,"0-7 days",IF(M823&lt;=14,"8-14 days",IF(M823&lt;=21,"15-21 days","22+ days")))</f>
        <v>0-7 days</v>
      </c>
    </row>
    <row r="824" customFormat="false" ht="15" hidden="false" customHeight="false" outlineLevel="0" collapsed="false">
      <c r="A824" s="21" t="s">
        <v>890</v>
      </c>
      <c r="B824" s="21" t="s">
        <v>52</v>
      </c>
      <c r="C824" s="22" t="n">
        <v>43085</v>
      </c>
      <c r="D824" s="22" t="n">
        <v>43100</v>
      </c>
      <c r="E824" s="22" t="n">
        <v>43107</v>
      </c>
      <c r="F824" s="21" t="s">
        <v>44</v>
      </c>
      <c r="G824" s="23" t="n">
        <v>42.06</v>
      </c>
      <c r="H824" s="23" t="n">
        <v>23.76</v>
      </c>
      <c r="I824" s="21" t="s">
        <v>45</v>
      </c>
      <c r="J824" s="21" t="n">
        <v>4</v>
      </c>
      <c r="K824" s="21" t="s">
        <v>46</v>
      </c>
      <c r="L824" s="24" t="n">
        <f aca="false">DATE(YEAR(C824),MONTH(C824),1)</f>
        <v>43070</v>
      </c>
      <c r="M824" s="21" t="n">
        <f aca="false">D824-C824</f>
        <v>15</v>
      </c>
      <c r="N824" s="21" t="n">
        <f aca="false">MAX(0,D824-E824)</f>
        <v>0</v>
      </c>
      <c r="O824" s="21" t="n">
        <f aca="false">IF(D824&lt;=E824,1,0)</f>
        <v>1</v>
      </c>
      <c r="P824" s="23" t="n">
        <f aca="false">G824+H824</f>
        <v>65.82</v>
      </c>
      <c r="Q824" s="23" t="n">
        <f aca="false">G824*INDEX(Assumptions!$B$8:$B$16,MATCH(F824,Assumptions!$A$8:$A$16,0))</f>
        <v>25.236</v>
      </c>
      <c r="R824" s="23" t="n">
        <f aca="false">H824*Assumptions!$B$3</f>
        <v>14.256</v>
      </c>
      <c r="S824" s="23" t="n">
        <f aca="false">G824-Q824-R824</f>
        <v>2.568</v>
      </c>
      <c r="T824" s="21" t="str">
        <f aca="false">IF(M824&lt;=7,"0-7 days",IF(M824&lt;=14,"8-14 days",IF(M824&lt;=21,"15-21 days","22+ days")))</f>
        <v>15-21 days</v>
      </c>
    </row>
    <row r="825" customFormat="false" ht="15" hidden="false" customHeight="false" outlineLevel="0" collapsed="false">
      <c r="A825" s="21" t="s">
        <v>891</v>
      </c>
      <c r="B825" s="21" t="s">
        <v>55</v>
      </c>
      <c r="C825" s="22" t="n">
        <v>43086</v>
      </c>
      <c r="D825" s="22" t="n">
        <v>43120</v>
      </c>
      <c r="E825" s="22" t="n">
        <v>43111</v>
      </c>
      <c r="F825" s="21" t="s">
        <v>79</v>
      </c>
      <c r="G825" s="23" t="n">
        <v>107.66</v>
      </c>
      <c r="H825" s="23" t="n">
        <v>24.97</v>
      </c>
      <c r="I825" s="21" t="s">
        <v>60</v>
      </c>
      <c r="J825" s="21" t="n">
        <v>1</v>
      </c>
      <c r="K825" s="21" t="s">
        <v>46</v>
      </c>
      <c r="L825" s="24" t="n">
        <f aca="false">DATE(YEAR(C825),MONTH(C825),1)</f>
        <v>43070</v>
      </c>
      <c r="M825" s="21" t="n">
        <f aca="false">D825-C825</f>
        <v>34</v>
      </c>
      <c r="N825" s="21" t="n">
        <f aca="false">MAX(0,D825-E825)</f>
        <v>9</v>
      </c>
      <c r="O825" s="21" t="n">
        <f aca="false">IF(D825&lt;=E825,1,0)</f>
        <v>0</v>
      </c>
      <c r="P825" s="23" t="n">
        <f aca="false">G825+H825</f>
        <v>132.63</v>
      </c>
      <c r="Q825" s="23" t="n">
        <f aca="false">G825*INDEX(Assumptions!$B$8:$B$16,MATCH(F825,Assumptions!$A$8:$A$16,0))</f>
        <v>75.362</v>
      </c>
      <c r="R825" s="23" t="n">
        <f aca="false">H825*Assumptions!$B$3</f>
        <v>14.982</v>
      </c>
      <c r="S825" s="23" t="n">
        <f aca="false">G825-Q825-R825</f>
        <v>17.316</v>
      </c>
      <c r="T825" s="21" t="str">
        <f aca="false">IF(M825&lt;=7,"0-7 days",IF(M825&lt;=14,"8-14 days",IF(M825&lt;=21,"15-21 days","22+ days")))</f>
        <v>22+ days</v>
      </c>
    </row>
    <row r="826" customFormat="false" ht="15" hidden="false" customHeight="false" outlineLevel="0" collapsed="false">
      <c r="A826" s="21" t="s">
        <v>892</v>
      </c>
      <c r="B826" s="21" t="s">
        <v>62</v>
      </c>
      <c r="C826" s="22" t="n">
        <v>43086</v>
      </c>
      <c r="D826" s="22" t="n">
        <v>43104</v>
      </c>
      <c r="E826" s="22" t="n">
        <v>43107</v>
      </c>
      <c r="F826" s="21" t="s">
        <v>79</v>
      </c>
      <c r="G826" s="23" t="n">
        <v>102.3</v>
      </c>
      <c r="H826" s="23" t="n">
        <v>23.41</v>
      </c>
      <c r="I826" s="21" t="s">
        <v>45</v>
      </c>
      <c r="J826" s="21" t="n">
        <v>2</v>
      </c>
      <c r="K826" s="21" t="s">
        <v>46</v>
      </c>
      <c r="L826" s="24" t="n">
        <f aca="false">DATE(YEAR(C826),MONTH(C826),1)</f>
        <v>43070</v>
      </c>
      <c r="M826" s="21" t="n">
        <f aca="false">D826-C826</f>
        <v>18</v>
      </c>
      <c r="N826" s="21" t="n">
        <f aca="false">MAX(0,D826-E826)</f>
        <v>0</v>
      </c>
      <c r="O826" s="21" t="n">
        <f aca="false">IF(D826&lt;=E826,1,0)</f>
        <v>1</v>
      </c>
      <c r="P826" s="23" t="n">
        <f aca="false">G826+H826</f>
        <v>125.71</v>
      </c>
      <c r="Q826" s="23" t="n">
        <f aca="false">G826*INDEX(Assumptions!$B$8:$B$16,MATCH(F826,Assumptions!$A$8:$A$16,0))</f>
        <v>71.61</v>
      </c>
      <c r="R826" s="23" t="n">
        <f aca="false">H826*Assumptions!$B$3</f>
        <v>14.046</v>
      </c>
      <c r="S826" s="23" t="n">
        <f aca="false">G826-Q826-R826</f>
        <v>16.644</v>
      </c>
      <c r="T826" s="21" t="str">
        <f aca="false">IF(M826&lt;=7,"0-7 days",IF(M826&lt;=14,"8-14 days",IF(M826&lt;=21,"15-21 days","22+ days")))</f>
        <v>15-21 days</v>
      </c>
    </row>
    <row r="827" customFormat="false" ht="15" hidden="false" customHeight="false" outlineLevel="0" collapsed="false">
      <c r="A827" s="21" t="s">
        <v>893</v>
      </c>
      <c r="B827" s="21" t="s">
        <v>19</v>
      </c>
      <c r="C827" s="22" t="n">
        <v>43086</v>
      </c>
      <c r="D827" s="22" t="n">
        <v>43090</v>
      </c>
      <c r="E827" s="22" t="n">
        <v>43103</v>
      </c>
      <c r="F827" s="21" t="s">
        <v>44</v>
      </c>
      <c r="G827" s="23" t="n">
        <v>150.92</v>
      </c>
      <c r="H827" s="23" t="n">
        <v>18.76</v>
      </c>
      <c r="I827" s="21" t="s">
        <v>60</v>
      </c>
      <c r="J827" s="21" t="n">
        <v>3</v>
      </c>
      <c r="K827" s="21" t="s">
        <v>46</v>
      </c>
      <c r="L827" s="24" t="n">
        <f aca="false">DATE(YEAR(C827),MONTH(C827),1)</f>
        <v>43070</v>
      </c>
      <c r="M827" s="21" t="n">
        <f aca="false">D827-C827</f>
        <v>4</v>
      </c>
      <c r="N827" s="21" t="n">
        <f aca="false">MAX(0,D827-E827)</f>
        <v>0</v>
      </c>
      <c r="O827" s="21" t="n">
        <f aca="false">IF(D827&lt;=E827,1,0)</f>
        <v>1</v>
      </c>
      <c r="P827" s="23" t="n">
        <f aca="false">G827+H827</f>
        <v>169.68</v>
      </c>
      <c r="Q827" s="23" t="n">
        <f aca="false">G827*INDEX(Assumptions!$B$8:$B$16,MATCH(F827,Assumptions!$A$8:$A$16,0))</f>
        <v>90.552</v>
      </c>
      <c r="R827" s="23" t="n">
        <f aca="false">H827*Assumptions!$B$3</f>
        <v>11.256</v>
      </c>
      <c r="S827" s="23" t="n">
        <f aca="false">G827-Q827-R827</f>
        <v>49.112</v>
      </c>
      <c r="T827" s="21" t="str">
        <f aca="false">IF(M827&lt;=7,"0-7 days",IF(M827&lt;=14,"8-14 days",IF(M827&lt;=21,"15-21 days","22+ days")))</f>
        <v>0-7 days</v>
      </c>
    </row>
    <row r="828" customFormat="false" ht="15" hidden="false" customHeight="false" outlineLevel="0" collapsed="false">
      <c r="A828" s="21" t="s">
        <v>894</v>
      </c>
      <c r="B828" s="21" t="s">
        <v>19</v>
      </c>
      <c r="C828" s="22" t="n">
        <v>43087</v>
      </c>
      <c r="D828" s="22" t="n">
        <v>43097</v>
      </c>
      <c r="E828" s="22" t="n">
        <v>43101</v>
      </c>
      <c r="F828" s="21" t="s">
        <v>49</v>
      </c>
      <c r="G828" s="23" t="n">
        <v>119.39</v>
      </c>
      <c r="H828" s="23" t="n">
        <v>14.98</v>
      </c>
      <c r="I828" s="21" t="s">
        <v>45</v>
      </c>
      <c r="J828" s="21" t="n">
        <v>5</v>
      </c>
      <c r="K828" s="21" t="s">
        <v>46</v>
      </c>
      <c r="L828" s="24" t="n">
        <f aca="false">DATE(YEAR(C828),MONTH(C828),1)</f>
        <v>43070</v>
      </c>
      <c r="M828" s="21" t="n">
        <f aca="false">D828-C828</f>
        <v>10</v>
      </c>
      <c r="N828" s="21" t="n">
        <f aca="false">MAX(0,D828-E828)</f>
        <v>0</v>
      </c>
      <c r="O828" s="21" t="n">
        <f aca="false">IF(D828&lt;=E828,1,0)</f>
        <v>1</v>
      </c>
      <c r="P828" s="23" t="n">
        <f aca="false">G828+H828</f>
        <v>134.37</v>
      </c>
      <c r="Q828" s="23" t="n">
        <f aca="false">G828*INDEX(Assumptions!$B$8:$B$16,MATCH(F828,Assumptions!$A$8:$A$16,0))</f>
        <v>69.2462</v>
      </c>
      <c r="R828" s="23" t="n">
        <f aca="false">H828*Assumptions!$B$3</f>
        <v>8.988</v>
      </c>
      <c r="S828" s="23" t="n">
        <f aca="false">G828-Q828-R828</f>
        <v>41.1558</v>
      </c>
      <c r="T828" s="21" t="str">
        <f aca="false">IF(M828&lt;=7,"0-7 days",IF(M828&lt;=14,"8-14 days",IF(M828&lt;=21,"15-21 days","22+ days")))</f>
        <v>8-14 days</v>
      </c>
    </row>
    <row r="829" customFormat="false" ht="15" hidden="false" customHeight="false" outlineLevel="0" collapsed="false">
      <c r="A829" s="21" t="s">
        <v>895</v>
      </c>
      <c r="B829" s="21" t="s">
        <v>52</v>
      </c>
      <c r="C829" s="22" t="n">
        <v>43087</v>
      </c>
      <c r="D829" s="22" t="n">
        <v>43099</v>
      </c>
      <c r="E829" s="22" t="n">
        <v>43113</v>
      </c>
      <c r="F829" s="21" t="s">
        <v>67</v>
      </c>
      <c r="G829" s="23" t="n">
        <v>54.15</v>
      </c>
      <c r="H829" s="23" t="n">
        <v>27.18</v>
      </c>
      <c r="I829" s="21" t="s">
        <v>45</v>
      </c>
      <c r="J829" s="21" t="n">
        <v>4</v>
      </c>
      <c r="K829" s="21" t="s">
        <v>46</v>
      </c>
      <c r="L829" s="24" t="n">
        <f aca="false">DATE(YEAR(C829),MONTH(C829),1)</f>
        <v>43070</v>
      </c>
      <c r="M829" s="21" t="n">
        <f aca="false">D829-C829</f>
        <v>12</v>
      </c>
      <c r="N829" s="21" t="n">
        <f aca="false">MAX(0,D829-E829)</f>
        <v>0</v>
      </c>
      <c r="O829" s="21" t="n">
        <f aca="false">IF(D829&lt;=E829,1,0)</f>
        <v>1</v>
      </c>
      <c r="P829" s="23" t="n">
        <f aca="false">G829+H829</f>
        <v>81.33</v>
      </c>
      <c r="Q829" s="23" t="n">
        <f aca="false">G829*INDEX(Assumptions!$B$8:$B$16,MATCH(F829,Assumptions!$A$8:$A$16,0))</f>
        <v>33.573</v>
      </c>
      <c r="R829" s="23" t="n">
        <f aca="false">H829*Assumptions!$B$3</f>
        <v>16.308</v>
      </c>
      <c r="S829" s="23" t="n">
        <f aca="false">G829-Q829-R829</f>
        <v>4.269</v>
      </c>
      <c r="T829" s="21" t="str">
        <f aca="false">IF(M829&lt;=7,"0-7 days",IF(M829&lt;=14,"8-14 days",IF(M829&lt;=21,"15-21 days","22+ days")))</f>
        <v>8-14 days</v>
      </c>
    </row>
    <row r="830" customFormat="false" ht="15" hidden="false" customHeight="false" outlineLevel="0" collapsed="false">
      <c r="A830" s="21" t="s">
        <v>896</v>
      </c>
      <c r="B830" s="21" t="s">
        <v>55</v>
      </c>
      <c r="C830" s="22" t="n">
        <v>43087</v>
      </c>
      <c r="D830" s="22" t="n">
        <v>43103</v>
      </c>
      <c r="E830" s="22" t="n">
        <v>43112</v>
      </c>
      <c r="F830" s="21" t="s">
        <v>44</v>
      </c>
      <c r="G830" s="23" t="n">
        <v>45.9</v>
      </c>
      <c r="H830" s="23" t="n">
        <v>20.4</v>
      </c>
      <c r="I830" s="21" t="s">
        <v>45</v>
      </c>
      <c r="J830" s="21" t="n">
        <v>5</v>
      </c>
      <c r="K830" s="21" t="s">
        <v>46</v>
      </c>
      <c r="L830" s="24" t="n">
        <f aca="false">DATE(YEAR(C830),MONTH(C830),1)</f>
        <v>43070</v>
      </c>
      <c r="M830" s="21" t="n">
        <f aca="false">D830-C830</f>
        <v>16</v>
      </c>
      <c r="N830" s="21" t="n">
        <f aca="false">MAX(0,D830-E830)</f>
        <v>0</v>
      </c>
      <c r="O830" s="21" t="n">
        <f aca="false">IF(D830&lt;=E830,1,0)</f>
        <v>1</v>
      </c>
      <c r="P830" s="23" t="n">
        <f aca="false">G830+H830</f>
        <v>66.3</v>
      </c>
      <c r="Q830" s="23" t="n">
        <f aca="false">G830*INDEX(Assumptions!$B$8:$B$16,MATCH(F830,Assumptions!$A$8:$A$16,0))</f>
        <v>27.54</v>
      </c>
      <c r="R830" s="23" t="n">
        <f aca="false">H830*Assumptions!$B$3</f>
        <v>12.24</v>
      </c>
      <c r="S830" s="23" t="n">
        <f aca="false">G830-Q830-R830</f>
        <v>6.12</v>
      </c>
      <c r="T830" s="21" t="str">
        <f aca="false">IF(M830&lt;=7,"0-7 days",IF(M830&lt;=14,"8-14 days",IF(M830&lt;=21,"15-21 days","22+ days")))</f>
        <v>15-21 days</v>
      </c>
    </row>
    <row r="831" customFormat="false" ht="15" hidden="false" customHeight="false" outlineLevel="0" collapsed="false">
      <c r="A831" s="21" t="s">
        <v>897</v>
      </c>
      <c r="B831" s="21" t="s">
        <v>134</v>
      </c>
      <c r="C831" s="22" t="n">
        <v>43087</v>
      </c>
      <c r="D831" s="22" t="n">
        <v>43103</v>
      </c>
      <c r="E831" s="22" t="n">
        <v>43111</v>
      </c>
      <c r="F831" s="21" t="s">
        <v>49</v>
      </c>
      <c r="G831" s="23" t="n">
        <v>84.25</v>
      </c>
      <c r="H831" s="23" t="n">
        <v>20.77</v>
      </c>
      <c r="I831" s="21" t="s">
        <v>45</v>
      </c>
      <c r="J831" s="21" t="n">
        <v>5</v>
      </c>
      <c r="K831" s="21" t="s">
        <v>46</v>
      </c>
      <c r="L831" s="24" t="n">
        <f aca="false">DATE(YEAR(C831),MONTH(C831),1)</f>
        <v>43070</v>
      </c>
      <c r="M831" s="21" t="n">
        <f aca="false">D831-C831</f>
        <v>16</v>
      </c>
      <c r="N831" s="21" t="n">
        <f aca="false">MAX(0,D831-E831)</f>
        <v>0</v>
      </c>
      <c r="O831" s="21" t="n">
        <f aca="false">IF(D831&lt;=E831,1,0)</f>
        <v>1</v>
      </c>
      <c r="P831" s="23" t="n">
        <f aca="false">G831+H831</f>
        <v>105.02</v>
      </c>
      <c r="Q831" s="23" t="n">
        <f aca="false">G831*INDEX(Assumptions!$B$8:$B$16,MATCH(F831,Assumptions!$A$8:$A$16,0))</f>
        <v>48.865</v>
      </c>
      <c r="R831" s="23" t="n">
        <f aca="false">H831*Assumptions!$B$3</f>
        <v>12.462</v>
      </c>
      <c r="S831" s="23" t="n">
        <f aca="false">G831-Q831-R831</f>
        <v>22.923</v>
      </c>
      <c r="T831" s="21" t="str">
        <f aca="false">IF(M831&lt;=7,"0-7 days",IF(M831&lt;=14,"8-14 days",IF(M831&lt;=21,"15-21 days","22+ days")))</f>
        <v>15-21 days</v>
      </c>
    </row>
    <row r="832" customFormat="false" ht="15" hidden="false" customHeight="false" outlineLevel="0" collapsed="false">
      <c r="A832" s="21" t="s">
        <v>898</v>
      </c>
      <c r="B832" s="21" t="s">
        <v>174</v>
      </c>
      <c r="C832" s="22" t="n">
        <v>43087</v>
      </c>
      <c r="D832" s="22" t="n">
        <v>43113</v>
      </c>
      <c r="E832" s="22" t="n">
        <v>43123</v>
      </c>
      <c r="F832" s="21" t="s">
        <v>67</v>
      </c>
      <c r="G832" s="23" t="n">
        <v>56.8</v>
      </c>
      <c r="H832" s="23" t="n">
        <v>35.13</v>
      </c>
      <c r="I832" s="21" t="s">
        <v>45</v>
      </c>
      <c r="J832" s="21" t="n">
        <v>4</v>
      </c>
      <c r="K832" s="21" t="s">
        <v>46</v>
      </c>
      <c r="L832" s="24" t="n">
        <f aca="false">DATE(YEAR(C832),MONTH(C832),1)</f>
        <v>43070</v>
      </c>
      <c r="M832" s="21" t="n">
        <f aca="false">D832-C832</f>
        <v>26</v>
      </c>
      <c r="N832" s="21" t="n">
        <f aca="false">MAX(0,D832-E832)</f>
        <v>0</v>
      </c>
      <c r="O832" s="21" t="n">
        <f aca="false">IF(D832&lt;=E832,1,0)</f>
        <v>1</v>
      </c>
      <c r="P832" s="23" t="n">
        <f aca="false">G832+H832</f>
        <v>91.93</v>
      </c>
      <c r="Q832" s="23" t="n">
        <f aca="false">G832*INDEX(Assumptions!$B$8:$B$16,MATCH(F832,Assumptions!$A$8:$A$16,0))</f>
        <v>35.216</v>
      </c>
      <c r="R832" s="23" t="n">
        <f aca="false">H832*Assumptions!$B$3</f>
        <v>21.078</v>
      </c>
      <c r="S832" s="23" t="n">
        <f aca="false">G832-Q832-R832</f>
        <v>0.505999999999997</v>
      </c>
      <c r="T832" s="21" t="str">
        <f aca="false">IF(M832&lt;=7,"0-7 days",IF(M832&lt;=14,"8-14 days",IF(M832&lt;=21,"15-21 days","22+ days")))</f>
        <v>22+ days</v>
      </c>
    </row>
    <row r="833" customFormat="false" ht="15" hidden="false" customHeight="false" outlineLevel="0" collapsed="false">
      <c r="A833" s="21" t="s">
        <v>899</v>
      </c>
      <c r="B833" s="21" t="s">
        <v>19</v>
      </c>
      <c r="C833" s="22" t="n">
        <v>43088</v>
      </c>
      <c r="D833" s="22" t="n">
        <v>43093</v>
      </c>
      <c r="E833" s="22" t="n">
        <v>43102</v>
      </c>
      <c r="F833" s="21" t="s">
        <v>67</v>
      </c>
      <c r="G833" s="23" t="n">
        <v>35.06</v>
      </c>
      <c r="H833" s="23" t="n">
        <v>15.16</v>
      </c>
      <c r="I833" s="21" t="s">
        <v>45</v>
      </c>
      <c r="J833" s="21" t="n">
        <v>5</v>
      </c>
      <c r="K833" s="21" t="s">
        <v>46</v>
      </c>
      <c r="L833" s="24" t="n">
        <f aca="false">DATE(YEAR(C833),MONTH(C833),1)</f>
        <v>43070</v>
      </c>
      <c r="M833" s="21" t="n">
        <f aca="false">D833-C833</f>
        <v>5</v>
      </c>
      <c r="N833" s="21" t="n">
        <f aca="false">MAX(0,D833-E833)</f>
        <v>0</v>
      </c>
      <c r="O833" s="21" t="n">
        <f aca="false">IF(D833&lt;=E833,1,0)</f>
        <v>1</v>
      </c>
      <c r="P833" s="23" t="n">
        <f aca="false">G833+H833</f>
        <v>50.22</v>
      </c>
      <c r="Q833" s="23" t="n">
        <f aca="false">G833*INDEX(Assumptions!$B$8:$B$16,MATCH(F833,Assumptions!$A$8:$A$16,0))</f>
        <v>21.7372</v>
      </c>
      <c r="R833" s="23" t="n">
        <f aca="false">H833*Assumptions!$B$3</f>
        <v>9.096</v>
      </c>
      <c r="S833" s="23" t="n">
        <f aca="false">G833-Q833-R833</f>
        <v>4.2268</v>
      </c>
      <c r="T833" s="21" t="str">
        <f aca="false">IF(M833&lt;=7,"0-7 days",IF(M833&lt;=14,"8-14 days",IF(M833&lt;=21,"15-21 days","22+ days")))</f>
        <v>0-7 days</v>
      </c>
    </row>
    <row r="834" customFormat="false" ht="15" hidden="false" customHeight="false" outlineLevel="0" collapsed="false">
      <c r="A834" s="21" t="s">
        <v>900</v>
      </c>
      <c r="B834" s="21" t="s">
        <v>55</v>
      </c>
      <c r="C834" s="22" t="n">
        <v>43089</v>
      </c>
      <c r="D834" s="22" t="n">
        <v>43115</v>
      </c>
      <c r="E834" s="22" t="n">
        <v>43115</v>
      </c>
      <c r="F834" s="21" t="s">
        <v>64</v>
      </c>
      <c r="G834" s="23" t="n">
        <v>190.75</v>
      </c>
      <c r="H834" s="23" t="n">
        <v>28.83</v>
      </c>
      <c r="I834" s="21" t="s">
        <v>50</v>
      </c>
      <c r="J834" s="21" t="n">
        <v>4</v>
      </c>
      <c r="K834" s="21" t="s">
        <v>46</v>
      </c>
      <c r="L834" s="24" t="n">
        <f aca="false">DATE(YEAR(C834),MONTH(C834),1)</f>
        <v>43070</v>
      </c>
      <c r="M834" s="21" t="n">
        <f aca="false">D834-C834</f>
        <v>26</v>
      </c>
      <c r="N834" s="21" t="n">
        <f aca="false">MAX(0,D834-E834)</f>
        <v>0</v>
      </c>
      <c r="O834" s="21" t="n">
        <f aca="false">IF(D834&lt;=E834,1,0)</f>
        <v>1</v>
      </c>
      <c r="P834" s="23" t="n">
        <f aca="false">G834+H834</f>
        <v>219.58</v>
      </c>
      <c r="Q834" s="23" t="n">
        <f aca="false">G834*INDEX(Assumptions!$B$8:$B$16,MATCH(F834,Assumptions!$A$8:$A$16,0))</f>
        <v>125.895</v>
      </c>
      <c r="R834" s="23" t="n">
        <f aca="false">H834*Assumptions!$B$3</f>
        <v>17.298</v>
      </c>
      <c r="S834" s="23" t="n">
        <f aca="false">G834-Q834-R834</f>
        <v>47.557</v>
      </c>
      <c r="T834" s="21" t="str">
        <f aca="false">IF(M834&lt;=7,"0-7 days",IF(M834&lt;=14,"8-14 days",IF(M834&lt;=21,"15-21 days","22+ days")))</f>
        <v>22+ days</v>
      </c>
    </row>
    <row r="835" customFormat="false" ht="15" hidden="false" customHeight="false" outlineLevel="0" collapsed="false">
      <c r="A835" s="21" t="s">
        <v>901</v>
      </c>
      <c r="B835" s="21" t="s">
        <v>62</v>
      </c>
      <c r="C835" s="22" t="n">
        <v>43089</v>
      </c>
      <c r="D835" s="22" t="n">
        <v>43105</v>
      </c>
      <c r="E835" s="22" t="n">
        <v>43114</v>
      </c>
      <c r="F835" s="21" t="s">
        <v>79</v>
      </c>
      <c r="G835" s="23" t="n">
        <v>155.38</v>
      </c>
      <c r="H835" s="23" t="n">
        <v>18.51</v>
      </c>
      <c r="I835" s="21" t="s">
        <v>45</v>
      </c>
      <c r="J835" s="21" t="n">
        <v>4</v>
      </c>
      <c r="K835" s="21" t="s">
        <v>46</v>
      </c>
      <c r="L835" s="24" t="n">
        <f aca="false">DATE(YEAR(C835),MONTH(C835),1)</f>
        <v>43070</v>
      </c>
      <c r="M835" s="21" t="n">
        <f aca="false">D835-C835</f>
        <v>16</v>
      </c>
      <c r="N835" s="21" t="n">
        <f aca="false">MAX(0,D835-E835)</f>
        <v>0</v>
      </c>
      <c r="O835" s="21" t="n">
        <f aca="false">IF(D835&lt;=E835,1,0)</f>
        <v>1</v>
      </c>
      <c r="P835" s="23" t="n">
        <f aca="false">G835+H835</f>
        <v>173.89</v>
      </c>
      <c r="Q835" s="23" t="n">
        <f aca="false">G835*INDEX(Assumptions!$B$8:$B$16,MATCH(F835,Assumptions!$A$8:$A$16,0))</f>
        <v>108.766</v>
      </c>
      <c r="R835" s="23" t="n">
        <f aca="false">H835*Assumptions!$B$3</f>
        <v>11.106</v>
      </c>
      <c r="S835" s="23" t="n">
        <f aca="false">G835-Q835-R835</f>
        <v>35.508</v>
      </c>
      <c r="T835" s="21" t="str">
        <f aca="false">IF(M835&lt;=7,"0-7 days",IF(M835&lt;=14,"8-14 days",IF(M835&lt;=21,"15-21 days","22+ days")))</f>
        <v>15-21 days</v>
      </c>
    </row>
    <row r="836" customFormat="false" ht="15" hidden="false" customHeight="false" outlineLevel="0" collapsed="false">
      <c r="A836" s="21" t="s">
        <v>902</v>
      </c>
      <c r="B836" s="21" t="s">
        <v>19</v>
      </c>
      <c r="C836" s="22" t="n">
        <v>43089</v>
      </c>
      <c r="D836" s="22" t="n">
        <v>43094</v>
      </c>
      <c r="E836" s="22" t="n">
        <v>43104</v>
      </c>
      <c r="F836" s="21" t="s">
        <v>44</v>
      </c>
      <c r="G836" s="23" t="n">
        <v>118.79</v>
      </c>
      <c r="H836" s="23" t="n">
        <v>20.29</v>
      </c>
      <c r="I836" s="21" t="s">
        <v>45</v>
      </c>
      <c r="J836" s="21" t="n">
        <v>5</v>
      </c>
      <c r="K836" s="21" t="s">
        <v>46</v>
      </c>
      <c r="L836" s="24" t="n">
        <f aca="false">DATE(YEAR(C836),MONTH(C836),1)</f>
        <v>43070</v>
      </c>
      <c r="M836" s="21" t="n">
        <f aca="false">D836-C836</f>
        <v>5</v>
      </c>
      <c r="N836" s="21" t="n">
        <f aca="false">MAX(0,D836-E836)</f>
        <v>0</v>
      </c>
      <c r="O836" s="21" t="n">
        <f aca="false">IF(D836&lt;=E836,1,0)</f>
        <v>1</v>
      </c>
      <c r="P836" s="23" t="n">
        <f aca="false">G836+H836</f>
        <v>139.08</v>
      </c>
      <c r="Q836" s="23" t="n">
        <f aca="false">G836*INDEX(Assumptions!$B$8:$B$16,MATCH(F836,Assumptions!$A$8:$A$16,0))</f>
        <v>71.274</v>
      </c>
      <c r="R836" s="23" t="n">
        <f aca="false">H836*Assumptions!$B$3</f>
        <v>12.174</v>
      </c>
      <c r="S836" s="23" t="n">
        <f aca="false">G836-Q836-R836</f>
        <v>35.342</v>
      </c>
      <c r="T836" s="21" t="str">
        <f aca="false">IF(M836&lt;=7,"0-7 days",IF(M836&lt;=14,"8-14 days",IF(M836&lt;=21,"15-21 days","22+ days")))</f>
        <v>0-7 days</v>
      </c>
    </row>
    <row r="837" customFormat="false" ht="15" hidden="false" customHeight="false" outlineLevel="0" collapsed="false">
      <c r="A837" s="21" t="s">
        <v>903</v>
      </c>
      <c r="B837" s="21" t="s">
        <v>134</v>
      </c>
      <c r="C837" s="22" t="n">
        <v>43089</v>
      </c>
      <c r="D837" s="22" t="n">
        <v>43105</v>
      </c>
      <c r="E837" s="22" t="n">
        <v>43110</v>
      </c>
      <c r="F837" s="21" t="s">
        <v>64</v>
      </c>
      <c r="G837" s="23" t="n">
        <v>165.91</v>
      </c>
      <c r="H837" s="23" t="n">
        <v>28.83</v>
      </c>
      <c r="I837" s="21" t="s">
        <v>45</v>
      </c>
      <c r="J837" s="21" t="n">
        <v>4</v>
      </c>
      <c r="K837" s="21" t="s">
        <v>46</v>
      </c>
      <c r="L837" s="24" t="n">
        <f aca="false">DATE(YEAR(C837),MONTH(C837),1)</f>
        <v>43070</v>
      </c>
      <c r="M837" s="21" t="n">
        <f aca="false">D837-C837</f>
        <v>16</v>
      </c>
      <c r="N837" s="21" t="n">
        <f aca="false">MAX(0,D837-E837)</f>
        <v>0</v>
      </c>
      <c r="O837" s="21" t="n">
        <f aca="false">IF(D837&lt;=E837,1,0)</f>
        <v>1</v>
      </c>
      <c r="P837" s="23" t="n">
        <f aca="false">G837+H837</f>
        <v>194.74</v>
      </c>
      <c r="Q837" s="23" t="n">
        <f aca="false">G837*INDEX(Assumptions!$B$8:$B$16,MATCH(F837,Assumptions!$A$8:$A$16,0))</f>
        <v>109.5006</v>
      </c>
      <c r="R837" s="23" t="n">
        <f aca="false">H837*Assumptions!$B$3</f>
        <v>17.298</v>
      </c>
      <c r="S837" s="23" t="n">
        <f aca="false">G837-Q837-R837</f>
        <v>39.1114</v>
      </c>
      <c r="T837" s="21" t="str">
        <f aca="false">IF(M837&lt;=7,"0-7 days",IF(M837&lt;=14,"8-14 days",IF(M837&lt;=21,"15-21 days","22+ days")))</f>
        <v>15-21 days</v>
      </c>
    </row>
    <row r="838" customFormat="false" ht="15" hidden="false" customHeight="false" outlineLevel="0" collapsed="false">
      <c r="A838" s="21" t="s">
        <v>904</v>
      </c>
      <c r="B838" s="21" t="s">
        <v>19</v>
      </c>
      <c r="C838" s="22" t="n">
        <v>43089</v>
      </c>
      <c r="D838" s="22" t="n">
        <v>43101</v>
      </c>
      <c r="E838" s="22" t="n">
        <v>43105</v>
      </c>
      <c r="F838" s="21" t="s">
        <v>59</v>
      </c>
      <c r="G838" s="23" t="n">
        <v>148.3</v>
      </c>
      <c r="H838" s="23" t="n">
        <v>23.8</v>
      </c>
      <c r="I838" s="21" t="s">
        <v>45</v>
      </c>
      <c r="J838" s="21" t="n">
        <v>5</v>
      </c>
      <c r="K838" s="21" t="s">
        <v>46</v>
      </c>
      <c r="L838" s="24" t="n">
        <f aca="false">DATE(YEAR(C838),MONTH(C838),1)</f>
        <v>43070</v>
      </c>
      <c r="M838" s="21" t="n">
        <f aca="false">D838-C838</f>
        <v>12</v>
      </c>
      <c r="N838" s="21" t="n">
        <f aca="false">MAX(0,D838-E838)</f>
        <v>0</v>
      </c>
      <c r="O838" s="21" t="n">
        <f aca="false">IF(D838&lt;=E838,1,0)</f>
        <v>1</v>
      </c>
      <c r="P838" s="23" t="n">
        <f aca="false">G838+H838</f>
        <v>172.1</v>
      </c>
      <c r="Q838" s="23" t="n">
        <f aca="false">G838*INDEX(Assumptions!$B$8:$B$16,MATCH(F838,Assumptions!$A$8:$A$16,0))</f>
        <v>94.912</v>
      </c>
      <c r="R838" s="23" t="n">
        <f aca="false">H838*Assumptions!$B$3</f>
        <v>14.28</v>
      </c>
      <c r="S838" s="23" t="n">
        <f aca="false">G838-Q838-R838</f>
        <v>39.108</v>
      </c>
      <c r="T838" s="21" t="str">
        <f aca="false">IF(M838&lt;=7,"0-7 days",IF(M838&lt;=14,"8-14 days",IF(M838&lt;=21,"15-21 days","22+ days")))</f>
        <v>8-14 days</v>
      </c>
    </row>
    <row r="839" customFormat="false" ht="15" hidden="false" customHeight="false" outlineLevel="0" collapsed="false">
      <c r="A839" s="21" t="s">
        <v>905</v>
      </c>
      <c r="B839" s="21" t="s">
        <v>55</v>
      </c>
      <c r="C839" s="22" t="n">
        <v>43090</v>
      </c>
      <c r="D839" s="22" t="n">
        <v>43125</v>
      </c>
      <c r="E839" s="22" t="n">
        <v>43116</v>
      </c>
      <c r="F839" s="21" t="s">
        <v>57</v>
      </c>
      <c r="G839" s="23" t="n">
        <v>106.2</v>
      </c>
      <c r="H839" s="23" t="n">
        <v>28.78</v>
      </c>
      <c r="I839" s="21" t="s">
        <v>45</v>
      </c>
      <c r="J839" s="21" t="n">
        <v>3</v>
      </c>
      <c r="K839" s="21" t="s">
        <v>46</v>
      </c>
      <c r="L839" s="24" t="n">
        <f aca="false">DATE(YEAR(C839),MONTH(C839),1)</f>
        <v>43070</v>
      </c>
      <c r="M839" s="21" t="n">
        <f aca="false">D839-C839</f>
        <v>35</v>
      </c>
      <c r="N839" s="21" t="n">
        <f aca="false">MAX(0,D839-E839)</f>
        <v>9</v>
      </c>
      <c r="O839" s="21" t="n">
        <f aca="false">IF(D839&lt;=E839,1,0)</f>
        <v>0</v>
      </c>
      <c r="P839" s="23" t="n">
        <f aca="false">G839+H839</f>
        <v>134.98</v>
      </c>
      <c r="Q839" s="23" t="n">
        <f aca="false">G839*INDEX(Assumptions!$B$8:$B$16,MATCH(F839,Assumptions!$A$8:$A$16,0))</f>
        <v>72.216</v>
      </c>
      <c r="R839" s="23" t="n">
        <f aca="false">H839*Assumptions!$B$3</f>
        <v>17.268</v>
      </c>
      <c r="S839" s="23" t="n">
        <f aca="false">G839-Q839-R839</f>
        <v>16.716</v>
      </c>
      <c r="T839" s="21" t="str">
        <f aca="false">IF(M839&lt;=7,"0-7 days",IF(M839&lt;=14,"8-14 days",IF(M839&lt;=21,"15-21 days","22+ days")))</f>
        <v>22+ days</v>
      </c>
    </row>
    <row r="840" customFormat="false" ht="15" hidden="false" customHeight="false" outlineLevel="0" collapsed="false">
      <c r="A840" s="21" t="s">
        <v>906</v>
      </c>
      <c r="B840" s="21" t="s">
        <v>55</v>
      </c>
      <c r="C840" s="22" t="n">
        <v>43090</v>
      </c>
      <c r="D840" s="22" t="n">
        <v>43107</v>
      </c>
      <c r="E840" s="22" t="n">
        <v>43112</v>
      </c>
      <c r="F840" s="21" t="s">
        <v>67</v>
      </c>
      <c r="G840" s="23" t="n">
        <v>49.92</v>
      </c>
      <c r="H840" s="23" t="n">
        <v>29.66</v>
      </c>
      <c r="I840" s="21" t="s">
        <v>50</v>
      </c>
      <c r="J840" s="21" t="n">
        <v>5</v>
      </c>
      <c r="K840" s="21" t="s">
        <v>46</v>
      </c>
      <c r="L840" s="24" t="n">
        <f aca="false">DATE(YEAR(C840),MONTH(C840),1)</f>
        <v>43070</v>
      </c>
      <c r="M840" s="21" t="n">
        <f aca="false">D840-C840</f>
        <v>17</v>
      </c>
      <c r="N840" s="21" t="n">
        <f aca="false">MAX(0,D840-E840)</f>
        <v>0</v>
      </c>
      <c r="O840" s="21" t="n">
        <f aca="false">IF(D840&lt;=E840,1,0)</f>
        <v>1</v>
      </c>
      <c r="P840" s="23" t="n">
        <f aca="false">G840+H840</f>
        <v>79.58</v>
      </c>
      <c r="Q840" s="23" t="n">
        <f aca="false">G840*INDEX(Assumptions!$B$8:$B$16,MATCH(F840,Assumptions!$A$8:$A$16,0))</f>
        <v>30.9504</v>
      </c>
      <c r="R840" s="23" t="n">
        <f aca="false">H840*Assumptions!$B$3</f>
        <v>17.796</v>
      </c>
      <c r="S840" s="23" t="n">
        <f aca="false">G840-Q840-R840</f>
        <v>1.1736</v>
      </c>
      <c r="T840" s="21" t="str">
        <f aca="false">IF(M840&lt;=7,"0-7 days",IF(M840&lt;=14,"8-14 days",IF(M840&lt;=21,"15-21 days","22+ days")))</f>
        <v>15-21 days</v>
      </c>
    </row>
    <row r="841" customFormat="false" ht="15" hidden="false" customHeight="false" outlineLevel="0" collapsed="false">
      <c r="A841" s="21" t="s">
        <v>907</v>
      </c>
      <c r="B841" s="21" t="s">
        <v>52</v>
      </c>
      <c r="C841" s="22" t="n">
        <v>43090</v>
      </c>
      <c r="D841" s="22" t="n">
        <v>43102</v>
      </c>
      <c r="E841" s="22" t="n">
        <v>43119</v>
      </c>
      <c r="F841" s="21" t="s">
        <v>44</v>
      </c>
      <c r="G841" s="23" t="n">
        <v>299.79</v>
      </c>
      <c r="H841" s="23" t="n">
        <v>31.2</v>
      </c>
      <c r="I841" s="21" t="s">
        <v>60</v>
      </c>
      <c r="J841" s="21" t="n">
        <v>5</v>
      </c>
      <c r="K841" s="21" t="s">
        <v>46</v>
      </c>
      <c r="L841" s="24" t="n">
        <f aca="false">DATE(YEAR(C841),MONTH(C841),1)</f>
        <v>43070</v>
      </c>
      <c r="M841" s="21" t="n">
        <f aca="false">D841-C841</f>
        <v>12</v>
      </c>
      <c r="N841" s="21" t="n">
        <f aca="false">MAX(0,D841-E841)</f>
        <v>0</v>
      </c>
      <c r="O841" s="21" t="n">
        <f aca="false">IF(D841&lt;=E841,1,0)</f>
        <v>1</v>
      </c>
      <c r="P841" s="23" t="n">
        <f aca="false">G841+H841</f>
        <v>330.99</v>
      </c>
      <c r="Q841" s="23" t="n">
        <f aca="false">G841*INDEX(Assumptions!$B$8:$B$16,MATCH(F841,Assumptions!$A$8:$A$16,0))</f>
        <v>179.874</v>
      </c>
      <c r="R841" s="23" t="n">
        <f aca="false">H841*Assumptions!$B$3</f>
        <v>18.72</v>
      </c>
      <c r="S841" s="23" t="n">
        <f aca="false">G841-Q841-R841</f>
        <v>101.196</v>
      </c>
      <c r="T841" s="21" t="str">
        <f aca="false">IF(M841&lt;=7,"0-7 days",IF(M841&lt;=14,"8-14 days",IF(M841&lt;=21,"15-21 days","22+ days")))</f>
        <v>8-14 days</v>
      </c>
    </row>
    <row r="842" customFormat="false" ht="15" hidden="false" customHeight="false" outlineLevel="0" collapsed="false">
      <c r="A842" s="21" t="s">
        <v>908</v>
      </c>
      <c r="B842" s="21" t="s">
        <v>19</v>
      </c>
      <c r="C842" s="22" t="n">
        <v>43091</v>
      </c>
      <c r="D842" s="22" t="n">
        <v>43098</v>
      </c>
      <c r="E842" s="22" t="n">
        <v>43103</v>
      </c>
      <c r="F842" s="21" t="s">
        <v>67</v>
      </c>
      <c r="G842" s="23" t="n">
        <v>42.93</v>
      </c>
      <c r="H842" s="23" t="n">
        <v>20.07</v>
      </c>
      <c r="I842" s="21" t="s">
        <v>50</v>
      </c>
      <c r="J842" s="21" t="n">
        <v>4</v>
      </c>
      <c r="K842" s="21" t="s">
        <v>46</v>
      </c>
      <c r="L842" s="24" t="n">
        <f aca="false">DATE(YEAR(C842),MONTH(C842),1)</f>
        <v>43070</v>
      </c>
      <c r="M842" s="21" t="n">
        <f aca="false">D842-C842</f>
        <v>7</v>
      </c>
      <c r="N842" s="21" t="n">
        <f aca="false">MAX(0,D842-E842)</f>
        <v>0</v>
      </c>
      <c r="O842" s="21" t="n">
        <f aca="false">IF(D842&lt;=E842,1,0)</f>
        <v>1</v>
      </c>
      <c r="P842" s="23" t="n">
        <f aca="false">G842+H842</f>
        <v>63</v>
      </c>
      <c r="Q842" s="23" t="n">
        <f aca="false">G842*INDEX(Assumptions!$B$8:$B$16,MATCH(F842,Assumptions!$A$8:$A$16,0))</f>
        <v>26.6166</v>
      </c>
      <c r="R842" s="23" t="n">
        <f aca="false">H842*Assumptions!$B$3</f>
        <v>12.042</v>
      </c>
      <c r="S842" s="23" t="n">
        <f aca="false">G842-Q842-R842</f>
        <v>4.2714</v>
      </c>
      <c r="T842" s="21" t="str">
        <f aca="false">IF(M842&lt;=7,"0-7 days",IF(M842&lt;=14,"8-14 days",IF(M842&lt;=21,"15-21 days","22+ days")))</f>
        <v>0-7 days</v>
      </c>
    </row>
    <row r="843" customFormat="false" ht="15" hidden="false" customHeight="false" outlineLevel="0" collapsed="false">
      <c r="A843" s="21" t="s">
        <v>909</v>
      </c>
      <c r="B843" s="21" t="s">
        <v>19</v>
      </c>
      <c r="C843" s="22" t="n">
        <v>43091</v>
      </c>
      <c r="D843" s="22" t="n">
        <v>43097</v>
      </c>
      <c r="E843" s="22" t="n">
        <v>43107</v>
      </c>
      <c r="F843" s="21" t="s">
        <v>79</v>
      </c>
      <c r="G843" s="23" t="n">
        <v>83.06</v>
      </c>
      <c r="H843" s="23" t="n">
        <v>18.94</v>
      </c>
      <c r="I843" s="21" t="s">
        <v>45</v>
      </c>
      <c r="J843" s="21" t="n">
        <v>4</v>
      </c>
      <c r="K843" s="21" t="s">
        <v>46</v>
      </c>
      <c r="L843" s="24" t="n">
        <f aca="false">DATE(YEAR(C843),MONTH(C843),1)</f>
        <v>43070</v>
      </c>
      <c r="M843" s="21" t="n">
        <f aca="false">D843-C843</f>
        <v>6</v>
      </c>
      <c r="N843" s="21" t="n">
        <f aca="false">MAX(0,D843-E843)</f>
        <v>0</v>
      </c>
      <c r="O843" s="21" t="n">
        <f aca="false">IF(D843&lt;=E843,1,0)</f>
        <v>1</v>
      </c>
      <c r="P843" s="23" t="n">
        <f aca="false">G843+H843</f>
        <v>102</v>
      </c>
      <c r="Q843" s="23" t="n">
        <f aca="false">G843*INDEX(Assumptions!$B$8:$B$16,MATCH(F843,Assumptions!$A$8:$A$16,0))</f>
        <v>58.142</v>
      </c>
      <c r="R843" s="23" t="n">
        <f aca="false">H843*Assumptions!$B$3</f>
        <v>11.364</v>
      </c>
      <c r="S843" s="23" t="n">
        <f aca="false">G843-Q843-R843</f>
        <v>13.554</v>
      </c>
      <c r="T843" s="21" t="str">
        <f aca="false">IF(M843&lt;=7,"0-7 days",IF(M843&lt;=14,"8-14 days",IF(M843&lt;=21,"15-21 days","22+ days")))</f>
        <v>0-7 days</v>
      </c>
    </row>
    <row r="844" customFormat="false" ht="15" hidden="false" customHeight="false" outlineLevel="0" collapsed="false">
      <c r="A844" s="21" t="s">
        <v>910</v>
      </c>
      <c r="B844" s="21" t="s">
        <v>19</v>
      </c>
      <c r="C844" s="22" t="n">
        <v>43091</v>
      </c>
      <c r="D844" s="22" t="n">
        <v>43098</v>
      </c>
      <c r="E844" s="22" t="n">
        <v>43104</v>
      </c>
      <c r="F844" s="21" t="s">
        <v>64</v>
      </c>
      <c r="G844" s="23" t="n">
        <v>133.81</v>
      </c>
      <c r="H844" s="23" t="n">
        <v>15.72</v>
      </c>
      <c r="I844" s="21" t="s">
        <v>45</v>
      </c>
      <c r="J844" s="21" t="n">
        <v>4</v>
      </c>
      <c r="K844" s="21" t="s">
        <v>46</v>
      </c>
      <c r="L844" s="24" t="n">
        <f aca="false">DATE(YEAR(C844),MONTH(C844),1)</f>
        <v>43070</v>
      </c>
      <c r="M844" s="21" t="n">
        <f aca="false">D844-C844</f>
        <v>7</v>
      </c>
      <c r="N844" s="21" t="n">
        <f aca="false">MAX(0,D844-E844)</f>
        <v>0</v>
      </c>
      <c r="O844" s="21" t="n">
        <f aca="false">IF(D844&lt;=E844,1,0)</f>
        <v>1</v>
      </c>
      <c r="P844" s="23" t="n">
        <f aca="false">G844+H844</f>
        <v>149.53</v>
      </c>
      <c r="Q844" s="23" t="n">
        <f aca="false">G844*INDEX(Assumptions!$B$8:$B$16,MATCH(F844,Assumptions!$A$8:$A$16,0))</f>
        <v>88.3146</v>
      </c>
      <c r="R844" s="23" t="n">
        <f aca="false">H844*Assumptions!$B$3</f>
        <v>9.432</v>
      </c>
      <c r="S844" s="23" t="n">
        <f aca="false">G844-Q844-R844</f>
        <v>36.0634</v>
      </c>
      <c r="T844" s="21" t="str">
        <f aca="false">IF(M844&lt;=7,"0-7 days",IF(M844&lt;=14,"8-14 days",IF(M844&lt;=21,"15-21 days","22+ days")))</f>
        <v>0-7 days</v>
      </c>
    </row>
    <row r="845" customFormat="false" ht="15" hidden="false" customHeight="false" outlineLevel="0" collapsed="false">
      <c r="A845" s="21" t="s">
        <v>911</v>
      </c>
      <c r="B845" s="21" t="s">
        <v>19</v>
      </c>
      <c r="C845" s="22" t="n">
        <v>43091</v>
      </c>
      <c r="D845" s="22" t="n">
        <v>43101</v>
      </c>
      <c r="E845" s="22" t="n">
        <v>43109</v>
      </c>
      <c r="F845" s="21" t="s">
        <v>79</v>
      </c>
      <c r="G845" s="23" t="n">
        <v>44.93</v>
      </c>
      <c r="H845" s="23" t="n">
        <v>21.86</v>
      </c>
      <c r="I845" s="21" t="s">
        <v>45</v>
      </c>
      <c r="J845" s="21" t="n">
        <v>3</v>
      </c>
      <c r="K845" s="21" t="s">
        <v>46</v>
      </c>
      <c r="L845" s="24" t="n">
        <f aca="false">DATE(YEAR(C845),MONTH(C845),1)</f>
        <v>43070</v>
      </c>
      <c r="M845" s="21" t="n">
        <f aca="false">D845-C845</f>
        <v>10</v>
      </c>
      <c r="N845" s="21" t="n">
        <f aca="false">MAX(0,D845-E845)</f>
        <v>0</v>
      </c>
      <c r="O845" s="21" t="n">
        <f aca="false">IF(D845&lt;=E845,1,0)</f>
        <v>1</v>
      </c>
      <c r="P845" s="23" t="n">
        <f aca="false">G845+H845</f>
        <v>66.79</v>
      </c>
      <c r="Q845" s="23" t="n">
        <f aca="false">G845*INDEX(Assumptions!$B$8:$B$16,MATCH(F845,Assumptions!$A$8:$A$16,0))</f>
        <v>31.451</v>
      </c>
      <c r="R845" s="23" t="n">
        <f aca="false">H845*Assumptions!$B$3</f>
        <v>13.116</v>
      </c>
      <c r="S845" s="23" t="n">
        <f aca="false">G845-Q845-R845</f>
        <v>0.363000000000003</v>
      </c>
      <c r="T845" s="21" t="str">
        <f aca="false">IF(M845&lt;=7,"0-7 days",IF(M845&lt;=14,"8-14 days",IF(M845&lt;=21,"15-21 days","22+ days")))</f>
        <v>8-14 days</v>
      </c>
    </row>
    <row r="846" customFormat="false" ht="15" hidden="false" customHeight="false" outlineLevel="0" collapsed="false">
      <c r="A846" s="21" t="s">
        <v>912</v>
      </c>
      <c r="B846" s="21" t="s">
        <v>19</v>
      </c>
      <c r="C846" s="22" t="n">
        <v>43092</v>
      </c>
      <c r="D846" s="22" t="n">
        <v>43099</v>
      </c>
      <c r="E846" s="22" t="n">
        <v>43103</v>
      </c>
      <c r="F846" s="21" t="s">
        <v>79</v>
      </c>
      <c r="G846" s="23" t="n">
        <v>87.5</v>
      </c>
      <c r="H846" s="23" t="n">
        <v>15.6</v>
      </c>
      <c r="I846" s="21" t="s">
        <v>60</v>
      </c>
      <c r="J846" s="21" t="n">
        <v>5</v>
      </c>
      <c r="K846" s="21" t="s">
        <v>46</v>
      </c>
      <c r="L846" s="24" t="n">
        <f aca="false">DATE(YEAR(C846),MONTH(C846),1)</f>
        <v>43070</v>
      </c>
      <c r="M846" s="21" t="n">
        <f aca="false">D846-C846</f>
        <v>7</v>
      </c>
      <c r="N846" s="21" t="n">
        <f aca="false">MAX(0,D846-E846)</f>
        <v>0</v>
      </c>
      <c r="O846" s="21" t="n">
        <f aca="false">IF(D846&lt;=E846,1,0)</f>
        <v>1</v>
      </c>
      <c r="P846" s="23" t="n">
        <f aca="false">G846+H846</f>
        <v>103.1</v>
      </c>
      <c r="Q846" s="23" t="n">
        <f aca="false">G846*INDEX(Assumptions!$B$8:$B$16,MATCH(F846,Assumptions!$A$8:$A$16,0))</f>
        <v>61.25</v>
      </c>
      <c r="R846" s="23" t="n">
        <f aca="false">H846*Assumptions!$B$3</f>
        <v>9.36</v>
      </c>
      <c r="S846" s="23" t="n">
        <f aca="false">G846-Q846-R846</f>
        <v>16.89</v>
      </c>
      <c r="T846" s="21" t="str">
        <f aca="false">IF(M846&lt;=7,"0-7 days",IF(M846&lt;=14,"8-14 days",IF(M846&lt;=21,"15-21 days","22+ days")))</f>
        <v>0-7 days</v>
      </c>
    </row>
    <row r="847" customFormat="false" ht="15" hidden="false" customHeight="false" outlineLevel="0" collapsed="false">
      <c r="A847" s="21" t="s">
        <v>913</v>
      </c>
      <c r="B847" s="21" t="s">
        <v>52</v>
      </c>
      <c r="C847" s="22" t="n">
        <v>43092</v>
      </c>
      <c r="D847" s="22" t="n">
        <v>43116</v>
      </c>
      <c r="E847" s="22" t="n">
        <v>43114</v>
      </c>
      <c r="F847" s="21" t="s">
        <v>57</v>
      </c>
      <c r="G847" s="23" t="n">
        <v>120.42</v>
      </c>
      <c r="H847" s="23" t="n">
        <v>23.66</v>
      </c>
      <c r="I847" s="21" t="s">
        <v>45</v>
      </c>
      <c r="J847" s="21" t="n">
        <v>2</v>
      </c>
      <c r="K847" s="21" t="s">
        <v>46</v>
      </c>
      <c r="L847" s="24" t="n">
        <f aca="false">DATE(YEAR(C847),MONTH(C847),1)</f>
        <v>43070</v>
      </c>
      <c r="M847" s="21" t="n">
        <f aca="false">D847-C847</f>
        <v>24</v>
      </c>
      <c r="N847" s="21" t="n">
        <f aca="false">MAX(0,D847-E847)</f>
        <v>2</v>
      </c>
      <c r="O847" s="21" t="n">
        <f aca="false">IF(D847&lt;=E847,1,0)</f>
        <v>0</v>
      </c>
      <c r="P847" s="23" t="n">
        <f aca="false">G847+H847</f>
        <v>144.08</v>
      </c>
      <c r="Q847" s="23" t="n">
        <f aca="false">G847*INDEX(Assumptions!$B$8:$B$16,MATCH(F847,Assumptions!$A$8:$A$16,0))</f>
        <v>81.8856</v>
      </c>
      <c r="R847" s="23" t="n">
        <f aca="false">H847*Assumptions!$B$3</f>
        <v>14.196</v>
      </c>
      <c r="S847" s="23" t="n">
        <f aca="false">G847-Q847-R847</f>
        <v>24.3384</v>
      </c>
      <c r="T847" s="21" t="str">
        <f aca="false">IF(M847&lt;=7,"0-7 days",IF(M847&lt;=14,"8-14 days",IF(M847&lt;=21,"15-21 days","22+ days")))</f>
        <v>22+ days</v>
      </c>
    </row>
    <row r="848" customFormat="false" ht="15" hidden="false" customHeight="false" outlineLevel="0" collapsed="false">
      <c r="A848" s="21" t="s">
        <v>914</v>
      </c>
      <c r="B848" s="21" t="s">
        <v>174</v>
      </c>
      <c r="C848" s="22" t="n">
        <v>43092</v>
      </c>
      <c r="D848" s="22" t="n">
        <v>43111</v>
      </c>
      <c r="E848" s="22" t="n">
        <v>43126</v>
      </c>
      <c r="F848" s="21" t="s">
        <v>59</v>
      </c>
      <c r="G848" s="23" t="n">
        <v>93.92</v>
      </c>
      <c r="H848" s="23" t="n">
        <v>46.52</v>
      </c>
      <c r="I848" s="21" t="s">
        <v>45</v>
      </c>
      <c r="J848" s="21" t="n">
        <v>3</v>
      </c>
      <c r="K848" s="21" t="s">
        <v>46</v>
      </c>
      <c r="L848" s="24" t="n">
        <f aca="false">DATE(YEAR(C848),MONTH(C848),1)</f>
        <v>43070</v>
      </c>
      <c r="M848" s="21" t="n">
        <f aca="false">D848-C848</f>
        <v>19</v>
      </c>
      <c r="N848" s="21" t="n">
        <f aca="false">MAX(0,D848-E848)</f>
        <v>0</v>
      </c>
      <c r="O848" s="21" t="n">
        <f aca="false">IF(D848&lt;=E848,1,0)</f>
        <v>1</v>
      </c>
      <c r="P848" s="23" t="n">
        <f aca="false">G848+H848</f>
        <v>140.44</v>
      </c>
      <c r="Q848" s="23" t="n">
        <f aca="false">G848*INDEX(Assumptions!$B$8:$B$16,MATCH(F848,Assumptions!$A$8:$A$16,0))</f>
        <v>60.1088</v>
      </c>
      <c r="R848" s="23" t="n">
        <f aca="false">H848*Assumptions!$B$3</f>
        <v>27.912</v>
      </c>
      <c r="S848" s="23" t="n">
        <f aca="false">G848-Q848-R848</f>
        <v>5.8992</v>
      </c>
      <c r="T848" s="21" t="str">
        <f aca="false">IF(M848&lt;=7,"0-7 days",IF(M848&lt;=14,"8-14 days",IF(M848&lt;=21,"15-21 days","22+ days")))</f>
        <v>15-21 days</v>
      </c>
    </row>
    <row r="849" customFormat="false" ht="15" hidden="false" customHeight="false" outlineLevel="0" collapsed="false">
      <c r="A849" s="21" t="s">
        <v>915</v>
      </c>
      <c r="B849" s="21" t="s">
        <v>134</v>
      </c>
      <c r="C849" s="22" t="n">
        <v>43092</v>
      </c>
      <c r="D849" s="22" t="n">
        <v>43113</v>
      </c>
      <c r="E849" s="22" t="n">
        <v>43115</v>
      </c>
      <c r="F849" s="21" t="s">
        <v>44</v>
      </c>
      <c r="G849" s="23" t="n">
        <v>55.74</v>
      </c>
      <c r="H849" s="23" t="n">
        <v>28.38</v>
      </c>
      <c r="I849" s="21" t="s">
        <v>45</v>
      </c>
      <c r="J849" s="21" t="n">
        <v>4</v>
      </c>
      <c r="K849" s="21" t="s">
        <v>46</v>
      </c>
      <c r="L849" s="24" t="n">
        <f aca="false">DATE(YEAR(C849),MONTH(C849),1)</f>
        <v>43070</v>
      </c>
      <c r="M849" s="21" t="n">
        <f aca="false">D849-C849</f>
        <v>21</v>
      </c>
      <c r="N849" s="21" t="n">
        <f aca="false">MAX(0,D849-E849)</f>
        <v>0</v>
      </c>
      <c r="O849" s="21" t="n">
        <f aca="false">IF(D849&lt;=E849,1,0)</f>
        <v>1</v>
      </c>
      <c r="P849" s="23" t="n">
        <f aca="false">G849+H849</f>
        <v>84.12</v>
      </c>
      <c r="Q849" s="23" t="n">
        <f aca="false">G849*INDEX(Assumptions!$B$8:$B$16,MATCH(F849,Assumptions!$A$8:$A$16,0))</f>
        <v>33.444</v>
      </c>
      <c r="R849" s="23" t="n">
        <f aca="false">H849*Assumptions!$B$3</f>
        <v>17.028</v>
      </c>
      <c r="S849" s="23" t="n">
        <f aca="false">G849-Q849-R849</f>
        <v>5.268</v>
      </c>
      <c r="T849" s="21" t="str">
        <f aca="false">IF(M849&lt;=7,"0-7 days",IF(M849&lt;=14,"8-14 days",IF(M849&lt;=21,"15-21 days","22+ days")))</f>
        <v>15-21 days</v>
      </c>
    </row>
    <row r="850" customFormat="false" ht="15" hidden="false" customHeight="false" outlineLevel="0" collapsed="false">
      <c r="A850" s="21" t="s">
        <v>916</v>
      </c>
      <c r="B850" s="21" t="s">
        <v>19</v>
      </c>
      <c r="C850" s="22" t="n">
        <v>43093</v>
      </c>
      <c r="D850" s="22" t="n">
        <v>43102</v>
      </c>
      <c r="E850" s="22" t="n">
        <v>43110</v>
      </c>
      <c r="F850" s="21" t="s">
        <v>59</v>
      </c>
      <c r="G850" s="23" t="n">
        <v>206.77</v>
      </c>
      <c r="H850" s="23" t="n">
        <v>20.09</v>
      </c>
      <c r="I850" s="21" t="s">
        <v>45</v>
      </c>
      <c r="J850" s="21" t="n">
        <v>4</v>
      </c>
      <c r="K850" s="21" t="s">
        <v>46</v>
      </c>
      <c r="L850" s="24" t="n">
        <f aca="false">DATE(YEAR(C850),MONTH(C850),1)</f>
        <v>43070</v>
      </c>
      <c r="M850" s="21" t="n">
        <f aca="false">D850-C850</f>
        <v>9</v>
      </c>
      <c r="N850" s="21" t="n">
        <f aca="false">MAX(0,D850-E850)</f>
        <v>0</v>
      </c>
      <c r="O850" s="21" t="n">
        <f aca="false">IF(D850&lt;=E850,1,0)</f>
        <v>1</v>
      </c>
      <c r="P850" s="23" t="n">
        <f aca="false">G850+H850</f>
        <v>226.86</v>
      </c>
      <c r="Q850" s="23" t="n">
        <f aca="false">G850*INDEX(Assumptions!$B$8:$B$16,MATCH(F850,Assumptions!$A$8:$A$16,0))</f>
        <v>132.3328</v>
      </c>
      <c r="R850" s="23" t="n">
        <f aca="false">H850*Assumptions!$B$3</f>
        <v>12.054</v>
      </c>
      <c r="S850" s="23" t="n">
        <f aca="false">G850-Q850-R850</f>
        <v>62.3832</v>
      </c>
      <c r="T850" s="21" t="str">
        <f aca="false">IF(M850&lt;=7,"0-7 days",IF(M850&lt;=14,"8-14 days",IF(M850&lt;=21,"15-21 days","22+ days")))</f>
        <v>8-14 days</v>
      </c>
    </row>
    <row r="851" customFormat="false" ht="15" hidden="false" customHeight="false" outlineLevel="0" collapsed="false">
      <c r="A851" s="21" t="s">
        <v>917</v>
      </c>
      <c r="B851" s="21" t="s">
        <v>19</v>
      </c>
      <c r="C851" s="22" t="n">
        <v>43093</v>
      </c>
      <c r="D851" s="22" t="n">
        <v>43103</v>
      </c>
      <c r="E851" s="22" t="n">
        <v>43109</v>
      </c>
      <c r="F851" s="21" t="s">
        <v>67</v>
      </c>
      <c r="G851" s="23" t="n">
        <v>166.72</v>
      </c>
      <c r="H851" s="23" t="n">
        <v>15.92</v>
      </c>
      <c r="I851" s="21" t="s">
        <v>60</v>
      </c>
      <c r="J851" s="21" t="n">
        <v>4</v>
      </c>
      <c r="K851" s="21" t="s">
        <v>46</v>
      </c>
      <c r="L851" s="24" t="n">
        <f aca="false">DATE(YEAR(C851),MONTH(C851),1)</f>
        <v>43070</v>
      </c>
      <c r="M851" s="21" t="n">
        <f aca="false">D851-C851</f>
        <v>10</v>
      </c>
      <c r="N851" s="21" t="n">
        <f aca="false">MAX(0,D851-E851)</f>
        <v>0</v>
      </c>
      <c r="O851" s="21" t="n">
        <f aca="false">IF(D851&lt;=E851,1,0)</f>
        <v>1</v>
      </c>
      <c r="P851" s="23" t="n">
        <f aca="false">G851+H851</f>
        <v>182.64</v>
      </c>
      <c r="Q851" s="23" t="n">
        <f aca="false">G851*INDEX(Assumptions!$B$8:$B$16,MATCH(F851,Assumptions!$A$8:$A$16,0))</f>
        <v>103.3664</v>
      </c>
      <c r="R851" s="23" t="n">
        <f aca="false">H851*Assumptions!$B$3</f>
        <v>9.552</v>
      </c>
      <c r="S851" s="23" t="n">
        <f aca="false">G851-Q851-R851</f>
        <v>53.8016</v>
      </c>
      <c r="T851" s="21" t="str">
        <f aca="false">IF(M851&lt;=7,"0-7 days",IF(M851&lt;=14,"8-14 days",IF(M851&lt;=21,"15-21 days","22+ days")))</f>
        <v>8-14 days</v>
      </c>
    </row>
    <row r="852" customFormat="false" ht="15" hidden="false" customHeight="false" outlineLevel="0" collapsed="false">
      <c r="A852" s="21" t="s">
        <v>918</v>
      </c>
      <c r="B852" s="21" t="s">
        <v>48</v>
      </c>
      <c r="C852" s="22" t="n">
        <v>43094</v>
      </c>
      <c r="D852" s="22" t="n">
        <v>43104</v>
      </c>
      <c r="E852" s="22" t="n">
        <v>43113</v>
      </c>
      <c r="F852" s="21" t="s">
        <v>64</v>
      </c>
      <c r="G852" s="23" t="n">
        <v>264.63</v>
      </c>
      <c r="H852" s="23" t="n">
        <v>19.91</v>
      </c>
      <c r="I852" s="21" t="s">
        <v>60</v>
      </c>
      <c r="J852" s="21" t="n">
        <v>4</v>
      </c>
      <c r="K852" s="21" t="s">
        <v>46</v>
      </c>
      <c r="L852" s="24" t="n">
        <f aca="false">DATE(YEAR(C852),MONTH(C852),1)</f>
        <v>43070</v>
      </c>
      <c r="M852" s="21" t="n">
        <f aca="false">D852-C852</f>
        <v>10</v>
      </c>
      <c r="N852" s="21" t="n">
        <f aca="false">MAX(0,D852-E852)</f>
        <v>0</v>
      </c>
      <c r="O852" s="21" t="n">
        <f aca="false">IF(D852&lt;=E852,1,0)</f>
        <v>1</v>
      </c>
      <c r="P852" s="23" t="n">
        <f aca="false">G852+H852</f>
        <v>284.54</v>
      </c>
      <c r="Q852" s="23" t="n">
        <f aca="false">G852*INDEX(Assumptions!$B$8:$B$16,MATCH(F852,Assumptions!$A$8:$A$16,0))</f>
        <v>174.6558</v>
      </c>
      <c r="R852" s="23" t="n">
        <f aca="false">H852*Assumptions!$B$3</f>
        <v>11.946</v>
      </c>
      <c r="S852" s="23" t="n">
        <f aca="false">G852-Q852-R852</f>
        <v>78.0282</v>
      </c>
      <c r="T852" s="21" t="str">
        <f aca="false">IF(M852&lt;=7,"0-7 days",IF(M852&lt;=14,"8-14 days",IF(M852&lt;=21,"15-21 days","22+ days")))</f>
        <v>8-14 days</v>
      </c>
    </row>
    <row r="853" customFormat="false" ht="15" hidden="false" customHeight="false" outlineLevel="0" collapsed="false">
      <c r="A853" s="21" t="s">
        <v>919</v>
      </c>
      <c r="B853" s="21" t="s">
        <v>19</v>
      </c>
      <c r="C853" s="22" t="n">
        <v>43094</v>
      </c>
      <c r="D853" s="22" t="n">
        <v>43099</v>
      </c>
      <c r="E853" s="22" t="n">
        <v>43109</v>
      </c>
      <c r="F853" s="21" t="s">
        <v>67</v>
      </c>
      <c r="G853" s="23" t="n">
        <v>80.87</v>
      </c>
      <c r="H853" s="23" t="n">
        <v>13.17</v>
      </c>
      <c r="I853" s="21" t="s">
        <v>45</v>
      </c>
      <c r="J853" s="21" t="n">
        <v>5</v>
      </c>
      <c r="K853" s="21" t="s">
        <v>46</v>
      </c>
      <c r="L853" s="24" t="n">
        <f aca="false">DATE(YEAR(C853),MONTH(C853),1)</f>
        <v>43070</v>
      </c>
      <c r="M853" s="21" t="n">
        <f aca="false">D853-C853</f>
        <v>5</v>
      </c>
      <c r="N853" s="21" t="n">
        <f aca="false">MAX(0,D853-E853)</f>
        <v>0</v>
      </c>
      <c r="O853" s="21" t="n">
        <f aca="false">IF(D853&lt;=E853,1,0)</f>
        <v>1</v>
      </c>
      <c r="P853" s="23" t="n">
        <f aca="false">G853+H853</f>
        <v>94.04</v>
      </c>
      <c r="Q853" s="23" t="n">
        <f aca="false">G853*INDEX(Assumptions!$B$8:$B$16,MATCH(F853,Assumptions!$A$8:$A$16,0))</f>
        <v>50.1394</v>
      </c>
      <c r="R853" s="23" t="n">
        <f aca="false">H853*Assumptions!$B$3</f>
        <v>7.902</v>
      </c>
      <c r="S853" s="23" t="n">
        <f aca="false">G853-Q853-R853</f>
        <v>22.8286</v>
      </c>
      <c r="T853" s="21" t="str">
        <f aca="false">IF(M853&lt;=7,"0-7 days",IF(M853&lt;=14,"8-14 days",IF(M853&lt;=21,"15-21 days","22+ days")))</f>
        <v>0-7 days</v>
      </c>
    </row>
    <row r="854" customFormat="false" ht="15" hidden="false" customHeight="false" outlineLevel="0" collapsed="false">
      <c r="A854" s="21" t="s">
        <v>920</v>
      </c>
      <c r="B854" s="21" t="s">
        <v>134</v>
      </c>
      <c r="C854" s="22" t="n">
        <v>43094</v>
      </c>
      <c r="D854" s="22" t="n">
        <v>43100</v>
      </c>
      <c r="E854" s="22" t="n">
        <v>43117</v>
      </c>
      <c r="F854" s="21" t="s">
        <v>49</v>
      </c>
      <c r="G854" s="23" t="n">
        <v>78.99</v>
      </c>
      <c r="H854" s="23" t="n">
        <v>27.77</v>
      </c>
      <c r="I854" s="21" t="s">
        <v>45</v>
      </c>
      <c r="J854" s="21" t="n">
        <v>3</v>
      </c>
      <c r="K854" s="21" t="s">
        <v>46</v>
      </c>
      <c r="L854" s="24" t="n">
        <f aca="false">DATE(YEAR(C854),MONTH(C854),1)</f>
        <v>43070</v>
      </c>
      <c r="M854" s="21" t="n">
        <f aca="false">D854-C854</f>
        <v>6</v>
      </c>
      <c r="N854" s="21" t="n">
        <f aca="false">MAX(0,D854-E854)</f>
        <v>0</v>
      </c>
      <c r="O854" s="21" t="n">
        <f aca="false">IF(D854&lt;=E854,1,0)</f>
        <v>1</v>
      </c>
      <c r="P854" s="23" t="n">
        <f aca="false">G854+H854</f>
        <v>106.76</v>
      </c>
      <c r="Q854" s="23" t="n">
        <f aca="false">G854*INDEX(Assumptions!$B$8:$B$16,MATCH(F854,Assumptions!$A$8:$A$16,0))</f>
        <v>45.8142</v>
      </c>
      <c r="R854" s="23" t="n">
        <f aca="false">H854*Assumptions!$B$3</f>
        <v>16.662</v>
      </c>
      <c r="S854" s="23" t="n">
        <f aca="false">G854-Q854-R854</f>
        <v>16.5138</v>
      </c>
      <c r="T854" s="21" t="str">
        <f aca="false">IF(M854&lt;=7,"0-7 days",IF(M854&lt;=14,"8-14 days",IF(M854&lt;=21,"15-21 days","22+ days")))</f>
        <v>0-7 days</v>
      </c>
    </row>
    <row r="855" customFormat="false" ht="15" hidden="false" customHeight="false" outlineLevel="0" collapsed="false">
      <c r="A855" s="21" t="s">
        <v>921</v>
      </c>
      <c r="B855" s="21" t="s">
        <v>19</v>
      </c>
      <c r="C855" s="22" t="n">
        <v>43094</v>
      </c>
      <c r="D855" s="22" t="n">
        <v>43100</v>
      </c>
      <c r="E855" s="22" t="n">
        <v>43110</v>
      </c>
      <c r="F855" s="21" t="s">
        <v>44</v>
      </c>
      <c r="G855" s="23" t="n">
        <v>90.56</v>
      </c>
      <c r="H855" s="23" t="n">
        <v>20.85</v>
      </c>
      <c r="I855" s="21" t="s">
        <v>45</v>
      </c>
      <c r="J855" s="21" t="n">
        <v>5</v>
      </c>
      <c r="K855" s="21" t="s">
        <v>46</v>
      </c>
      <c r="L855" s="24" t="n">
        <f aca="false">DATE(YEAR(C855),MONTH(C855),1)</f>
        <v>43070</v>
      </c>
      <c r="M855" s="21" t="n">
        <f aca="false">D855-C855</f>
        <v>6</v>
      </c>
      <c r="N855" s="21" t="n">
        <f aca="false">MAX(0,D855-E855)</f>
        <v>0</v>
      </c>
      <c r="O855" s="21" t="n">
        <f aca="false">IF(D855&lt;=E855,1,0)</f>
        <v>1</v>
      </c>
      <c r="P855" s="23" t="n">
        <f aca="false">G855+H855</f>
        <v>111.41</v>
      </c>
      <c r="Q855" s="23" t="n">
        <f aca="false">G855*INDEX(Assumptions!$B$8:$B$16,MATCH(F855,Assumptions!$A$8:$A$16,0))</f>
        <v>54.336</v>
      </c>
      <c r="R855" s="23" t="n">
        <f aca="false">H855*Assumptions!$B$3</f>
        <v>12.51</v>
      </c>
      <c r="S855" s="23" t="n">
        <f aca="false">G855-Q855-R855</f>
        <v>23.714</v>
      </c>
      <c r="T855" s="21" t="str">
        <f aca="false">IF(M855&lt;=7,"0-7 days",IF(M855&lt;=14,"8-14 days",IF(M855&lt;=21,"15-21 days","22+ days")))</f>
        <v>0-7 days</v>
      </c>
    </row>
    <row r="856" customFormat="false" ht="15" hidden="false" customHeight="false" outlineLevel="0" collapsed="false">
      <c r="A856" s="21" t="s">
        <v>922</v>
      </c>
      <c r="B856" s="21" t="s">
        <v>55</v>
      </c>
      <c r="C856" s="22" t="n">
        <v>43094</v>
      </c>
      <c r="D856" s="22" t="n">
        <v>43104</v>
      </c>
      <c r="E856" s="22" t="n">
        <v>43117</v>
      </c>
      <c r="F856" s="21" t="s">
        <v>57</v>
      </c>
      <c r="G856" s="23" t="n">
        <v>143.35</v>
      </c>
      <c r="H856" s="23" t="n">
        <v>26.63</v>
      </c>
      <c r="I856" s="21" t="s">
        <v>45</v>
      </c>
      <c r="J856" s="21" t="n">
        <v>4</v>
      </c>
      <c r="K856" s="21" t="s">
        <v>46</v>
      </c>
      <c r="L856" s="24" t="n">
        <f aca="false">DATE(YEAR(C856),MONTH(C856),1)</f>
        <v>43070</v>
      </c>
      <c r="M856" s="21" t="n">
        <f aca="false">D856-C856</f>
        <v>10</v>
      </c>
      <c r="N856" s="21" t="n">
        <f aca="false">MAX(0,D856-E856)</f>
        <v>0</v>
      </c>
      <c r="O856" s="21" t="n">
        <f aca="false">IF(D856&lt;=E856,1,0)</f>
        <v>1</v>
      </c>
      <c r="P856" s="23" t="n">
        <f aca="false">G856+H856</f>
        <v>169.98</v>
      </c>
      <c r="Q856" s="23" t="n">
        <f aca="false">G856*INDEX(Assumptions!$B$8:$B$16,MATCH(F856,Assumptions!$A$8:$A$16,0))</f>
        <v>97.478</v>
      </c>
      <c r="R856" s="23" t="n">
        <f aca="false">H856*Assumptions!$B$3</f>
        <v>15.978</v>
      </c>
      <c r="S856" s="23" t="n">
        <f aca="false">G856-Q856-R856</f>
        <v>29.894</v>
      </c>
      <c r="T856" s="21" t="str">
        <f aca="false">IF(M856&lt;=7,"0-7 days",IF(M856&lt;=14,"8-14 days",IF(M856&lt;=21,"15-21 days","22+ days")))</f>
        <v>8-14 days</v>
      </c>
    </row>
    <row r="857" customFormat="false" ht="15" hidden="false" customHeight="false" outlineLevel="0" collapsed="false">
      <c r="A857" s="21" t="s">
        <v>923</v>
      </c>
      <c r="B857" s="21" t="s">
        <v>62</v>
      </c>
      <c r="C857" s="22" t="n">
        <v>43094</v>
      </c>
      <c r="D857" s="22" t="n">
        <v>43105</v>
      </c>
      <c r="E857" s="22" t="n">
        <v>43114</v>
      </c>
      <c r="F857" s="21" t="s">
        <v>79</v>
      </c>
      <c r="G857" s="23" t="n">
        <v>75.03</v>
      </c>
      <c r="H857" s="23" t="n">
        <v>25.87</v>
      </c>
      <c r="I857" s="21" t="s">
        <v>45</v>
      </c>
      <c r="J857" s="21" t="n">
        <v>5</v>
      </c>
      <c r="K857" s="21" t="s">
        <v>46</v>
      </c>
      <c r="L857" s="24" t="n">
        <f aca="false">DATE(YEAR(C857),MONTH(C857),1)</f>
        <v>43070</v>
      </c>
      <c r="M857" s="21" t="n">
        <f aca="false">D857-C857</f>
        <v>11</v>
      </c>
      <c r="N857" s="21" t="n">
        <f aca="false">MAX(0,D857-E857)</f>
        <v>0</v>
      </c>
      <c r="O857" s="21" t="n">
        <f aca="false">IF(D857&lt;=E857,1,0)</f>
        <v>1</v>
      </c>
      <c r="P857" s="23" t="n">
        <f aca="false">G857+H857</f>
        <v>100.9</v>
      </c>
      <c r="Q857" s="23" t="n">
        <f aca="false">G857*INDEX(Assumptions!$B$8:$B$16,MATCH(F857,Assumptions!$A$8:$A$16,0))</f>
        <v>52.521</v>
      </c>
      <c r="R857" s="23" t="n">
        <f aca="false">H857*Assumptions!$B$3</f>
        <v>15.522</v>
      </c>
      <c r="S857" s="23" t="n">
        <f aca="false">G857-Q857-R857</f>
        <v>6.987</v>
      </c>
      <c r="T857" s="21" t="str">
        <f aca="false">IF(M857&lt;=7,"0-7 days",IF(M857&lt;=14,"8-14 days",IF(M857&lt;=21,"15-21 days","22+ days")))</f>
        <v>8-14 days</v>
      </c>
    </row>
    <row r="858" customFormat="false" ht="15" hidden="false" customHeight="false" outlineLevel="0" collapsed="false">
      <c r="A858" s="21" t="s">
        <v>924</v>
      </c>
      <c r="B858" s="21" t="s">
        <v>156</v>
      </c>
      <c r="C858" s="22" t="n">
        <v>43094</v>
      </c>
      <c r="D858" s="22" t="n">
        <v>43119</v>
      </c>
      <c r="E858" s="22" t="n">
        <v>43117</v>
      </c>
      <c r="F858" s="21" t="s">
        <v>67</v>
      </c>
      <c r="G858" s="23" t="n">
        <v>146.2</v>
      </c>
      <c r="H858" s="23" t="n">
        <v>22.4</v>
      </c>
      <c r="I858" s="21" t="s">
        <v>60</v>
      </c>
      <c r="J858" s="21" t="n">
        <v>3</v>
      </c>
      <c r="K858" s="21" t="s">
        <v>46</v>
      </c>
      <c r="L858" s="24" t="n">
        <f aca="false">DATE(YEAR(C858),MONTH(C858),1)</f>
        <v>43070</v>
      </c>
      <c r="M858" s="21" t="n">
        <f aca="false">D858-C858</f>
        <v>25</v>
      </c>
      <c r="N858" s="21" t="n">
        <f aca="false">MAX(0,D858-E858)</f>
        <v>2</v>
      </c>
      <c r="O858" s="21" t="n">
        <f aca="false">IF(D858&lt;=E858,1,0)</f>
        <v>0</v>
      </c>
      <c r="P858" s="23" t="n">
        <f aca="false">G858+H858</f>
        <v>168.6</v>
      </c>
      <c r="Q858" s="23" t="n">
        <f aca="false">G858*INDEX(Assumptions!$B$8:$B$16,MATCH(F858,Assumptions!$A$8:$A$16,0))</f>
        <v>90.644</v>
      </c>
      <c r="R858" s="23" t="n">
        <f aca="false">H858*Assumptions!$B$3</f>
        <v>13.44</v>
      </c>
      <c r="S858" s="23" t="n">
        <f aca="false">G858-Q858-R858</f>
        <v>42.116</v>
      </c>
      <c r="T858" s="21" t="str">
        <f aca="false">IF(M858&lt;=7,"0-7 days",IF(M858&lt;=14,"8-14 days",IF(M858&lt;=21,"15-21 days","22+ days")))</f>
        <v>22+ days</v>
      </c>
    </row>
    <row r="859" customFormat="false" ht="15" hidden="false" customHeight="false" outlineLevel="0" collapsed="false">
      <c r="A859" s="21" t="s">
        <v>925</v>
      </c>
      <c r="B859" s="21" t="s">
        <v>77</v>
      </c>
      <c r="C859" s="22" t="n">
        <v>43094</v>
      </c>
      <c r="D859" s="22" t="n">
        <v>43113</v>
      </c>
      <c r="E859" s="22" t="n">
        <v>43116</v>
      </c>
      <c r="F859" s="21" t="s">
        <v>111</v>
      </c>
      <c r="G859" s="23" t="n">
        <v>53.62</v>
      </c>
      <c r="H859" s="23" t="n">
        <v>23.88</v>
      </c>
      <c r="I859" s="21" t="s">
        <v>45</v>
      </c>
      <c r="J859" s="21" t="n">
        <v>4</v>
      </c>
      <c r="K859" s="21" t="s">
        <v>46</v>
      </c>
      <c r="L859" s="24" t="n">
        <f aca="false">DATE(YEAR(C859),MONTH(C859),1)</f>
        <v>43070</v>
      </c>
      <c r="M859" s="21" t="n">
        <f aca="false">D859-C859</f>
        <v>19</v>
      </c>
      <c r="N859" s="21" t="n">
        <f aca="false">MAX(0,D859-E859)</f>
        <v>0</v>
      </c>
      <c r="O859" s="21" t="n">
        <f aca="false">IF(D859&lt;=E859,1,0)</f>
        <v>1</v>
      </c>
      <c r="P859" s="23" t="n">
        <f aca="false">G859+H859</f>
        <v>77.5</v>
      </c>
      <c r="Q859" s="23" t="n">
        <f aca="false">G859*INDEX(Assumptions!$B$8:$B$16,MATCH(F859,Assumptions!$A$8:$A$16,0))</f>
        <v>33.7806</v>
      </c>
      <c r="R859" s="23" t="n">
        <f aca="false">H859*Assumptions!$B$3</f>
        <v>14.328</v>
      </c>
      <c r="S859" s="23" t="n">
        <f aca="false">G859-Q859-R859</f>
        <v>5.5114</v>
      </c>
      <c r="T859" s="21" t="str">
        <f aca="false">IF(M859&lt;=7,"0-7 days",IF(M859&lt;=14,"8-14 days",IF(M859&lt;=21,"15-21 days","22+ days")))</f>
        <v>15-21 days</v>
      </c>
    </row>
    <row r="860" customFormat="false" ht="15" hidden="false" customHeight="false" outlineLevel="0" collapsed="false">
      <c r="A860" s="21" t="s">
        <v>926</v>
      </c>
      <c r="B860" s="21" t="s">
        <v>174</v>
      </c>
      <c r="C860" s="22" t="n">
        <v>43094</v>
      </c>
      <c r="D860" s="22" t="n">
        <v>43109</v>
      </c>
      <c r="E860" s="22" t="n">
        <v>43130</v>
      </c>
      <c r="F860" s="21" t="s">
        <v>49</v>
      </c>
      <c r="G860" s="23" t="n">
        <v>281.66</v>
      </c>
      <c r="H860" s="23" t="n">
        <v>43.33</v>
      </c>
      <c r="I860" s="21" t="s">
        <v>60</v>
      </c>
      <c r="J860" s="21" t="n">
        <v>4</v>
      </c>
      <c r="K860" s="21" t="s">
        <v>46</v>
      </c>
      <c r="L860" s="24" t="n">
        <f aca="false">DATE(YEAR(C860),MONTH(C860),1)</f>
        <v>43070</v>
      </c>
      <c r="M860" s="21" t="n">
        <f aca="false">D860-C860</f>
        <v>15</v>
      </c>
      <c r="N860" s="21" t="n">
        <f aca="false">MAX(0,D860-E860)</f>
        <v>0</v>
      </c>
      <c r="O860" s="21" t="n">
        <f aca="false">IF(D860&lt;=E860,1,0)</f>
        <v>1</v>
      </c>
      <c r="P860" s="23" t="n">
        <f aca="false">G860+H860</f>
        <v>324.99</v>
      </c>
      <c r="Q860" s="23" t="n">
        <f aca="false">G860*INDEX(Assumptions!$B$8:$B$16,MATCH(F860,Assumptions!$A$8:$A$16,0))</f>
        <v>163.3628</v>
      </c>
      <c r="R860" s="23" t="n">
        <f aca="false">H860*Assumptions!$B$3</f>
        <v>25.998</v>
      </c>
      <c r="S860" s="23" t="n">
        <f aca="false">G860-Q860-R860</f>
        <v>92.2992</v>
      </c>
      <c r="T860" s="21" t="str">
        <f aca="false">IF(M860&lt;=7,"0-7 days",IF(M860&lt;=14,"8-14 days",IF(M860&lt;=21,"15-21 days","22+ days")))</f>
        <v>15-21 days</v>
      </c>
    </row>
    <row r="861" customFormat="false" ht="15" hidden="false" customHeight="false" outlineLevel="0" collapsed="false">
      <c r="A861" s="21" t="s">
        <v>927</v>
      </c>
      <c r="B861" s="21" t="s">
        <v>19</v>
      </c>
      <c r="C861" s="22" t="n">
        <v>43095</v>
      </c>
      <c r="D861" s="22" t="n">
        <v>43100</v>
      </c>
      <c r="E861" s="22" t="n">
        <v>43111</v>
      </c>
      <c r="F861" s="21" t="s">
        <v>57</v>
      </c>
      <c r="G861" s="23" t="n">
        <v>102.02</v>
      </c>
      <c r="H861" s="23" t="n">
        <v>21.71</v>
      </c>
      <c r="I861" s="21" t="s">
        <v>45</v>
      </c>
      <c r="J861" s="21" t="n">
        <v>5</v>
      </c>
      <c r="K861" s="21" t="s">
        <v>46</v>
      </c>
      <c r="L861" s="24" t="n">
        <f aca="false">DATE(YEAR(C861),MONTH(C861),1)</f>
        <v>43070</v>
      </c>
      <c r="M861" s="21" t="n">
        <f aca="false">D861-C861</f>
        <v>5</v>
      </c>
      <c r="N861" s="21" t="n">
        <f aca="false">MAX(0,D861-E861)</f>
        <v>0</v>
      </c>
      <c r="O861" s="21" t="n">
        <f aca="false">IF(D861&lt;=E861,1,0)</f>
        <v>1</v>
      </c>
      <c r="P861" s="23" t="n">
        <f aca="false">G861+H861</f>
        <v>123.73</v>
      </c>
      <c r="Q861" s="23" t="n">
        <f aca="false">G861*INDEX(Assumptions!$B$8:$B$16,MATCH(F861,Assumptions!$A$8:$A$16,0))</f>
        <v>69.3736</v>
      </c>
      <c r="R861" s="23" t="n">
        <f aca="false">H861*Assumptions!$B$3</f>
        <v>13.026</v>
      </c>
      <c r="S861" s="23" t="n">
        <f aca="false">G861-Q861-R861</f>
        <v>19.6204</v>
      </c>
      <c r="T861" s="21" t="str">
        <f aca="false">IF(M861&lt;=7,"0-7 days",IF(M861&lt;=14,"8-14 days",IF(M861&lt;=21,"15-21 days","22+ days")))</f>
        <v>0-7 days</v>
      </c>
    </row>
    <row r="862" customFormat="false" ht="15" hidden="false" customHeight="false" outlineLevel="0" collapsed="false">
      <c r="A862" s="21" t="s">
        <v>928</v>
      </c>
      <c r="B862" s="21" t="s">
        <v>62</v>
      </c>
      <c r="C862" s="22" t="n">
        <v>43095</v>
      </c>
      <c r="D862" s="22" t="n">
        <v>43103</v>
      </c>
      <c r="E862" s="22" t="n">
        <v>43113</v>
      </c>
      <c r="F862" s="21" t="s">
        <v>49</v>
      </c>
      <c r="G862" s="23" t="n">
        <v>69.97</v>
      </c>
      <c r="H862" s="23" t="n">
        <v>25.78</v>
      </c>
      <c r="I862" s="21" t="s">
        <v>45</v>
      </c>
      <c r="J862" s="21" t="n">
        <v>5</v>
      </c>
      <c r="K862" s="21" t="s">
        <v>46</v>
      </c>
      <c r="L862" s="24" t="n">
        <f aca="false">DATE(YEAR(C862),MONTH(C862),1)</f>
        <v>43070</v>
      </c>
      <c r="M862" s="21" t="n">
        <f aca="false">D862-C862</f>
        <v>8</v>
      </c>
      <c r="N862" s="21" t="n">
        <f aca="false">MAX(0,D862-E862)</f>
        <v>0</v>
      </c>
      <c r="O862" s="21" t="n">
        <f aca="false">IF(D862&lt;=E862,1,0)</f>
        <v>1</v>
      </c>
      <c r="P862" s="23" t="n">
        <f aca="false">G862+H862</f>
        <v>95.75</v>
      </c>
      <c r="Q862" s="23" t="n">
        <f aca="false">G862*INDEX(Assumptions!$B$8:$B$16,MATCH(F862,Assumptions!$A$8:$A$16,0))</f>
        <v>40.5826</v>
      </c>
      <c r="R862" s="23" t="n">
        <f aca="false">H862*Assumptions!$B$3</f>
        <v>15.468</v>
      </c>
      <c r="S862" s="23" t="n">
        <f aca="false">G862-Q862-R862</f>
        <v>13.9194</v>
      </c>
      <c r="T862" s="21" t="str">
        <f aca="false">IF(M862&lt;=7,"0-7 days",IF(M862&lt;=14,"8-14 days",IF(M862&lt;=21,"15-21 days","22+ days")))</f>
        <v>8-14 days</v>
      </c>
    </row>
    <row r="863" customFormat="false" ht="15" hidden="false" customHeight="false" outlineLevel="0" collapsed="false">
      <c r="A863" s="21" t="s">
        <v>929</v>
      </c>
      <c r="B863" s="21" t="s">
        <v>156</v>
      </c>
      <c r="C863" s="22" t="n">
        <v>43096</v>
      </c>
      <c r="D863" s="22" t="n">
        <v>43114</v>
      </c>
      <c r="E863" s="22" t="n">
        <v>43119</v>
      </c>
      <c r="F863" s="21" t="s">
        <v>59</v>
      </c>
      <c r="G863" s="23" t="n">
        <v>183.68</v>
      </c>
      <c r="H863" s="23" t="n">
        <v>35.23</v>
      </c>
      <c r="I863" s="21" t="s">
        <v>60</v>
      </c>
      <c r="J863" s="21" t="n">
        <v>4</v>
      </c>
      <c r="K863" s="21" t="s">
        <v>46</v>
      </c>
      <c r="L863" s="24" t="n">
        <f aca="false">DATE(YEAR(C863),MONTH(C863),1)</f>
        <v>43070</v>
      </c>
      <c r="M863" s="21" t="n">
        <f aca="false">D863-C863</f>
        <v>18</v>
      </c>
      <c r="N863" s="21" t="n">
        <f aca="false">MAX(0,D863-E863)</f>
        <v>0</v>
      </c>
      <c r="O863" s="21" t="n">
        <f aca="false">IF(D863&lt;=E863,1,0)</f>
        <v>1</v>
      </c>
      <c r="P863" s="23" t="n">
        <f aca="false">G863+H863</f>
        <v>218.91</v>
      </c>
      <c r="Q863" s="23" t="n">
        <f aca="false">G863*INDEX(Assumptions!$B$8:$B$16,MATCH(F863,Assumptions!$A$8:$A$16,0))</f>
        <v>117.5552</v>
      </c>
      <c r="R863" s="23" t="n">
        <f aca="false">H863*Assumptions!$B$3</f>
        <v>21.138</v>
      </c>
      <c r="S863" s="23" t="n">
        <f aca="false">G863-Q863-R863</f>
        <v>44.9868</v>
      </c>
      <c r="T863" s="21" t="str">
        <f aca="false">IF(M863&lt;=7,"0-7 days",IF(M863&lt;=14,"8-14 days",IF(M863&lt;=21,"15-21 days","22+ days")))</f>
        <v>15-21 days</v>
      </c>
    </row>
    <row r="864" customFormat="false" ht="15" hidden="false" customHeight="false" outlineLevel="0" collapsed="false">
      <c r="A864" s="21" t="s">
        <v>930</v>
      </c>
      <c r="B864" s="21" t="s">
        <v>55</v>
      </c>
      <c r="C864" s="22" t="n">
        <v>43096</v>
      </c>
      <c r="D864" s="22" t="n">
        <v>43108</v>
      </c>
      <c r="E864" s="22" t="n">
        <v>43124</v>
      </c>
      <c r="F864" s="21" t="s">
        <v>79</v>
      </c>
      <c r="G864" s="23" t="n">
        <v>101.55</v>
      </c>
      <c r="H864" s="23" t="n">
        <v>23.11</v>
      </c>
      <c r="I864" s="21" t="s">
        <v>60</v>
      </c>
      <c r="J864" s="21" t="n">
        <v>5</v>
      </c>
      <c r="K864" s="21" t="s">
        <v>46</v>
      </c>
      <c r="L864" s="24" t="n">
        <f aca="false">DATE(YEAR(C864),MONTH(C864),1)</f>
        <v>43070</v>
      </c>
      <c r="M864" s="21" t="n">
        <f aca="false">D864-C864</f>
        <v>12</v>
      </c>
      <c r="N864" s="21" t="n">
        <f aca="false">MAX(0,D864-E864)</f>
        <v>0</v>
      </c>
      <c r="O864" s="21" t="n">
        <f aca="false">IF(D864&lt;=E864,1,0)</f>
        <v>1</v>
      </c>
      <c r="P864" s="23" t="n">
        <f aca="false">G864+H864</f>
        <v>124.66</v>
      </c>
      <c r="Q864" s="23" t="n">
        <f aca="false">G864*INDEX(Assumptions!$B$8:$B$16,MATCH(F864,Assumptions!$A$8:$A$16,0))</f>
        <v>71.085</v>
      </c>
      <c r="R864" s="23" t="n">
        <f aca="false">H864*Assumptions!$B$3</f>
        <v>13.866</v>
      </c>
      <c r="S864" s="23" t="n">
        <f aca="false">G864-Q864-R864</f>
        <v>16.599</v>
      </c>
      <c r="T864" s="21" t="str">
        <f aca="false">IF(M864&lt;=7,"0-7 days",IF(M864&lt;=14,"8-14 days",IF(M864&lt;=21,"15-21 days","22+ days")))</f>
        <v>8-14 days</v>
      </c>
    </row>
    <row r="865" customFormat="false" ht="15" hidden="false" customHeight="false" outlineLevel="0" collapsed="false">
      <c r="A865" s="21" t="s">
        <v>931</v>
      </c>
      <c r="B865" s="21" t="s">
        <v>19</v>
      </c>
      <c r="C865" s="22" t="n">
        <v>43096</v>
      </c>
      <c r="D865" s="22" t="n">
        <v>43101</v>
      </c>
      <c r="E865" s="22" t="n">
        <v>43110</v>
      </c>
      <c r="F865" s="21" t="s">
        <v>49</v>
      </c>
      <c r="G865" s="23" t="n">
        <v>49.26</v>
      </c>
      <c r="H865" s="23" t="n">
        <v>11.79</v>
      </c>
      <c r="I865" s="21" t="s">
        <v>45</v>
      </c>
      <c r="J865" s="21" t="n">
        <v>5</v>
      </c>
      <c r="K865" s="21" t="s">
        <v>46</v>
      </c>
      <c r="L865" s="24" t="n">
        <f aca="false">DATE(YEAR(C865),MONTH(C865),1)</f>
        <v>43070</v>
      </c>
      <c r="M865" s="21" t="n">
        <f aca="false">D865-C865</f>
        <v>5</v>
      </c>
      <c r="N865" s="21" t="n">
        <f aca="false">MAX(0,D865-E865)</f>
        <v>0</v>
      </c>
      <c r="O865" s="21" t="n">
        <f aca="false">IF(D865&lt;=E865,1,0)</f>
        <v>1</v>
      </c>
      <c r="P865" s="23" t="n">
        <f aca="false">G865+H865</f>
        <v>61.05</v>
      </c>
      <c r="Q865" s="23" t="n">
        <f aca="false">G865*INDEX(Assumptions!$B$8:$B$16,MATCH(F865,Assumptions!$A$8:$A$16,0))</f>
        <v>28.5708</v>
      </c>
      <c r="R865" s="23" t="n">
        <f aca="false">H865*Assumptions!$B$3</f>
        <v>7.074</v>
      </c>
      <c r="S865" s="23" t="n">
        <f aca="false">G865-Q865-R865</f>
        <v>13.6152</v>
      </c>
      <c r="T865" s="21" t="str">
        <f aca="false">IF(M865&lt;=7,"0-7 days",IF(M865&lt;=14,"8-14 days",IF(M865&lt;=21,"15-21 days","22+ days")))</f>
        <v>0-7 days</v>
      </c>
    </row>
    <row r="866" customFormat="false" ht="15" hidden="false" customHeight="false" outlineLevel="0" collapsed="false">
      <c r="A866" s="21" t="s">
        <v>932</v>
      </c>
      <c r="B866" s="21" t="s">
        <v>19</v>
      </c>
      <c r="C866" s="22" t="n">
        <v>43096</v>
      </c>
      <c r="D866" s="22" t="n">
        <v>43102</v>
      </c>
      <c r="E866" s="22" t="n">
        <v>43107</v>
      </c>
      <c r="F866" s="21" t="s">
        <v>59</v>
      </c>
      <c r="G866" s="23" t="n">
        <v>89.15</v>
      </c>
      <c r="H866" s="23" t="n">
        <v>14.34</v>
      </c>
      <c r="I866" s="21" t="s">
        <v>60</v>
      </c>
      <c r="J866" s="21" t="n">
        <v>4</v>
      </c>
      <c r="K866" s="21" t="s">
        <v>46</v>
      </c>
      <c r="L866" s="24" t="n">
        <f aca="false">DATE(YEAR(C866),MONTH(C866),1)</f>
        <v>43070</v>
      </c>
      <c r="M866" s="21" t="n">
        <f aca="false">D866-C866</f>
        <v>6</v>
      </c>
      <c r="N866" s="21" t="n">
        <f aca="false">MAX(0,D866-E866)</f>
        <v>0</v>
      </c>
      <c r="O866" s="21" t="n">
        <f aca="false">IF(D866&lt;=E866,1,0)</f>
        <v>1</v>
      </c>
      <c r="P866" s="23" t="n">
        <f aca="false">G866+H866</f>
        <v>103.49</v>
      </c>
      <c r="Q866" s="23" t="n">
        <f aca="false">G866*INDEX(Assumptions!$B$8:$B$16,MATCH(F866,Assumptions!$A$8:$A$16,0))</f>
        <v>57.056</v>
      </c>
      <c r="R866" s="23" t="n">
        <f aca="false">H866*Assumptions!$B$3</f>
        <v>8.604</v>
      </c>
      <c r="S866" s="23" t="n">
        <f aca="false">G866-Q866-R866</f>
        <v>23.49</v>
      </c>
      <c r="T866" s="21" t="str">
        <f aca="false">IF(M866&lt;=7,"0-7 days",IF(M866&lt;=14,"8-14 days",IF(M866&lt;=21,"15-21 days","22+ days")))</f>
        <v>0-7 days</v>
      </c>
    </row>
    <row r="867" customFormat="false" ht="15" hidden="false" customHeight="false" outlineLevel="0" collapsed="false">
      <c r="A867" s="21" t="s">
        <v>933</v>
      </c>
      <c r="B867" s="21" t="s">
        <v>19</v>
      </c>
      <c r="C867" s="22" t="n">
        <v>43096</v>
      </c>
      <c r="D867" s="22" t="n">
        <v>43106</v>
      </c>
      <c r="E867" s="22" t="n">
        <v>43111</v>
      </c>
      <c r="F867" s="21" t="s">
        <v>49</v>
      </c>
      <c r="G867" s="23" t="n">
        <v>196.47</v>
      </c>
      <c r="H867" s="23" t="n">
        <v>16.92</v>
      </c>
      <c r="I867" s="21" t="s">
        <v>60</v>
      </c>
      <c r="J867" s="21" t="n">
        <v>5</v>
      </c>
      <c r="K867" s="21" t="s">
        <v>46</v>
      </c>
      <c r="L867" s="24" t="n">
        <f aca="false">DATE(YEAR(C867),MONTH(C867),1)</f>
        <v>43070</v>
      </c>
      <c r="M867" s="21" t="n">
        <f aca="false">D867-C867</f>
        <v>10</v>
      </c>
      <c r="N867" s="21" t="n">
        <f aca="false">MAX(0,D867-E867)</f>
        <v>0</v>
      </c>
      <c r="O867" s="21" t="n">
        <f aca="false">IF(D867&lt;=E867,1,0)</f>
        <v>1</v>
      </c>
      <c r="P867" s="23" t="n">
        <f aca="false">G867+H867</f>
        <v>213.39</v>
      </c>
      <c r="Q867" s="23" t="n">
        <f aca="false">G867*INDEX(Assumptions!$B$8:$B$16,MATCH(F867,Assumptions!$A$8:$A$16,0))</f>
        <v>113.9526</v>
      </c>
      <c r="R867" s="23" t="n">
        <f aca="false">H867*Assumptions!$B$3</f>
        <v>10.152</v>
      </c>
      <c r="S867" s="23" t="n">
        <f aca="false">G867-Q867-R867</f>
        <v>72.3654</v>
      </c>
      <c r="T867" s="21" t="str">
        <f aca="false">IF(M867&lt;=7,"0-7 days",IF(M867&lt;=14,"8-14 days",IF(M867&lt;=21,"15-21 days","22+ days")))</f>
        <v>8-14 days</v>
      </c>
    </row>
    <row r="868" customFormat="false" ht="15" hidden="false" customHeight="false" outlineLevel="0" collapsed="false">
      <c r="A868" s="21" t="s">
        <v>934</v>
      </c>
      <c r="B868" s="21" t="s">
        <v>19</v>
      </c>
      <c r="C868" s="22" t="n">
        <v>43097</v>
      </c>
      <c r="D868" s="22" t="n">
        <v>43111</v>
      </c>
      <c r="E868" s="22" t="n">
        <v>43113</v>
      </c>
      <c r="F868" s="21" t="s">
        <v>64</v>
      </c>
      <c r="G868" s="23" t="n">
        <v>147.74</v>
      </c>
      <c r="H868" s="23" t="n">
        <v>18.73</v>
      </c>
      <c r="I868" s="21" t="s">
        <v>60</v>
      </c>
      <c r="J868" s="21" t="n">
        <v>4</v>
      </c>
      <c r="K868" s="21" t="s">
        <v>46</v>
      </c>
      <c r="L868" s="24" t="n">
        <f aca="false">DATE(YEAR(C868),MONTH(C868),1)</f>
        <v>43070</v>
      </c>
      <c r="M868" s="21" t="n">
        <f aca="false">D868-C868</f>
        <v>14</v>
      </c>
      <c r="N868" s="21" t="n">
        <f aca="false">MAX(0,D868-E868)</f>
        <v>0</v>
      </c>
      <c r="O868" s="21" t="n">
        <f aca="false">IF(D868&lt;=E868,1,0)</f>
        <v>1</v>
      </c>
      <c r="P868" s="23" t="n">
        <f aca="false">G868+H868</f>
        <v>166.47</v>
      </c>
      <c r="Q868" s="23" t="n">
        <f aca="false">G868*INDEX(Assumptions!$B$8:$B$16,MATCH(F868,Assumptions!$A$8:$A$16,0))</f>
        <v>97.5084</v>
      </c>
      <c r="R868" s="23" t="n">
        <f aca="false">H868*Assumptions!$B$3</f>
        <v>11.238</v>
      </c>
      <c r="S868" s="23" t="n">
        <f aca="false">G868-Q868-R868</f>
        <v>38.9936</v>
      </c>
      <c r="T868" s="21" t="str">
        <f aca="false">IF(M868&lt;=7,"0-7 days",IF(M868&lt;=14,"8-14 days",IF(M868&lt;=21,"15-21 days","22+ days")))</f>
        <v>8-14 days</v>
      </c>
    </row>
    <row r="869" customFormat="false" ht="15" hidden="false" customHeight="false" outlineLevel="0" collapsed="false">
      <c r="A869" s="21" t="s">
        <v>935</v>
      </c>
      <c r="B869" s="21" t="s">
        <v>62</v>
      </c>
      <c r="C869" s="22" t="n">
        <v>43097</v>
      </c>
      <c r="D869" s="22" t="n">
        <v>43112</v>
      </c>
      <c r="E869" s="22" t="n">
        <v>43120</v>
      </c>
      <c r="F869" s="21" t="s">
        <v>111</v>
      </c>
      <c r="G869" s="23" t="n">
        <v>179.5</v>
      </c>
      <c r="H869" s="23" t="n">
        <v>22.34</v>
      </c>
      <c r="I869" s="21" t="s">
        <v>45</v>
      </c>
      <c r="J869" s="21" t="n">
        <v>4</v>
      </c>
      <c r="K869" s="21" t="s">
        <v>46</v>
      </c>
      <c r="L869" s="24" t="n">
        <f aca="false">DATE(YEAR(C869),MONTH(C869),1)</f>
        <v>43070</v>
      </c>
      <c r="M869" s="21" t="n">
        <f aca="false">D869-C869</f>
        <v>15</v>
      </c>
      <c r="N869" s="21" t="n">
        <f aca="false">MAX(0,D869-E869)</f>
        <v>0</v>
      </c>
      <c r="O869" s="21" t="n">
        <f aca="false">IF(D869&lt;=E869,1,0)</f>
        <v>1</v>
      </c>
      <c r="P869" s="23" t="n">
        <f aca="false">G869+H869</f>
        <v>201.84</v>
      </c>
      <c r="Q869" s="23" t="n">
        <f aca="false">G869*INDEX(Assumptions!$B$8:$B$16,MATCH(F869,Assumptions!$A$8:$A$16,0))</f>
        <v>113.085</v>
      </c>
      <c r="R869" s="23" t="n">
        <f aca="false">H869*Assumptions!$B$3</f>
        <v>13.404</v>
      </c>
      <c r="S869" s="23" t="n">
        <f aca="false">G869-Q869-R869</f>
        <v>53.011</v>
      </c>
      <c r="T869" s="21" t="str">
        <f aca="false">IF(M869&lt;=7,"0-7 days",IF(M869&lt;=14,"8-14 days",IF(M869&lt;=21,"15-21 days","22+ days")))</f>
        <v>15-21 days</v>
      </c>
    </row>
    <row r="870" customFormat="false" ht="15" hidden="false" customHeight="false" outlineLevel="0" collapsed="false">
      <c r="A870" s="21" t="s">
        <v>936</v>
      </c>
      <c r="B870" s="21" t="s">
        <v>19</v>
      </c>
      <c r="C870" s="22" t="n">
        <v>43097</v>
      </c>
      <c r="D870" s="22" t="n">
        <v>43105</v>
      </c>
      <c r="E870" s="22" t="n">
        <v>43113</v>
      </c>
      <c r="F870" s="21" t="s">
        <v>49</v>
      </c>
      <c r="G870" s="23" t="n">
        <v>121.28</v>
      </c>
      <c r="H870" s="23" t="n">
        <v>15.58</v>
      </c>
      <c r="I870" s="21" t="s">
        <v>60</v>
      </c>
      <c r="J870" s="21" t="n">
        <v>5</v>
      </c>
      <c r="K870" s="21" t="s">
        <v>46</v>
      </c>
      <c r="L870" s="24" t="n">
        <f aca="false">DATE(YEAR(C870),MONTH(C870),1)</f>
        <v>43070</v>
      </c>
      <c r="M870" s="21" t="n">
        <f aca="false">D870-C870</f>
        <v>8</v>
      </c>
      <c r="N870" s="21" t="n">
        <f aca="false">MAX(0,D870-E870)</f>
        <v>0</v>
      </c>
      <c r="O870" s="21" t="n">
        <f aca="false">IF(D870&lt;=E870,1,0)</f>
        <v>1</v>
      </c>
      <c r="P870" s="23" t="n">
        <f aca="false">G870+H870</f>
        <v>136.86</v>
      </c>
      <c r="Q870" s="23" t="n">
        <f aca="false">G870*INDEX(Assumptions!$B$8:$B$16,MATCH(F870,Assumptions!$A$8:$A$16,0))</f>
        <v>70.3424</v>
      </c>
      <c r="R870" s="23" t="n">
        <f aca="false">H870*Assumptions!$B$3</f>
        <v>9.348</v>
      </c>
      <c r="S870" s="23" t="n">
        <f aca="false">G870-Q870-R870</f>
        <v>41.5896</v>
      </c>
      <c r="T870" s="21" t="str">
        <f aca="false">IF(M870&lt;=7,"0-7 days",IF(M870&lt;=14,"8-14 days",IF(M870&lt;=21,"15-21 days","22+ days")))</f>
        <v>8-14 days</v>
      </c>
    </row>
    <row r="871" customFormat="false" ht="15" hidden="false" customHeight="false" outlineLevel="0" collapsed="false">
      <c r="A871" s="21" t="s">
        <v>937</v>
      </c>
      <c r="B871" s="21" t="s">
        <v>103</v>
      </c>
      <c r="C871" s="22" t="n">
        <v>43099</v>
      </c>
      <c r="D871" s="22" t="n">
        <v>43110</v>
      </c>
      <c r="E871" s="22" t="n">
        <v>43122</v>
      </c>
      <c r="F871" s="21" t="s">
        <v>49</v>
      </c>
      <c r="G871" s="23" t="n">
        <v>284.68</v>
      </c>
      <c r="H871" s="23" t="n">
        <v>31.66</v>
      </c>
      <c r="I871" s="21" t="s">
        <v>60</v>
      </c>
      <c r="J871" s="21" t="n">
        <v>4</v>
      </c>
      <c r="K871" s="21" t="s">
        <v>46</v>
      </c>
      <c r="L871" s="24" t="n">
        <f aca="false">DATE(YEAR(C871),MONTH(C871),1)</f>
        <v>43070</v>
      </c>
      <c r="M871" s="21" t="n">
        <f aca="false">D871-C871</f>
        <v>11</v>
      </c>
      <c r="N871" s="21" t="n">
        <f aca="false">MAX(0,D871-E871)</f>
        <v>0</v>
      </c>
      <c r="O871" s="21" t="n">
        <f aca="false">IF(D871&lt;=E871,1,0)</f>
        <v>1</v>
      </c>
      <c r="P871" s="23" t="n">
        <f aca="false">G871+H871</f>
        <v>316.34</v>
      </c>
      <c r="Q871" s="23" t="n">
        <f aca="false">G871*INDEX(Assumptions!$B$8:$B$16,MATCH(F871,Assumptions!$A$8:$A$16,0))</f>
        <v>165.1144</v>
      </c>
      <c r="R871" s="23" t="n">
        <f aca="false">H871*Assumptions!$B$3</f>
        <v>18.996</v>
      </c>
      <c r="S871" s="23" t="n">
        <f aca="false">G871-Q871-R871</f>
        <v>100.5696</v>
      </c>
      <c r="T871" s="21" t="str">
        <f aca="false">IF(M871&lt;=7,"0-7 days",IF(M871&lt;=14,"8-14 days",IF(M871&lt;=21,"15-21 days","22+ days")))</f>
        <v>8-14 days</v>
      </c>
    </row>
    <row r="872" customFormat="false" ht="15" hidden="false" customHeight="false" outlineLevel="0" collapsed="false">
      <c r="A872" s="21" t="s">
        <v>938</v>
      </c>
      <c r="B872" s="21" t="s">
        <v>174</v>
      </c>
      <c r="C872" s="22" t="n">
        <v>43099</v>
      </c>
      <c r="D872" s="22" t="n">
        <v>43115</v>
      </c>
      <c r="E872" s="22" t="n">
        <v>43133</v>
      </c>
      <c r="F872" s="21" t="s">
        <v>111</v>
      </c>
      <c r="G872" s="23" t="n">
        <v>73.79</v>
      </c>
      <c r="H872" s="23" t="n">
        <v>38</v>
      </c>
      <c r="I872" s="21" t="s">
        <v>45</v>
      </c>
      <c r="J872" s="21" t="n">
        <v>5</v>
      </c>
      <c r="K872" s="21" t="s">
        <v>46</v>
      </c>
      <c r="L872" s="24" t="n">
        <f aca="false">DATE(YEAR(C872),MONTH(C872),1)</f>
        <v>43070</v>
      </c>
      <c r="M872" s="21" t="n">
        <f aca="false">D872-C872</f>
        <v>16</v>
      </c>
      <c r="N872" s="21" t="n">
        <f aca="false">MAX(0,D872-E872)</f>
        <v>0</v>
      </c>
      <c r="O872" s="21" t="n">
        <f aca="false">IF(D872&lt;=E872,1,0)</f>
        <v>1</v>
      </c>
      <c r="P872" s="23" t="n">
        <f aca="false">G872+H872</f>
        <v>111.79</v>
      </c>
      <c r="Q872" s="23" t="n">
        <f aca="false">G872*INDEX(Assumptions!$B$8:$B$16,MATCH(F872,Assumptions!$A$8:$A$16,0))</f>
        <v>46.4877</v>
      </c>
      <c r="R872" s="23" t="n">
        <f aca="false">H872*Assumptions!$B$3</f>
        <v>22.8</v>
      </c>
      <c r="S872" s="23" t="n">
        <f aca="false">G872-Q872-R872</f>
        <v>4.5023</v>
      </c>
      <c r="T872" s="21" t="str">
        <f aca="false">IF(M872&lt;=7,"0-7 days",IF(M872&lt;=14,"8-14 days",IF(M872&lt;=21,"15-21 days","22+ days")))</f>
        <v>15-21 days</v>
      </c>
    </row>
    <row r="873" customFormat="false" ht="15" hidden="false" customHeight="false" outlineLevel="0" collapsed="false">
      <c r="A873" s="21" t="s">
        <v>939</v>
      </c>
      <c r="B873" s="21" t="s">
        <v>19</v>
      </c>
      <c r="C873" s="22" t="n">
        <v>43099</v>
      </c>
      <c r="D873" s="22" t="n">
        <v>43105</v>
      </c>
      <c r="E873" s="22" t="n">
        <v>43116</v>
      </c>
      <c r="F873" s="21" t="s">
        <v>49</v>
      </c>
      <c r="G873" s="23" t="n">
        <v>68.61</v>
      </c>
      <c r="H873" s="23" t="n">
        <v>20.25</v>
      </c>
      <c r="I873" s="21" t="s">
        <v>45</v>
      </c>
      <c r="J873" s="21" t="n">
        <v>4</v>
      </c>
      <c r="K873" s="21" t="s">
        <v>46</v>
      </c>
      <c r="L873" s="24" t="n">
        <f aca="false">DATE(YEAR(C873),MONTH(C873),1)</f>
        <v>43070</v>
      </c>
      <c r="M873" s="21" t="n">
        <f aca="false">D873-C873</f>
        <v>6</v>
      </c>
      <c r="N873" s="21" t="n">
        <f aca="false">MAX(0,D873-E873)</f>
        <v>0</v>
      </c>
      <c r="O873" s="21" t="n">
        <f aca="false">IF(D873&lt;=E873,1,0)</f>
        <v>1</v>
      </c>
      <c r="P873" s="23" t="n">
        <f aca="false">G873+H873</f>
        <v>88.86</v>
      </c>
      <c r="Q873" s="23" t="n">
        <f aca="false">G873*INDEX(Assumptions!$B$8:$B$16,MATCH(F873,Assumptions!$A$8:$A$16,0))</f>
        <v>39.7938</v>
      </c>
      <c r="R873" s="23" t="n">
        <f aca="false">H873*Assumptions!$B$3</f>
        <v>12.15</v>
      </c>
      <c r="S873" s="23" t="n">
        <f aca="false">G873-Q873-R873</f>
        <v>16.6662</v>
      </c>
      <c r="T873" s="21" t="str">
        <f aca="false">IF(M873&lt;=7,"0-7 days",IF(M873&lt;=14,"8-14 days",IF(M873&lt;=21,"15-21 days","22+ days")))</f>
        <v>0-7 days</v>
      </c>
    </row>
    <row r="874" customFormat="false" ht="15" hidden="false" customHeight="false" outlineLevel="0" collapsed="false">
      <c r="A874" s="21" t="s">
        <v>940</v>
      </c>
      <c r="B874" s="21" t="s">
        <v>62</v>
      </c>
      <c r="C874" s="22" t="n">
        <v>43099</v>
      </c>
      <c r="D874" s="22" t="n">
        <v>43115</v>
      </c>
      <c r="E874" s="22" t="n">
        <v>43119</v>
      </c>
      <c r="F874" s="21" t="s">
        <v>44</v>
      </c>
      <c r="G874" s="23" t="n">
        <v>179.12</v>
      </c>
      <c r="H874" s="23" t="n">
        <v>18.09</v>
      </c>
      <c r="I874" s="21" t="s">
        <v>45</v>
      </c>
      <c r="J874" s="21" t="n">
        <v>5</v>
      </c>
      <c r="K874" s="21" t="s">
        <v>46</v>
      </c>
      <c r="L874" s="24" t="n">
        <f aca="false">DATE(YEAR(C874),MONTH(C874),1)</f>
        <v>43070</v>
      </c>
      <c r="M874" s="21" t="n">
        <f aca="false">D874-C874</f>
        <v>16</v>
      </c>
      <c r="N874" s="21" t="n">
        <f aca="false">MAX(0,D874-E874)</f>
        <v>0</v>
      </c>
      <c r="O874" s="21" t="n">
        <f aca="false">IF(D874&lt;=E874,1,0)</f>
        <v>1</v>
      </c>
      <c r="P874" s="23" t="n">
        <f aca="false">G874+H874</f>
        <v>197.21</v>
      </c>
      <c r="Q874" s="23" t="n">
        <f aca="false">G874*INDEX(Assumptions!$B$8:$B$16,MATCH(F874,Assumptions!$A$8:$A$16,0))</f>
        <v>107.472</v>
      </c>
      <c r="R874" s="23" t="n">
        <f aca="false">H874*Assumptions!$B$3</f>
        <v>10.854</v>
      </c>
      <c r="S874" s="23" t="n">
        <f aca="false">G874-Q874-R874</f>
        <v>60.794</v>
      </c>
      <c r="T874" s="21" t="str">
        <f aca="false">IF(M874&lt;=7,"0-7 days",IF(M874&lt;=14,"8-14 days",IF(M874&lt;=21,"15-21 days","22+ days")))</f>
        <v>15-21 days</v>
      </c>
    </row>
    <row r="875" customFormat="false" ht="15" hidden="false" customHeight="false" outlineLevel="0" collapsed="false">
      <c r="A875" s="21" t="s">
        <v>941</v>
      </c>
      <c r="B875" s="21" t="s">
        <v>93</v>
      </c>
      <c r="C875" s="22" t="n">
        <v>43100</v>
      </c>
      <c r="D875" s="22" t="n">
        <v>43125</v>
      </c>
      <c r="E875" s="22" t="n">
        <v>43128</v>
      </c>
      <c r="F875" s="21" t="s">
        <v>59</v>
      </c>
      <c r="G875" s="23" t="n">
        <v>140.26</v>
      </c>
      <c r="H875" s="23" t="n">
        <v>33.55</v>
      </c>
      <c r="I875" s="21" t="s">
        <v>45</v>
      </c>
      <c r="J875" s="21" t="n">
        <v>5</v>
      </c>
      <c r="K875" s="21" t="s">
        <v>46</v>
      </c>
      <c r="L875" s="24" t="n">
        <f aca="false">DATE(YEAR(C875),MONTH(C875),1)</f>
        <v>43070</v>
      </c>
      <c r="M875" s="21" t="n">
        <f aca="false">D875-C875</f>
        <v>25</v>
      </c>
      <c r="N875" s="21" t="n">
        <f aca="false">MAX(0,D875-E875)</f>
        <v>0</v>
      </c>
      <c r="O875" s="21" t="n">
        <f aca="false">IF(D875&lt;=E875,1,0)</f>
        <v>1</v>
      </c>
      <c r="P875" s="23" t="n">
        <f aca="false">G875+H875</f>
        <v>173.81</v>
      </c>
      <c r="Q875" s="23" t="n">
        <f aca="false">G875*INDEX(Assumptions!$B$8:$B$16,MATCH(F875,Assumptions!$A$8:$A$16,0))</f>
        <v>89.7664</v>
      </c>
      <c r="R875" s="23" t="n">
        <f aca="false">H875*Assumptions!$B$3</f>
        <v>20.13</v>
      </c>
      <c r="S875" s="23" t="n">
        <f aca="false">G875-Q875-R875</f>
        <v>30.3636</v>
      </c>
      <c r="T875" s="21" t="str">
        <f aca="false">IF(M875&lt;=7,"0-7 days",IF(M875&lt;=14,"8-14 days",IF(M875&lt;=21,"15-21 days","22+ days")))</f>
        <v>22+ days</v>
      </c>
    </row>
    <row r="876" customFormat="false" ht="15" hidden="false" customHeight="false" outlineLevel="0" collapsed="false">
      <c r="A876" s="21" t="s">
        <v>942</v>
      </c>
      <c r="B876" s="21" t="s">
        <v>156</v>
      </c>
      <c r="C876" s="22" t="n">
        <v>43100</v>
      </c>
      <c r="D876" s="22" t="n">
        <v>43115</v>
      </c>
      <c r="E876" s="22" t="n">
        <v>43127</v>
      </c>
      <c r="F876" s="21" t="s">
        <v>79</v>
      </c>
      <c r="G876" s="23" t="n">
        <v>194.46</v>
      </c>
      <c r="H876" s="23" t="n">
        <v>33.56</v>
      </c>
      <c r="I876" s="21" t="s">
        <v>45</v>
      </c>
      <c r="J876" s="21" t="n">
        <v>5</v>
      </c>
      <c r="K876" s="21" t="s">
        <v>46</v>
      </c>
      <c r="L876" s="24" t="n">
        <f aca="false">DATE(YEAR(C876),MONTH(C876),1)</f>
        <v>43070</v>
      </c>
      <c r="M876" s="21" t="n">
        <f aca="false">D876-C876</f>
        <v>15</v>
      </c>
      <c r="N876" s="21" t="n">
        <f aca="false">MAX(0,D876-E876)</f>
        <v>0</v>
      </c>
      <c r="O876" s="21" t="n">
        <f aca="false">IF(D876&lt;=E876,1,0)</f>
        <v>1</v>
      </c>
      <c r="P876" s="23" t="n">
        <f aca="false">G876+H876</f>
        <v>228.02</v>
      </c>
      <c r="Q876" s="23" t="n">
        <f aca="false">G876*INDEX(Assumptions!$B$8:$B$16,MATCH(F876,Assumptions!$A$8:$A$16,0))</f>
        <v>136.122</v>
      </c>
      <c r="R876" s="23" t="n">
        <f aca="false">H876*Assumptions!$B$3</f>
        <v>20.136</v>
      </c>
      <c r="S876" s="23" t="n">
        <f aca="false">G876-Q876-R876</f>
        <v>38.202</v>
      </c>
      <c r="T876" s="21" t="str">
        <f aca="false">IF(M876&lt;=7,"0-7 days",IF(M876&lt;=14,"8-14 days",IF(M876&lt;=21,"15-21 days","22+ days")))</f>
        <v>15-21 days</v>
      </c>
    </row>
    <row r="877" customFormat="false" ht="15" hidden="false" customHeight="false" outlineLevel="0" collapsed="false">
      <c r="A877" s="21" t="s">
        <v>943</v>
      </c>
      <c r="B877" s="21" t="s">
        <v>48</v>
      </c>
      <c r="C877" s="22" t="n">
        <v>43100</v>
      </c>
      <c r="D877" s="22" t="n">
        <v>43110</v>
      </c>
      <c r="E877" s="22" t="n">
        <v>43122</v>
      </c>
      <c r="F877" s="21" t="s">
        <v>49</v>
      </c>
      <c r="G877" s="23" t="n">
        <v>132.96</v>
      </c>
      <c r="H877" s="23" t="n">
        <v>25.93</v>
      </c>
      <c r="I877" s="21" t="s">
        <v>45</v>
      </c>
      <c r="J877" s="21" t="n">
        <v>5</v>
      </c>
      <c r="K877" s="21" t="s">
        <v>46</v>
      </c>
      <c r="L877" s="24" t="n">
        <f aca="false">DATE(YEAR(C877),MONTH(C877),1)</f>
        <v>43070</v>
      </c>
      <c r="M877" s="21" t="n">
        <f aca="false">D877-C877</f>
        <v>10</v>
      </c>
      <c r="N877" s="21" t="n">
        <f aca="false">MAX(0,D877-E877)</f>
        <v>0</v>
      </c>
      <c r="O877" s="21" t="n">
        <f aca="false">IF(D877&lt;=E877,1,0)</f>
        <v>1</v>
      </c>
      <c r="P877" s="23" t="n">
        <f aca="false">G877+H877</f>
        <v>158.89</v>
      </c>
      <c r="Q877" s="23" t="n">
        <f aca="false">G877*INDEX(Assumptions!$B$8:$B$16,MATCH(F877,Assumptions!$A$8:$A$16,0))</f>
        <v>77.1168</v>
      </c>
      <c r="R877" s="23" t="n">
        <f aca="false">H877*Assumptions!$B$3</f>
        <v>15.558</v>
      </c>
      <c r="S877" s="23" t="n">
        <f aca="false">G877-Q877-R877</f>
        <v>40.2852</v>
      </c>
      <c r="T877" s="21" t="str">
        <f aca="false">IF(M877&lt;=7,"0-7 days",IF(M877&lt;=14,"8-14 days",IF(M877&lt;=21,"15-21 days","22+ days")))</f>
        <v>8-14 days</v>
      </c>
    </row>
    <row r="878" customFormat="false" ht="15" hidden="false" customHeight="false" outlineLevel="0" collapsed="false">
      <c r="A878" s="21" t="s">
        <v>944</v>
      </c>
      <c r="B878" s="21" t="s">
        <v>19</v>
      </c>
      <c r="C878" s="22" t="n">
        <v>43100</v>
      </c>
      <c r="D878" s="22" t="n">
        <v>43106</v>
      </c>
      <c r="E878" s="22" t="n">
        <v>43115</v>
      </c>
      <c r="F878" s="21" t="s">
        <v>53</v>
      </c>
      <c r="G878" s="23" t="n">
        <v>98.32</v>
      </c>
      <c r="H878" s="23" t="n">
        <v>21.65</v>
      </c>
      <c r="I878" s="21" t="s">
        <v>45</v>
      </c>
      <c r="J878" s="21" t="n">
        <v>5</v>
      </c>
      <c r="K878" s="21" t="s">
        <v>46</v>
      </c>
      <c r="L878" s="24" t="n">
        <f aca="false">DATE(YEAR(C878),MONTH(C878),1)</f>
        <v>43070</v>
      </c>
      <c r="M878" s="21" t="n">
        <f aca="false">D878-C878</f>
        <v>6</v>
      </c>
      <c r="N878" s="21" t="n">
        <f aca="false">MAX(0,D878-E878)</f>
        <v>0</v>
      </c>
      <c r="O878" s="21" t="n">
        <f aca="false">IF(D878&lt;=E878,1,0)</f>
        <v>1</v>
      </c>
      <c r="P878" s="23" t="n">
        <f aca="false">G878+H878</f>
        <v>119.97</v>
      </c>
      <c r="Q878" s="23" t="n">
        <f aca="false">G878*INDEX(Assumptions!$B$8:$B$16,MATCH(F878,Assumptions!$A$8:$A$16,0))</f>
        <v>72.7568</v>
      </c>
      <c r="R878" s="23" t="n">
        <f aca="false">H878*Assumptions!$B$3</f>
        <v>12.99</v>
      </c>
      <c r="S878" s="23" t="n">
        <f aca="false">G878-Q878-R878</f>
        <v>12.5732</v>
      </c>
      <c r="T878" s="21" t="str">
        <f aca="false">IF(M878&lt;=7,"0-7 days",IF(M878&lt;=14,"8-14 days",IF(M878&lt;=21,"15-21 days","22+ days")))</f>
        <v>0-7 days</v>
      </c>
    </row>
    <row r="879" customFormat="false" ht="15" hidden="false" customHeight="false" outlineLevel="0" collapsed="false">
      <c r="A879" s="21" t="s">
        <v>945</v>
      </c>
      <c r="B879" s="21" t="s">
        <v>62</v>
      </c>
      <c r="C879" s="22" t="n">
        <v>43101</v>
      </c>
      <c r="D879" s="22" t="n">
        <v>43112</v>
      </c>
      <c r="E879" s="22" t="n">
        <v>43122</v>
      </c>
      <c r="F879" s="21" t="s">
        <v>49</v>
      </c>
      <c r="G879" s="23" t="n">
        <v>128.91</v>
      </c>
      <c r="H879" s="23" t="n">
        <v>29.4</v>
      </c>
      <c r="I879" s="21" t="s">
        <v>45</v>
      </c>
      <c r="J879" s="21" t="n">
        <v>5</v>
      </c>
      <c r="K879" s="21" t="s">
        <v>46</v>
      </c>
      <c r="L879" s="24" t="n">
        <f aca="false">DATE(YEAR(C879),MONTH(C879),1)</f>
        <v>43101</v>
      </c>
      <c r="M879" s="21" t="n">
        <f aca="false">D879-C879</f>
        <v>11</v>
      </c>
      <c r="N879" s="21" t="n">
        <f aca="false">MAX(0,D879-E879)</f>
        <v>0</v>
      </c>
      <c r="O879" s="21" t="n">
        <f aca="false">IF(D879&lt;=E879,1,0)</f>
        <v>1</v>
      </c>
      <c r="P879" s="23" t="n">
        <f aca="false">G879+H879</f>
        <v>158.31</v>
      </c>
      <c r="Q879" s="23" t="n">
        <f aca="false">G879*INDEX(Assumptions!$B$8:$B$16,MATCH(F879,Assumptions!$A$8:$A$16,0))</f>
        <v>74.7678</v>
      </c>
      <c r="R879" s="23" t="n">
        <f aca="false">H879*Assumptions!$B$3</f>
        <v>17.64</v>
      </c>
      <c r="S879" s="23" t="n">
        <f aca="false">G879-Q879-R879</f>
        <v>36.5022</v>
      </c>
      <c r="T879" s="21" t="str">
        <f aca="false">IF(M879&lt;=7,"0-7 days",IF(M879&lt;=14,"8-14 days",IF(M879&lt;=21,"15-21 days","22+ days")))</f>
        <v>8-14 days</v>
      </c>
    </row>
    <row r="880" customFormat="false" ht="15" hidden="false" customHeight="false" outlineLevel="0" collapsed="false">
      <c r="A880" s="21" t="s">
        <v>946</v>
      </c>
      <c r="B880" s="21" t="s">
        <v>48</v>
      </c>
      <c r="C880" s="22" t="n">
        <v>43101</v>
      </c>
      <c r="D880" s="22" t="n">
        <v>43108</v>
      </c>
      <c r="E880" s="22" t="n">
        <v>43122</v>
      </c>
      <c r="F880" s="21" t="s">
        <v>79</v>
      </c>
      <c r="G880" s="23" t="n">
        <v>117.9</v>
      </c>
      <c r="H880" s="23" t="n">
        <v>21.94</v>
      </c>
      <c r="I880" s="21" t="s">
        <v>45</v>
      </c>
      <c r="J880" s="21" t="n">
        <v>3</v>
      </c>
      <c r="K880" s="21" t="s">
        <v>46</v>
      </c>
      <c r="L880" s="24" t="n">
        <f aca="false">DATE(YEAR(C880),MONTH(C880),1)</f>
        <v>43101</v>
      </c>
      <c r="M880" s="21" t="n">
        <f aca="false">D880-C880</f>
        <v>7</v>
      </c>
      <c r="N880" s="21" t="n">
        <f aca="false">MAX(0,D880-E880)</f>
        <v>0</v>
      </c>
      <c r="O880" s="21" t="n">
        <f aca="false">IF(D880&lt;=E880,1,0)</f>
        <v>1</v>
      </c>
      <c r="P880" s="23" t="n">
        <f aca="false">G880+H880</f>
        <v>139.84</v>
      </c>
      <c r="Q880" s="23" t="n">
        <f aca="false">G880*INDEX(Assumptions!$B$8:$B$16,MATCH(F880,Assumptions!$A$8:$A$16,0))</f>
        <v>82.53</v>
      </c>
      <c r="R880" s="23" t="n">
        <f aca="false">H880*Assumptions!$B$3</f>
        <v>13.164</v>
      </c>
      <c r="S880" s="23" t="n">
        <f aca="false">G880-Q880-R880</f>
        <v>22.206</v>
      </c>
      <c r="T880" s="21" t="str">
        <f aca="false">IF(M880&lt;=7,"0-7 days",IF(M880&lt;=14,"8-14 days",IF(M880&lt;=21,"15-21 days","22+ days")))</f>
        <v>0-7 days</v>
      </c>
    </row>
    <row r="881" customFormat="false" ht="15" hidden="false" customHeight="false" outlineLevel="0" collapsed="false">
      <c r="A881" s="21" t="s">
        <v>947</v>
      </c>
      <c r="B881" s="21" t="s">
        <v>19</v>
      </c>
      <c r="C881" s="22" t="n">
        <v>43101</v>
      </c>
      <c r="D881" s="22" t="n">
        <v>43110</v>
      </c>
      <c r="E881" s="22" t="n">
        <v>43118</v>
      </c>
      <c r="F881" s="21" t="s">
        <v>67</v>
      </c>
      <c r="G881" s="23" t="n">
        <v>88.18</v>
      </c>
      <c r="H881" s="23" t="n">
        <v>13.03</v>
      </c>
      <c r="I881" s="21" t="s">
        <v>45</v>
      </c>
      <c r="J881" s="21" t="n">
        <v>4</v>
      </c>
      <c r="K881" s="21" t="s">
        <v>46</v>
      </c>
      <c r="L881" s="24" t="n">
        <f aca="false">DATE(YEAR(C881),MONTH(C881),1)</f>
        <v>43101</v>
      </c>
      <c r="M881" s="21" t="n">
        <f aca="false">D881-C881</f>
        <v>9</v>
      </c>
      <c r="N881" s="21" t="n">
        <f aca="false">MAX(0,D881-E881)</f>
        <v>0</v>
      </c>
      <c r="O881" s="21" t="n">
        <f aca="false">IF(D881&lt;=E881,1,0)</f>
        <v>1</v>
      </c>
      <c r="P881" s="23" t="n">
        <f aca="false">G881+H881</f>
        <v>101.21</v>
      </c>
      <c r="Q881" s="23" t="n">
        <f aca="false">G881*INDEX(Assumptions!$B$8:$B$16,MATCH(F881,Assumptions!$A$8:$A$16,0))</f>
        <v>54.6716</v>
      </c>
      <c r="R881" s="23" t="n">
        <f aca="false">H881*Assumptions!$B$3</f>
        <v>7.818</v>
      </c>
      <c r="S881" s="23" t="n">
        <f aca="false">G881-Q881-R881</f>
        <v>25.6904</v>
      </c>
      <c r="T881" s="21" t="str">
        <f aca="false">IF(M881&lt;=7,"0-7 days",IF(M881&lt;=14,"8-14 days",IF(M881&lt;=21,"15-21 days","22+ days")))</f>
        <v>8-14 days</v>
      </c>
    </row>
    <row r="882" customFormat="false" ht="15" hidden="false" customHeight="false" outlineLevel="0" collapsed="false">
      <c r="A882" s="21" t="s">
        <v>948</v>
      </c>
      <c r="B882" s="21" t="s">
        <v>134</v>
      </c>
      <c r="C882" s="22" t="n">
        <v>43101</v>
      </c>
      <c r="D882" s="22" t="n">
        <v>43134</v>
      </c>
      <c r="E882" s="22" t="n">
        <v>43125</v>
      </c>
      <c r="F882" s="21" t="s">
        <v>49</v>
      </c>
      <c r="G882" s="23" t="n">
        <v>140.94</v>
      </c>
      <c r="H882" s="23" t="n">
        <v>26.29</v>
      </c>
      <c r="I882" s="21" t="s">
        <v>45</v>
      </c>
      <c r="J882" s="21" t="n">
        <v>2</v>
      </c>
      <c r="K882" s="21" t="s">
        <v>46</v>
      </c>
      <c r="L882" s="24" t="n">
        <f aca="false">DATE(YEAR(C882),MONTH(C882),1)</f>
        <v>43101</v>
      </c>
      <c r="M882" s="21" t="n">
        <f aca="false">D882-C882</f>
        <v>33</v>
      </c>
      <c r="N882" s="21" t="n">
        <f aca="false">MAX(0,D882-E882)</f>
        <v>9</v>
      </c>
      <c r="O882" s="21" t="n">
        <f aca="false">IF(D882&lt;=E882,1,0)</f>
        <v>0</v>
      </c>
      <c r="P882" s="23" t="n">
        <f aca="false">G882+H882</f>
        <v>167.23</v>
      </c>
      <c r="Q882" s="23" t="n">
        <f aca="false">G882*INDEX(Assumptions!$B$8:$B$16,MATCH(F882,Assumptions!$A$8:$A$16,0))</f>
        <v>81.7452</v>
      </c>
      <c r="R882" s="23" t="n">
        <f aca="false">H882*Assumptions!$B$3</f>
        <v>15.774</v>
      </c>
      <c r="S882" s="23" t="n">
        <f aca="false">G882-Q882-R882</f>
        <v>43.4208</v>
      </c>
      <c r="T882" s="21" t="str">
        <f aca="false">IF(M882&lt;=7,"0-7 days",IF(M882&lt;=14,"8-14 days",IF(M882&lt;=21,"15-21 days","22+ days")))</f>
        <v>22+ days</v>
      </c>
    </row>
    <row r="883" customFormat="false" ht="15" hidden="false" customHeight="false" outlineLevel="0" collapsed="false">
      <c r="A883" s="21" t="s">
        <v>949</v>
      </c>
      <c r="B883" s="21" t="s">
        <v>55</v>
      </c>
      <c r="C883" s="22" t="n">
        <v>43101</v>
      </c>
      <c r="D883" s="22" t="n">
        <v>43118</v>
      </c>
      <c r="E883" s="22" t="n">
        <v>43123</v>
      </c>
      <c r="F883" s="21" t="s">
        <v>64</v>
      </c>
      <c r="G883" s="23" t="n">
        <v>244.51</v>
      </c>
      <c r="H883" s="23" t="n">
        <v>21.41</v>
      </c>
      <c r="I883" s="21" t="s">
        <v>45</v>
      </c>
      <c r="J883" s="21" t="n">
        <v>4</v>
      </c>
      <c r="K883" s="21" t="s">
        <v>46</v>
      </c>
      <c r="L883" s="24" t="n">
        <f aca="false">DATE(YEAR(C883),MONTH(C883),1)</f>
        <v>43101</v>
      </c>
      <c r="M883" s="21" t="n">
        <f aca="false">D883-C883</f>
        <v>17</v>
      </c>
      <c r="N883" s="21" t="n">
        <f aca="false">MAX(0,D883-E883)</f>
        <v>0</v>
      </c>
      <c r="O883" s="21" t="n">
        <f aca="false">IF(D883&lt;=E883,1,0)</f>
        <v>1</v>
      </c>
      <c r="P883" s="23" t="n">
        <f aca="false">G883+H883</f>
        <v>265.92</v>
      </c>
      <c r="Q883" s="23" t="n">
        <f aca="false">G883*INDEX(Assumptions!$B$8:$B$16,MATCH(F883,Assumptions!$A$8:$A$16,0))</f>
        <v>161.3766</v>
      </c>
      <c r="R883" s="23" t="n">
        <f aca="false">H883*Assumptions!$B$3</f>
        <v>12.846</v>
      </c>
      <c r="S883" s="23" t="n">
        <f aca="false">G883-Q883-R883</f>
        <v>70.2874</v>
      </c>
      <c r="T883" s="21" t="str">
        <f aca="false">IF(M883&lt;=7,"0-7 days",IF(M883&lt;=14,"8-14 days",IF(M883&lt;=21,"15-21 days","22+ days")))</f>
        <v>15-21 days</v>
      </c>
    </row>
    <row r="884" customFormat="false" ht="15" hidden="false" customHeight="false" outlineLevel="0" collapsed="false">
      <c r="A884" s="21" t="s">
        <v>950</v>
      </c>
      <c r="B884" s="21" t="s">
        <v>93</v>
      </c>
      <c r="C884" s="22" t="n">
        <v>43102</v>
      </c>
      <c r="D884" s="22" t="n">
        <v>43116</v>
      </c>
      <c r="E884" s="22" t="n">
        <v>43132</v>
      </c>
      <c r="F884" s="21" t="s">
        <v>111</v>
      </c>
      <c r="G884" s="23" t="n">
        <v>37.65</v>
      </c>
      <c r="H884" s="23" t="n">
        <v>39.88</v>
      </c>
      <c r="I884" s="21" t="s">
        <v>45</v>
      </c>
      <c r="J884" s="21" t="n">
        <v>3</v>
      </c>
      <c r="K884" s="21" t="s">
        <v>46</v>
      </c>
      <c r="L884" s="24" t="n">
        <f aca="false">DATE(YEAR(C884),MONTH(C884),1)</f>
        <v>43101</v>
      </c>
      <c r="M884" s="21" t="n">
        <f aca="false">D884-C884</f>
        <v>14</v>
      </c>
      <c r="N884" s="21" t="n">
        <f aca="false">MAX(0,D884-E884)</f>
        <v>0</v>
      </c>
      <c r="O884" s="21" t="n">
        <f aca="false">IF(D884&lt;=E884,1,0)</f>
        <v>1</v>
      </c>
      <c r="P884" s="23" t="n">
        <f aca="false">G884+H884</f>
        <v>77.53</v>
      </c>
      <c r="Q884" s="23" t="n">
        <f aca="false">G884*INDEX(Assumptions!$B$8:$B$16,MATCH(F884,Assumptions!$A$8:$A$16,0))</f>
        <v>23.7195</v>
      </c>
      <c r="R884" s="23" t="n">
        <f aca="false">H884*Assumptions!$B$3</f>
        <v>23.928</v>
      </c>
      <c r="S884" s="23" t="n">
        <f aca="false">G884-Q884-R884</f>
        <v>-9.9975</v>
      </c>
      <c r="T884" s="21" t="str">
        <f aca="false">IF(M884&lt;=7,"0-7 days",IF(M884&lt;=14,"8-14 days",IF(M884&lt;=21,"15-21 days","22+ days")))</f>
        <v>8-14 days</v>
      </c>
    </row>
    <row r="885" customFormat="false" ht="15" hidden="false" customHeight="false" outlineLevel="0" collapsed="false">
      <c r="A885" s="21" t="s">
        <v>951</v>
      </c>
      <c r="B885" s="21" t="s">
        <v>19</v>
      </c>
      <c r="C885" s="22" t="n">
        <v>43102</v>
      </c>
      <c r="D885" s="22" t="n">
        <v>43109</v>
      </c>
      <c r="E885" s="22" t="n">
        <v>43120</v>
      </c>
      <c r="F885" s="21" t="s">
        <v>53</v>
      </c>
      <c r="G885" s="23" t="n">
        <v>31.52</v>
      </c>
      <c r="H885" s="23" t="n">
        <v>12.07</v>
      </c>
      <c r="I885" s="21" t="s">
        <v>45</v>
      </c>
      <c r="J885" s="21" t="n">
        <v>3</v>
      </c>
      <c r="K885" s="21" t="s">
        <v>46</v>
      </c>
      <c r="L885" s="24" t="n">
        <f aca="false">DATE(YEAR(C885),MONTH(C885),1)</f>
        <v>43101</v>
      </c>
      <c r="M885" s="21" t="n">
        <f aca="false">D885-C885</f>
        <v>7</v>
      </c>
      <c r="N885" s="21" t="n">
        <f aca="false">MAX(0,D885-E885)</f>
        <v>0</v>
      </c>
      <c r="O885" s="21" t="n">
        <f aca="false">IF(D885&lt;=E885,1,0)</f>
        <v>1</v>
      </c>
      <c r="P885" s="23" t="n">
        <f aca="false">G885+H885</f>
        <v>43.59</v>
      </c>
      <c r="Q885" s="23" t="n">
        <f aca="false">G885*INDEX(Assumptions!$B$8:$B$16,MATCH(F885,Assumptions!$A$8:$A$16,0))</f>
        <v>23.3248</v>
      </c>
      <c r="R885" s="23" t="n">
        <f aca="false">H885*Assumptions!$B$3</f>
        <v>7.242</v>
      </c>
      <c r="S885" s="23" t="n">
        <f aca="false">G885-Q885-R885</f>
        <v>0.9532</v>
      </c>
      <c r="T885" s="21" t="str">
        <f aca="false">IF(M885&lt;=7,"0-7 days",IF(M885&lt;=14,"8-14 days",IF(M885&lt;=21,"15-21 days","22+ days")))</f>
        <v>0-7 days</v>
      </c>
    </row>
    <row r="886" customFormat="false" ht="15" hidden="false" customHeight="false" outlineLevel="0" collapsed="false">
      <c r="A886" s="21" t="s">
        <v>952</v>
      </c>
      <c r="B886" s="21" t="s">
        <v>19</v>
      </c>
      <c r="C886" s="22" t="n">
        <v>43103</v>
      </c>
      <c r="D886" s="22" t="n">
        <v>43107</v>
      </c>
      <c r="E886" s="22" t="n">
        <v>43118</v>
      </c>
      <c r="F886" s="21" t="s">
        <v>64</v>
      </c>
      <c r="G886" s="23" t="n">
        <v>106.76</v>
      </c>
      <c r="H886" s="23" t="n">
        <v>19.93</v>
      </c>
      <c r="I886" s="21" t="s">
        <v>45</v>
      </c>
      <c r="J886" s="21" t="n">
        <v>4</v>
      </c>
      <c r="K886" s="21" t="s">
        <v>46</v>
      </c>
      <c r="L886" s="24" t="n">
        <f aca="false">DATE(YEAR(C886),MONTH(C886),1)</f>
        <v>43101</v>
      </c>
      <c r="M886" s="21" t="n">
        <f aca="false">D886-C886</f>
        <v>4</v>
      </c>
      <c r="N886" s="21" t="n">
        <f aca="false">MAX(0,D886-E886)</f>
        <v>0</v>
      </c>
      <c r="O886" s="21" t="n">
        <f aca="false">IF(D886&lt;=E886,1,0)</f>
        <v>1</v>
      </c>
      <c r="P886" s="23" t="n">
        <f aca="false">G886+H886</f>
        <v>126.69</v>
      </c>
      <c r="Q886" s="23" t="n">
        <f aca="false">G886*INDEX(Assumptions!$B$8:$B$16,MATCH(F886,Assumptions!$A$8:$A$16,0))</f>
        <v>70.4616</v>
      </c>
      <c r="R886" s="23" t="n">
        <f aca="false">H886*Assumptions!$B$3</f>
        <v>11.958</v>
      </c>
      <c r="S886" s="23" t="n">
        <f aca="false">G886-Q886-R886</f>
        <v>24.3404</v>
      </c>
      <c r="T886" s="21" t="str">
        <f aca="false">IF(M886&lt;=7,"0-7 days",IF(M886&lt;=14,"8-14 days",IF(M886&lt;=21,"15-21 days","22+ days")))</f>
        <v>0-7 days</v>
      </c>
    </row>
    <row r="887" customFormat="false" ht="15" hidden="false" customHeight="false" outlineLevel="0" collapsed="false">
      <c r="A887" s="21" t="s">
        <v>953</v>
      </c>
      <c r="B887" s="21" t="s">
        <v>48</v>
      </c>
      <c r="C887" s="22" t="n">
        <v>43104</v>
      </c>
      <c r="D887" s="22" t="n">
        <v>43118</v>
      </c>
      <c r="E887" s="22" t="n">
        <v>43124</v>
      </c>
      <c r="F887" s="21" t="s">
        <v>59</v>
      </c>
      <c r="G887" s="23" t="n">
        <v>63.88</v>
      </c>
      <c r="H887" s="23" t="n">
        <v>21.68</v>
      </c>
      <c r="I887" s="21" t="s">
        <v>45</v>
      </c>
      <c r="J887" s="21" t="n">
        <v>4</v>
      </c>
      <c r="K887" s="21" t="s">
        <v>46</v>
      </c>
      <c r="L887" s="24" t="n">
        <f aca="false">DATE(YEAR(C887),MONTH(C887),1)</f>
        <v>43101</v>
      </c>
      <c r="M887" s="21" t="n">
        <f aca="false">D887-C887</f>
        <v>14</v>
      </c>
      <c r="N887" s="21" t="n">
        <f aca="false">MAX(0,D887-E887)</f>
        <v>0</v>
      </c>
      <c r="O887" s="21" t="n">
        <f aca="false">IF(D887&lt;=E887,1,0)</f>
        <v>1</v>
      </c>
      <c r="P887" s="23" t="n">
        <f aca="false">G887+H887</f>
        <v>85.56</v>
      </c>
      <c r="Q887" s="23" t="n">
        <f aca="false">G887*INDEX(Assumptions!$B$8:$B$16,MATCH(F887,Assumptions!$A$8:$A$16,0))</f>
        <v>40.8832</v>
      </c>
      <c r="R887" s="23" t="n">
        <f aca="false">H887*Assumptions!$B$3</f>
        <v>13.008</v>
      </c>
      <c r="S887" s="23" t="n">
        <f aca="false">G887-Q887-R887</f>
        <v>9.9888</v>
      </c>
      <c r="T887" s="21" t="str">
        <f aca="false">IF(M887&lt;=7,"0-7 days",IF(M887&lt;=14,"8-14 days",IF(M887&lt;=21,"15-21 days","22+ days")))</f>
        <v>8-14 days</v>
      </c>
    </row>
    <row r="888" customFormat="false" ht="15" hidden="false" customHeight="false" outlineLevel="0" collapsed="false">
      <c r="A888" s="21" t="s">
        <v>954</v>
      </c>
      <c r="B888" s="21" t="s">
        <v>19</v>
      </c>
      <c r="C888" s="22" t="n">
        <v>43104</v>
      </c>
      <c r="D888" s="22" t="n">
        <v>43113</v>
      </c>
      <c r="E888" s="22" t="n">
        <v>43120</v>
      </c>
      <c r="F888" s="21" t="s">
        <v>67</v>
      </c>
      <c r="G888" s="23" t="n">
        <v>78.83</v>
      </c>
      <c r="H888" s="23" t="n">
        <v>17.95</v>
      </c>
      <c r="I888" s="21" t="s">
        <v>45</v>
      </c>
      <c r="J888" s="21" t="n">
        <v>4</v>
      </c>
      <c r="K888" s="21" t="s">
        <v>46</v>
      </c>
      <c r="L888" s="24" t="n">
        <f aca="false">DATE(YEAR(C888),MONTH(C888),1)</f>
        <v>43101</v>
      </c>
      <c r="M888" s="21" t="n">
        <f aca="false">D888-C888</f>
        <v>9</v>
      </c>
      <c r="N888" s="21" t="n">
        <f aca="false">MAX(0,D888-E888)</f>
        <v>0</v>
      </c>
      <c r="O888" s="21" t="n">
        <f aca="false">IF(D888&lt;=E888,1,0)</f>
        <v>1</v>
      </c>
      <c r="P888" s="23" t="n">
        <f aca="false">G888+H888</f>
        <v>96.78</v>
      </c>
      <c r="Q888" s="23" t="n">
        <f aca="false">G888*INDEX(Assumptions!$B$8:$B$16,MATCH(F888,Assumptions!$A$8:$A$16,0))</f>
        <v>48.8746</v>
      </c>
      <c r="R888" s="23" t="n">
        <f aca="false">H888*Assumptions!$B$3</f>
        <v>10.77</v>
      </c>
      <c r="S888" s="23" t="n">
        <f aca="false">G888-Q888-R888</f>
        <v>19.1854</v>
      </c>
      <c r="T888" s="21" t="str">
        <f aca="false">IF(M888&lt;=7,"0-7 days",IF(M888&lt;=14,"8-14 days",IF(M888&lt;=21,"15-21 days","22+ days")))</f>
        <v>8-14 days</v>
      </c>
    </row>
    <row r="889" customFormat="false" ht="15" hidden="false" customHeight="false" outlineLevel="0" collapsed="false">
      <c r="A889" s="21" t="s">
        <v>955</v>
      </c>
      <c r="B889" s="21" t="s">
        <v>174</v>
      </c>
      <c r="C889" s="22" t="n">
        <v>43104</v>
      </c>
      <c r="D889" s="22" t="n">
        <v>43128</v>
      </c>
      <c r="E889" s="22" t="n">
        <v>43137</v>
      </c>
      <c r="F889" s="21" t="s">
        <v>53</v>
      </c>
      <c r="G889" s="23" t="n">
        <v>148.72</v>
      </c>
      <c r="H889" s="23" t="n">
        <v>44.14</v>
      </c>
      <c r="I889" s="21" t="s">
        <v>45</v>
      </c>
      <c r="J889" s="21" t="n">
        <v>4</v>
      </c>
      <c r="K889" s="21" t="s">
        <v>46</v>
      </c>
      <c r="L889" s="24" t="n">
        <f aca="false">DATE(YEAR(C889),MONTH(C889),1)</f>
        <v>43101</v>
      </c>
      <c r="M889" s="21" t="n">
        <f aca="false">D889-C889</f>
        <v>24</v>
      </c>
      <c r="N889" s="21" t="n">
        <f aca="false">MAX(0,D889-E889)</f>
        <v>0</v>
      </c>
      <c r="O889" s="21" t="n">
        <f aca="false">IF(D889&lt;=E889,1,0)</f>
        <v>1</v>
      </c>
      <c r="P889" s="23" t="n">
        <f aca="false">G889+H889</f>
        <v>192.86</v>
      </c>
      <c r="Q889" s="23" t="n">
        <f aca="false">G889*INDEX(Assumptions!$B$8:$B$16,MATCH(F889,Assumptions!$A$8:$A$16,0))</f>
        <v>110.0528</v>
      </c>
      <c r="R889" s="23" t="n">
        <f aca="false">H889*Assumptions!$B$3</f>
        <v>26.484</v>
      </c>
      <c r="S889" s="23" t="n">
        <f aca="false">G889-Q889-R889</f>
        <v>12.1832</v>
      </c>
      <c r="T889" s="21" t="str">
        <f aca="false">IF(M889&lt;=7,"0-7 days",IF(M889&lt;=14,"8-14 days",IF(M889&lt;=21,"15-21 days","22+ days")))</f>
        <v>22+ days</v>
      </c>
    </row>
    <row r="890" customFormat="false" ht="15" hidden="false" customHeight="false" outlineLevel="0" collapsed="false">
      <c r="A890" s="21" t="s">
        <v>956</v>
      </c>
      <c r="B890" s="21" t="s">
        <v>19</v>
      </c>
      <c r="C890" s="22" t="n">
        <v>43104</v>
      </c>
      <c r="D890" s="22" t="n">
        <v>43114</v>
      </c>
      <c r="E890" s="22" t="n">
        <v>43122</v>
      </c>
      <c r="F890" s="21" t="s">
        <v>53</v>
      </c>
      <c r="G890" s="23" t="n">
        <v>56.57</v>
      </c>
      <c r="H890" s="23" t="n">
        <v>20.23</v>
      </c>
      <c r="I890" s="21" t="s">
        <v>45</v>
      </c>
      <c r="J890" s="21" t="n">
        <v>3</v>
      </c>
      <c r="K890" s="21" t="s">
        <v>46</v>
      </c>
      <c r="L890" s="24" t="n">
        <f aca="false">DATE(YEAR(C890),MONTH(C890),1)</f>
        <v>43101</v>
      </c>
      <c r="M890" s="21" t="n">
        <f aca="false">D890-C890</f>
        <v>10</v>
      </c>
      <c r="N890" s="21" t="n">
        <f aca="false">MAX(0,D890-E890)</f>
        <v>0</v>
      </c>
      <c r="O890" s="21" t="n">
        <f aca="false">IF(D890&lt;=E890,1,0)</f>
        <v>1</v>
      </c>
      <c r="P890" s="23" t="n">
        <f aca="false">G890+H890</f>
        <v>76.8</v>
      </c>
      <c r="Q890" s="23" t="n">
        <f aca="false">G890*INDEX(Assumptions!$B$8:$B$16,MATCH(F890,Assumptions!$A$8:$A$16,0))</f>
        <v>41.8618</v>
      </c>
      <c r="R890" s="23" t="n">
        <f aca="false">H890*Assumptions!$B$3</f>
        <v>12.138</v>
      </c>
      <c r="S890" s="23" t="n">
        <f aca="false">G890-Q890-R890</f>
        <v>2.5702</v>
      </c>
      <c r="T890" s="21" t="str">
        <f aca="false">IF(M890&lt;=7,"0-7 days",IF(M890&lt;=14,"8-14 days",IF(M890&lt;=21,"15-21 days","22+ days")))</f>
        <v>8-14 days</v>
      </c>
    </row>
    <row r="891" customFormat="false" ht="15" hidden="false" customHeight="false" outlineLevel="0" collapsed="false">
      <c r="A891" s="21" t="s">
        <v>957</v>
      </c>
      <c r="B891" s="21" t="s">
        <v>19</v>
      </c>
      <c r="C891" s="22" t="n">
        <v>43105</v>
      </c>
      <c r="D891" s="22" t="n">
        <v>43110</v>
      </c>
      <c r="E891" s="22" t="n">
        <v>43122</v>
      </c>
      <c r="F891" s="21" t="s">
        <v>64</v>
      </c>
      <c r="G891" s="23" t="n">
        <v>401.97</v>
      </c>
      <c r="H891" s="23" t="n">
        <v>25.79</v>
      </c>
      <c r="I891" s="21" t="s">
        <v>45</v>
      </c>
      <c r="J891" s="21" t="n">
        <v>5</v>
      </c>
      <c r="K891" s="21" t="s">
        <v>46</v>
      </c>
      <c r="L891" s="24" t="n">
        <f aca="false">DATE(YEAR(C891),MONTH(C891),1)</f>
        <v>43101</v>
      </c>
      <c r="M891" s="21" t="n">
        <f aca="false">D891-C891</f>
        <v>5</v>
      </c>
      <c r="N891" s="21" t="n">
        <f aca="false">MAX(0,D891-E891)</f>
        <v>0</v>
      </c>
      <c r="O891" s="21" t="n">
        <f aca="false">IF(D891&lt;=E891,1,0)</f>
        <v>1</v>
      </c>
      <c r="P891" s="23" t="n">
        <f aca="false">G891+H891</f>
        <v>427.76</v>
      </c>
      <c r="Q891" s="23" t="n">
        <f aca="false">G891*INDEX(Assumptions!$B$8:$B$16,MATCH(F891,Assumptions!$A$8:$A$16,0))</f>
        <v>265.3002</v>
      </c>
      <c r="R891" s="23" t="n">
        <f aca="false">H891*Assumptions!$B$3</f>
        <v>15.474</v>
      </c>
      <c r="S891" s="23" t="n">
        <f aca="false">G891-Q891-R891</f>
        <v>121.1958</v>
      </c>
      <c r="T891" s="21" t="str">
        <f aca="false">IF(M891&lt;=7,"0-7 days",IF(M891&lt;=14,"8-14 days",IF(M891&lt;=21,"15-21 days","22+ days")))</f>
        <v>0-7 days</v>
      </c>
    </row>
    <row r="892" customFormat="false" ht="15" hidden="false" customHeight="false" outlineLevel="0" collapsed="false">
      <c r="A892" s="21" t="s">
        <v>958</v>
      </c>
      <c r="B892" s="21" t="s">
        <v>55</v>
      </c>
      <c r="C892" s="22" t="n">
        <v>43105</v>
      </c>
      <c r="D892" s="22" t="n">
        <v>43125</v>
      </c>
      <c r="E892" s="22" t="n">
        <v>43130</v>
      </c>
      <c r="F892" s="21" t="s">
        <v>67</v>
      </c>
      <c r="G892" s="23" t="n">
        <v>30.22</v>
      </c>
      <c r="H892" s="23" t="n">
        <v>27.79</v>
      </c>
      <c r="I892" s="21" t="s">
        <v>45</v>
      </c>
      <c r="J892" s="21" t="n">
        <v>5</v>
      </c>
      <c r="K892" s="21" t="s">
        <v>46</v>
      </c>
      <c r="L892" s="24" t="n">
        <f aca="false">DATE(YEAR(C892),MONTH(C892),1)</f>
        <v>43101</v>
      </c>
      <c r="M892" s="21" t="n">
        <f aca="false">D892-C892</f>
        <v>20</v>
      </c>
      <c r="N892" s="21" t="n">
        <f aca="false">MAX(0,D892-E892)</f>
        <v>0</v>
      </c>
      <c r="O892" s="21" t="n">
        <f aca="false">IF(D892&lt;=E892,1,0)</f>
        <v>1</v>
      </c>
      <c r="P892" s="23" t="n">
        <f aca="false">G892+H892</f>
        <v>58.01</v>
      </c>
      <c r="Q892" s="23" t="n">
        <f aca="false">G892*INDEX(Assumptions!$B$8:$B$16,MATCH(F892,Assumptions!$A$8:$A$16,0))</f>
        <v>18.7364</v>
      </c>
      <c r="R892" s="23" t="n">
        <f aca="false">H892*Assumptions!$B$3</f>
        <v>16.674</v>
      </c>
      <c r="S892" s="23" t="n">
        <f aca="false">G892-Q892-R892</f>
        <v>-5.1904</v>
      </c>
      <c r="T892" s="21" t="str">
        <f aca="false">IF(M892&lt;=7,"0-7 days",IF(M892&lt;=14,"8-14 days",IF(M892&lt;=21,"15-21 days","22+ days")))</f>
        <v>15-21 days</v>
      </c>
    </row>
    <row r="893" customFormat="false" ht="15" hidden="false" customHeight="false" outlineLevel="0" collapsed="false">
      <c r="A893" s="21" t="s">
        <v>959</v>
      </c>
      <c r="B893" s="21" t="s">
        <v>19</v>
      </c>
      <c r="C893" s="22" t="n">
        <v>43105</v>
      </c>
      <c r="D893" s="22" t="n">
        <v>43109</v>
      </c>
      <c r="E893" s="22" t="n">
        <v>43123</v>
      </c>
      <c r="F893" s="21" t="s">
        <v>49</v>
      </c>
      <c r="G893" s="23" t="n">
        <v>19.86</v>
      </c>
      <c r="H893" s="23" t="n">
        <v>11.48</v>
      </c>
      <c r="I893" s="21" t="s">
        <v>45</v>
      </c>
      <c r="J893" s="21" t="n">
        <v>4</v>
      </c>
      <c r="K893" s="21" t="s">
        <v>46</v>
      </c>
      <c r="L893" s="24" t="n">
        <f aca="false">DATE(YEAR(C893),MONTH(C893),1)</f>
        <v>43101</v>
      </c>
      <c r="M893" s="21" t="n">
        <f aca="false">D893-C893</f>
        <v>4</v>
      </c>
      <c r="N893" s="21" t="n">
        <f aca="false">MAX(0,D893-E893)</f>
        <v>0</v>
      </c>
      <c r="O893" s="21" t="n">
        <f aca="false">IF(D893&lt;=E893,1,0)</f>
        <v>1</v>
      </c>
      <c r="P893" s="23" t="n">
        <f aca="false">G893+H893</f>
        <v>31.34</v>
      </c>
      <c r="Q893" s="23" t="n">
        <f aca="false">G893*INDEX(Assumptions!$B$8:$B$16,MATCH(F893,Assumptions!$A$8:$A$16,0))</f>
        <v>11.5188</v>
      </c>
      <c r="R893" s="23" t="n">
        <f aca="false">H893*Assumptions!$B$3</f>
        <v>6.888</v>
      </c>
      <c r="S893" s="23" t="n">
        <f aca="false">G893-Q893-R893</f>
        <v>1.4532</v>
      </c>
      <c r="T893" s="21" t="str">
        <f aca="false">IF(M893&lt;=7,"0-7 days",IF(M893&lt;=14,"8-14 days",IF(M893&lt;=21,"15-21 days","22+ days")))</f>
        <v>0-7 days</v>
      </c>
    </row>
    <row r="894" customFormat="false" ht="15" hidden="false" customHeight="false" outlineLevel="0" collapsed="false">
      <c r="A894" s="21" t="s">
        <v>960</v>
      </c>
      <c r="B894" s="21" t="s">
        <v>19</v>
      </c>
      <c r="C894" s="22" t="n">
        <v>43105</v>
      </c>
      <c r="D894" s="22" t="n">
        <v>43111</v>
      </c>
      <c r="E894" s="22" t="n">
        <v>43119</v>
      </c>
      <c r="F894" s="21" t="s">
        <v>59</v>
      </c>
      <c r="G894" s="23" t="n">
        <v>80.27</v>
      </c>
      <c r="H894" s="23" t="n">
        <v>13.81</v>
      </c>
      <c r="I894" s="21" t="s">
        <v>45</v>
      </c>
      <c r="J894" s="21" t="n">
        <v>5</v>
      </c>
      <c r="K894" s="21" t="s">
        <v>46</v>
      </c>
      <c r="L894" s="24" t="n">
        <f aca="false">DATE(YEAR(C894),MONTH(C894),1)</f>
        <v>43101</v>
      </c>
      <c r="M894" s="21" t="n">
        <f aca="false">D894-C894</f>
        <v>6</v>
      </c>
      <c r="N894" s="21" t="n">
        <f aca="false">MAX(0,D894-E894)</f>
        <v>0</v>
      </c>
      <c r="O894" s="21" t="n">
        <f aca="false">IF(D894&lt;=E894,1,0)</f>
        <v>1</v>
      </c>
      <c r="P894" s="23" t="n">
        <f aca="false">G894+H894</f>
        <v>94.08</v>
      </c>
      <c r="Q894" s="23" t="n">
        <f aca="false">G894*INDEX(Assumptions!$B$8:$B$16,MATCH(F894,Assumptions!$A$8:$A$16,0))</f>
        <v>51.3728</v>
      </c>
      <c r="R894" s="23" t="n">
        <f aca="false">H894*Assumptions!$B$3</f>
        <v>8.286</v>
      </c>
      <c r="S894" s="23" t="n">
        <f aca="false">G894-Q894-R894</f>
        <v>20.6112</v>
      </c>
      <c r="T894" s="21" t="str">
        <f aca="false">IF(M894&lt;=7,"0-7 days",IF(M894&lt;=14,"8-14 days",IF(M894&lt;=21,"15-21 days","22+ days")))</f>
        <v>0-7 days</v>
      </c>
    </row>
    <row r="895" customFormat="false" ht="15" hidden="false" customHeight="false" outlineLevel="0" collapsed="false">
      <c r="A895" s="21" t="s">
        <v>961</v>
      </c>
      <c r="B895" s="21" t="s">
        <v>19</v>
      </c>
      <c r="C895" s="22" t="n">
        <v>43106</v>
      </c>
      <c r="D895" s="22" t="n">
        <v>43116</v>
      </c>
      <c r="E895" s="22" t="n">
        <v>43126</v>
      </c>
      <c r="F895" s="21" t="s">
        <v>67</v>
      </c>
      <c r="G895" s="23" t="n">
        <v>46.28</v>
      </c>
      <c r="H895" s="23" t="n">
        <v>16.52</v>
      </c>
      <c r="I895" s="21" t="s">
        <v>60</v>
      </c>
      <c r="J895" s="21" t="n">
        <v>4</v>
      </c>
      <c r="K895" s="21" t="s">
        <v>46</v>
      </c>
      <c r="L895" s="24" t="n">
        <f aca="false">DATE(YEAR(C895),MONTH(C895),1)</f>
        <v>43101</v>
      </c>
      <c r="M895" s="21" t="n">
        <f aca="false">D895-C895</f>
        <v>10</v>
      </c>
      <c r="N895" s="21" t="n">
        <f aca="false">MAX(0,D895-E895)</f>
        <v>0</v>
      </c>
      <c r="O895" s="21" t="n">
        <f aca="false">IF(D895&lt;=E895,1,0)</f>
        <v>1</v>
      </c>
      <c r="P895" s="23" t="n">
        <f aca="false">G895+H895</f>
        <v>62.8</v>
      </c>
      <c r="Q895" s="23" t="n">
        <f aca="false">G895*INDEX(Assumptions!$B$8:$B$16,MATCH(F895,Assumptions!$A$8:$A$16,0))</f>
        <v>28.6936</v>
      </c>
      <c r="R895" s="23" t="n">
        <f aca="false">H895*Assumptions!$B$3</f>
        <v>9.912</v>
      </c>
      <c r="S895" s="23" t="n">
        <f aca="false">G895-Q895-R895</f>
        <v>7.6744</v>
      </c>
      <c r="T895" s="21" t="str">
        <f aca="false">IF(M895&lt;=7,"0-7 days",IF(M895&lt;=14,"8-14 days",IF(M895&lt;=21,"15-21 days","22+ days")))</f>
        <v>8-14 days</v>
      </c>
    </row>
    <row r="896" customFormat="false" ht="15" hidden="false" customHeight="false" outlineLevel="0" collapsed="false">
      <c r="A896" s="21" t="s">
        <v>962</v>
      </c>
      <c r="B896" s="21" t="s">
        <v>48</v>
      </c>
      <c r="C896" s="22" t="n">
        <v>43106</v>
      </c>
      <c r="D896" s="22" t="n">
        <v>43112</v>
      </c>
      <c r="E896" s="22" t="n">
        <v>43130</v>
      </c>
      <c r="F896" s="21" t="s">
        <v>49</v>
      </c>
      <c r="G896" s="23" t="n">
        <v>130.46</v>
      </c>
      <c r="H896" s="23" t="n">
        <v>25.27</v>
      </c>
      <c r="I896" s="21" t="s">
        <v>60</v>
      </c>
      <c r="J896" s="21" t="n">
        <v>5</v>
      </c>
      <c r="K896" s="21" t="s">
        <v>46</v>
      </c>
      <c r="L896" s="24" t="n">
        <f aca="false">DATE(YEAR(C896),MONTH(C896),1)</f>
        <v>43101</v>
      </c>
      <c r="M896" s="21" t="n">
        <f aca="false">D896-C896</f>
        <v>6</v>
      </c>
      <c r="N896" s="21" t="n">
        <f aca="false">MAX(0,D896-E896)</f>
        <v>0</v>
      </c>
      <c r="O896" s="21" t="n">
        <f aca="false">IF(D896&lt;=E896,1,0)</f>
        <v>1</v>
      </c>
      <c r="P896" s="23" t="n">
        <f aca="false">G896+H896</f>
        <v>155.73</v>
      </c>
      <c r="Q896" s="23" t="n">
        <f aca="false">G896*INDEX(Assumptions!$B$8:$B$16,MATCH(F896,Assumptions!$A$8:$A$16,0))</f>
        <v>75.6668</v>
      </c>
      <c r="R896" s="23" t="n">
        <f aca="false">H896*Assumptions!$B$3</f>
        <v>15.162</v>
      </c>
      <c r="S896" s="23" t="n">
        <f aca="false">G896-Q896-R896</f>
        <v>39.6312</v>
      </c>
      <c r="T896" s="21" t="str">
        <f aca="false">IF(M896&lt;=7,"0-7 days",IF(M896&lt;=14,"8-14 days",IF(M896&lt;=21,"15-21 days","22+ days")))</f>
        <v>0-7 days</v>
      </c>
    </row>
    <row r="897" customFormat="false" ht="15" hidden="false" customHeight="false" outlineLevel="0" collapsed="false">
      <c r="A897" s="21" t="s">
        <v>963</v>
      </c>
      <c r="B897" s="21" t="s">
        <v>62</v>
      </c>
      <c r="C897" s="22" t="n">
        <v>43107</v>
      </c>
      <c r="D897" s="22" t="n">
        <v>43119</v>
      </c>
      <c r="E897" s="22" t="n">
        <v>43128</v>
      </c>
      <c r="F897" s="21" t="s">
        <v>64</v>
      </c>
      <c r="G897" s="23" t="n">
        <v>196.79</v>
      </c>
      <c r="H897" s="23" t="n">
        <v>22.97</v>
      </c>
      <c r="I897" s="21" t="s">
        <v>45</v>
      </c>
      <c r="J897" s="21" t="n">
        <v>4</v>
      </c>
      <c r="K897" s="21" t="s">
        <v>46</v>
      </c>
      <c r="L897" s="24" t="n">
        <f aca="false">DATE(YEAR(C897),MONTH(C897),1)</f>
        <v>43101</v>
      </c>
      <c r="M897" s="21" t="n">
        <f aca="false">D897-C897</f>
        <v>12</v>
      </c>
      <c r="N897" s="21" t="n">
        <f aca="false">MAX(0,D897-E897)</f>
        <v>0</v>
      </c>
      <c r="O897" s="21" t="n">
        <f aca="false">IF(D897&lt;=E897,1,0)</f>
        <v>1</v>
      </c>
      <c r="P897" s="23" t="n">
        <f aca="false">G897+H897</f>
        <v>219.76</v>
      </c>
      <c r="Q897" s="23" t="n">
        <f aca="false">G897*INDEX(Assumptions!$B$8:$B$16,MATCH(F897,Assumptions!$A$8:$A$16,0))</f>
        <v>129.8814</v>
      </c>
      <c r="R897" s="23" t="n">
        <f aca="false">H897*Assumptions!$B$3</f>
        <v>13.782</v>
      </c>
      <c r="S897" s="23" t="n">
        <f aca="false">G897-Q897-R897</f>
        <v>53.1266</v>
      </c>
      <c r="T897" s="21" t="str">
        <f aca="false">IF(M897&lt;=7,"0-7 days",IF(M897&lt;=14,"8-14 days",IF(M897&lt;=21,"15-21 days","22+ days")))</f>
        <v>8-14 days</v>
      </c>
    </row>
    <row r="898" customFormat="false" ht="15" hidden="false" customHeight="false" outlineLevel="0" collapsed="false">
      <c r="A898" s="21" t="s">
        <v>964</v>
      </c>
      <c r="B898" s="21" t="s">
        <v>19</v>
      </c>
      <c r="C898" s="22" t="n">
        <v>43107</v>
      </c>
      <c r="D898" s="22" t="n">
        <v>43112</v>
      </c>
      <c r="E898" s="22" t="n">
        <v>43121</v>
      </c>
      <c r="F898" s="21" t="s">
        <v>67</v>
      </c>
      <c r="G898" s="23" t="n">
        <v>56.36</v>
      </c>
      <c r="H898" s="23" t="n">
        <v>18.11</v>
      </c>
      <c r="I898" s="21" t="s">
        <v>45</v>
      </c>
      <c r="J898" s="21" t="n">
        <v>5</v>
      </c>
      <c r="K898" s="21" t="s">
        <v>46</v>
      </c>
      <c r="L898" s="24" t="n">
        <f aca="false">DATE(YEAR(C898),MONTH(C898),1)</f>
        <v>43101</v>
      </c>
      <c r="M898" s="21" t="n">
        <f aca="false">D898-C898</f>
        <v>5</v>
      </c>
      <c r="N898" s="21" t="n">
        <f aca="false">MAX(0,D898-E898)</f>
        <v>0</v>
      </c>
      <c r="O898" s="21" t="n">
        <f aca="false">IF(D898&lt;=E898,1,0)</f>
        <v>1</v>
      </c>
      <c r="P898" s="23" t="n">
        <f aca="false">G898+H898</f>
        <v>74.47</v>
      </c>
      <c r="Q898" s="23" t="n">
        <f aca="false">G898*INDEX(Assumptions!$B$8:$B$16,MATCH(F898,Assumptions!$A$8:$A$16,0))</f>
        <v>34.9432</v>
      </c>
      <c r="R898" s="23" t="n">
        <f aca="false">H898*Assumptions!$B$3</f>
        <v>10.866</v>
      </c>
      <c r="S898" s="23" t="n">
        <f aca="false">G898-Q898-R898</f>
        <v>10.5508</v>
      </c>
      <c r="T898" s="21" t="str">
        <f aca="false">IF(M898&lt;=7,"0-7 days",IF(M898&lt;=14,"8-14 days",IF(M898&lt;=21,"15-21 days","22+ days")))</f>
        <v>0-7 days</v>
      </c>
    </row>
    <row r="899" customFormat="false" ht="15" hidden="false" customHeight="false" outlineLevel="0" collapsed="false">
      <c r="A899" s="21" t="s">
        <v>965</v>
      </c>
      <c r="B899" s="21" t="s">
        <v>19</v>
      </c>
      <c r="C899" s="22" t="n">
        <v>43107</v>
      </c>
      <c r="D899" s="22" t="n">
        <v>43112</v>
      </c>
      <c r="E899" s="22" t="n">
        <v>43121</v>
      </c>
      <c r="F899" s="21" t="s">
        <v>59</v>
      </c>
      <c r="G899" s="23" t="n">
        <v>118.45</v>
      </c>
      <c r="H899" s="23" t="n">
        <v>21.31</v>
      </c>
      <c r="I899" s="21" t="s">
        <v>45</v>
      </c>
      <c r="J899" s="21" t="n">
        <v>5</v>
      </c>
      <c r="K899" s="21" t="s">
        <v>46</v>
      </c>
      <c r="L899" s="24" t="n">
        <f aca="false">DATE(YEAR(C899),MONTH(C899),1)</f>
        <v>43101</v>
      </c>
      <c r="M899" s="21" t="n">
        <f aca="false">D899-C899</f>
        <v>5</v>
      </c>
      <c r="N899" s="21" t="n">
        <f aca="false">MAX(0,D899-E899)</f>
        <v>0</v>
      </c>
      <c r="O899" s="21" t="n">
        <f aca="false">IF(D899&lt;=E899,1,0)</f>
        <v>1</v>
      </c>
      <c r="P899" s="23" t="n">
        <f aca="false">G899+H899</f>
        <v>139.76</v>
      </c>
      <c r="Q899" s="23" t="n">
        <f aca="false">G899*INDEX(Assumptions!$B$8:$B$16,MATCH(F899,Assumptions!$A$8:$A$16,0))</f>
        <v>75.808</v>
      </c>
      <c r="R899" s="23" t="n">
        <f aca="false">H899*Assumptions!$B$3</f>
        <v>12.786</v>
      </c>
      <c r="S899" s="23" t="n">
        <f aca="false">G899-Q899-R899</f>
        <v>29.856</v>
      </c>
      <c r="T899" s="21" t="str">
        <f aca="false">IF(M899&lt;=7,"0-7 days",IF(M899&lt;=14,"8-14 days",IF(M899&lt;=21,"15-21 days","22+ days")))</f>
        <v>0-7 days</v>
      </c>
    </row>
    <row r="900" customFormat="false" ht="15" hidden="false" customHeight="false" outlineLevel="0" collapsed="false">
      <c r="A900" s="21" t="s">
        <v>966</v>
      </c>
      <c r="B900" s="21" t="s">
        <v>62</v>
      </c>
      <c r="C900" s="22" t="n">
        <v>43107</v>
      </c>
      <c r="D900" s="22" t="n">
        <v>43114</v>
      </c>
      <c r="E900" s="22" t="n">
        <v>43127</v>
      </c>
      <c r="F900" s="21" t="s">
        <v>59</v>
      </c>
      <c r="G900" s="23" t="n">
        <v>76.73</v>
      </c>
      <c r="H900" s="23" t="n">
        <v>24.91</v>
      </c>
      <c r="I900" s="21" t="s">
        <v>45</v>
      </c>
      <c r="J900" s="21" t="n">
        <v>4</v>
      </c>
      <c r="K900" s="21" t="s">
        <v>46</v>
      </c>
      <c r="L900" s="24" t="n">
        <f aca="false">DATE(YEAR(C900),MONTH(C900),1)</f>
        <v>43101</v>
      </c>
      <c r="M900" s="21" t="n">
        <f aca="false">D900-C900</f>
        <v>7</v>
      </c>
      <c r="N900" s="21" t="n">
        <f aca="false">MAX(0,D900-E900)</f>
        <v>0</v>
      </c>
      <c r="O900" s="21" t="n">
        <f aca="false">IF(D900&lt;=E900,1,0)</f>
        <v>1</v>
      </c>
      <c r="P900" s="23" t="n">
        <f aca="false">G900+H900</f>
        <v>101.64</v>
      </c>
      <c r="Q900" s="23" t="n">
        <f aca="false">G900*INDEX(Assumptions!$B$8:$B$16,MATCH(F900,Assumptions!$A$8:$A$16,0))</f>
        <v>49.1072</v>
      </c>
      <c r="R900" s="23" t="n">
        <f aca="false">H900*Assumptions!$B$3</f>
        <v>14.946</v>
      </c>
      <c r="S900" s="23" t="n">
        <f aca="false">G900-Q900-R900</f>
        <v>12.6768</v>
      </c>
      <c r="T900" s="21" t="str">
        <f aca="false">IF(M900&lt;=7,"0-7 days",IF(M900&lt;=14,"8-14 days",IF(M900&lt;=21,"15-21 days","22+ days")))</f>
        <v>0-7 days</v>
      </c>
    </row>
    <row r="901" customFormat="false" ht="15" hidden="false" customHeight="false" outlineLevel="0" collapsed="false">
      <c r="A901" s="21" t="s">
        <v>967</v>
      </c>
      <c r="B901" s="21" t="s">
        <v>19</v>
      </c>
      <c r="C901" s="22" t="n">
        <v>43107</v>
      </c>
      <c r="D901" s="22" t="n">
        <v>43116</v>
      </c>
      <c r="E901" s="22" t="n">
        <v>43122</v>
      </c>
      <c r="F901" s="21" t="s">
        <v>67</v>
      </c>
      <c r="G901" s="23" t="n">
        <v>118.94</v>
      </c>
      <c r="H901" s="23" t="n">
        <v>15.8</v>
      </c>
      <c r="I901" s="21" t="s">
        <v>45</v>
      </c>
      <c r="J901" s="21" t="n">
        <v>4</v>
      </c>
      <c r="K901" s="21" t="s">
        <v>46</v>
      </c>
      <c r="L901" s="24" t="n">
        <f aca="false">DATE(YEAR(C901),MONTH(C901),1)</f>
        <v>43101</v>
      </c>
      <c r="M901" s="21" t="n">
        <f aca="false">D901-C901</f>
        <v>9</v>
      </c>
      <c r="N901" s="21" t="n">
        <f aca="false">MAX(0,D901-E901)</f>
        <v>0</v>
      </c>
      <c r="O901" s="21" t="n">
        <f aca="false">IF(D901&lt;=E901,1,0)</f>
        <v>1</v>
      </c>
      <c r="P901" s="23" t="n">
        <f aca="false">G901+H901</f>
        <v>134.74</v>
      </c>
      <c r="Q901" s="23" t="n">
        <f aca="false">G901*INDEX(Assumptions!$B$8:$B$16,MATCH(F901,Assumptions!$A$8:$A$16,0))</f>
        <v>73.7428</v>
      </c>
      <c r="R901" s="23" t="n">
        <f aca="false">H901*Assumptions!$B$3</f>
        <v>9.48</v>
      </c>
      <c r="S901" s="23" t="n">
        <f aca="false">G901-Q901-R901</f>
        <v>35.7172</v>
      </c>
      <c r="T901" s="21" t="str">
        <f aca="false">IF(M901&lt;=7,"0-7 days",IF(M901&lt;=14,"8-14 days",IF(M901&lt;=21,"15-21 days","22+ days")))</f>
        <v>8-14 days</v>
      </c>
    </row>
    <row r="902" customFormat="false" ht="15" hidden="false" customHeight="false" outlineLevel="0" collapsed="false">
      <c r="A902" s="21" t="s">
        <v>968</v>
      </c>
      <c r="B902" s="21" t="s">
        <v>19</v>
      </c>
      <c r="C902" s="22" t="n">
        <v>43108</v>
      </c>
      <c r="D902" s="22" t="n">
        <v>43114</v>
      </c>
      <c r="E902" s="22" t="n">
        <v>43124</v>
      </c>
      <c r="F902" s="21" t="s">
        <v>67</v>
      </c>
      <c r="G902" s="23" t="n">
        <v>40.73</v>
      </c>
      <c r="H902" s="23" t="n">
        <v>15.58</v>
      </c>
      <c r="I902" s="21" t="s">
        <v>45</v>
      </c>
      <c r="J902" s="21" t="n">
        <v>4</v>
      </c>
      <c r="K902" s="21" t="s">
        <v>46</v>
      </c>
      <c r="L902" s="24" t="n">
        <f aca="false">DATE(YEAR(C902),MONTH(C902),1)</f>
        <v>43101</v>
      </c>
      <c r="M902" s="21" t="n">
        <f aca="false">D902-C902</f>
        <v>6</v>
      </c>
      <c r="N902" s="21" t="n">
        <f aca="false">MAX(0,D902-E902)</f>
        <v>0</v>
      </c>
      <c r="O902" s="21" t="n">
        <f aca="false">IF(D902&lt;=E902,1,0)</f>
        <v>1</v>
      </c>
      <c r="P902" s="23" t="n">
        <f aca="false">G902+H902</f>
        <v>56.31</v>
      </c>
      <c r="Q902" s="23" t="n">
        <f aca="false">G902*INDEX(Assumptions!$B$8:$B$16,MATCH(F902,Assumptions!$A$8:$A$16,0))</f>
        <v>25.2526</v>
      </c>
      <c r="R902" s="23" t="n">
        <f aca="false">H902*Assumptions!$B$3</f>
        <v>9.348</v>
      </c>
      <c r="S902" s="23" t="n">
        <f aca="false">G902-Q902-R902</f>
        <v>6.1294</v>
      </c>
      <c r="T902" s="21" t="str">
        <f aca="false">IF(M902&lt;=7,"0-7 days",IF(M902&lt;=14,"8-14 days",IF(M902&lt;=21,"15-21 days","22+ days")))</f>
        <v>0-7 days</v>
      </c>
    </row>
    <row r="903" customFormat="false" ht="15" hidden="false" customHeight="false" outlineLevel="0" collapsed="false">
      <c r="A903" s="21" t="s">
        <v>969</v>
      </c>
      <c r="B903" s="21" t="s">
        <v>19</v>
      </c>
      <c r="C903" s="22" t="n">
        <v>43108</v>
      </c>
      <c r="D903" s="22" t="n">
        <v>43119</v>
      </c>
      <c r="E903" s="22" t="n">
        <v>43126</v>
      </c>
      <c r="F903" s="21" t="s">
        <v>64</v>
      </c>
      <c r="G903" s="23" t="n">
        <v>70.94</v>
      </c>
      <c r="H903" s="23" t="n">
        <v>12.75</v>
      </c>
      <c r="I903" s="21" t="s">
        <v>104</v>
      </c>
      <c r="J903" s="21" t="n">
        <v>4</v>
      </c>
      <c r="K903" s="21" t="s">
        <v>46</v>
      </c>
      <c r="L903" s="24" t="n">
        <f aca="false">DATE(YEAR(C903),MONTH(C903),1)</f>
        <v>43101</v>
      </c>
      <c r="M903" s="21" t="n">
        <f aca="false">D903-C903</f>
        <v>11</v>
      </c>
      <c r="N903" s="21" t="n">
        <f aca="false">MAX(0,D903-E903)</f>
        <v>0</v>
      </c>
      <c r="O903" s="21" t="n">
        <f aca="false">IF(D903&lt;=E903,1,0)</f>
        <v>1</v>
      </c>
      <c r="P903" s="23" t="n">
        <f aca="false">G903+H903</f>
        <v>83.69</v>
      </c>
      <c r="Q903" s="23" t="n">
        <f aca="false">G903*INDEX(Assumptions!$B$8:$B$16,MATCH(F903,Assumptions!$A$8:$A$16,0))</f>
        <v>46.8204</v>
      </c>
      <c r="R903" s="23" t="n">
        <f aca="false">H903*Assumptions!$B$3</f>
        <v>7.65</v>
      </c>
      <c r="S903" s="23" t="n">
        <f aca="false">G903-Q903-R903</f>
        <v>16.4696</v>
      </c>
      <c r="T903" s="21" t="str">
        <f aca="false">IF(M903&lt;=7,"0-7 days",IF(M903&lt;=14,"8-14 days",IF(M903&lt;=21,"15-21 days","22+ days")))</f>
        <v>8-14 days</v>
      </c>
    </row>
    <row r="904" customFormat="false" ht="15" hidden="false" customHeight="false" outlineLevel="0" collapsed="false">
      <c r="A904" s="21" t="s">
        <v>970</v>
      </c>
      <c r="B904" s="21" t="s">
        <v>19</v>
      </c>
      <c r="C904" s="22" t="n">
        <v>43108</v>
      </c>
      <c r="D904" s="22" t="n">
        <v>43119</v>
      </c>
      <c r="E904" s="22" t="n">
        <v>43129</v>
      </c>
      <c r="F904" s="21" t="s">
        <v>111</v>
      </c>
      <c r="G904" s="23" t="n">
        <v>48.08</v>
      </c>
      <c r="H904" s="23" t="n">
        <v>20.27</v>
      </c>
      <c r="I904" s="21" t="s">
        <v>60</v>
      </c>
      <c r="J904" s="21" t="n">
        <v>3</v>
      </c>
      <c r="K904" s="21" t="s">
        <v>46</v>
      </c>
      <c r="L904" s="24" t="n">
        <f aca="false">DATE(YEAR(C904),MONTH(C904),1)</f>
        <v>43101</v>
      </c>
      <c r="M904" s="21" t="n">
        <f aca="false">D904-C904</f>
        <v>11</v>
      </c>
      <c r="N904" s="21" t="n">
        <f aca="false">MAX(0,D904-E904)</f>
        <v>0</v>
      </c>
      <c r="O904" s="21" t="n">
        <f aca="false">IF(D904&lt;=E904,1,0)</f>
        <v>1</v>
      </c>
      <c r="P904" s="23" t="n">
        <f aca="false">G904+H904</f>
        <v>68.35</v>
      </c>
      <c r="Q904" s="23" t="n">
        <f aca="false">G904*INDEX(Assumptions!$B$8:$B$16,MATCH(F904,Assumptions!$A$8:$A$16,0))</f>
        <v>30.2904</v>
      </c>
      <c r="R904" s="23" t="n">
        <f aca="false">H904*Assumptions!$B$3</f>
        <v>12.162</v>
      </c>
      <c r="S904" s="23" t="n">
        <f aca="false">G904-Q904-R904</f>
        <v>5.6276</v>
      </c>
      <c r="T904" s="21" t="str">
        <f aca="false">IF(M904&lt;=7,"0-7 days",IF(M904&lt;=14,"8-14 days",IF(M904&lt;=21,"15-21 days","22+ days")))</f>
        <v>8-14 days</v>
      </c>
    </row>
    <row r="905" customFormat="false" ht="15" hidden="false" customHeight="false" outlineLevel="0" collapsed="false">
      <c r="A905" s="21" t="s">
        <v>971</v>
      </c>
      <c r="B905" s="21" t="s">
        <v>62</v>
      </c>
      <c r="C905" s="22" t="n">
        <v>43108</v>
      </c>
      <c r="D905" s="22" t="n">
        <v>43120</v>
      </c>
      <c r="E905" s="22" t="n">
        <v>43127</v>
      </c>
      <c r="F905" s="21" t="s">
        <v>44</v>
      </c>
      <c r="G905" s="23" t="n">
        <v>42.56</v>
      </c>
      <c r="H905" s="23" t="n">
        <v>28.33</v>
      </c>
      <c r="I905" s="21" t="s">
        <v>45</v>
      </c>
      <c r="J905" s="21" t="n">
        <v>4</v>
      </c>
      <c r="K905" s="21" t="s">
        <v>46</v>
      </c>
      <c r="L905" s="24" t="n">
        <f aca="false">DATE(YEAR(C905),MONTH(C905),1)</f>
        <v>43101</v>
      </c>
      <c r="M905" s="21" t="n">
        <f aca="false">D905-C905</f>
        <v>12</v>
      </c>
      <c r="N905" s="21" t="n">
        <f aca="false">MAX(0,D905-E905)</f>
        <v>0</v>
      </c>
      <c r="O905" s="21" t="n">
        <f aca="false">IF(D905&lt;=E905,1,0)</f>
        <v>1</v>
      </c>
      <c r="P905" s="23" t="n">
        <f aca="false">G905+H905</f>
        <v>70.89</v>
      </c>
      <c r="Q905" s="23" t="n">
        <f aca="false">G905*INDEX(Assumptions!$B$8:$B$16,MATCH(F905,Assumptions!$A$8:$A$16,0))</f>
        <v>25.536</v>
      </c>
      <c r="R905" s="23" t="n">
        <f aca="false">H905*Assumptions!$B$3</f>
        <v>16.998</v>
      </c>
      <c r="S905" s="23" t="n">
        <f aca="false">G905-Q905-R905</f>
        <v>0.0260000000000034</v>
      </c>
      <c r="T905" s="21" t="str">
        <f aca="false">IF(M905&lt;=7,"0-7 days",IF(M905&lt;=14,"8-14 days",IF(M905&lt;=21,"15-21 days","22+ days")))</f>
        <v>8-14 days</v>
      </c>
    </row>
    <row r="906" customFormat="false" ht="15" hidden="false" customHeight="false" outlineLevel="0" collapsed="false">
      <c r="A906" s="21" t="s">
        <v>972</v>
      </c>
      <c r="B906" s="21" t="s">
        <v>19</v>
      </c>
      <c r="C906" s="22" t="n">
        <v>43108</v>
      </c>
      <c r="D906" s="22" t="n">
        <v>43114</v>
      </c>
      <c r="E906" s="22" t="n">
        <v>43124</v>
      </c>
      <c r="F906" s="21" t="s">
        <v>59</v>
      </c>
      <c r="G906" s="23" t="n">
        <v>79.3</v>
      </c>
      <c r="H906" s="23" t="n">
        <v>12.95</v>
      </c>
      <c r="I906" s="21" t="s">
        <v>45</v>
      </c>
      <c r="J906" s="21" t="n">
        <v>5</v>
      </c>
      <c r="K906" s="21" t="s">
        <v>46</v>
      </c>
      <c r="L906" s="24" t="n">
        <f aca="false">DATE(YEAR(C906),MONTH(C906),1)</f>
        <v>43101</v>
      </c>
      <c r="M906" s="21" t="n">
        <f aca="false">D906-C906</f>
        <v>6</v>
      </c>
      <c r="N906" s="21" t="n">
        <f aca="false">MAX(0,D906-E906)</f>
        <v>0</v>
      </c>
      <c r="O906" s="21" t="n">
        <f aca="false">IF(D906&lt;=E906,1,0)</f>
        <v>1</v>
      </c>
      <c r="P906" s="23" t="n">
        <f aca="false">G906+H906</f>
        <v>92.25</v>
      </c>
      <c r="Q906" s="23" t="n">
        <f aca="false">G906*INDEX(Assumptions!$B$8:$B$16,MATCH(F906,Assumptions!$A$8:$A$16,0))</f>
        <v>50.752</v>
      </c>
      <c r="R906" s="23" t="n">
        <f aca="false">H906*Assumptions!$B$3</f>
        <v>7.77</v>
      </c>
      <c r="S906" s="23" t="n">
        <f aca="false">G906-Q906-R906</f>
        <v>20.778</v>
      </c>
      <c r="T906" s="21" t="str">
        <f aca="false">IF(M906&lt;=7,"0-7 days",IF(M906&lt;=14,"8-14 days",IF(M906&lt;=21,"15-21 days","22+ days")))</f>
        <v>0-7 days</v>
      </c>
    </row>
    <row r="907" customFormat="false" ht="15" hidden="false" customHeight="false" outlineLevel="0" collapsed="false">
      <c r="A907" s="21" t="s">
        <v>973</v>
      </c>
      <c r="B907" s="21" t="s">
        <v>62</v>
      </c>
      <c r="C907" s="22" t="n">
        <v>43108</v>
      </c>
      <c r="D907" s="22" t="n">
        <v>43115</v>
      </c>
      <c r="E907" s="22" t="n">
        <v>43126</v>
      </c>
      <c r="F907" s="21" t="s">
        <v>64</v>
      </c>
      <c r="G907" s="23" t="n">
        <v>122.35</v>
      </c>
      <c r="H907" s="23" t="n">
        <v>24.39</v>
      </c>
      <c r="I907" s="21" t="s">
        <v>45</v>
      </c>
      <c r="J907" s="21" t="n">
        <v>4</v>
      </c>
      <c r="K907" s="21" t="s">
        <v>46</v>
      </c>
      <c r="L907" s="24" t="n">
        <f aca="false">DATE(YEAR(C907),MONTH(C907),1)</f>
        <v>43101</v>
      </c>
      <c r="M907" s="21" t="n">
        <f aca="false">D907-C907</f>
        <v>7</v>
      </c>
      <c r="N907" s="21" t="n">
        <f aca="false">MAX(0,D907-E907)</f>
        <v>0</v>
      </c>
      <c r="O907" s="21" t="n">
        <f aca="false">IF(D907&lt;=E907,1,0)</f>
        <v>1</v>
      </c>
      <c r="P907" s="23" t="n">
        <f aca="false">G907+H907</f>
        <v>146.74</v>
      </c>
      <c r="Q907" s="23" t="n">
        <f aca="false">G907*INDEX(Assumptions!$B$8:$B$16,MATCH(F907,Assumptions!$A$8:$A$16,0))</f>
        <v>80.751</v>
      </c>
      <c r="R907" s="23" t="n">
        <f aca="false">H907*Assumptions!$B$3</f>
        <v>14.634</v>
      </c>
      <c r="S907" s="23" t="n">
        <f aca="false">G907-Q907-R907</f>
        <v>26.965</v>
      </c>
      <c r="T907" s="21" t="str">
        <f aca="false">IF(M907&lt;=7,"0-7 days",IF(M907&lt;=14,"8-14 days",IF(M907&lt;=21,"15-21 days","22+ days")))</f>
        <v>0-7 days</v>
      </c>
    </row>
    <row r="908" customFormat="false" ht="15" hidden="false" customHeight="false" outlineLevel="0" collapsed="false">
      <c r="A908" s="21" t="s">
        <v>974</v>
      </c>
      <c r="B908" s="21" t="s">
        <v>93</v>
      </c>
      <c r="C908" s="22" t="n">
        <v>43108</v>
      </c>
      <c r="D908" s="22" t="n">
        <v>43120</v>
      </c>
      <c r="E908" s="22" t="n">
        <v>43138</v>
      </c>
      <c r="F908" s="21" t="s">
        <v>67</v>
      </c>
      <c r="G908" s="23" t="n">
        <v>39.55</v>
      </c>
      <c r="H908" s="23" t="n">
        <v>34.13</v>
      </c>
      <c r="I908" s="21" t="s">
        <v>50</v>
      </c>
      <c r="J908" s="21" t="n">
        <v>4</v>
      </c>
      <c r="K908" s="21" t="s">
        <v>46</v>
      </c>
      <c r="L908" s="24" t="n">
        <f aca="false">DATE(YEAR(C908),MONTH(C908),1)</f>
        <v>43101</v>
      </c>
      <c r="M908" s="21" t="n">
        <f aca="false">D908-C908</f>
        <v>12</v>
      </c>
      <c r="N908" s="21" t="n">
        <f aca="false">MAX(0,D908-E908)</f>
        <v>0</v>
      </c>
      <c r="O908" s="21" t="n">
        <f aca="false">IF(D908&lt;=E908,1,0)</f>
        <v>1</v>
      </c>
      <c r="P908" s="23" t="n">
        <f aca="false">G908+H908</f>
        <v>73.68</v>
      </c>
      <c r="Q908" s="23" t="n">
        <f aca="false">G908*INDEX(Assumptions!$B$8:$B$16,MATCH(F908,Assumptions!$A$8:$A$16,0))</f>
        <v>24.521</v>
      </c>
      <c r="R908" s="23" t="n">
        <f aca="false">H908*Assumptions!$B$3</f>
        <v>20.478</v>
      </c>
      <c r="S908" s="23" t="n">
        <f aca="false">G908-Q908-R908</f>
        <v>-5.449</v>
      </c>
      <c r="T908" s="21" t="str">
        <f aca="false">IF(M908&lt;=7,"0-7 days",IF(M908&lt;=14,"8-14 days",IF(M908&lt;=21,"15-21 days","22+ days")))</f>
        <v>8-14 days</v>
      </c>
    </row>
    <row r="909" customFormat="false" ht="15" hidden="false" customHeight="false" outlineLevel="0" collapsed="false">
      <c r="A909" s="21" t="s">
        <v>975</v>
      </c>
      <c r="B909" s="21" t="s">
        <v>19</v>
      </c>
      <c r="C909" s="22" t="n">
        <v>43109</v>
      </c>
      <c r="D909" s="22" t="n">
        <v>43118</v>
      </c>
      <c r="E909" s="22" t="n">
        <v>43125</v>
      </c>
      <c r="F909" s="21" t="s">
        <v>49</v>
      </c>
      <c r="G909" s="23" t="n">
        <v>130.85</v>
      </c>
      <c r="H909" s="23" t="n">
        <v>20.46</v>
      </c>
      <c r="I909" s="21" t="s">
        <v>45</v>
      </c>
      <c r="J909" s="21" t="n">
        <v>4</v>
      </c>
      <c r="K909" s="21" t="s">
        <v>46</v>
      </c>
      <c r="L909" s="24" t="n">
        <f aca="false">DATE(YEAR(C909),MONTH(C909),1)</f>
        <v>43101</v>
      </c>
      <c r="M909" s="21" t="n">
        <f aca="false">D909-C909</f>
        <v>9</v>
      </c>
      <c r="N909" s="21" t="n">
        <f aca="false">MAX(0,D909-E909)</f>
        <v>0</v>
      </c>
      <c r="O909" s="21" t="n">
        <f aca="false">IF(D909&lt;=E909,1,0)</f>
        <v>1</v>
      </c>
      <c r="P909" s="23" t="n">
        <f aca="false">G909+H909</f>
        <v>151.31</v>
      </c>
      <c r="Q909" s="23" t="n">
        <f aca="false">G909*INDEX(Assumptions!$B$8:$B$16,MATCH(F909,Assumptions!$A$8:$A$16,0))</f>
        <v>75.893</v>
      </c>
      <c r="R909" s="23" t="n">
        <f aca="false">H909*Assumptions!$B$3</f>
        <v>12.276</v>
      </c>
      <c r="S909" s="23" t="n">
        <f aca="false">G909-Q909-R909</f>
        <v>42.681</v>
      </c>
      <c r="T909" s="21" t="str">
        <f aca="false">IF(M909&lt;=7,"0-7 days",IF(M909&lt;=14,"8-14 days",IF(M909&lt;=21,"15-21 days","22+ days")))</f>
        <v>8-14 days</v>
      </c>
    </row>
    <row r="910" customFormat="false" ht="15" hidden="false" customHeight="false" outlineLevel="0" collapsed="false">
      <c r="A910" s="21" t="s">
        <v>976</v>
      </c>
      <c r="B910" s="21" t="s">
        <v>48</v>
      </c>
      <c r="C910" s="22" t="n">
        <v>43109</v>
      </c>
      <c r="D910" s="22" t="n">
        <v>43137</v>
      </c>
      <c r="E910" s="22" t="n">
        <v>43127</v>
      </c>
      <c r="F910" s="21" t="s">
        <v>49</v>
      </c>
      <c r="G910" s="23" t="n">
        <v>72.79</v>
      </c>
      <c r="H910" s="23" t="n">
        <v>18.05</v>
      </c>
      <c r="I910" s="21" t="s">
        <v>60</v>
      </c>
      <c r="J910" s="21" t="n">
        <v>3</v>
      </c>
      <c r="K910" s="21" t="s">
        <v>46</v>
      </c>
      <c r="L910" s="24" t="n">
        <f aca="false">DATE(YEAR(C910),MONTH(C910),1)</f>
        <v>43101</v>
      </c>
      <c r="M910" s="21" t="n">
        <f aca="false">D910-C910</f>
        <v>28</v>
      </c>
      <c r="N910" s="21" t="n">
        <f aca="false">MAX(0,D910-E910)</f>
        <v>10</v>
      </c>
      <c r="O910" s="21" t="n">
        <f aca="false">IF(D910&lt;=E910,1,0)</f>
        <v>0</v>
      </c>
      <c r="P910" s="23" t="n">
        <f aca="false">G910+H910</f>
        <v>90.84</v>
      </c>
      <c r="Q910" s="23" t="n">
        <f aca="false">G910*INDEX(Assumptions!$B$8:$B$16,MATCH(F910,Assumptions!$A$8:$A$16,0))</f>
        <v>42.2182</v>
      </c>
      <c r="R910" s="23" t="n">
        <f aca="false">H910*Assumptions!$B$3</f>
        <v>10.83</v>
      </c>
      <c r="S910" s="23" t="n">
        <f aca="false">G910-Q910-R910</f>
        <v>19.7418</v>
      </c>
      <c r="T910" s="21" t="str">
        <f aca="false">IF(M910&lt;=7,"0-7 days",IF(M910&lt;=14,"8-14 days",IF(M910&lt;=21,"15-21 days","22+ days")))</f>
        <v>22+ days</v>
      </c>
    </row>
    <row r="911" customFormat="false" ht="15" hidden="false" customHeight="false" outlineLevel="0" collapsed="false">
      <c r="A911" s="21" t="s">
        <v>977</v>
      </c>
      <c r="B911" s="21" t="s">
        <v>174</v>
      </c>
      <c r="C911" s="22" t="n">
        <v>43110</v>
      </c>
      <c r="D911" s="22" t="n">
        <v>43124</v>
      </c>
      <c r="E911" s="22" t="n">
        <v>43140</v>
      </c>
      <c r="F911" s="21" t="s">
        <v>53</v>
      </c>
      <c r="G911" s="23" t="n">
        <v>397.71</v>
      </c>
      <c r="H911" s="23" t="n">
        <v>51.49</v>
      </c>
      <c r="I911" s="21" t="s">
        <v>45</v>
      </c>
      <c r="J911" s="21" t="n">
        <v>5</v>
      </c>
      <c r="K911" s="21" t="s">
        <v>46</v>
      </c>
      <c r="L911" s="24" t="n">
        <f aca="false">DATE(YEAR(C911),MONTH(C911),1)</f>
        <v>43101</v>
      </c>
      <c r="M911" s="21" t="n">
        <f aca="false">D911-C911</f>
        <v>14</v>
      </c>
      <c r="N911" s="21" t="n">
        <f aca="false">MAX(0,D911-E911)</f>
        <v>0</v>
      </c>
      <c r="O911" s="21" t="n">
        <f aca="false">IF(D911&lt;=E911,1,0)</f>
        <v>1</v>
      </c>
      <c r="P911" s="23" t="n">
        <f aca="false">G911+H911</f>
        <v>449.2</v>
      </c>
      <c r="Q911" s="23" t="n">
        <f aca="false">G911*INDEX(Assumptions!$B$8:$B$16,MATCH(F911,Assumptions!$A$8:$A$16,0))</f>
        <v>294.3054</v>
      </c>
      <c r="R911" s="23" t="n">
        <f aca="false">H911*Assumptions!$B$3</f>
        <v>30.894</v>
      </c>
      <c r="S911" s="23" t="n">
        <f aca="false">G911-Q911-R911</f>
        <v>72.5106</v>
      </c>
      <c r="T911" s="21" t="str">
        <f aca="false">IF(M911&lt;=7,"0-7 days",IF(M911&lt;=14,"8-14 days",IF(M911&lt;=21,"15-21 days","22+ days")))</f>
        <v>8-14 days</v>
      </c>
    </row>
    <row r="912" customFormat="false" ht="15" hidden="false" customHeight="false" outlineLevel="0" collapsed="false">
      <c r="A912" s="21" t="s">
        <v>978</v>
      </c>
      <c r="B912" s="21" t="s">
        <v>19</v>
      </c>
      <c r="C912" s="22" t="n">
        <v>43110</v>
      </c>
      <c r="D912" s="22" t="n">
        <v>43123</v>
      </c>
      <c r="E912" s="22" t="n">
        <v>43124</v>
      </c>
      <c r="F912" s="21" t="s">
        <v>64</v>
      </c>
      <c r="G912" s="23" t="n">
        <v>159.76</v>
      </c>
      <c r="H912" s="23" t="n">
        <v>24.17</v>
      </c>
      <c r="I912" s="21" t="s">
        <v>45</v>
      </c>
      <c r="J912" s="21" t="n">
        <v>4</v>
      </c>
      <c r="K912" s="21" t="s">
        <v>46</v>
      </c>
      <c r="L912" s="24" t="n">
        <f aca="false">DATE(YEAR(C912),MONTH(C912),1)</f>
        <v>43101</v>
      </c>
      <c r="M912" s="21" t="n">
        <f aca="false">D912-C912</f>
        <v>13</v>
      </c>
      <c r="N912" s="21" t="n">
        <f aca="false">MAX(0,D912-E912)</f>
        <v>0</v>
      </c>
      <c r="O912" s="21" t="n">
        <f aca="false">IF(D912&lt;=E912,1,0)</f>
        <v>1</v>
      </c>
      <c r="P912" s="23" t="n">
        <f aca="false">G912+H912</f>
        <v>183.93</v>
      </c>
      <c r="Q912" s="23" t="n">
        <f aca="false">G912*INDEX(Assumptions!$B$8:$B$16,MATCH(F912,Assumptions!$A$8:$A$16,0))</f>
        <v>105.4416</v>
      </c>
      <c r="R912" s="23" t="n">
        <f aca="false">H912*Assumptions!$B$3</f>
        <v>14.502</v>
      </c>
      <c r="S912" s="23" t="n">
        <f aca="false">G912-Q912-R912</f>
        <v>39.8164</v>
      </c>
      <c r="T912" s="21" t="str">
        <f aca="false">IF(M912&lt;=7,"0-7 days",IF(M912&lt;=14,"8-14 days",IF(M912&lt;=21,"15-21 days","22+ days")))</f>
        <v>8-14 days</v>
      </c>
    </row>
    <row r="913" customFormat="false" ht="15" hidden="false" customHeight="false" outlineLevel="0" collapsed="false">
      <c r="A913" s="21" t="s">
        <v>979</v>
      </c>
      <c r="B913" s="21" t="s">
        <v>201</v>
      </c>
      <c r="C913" s="22" t="n">
        <v>43110</v>
      </c>
      <c r="D913" s="22" t="n">
        <v>43143</v>
      </c>
      <c r="E913" s="22" t="n">
        <v>43144</v>
      </c>
      <c r="F913" s="21" t="s">
        <v>49</v>
      </c>
      <c r="G913" s="23" t="n">
        <v>257.93</v>
      </c>
      <c r="H913" s="23" t="n">
        <v>50.41</v>
      </c>
      <c r="I913" s="21" t="s">
        <v>45</v>
      </c>
      <c r="J913" s="21" t="n">
        <v>4</v>
      </c>
      <c r="K913" s="21" t="s">
        <v>46</v>
      </c>
      <c r="L913" s="24" t="n">
        <f aca="false">DATE(YEAR(C913),MONTH(C913),1)</f>
        <v>43101</v>
      </c>
      <c r="M913" s="21" t="n">
        <f aca="false">D913-C913</f>
        <v>33</v>
      </c>
      <c r="N913" s="21" t="n">
        <f aca="false">MAX(0,D913-E913)</f>
        <v>0</v>
      </c>
      <c r="O913" s="21" t="n">
        <f aca="false">IF(D913&lt;=E913,1,0)</f>
        <v>1</v>
      </c>
      <c r="P913" s="23" t="n">
        <f aca="false">G913+H913</f>
        <v>308.34</v>
      </c>
      <c r="Q913" s="23" t="n">
        <f aca="false">G913*INDEX(Assumptions!$B$8:$B$16,MATCH(F913,Assumptions!$A$8:$A$16,0))</f>
        <v>149.5994</v>
      </c>
      <c r="R913" s="23" t="n">
        <f aca="false">H913*Assumptions!$B$3</f>
        <v>30.246</v>
      </c>
      <c r="S913" s="23" t="n">
        <f aca="false">G913-Q913-R913</f>
        <v>78.0846</v>
      </c>
      <c r="T913" s="21" t="str">
        <f aca="false">IF(M913&lt;=7,"0-7 days",IF(M913&lt;=14,"8-14 days",IF(M913&lt;=21,"15-21 days","22+ days")))</f>
        <v>22+ days</v>
      </c>
    </row>
    <row r="914" customFormat="false" ht="15" hidden="false" customHeight="false" outlineLevel="0" collapsed="false">
      <c r="A914" s="21" t="s">
        <v>980</v>
      </c>
      <c r="B914" s="21" t="s">
        <v>62</v>
      </c>
      <c r="C914" s="22" t="n">
        <v>43111</v>
      </c>
      <c r="D914" s="22" t="n">
        <v>43115</v>
      </c>
      <c r="E914" s="22" t="n">
        <v>43132</v>
      </c>
      <c r="F914" s="21" t="s">
        <v>59</v>
      </c>
      <c r="G914" s="23" t="n">
        <v>99.17</v>
      </c>
      <c r="H914" s="23" t="n">
        <v>24.74</v>
      </c>
      <c r="I914" s="21" t="s">
        <v>45</v>
      </c>
      <c r="J914" s="21" t="n">
        <v>4</v>
      </c>
      <c r="K914" s="21" t="s">
        <v>46</v>
      </c>
      <c r="L914" s="24" t="n">
        <f aca="false">DATE(YEAR(C914),MONTH(C914),1)</f>
        <v>43101</v>
      </c>
      <c r="M914" s="21" t="n">
        <f aca="false">D914-C914</f>
        <v>4</v>
      </c>
      <c r="N914" s="21" t="n">
        <f aca="false">MAX(0,D914-E914)</f>
        <v>0</v>
      </c>
      <c r="O914" s="21" t="n">
        <f aca="false">IF(D914&lt;=E914,1,0)</f>
        <v>1</v>
      </c>
      <c r="P914" s="23" t="n">
        <f aca="false">G914+H914</f>
        <v>123.91</v>
      </c>
      <c r="Q914" s="23" t="n">
        <f aca="false">G914*INDEX(Assumptions!$B$8:$B$16,MATCH(F914,Assumptions!$A$8:$A$16,0))</f>
        <v>63.4688</v>
      </c>
      <c r="R914" s="23" t="n">
        <f aca="false">H914*Assumptions!$B$3</f>
        <v>14.844</v>
      </c>
      <c r="S914" s="23" t="n">
        <f aca="false">G914-Q914-R914</f>
        <v>20.8572</v>
      </c>
      <c r="T914" s="21" t="str">
        <f aca="false">IF(M914&lt;=7,"0-7 days",IF(M914&lt;=14,"8-14 days",IF(M914&lt;=21,"15-21 days","22+ days")))</f>
        <v>0-7 days</v>
      </c>
    </row>
    <row r="915" customFormat="false" ht="15" hidden="false" customHeight="false" outlineLevel="0" collapsed="false">
      <c r="A915" s="21" t="s">
        <v>981</v>
      </c>
      <c r="B915" s="21" t="s">
        <v>19</v>
      </c>
      <c r="C915" s="22" t="n">
        <v>43111</v>
      </c>
      <c r="D915" s="22" t="n">
        <v>43125</v>
      </c>
      <c r="E915" s="22" t="n">
        <v>43126</v>
      </c>
      <c r="F915" s="21" t="s">
        <v>49</v>
      </c>
      <c r="G915" s="23" t="n">
        <v>102.6</v>
      </c>
      <c r="H915" s="23" t="n">
        <v>15.06</v>
      </c>
      <c r="I915" s="21" t="s">
        <v>60</v>
      </c>
      <c r="J915" s="21" t="n">
        <v>5</v>
      </c>
      <c r="K915" s="21" t="s">
        <v>46</v>
      </c>
      <c r="L915" s="24" t="n">
        <f aca="false">DATE(YEAR(C915),MONTH(C915),1)</f>
        <v>43101</v>
      </c>
      <c r="M915" s="21" t="n">
        <f aca="false">D915-C915</f>
        <v>14</v>
      </c>
      <c r="N915" s="21" t="n">
        <f aca="false">MAX(0,D915-E915)</f>
        <v>0</v>
      </c>
      <c r="O915" s="21" t="n">
        <f aca="false">IF(D915&lt;=E915,1,0)</f>
        <v>1</v>
      </c>
      <c r="P915" s="23" t="n">
        <f aca="false">G915+H915</f>
        <v>117.66</v>
      </c>
      <c r="Q915" s="23" t="n">
        <f aca="false">G915*INDEX(Assumptions!$B$8:$B$16,MATCH(F915,Assumptions!$A$8:$A$16,0))</f>
        <v>59.508</v>
      </c>
      <c r="R915" s="23" t="n">
        <f aca="false">H915*Assumptions!$B$3</f>
        <v>9.036</v>
      </c>
      <c r="S915" s="23" t="n">
        <f aca="false">G915-Q915-R915</f>
        <v>34.056</v>
      </c>
      <c r="T915" s="21" t="str">
        <f aca="false">IF(M915&lt;=7,"0-7 days",IF(M915&lt;=14,"8-14 days",IF(M915&lt;=21,"15-21 days","22+ days")))</f>
        <v>8-14 days</v>
      </c>
    </row>
    <row r="916" customFormat="false" ht="15" hidden="false" customHeight="false" outlineLevel="0" collapsed="false">
      <c r="A916" s="21" t="s">
        <v>982</v>
      </c>
      <c r="B916" s="21" t="s">
        <v>77</v>
      </c>
      <c r="C916" s="22" t="n">
        <v>43111</v>
      </c>
      <c r="D916" s="22" t="n">
        <v>43123</v>
      </c>
      <c r="E916" s="22" t="n">
        <v>43135</v>
      </c>
      <c r="F916" s="21" t="s">
        <v>49</v>
      </c>
      <c r="G916" s="23" t="n">
        <v>59.55</v>
      </c>
      <c r="H916" s="23" t="n">
        <v>30.04</v>
      </c>
      <c r="I916" s="21" t="s">
        <v>60</v>
      </c>
      <c r="J916" s="21" t="n">
        <v>4</v>
      </c>
      <c r="K916" s="21" t="s">
        <v>46</v>
      </c>
      <c r="L916" s="24" t="n">
        <f aca="false">DATE(YEAR(C916),MONTH(C916),1)</f>
        <v>43101</v>
      </c>
      <c r="M916" s="21" t="n">
        <f aca="false">D916-C916</f>
        <v>12</v>
      </c>
      <c r="N916" s="21" t="n">
        <f aca="false">MAX(0,D916-E916)</f>
        <v>0</v>
      </c>
      <c r="O916" s="21" t="n">
        <f aca="false">IF(D916&lt;=E916,1,0)</f>
        <v>1</v>
      </c>
      <c r="P916" s="23" t="n">
        <f aca="false">G916+H916</f>
        <v>89.59</v>
      </c>
      <c r="Q916" s="23" t="n">
        <f aca="false">G916*INDEX(Assumptions!$B$8:$B$16,MATCH(F916,Assumptions!$A$8:$A$16,0))</f>
        <v>34.539</v>
      </c>
      <c r="R916" s="23" t="n">
        <f aca="false">H916*Assumptions!$B$3</f>
        <v>18.024</v>
      </c>
      <c r="S916" s="23" t="n">
        <f aca="false">G916-Q916-R916</f>
        <v>6.98700000000001</v>
      </c>
      <c r="T916" s="21" t="str">
        <f aca="false">IF(M916&lt;=7,"0-7 days",IF(M916&lt;=14,"8-14 days",IF(M916&lt;=21,"15-21 days","22+ days")))</f>
        <v>8-14 days</v>
      </c>
    </row>
    <row r="917" customFormat="false" ht="15" hidden="false" customHeight="false" outlineLevel="0" collapsed="false">
      <c r="A917" s="21" t="s">
        <v>983</v>
      </c>
      <c r="B917" s="21" t="s">
        <v>156</v>
      </c>
      <c r="C917" s="22" t="n">
        <v>43111</v>
      </c>
      <c r="D917" s="22" t="n">
        <v>43119</v>
      </c>
      <c r="E917" s="22" t="n">
        <v>43135</v>
      </c>
      <c r="F917" s="21" t="s">
        <v>111</v>
      </c>
      <c r="G917" s="23" t="n">
        <v>169.97</v>
      </c>
      <c r="H917" s="23" t="n">
        <v>35.45</v>
      </c>
      <c r="I917" s="21" t="s">
        <v>45</v>
      </c>
      <c r="J917" s="21" t="n">
        <v>5</v>
      </c>
      <c r="K917" s="21" t="s">
        <v>46</v>
      </c>
      <c r="L917" s="24" t="n">
        <f aca="false">DATE(YEAR(C917),MONTH(C917),1)</f>
        <v>43101</v>
      </c>
      <c r="M917" s="21" t="n">
        <f aca="false">D917-C917</f>
        <v>8</v>
      </c>
      <c r="N917" s="21" t="n">
        <f aca="false">MAX(0,D917-E917)</f>
        <v>0</v>
      </c>
      <c r="O917" s="21" t="n">
        <f aca="false">IF(D917&lt;=E917,1,0)</f>
        <v>1</v>
      </c>
      <c r="P917" s="23" t="n">
        <f aca="false">G917+H917</f>
        <v>205.42</v>
      </c>
      <c r="Q917" s="23" t="n">
        <f aca="false">G917*INDEX(Assumptions!$B$8:$B$16,MATCH(F917,Assumptions!$A$8:$A$16,0))</f>
        <v>107.0811</v>
      </c>
      <c r="R917" s="23" t="n">
        <f aca="false">H917*Assumptions!$B$3</f>
        <v>21.27</v>
      </c>
      <c r="S917" s="23" t="n">
        <f aca="false">G917-Q917-R917</f>
        <v>41.6189</v>
      </c>
      <c r="T917" s="21" t="str">
        <f aca="false">IF(M917&lt;=7,"0-7 days",IF(M917&lt;=14,"8-14 days",IF(M917&lt;=21,"15-21 days","22+ days")))</f>
        <v>8-14 days</v>
      </c>
    </row>
    <row r="918" customFormat="false" ht="15" hidden="false" customHeight="false" outlineLevel="0" collapsed="false">
      <c r="A918" s="21" t="s">
        <v>984</v>
      </c>
      <c r="B918" s="21" t="s">
        <v>19</v>
      </c>
      <c r="C918" s="22" t="n">
        <v>43112</v>
      </c>
      <c r="D918" s="22" t="n">
        <v>43117</v>
      </c>
      <c r="E918" s="22" t="n">
        <v>43127</v>
      </c>
      <c r="F918" s="21" t="s">
        <v>64</v>
      </c>
      <c r="G918" s="23" t="n">
        <v>242.68</v>
      </c>
      <c r="H918" s="23" t="n">
        <v>16.18</v>
      </c>
      <c r="I918" s="21" t="s">
        <v>45</v>
      </c>
      <c r="J918" s="21" t="n">
        <v>4</v>
      </c>
      <c r="K918" s="21" t="s">
        <v>46</v>
      </c>
      <c r="L918" s="24" t="n">
        <f aca="false">DATE(YEAR(C918),MONTH(C918),1)</f>
        <v>43101</v>
      </c>
      <c r="M918" s="21" t="n">
        <f aca="false">D918-C918</f>
        <v>5</v>
      </c>
      <c r="N918" s="21" t="n">
        <f aca="false">MAX(0,D918-E918)</f>
        <v>0</v>
      </c>
      <c r="O918" s="21" t="n">
        <f aca="false">IF(D918&lt;=E918,1,0)</f>
        <v>1</v>
      </c>
      <c r="P918" s="23" t="n">
        <f aca="false">G918+H918</f>
        <v>258.86</v>
      </c>
      <c r="Q918" s="23" t="n">
        <f aca="false">G918*INDEX(Assumptions!$B$8:$B$16,MATCH(F918,Assumptions!$A$8:$A$16,0))</f>
        <v>160.1688</v>
      </c>
      <c r="R918" s="23" t="n">
        <f aca="false">H918*Assumptions!$B$3</f>
        <v>9.708</v>
      </c>
      <c r="S918" s="23" t="n">
        <f aca="false">G918-Q918-R918</f>
        <v>72.8032</v>
      </c>
      <c r="T918" s="21" t="str">
        <f aca="false">IF(M918&lt;=7,"0-7 days",IF(M918&lt;=14,"8-14 days",IF(M918&lt;=21,"15-21 days","22+ days")))</f>
        <v>0-7 days</v>
      </c>
    </row>
    <row r="919" customFormat="false" ht="15" hidden="false" customHeight="false" outlineLevel="0" collapsed="false">
      <c r="A919" s="21" t="s">
        <v>985</v>
      </c>
      <c r="B919" s="21" t="s">
        <v>19</v>
      </c>
      <c r="C919" s="22" t="n">
        <v>43112</v>
      </c>
      <c r="D919" s="22" t="n">
        <v>43120</v>
      </c>
      <c r="E919" s="22" t="n">
        <v>43125</v>
      </c>
      <c r="F919" s="21" t="s">
        <v>59</v>
      </c>
      <c r="G919" s="23" t="n">
        <v>89.73</v>
      </c>
      <c r="H919" s="23" t="n">
        <v>12.55</v>
      </c>
      <c r="I919" s="21" t="s">
        <v>45</v>
      </c>
      <c r="J919" s="21" t="n">
        <v>5</v>
      </c>
      <c r="K919" s="21" t="s">
        <v>46</v>
      </c>
      <c r="L919" s="24" t="n">
        <f aca="false">DATE(YEAR(C919),MONTH(C919),1)</f>
        <v>43101</v>
      </c>
      <c r="M919" s="21" t="n">
        <f aca="false">D919-C919</f>
        <v>8</v>
      </c>
      <c r="N919" s="21" t="n">
        <f aca="false">MAX(0,D919-E919)</f>
        <v>0</v>
      </c>
      <c r="O919" s="21" t="n">
        <f aca="false">IF(D919&lt;=E919,1,0)</f>
        <v>1</v>
      </c>
      <c r="P919" s="23" t="n">
        <f aca="false">G919+H919</f>
        <v>102.28</v>
      </c>
      <c r="Q919" s="23" t="n">
        <f aca="false">G919*INDEX(Assumptions!$B$8:$B$16,MATCH(F919,Assumptions!$A$8:$A$16,0))</f>
        <v>57.4272</v>
      </c>
      <c r="R919" s="23" t="n">
        <f aca="false">H919*Assumptions!$B$3</f>
        <v>7.53</v>
      </c>
      <c r="S919" s="23" t="n">
        <f aca="false">G919-Q919-R919</f>
        <v>24.7728</v>
      </c>
      <c r="T919" s="21" t="str">
        <f aca="false">IF(M919&lt;=7,"0-7 days",IF(M919&lt;=14,"8-14 days",IF(M919&lt;=21,"15-21 days","22+ days")))</f>
        <v>8-14 days</v>
      </c>
    </row>
    <row r="920" customFormat="false" ht="15" hidden="false" customHeight="false" outlineLevel="0" collapsed="false">
      <c r="A920" s="21" t="s">
        <v>986</v>
      </c>
      <c r="B920" s="21" t="s">
        <v>52</v>
      </c>
      <c r="C920" s="22" t="n">
        <v>43112</v>
      </c>
      <c r="D920" s="22" t="n">
        <v>43134</v>
      </c>
      <c r="E920" s="22" t="n">
        <v>43134</v>
      </c>
      <c r="F920" s="21" t="s">
        <v>79</v>
      </c>
      <c r="G920" s="23" t="n">
        <v>413.16</v>
      </c>
      <c r="H920" s="23" t="n">
        <v>26.54</v>
      </c>
      <c r="I920" s="21" t="s">
        <v>45</v>
      </c>
      <c r="J920" s="21" t="n">
        <v>4</v>
      </c>
      <c r="K920" s="21" t="s">
        <v>46</v>
      </c>
      <c r="L920" s="24" t="n">
        <f aca="false">DATE(YEAR(C920),MONTH(C920),1)</f>
        <v>43101</v>
      </c>
      <c r="M920" s="21" t="n">
        <f aca="false">D920-C920</f>
        <v>22</v>
      </c>
      <c r="N920" s="21" t="n">
        <f aca="false">MAX(0,D920-E920)</f>
        <v>0</v>
      </c>
      <c r="O920" s="21" t="n">
        <f aca="false">IF(D920&lt;=E920,1,0)</f>
        <v>1</v>
      </c>
      <c r="P920" s="23" t="n">
        <f aca="false">G920+H920</f>
        <v>439.7</v>
      </c>
      <c r="Q920" s="23" t="n">
        <f aca="false">G920*INDEX(Assumptions!$B$8:$B$16,MATCH(F920,Assumptions!$A$8:$A$16,0))</f>
        <v>289.212</v>
      </c>
      <c r="R920" s="23" t="n">
        <f aca="false">H920*Assumptions!$B$3</f>
        <v>15.924</v>
      </c>
      <c r="S920" s="23" t="n">
        <f aca="false">G920-Q920-R920</f>
        <v>108.024</v>
      </c>
      <c r="T920" s="21" t="str">
        <f aca="false">IF(M920&lt;=7,"0-7 days",IF(M920&lt;=14,"8-14 days",IF(M920&lt;=21,"15-21 days","22+ days")))</f>
        <v>22+ days</v>
      </c>
    </row>
    <row r="921" customFormat="false" ht="15" hidden="false" customHeight="false" outlineLevel="0" collapsed="false">
      <c r="A921" s="21" t="s">
        <v>987</v>
      </c>
      <c r="B921" s="21" t="s">
        <v>134</v>
      </c>
      <c r="C921" s="22" t="n">
        <v>43112</v>
      </c>
      <c r="D921" s="22" t="n">
        <v>43125</v>
      </c>
      <c r="E921" s="22" t="n">
        <v>43135</v>
      </c>
      <c r="F921" s="21" t="s">
        <v>59</v>
      </c>
      <c r="G921" s="23" t="n">
        <v>76.89</v>
      </c>
      <c r="H921" s="23" t="n">
        <v>18.8</v>
      </c>
      <c r="I921" s="21" t="s">
        <v>45</v>
      </c>
      <c r="J921" s="21" t="n">
        <v>5</v>
      </c>
      <c r="K921" s="21" t="s">
        <v>46</v>
      </c>
      <c r="L921" s="24" t="n">
        <f aca="false">DATE(YEAR(C921),MONTH(C921),1)</f>
        <v>43101</v>
      </c>
      <c r="M921" s="21" t="n">
        <f aca="false">D921-C921</f>
        <v>13</v>
      </c>
      <c r="N921" s="21" t="n">
        <f aca="false">MAX(0,D921-E921)</f>
        <v>0</v>
      </c>
      <c r="O921" s="21" t="n">
        <f aca="false">IF(D921&lt;=E921,1,0)</f>
        <v>1</v>
      </c>
      <c r="P921" s="23" t="n">
        <f aca="false">G921+H921</f>
        <v>95.69</v>
      </c>
      <c r="Q921" s="23" t="n">
        <f aca="false">G921*INDEX(Assumptions!$B$8:$B$16,MATCH(F921,Assumptions!$A$8:$A$16,0))</f>
        <v>49.2096</v>
      </c>
      <c r="R921" s="23" t="n">
        <f aca="false">H921*Assumptions!$B$3</f>
        <v>11.28</v>
      </c>
      <c r="S921" s="23" t="n">
        <f aca="false">G921-Q921-R921</f>
        <v>16.4004</v>
      </c>
      <c r="T921" s="21" t="str">
        <f aca="false">IF(M921&lt;=7,"0-7 days",IF(M921&lt;=14,"8-14 days",IF(M921&lt;=21,"15-21 days","22+ days")))</f>
        <v>8-14 days</v>
      </c>
    </row>
    <row r="922" customFormat="false" ht="15" hidden="false" customHeight="false" outlineLevel="0" collapsed="false">
      <c r="A922" s="21" t="s">
        <v>988</v>
      </c>
      <c r="B922" s="21" t="s">
        <v>19</v>
      </c>
      <c r="C922" s="22" t="n">
        <v>43112</v>
      </c>
      <c r="D922" s="22" t="n">
        <v>43122</v>
      </c>
      <c r="E922" s="22" t="n">
        <v>43123</v>
      </c>
      <c r="F922" s="21" t="s">
        <v>67</v>
      </c>
      <c r="G922" s="23" t="n">
        <v>62.18</v>
      </c>
      <c r="H922" s="23" t="n">
        <v>20.53</v>
      </c>
      <c r="I922" s="21" t="s">
        <v>45</v>
      </c>
      <c r="J922" s="21" t="n">
        <v>3</v>
      </c>
      <c r="K922" s="21" t="s">
        <v>46</v>
      </c>
      <c r="L922" s="24" t="n">
        <f aca="false">DATE(YEAR(C922),MONTH(C922),1)</f>
        <v>43101</v>
      </c>
      <c r="M922" s="21" t="n">
        <f aca="false">D922-C922</f>
        <v>10</v>
      </c>
      <c r="N922" s="21" t="n">
        <f aca="false">MAX(0,D922-E922)</f>
        <v>0</v>
      </c>
      <c r="O922" s="21" t="n">
        <f aca="false">IF(D922&lt;=E922,1,0)</f>
        <v>1</v>
      </c>
      <c r="P922" s="23" t="n">
        <f aca="false">G922+H922</f>
        <v>82.71</v>
      </c>
      <c r="Q922" s="23" t="n">
        <f aca="false">G922*INDEX(Assumptions!$B$8:$B$16,MATCH(F922,Assumptions!$A$8:$A$16,0))</f>
        <v>38.5516</v>
      </c>
      <c r="R922" s="23" t="n">
        <f aca="false">H922*Assumptions!$B$3</f>
        <v>12.318</v>
      </c>
      <c r="S922" s="23" t="n">
        <f aca="false">G922-Q922-R922</f>
        <v>11.3104</v>
      </c>
      <c r="T922" s="21" t="str">
        <f aca="false">IF(M922&lt;=7,"0-7 days",IF(M922&lt;=14,"8-14 days",IF(M922&lt;=21,"15-21 days","22+ days")))</f>
        <v>8-14 days</v>
      </c>
    </row>
    <row r="923" customFormat="false" ht="15" hidden="false" customHeight="false" outlineLevel="0" collapsed="false">
      <c r="A923" s="21" t="s">
        <v>989</v>
      </c>
      <c r="B923" s="21" t="s">
        <v>62</v>
      </c>
      <c r="C923" s="22" t="n">
        <v>43112</v>
      </c>
      <c r="D923" s="22" t="n">
        <v>43122</v>
      </c>
      <c r="E923" s="22" t="n">
        <v>43132</v>
      </c>
      <c r="F923" s="21" t="s">
        <v>111</v>
      </c>
      <c r="G923" s="23" t="n">
        <v>73.13</v>
      </c>
      <c r="H923" s="23" t="n">
        <v>16.52</v>
      </c>
      <c r="I923" s="21" t="s">
        <v>45</v>
      </c>
      <c r="J923" s="21" t="n">
        <v>4</v>
      </c>
      <c r="K923" s="21" t="s">
        <v>46</v>
      </c>
      <c r="L923" s="24" t="n">
        <f aca="false">DATE(YEAR(C923),MONTH(C923),1)</f>
        <v>43101</v>
      </c>
      <c r="M923" s="21" t="n">
        <f aca="false">D923-C923</f>
        <v>10</v>
      </c>
      <c r="N923" s="21" t="n">
        <f aca="false">MAX(0,D923-E923)</f>
        <v>0</v>
      </c>
      <c r="O923" s="21" t="n">
        <f aca="false">IF(D923&lt;=E923,1,0)</f>
        <v>1</v>
      </c>
      <c r="P923" s="23" t="n">
        <f aca="false">G923+H923</f>
        <v>89.65</v>
      </c>
      <c r="Q923" s="23" t="n">
        <f aca="false">G923*INDEX(Assumptions!$B$8:$B$16,MATCH(F923,Assumptions!$A$8:$A$16,0))</f>
        <v>46.0719</v>
      </c>
      <c r="R923" s="23" t="n">
        <f aca="false">H923*Assumptions!$B$3</f>
        <v>9.912</v>
      </c>
      <c r="S923" s="23" t="n">
        <f aca="false">G923-Q923-R923</f>
        <v>17.1461</v>
      </c>
      <c r="T923" s="21" t="str">
        <f aca="false">IF(M923&lt;=7,"0-7 days",IF(M923&lt;=14,"8-14 days",IF(M923&lt;=21,"15-21 days","22+ days")))</f>
        <v>8-14 days</v>
      </c>
    </row>
    <row r="924" customFormat="false" ht="15" hidden="false" customHeight="false" outlineLevel="0" collapsed="false">
      <c r="A924" s="21" t="s">
        <v>990</v>
      </c>
      <c r="B924" s="21" t="s">
        <v>19</v>
      </c>
      <c r="C924" s="22" t="n">
        <v>43114</v>
      </c>
      <c r="D924" s="22" t="n">
        <v>43119</v>
      </c>
      <c r="E924" s="22" t="n">
        <v>43130</v>
      </c>
      <c r="F924" s="21" t="s">
        <v>67</v>
      </c>
      <c r="G924" s="23" t="n">
        <v>107.6</v>
      </c>
      <c r="H924" s="23" t="n">
        <v>18.43</v>
      </c>
      <c r="I924" s="21" t="s">
        <v>45</v>
      </c>
      <c r="J924" s="21" t="n">
        <v>5</v>
      </c>
      <c r="K924" s="21" t="s">
        <v>46</v>
      </c>
      <c r="L924" s="24" t="n">
        <f aca="false">DATE(YEAR(C924),MONTH(C924),1)</f>
        <v>43101</v>
      </c>
      <c r="M924" s="21" t="n">
        <f aca="false">D924-C924</f>
        <v>5</v>
      </c>
      <c r="N924" s="21" t="n">
        <f aca="false">MAX(0,D924-E924)</f>
        <v>0</v>
      </c>
      <c r="O924" s="21" t="n">
        <f aca="false">IF(D924&lt;=E924,1,0)</f>
        <v>1</v>
      </c>
      <c r="P924" s="23" t="n">
        <f aca="false">G924+H924</f>
        <v>126.03</v>
      </c>
      <c r="Q924" s="23" t="n">
        <f aca="false">G924*INDEX(Assumptions!$B$8:$B$16,MATCH(F924,Assumptions!$A$8:$A$16,0))</f>
        <v>66.712</v>
      </c>
      <c r="R924" s="23" t="n">
        <f aca="false">H924*Assumptions!$B$3</f>
        <v>11.058</v>
      </c>
      <c r="S924" s="23" t="n">
        <f aca="false">G924-Q924-R924</f>
        <v>29.83</v>
      </c>
      <c r="T924" s="21" t="str">
        <f aca="false">IF(M924&lt;=7,"0-7 days",IF(M924&lt;=14,"8-14 days",IF(M924&lt;=21,"15-21 days","22+ days")))</f>
        <v>0-7 days</v>
      </c>
    </row>
    <row r="925" customFormat="false" ht="15" hidden="false" customHeight="false" outlineLevel="0" collapsed="false">
      <c r="A925" s="21" t="s">
        <v>991</v>
      </c>
      <c r="B925" s="21" t="s">
        <v>19</v>
      </c>
      <c r="C925" s="22" t="n">
        <v>43114</v>
      </c>
      <c r="D925" s="22" t="n">
        <v>43135</v>
      </c>
      <c r="E925" s="22" t="n">
        <v>43126</v>
      </c>
      <c r="F925" s="21" t="s">
        <v>53</v>
      </c>
      <c r="G925" s="23" t="n">
        <v>139.5</v>
      </c>
      <c r="H925" s="23" t="n">
        <v>21.74</v>
      </c>
      <c r="I925" s="21" t="s">
        <v>45</v>
      </c>
      <c r="J925" s="21" t="n">
        <v>1</v>
      </c>
      <c r="K925" s="21" t="s">
        <v>46</v>
      </c>
      <c r="L925" s="24" t="n">
        <f aca="false">DATE(YEAR(C925),MONTH(C925),1)</f>
        <v>43101</v>
      </c>
      <c r="M925" s="21" t="n">
        <f aca="false">D925-C925</f>
        <v>21</v>
      </c>
      <c r="N925" s="21" t="n">
        <f aca="false">MAX(0,D925-E925)</f>
        <v>9</v>
      </c>
      <c r="O925" s="21" t="n">
        <f aca="false">IF(D925&lt;=E925,1,0)</f>
        <v>0</v>
      </c>
      <c r="P925" s="23" t="n">
        <f aca="false">G925+H925</f>
        <v>161.24</v>
      </c>
      <c r="Q925" s="23" t="n">
        <f aca="false">G925*INDEX(Assumptions!$B$8:$B$16,MATCH(F925,Assumptions!$A$8:$A$16,0))</f>
        <v>103.23</v>
      </c>
      <c r="R925" s="23" t="n">
        <f aca="false">H925*Assumptions!$B$3</f>
        <v>13.044</v>
      </c>
      <c r="S925" s="23" t="n">
        <f aca="false">G925-Q925-R925</f>
        <v>23.226</v>
      </c>
      <c r="T925" s="21" t="str">
        <f aca="false">IF(M925&lt;=7,"0-7 days",IF(M925&lt;=14,"8-14 days",IF(M925&lt;=21,"15-21 days","22+ days")))</f>
        <v>15-21 days</v>
      </c>
    </row>
    <row r="926" customFormat="false" ht="15" hidden="false" customHeight="false" outlineLevel="0" collapsed="false">
      <c r="A926" s="21" t="s">
        <v>992</v>
      </c>
      <c r="B926" s="21" t="s">
        <v>55</v>
      </c>
      <c r="C926" s="22" t="n">
        <v>43114</v>
      </c>
      <c r="D926" s="22" t="n">
        <v>43125</v>
      </c>
      <c r="E926" s="22" t="n">
        <v>43137</v>
      </c>
      <c r="F926" s="21" t="s">
        <v>53</v>
      </c>
      <c r="G926" s="23" t="n">
        <v>52.04</v>
      </c>
      <c r="H926" s="23" t="n">
        <v>29.85</v>
      </c>
      <c r="I926" s="21" t="s">
        <v>60</v>
      </c>
      <c r="J926" s="21" t="n">
        <v>4</v>
      </c>
      <c r="K926" s="21" t="s">
        <v>46</v>
      </c>
      <c r="L926" s="24" t="n">
        <f aca="false">DATE(YEAR(C926),MONTH(C926),1)</f>
        <v>43101</v>
      </c>
      <c r="M926" s="21" t="n">
        <f aca="false">D926-C926</f>
        <v>11</v>
      </c>
      <c r="N926" s="21" t="n">
        <f aca="false">MAX(0,D926-E926)</f>
        <v>0</v>
      </c>
      <c r="O926" s="21" t="n">
        <f aca="false">IF(D926&lt;=E926,1,0)</f>
        <v>1</v>
      </c>
      <c r="P926" s="23" t="n">
        <f aca="false">G926+H926</f>
        <v>81.89</v>
      </c>
      <c r="Q926" s="23" t="n">
        <f aca="false">G926*INDEX(Assumptions!$B$8:$B$16,MATCH(F926,Assumptions!$A$8:$A$16,0))</f>
        <v>38.5096</v>
      </c>
      <c r="R926" s="23" t="n">
        <f aca="false">H926*Assumptions!$B$3</f>
        <v>17.91</v>
      </c>
      <c r="S926" s="23" t="n">
        <f aca="false">G926-Q926-R926</f>
        <v>-4.3796</v>
      </c>
      <c r="T926" s="21" t="str">
        <f aca="false">IF(M926&lt;=7,"0-7 days",IF(M926&lt;=14,"8-14 days",IF(M926&lt;=21,"15-21 days","22+ days")))</f>
        <v>8-14 days</v>
      </c>
    </row>
    <row r="927" customFormat="false" ht="15" hidden="false" customHeight="false" outlineLevel="0" collapsed="false">
      <c r="A927" s="21" t="s">
        <v>993</v>
      </c>
      <c r="B927" s="21" t="s">
        <v>52</v>
      </c>
      <c r="C927" s="22" t="n">
        <v>43115</v>
      </c>
      <c r="D927" s="22" t="n">
        <v>43127</v>
      </c>
      <c r="E927" s="22" t="n">
        <v>43141</v>
      </c>
      <c r="F927" s="21" t="s">
        <v>53</v>
      </c>
      <c r="G927" s="23" t="n">
        <v>310.22</v>
      </c>
      <c r="H927" s="23" t="n">
        <v>23.62</v>
      </c>
      <c r="I927" s="21" t="s">
        <v>50</v>
      </c>
      <c r="J927" s="21" t="n">
        <v>4</v>
      </c>
      <c r="K927" s="21" t="s">
        <v>46</v>
      </c>
      <c r="L927" s="24" t="n">
        <f aca="false">DATE(YEAR(C927),MONTH(C927),1)</f>
        <v>43101</v>
      </c>
      <c r="M927" s="21" t="n">
        <f aca="false">D927-C927</f>
        <v>12</v>
      </c>
      <c r="N927" s="21" t="n">
        <f aca="false">MAX(0,D927-E927)</f>
        <v>0</v>
      </c>
      <c r="O927" s="21" t="n">
        <f aca="false">IF(D927&lt;=E927,1,0)</f>
        <v>1</v>
      </c>
      <c r="P927" s="23" t="n">
        <f aca="false">G927+H927</f>
        <v>333.84</v>
      </c>
      <c r="Q927" s="23" t="n">
        <f aca="false">G927*INDEX(Assumptions!$B$8:$B$16,MATCH(F927,Assumptions!$A$8:$A$16,0))</f>
        <v>229.5628</v>
      </c>
      <c r="R927" s="23" t="n">
        <f aca="false">H927*Assumptions!$B$3</f>
        <v>14.172</v>
      </c>
      <c r="S927" s="23" t="n">
        <f aca="false">G927-Q927-R927</f>
        <v>66.4852</v>
      </c>
      <c r="T927" s="21" t="str">
        <f aca="false">IF(M927&lt;=7,"0-7 days",IF(M927&lt;=14,"8-14 days",IF(M927&lt;=21,"15-21 days","22+ days")))</f>
        <v>8-14 days</v>
      </c>
    </row>
    <row r="928" customFormat="false" ht="15" hidden="false" customHeight="false" outlineLevel="0" collapsed="false">
      <c r="A928" s="21" t="s">
        <v>994</v>
      </c>
      <c r="B928" s="21" t="s">
        <v>19</v>
      </c>
      <c r="C928" s="22" t="n">
        <v>43115</v>
      </c>
      <c r="D928" s="22" t="n">
        <v>43122</v>
      </c>
      <c r="E928" s="22" t="n">
        <v>43126</v>
      </c>
      <c r="F928" s="21" t="s">
        <v>79</v>
      </c>
      <c r="G928" s="23" t="n">
        <v>139.95</v>
      </c>
      <c r="H928" s="23" t="n">
        <v>21.81</v>
      </c>
      <c r="I928" s="21" t="s">
        <v>45</v>
      </c>
      <c r="J928" s="21" t="n">
        <v>5</v>
      </c>
      <c r="K928" s="21" t="s">
        <v>46</v>
      </c>
      <c r="L928" s="24" t="n">
        <f aca="false">DATE(YEAR(C928),MONTH(C928),1)</f>
        <v>43101</v>
      </c>
      <c r="M928" s="21" t="n">
        <f aca="false">D928-C928</f>
        <v>7</v>
      </c>
      <c r="N928" s="21" t="n">
        <f aca="false">MAX(0,D928-E928)</f>
        <v>0</v>
      </c>
      <c r="O928" s="21" t="n">
        <f aca="false">IF(D928&lt;=E928,1,0)</f>
        <v>1</v>
      </c>
      <c r="P928" s="23" t="n">
        <f aca="false">G928+H928</f>
        <v>161.76</v>
      </c>
      <c r="Q928" s="23" t="n">
        <f aca="false">G928*INDEX(Assumptions!$B$8:$B$16,MATCH(F928,Assumptions!$A$8:$A$16,0))</f>
        <v>97.965</v>
      </c>
      <c r="R928" s="23" t="n">
        <f aca="false">H928*Assumptions!$B$3</f>
        <v>13.086</v>
      </c>
      <c r="S928" s="23" t="n">
        <f aca="false">G928-Q928-R928</f>
        <v>28.899</v>
      </c>
      <c r="T928" s="21" t="str">
        <f aca="false">IF(M928&lt;=7,"0-7 days",IF(M928&lt;=14,"8-14 days",IF(M928&lt;=21,"15-21 days","22+ days")))</f>
        <v>0-7 days</v>
      </c>
    </row>
    <row r="929" customFormat="false" ht="15" hidden="false" customHeight="false" outlineLevel="0" collapsed="false">
      <c r="A929" s="21" t="s">
        <v>995</v>
      </c>
      <c r="B929" s="21" t="s">
        <v>19</v>
      </c>
      <c r="C929" s="22" t="n">
        <v>43115</v>
      </c>
      <c r="D929" s="22" t="n">
        <v>43131</v>
      </c>
      <c r="E929" s="22" t="n">
        <v>43133</v>
      </c>
      <c r="F929" s="21" t="s">
        <v>49</v>
      </c>
      <c r="G929" s="23" t="n">
        <v>106.39</v>
      </c>
      <c r="H929" s="23" t="n">
        <v>22.62</v>
      </c>
      <c r="I929" s="21" t="s">
        <v>60</v>
      </c>
      <c r="J929" s="21" t="n">
        <v>5</v>
      </c>
      <c r="K929" s="21" t="s">
        <v>46</v>
      </c>
      <c r="L929" s="24" t="n">
        <f aca="false">DATE(YEAR(C929),MONTH(C929),1)</f>
        <v>43101</v>
      </c>
      <c r="M929" s="21" t="n">
        <f aca="false">D929-C929</f>
        <v>16</v>
      </c>
      <c r="N929" s="21" t="n">
        <f aca="false">MAX(0,D929-E929)</f>
        <v>0</v>
      </c>
      <c r="O929" s="21" t="n">
        <f aca="false">IF(D929&lt;=E929,1,0)</f>
        <v>1</v>
      </c>
      <c r="P929" s="23" t="n">
        <f aca="false">G929+H929</f>
        <v>129.01</v>
      </c>
      <c r="Q929" s="23" t="n">
        <f aca="false">G929*INDEX(Assumptions!$B$8:$B$16,MATCH(F929,Assumptions!$A$8:$A$16,0))</f>
        <v>61.7062</v>
      </c>
      <c r="R929" s="23" t="n">
        <f aca="false">H929*Assumptions!$B$3</f>
        <v>13.572</v>
      </c>
      <c r="S929" s="23" t="n">
        <f aca="false">G929-Q929-R929</f>
        <v>31.1118</v>
      </c>
      <c r="T929" s="21" t="str">
        <f aca="false">IF(M929&lt;=7,"0-7 days",IF(M929&lt;=14,"8-14 days",IF(M929&lt;=21,"15-21 days","22+ days")))</f>
        <v>15-21 days</v>
      </c>
    </row>
    <row r="930" customFormat="false" ht="15" hidden="false" customHeight="false" outlineLevel="0" collapsed="false">
      <c r="A930" s="21" t="s">
        <v>996</v>
      </c>
      <c r="B930" s="21" t="s">
        <v>62</v>
      </c>
      <c r="C930" s="22" t="n">
        <v>43116</v>
      </c>
      <c r="D930" s="22" t="n">
        <v>43131</v>
      </c>
      <c r="E930" s="22" t="n">
        <v>43137</v>
      </c>
      <c r="F930" s="21" t="s">
        <v>67</v>
      </c>
      <c r="G930" s="23" t="n">
        <v>85.29</v>
      </c>
      <c r="H930" s="23" t="n">
        <v>26.81</v>
      </c>
      <c r="I930" s="21" t="s">
        <v>60</v>
      </c>
      <c r="J930" s="21" t="n">
        <v>4</v>
      </c>
      <c r="K930" s="21" t="s">
        <v>46</v>
      </c>
      <c r="L930" s="24" t="n">
        <f aca="false">DATE(YEAR(C930),MONTH(C930),1)</f>
        <v>43101</v>
      </c>
      <c r="M930" s="21" t="n">
        <f aca="false">D930-C930</f>
        <v>15</v>
      </c>
      <c r="N930" s="21" t="n">
        <f aca="false">MAX(0,D930-E930)</f>
        <v>0</v>
      </c>
      <c r="O930" s="21" t="n">
        <f aca="false">IF(D930&lt;=E930,1,0)</f>
        <v>1</v>
      </c>
      <c r="P930" s="23" t="n">
        <f aca="false">G930+H930</f>
        <v>112.1</v>
      </c>
      <c r="Q930" s="23" t="n">
        <f aca="false">G930*INDEX(Assumptions!$B$8:$B$16,MATCH(F930,Assumptions!$A$8:$A$16,0))</f>
        <v>52.8798</v>
      </c>
      <c r="R930" s="23" t="n">
        <f aca="false">H930*Assumptions!$B$3</f>
        <v>16.086</v>
      </c>
      <c r="S930" s="23" t="n">
        <f aca="false">G930-Q930-R930</f>
        <v>16.3242</v>
      </c>
      <c r="T930" s="21" t="str">
        <f aca="false">IF(M930&lt;=7,"0-7 days",IF(M930&lt;=14,"8-14 days",IF(M930&lt;=21,"15-21 days","22+ days")))</f>
        <v>15-21 days</v>
      </c>
    </row>
    <row r="931" customFormat="false" ht="15" hidden="false" customHeight="false" outlineLevel="0" collapsed="false">
      <c r="A931" s="21" t="s">
        <v>997</v>
      </c>
      <c r="B931" s="21" t="s">
        <v>62</v>
      </c>
      <c r="C931" s="22" t="n">
        <v>43116</v>
      </c>
      <c r="D931" s="22" t="n">
        <v>43126</v>
      </c>
      <c r="E931" s="22" t="n">
        <v>43136</v>
      </c>
      <c r="F931" s="21" t="s">
        <v>64</v>
      </c>
      <c r="G931" s="23" t="n">
        <v>376.19</v>
      </c>
      <c r="H931" s="23" t="n">
        <v>33.21</v>
      </c>
      <c r="I931" s="21" t="s">
        <v>60</v>
      </c>
      <c r="J931" s="21" t="n">
        <v>5</v>
      </c>
      <c r="K931" s="21" t="s">
        <v>46</v>
      </c>
      <c r="L931" s="24" t="n">
        <f aca="false">DATE(YEAR(C931),MONTH(C931),1)</f>
        <v>43101</v>
      </c>
      <c r="M931" s="21" t="n">
        <f aca="false">D931-C931</f>
        <v>10</v>
      </c>
      <c r="N931" s="21" t="n">
        <f aca="false">MAX(0,D931-E931)</f>
        <v>0</v>
      </c>
      <c r="O931" s="21" t="n">
        <f aca="false">IF(D931&lt;=E931,1,0)</f>
        <v>1</v>
      </c>
      <c r="P931" s="23" t="n">
        <f aca="false">G931+H931</f>
        <v>409.4</v>
      </c>
      <c r="Q931" s="23" t="n">
        <f aca="false">G931*INDEX(Assumptions!$B$8:$B$16,MATCH(F931,Assumptions!$A$8:$A$16,0))</f>
        <v>248.2854</v>
      </c>
      <c r="R931" s="23" t="n">
        <f aca="false">H931*Assumptions!$B$3</f>
        <v>19.926</v>
      </c>
      <c r="S931" s="23" t="n">
        <f aca="false">G931-Q931-R931</f>
        <v>107.9786</v>
      </c>
      <c r="T931" s="21" t="str">
        <f aca="false">IF(M931&lt;=7,"0-7 days",IF(M931&lt;=14,"8-14 days",IF(M931&lt;=21,"15-21 days","22+ days")))</f>
        <v>8-14 days</v>
      </c>
    </row>
    <row r="932" customFormat="false" ht="15" hidden="false" customHeight="false" outlineLevel="0" collapsed="false">
      <c r="A932" s="21" t="s">
        <v>998</v>
      </c>
      <c r="B932" s="21" t="s">
        <v>62</v>
      </c>
      <c r="C932" s="22" t="n">
        <v>43117</v>
      </c>
      <c r="D932" s="22" t="n">
        <v>43130</v>
      </c>
      <c r="E932" s="22" t="n">
        <v>43136</v>
      </c>
      <c r="F932" s="21" t="s">
        <v>49</v>
      </c>
      <c r="G932" s="23" t="n">
        <v>104.98</v>
      </c>
      <c r="H932" s="23" t="n">
        <v>26.5</v>
      </c>
      <c r="I932" s="21" t="s">
        <v>45</v>
      </c>
      <c r="J932" s="21" t="n">
        <v>5</v>
      </c>
      <c r="K932" s="21" t="s">
        <v>46</v>
      </c>
      <c r="L932" s="24" t="n">
        <f aca="false">DATE(YEAR(C932),MONTH(C932),1)</f>
        <v>43101</v>
      </c>
      <c r="M932" s="21" t="n">
        <f aca="false">D932-C932</f>
        <v>13</v>
      </c>
      <c r="N932" s="21" t="n">
        <f aca="false">MAX(0,D932-E932)</f>
        <v>0</v>
      </c>
      <c r="O932" s="21" t="n">
        <f aca="false">IF(D932&lt;=E932,1,0)</f>
        <v>1</v>
      </c>
      <c r="P932" s="23" t="n">
        <f aca="false">G932+H932</f>
        <v>131.48</v>
      </c>
      <c r="Q932" s="23" t="n">
        <f aca="false">G932*INDEX(Assumptions!$B$8:$B$16,MATCH(F932,Assumptions!$A$8:$A$16,0))</f>
        <v>60.8884</v>
      </c>
      <c r="R932" s="23" t="n">
        <f aca="false">H932*Assumptions!$B$3</f>
        <v>15.9</v>
      </c>
      <c r="S932" s="23" t="n">
        <f aca="false">G932-Q932-R932</f>
        <v>28.1916</v>
      </c>
      <c r="T932" s="21" t="str">
        <f aca="false">IF(M932&lt;=7,"0-7 days",IF(M932&lt;=14,"8-14 days",IF(M932&lt;=21,"15-21 days","22+ days")))</f>
        <v>8-14 days</v>
      </c>
    </row>
    <row r="933" customFormat="false" ht="15" hidden="false" customHeight="false" outlineLevel="0" collapsed="false">
      <c r="A933" s="21" t="s">
        <v>999</v>
      </c>
      <c r="B933" s="21" t="s">
        <v>19</v>
      </c>
      <c r="C933" s="22" t="n">
        <v>43118</v>
      </c>
      <c r="D933" s="22" t="n">
        <v>43129</v>
      </c>
      <c r="E933" s="22" t="n">
        <v>43135</v>
      </c>
      <c r="F933" s="21" t="s">
        <v>79</v>
      </c>
      <c r="G933" s="23" t="n">
        <v>108.85</v>
      </c>
      <c r="H933" s="23" t="n">
        <v>14.86</v>
      </c>
      <c r="I933" s="21" t="s">
        <v>104</v>
      </c>
      <c r="J933" s="21" t="n">
        <v>2</v>
      </c>
      <c r="K933" s="21" t="s">
        <v>46</v>
      </c>
      <c r="L933" s="24" t="n">
        <f aca="false">DATE(YEAR(C933),MONTH(C933),1)</f>
        <v>43101</v>
      </c>
      <c r="M933" s="21" t="n">
        <f aca="false">D933-C933</f>
        <v>11</v>
      </c>
      <c r="N933" s="21" t="n">
        <f aca="false">MAX(0,D933-E933)</f>
        <v>0</v>
      </c>
      <c r="O933" s="21" t="n">
        <f aca="false">IF(D933&lt;=E933,1,0)</f>
        <v>1</v>
      </c>
      <c r="P933" s="23" t="n">
        <f aca="false">G933+H933</f>
        <v>123.71</v>
      </c>
      <c r="Q933" s="23" t="n">
        <f aca="false">G933*INDEX(Assumptions!$B$8:$B$16,MATCH(F933,Assumptions!$A$8:$A$16,0))</f>
        <v>76.195</v>
      </c>
      <c r="R933" s="23" t="n">
        <f aca="false">H933*Assumptions!$B$3</f>
        <v>8.916</v>
      </c>
      <c r="S933" s="23" t="n">
        <f aca="false">G933-Q933-R933</f>
        <v>23.739</v>
      </c>
      <c r="T933" s="21" t="str">
        <f aca="false">IF(M933&lt;=7,"0-7 days",IF(M933&lt;=14,"8-14 days",IF(M933&lt;=21,"15-21 days","22+ days")))</f>
        <v>8-14 days</v>
      </c>
    </row>
    <row r="934" customFormat="false" ht="15" hidden="false" customHeight="false" outlineLevel="0" collapsed="false">
      <c r="A934" s="21" t="s">
        <v>1000</v>
      </c>
      <c r="B934" s="21" t="s">
        <v>62</v>
      </c>
      <c r="C934" s="22" t="n">
        <v>43118</v>
      </c>
      <c r="D934" s="22" t="n">
        <v>43127</v>
      </c>
      <c r="E934" s="22" t="n">
        <v>43142</v>
      </c>
      <c r="F934" s="21" t="s">
        <v>59</v>
      </c>
      <c r="G934" s="23" t="n">
        <v>31.55</v>
      </c>
      <c r="H934" s="23" t="n">
        <v>18.74</v>
      </c>
      <c r="I934" s="21" t="s">
        <v>45</v>
      </c>
      <c r="J934" s="21" t="n">
        <v>5</v>
      </c>
      <c r="K934" s="21" t="s">
        <v>46</v>
      </c>
      <c r="L934" s="24" t="n">
        <f aca="false">DATE(YEAR(C934),MONTH(C934),1)</f>
        <v>43101</v>
      </c>
      <c r="M934" s="21" t="n">
        <f aca="false">D934-C934</f>
        <v>9</v>
      </c>
      <c r="N934" s="21" t="n">
        <f aca="false">MAX(0,D934-E934)</f>
        <v>0</v>
      </c>
      <c r="O934" s="21" t="n">
        <f aca="false">IF(D934&lt;=E934,1,0)</f>
        <v>1</v>
      </c>
      <c r="P934" s="23" t="n">
        <f aca="false">G934+H934</f>
        <v>50.29</v>
      </c>
      <c r="Q934" s="23" t="n">
        <f aca="false">G934*INDEX(Assumptions!$B$8:$B$16,MATCH(F934,Assumptions!$A$8:$A$16,0))</f>
        <v>20.192</v>
      </c>
      <c r="R934" s="23" t="n">
        <f aca="false">H934*Assumptions!$B$3</f>
        <v>11.244</v>
      </c>
      <c r="S934" s="23" t="n">
        <f aca="false">G934-Q934-R934</f>
        <v>0.114000000000003</v>
      </c>
      <c r="T934" s="21" t="str">
        <f aca="false">IF(M934&lt;=7,"0-7 days",IF(M934&lt;=14,"8-14 days",IF(M934&lt;=21,"15-21 days","22+ days")))</f>
        <v>8-14 days</v>
      </c>
    </row>
    <row r="935" customFormat="false" ht="15" hidden="false" customHeight="false" outlineLevel="0" collapsed="false">
      <c r="A935" s="21" t="s">
        <v>1001</v>
      </c>
      <c r="B935" s="21" t="s">
        <v>19</v>
      </c>
      <c r="C935" s="22" t="n">
        <v>43118</v>
      </c>
      <c r="D935" s="22" t="n">
        <v>43129</v>
      </c>
      <c r="E935" s="22" t="n">
        <v>43132</v>
      </c>
      <c r="F935" s="21" t="s">
        <v>64</v>
      </c>
      <c r="G935" s="23" t="n">
        <v>41.77</v>
      </c>
      <c r="H935" s="23" t="n">
        <v>17.64</v>
      </c>
      <c r="I935" s="21" t="s">
        <v>45</v>
      </c>
      <c r="J935" s="21" t="n">
        <v>5</v>
      </c>
      <c r="K935" s="21" t="s">
        <v>46</v>
      </c>
      <c r="L935" s="24" t="n">
        <f aca="false">DATE(YEAR(C935),MONTH(C935),1)</f>
        <v>43101</v>
      </c>
      <c r="M935" s="21" t="n">
        <f aca="false">D935-C935</f>
        <v>11</v>
      </c>
      <c r="N935" s="21" t="n">
        <f aca="false">MAX(0,D935-E935)</f>
        <v>0</v>
      </c>
      <c r="O935" s="21" t="n">
        <f aca="false">IF(D935&lt;=E935,1,0)</f>
        <v>1</v>
      </c>
      <c r="P935" s="23" t="n">
        <f aca="false">G935+H935</f>
        <v>59.41</v>
      </c>
      <c r="Q935" s="23" t="n">
        <f aca="false">G935*INDEX(Assumptions!$B$8:$B$16,MATCH(F935,Assumptions!$A$8:$A$16,0))</f>
        <v>27.5682</v>
      </c>
      <c r="R935" s="23" t="n">
        <f aca="false">H935*Assumptions!$B$3</f>
        <v>10.584</v>
      </c>
      <c r="S935" s="23" t="n">
        <f aca="false">G935-Q935-R935</f>
        <v>3.6178</v>
      </c>
      <c r="T935" s="21" t="str">
        <f aca="false">IF(M935&lt;=7,"0-7 days",IF(M935&lt;=14,"8-14 days",IF(M935&lt;=21,"15-21 days","22+ days")))</f>
        <v>8-14 days</v>
      </c>
    </row>
    <row r="936" customFormat="false" ht="15" hidden="false" customHeight="false" outlineLevel="0" collapsed="false">
      <c r="A936" s="21" t="s">
        <v>1002</v>
      </c>
      <c r="B936" s="21" t="s">
        <v>55</v>
      </c>
      <c r="C936" s="22" t="n">
        <v>43118</v>
      </c>
      <c r="D936" s="22" t="n">
        <v>43133</v>
      </c>
      <c r="E936" s="22" t="n">
        <v>43143</v>
      </c>
      <c r="F936" s="21" t="s">
        <v>44</v>
      </c>
      <c r="G936" s="23" t="n">
        <v>66.78</v>
      </c>
      <c r="H936" s="23" t="n">
        <v>20.57</v>
      </c>
      <c r="I936" s="21" t="s">
        <v>45</v>
      </c>
      <c r="J936" s="21" t="n">
        <v>4</v>
      </c>
      <c r="K936" s="21" t="s">
        <v>46</v>
      </c>
      <c r="L936" s="24" t="n">
        <f aca="false">DATE(YEAR(C936),MONTH(C936),1)</f>
        <v>43101</v>
      </c>
      <c r="M936" s="21" t="n">
        <f aca="false">D936-C936</f>
        <v>15</v>
      </c>
      <c r="N936" s="21" t="n">
        <f aca="false">MAX(0,D936-E936)</f>
        <v>0</v>
      </c>
      <c r="O936" s="21" t="n">
        <f aca="false">IF(D936&lt;=E936,1,0)</f>
        <v>1</v>
      </c>
      <c r="P936" s="23" t="n">
        <f aca="false">G936+H936</f>
        <v>87.35</v>
      </c>
      <c r="Q936" s="23" t="n">
        <f aca="false">G936*INDEX(Assumptions!$B$8:$B$16,MATCH(F936,Assumptions!$A$8:$A$16,0))</f>
        <v>40.068</v>
      </c>
      <c r="R936" s="23" t="n">
        <f aca="false">H936*Assumptions!$B$3</f>
        <v>12.342</v>
      </c>
      <c r="S936" s="23" t="n">
        <f aca="false">G936-Q936-R936</f>
        <v>14.37</v>
      </c>
      <c r="T936" s="21" t="str">
        <f aca="false">IF(M936&lt;=7,"0-7 days",IF(M936&lt;=14,"8-14 days",IF(M936&lt;=21,"15-21 days","22+ days")))</f>
        <v>15-21 days</v>
      </c>
    </row>
    <row r="937" customFormat="false" ht="15" hidden="false" customHeight="false" outlineLevel="0" collapsed="false">
      <c r="A937" s="21" t="s">
        <v>1003</v>
      </c>
      <c r="B937" s="21" t="s">
        <v>19</v>
      </c>
      <c r="C937" s="22" t="n">
        <v>43119</v>
      </c>
      <c r="D937" s="22" t="n">
        <v>43126</v>
      </c>
      <c r="E937" s="22" t="n">
        <v>43136</v>
      </c>
      <c r="F937" s="21" t="s">
        <v>111</v>
      </c>
      <c r="G937" s="23" t="n">
        <v>58.66</v>
      </c>
      <c r="H937" s="23" t="n">
        <v>18.32</v>
      </c>
      <c r="I937" s="21" t="s">
        <v>60</v>
      </c>
      <c r="J937" s="21" t="n">
        <v>4</v>
      </c>
      <c r="K937" s="21" t="s">
        <v>46</v>
      </c>
      <c r="L937" s="24" t="n">
        <f aca="false">DATE(YEAR(C937),MONTH(C937),1)</f>
        <v>43101</v>
      </c>
      <c r="M937" s="21" t="n">
        <f aca="false">D937-C937</f>
        <v>7</v>
      </c>
      <c r="N937" s="21" t="n">
        <f aca="false">MAX(0,D937-E937)</f>
        <v>0</v>
      </c>
      <c r="O937" s="21" t="n">
        <f aca="false">IF(D937&lt;=E937,1,0)</f>
        <v>1</v>
      </c>
      <c r="P937" s="23" t="n">
        <f aca="false">G937+H937</f>
        <v>76.98</v>
      </c>
      <c r="Q937" s="23" t="n">
        <f aca="false">G937*INDEX(Assumptions!$B$8:$B$16,MATCH(F937,Assumptions!$A$8:$A$16,0))</f>
        <v>36.9558</v>
      </c>
      <c r="R937" s="23" t="n">
        <f aca="false">H937*Assumptions!$B$3</f>
        <v>10.992</v>
      </c>
      <c r="S937" s="23" t="n">
        <f aca="false">G937-Q937-R937</f>
        <v>10.7122</v>
      </c>
      <c r="T937" s="21" t="str">
        <f aca="false">IF(M937&lt;=7,"0-7 days",IF(M937&lt;=14,"8-14 days",IF(M937&lt;=21,"15-21 days","22+ days")))</f>
        <v>0-7 days</v>
      </c>
    </row>
    <row r="938" customFormat="false" ht="15" hidden="false" customHeight="false" outlineLevel="0" collapsed="false">
      <c r="A938" s="21" t="s">
        <v>1004</v>
      </c>
      <c r="B938" s="21" t="s">
        <v>19</v>
      </c>
      <c r="C938" s="22" t="n">
        <v>43119</v>
      </c>
      <c r="D938" s="22" t="n">
        <v>43125</v>
      </c>
      <c r="E938" s="22" t="n">
        <v>43136</v>
      </c>
      <c r="F938" s="21" t="s">
        <v>53</v>
      </c>
      <c r="G938" s="23" t="n">
        <v>66.28</v>
      </c>
      <c r="H938" s="23" t="n">
        <v>15.48</v>
      </c>
      <c r="I938" s="21" t="s">
        <v>45</v>
      </c>
      <c r="J938" s="21" t="n">
        <v>4</v>
      </c>
      <c r="K938" s="21" t="s">
        <v>46</v>
      </c>
      <c r="L938" s="24" t="n">
        <f aca="false">DATE(YEAR(C938),MONTH(C938),1)</f>
        <v>43101</v>
      </c>
      <c r="M938" s="21" t="n">
        <f aca="false">D938-C938</f>
        <v>6</v>
      </c>
      <c r="N938" s="21" t="n">
        <f aca="false">MAX(0,D938-E938)</f>
        <v>0</v>
      </c>
      <c r="O938" s="21" t="n">
        <f aca="false">IF(D938&lt;=E938,1,0)</f>
        <v>1</v>
      </c>
      <c r="P938" s="23" t="n">
        <f aca="false">G938+H938</f>
        <v>81.76</v>
      </c>
      <c r="Q938" s="23" t="n">
        <f aca="false">G938*INDEX(Assumptions!$B$8:$B$16,MATCH(F938,Assumptions!$A$8:$A$16,0))</f>
        <v>49.0472</v>
      </c>
      <c r="R938" s="23" t="n">
        <f aca="false">H938*Assumptions!$B$3</f>
        <v>9.288</v>
      </c>
      <c r="S938" s="23" t="n">
        <f aca="false">G938-Q938-R938</f>
        <v>7.9448</v>
      </c>
      <c r="T938" s="21" t="str">
        <f aca="false">IF(M938&lt;=7,"0-7 days",IF(M938&lt;=14,"8-14 days",IF(M938&lt;=21,"15-21 days","22+ days")))</f>
        <v>0-7 days</v>
      </c>
    </row>
    <row r="939" customFormat="false" ht="15" hidden="false" customHeight="false" outlineLevel="0" collapsed="false">
      <c r="A939" s="21" t="s">
        <v>1005</v>
      </c>
      <c r="B939" s="21" t="s">
        <v>19</v>
      </c>
      <c r="C939" s="22" t="n">
        <v>43120</v>
      </c>
      <c r="D939" s="22" t="n">
        <v>43129</v>
      </c>
      <c r="E939" s="22" t="n">
        <v>43134</v>
      </c>
      <c r="F939" s="21" t="s">
        <v>79</v>
      </c>
      <c r="G939" s="23" t="n">
        <v>82.71</v>
      </c>
      <c r="H939" s="23" t="n">
        <v>15.09</v>
      </c>
      <c r="I939" s="21" t="s">
        <v>45</v>
      </c>
      <c r="J939" s="21" t="n">
        <v>5</v>
      </c>
      <c r="K939" s="21" t="s">
        <v>46</v>
      </c>
      <c r="L939" s="24" t="n">
        <f aca="false">DATE(YEAR(C939),MONTH(C939),1)</f>
        <v>43101</v>
      </c>
      <c r="M939" s="21" t="n">
        <f aca="false">D939-C939</f>
        <v>9</v>
      </c>
      <c r="N939" s="21" t="n">
        <f aca="false">MAX(0,D939-E939)</f>
        <v>0</v>
      </c>
      <c r="O939" s="21" t="n">
        <f aca="false">IF(D939&lt;=E939,1,0)</f>
        <v>1</v>
      </c>
      <c r="P939" s="23" t="n">
        <f aca="false">G939+H939</f>
        <v>97.8</v>
      </c>
      <c r="Q939" s="23" t="n">
        <f aca="false">G939*INDEX(Assumptions!$B$8:$B$16,MATCH(F939,Assumptions!$A$8:$A$16,0))</f>
        <v>57.897</v>
      </c>
      <c r="R939" s="23" t="n">
        <f aca="false">H939*Assumptions!$B$3</f>
        <v>9.054</v>
      </c>
      <c r="S939" s="23" t="n">
        <f aca="false">G939-Q939-R939</f>
        <v>15.759</v>
      </c>
      <c r="T939" s="21" t="str">
        <f aca="false">IF(M939&lt;=7,"0-7 days",IF(M939&lt;=14,"8-14 days",IF(M939&lt;=21,"15-21 days","22+ days")))</f>
        <v>8-14 days</v>
      </c>
    </row>
    <row r="940" customFormat="false" ht="15" hidden="false" customHeight="false" outlineLevel="0" collapsed="false">
      <c r="A940" s="21" t="s">
        <v>1006</v>
      </c>
      <c r="B940" s="21" t="s">
        <v>19</v>
      </c>
      <c r="C940" s="22" t="n">
        <v>43120</v>
      </c>
      <c r="D940" s="22" t="n">
        <v>43128</v>
      </c>
      <c r="E940" s="22" t="n">
        <v>43135</v>
      </c>
      <c r="F940" s="21" t="s">
        <v>44</v>
      </c>
      <c r="G940" s="23" t="n">
        <v>48.05</v>
      </c>
      <c r="H940" s="23" t="n">
        <v>14.24</v>
      </c>
      <c r="I940" s="21" t="s">
        <v>60</v>
      </c>
      <c r="J940" s="21" t="n">
        <v>5</v>
      </c>
      <c r="K940" s="21" t="s">
        <v>46</v>
      </c>
      <c r="L940" s="24" t="n">
        <f aca="false">DATE(YEAR(C940),MONTH(C940),1)</f>
        <v>43101</v>
      </c>
      <c r="M940" s="21" t="n">
        <f aca="false">D940-C940</f>
        <v>8</v>
      </c>
      <c r="N940" s="21" t="n">
        <f aca="false">MAX(0,D940-E940)</f>
        <v>0</v>
      </c>
      <c r="O940" s="21" t="n">
        <f aca="false">IF(D940&lt;=E940,1,0)</f>
        <v>1</v>
      </c>
      <c r="P940" s="23" t="n">
        <f aca="false">G940+H940</f>
        <v>62.29</v>
      </c>
      <c r="Q940" s="23" t="n">
        <f aca="false">G940*INDEX(Assumptions!$B$8:$B$16,MATCH(F940,Assumptions!$A$8:$A$16,0))</f>
        <v>28.83</v>
      </c>
      <c r="R940" s="23" t="n">
        <f aca="false">H940*Assumptions!$B$3</f>
        <v>8.544</v>
      </c>
      <c r="S940" s="23" t="n">
        <f aca="false">G940-Q940-R940</f>
        <v>10.676</v>
      </c>
      <c r="T940" s="21" t="str">
        <f aca="false">IF(M940&lt;=7,"0-7 days",IF(M940&lt;=14,"8-14 days",IF(M940&lt;=21,"15-21 days","22+ days")))</f>
        <v>8-14 days</v>
      </c>
    </row>
    <row r="941" customFormat="false" ht="15" hidden="false" customHeight="false" outlineLevel="0" collapsed="false">
      <c r="A941" s="21" t="s">
        <v>1007</v>
      </c>
      <c r="B941" s="21" t="s">
        <v>55</v>
      </c>
      <c r="C941" s="22" t="n">
        <v>43120</v>
      </c>
      <c r="D941" s="22" t="n">
        <v>43136</v>
      </c>
      <c r="E941" s="22" t="n">
        <v>43142</v>
      </c>
      <c r="F941" s="21" t="s">
        <v>53</v>
      </c>
      <c r="G941" s="23" t="n">
        <v>38.84</v>
      </c>
      <c r="H941" s="23" t="n">
        <v>16.02</v>
      </c>
      <c r="I941" s="21" t="s">
        <v>60</v>
      </c>
      <c r="J941" s="21" t="n">
        <v>4</v>
      </c>
      <c r="K941" s="21" t="s">
        <v>46</v>
      </c>
      <c r="L941" s="24" t="n">
        <f aca="false">DATE(YEAR(C941),MONTH(C941),1)</f>
        <v>43101</v>
      </c>
      <c r="M941" s="21" t="n">
        <f aca="false">D941-C941</f>
        <v>16</v>
      </c>
      <c r="N941" s="21" t="n">
        <f aca="false">MAX(0,D941-E941)</f>
        <v>0</v>
      </c>
      <c r="O941" s="21" t="n">
        <f aca="false">IF(D941&lt;=E941,1,0)</f>
        <v>1</v>
      </c>
      <c r="P941" s="23" t="n">
        <f aca="false">G941+H941</f>
        <v>54.86</v>
      </c>
      <c r="Q941" s="23" t="n">
        <f aca="false">G941*INDEX(Assumptions!$B$8:$B$16,MATCH(F941,Assumptions!$A$8:$A$16,0))</f>
        <v>28.7416</v>
      </c>
      <c r="R941" s="23" t="n">
        <f aca="false">H941*Assumptions!$B$3</f>
        <v>9.612</v>
      </c>
      <c r="S941" s="23" t="n">
        <f aca="false">G941-Q941-R941</f>
        <v>0.486400000000002</v>
      </c>
      <c r="T941" s="21" t="str">
        <f aca="false">IF(M941&lt;=7,"0-7 days",IF(M941&lt;=14,"8-14 days",IF(M941&lt;=21,"15-21 days","22+ days")))</f>
        <v>15-21 days</v>
      </c>
    </row>
    <row r="942" customFormat="false" ht="15" hidden="false" customHeight="false" outlineLevel="0" collapsed="false">
      <c r="A942" s="21" t="s">
        <v>1008</v>
      </c>
      <c r="B942" s="21" t="s">
        <v>19</v>
      </c>
      <c r="C942" s="22" t="n">
        <v>43120</v>
      </c>
      <c r="D942" s="22" t="n">
        <v>43127</v>
      </c>
      <c r="E942" s="22" t="n">
        <v>43134</v>
      </c>
      <c r="F942" s="21" t="s">
        <v>53</v>
      </c>
      <c r="G942" s="23" t="n">
        <v>189.19</v>
      </c>
      <c r="H942" s="23" t="n">
        <v>23.12</v>
      </c>
      <c r="I942" s="21" t="s">
        <v>60</v>
      </c>
      <c r="J942" s="21" t="n">
        <v>4</v>
      </c>
      <c r="K942" s="21" t="s">
        <v>46</v>
      </c>
      <c r="L942" s="24" t="n">
        <f aca="false">DATE(YEAR(C942),MONTH(C942),1)</f>
        <v>43101</v>
      </c>
      <c r="M942" s="21" t="n">
        <f aca="false">D942-C942</f>
        <v>7</v>
      </c>
      <c r="N942" s="21" t="n">
        <f aca="false">MAX(0,D942-E942)</f>
        <v>0</v>
      </c>
      <c r="O942" s="21" t="n">
        <f aca="false">IF(D942&lt;=E942,1,0)</f>
        <v>1</v>
      </c>
      <c r="P942" s="23" t="n">
        <f aca="false">G942+H942</f>
        <v>212.31</v>
      </c>
      <c r="Q942" s="23" t="n">
        <f aca="false">G942*INDEX(Assumptions!$B$8:$B$16,MATCH(F942,Assumptions!$A$8:$A$16,0))</f>
        <v>140.0006</v>
      </c>
      <c r="R942" s="23" t="n">
        <f aca="false">H942*Assumptions!$B$3</f>
        <v>13.872</v>
      </c>
      <c r="S942" s="23" t="n">
        <f aca="false">G942-Q942-R942</f>
        <v>35.3174</v>
      </c>
      <c r="T942" s="21" t="str">
        <f aca="false">IF(M942&lt;=7,"0-7 days",IF(M942&lt;=14,"8-14 days",IF(M942&lt;=21,"15-21 days","22+ days")))</f>
        <v>0-7 days</v>
      </c>
    </row>
    <row r="943" customFormat="false" ht="15" hidden="false" customHeight="false" outlineLevel="0" collapsed="false">
      <c r="A943" s="21" t="s">
        <v>1009</v>
      </c>
      <c r="B943" s="21" t="s">
        <v>52</v>
      </c>
      <c r="C943" s="22" t="n">
        <v>43120</v>
      </c>
      <c r="D943" s="22" t="n">
        <v>43134</v>
      </c>
      <c r="E943" s="22" t="n">
        <v>43143</v>
      </c>
      <c r="F943" s="21" t="s">
        <v>111</v>
      </c>
      <c r="G943" s="23" t="n">
        <v>55.86</v>
      </c>
      <c r="H943" s="23" t="n">
        <v>21.72</v>
      </c>
      <c r="I943" s="21" t="s">
        <v>50</v>
      </c>
      <c r="J943" s="21" t="n">
        <v>5</v>
      </c>
      <c r="K943" s="21" t="s">
        <v>46</v>
      </c>
      <c r="L943" s="24" t="n">
        <f aca="false">DATE(YEAR(C943),MONTH(C943),1)</f>
        <v>43101</v>
      </c>
      <c r="M943" s="21" t="n">
        <f aca="false">D943-C943</f>
        <v>14</v>
      </c>
      <c r="N943" s="21" t="n">
        <f aca="false">MAX(0,D943-E943)</f>
        <v>0</v>
      </c>
      <c r="O943" s="21" t="n">
        <f aca="false">IF(D943&lt;=E943,1,0)</f>
        <v>1</v>
      </c>
      <c r="P943" s="23" t="n">
        <f aca="false">G943+H943</f>
        <v>77.58</v>
      </c>
      <c r="Q943" s="23" t="n">
        <f aca="false">G943*INDEX(Assumptions!$B$8:$B$16,MATCH(F943,Assumptions!$A$8:$A$16,0))</f>
        <v>35.1918</v>
      </c>
      <c r="R943" s="23" t="n">
        <f aca="false">H943*Assumptions!$B$3</f>
        <v>13.032</v>
      </c>
      <c r="S943" s="23" t="n">
        <f aca="false">G943-Q943-R943</f>
        <v>7.6362</v>
      </c>
      <c r="T943" s="21" t="str">
        <f aca="false">IF(M943&lt;=7,"0-7 days",IF(M943&lt;=14,"8-14 days",IF(M943&lt;=21,"15-21 days","22+ days")))</f>
        <v>8-14 days</v>
      </c>
    </row>
    <row r="944" customFormat="false" ht="15" hidden="false" customHeight="false" outlineLevel="0" collapsed="false">
      <c r="A944" s="21" t="s">
        <v>1010</v>
      </c>
      <c r="B944" s="21" t="s">
        <v>19</v>
      </c>
      <c r="C944" s="22" t="n">
        <v>43121</v>
      </c>
      <c r="D944" s="22" t="n">
        <v>43139</v>
      </c>
      <c r="E944" s="22" t="n">
        <v>43134</v>
      </c>
      <c r="F944" s="21" t="s">
        <v>64</v>
      </c>
      <c r="G944" s="23" t="n">
        <v>285.11</v>
      </c>
      <c r="H944" s="23" t="n">
        <v>21.33</v>
      </c>
      <c r="I944" s="21" t="s">
        <v>60</v>
      </c>
      <c r="J944" s="21" t="n">
        <v>4</v>
      </c>
      <c r="K944" s="21" t="s">
        <v>46</v>
      </c>
      <c r="L944" s="24" t="n">
        <f aca="false">DATE(YEAR(C944),MONTH(C944),1)</f>
        <v>43101</v>
      </c>
      <c r="M944" s="21" t="n">
        <f aca="false">D944-C944</f>
        <v>18</v>
      </c>
      <c r="N944" s="21" t="n">
        <f aca="false">MAX(0,D944-E944)</f>
        <v>5</v>
      </c>
      <c r="O944" s="21" t="n">
        <f aca="false">IF(D944&lt;=E944,1,0)</f>
        <v>0</v>
      </c>
      <c r="P944" s="23" t="n">
        <f aca="false">G944+H944</f>
        <v>306.44</v>
      </c>
      <c r="Q944" s="23" t="n">
        <f aca="false">G944*INDEX(Assumptions!$B$8:$B$16,MATCH(F944,Assumptions!$A$8:$A$16,0))</f>
        <v>188.1726</v>
      </c>
      <c r="R944" s="23" t="n">
        <f aca="false">H944*Assumptions!$B$3</f>
        <v>12.798</v>
      </c>
      <c r="S944" s="23" t="n">
        <f aca="false">G944-Q944-R944</f>
        <v>84.1394</v>
      </c>
      <c r="T944" s="21" t="str">
        <f aca="false">IF(M944&lt;=7,"0-7 days",IF(M944&lt;=14,"8-14 days",IF(M944&lt;=21,"15-21 days","22+ days")))</f>
        <v>15-21 days</v>
      </c>
    </row>
    <row r="945" customFormat="false" ht="15" hidden="false" customHeight="false" outlineLevel="0" collapsed="false">
      <c r="A945" s="21" t="s">
        <v>1011</v>
      </c>
      <c r="B945" s="21" t="s">
        <v>19</v>
      </c>
      <c r="C945" s="22" t="n">
        <v>43121</v>
      </c>
      <c r="D945" s="22" t="n">
        <v>43127</v>
      </c>
      <c r="E945" s="22" t="n">
        <v>43135</v>
      </c>
      <c r="F945" s="21" t="s">
        <v>79</v>
      </c>
      <c r="G945" s="23" t="n">
        <v>82.54</v>
      </c>
      <c r="H945" s="23" t="n">
        <v>16.7</v>
      </c>
      <c r="I945" s="21" t="s">
        <v>45</v>
      </c>
      <c r="J945" s="21" t="n">
        <v>5</v>
      </c>
      <c r="K945" s="21" t="s">
        <v>46</v>
      </c>
      <c r="L945" s="24" t="n">
        <f aca="false">DATE(YEAR(C945),MONTH(C945),1)</f>
        <v>43101</v>
      </c>
      <c r="M945" s="21" t="n">
        <f aca="false">D945-C945</f>
        <v>6</v>
      </c>
      <c r="N945" s="21" t="n">
        <f aca="false">MAX(0,D945-E945)</f>
        <v>0</v>
      </c>
      <c r="O945" s="21" t="n">
        <f aca="false">IF(D945&lt;=E945,1,0)</f>
        <v>1</v>
      </c>
      <c r="P945" s="23" t="n">
        <f aca="false">G945+H945</f>
        <v>99.24</v>
      </c>
      <c r="Q945" s="23" t="n">
        <f aca="false">G945*INDEX(Assumptions!$B$8:$B$16,MATCH(F945,Assumptions!$A$8:$A$16,0))</f>
        <v>57.778</v>
      </c>
      <c r="R945" s="23" t="n">
        <f aca="false">H945*Assumptions!$B$3</f>
        <v>10.02</v>
      </c>
      <c r="S945" s="23" t="n">
        <f aca="false">G945-Q945-R945</f>
        <v>14.742</v>
      </c>
      <c r="T945" s="21" t="str">
        <f aca="false">IF(M945&lt;=7,"0-7 days",IF(M945&lt;=14,"8-14 days",IF(M945&lt;=21,"15-21 days","22+ days")))</f>
        <v>0-7 days</v>
      </c>
    </row>
    <row r="946" customFormat="false" ht="15" hidden="false" customHeight="false" outlineLevel="0" collapsed="false">
      <c r="A946" s="21" t="s">
        <v>1012</v>
      </c>
      <c r="B946" s="21" t="s">
        <v>52</v>
      </c>
      <c r="C946" s="22" t="n">
        <v>43121</v>
      </c>
      <c r="D946" s="22" t="n">
        <v>43138</v>
      </c>
      <c r="E946" s="22" t="n">
        <v>43149</v>
      </c>
      <c r="F946" s="21" t="s">
        <v>53</v>
      </c>
      <c r="G946" s="23" t="n">
        <v>119.92</v>
      </c>
      <c r="H946" s="23" t="n">
        <v>25.61</v>
      </c>
      <c r="I946" s="21" t="s">
        <v>45</v>
      </c>
      <c r="J946" s="21" t="n">
        <v>4</v>
      </c>
      <c r="K946" s="21" t="s">
        <v>46</v>
      </c>
      <c r="L946" s="24" t="n">
        <f aca="false">DATE(YEAR(C946),MONTH(C946),1)</f>
        <v>43101</v>
      </c>
      <c r="M946" s="21" t="n">
        <f aca="false">D946-C946</f>
        <v>17</v>
      </c>
      <c r="N946" s="21" t="n">
        <f aca="false">MAX(0,D946-E946)</f>
        <v>0</v>
      </c>
      <c r="O946" s="21" t="n">
        <f aca="false">IF(D946&lt;=E946,1,0)</f>
        <v>1</v>
      </c>
      <c r="P946" s="23" t="n">
        <f aca="false">G946+H946</f>
        <v>145.53</v>
      </c>
      <c r="Q946" s="23" t="n">
        <f aca="false">G946*INDEX(Assumptions!$B$8:$B$16,MATCH(F946,Assumptions!$A$8:$A$16,0))</f>
        <v>88.7408</v>
      </c>
      <c r="R946" s="23" t="n">
        <f aca="false">H946*Assumptions!$B$3</f>
        <v>15.366</v>
      </c>
      <c r="S946" s="23" t="n">
        <f aca="false">G946-Q946-R946</f>
        <v>15.8132</v>
      </c>
      <c r="T946" s="21" t="str">
        <f aca="false">IF(M946&lt;=7,"0-7 days",IF(M946&lt;=14,"8-14 days",IF(M946&lt;=21,"15-21 days","22+ days")))</f>
        <v>15-21 days</v>
      </c>
    </row>
    <row r="947" customFormat="false" ht="15" hidden="false" customHeight="false" outlineLevel="0" collapsed="false">
      <c r="A947" s="21" t="s">
        <v>1013</v>
      </c>
      <c r="B947" s="21" t="s">
        <v>52</v>
      </c>
      <c r="C947" s="22" t="n">
        <v>43121</v>
      </c>
      <c r="D947" s="22" t="n">
        <v>43134</v>
      </c>
      <c r="E947" s="22" t="n">
        <v>43147</v>
      </c>
      <c r="F947" s="21" t="s">
        <v>59</v>
      </c>
      <c r="G947" s="23" t="n">
        <v>40.91</v>
      </c>
      <c r="H947" s="23" t="n">
        <v>25.25</v>
      </c>
      <c r="I947" s="21" t="s">
        <v>45</v>
      </c>
      <c r="J947" s="21" t="n">
        <v>4</v>
      </c>
      <c r="K947" s="21" t="s">
        <v>46</v>
      </c>
      <c r="L947" s="24" t="n">
        <f aca="false">DATE(YEAR(C947),MONTH(C947),1)</f>
        <v>43101</v>
      </c>
      <c r="M947" s="21" t="n">
        <f aca="false">D947-C947</f>
        <v>13</v>
      </c>
      <c r="N947" s="21" t="n">
        <f aca="false">MAX(0,D947-E947)</f>
        <v>0</v>
      </c>
      <c r="O947" s="21" t="n">
        <f aca="false">IF(D947&lt;=E947,1,0)</f>
        <v>1</v>
      </c>
      <c r="P947" s="23" t="n">
        <f aca="false">G947+H947</f>
        <v>66.16</v>
      </c>
      <c r="Q947" s="23" t="n">
        <f aca="false">G947*INDEX(Assumptions!$B$8:$B$16,MATCH(F947,Assumptions!$A$8:$A$16,0))</f>
        <v>26.1824</v>
      </c>
      <c r="R947" s="23" t="n">
        <f aca="false">H947*Assumptions!$B$3</f>
        <v>15.15</v>
      </c>
      <c r="S947" s="23" t="n">
        <f aca="false">G947-Q947-R947</f>
        <v>-0.4224</v>
      </c>
      <c r="T947" s="21" t="str">
        <f aca="false">IF(M947&lt;=7,"0-7 days",IF(M947&lt;=14,"8-14 days",IF(M947&lt;=21,"15-21 days","22+ days")))</f>
        <v>8-14 days</v>
      </c>
    </row>
    <row r="948" customFormat="false" ht="15" hidden="false" customHeight="false" outlineLevel="0" collapsed="false">
      <c r="A948" s="21" t="s">
        <v>1014</v>
      </c>
      <c r="B948" s="21" t="s">
        <v>62</v>
      </c>
      <c r="C948" s="22" t="n">
        <v>43122</v>
      </c>
      <c r="D948" s="22" t="n">
        <v>43134</v>
      </c>
      <c r="E948" s="22" t="n">
        <v>43144</v>
      </c>
      <c r="F948" s="21" t="s">
        <v>53</v>
      </c>
      <c r="G948" s="23" t="n">
        <v>139.6</v>
      </c>
      <c r="H948" s="23" t="n">
        <v>23.83</v>
      </c>
      <c r="I948" s="21" t="s">
        <v>45</v>
      </c>
      <c r="J948" s="21" t="n">
        <v>4</v>
      </c>
      <c r="K948" s="21" t="s">
        <v>46</v>
      </c>
      <c r="L948" s="24" t="n">
        <f aca="false">DATE(YEAR(C948),MONTH(C948),1)</f>
        <v>43101</v>
      </c>
      <c r="M948" s="21" t="n">
        <f aca="false">D948-C948</f>
        <v>12</v>
      </c>
      <c r="N948" s="21" t="n">
        <f aca="false">MAX(0,D948-E948)</f>
        <v>0</v>
      </c>
      <c r="O948" s="21" t="n">
        <f aca="false">IF(D948&lt;=E948,1,0)</f>
        <v>1</v>
      </c>
      <c r="P948" s="23" t="n">
        <f aca="false">G948+H948</f>
        <v>163.43</v>
      </c>
      <c r="Q948" s="23" t="n">
        <f aca="false">G948*INDEX(Assumptions!$B$8:$B$16,MATCH(F948,Assumptions!$A$8:$A$16,0))</f>
        <v>103.304</v>
      </c>
      <c r="R948" s="23" t="n">
        <f aca="false">H948*Assumptions!$B$3</f>
        <v>14.298</v>
      </c>
      <c r="S948" s="23" t="n">
        <f aca="false">G948-Q948-R948</f>
        <v>21.998</v>
      </c>
      <c r="T948" s="21" t="str">
        <f aca="false">IF(M948&lt;=7,"0-7 days",IF(M948&lt;=14,"8-14 days",IF(M948&lt;=21,"15-21 days","22+ days")))</f>
        <v>8-14 days</v>
      </c>
    </row>
    <row r="949" customFormat="false" ht="15" hidden="false" customHeight="false" outlineLevel="0" collapsed="false">
      <c r="A949" s="21" t="s">
        <v>1015</v>
      </c>
      <c r="B949" s="21" t="s">
        <v>48</v>
      </c>
      <c r="C949" s="22" t="n">
        <v>43122</v>
      </c>
      <c r="D949" s="22" t="n">
        <v>43136</v>
      </c>
      <c r="E949" s="22" t="n">
        <v>43141</v>
      </c>
      <c r="F949" s="21" t="s">
        <v>53</v>
      </c>
      <c r="G949" s="23" t="n">
        <v>111.84</v>
      </c>
      <c r="H949" s="23" t="n">
        <v>23.36</v>
      </c>
      <c r="I949" s="21" t="s">
        <v>60</v>
      </c>
      <c r="J949" s="21" t="n">
        <v>5</v>
      </c>
      <c r="K949" s="21" t="s">
        <v>46</v>
      </c>
      <c r="L949" s="24" t="n">
        <f aca="false">DATE(YEAR(C949),MONTH(C949),1)</f>
        <v>43101</v>
      </c>
      <c r="M949" s="21" t="n">
        <f aca="false">D949-C949</f>
        <v>14</v>
      </c>
      <c r="N949" s="21" t="n">
        <f aca="false">MAX(0,D949-E949)</f>
        <v>0</v>
      </c>
      <c r="O949" s="21" t="n">
        <f aca="false">IF(D949&lt;=E949,1,0)</f>
        <v>1</v>
      </c>
      <c r="P949" s="23" t="n">
        <f aca="false">G949+H949</f>
        <v>135.2</v>
      </c>
      <c r="Q949" s="23" t="n">
        <f aca="false">G949*INDEX(Assumptions!$B$8:$B$16,MATCH(F949,Assumptions!$A$8:$A$16,0))</f>
        <v>82.7616</v>
      </c>
      <c r="R949" s="23" t="n">
        <f aca="false">H949*Assumptions!$B$3</f>
        <v>14.016</v>
      </c>
      <c r="S949" s="23" t="n">
        <f aca="false">G949-Q949-R949</f>
        <v>15.0624</v>
      </c>
      <c r="T949" s="21" t="str">
        <f aca="false">IF(M949&lt;=7,"0-7 days",IF(M949&lt;=14,"8-14 days",IF(M949&lt;=21,"15-21 days","22+ days")))</f>
        <v>8-14 days</v>
      </c>
    </row>
    <row r="950" customFormat="false" ht="15" hidden="false" customHeight="false" outlineLevel="0" collapsed="false">
      <c r="A950" s="21" t="s">
        <v>1016</v>
      </c>
      <c r="B950" s="21" t="s">
        <v>62</v>
      </c>
      <c r="C950" s="22" t="n">
        <v>43122</v>
      </c>
      <c r="D950" s="22" t="n">
        <v>43139</v>
      </c>
      <c r="E950" s="22" t="n">
        <v>43140</v>
      </c>
      <c r="F950" s="21" t="s">
        <v>59</v>
      </c>
      <c r="G950" s="23" t="n">
        <v>46.53</v>
      </c>
      <c r="H950" s="23" t="n">
        <v>21.16</v>
      </c>
      <c r="I950" s="21" t="s">
        <v>45</v>
      </c>
      <c r="J950" s="21" t="n">
        <v>4</v>
      </c>
      <c r="K950" s="21" t="s">
        <v>46</v>
      </c>
      <c r="L950" s="24" t="n">
        <f aca="false">DATE(YEAR(C950),MONTH(C950),1)</f>
        <v>43101</v>
      </c>
      <c r="M950" s="21" t="n">
        <f aca="false">D950-C950</f>
        <v>17</v>
      </c>
      <c r="N950" s="21" t="n">
        <f aca="false">MAX(0,D950-E950)</f>
        <v>0</v>
      </c>
      <c r="O950" s="21" t="n">
        <f aca="false">IF(D950&lt;=E950,1,0)</f>
        <v>1</v>
      </c>
      <c r="P950" s="23" t="n">
        <f aca="false">G950+H950</f>
        <v>67.69</v>
      </c>
      <c r="Q950" s="23" t="n">
        <f aca="false">G950*INDEX(Assumptions!$B$8:$B$16,MATCH(F950,Assumptions!$A$8:$A$16,0))</f>
        <v>29.7792</v>
      </c>
      <c r="R950" s="23" t="n">
        <f aca="false">H950*Assumptions!$B$3</f>
        <v>12.696</v>
      </c>
      <c r="S950" s="23" t="n">
        <f aca="false">G950-Q950-R950</f>
        <v>4.0548</v>
      </c>
      <c r="T950" s="21" t="str">
        <f aca="false">IF(M950&lt;=7,"0-7 days",IF(M950&lt;=14,"8-14 days",IF(M950&lt;=21,"15-21 days","22+ days")))</f>
        <v>15-21 days</v>
      </c>
    </row>
    <row r="951" customFormat="false" ht="15" hidden="false" customHeight="false" outlineLevel="0" collapsed="false">
      <c r="A951" s="21" t="s">
        <v>1017</v>
      </c>
      <c r="B951" s="21" t="s">
        <v>19</v>
      </c>
      <c r="C951" s="22" t="n">
        <v>43122</v>
      </c>
      <c r="D951" s="22" t="n">
        <v>43127</v>
      </c>
      <c r="E951" s="22" t="n">
        <v>43140</v>
      </c>
      <c r="F951" s="21" t="s">
        <v>44</v>
      </c>
      <c r="G951" s="23" t="n">
        <v>105.29</v>
      </c>
      <c r="H951" s="23" t="n">
        <v>13.28</v>
      </c>
      <c r="I951" s="21" t="s">
        <v>60</v>
      </c>
      <c r="J951" s="21" t="n">
        <v>4</v>
      </c>
      <c r="K951" s="21" t="s">
        <v>46</v>
      </c>
      <c r="L951" s="24" t="n">
        <f aca="false">DATE(YEAR(C951),MONTH(C951),1)</f>
        <v>43101</v>
      </c>
      <c r="M951" s="21" t="n">
        <f aca="false">D951-C951</f>
        <v>5</v>
      </c>
      <c r="N951" s="21" t="n">
        <f aca="false">MAX(0,D951-E951)</f>
        <v>0</v>
      </c>
      <c r="O951" s="21" t="n">
        <f aca="false">IF(D951&lt;=E951,1,0)</f>
        <v>1</v>
      </c>
      <c r="P951" s="23" t="n">
        <f aca="false">G951+H951</f>
        <v>118.57</v>
      </c>
      <c r="Q951" s="23" t="n">
        <f aca="false">G951*INDEX(Assumptions!$B$8:$B$16,MATCH(F951,Assumptions!$A$8:$A$16,0))</f>
        <v>63.174</v>
      </c>
      <c r="R951" s="23" t="n">
        <f aca="false">H951*Assumptions!$B$3</f>
        <v>7.968</v>
      </c>
      <c r="S951" s="23" t="n">
        <f aca="false">G951-Q951-R951</f>
        <v>34.148</v>
      </c>
      <c r="T951" s="21" t="str">
        <f aca="false">IF(M951&lt;=7,"0-7 days",IF(M951&lt;=14,"8-14 days",IF(M951&lt;=21,"15-21 days","22+ days")))</f>
        <v>0-7 days</v>
      </c>
    </row>
    <row r="952" customFormat="false" ht="15" hidden="false" customHeight="false" outlineLevel="0" collapsed="false">
      <c r="A952" s="21" t="s">
        <v>1018</v>
      </c>
      <c r="B952" s="21" t="s">
        <v>48</v>
      </c>
      <c r="C952" s="22" t="n">
        <v>43123</v>
      </c>
      <c r="D952" s="22" t="n">
        <v>43135</v>
      </c>
      <c r="E952" s="22" t="n">
        <v>43146</v>
      </c>
      <c r="F952" s="21" t="s">
        <v>57</v>
      </c>
      <c r="G952" s="23" t="n">
        <v>86.59</v>
      </c>
      <c r="H952" s="23" t="n">
        <v>21.31</v>
      </c>
      <c r="I952" s="21" t="s">
        <v>45</v>
      </c>
      <c r="J952" s="21" t="n">
        <v>5</v>
      </c>
      <c r="K952" s="21" t="s">
        <v>46</v>
      </c>
      <c r="L952" s="24" t="n">
        <f aca="false">DATE(YEAR(C952),MONTH(C952),1)</f>
        <v>43101</v>
      </c>
      <c r="M952" s="21" t="n">
        <f aca="false">D952-C952</f>
        <v>12</v>
      </c>
      <c r="N952" s="21" t="n">
        <f aca="false">MAX(0,D952-E952)</f>
        <v>0</v>
      </c>
      <c r="O952" s="21" t="n">
        <f aca="false">IF(D952&lt;=E952,1,0)</f>
        <v>1</v>
      </c>
      <c r="P952" s="23" t="n">
        <f aca="false">G952+H952</f>
        <v>107.9</v>
      </c>
      <c r="Q952" s="23" t="n">
        <f aca="false">G952*INDEX(Assumptions!$B$8:$B$16,MATCH(F952,Assumptions!$A$8:$A$16,0))</f>
        <v>58.8812</v>
      </c>
      <c r="R952" s="23" t="n">
        <f aca="false">H952*Assumptions!$B$3</f>
        <v>12.786</v>
      </c>
      <c r="S952" s="23" t="n">
        <f aca="false">G952-Q952-R952</f>
        <v>14.9228</v>
      </c>
      <c r="T952" s="21" t="str">
        <f aca="false">IF(M952&lt;=7,"0-7 days",IF(M952&lt;=14,"8-14 days",IF(M952&lt;=21,"15-21 days","22+ days")))</f>
        <v>8-14 days</v>
      </c>
    </row>
    <row r="953" customFormat="false" ht="15" hidden="false" customHeight="false" outlineLevel="0" collapsed="false">
      <c r="A953" s="21" t="s">
        <v>1019</v>
      </c>
      <c r="B953" s="21" t="s">
        <v>19</v>
      </c>
      <c r="C953" s="22" t="n">
        <v>43123</v>
      </c>
      <c r="D953" s="22" t="n">
        <v>43131</v>
      </c>
      <c r="E953" s="22" t="n">
        <v>43140</v>
      </c>
      <c r="F953" s="21" t="s">
        <v>57</v>
      </c>
      <c r="G953" s="23" t="n">
        <v>307.23</v>
      </c>
      <c r="H953" s="23" t="n">
        <v>20.76</v>
      </c>
      <c r="I953" s="21" t="s">
        <v>60</v>
      </c>
      <c r="J953" s="21" t="n">
        <v>4</v>
      </c>
      <c r="K953" s="21" t="s">
        <v>46</v>
      </c>
      <c r="L953" s="24" t="n">
        <f aca="false">DATE(YEAR(C953),MONTH(C953),1)</f>
        <v>43101</v>
      </c>
      <c r="M953" s="21" t="n">
        <f aca="false">D953-C953</f>
        <v>8</v>
      </c>
      <c r="N953" s="21" t="n">
        <f aca="false">MAX(0,D953-E953)</f>
        <v>0</v>
      </c>
      <c r="O953" s="21" t="n">
        <f aca="false">IF(D953&lt;=E953,1,0)</f>
        <v>1</v>
      </c>
      <c r="P953" s="23" t="n">
        <f aca="false">G953+H953</f>
        <v>327.99</v>
      </c>
      <c r="Q953" s="23" t="n">
        <f aca="false">G953*INDEX(Assumptions!$B$8:$B$16,MATCH(F953,Assumptions!$A$8:$A$16,0))</f>
        <v>208.9164</v>
      </c>
      <c r="R953" s="23" t="n">
        <f aca="false">H953*Assumptions!$B$3</f>
        <v>12.456</v>
      </c>
      <c r="S953" s="23" t="n">
        <f aca="false">G953-Q953-R953</f>
        <v>85.8576</v>
      </c>
      <c r="T953" s="21" t="str">
        <f aca="false">IF(M953&lt;=7,"0-7 days",IF(M953&lt;=14,"8-14 days",IF(M953&lt;=21,"15-21 days","22+ days")))</f>
        <v>8-14 days</v>
      </c>
    </row>
    <row r="954" customFormat="false" ht="15" hidden="false" customHeight="false" outlineLevel="0" collapsed="false">
      <c r="A954" s="21" t="s">
        <v>1020</v>
      </c>
      <c r="B954" s="21" t="s">
        <v>19</v>
      </c>
      <c r="C954" s="22" t="n">
        <v>43123</v>
      </c>
      <c r="D954" s="22" t="n">
        <v>43130</v>
      </c>
      <c r="E954" s="22" t="n">
        <v>43136</v>
      </c>
      <c r="F954" s="21" t="s">
        <v>53</v>
      </c>
      <c r="G954" s="23" t="n">
        <v>250.69</v>
      </c>
      <c r="H954" s="23" t="n">
        <v>21.66</v>
      </c>
      <c r="I954" s="21" t="s">
        <v>45</v>
      </c>
      <c r="J954" s="21" t="n">
        <v>4</v>
      </c>
      <c r="K954" s="21" t="s">
        <v>46</v>
      </c>
      <c r="L954" s="24" t="n">
        <f aca="false">DATE(YEAR(C954),MONTH(C954),1)</f>
        <v>43101</v>
      </c>
      <c r="M954" s="21" t="n">
        <f aca="false">D954-C954</f>
        <v>7</v>
      </c>
      <c r="N954" s="21" t="n">
        <f aca="false">MAX(0,D954-E954)</f>
        <v>0</v>
      </c>
      <c r="O954" s="21" t="n">
        <f aca="false">IF(D954&lt;=E954,1,0)</f>
        <v>1</v>
      </c>
      <c r="P954" s="23" t="n">
        <f aca="false">G954+H954</f>
        <v>272.35</v>
      </c>
      <c r="Q954" s="23" t="n">
        <f aca="false">G954*INDEX(Assumptions!$B$8:$B$16,MATCH(F954,Assumptions!$A$8:$A$16,0))</f>
        <v>185.5106</v>
      </c>
      <c r="R954" s="23" t="n">
        <f aca="false">H954*Assumptions!$B$3</f>
        <v>12.996</v>
      </c>
      <c r="S954" s="23" t="n">
        <f aca="false">G954-Q954-R954</f>
        <v>52.1834</v>
      </c>
      <c r="T954" s="21" t="str">
        <f aca="false">IF(M954&lt;=7,"0-7 days",IF(M954&lt;=14,"8-14 days",IF(M954&lt;=21,"15-21 days","22+ days")))</f>
        <v>0-7 days</v>
      </c>
    </row>
    <row r="955" customFormat="false" ht="15" hidden="false" customHeight="false" outlineLevel="0" collapsed="false">
      <c r="A955" s="21" t="s">
        <v>1021</v>
      </c>
      <c r="B955" s="21" t="s">
        <v>19</v>
      </c>
      <c r="C955" s="22" t="n">
        <v>43123</v>
      </c>
      <c r="D955" s="22" t="n">
        <v>43134</v>
      </c>
      <c r="E955" s="22" t="n">
        <v>43142</v>
      </c>
      <c r="F955" s="21" t="s">
        <v>67</v>
      </c>
      <c r="G955" s="23" t="n">
        <v>91.09</v>
      </c>
      <c r="H955" s="23" t="n">
        <v>14.45</v>
      </c>
      <c r="I955" s="21" t="s">
        <v>50</v>
      </c>
      <c r="J955" s="21" t="n">
        <v>4</v>
      </c>
      <c r="K955" s="21" t="s">
        <v>46</v>
      </c>
      <c r="L955" s="24" t="n">
        <f aca="false">DATE(YEAR(C955),MONTH(C955),1)</f>
        <v>43101</v>
      </c>
      <c r="M955" s="21" t="n">
        <f aca="false">D955-C955</f>
        <v>11</v>
      </c>
      <c r="N955" s="21" t="n">
        <f aca="false">MAX(0,D955-E955)</f>
        <v>0</v>
      </c>
      <c r="O955" s="21" t="n">
        <f aca="false">IF(D955&lt;=E955,1,0)</f>
        <v>1</v>
      </c>
      <c r="P955" s="23" t="n">
        <f aca="false">G955+H955</f>
        <v>105.54</v>
      </c>
      <c r="Q955" s="23" t="n">
        <f aca="false">G955*INDEX(Assumptions!$B$8:$B$16,MATCH(F955,Assumptions!$A$8:$A$16,0))</f>
        <v>56.4758</v>
      </c>
      <c r="R955" s="23" t="n">
        <f aca="false">H955*Assumptions!$B$3</f>
        <v>8.67</v>
      </c>
      <c r="S955" s="23" t="n">
        <f aca="false">G955-Q955-R955</f>
        <v>25.9442</v>
      </c>
      <c r="T955" s="21" t="str">
        <f aca="false">IF(M955&lt;=7,"0-7 days",IF(M955&lt;=14,"8-14 days",IF(M955&lt;=21,"15-21 days","22+ days")))</f>
        <v>8-14 days</v>
      </c>
    </row>
    <row r="956" customFormat="false" ht="15" hidden="false" customHeight="false" outlineLevel="0" collapsed="false">
      <c r="A956" s="21" t="s">
        <v>1022</v>
      </c>
      <c r="B956" s="21" t="s">
        <v>55</v>
      </c>
      <c r="C956" s="22" t="n">
        <v>43124</v>
      </c>
      <c r="D956" s="22" t="n">
        <v>43146</v>
      </c>
      <c r="E956" s="22" t="n">
        <v>43150</v>
      </c>
      <c r="F956" s="21" t="s">
        <v>57</v>
      </c>
      <c r="G956" s="23" t="n">
        <v>112.21</v>
      </c>
      <c r="H956" s="23" t="n">
        <v>28.72</v>
      </c>
      <c r="I956" s="21" t="s">
        <v>45</v>
      </c>
      <c r="J956" s="21" t="n">
        <v>4</v>
      </c>
      <c r="K956" s="21" t="s">
        <v>46</v>
      </c>
      <c r="L956" s="24" t="n">
        <f aca="false">DATE(YEAR(C956),MONTH(C956),1)</f>
        <v>43101</v>
      </c>
      <c r="M956" s="21" t="n">
        <f aca="false">D956-C956</f>
        <v>22</v>
      </c>
      <c r="N956" s="21" t="n">
        <f aca="false">MAX(0,D956-E956)</f>
        <v>0</v>
      </c>
      <c r="O956" s="21" t="n">
        <f aca="false">IF(D956&lt;=E956,1,0)</f>
        <v>1</v>
      </c>
      <c r="P956" s="23" t="n">
        <f aca="false">G956+H956</f>
        <v>140.93</v>
      </c>
      <c r="Q956" s="23" t="n">
        <f aca="false">G956*INDEX(Assumptions!$B$8:$B$16,MATCH(F956,Assumptions!$A$8:$A$16,0))</f>
        <v>76.3028</v>
      </c>
      <c r="R956" s="23" t="n">
        <f aca="false">H956*Assumptions!$B$3</f>
        <v>17.232</v>
      </c>
      <c r="S956" s="23" t="n">
        <f aca="false">G956-Q956-R956</f>
        <v>18.6752</v>
      </c>
      <c r="T956" s="21" t="str">
        <f aca="false">IF(M956&lt;=7,"0-7 days",IF(M956&lt;=14,"8-14 days",IF(M956&lt;=21,"15-21 days","22+ days")))</f>
        <v>22+ days</v>
      </c>
    </row>
    <row r="957" customFormat="false" ht="15" hidden="false" customHeight="false" outlineLevel="0" collapsed="false">
      <c r="A957" s="21" t="s">
        <v>1023</v>
      </c>
      <c r="B957" s="21" t="s">
        <v>52</v>
      </c>
      <c r="C957" s="22" t="n">
        <v>43124</v>
      </c>
      <c r="D957" s="22" t="n">
        <v>43143</v>
      </c>
      <c r="E957" s="22" t="n">
        <v>43148</v>
      </c>
      <c r="F957" s="21" t="s">
        <v>44</v>
      </c>
      <c r="G957" s="23" t="n">
        <v>100.11</v>
      </c>
      <c r="H957" s="23" t="n">
        <v>18.31</v>
      </c>
      <c r="I957" s="21" t="s">
        <v>50</v>
      </c>
      <c r="J957" s="21" t="n">
        <v>3</v>
      </c>
      <c r="K957" s="21" t="s">
        <v>46</v>
      </c>
      <c r="L957" s="24" t="n">
        <f aca="false">DATE(YEAR(C957),MONTH(C957),1)</f>
        <v>43101</v>
      </c>
      <c r="M957" s="21" t="n">
        <f aca="false">D957-C957</f>
        <v>19</v>
      </c>
      <c r="N957" s="21" t="n">
        <f aca="false">MAX(0,D957-E957)</f>
        <v>0</v>
      </c>
      <c r="O957" s="21" t="n">
        <f aca="false">IF(D957&lt;=E957,1,0)</f>
        <v>1</v>
      </c>
      <c r="P957" s="23" t="n">
        <f aca="false">G957+H957</f>
        <v>118.42</v>
      </c>
      <c r="Q957" s="23" t="n">
        <f aca="false">G957*INDEX(Assumptions!$B$8:$B$16,MATCH(F957,Assumptions!$A$8:$A$16,0))</f>
        <v>60.066</v>
      </c>
      <c r="R957" s="23" t="n">
        <f aca="false">H957*Assumptions!$B$3</f>
        <v>10.986</v>
      </c>
      <c r="S957" s="23" t="n">
        <f aca="false">G957-Q957-R957</f>
        <v>29.058</v>
      </c>
      <c r="T957" s="21" t="str">
        <f aca="false">IF(M957&lt;=7,"0-7 days",IF(M957&lt;=14,"8-14 days",IF(M957&lt;=21,"15-21 days","22+ days")))</f>
        <v>15-21 days</v>
      </c>
    </row>
    <row r="958" customFormat="false" ht="15" hidden="false" customHeight="false" outlineLevel="0" collapsed="false">
      <c r="A958" s="21" t="s">
        <v>1024</v>
      </c>
      <c r="B958" s="21" t="s">
        <v>19</v>
      </c>
      <c r="C958" s="22" t="n">
        <v>43124</v>
      </c>
      <c r="D958" s="22" t="n">
        <v>43131</v>
      </c>
      <c r="E958" s="22" t="n">
        <v>43140</v>
      </c>
      <c r="F958" s="21" t="s">
        <v>67</v>
      </c>
      <c r="G958" s="23" t="n">
        <v>58.77</v>
      </c>
      <c r="H958" s="23" t="n">
        <v>15.83</v>
      </c>
      <c r="I958" s="21" t="s">
        <v>60</v>
      </c>
      <c r="J958" s="21" t="n">
        <v>4</v>
      </c>
      <c r="K958" s="21" t="s">
        <v>46</v>
      </c>
      <c r="L958" s="24" t="n">
        <f aca="false">DATE(YEAR(C958),MONTH(C958),1)</f>
        <v>43101</v>
      </c>
      <c r="M958" s="21" t="n">
        <f aca="false">D958-C958</f>
        <v>7</v>
      </c>
      <c r="N958" s="21" t="n">
        <f aca="false">MAX(0,D958-E958)</f>
        <v>0</v>
      </c>
      <c r="O958" s="21" t="n">
        <f aca="false">IF(D958&lt;=E958,1,0)</f>
        <v>1</v>
      </c>
      <c r="P958" s="23" t="n">
        <f aca="false">G958+H958</f>
        <v>74.6</v>
      </c>
      <c r="Q958" s="23" t="n">
        <f aca="false">G958*INDEX(Assumptions!$B$8:$B$16,MATCH(F958,Assumptions!$A$8:$A$16,0))</f>
        <v>36.4374</v>
      </c>
      <c r="R958" s="23" t="n">
        <f aca="false">H958*Assumptions!$B$3</f>
        <v>9.498</v>
      </c>
      <c r="S958" s="23" t="n">
        <f aca="false">G958-Q958-R958</f>
        <v>12.8346</v>
      </c>
      <c r="T958" s="21" t="str">
        <f aca="false">IF(M958&lt;=7,"0-7 days",IF(M958&lt;=14,"8-14 days",IF(M958&lt;=21,"15-21 days","22+ days")))</f>
        <v>0-7 days</v>
      </c>
    </row>
    <row r="959" customFormat="false" ht="15" hidden="false" customHeight="false" outlineLevel="0" collapsed="false">
      <c r="A959" s="21" t="s">
        <v>1025</v>
      </c>
      <c r="B959" s="21" t="s">
        <v>55</v>
      </c>
      <c r="C959" s="22" t="n">
        <v>43124</v>
      </c>
      <c r="D959" s="22" t="n">
        <v>43149</v>
      </c>
      <c r="E959" s="22" t="n">
        <v>43149</v>
      </c>
      <c r="F959" s="21" t="s">
        <v>64</v>
      </c>
      <c r="G959" s="23" t="n">
        <v>37.41</v>
      </c>
      <c r="H959" s="23" t="n">
        <v>16.35</v>
      </c>
      <c r="I959" s="21" t="s">
        <v>45</v>
      </c>
      <c r="J959" s="21" t="n">
        <v>4</v>
      </c>
      <c r="K959" s="21" t="s">
        <v>46</v>
      </c>
      <c r="L959" s="24" t="n">
        <f aca="false">DATE(YEAR(C959),MONTH(C959),1)</f>
        <v>43101</v>
      </c>
      <c r="M959" s="21" t="n">
        <f aca="false">D959-C959</f>
        <v>25</v>
      </c>
      <c r="N959" s="21" t="n">
        <f aca="false">MAX(0,D959-E959)</f>
        <v>0</v>
      </c>
      <c r="O959" s="21" t="n">
        <f aca="false">IF(D959&lt;=E959,1,0)</f>
        <v>1</v>
      </c>
      <c r="P959" s="23" t="n">
        <f aca="false">G959+H959</f>
        <v>53.76</v>
      </c>
      <c r="Q959" s="23" t="n">
        <f aca="false">G959*INDEX(Assumptions!$B$8:$B$16,MATCH(F959,Assumptions!$A$8:$A$16,0))</f>
        <v>24.6906</v>
      </c>
      <c r="R959" s="23" t="n">
        <f aca="false">H959*Assumptions!$B$3</f>
        <v>9.81</v>
      </c>
      <c r="S959" s="23" t="n">
        <f aca="false">G959-Q959-R959</f>
        <v>2.9094</v>
      </c>
      <c r="T959" s="21" t="str">
        <f aca="false">IF(M959&lt;=7,"0-7 days",IF(M959&lt;=14,"8-14 days",IF(M959&lt;=21,"15-21 days","22+ days")))</f>
        <v>22+ days</v>
      </c>
    </row>
    <row r="960" customFormat="false" ht="15" hidden="false" customHeight="false" outlineLevel="0" collapsed="false">
      <c r="A960" s="21" t="s">
        <v>1026</v>
      </c>
      <c r="B960" s="21" t="s">
        <v>19</v>
      </c>
      <c r="C960" s="22" t="n">
        <v>43125</v>
      </c>
      <c r="D960" s="22" t="n">
        <v>43130</v>
      </c>
      <c r="E960" s="22" t="n">
        <v>43143</v>
      </c>
      <c r="F960" s="21" t="s">
        <v>57</v>
      </c>
      <c r="G960" s="23" t="n">
        <v>95.77</v>
      </c>
      <c r="H960" s="23" t="n">
        <v>16.92</v>
      </c>
      <c r="I960" s="21" t="s">
        <v>104</v>
      </c>
      <c r="J960" s="21" t="n">
        <v>5</v>
      </c>
      <c r="K960" s="21" t="s">
        <v>46</v>
      </c>
      <c r="L960" s="24" t="n">
        <f aca="false">DATE(YEAR(C960),MONTH(C960),1)</f>
        <v>43101</v>
      </c>
      <c r="M960" s="21" t="n">
        <f aca="false">D960-C960</f>
        <v>5</v>
      </c>
      <c r="N960" s="21" t="n">
        <f aca="false">MAX(0,D960-E960)</f>
        <v>0</v>
      </c>
      <c r="O960" s="21" t="n">
        <f aca="false">IF(D960&lt;=E960,1,0)</f>
        <v>1</v>
      </c>
      <c r="P960" s="23" t="n">
        <f aca="false">G960+H960</f>
        <v>112.69</v>
      </c>
      <c r="Q960" s="23" t="n">
        <f aca="false">G960*INDEX(Assumptions!$B$8:$B$16,MATCH(F960,Assumptions!$A$8:$A$16,0))</f>
        <v>65.1236</v>
      </c>
      <c r="R960" s="23" t="n">
        <f aca="false">H960*Assumptions!$B$3</f>
        <v>10.152</v>
      </c>
      <c r="S960" s="23" t="n">
        <f aca="false">G960-Q960-R960</f>
        <v>20.4944</v>
      </c>
      <c r="T960" s="21" t="str">
        <f aca="false">IF(M960&lt;=7,"0-7 days",IF(M960&lt;=14,"8-14 days",IF(M960&lt;=21,"15-21 days","22+ days")))</f>
        <v>0-7 days</v>
      </c>
    </row>
    <row r="961" customFormat="false" ht="15" hidden="false" customHeight="false" outlineLevel="0" collapsed="false">
      <c r="A961" s="21" t="s">
        <v>1027</v>
      </c>
      <c r="B961" s="21" t="s">
        <v>19</v>
      </c>
      <c r="C961" s="22" t="n">
        <v>43125</v>
      </c>
      <c r="D961" s="22" t="n">
        <v>43135</v>
      </c>
      <c r="E961" s="22" t="n">
        <v>43140</v>
      </c>
      <c r="F961" s="21" t="s">
        <v>53</v>
      </c>
      <c r="G961" s="23" t="n">
        <v>71.01</v>
      </c>
      <c r="H961" s="23" t="n">
        <v>14.6</v>
      </c>
      <c r="I961" s="21" t="s">
        <v>45</v>
      </c>
      <c r="J961" s="21" t="n">
        <v>5</v>
      </c>
      <c r="K961" s="21" t="s">
        <v>46</v>
      </c>
      <c r="L961" s="24" t="n">
        <f aca="false">DATE(YEAR(C961),MONTH(C961),1)</f>
        <v>43101</v>
      </c>
      <c r="M961" s="21" t="n">
        <f aca="false">D961-C961</f>
        <v>10</v>
      </c>
      <c r="N961" s="21" t="n">
        <f aca="false">MAX(0,D961-E961)</f>
        <v>0</v>
      </c>
      <c r="O961" s="21" t="n">
        <f aca="false">IF(D961&lt;=E961,1,0)</f>
        <v>1</v>
      </c>
      <c r="P961" s="23" t="n">
        <f aca="false">G961+H961</f>
        <v>85.61</v>
      </c>
      <c r="Q961" s="23" t="n">
        <f aca="false">G961*INDEX(Assumptions!$B$8:$B$16,MATCH(F961,Assumptions!$A$8:$A$16,0))</f>
        <v>52.5474</v>
      </c>
      <c r="R961" s="23" t="n">
        <f aca="false">H961*Assumptions!$B$3</f>
        <v>8.76</v>
      </c>
      <c r="S961" s="23" t="n">
        <f aca="false">G961-Q961-R961</f>
        <v>9.7026</v>
      </c>
      <c r="T961" s="21" t="str">
        <f aca="false">IF(M961&lt;=7,"0-7 days",IF(M961&lt;=14,"8-14 days",IF(M961&lt;=21,"15-21 days","22+ days")))</f>
        <v>8-14 days</v>
      </c>
    </row>
    <row r="962" customFormat="false" ht="15" hidden="false" customHeight="false" outlineLevel="0" collapsed="false">
      <c r="A962" s="21" t="s">
        <v>1028</v>
      </c>
      <c r="B962" s="21" t="s">
        <v>19</v>
      </c>
      <c r="C962" s="22" t="n">
        <v>43125</v>
      </c>
      <c r="D962" s="22" t="n">
        <v>43139</v>
      </c>
      <c r="E962" s="22" t="n">
        <v>43143</v>
      </c>
      <c r="F962" s="21" t="s">
        <v>53</v>
      </c>
      <c r="G962" s="23" t="n">
        <v>71.84</v>
      </c>
      <c r="H962" s="23" t="n">
        <v>21.76</v>
      </c>
      <c r="I962" s="21" t="s">
        <v>45</v>
      </c>
      <c r="J962" s="21" t="n">
        <v>5</v>
      </c>
      <c r="K962" s="21" t="s">
        <v>46</v>
      </c>
      <c r="L962" s="24" t="n">
        <f aca="false">DATE(YEAR(C962),MONTH(C962),1)</f>
        <v>43101</v>
      </c>
      <c r="M962" s="21" t="n">
        <f aca="false">D962-C962</f>
        <v>14</v>
      </c>
      <c r="N962" s="21" t="n">
        <f aca="false">MAX(0,D962-E962)</f>
        <v>0</v>
      </c>
      <c r="O962" s="21" t="n">
        <f aca="false">IF(D962&lt;=E962,1,0)</f>
        <v>1</v>
      </c>
      <c r="P962" s="23" t="n">
        <f aca="false">G962+H962</f>
        <v>93.6</v>
      </c>
      <c r="Q962" s="23" t="n">
        <f aca="false">G962*INDEX(Assumptions!$B$8:$B$16,MATCH(F962,Assumptions!$A$8:$A$16,0))</f>
        <v>53.1616</v>
      </c>
      <c r="R962" s="23" t="n">
        <f aca="false">H962*Assumptions!$B$3</f>
        <v>13.056</v>
      </c>
      <c r="S962" s="23" t="n">
        <f aca="false">G962-Q962-R962</f>
        <v>5.6224</v>
      </c>
      <c r="T962" s="21" t="str">
        <f aca="false">IF(M962&lt;=7,"0-7 days",IF(M962&lt;=14,"8-14 days",IF(M962&lt;=21,"15-21 days","22+ days")))</f>
        <v>8-14 days</v>
      </c>
    </row>
    <row r="963" customFormat="false" ht="15" hidden="false" customHeight="false" outlineLevel="0" collapsed="false">
      <c r="A963" s="21" t="s">
        <v>1029</v>
      </c>
      <c r="B963" s="21" t="s">
        <v>103</v>
      </c>
      <c r="C963" s="22" t="n">
        <v>43126</v>
      </c>
      <c r="D963" s="22" t="n">
        <v>43140</v>
      </c>
      <c r="E963" s="22" t="n">
        <v>43146</v>
      </c>
      <c r="F963" s="21" t="s">
        <v>57</v>
      </c>
      <c r="G963" s="23" t="n">
        <v>97.14</v>
      </c>
      <c r="H963" s="23" t="n">
        <v>28.95</v>
      </c>
      <c r="I963" s="21" t="s">
        <v>45</v>
      </c>
      <c r="J963" s="21" t="n">
        <v>4</v>
      </c>
      <c r="K963" s="21" t="s">
        <v>46</v>
      </c>
      <c r="L963" s="24" t="n">
        <f aca="false">DATE(YEAR(C963),MONTH(C963),1)</f>
        <v>43101</v>
      </c>
      <c r="M963" s="21" t="n">
        <f aca="false">D963-C963</f>
        <v>14</v>
      </c>
      <c r="N963" s="21" t="n">
        <f aca="false">MAX(0,D963-E963)</f>
        <v>0</v>
      </c>
      <c r="O963" s="21" t="n">
        <f aca="false">IF(D963&lt;=E963,1,0)</f>
        <v>1</v>
      </c>
      <c r="P963" s="23" t="n">
        <f aca="false">G963+H963</f>
        <v>126.09</v>
      </c>
      <c r="Q963" s="23" t="n">
        <f aca="false">G963*INDEX(Assumptions!$B$8:$B$16,MATCH(F963,Assumptions!$A$8:$A$16,0))</f>
        <v>66.0552</v>
      </c>
      <c r="R963" s="23" t="n">
        <f aca="false">H963*Assumptions!$B$3</f>
        <v>17.37</v>
      </c>
      <c r="S963" s="23" t="n">
        <f aca="false">G963-Q963-R963</f>
        <v>13.7148</v>
      </c>
      <c r="T963" s="21" t="str">
        <f aca="false">IF(M963&lt;=7,"0-7 days",IF(M963&lt;=14,"8-14 days",IF(M963&lt;=21,"15-21 days","22+ days")))</f>
        <v>8-14 days</v>
      </c>
    </row>
    <row r="964" customFormat="false" ht="15" hidden="false" customHeight="false" outlineLevel="0" collapsed="false">
      <c r="A964" s="21" t="s">
        <v>1030</v>
      </c>
      <c r="B964" s="21" t="s">
        <v>19</v>
      </c>
      <c r="C964" s="22" t="n">
        <v>43126</v>
      </c>
      <c r="D964" s="22" t="n">
        <v>43132</v>
      </c>
      <c r="E964" s="22" t="n">
        <v>43145</v>
      </c>
      <c r="F964" s="21" t="s">
        <v>111</v>
      </c>
      <c r="G964" s="23" t="n">
        <v>75.51</v>
      </c>
      <c r="H964" s="23" t="n">
        <v>12.78</v>
      </c>
      <c r="I964" s="21" t="s">
        <v>45</v>
      </c>
      <c r="J964" s="21" t="n">
        <v>4</v>
      </c>
      <c r="K964" s="21" t="s">
        <v>46</v>
      </c>
      <c r="L964" s="24" t="n">
        <f aca="false">DATE(YEAR(C964),MONTH(C964),1)</f>
        <v>43101</v>
      </c>
      <c r="M964" s="21" t="n">
        <f aca="false">D964-C964</f>
        <v>6</v>
      </c>
      <c r="N964" s="21" t="n">
        <f aca="false">MAX(0,D964-E964)</f>
        <v>0</v>
      </c>
      <c r="O964" s="21" t="n">
        <f aca="false">IF(D964&lt;=E964,1,0)</f>
        <v>1</v>
      </c>
      <c r="P964" s="23" t="n">
        <f aca="false">G964+H964</f>
        <v>88.29</v>
      </c>
      <c r="Q964" s="23" t="n">
        <f aca="false">G964*INDEX(Assumptions!$B$8:$B$16,MATCH(F964,Assumptions!$A$8:$A$16,0))</f>
        <v>47.5713</v>
      </c>
      <c r="R964" s="23" t="n">
        <f aca="false">H964*Assumptions!$B$3</f>
        <v>7.668</v>
      </c>
      <c r="S964" s="23" t="n">
        <f aca="false">G964-Q964-R964</f>
        <v>20.2707</v>
      </c>
      <c r="T964" s="21" t="str">
        <f aca="false">IF(M964&lt;=7,"0-7 days",IF(M964&lt;=14,"8-14 days",IF(M964&lt;=21,"15-21 days","22+ days")))</f>
        <v>0-7 days</v>
      </c>
    </row>
    <row r="965" customFormat="false" ht="15" hidden="false" customHeight="false" outlineLevel="0" collapsed="false">
      <c r="A965" s="21" t="s">
        <v>1031</v>
      </c>
      <c r="B965" s="21" t="s">
        <v>19</v>
      </c>
      <c r="C965" s="22" t="n">
        <v>43126</v>
      </c>
      <c r="D965" s="22" t="n">
        <v>43133</v>
      </c>
      <c r="E965" s="22" t="n">
        <v>43144</v>
      </c>
      <c r="F965" s="21" t="s">
        <v>53</v>
      </c>
      <c r="G965" s="23" t="n">
        <v>108.92</v>
      </c>
      <c r="H965" s="23" t="n">
        <v>13.08</v>
      </c>
      <c r="I965" s="21" t="s">
        <v>45</v>
      </c>
      <c r="J965" s="21" t="n">
        <v>5</v>
      </c>
      <c r="K965" s="21" t="s">
        <v>46</v>
      </c>
      <c r="L965" s="24" t="n">
        <f aca="false">DATE(YEAR(C965),MONTH(C965),1)</f>
        <v>43101</v>
      </c>
      <c r="M965" s="21" t="n">
        <f aca="false">D965-C965</f>
        <v>7</v>
      </c>
      <c r="N965" s="21" t="n">
        <f aca="false">MAX(0,D965-E965)</f>
        <v>0</v>
      </c>
      <c r="O965" s="21" t="n">
        <f aca="false">IF(D965&lt;=E965,1,0)</f>
        <v>1</v>
      </c>
      <c r="P965" s="23" t="n">
        <f aca="false">G965+H965</f>
        <v>122</v>
      </c>
      <c r="Q965" s="23" t="n">
        <f aca="false">G965*INDEX(Assumptions!$B$8:$B$16,MATCH(F965,Assumptions!$A$8:$A$16,0))</f>
        <v>80.6008</v>
      </c>
      <c r="R965" s="23" t="n">
        <f aca="false">H965*Assumptions!$B$3</f>
        <v>7.848</v>
      </c>
      <c r="S965" s="23" t="n">
        <f aca="false">G965-Q965-R965</f>
        <v>20.4712</v>
      </c>
      <c r="T965" s="21" t="str">
        <f aca="false">IF(M965&lt;=7,"0-7 days",IF(M965&lt;=14,"8-14 days",IF(M965&lt;=21,"15-21 days","22+ days")))</f>
        <v>0-7 days</v>
      </c>
    </row>
    <row r="966" customFormat="false" ht="15" hidden="false" customHeight="false" outlineLevel="0" collapsed="false">
      <c r="A966" s="21" t="s">
        <v>1032</v>
      </c>
      <c r="B966" s="21" t="s">
        <v>134</v>
      </c>
      <c r="C966" s="22" t="n">
        <v>43126</v>
      </c>
      <c r="D966" s="22" t="n">
        <v>43144</v>
      </c>
      <c r="E966" s="22" t="n">
        <v>43146</v>
      </c>
      <c r="F966" s="21" t="s">
        <v>59</v>
      </c>
      <c r="G966" s="23" t="n">
        <v>208.75</v>
      </c>
      <c r="H966" s="23" t="n">
        <v>24.23</v>
      </c>
      <c r="I966" s="21" t="s">
        <v>45</v>
      </c>
      <c r="J966" s="21" t="n">
        <v>3</v>
      </c>
      <c r="K966" s="21" t="s">
        <v>46</v>
      </c>
      <c r="L966" s="24" t="n">
        <f aca="false">DATE(YEAR(C966),MONTH(C966),1)</f>
        <v>43101</v>
      </c>
      <c r="M966" s="21" t="n">
        <f aca="false">D966-C966</f>
        <v>18</v>
      </c>
      <c r="N966" s="21" t="n">
        <f aca="false">MAX(0,D966-E966)</f>
        <v>0</v>
      </c>
      <c r="O966" s="21" t="n">
        <f aca="false">IF(D966&lt;=E966,1,0)</f>
        <v>1</v>
      </c>
      <c r="P966" s="23" t="n">
        <f aca="false">G966+H966</f>
        <v>232.98</v>
      </c>
      <c r="Q966" s="23" t="n">
        <f aca="false">G966*INDEX(Assumptions!$B$8:$B$16,MATCH(F966,Assumptions!$A$8:$A$16,0))</f>
        <v>133.6</v>
      </c>
      <c r="R966" s="23" t="n">
        <f aca="false">H966*Assumptions!$B$3</f>
        <v>14.538</v>
      </c>
      <c r="S966" s="23" t="n">
        <f aca="false">G966-Q966-R966</f>
        <v>60.612</v>
      </c>
      <c r="T966" s="21" t="str">
        <f aca="false">IF(M966&lt;=7,"0-7 days",IF(M966&lt;=14,"8-14 days",IF(M966&lt;=21,"15-21 days","22+ days")))</f>
        <v>15-21 days</v>
      </c>
    </row>
    <row r="967" customFormat="false" ht="15" hidden="false" customHeight="false" outlineLevel="0" collapsed="false">
      <c r="A967" s="21" t="s">
        <v>1033</v>
      </c>
      <c r="B967" s="21" t="s">
        <v>52</v>
      </c>
      <c r="C967" s="22" t="n">
        <v>43126</v>
      </c>
      <c r="D967" s="22" t="n">
        <v>43148</v>
      </c>
      <c r="E967" s="22" t="n">
        <v>43154</v>
      </c>
      <c r="F967" s="21" t="s">
        <v>111</v>
      </c>
      <c r="G967" s="23" t="n">
        <v>127.57</v>
      </c>
      <c r="H967" s="23" t="n">
        <v>31.65</v>
      </c>
      <c r="I967" s="21" t="s">
        <v>45</v>
      </c>
      <c r="J967" s="21" t="n">
        <v>4</v>
      </c>
      <c r="K967" s="21" t="s">
        <v>46</v>
      </c>
      <c r="L967" s="24" t="n">
        <f aca="false">DATE(YEAR(C967),MONTH(C967),1)</f>
        <v>43101</v>
      </c>
      <c r="M967" s="21" t="n">
        <f aca="false">D967-C967</f>
        <v>22</v>
      </c>
      <c r="N967" s="21" t="n">
        <f aca="false">MAX(0,D967-E967)</f>
        <v>0</v>
      </c>
      <c r="O967" s="21" t="n">
        <f aca="false">IF(D967&lt;=E967,1,0)</f>
        <v>1</v>
      </c>
      <c r="P967" s="23" t="n">
        <f aca="false">G967+H967</f>
        <v>159.22</v>
      </c>
      <c r="Q967" s="23" t="n">
        <f aca="false">G967*INDEX(Assumptions!$B$8:$B$16,MATCH(F967,Assumptions!$A$8:$A$16,0))</f>
        <v>80.3691</v>
      </c>
      <c r="R967" s="23" t="n">
        <f aca="false">H967*Assumptions!$B$3</f>
        <v>18.99</v>
      </c>
      <c r="S967" s="23" t="n">
        <f aca="false">G967-Q967-R967</f>
        <v>28.2109</v>
      </c>
      <c r="T967" s="21" t="str">
        <f aca="false">IF(M967&lt;=7,"0-7 days",IF(M967&lt;=14,"8-14 days",IF(M967&lt;=21,"15-21 days","22+ days")))</f>
        <v>22+ days</v>
      </c>
    </row>
    <row r="968" customFormat="false" ht="15" hidden="false" customHeight="false" outlineLevel="0" collapsed="false">
      <c r="A968" s="21" t="s">
        <v>1034</v>
      </c>
      <c r="B968" s="21" t="s">
        <v>19</v>
      </c>
      <c r="C968" s="22" t="n">
        <v>43127</v>
      </c>
      <c r="D968" s="22" t="n">
        <v>43135</v>
      </c>
      <c r="E968" s="22" t="n">
        <v>43144</v>
      </c>
      <c r="F968" s="21" t="s">
        <v>79</v>
      </c>
      <c r="G968" s="23" t="n">
        <v>67.38</v>
      </c>
      <c r="H968" s="23" t="n">
        <v>20.75</v>
      </c>
      <c r="I968" s="21" t="s">
        <v>45</v>
      </c>
      <c r="J968" s="21" t="n">
        <v>4</v>
      </c>
      <c r="K968" s="21" t="s">
        <v>46</v>
      </c>
      <c r="L968" s="24" t="n">
        <f aca="false">DATE(YEAR(C968),MONTH(C968),1)</f>
        <v>43101</v>
      </c>
      <c r="M968" s="21" t="n">
        <f aca="false">D968-C968</f>
        <v>8</v>
      </c>
      <c r="N968" s="21" t="n">
        <f aca="false">MAX(0,D968-E968)</f>
        <v>0</v>
      </c>
      <c r="O968" s="21" t="n">
        <f aca="false">IF(D968&lt;=E968,1,0)</f>
        <v>1</v>
      </c>
      <c r="P968" s="23" t="n">
        <f aca="false">G968+H968</f>
        <v>88.13</v>
      </c>
      <c r="Q968" s="23" t="n">
        <f aca="false">G968*INDEX(Assumptions!$B$8:$B$16,MATCH(F968,Assumptions!$A$8:$A$16,0))</f>
        <v>47.166</v>
      </c>
      <c r="R968" s="23" t="n">
        <f aca="false">H968*Assumptions!$B$3</f>
        <v>12.45</v>
      </c>
      <c r="S968" s="23" t="n">
        <f aca="false">G968-Q968-R968</f>
        <v>7.764</v>
      </c>
      <c r="T968" s="21" t="str">
        <f aca="false">IF(M968&lt;=7,"0-7 days",IF(M968&lt;=14,"8-14 days",IF(M968&lt;=21,"15-21 days","22+ days")))</f>
        <v>8-14 days</v>
      </c>
    </row>
    <row r="969" customFormat="false" ht="15" hidden="false" customHeight="false" outlineLevel="0" collapsed="false">
      <c r="A969" s="21" t="s">
        <v>1035</v>
      </c>
      <c r="B969" s="21" t="s">
        <v>19</v>
      </c>
      <c r="C969" s="22" t="n">
        <v>43127</v>
      </c>
      <c r="D969" s="22" t="n">
        <v>43136</v>
      </c>
      <c r="E969" s="22" t="n">
        <v>43145</v>
      </c>
      <c r="F969" s="21" t="s">
        <v>44</v>
      </c>
      <c r="G969" s="23" t="n">
        <v>20.04</v>
      </c>
      <c r="H969" s="23" t="n">
        <v>15.74</v>
      </c>
      <c r="I969" s="21" t="s">
        <v>45</v>
      </c>
      <c r="J969" s="21" t="n">
        <v>4</v>
      </c>
      <c r="K969" s="21" t="s">
        <v>46</v>
      </c>
      <c r="L969" s="24" t="n">
        <f aca="false">DATE(YEAR(C969),MONTH(C969),1)</f>
        <v>43101</v>
      </c>
      <c r="M969" s="21" t="n">
        <f aca="false">D969-C969</f>
        <v>9</v>
      </c>
      <c r="N969" s="21" t="n">
        <f aca="false">MAX(0,D969-E969)</f>
        <v>0</v>
      </c>
      <c r="O969" s="21" t="n">
        <f aca="false">IF(D969&lt;=E969,1,0)</f>
        <v>1</v>
      </c>
      <c r="P969" s="23" t="n">
        <f aca="false">G969+H969</f>
        <v>35.78</v>
      </c>
      <c r="Q969" s="23" t="n">
        <f aca="false">G969*INDEX(Assumptions!$B$8:$B$16,MATCH(F969,Assumptions!$A$8:$A$16,0))</f>
        <v>12.024</v>
      </c>
      <c r="R969" s="23" t="n">
        <f aca="false">H969*Assumptions!$B$3</f>
        <v>9.444</v>
      </c>
      <c r="S969" s="23" t="n">
        <f aca="false">G969-Q969-R969</f>
        <v>-1.428</v>
      </c>
      <c r="T969" s="21" t="str">
        <f aca="false">IF(M969&lt;=7,"0-7 days",IF(M969&lt;=14,"8-14 days",IF(M969&lt;=21,"15-21 days","22+ days")))</f>
        <v>8-14 days</v>
      </c>
    </row>
    <row r="970" customFormat="false" ht="15" hidden="false" customHeight="false" outlineLevel="0" collapsed="false">
      <c r="A970" s="21" t="s">
        <v>1036</v>
      </c>
      <c r="B970" s="21" t="s">
        <v>201</v>
      </c>
      <c r="C970" s="22" t="n">
        <v>43127</v>
      </c>
      <c r="D970" s="22" t="n">
        <v>43159</v>
      </c>
      <c r="E970" s="22" t="n">
        <v>43161</v>
      </c>
      <c r="F970" s="21" t="s">
        <v>111</v>
      </c>
      <c r="G970" s="23" t="n">
        <v>69.88</v>
      </c>
      <c r="H970" s="23" t="n">
        <v>37.76</v>
      </c>
      <c r="I970" s="21" t="s">
        <v>60</v>
      </c>
      <c r="J970" s="21" t="n">
        <v>4</v>
      </c>
      <c r="K970" s="21" t="s">
        <v>46</v>
      </c>
      <c r="L970" s="24" t="n">
        <f aca="false">DATE(YEAR(C970),MONTH(C970),1)</f>
        <v>43101</v>
      </c>
      <c r="M970" s="21" t="n">
        <f aca="false">D970-C970</f>
        <v>32</v>
      </c>
      <c r="N970" s="21" t="n">
        <f aca="false">MAX(0,D970-E970)</f>
        <v>0</v>
      </c>
      <c r="O970" s="21" t="n">
        <f aca="false">IF(D970&lt;=E970,1,0)</f>
        <v>1</v>
      </c>
      <c r="P970" s="23" t="n">
        <f aca="false">G970+H970</f>
        <v>107.64</v>
      </c>
      <c r="Q970" s="23" t="n">
        <f aca="false">G970*INDEX(Assumptions!$B$8:$B$16,MATCH(F970,Assumptions!$A$8:$A$16,0))</f>
        <v>44.0244</v>
      </c>
      <c r="R970" s="23" t="n">
        <f aca="false">H970*Assumptions!$B$3</f>
        <v>22.656</v>
      </c>
      <c r="S970" s="23" t="n">
        <f aca="false">G970-Q970-R970</f>
        <v>3.1996</v>
      </c>
      <c r="T970" s="21" t="str">
        <f aca="false">IF(M970&lt;=7,"0-7 days",IF(M970&lt;=14,"8-14 days",IF(M970&lt;=21,"15-21 days","22+ days")))</f>
        <v>22+ days</v>
      </c>
    </row>
    <row r="971" customFormat="false" ht="15" hidden="false" customHeight="false" outlineLevel="0" collapsed="false">
      <c r="A971" s="21" t="s">
        <v>1037</v>
      </c>
      <c r="B971" s="21" t="s">
        <v>93</v>
      </c>
      <c r="C971" s="22" t="n">
        <v>43128</v>
      </c>
      <c r="D971" s="22" t="n">
        <v>43148</v>
      </c>
      <c r="E971" s="22" t="n">
        <v>43153</v>
      </c>
      <c r="F971" s="21" t="s">
        <v>64</v>
      </c>
      <c r="G971" s="23" t="n">
        <v>66.12</v>
      </c>
      <c r="H971" s="23" t="n">
        <v>34.43</v>
      </c>
      <c r="I971" s="21" t="s">
        <v>45</v>
      </c>
      <c r="J971" s="21" t="n">
        <v>5</v>
      </c>
      <c r="K971" s="21" t="s">
        <v>46</v>
      </c>
      <c r="L971" s="24" t="n">
        <f aca="false">DATE(YEAR(C971),MONTH(C971),1)</f>
        <v>43101</v>
      </c>
      <c r="M971" s="21" t="n">
        <f aca="false">D971-C971</f>
        <v>20</v>
      </c>
      <c r="N971" s="21" t="n">
        <f aca="false">MAX(0,D971-E971)</f>
        <v>0</v>
      </c>
      <c r="O971" s="21" t="n">
        <f aca="false">IF(D971&lt;=E971,1,0)</f>
        <v>1</v>
      </c>
      <c r="P971" s="23" t="n">
        <f aca="false">G971+H971</f>
        <v>100.55</v>
      </c>
      <c r="Q971" s="23" t="n">
        <f aca="false">G971*INDEX(Assumptions!$B$8:$B$16,MATCH(F971,Assumptions!$A$8:$A$16,0))</f>
        <v>43.6392</v>
      </c>
      <c r="R971" s="23" t="n">
        <f aca="false">H971*Assumptions!$B$3</f>
        <v>20.658</v>
      </c>
      <c r="S971" s="23" t="n">
        <f aca="false">G971-Q971-R971</f>
        <v>1.8228</v>
      </c>
      <c r="T971" s="21" t="str">
        <f aca="false">IF(M971&lt;=7,"0-7 days",IF(M971&lt;=14,"8-14 days",IF(M971&lt;=21,"15-21 days","22+ days")))</f>
        <v>15-21 days</v>
      </c>
    </row>
    <row r="972" customFormat="false" ht="15" hidden="false" customHeight="false" outlineLevel="0" collapsed="false">
      <c r="A972" s="21" t="s">
        <v>1038</v>
      </c>
      <c r="B972" s="21" t="s">
        <v>19</v>
      </c>
      <c r="C972" s="22" t="n">
        <v>43128</v>
      </c>
      <c r="D972" s="22" t="n">
        <v>43137</v>
      </c>
      <c r="E972" s="22" t="n">
        <v>43144</v>
      </c>
      <c r="F972" s="21" t="s">
        <v>67</v>
      </c>
      <c r="G972" s="23" t="n">
        <v>91.2</v>
      </c>
      <c r="H972" s="23" t="n">
        <v>15.46</v>
      </c>
      <c r="I972" s="21" t="s">
        <v>45</v>
      </c>
      <c r="J972" s="21" t="n">
        <v>5</v>
      </c>
      <c r="K972" s="21" t="s">
        <v>46</v>
      </c>
      <c r="L972" s="24" t="n">
        <f aca="false">DATE(YEAR(C972),MONTH(C972),1)</f>
        <v>43101</v>
      </c>
      <c r="M972" s="21" t="n">
        <f aca="false">D972-C972</f>
        <v>9</v>
      </c>
      <c r="N972" s="21" t="n">
        <f aca="false">MAX(0,D972-E972)</f>
        <v>0</v>
      </c>
      <c r="O972" s="21" t="n">
        <f aca="false">IF(D972&lt;=E972,1,0)</f>
        <v>1</v>
      </c>
      <c r="P972" s="23" t="n">
        <f aca="false">G972+H972</f>
        <v>106.66</v>
      </c>
      <c r="Q972" s="23" t="n">
        <f aca="false">G972*INDEX(Assumptions!$B$8:$B$16,MATCH(F972,Assumptions!$A$8:$A$16,0))</f>
        <v>56.544</v>
      </c>
      <c r="R972" s="23" t="n">
        <f aca="false">H972*Assumptions!$B$3</f>
        <v>9.276</v>
      </c>
      <c r="S972" s="23" t="n">
        <f aca="false">G972-Q972-R972</f>
        <v>25.38</v>
      </c>
      <c r="T972" s="21" t="str">
        <f aca="false">IF(M972&lt;=7,"0-7 days",IF(M972&lt;=14,"8-14 days",IF(M972&lt;=21,"15-21 days","22+ days")))</f>
        <v>8-14 days</v>
      </c>
    </row>
    <row r="973" customFormat="false" ht="15" hidden="false" customHeight="false" outlineLevel="0" collapsed="false">
      <c r="A973" s="21" t="s">
        <v>1039</v>
      </c>
      <c r="B973" s="21" t="s">
        <v>93</v>
      </c>
      <c r="C973" s="22" t="n">
        <v>43129</v>
      </c>
      <c r="D973" s="22" t="n">
        <v>43144</v>
      </c>
      <c r="E973" s="22" t="n">
        <v>43156</v>
      </c>
      <c r="F973" s="21" t="s">
        <v>67</v>
      </c>
      <c r="G973" s="23" t="n">
        <v>80.46</v>
      </c>
      <c r="H973" s="23" t="n">
        <v>33.51</v>
      </c>
      <c r="I973" s="21" t="s">
        <v>50</v>
      </c>
      <c r="J973" s="21" t="n">
        <v>5</v>
      </c>
      <c r="K973" s="21" t="s">
        <v>46</v>
      </c>
      <c r="L973" s="24" t="n">
        <f aca="false">DATE(YEAR(C973),MONTH(C973),1)</f>
        <v>43101</v>
      </c>
      <c r="M973" s="21" t="n">
        <f aca="false">D973-C973</f>
        <v>15</v>
      </c>
      <c r="N973" s="21" t="n">
        <f aca="false">MAX(0,D973-E973)</f>
        <v>0</v>
      </c>
      <c r="O973" s="21" t="n">
        <f aca="false">IF(D973&lt;=E973,1,0)</f>
        <v>1</v>
      </c>
      <c r="P973" s="23" t="n">
        <f aca="false">G973+H973</f>
        <v>113.97</v>
      </c>
      <c r="Q973" s="23" t="n">
        <f aca="false">G973*INDEX(Assumptions!$B$8:$B$16,MATCH(F973,Assumptions!$A$8:$A$16,0))</f>
        <v>49.8852</v>
      </c>
      <c r="R973" s="23" t="n">
        <f aca="false">H973*Assumptions!$B$3</f>
        <v>20.106</v>
      </c>
      <c r="S973" s="23" t="n">
        <f aca="false">G973-Q973-R973</f>
        <v>10.4688</v>
      </c>
      <c r="T973" s="21" t="str">
        <f aca="false">IF(M973&lt;=7,"0-7 days",IF(M973&lt;=14,"8-14 days",IF(M973&lt;=21,"15-21 days","22+ days")))</f>
        <v>15-21 days</v>
      </c>
    </row>
    <row r="974" customFormat="false" ht="15" hidden="false" customHeight="false" outlineLevel="0" collapsed="false">
      <c r="A974" s="21" t="s">
        <v>1040</v>
      </c>
      <c r="B974" s="21" t="s">
        <v>19</v>
      </c>
      <c r="C974" s="22" t="n">
        <v>43129</v>
      </c>
      <c r="D974" s="22" t="n">
        <v>43146</v>
      </c>
      <c r="E974" s="22" t="n">
        <v>43142</v>
      </c>
      <c r="F974" s="21" t="s">
        <v>111</v>
      </c>
      <c r="G974" s="23" t="n">
        <v>19.17</v>
      </c>
      <c r="H974" s="23" t="n">
        <v>10.97</v>
      </c>
      <c r="I974" s="21" t="s">
        <v>45</v>
      </c>
      <c r="J974" s="21" t="n">
        <v>2</v>
      </c>
      <c r="K974" s="21" t="s">
        <v>46</v>
      </c>
      <c r="L974" s="24" t="n">
        <f aca="false">DATE(YEAR(C974),MONTH(C974),1)</f>
        <v>43101</v>
      </c>
      <c r="M974" s="21" t="n">
        <f aca="false">D974-C974</f>
        <v>17</v>
      </c>
      <c r="N974" s="21" t="n">
        <f aca="false">MAX(0,D974-E974)</f>
        <v>4</v>
      </c>
      <c r="O974" s="21" t="n">
        <f aca="false">IF(D974&lt;=E974,1,0)</f>
        <v>0</v>
      </c>
      <c r="P974" s="23" t="n">
        <f aca="false">G974+H974</f>
        <v>30.14</v>
      </c>
      <c r="Q974" s="23" t="n">
        <f aca="false">G974*INDEX(Assumptions!$B$8:$B$16,MATCH(F974,Assumptions!$A$8:$A$16,0))</f>
        <v>12.0771</v>
      </c>
      <c r="R974" s="23" t="n">
        <f aca="false">H974*Assumptions!$B$3</f>
        <v>6.582</v>
      </c>
      <c r="S974" s="23" t="n">
        <f aca="false">G974-Q974-R974</f>
        <v>0.5109</v>
      </c>
      <c r="T974" s="21" t="str">
        <f aca="false">IF(M974&lt;=7,"0-7 days",IF(M974&lt;=14,"8-14 days",IF(M974&lt;=21,"15-21 days","22+ days")))</f>
        <v>15-21 days</v>
      </c>
    </row>
    <row r="975" customFormat="false" ht="15" hidden="false" customHeight="false" outlineLevel="0" collapsed="false">
      <c r="A975" s="21" t="s">
        <v>1041</v>
      </c>
      <c r="B975" s="21" t="s">
        <v>62</v>
      </c>
      <c r="C975" s="22" t="n">
        <v>43129</v>
      </c>
      <c r="D975" s="22" t="n">
        <v>43138</v>
      </c>
      <c r="E975" s="22" t="n">
        <v>43146</v>
      </c>
      <c r="F975" s="21" t="s">
        <v>64</v>
      </c>
      <c r="G975" s="23" t="n">
        <v>64.48</v>
      </c>
      <c r="H975" s="23" t="n">
        <v>23.05</v>
      </c>
      <c r="I975" s="21" t="s">
        <v>45</v>
      </c>
      <c r="J975" s="21" t="n">
        <v>4</v>
      </c>
      <c r="K975" s="21" t="s">
        <v>46</v>
      </c>
      <c r="L975" s="24" t="n">
        <f aca="false">DATE(YEAR(C975),MONTH(C975),1)</f>
        <v>43101</v>
      </c>
      <c r="M975" s="21" t="n">
        <f aca="false">D975-C975</f>
        <v>9</v>
      </c>
      <c r="N975" s="21" t="n">
        <f aca="false">MAX(0,D975-E975)</f>
        <v>0</v>
      </c>
      <c r="O975" s="21" t="n">
        <f aca="false">IF(D975&lt;=E975,1,0)</f>
        <v>1</v>
      </c>
      <c r="P975" s="23" t="n">
        <f aca="false">G975+H975</f>
        <v>87.53</v>
      </c>
      <c r="Q975" s="23" t="n">
        <f aca="false">G975*INDEX(Assumptions!$B$8:$B$16,MATCH(F975,Assumptions!$A$8:$A$16,0))</f>
        <v>42.5568</v>
      </c>
      <c r="R975" s="23" t="n">
        <f aca="false">H975*Assumptions!$B$3</f>
        <v>13.83</v>
      </c>
      <c r="S975" s="23" t="n">
        <f aca="false">G975-Q975-R975</f>
        <v>8.0932</v>
      </c>
      <c r="T975" s="21" t="str">
        <f aca="false">IF(M975&lt;=7,"0-7 days",IF(M975&lt;=14,"8-14 days",IF(M975&lt;=21,"15-21 days","22+ days")))</f>
        <v>8-14 days</v>
      </c>
    </row>
    <row r="976" customFormat="false" ht="15" hidden="false" customHeight="false" outlineLevel="0" collapsed="false">
      <c r="A976" s="21" t="s">
        <v>1042</v>
      </c>
      <c r="B976" s="21" t="s">
        <v>19</v>
      </c>
      <c r="C976" s="22" t="n">
        <v>43129</v>
      </c>
      <c r="D976" s="22" t="n">
        <v>43139</v>
      </c>
      <c r="E976" s="22" t="n">
        <v>43146</v>
      </c>
      <c r="F976" s="21" t="s">
        <v>111</v>
      </c>
      <c r="G976" s="23" t="n">
        <v>235.96</v>
      </c>
      <c r="H976" s="23" t="n">
        <v>25.1</v>
      </c>
      <c r="I976" s="21" t="s">
        <v>45</v>
      </c>
      <c r="J976" s="21" t="n">
        <v>4</v>
      </c>
      <c r="K976" s="21" t="s">
        <v>46</v>
      </c>
      <c r="L976" s="24" t="n">
        <f aca="false">DATE(YEAR(C976),MONTH(C976),1)</f>
        <v>43101</v>
      </c>
      <c r="M976" s="21" t="n">
        <f aca="false">D976-C976</f>
        <v>10</v>
      </c>
      <c r="N976" s="21" t="n">
        <f aca="false">MAX(0,D976-E976)</f>
        <v>0</v>
      </c>
      <c r="O976" s="21" t="n">
        <f aca="false">IF(D976&lt;=E976,1,0)</f>
        <v>1</v>
      </c>
      <c r="P976" s="23" t="n">
        <f aca="false">G976+H976</f>
        <v>261.06</v>
      </c>
      <c r="Q976" s="23" t="n">
        <f aca="false">G976*INDEX(Assumptions!$B$8:$B$16,MATCH(F976,Assumptions!$A$8:$A$16,0))</f>
        <v>148.6548</v>
      </c>
      <c r="R976" s="23" t="n">
        <f aca="false">H976*Assumptions!$B$3</f>
        <v>15.06</v>
      </c>
      <c r="S976" s="23" t="n">
        <f aca="false">G976-Q976-R976</f>
        <v>72.2452</v>
      </c>
      <c r="T976" s="21" t="str">
        <f aca="false">IF(M976&lt;=7,"0-7 days",IF(M976&lt;=14,"8-14 days",IF(M976&lt;=21,"15-21 days","22+ days")))</f>
        <v>8-14 days</v>
      </c>
    </row>
    <row r="977" customFormat="false" ht="15" hidden="false" customHeight="false" outlineLevel="0" collapsed="false">
      <c r="A977" s="21" t="s">
        <v>1043</v>
      </c>
      <c r="B977" s="21" t="s">
        <v>48</v>
      </c>
      <c r="C977" s="22" t="n">
        <v>43130</v>
      </c>
      <c r="D977" s="22" t="n">
        <v>43154</v>
      </c>
      <c r="E977" s="22" t="n">
        <v>43152</v>
      </c>
      <c r="F977" s="21" t="s">
        <v>57</v>
      </c>
      <c r="G977" s="23" t="n">
        <v>81.75</v>
      </c>
      <c r="H977" s="23" t="n">
        <v>22.2</v>
      </c>
      <c r="I977" s="21" t="s">
        <v>45</v>
      </c>
      <c r="J977" s="21" t="n">
        <v>3</v>
      </c>
      <c r="K977" s="21" t="s">
        <v>46</v>
      </c>
      <c r="L977" s="24" t="n">
        <f aca="false">DATE(YEAR(C977),MONTH(C977),1)</f>
        <v>43101</v>
      </c>
      <c r="M977" s="21" t="n">
        <f aca="false">D977-C977</f>
        <v>24</v>
      </c>
      <c r="N977" s="21" t="n">
        <f aca="false">MAX(0,D977-E977)</f>
        <v>2</v>
      </c>
      <c r="O977" s="21" t="n">
        <f aca="false">IF(D977&lt;=E977,1,0)</f>
        <v>0</v>
      </c>
      <c r="P977" s="23" t="n">
        <f aca="false">G977+H977</f>
        <v>103.95</v>
      </c>
      <c r="Q977" s="23" t="n">
        <f aca="false">G977*INDEX(Assumptions!$B$8:$B$16,MATCH(F977,Assumptions!$A$8:$A$16,0))</f>
        <v>55.59</v>
      </c>
      <c r="R977" s="23" t="n">
        <f aca="false">H977*Assumptions!$B$3</f>
        <v>13.32</v>
      </c>
      <c r="S977" s="23" t="n">
        <f aca="false">G977-Q977-R977</f>
        <v>12.84</v>
      </c>
      <c r="T977" s="21" t="str">
        <f aca="false">IF(M977&lt;=7,"0-7 days",IF(M977&lt;=14,"8-14 days",IF(M977&lt;=21,"15-21 days","22+ days")))</f>
        <v>22+ days</v>
      </c>
    </row>
    <row r="978" customFormat="false" ht="15" hidden="false" customHeight="false" outlineLevel="0" collapsed="false">
      <c r="A978" s="21" t="s">
        <v>1044</v>
      </c>
      <c r="B978" s="21" t="s">
        <v>19</v>
      </c>
      <c r="C978" s="22" t="n">
        <v>43130</v>
      </c>
      <c r="D978" s="22" t="n">
        <v>43144</v>
      </c>
      <c r="E978" s="22" t="n">
        <v>43145</v>
      </c>
      <c r="F978" s="21" t="s">
        <v>49</v>
      </c>
      <c r="G978" s="23" t="n">
        <v>105.32</v>
      </c>
      <c r="H978" s="23" t="n">
        <v>18.87</v>
      </c>
      <c r="I978" s="21" t="s">
        <v>45</v>
      </c>
      <c r="J978" s="21" t="n">
        <v>4</v>
      </c>
      <c r="K978" s="21" t="s">
        <v>46</v>
      </c>
      <c r="L978" s="24" t="n">
        <f aca="false">DATE(YEAR(C978),MONTH(C978),1)</f>
        <v>43101</v>
      </c>
      <c r="M978" s="21" t="n">
        <f aca="false">D978-C978</f>
        <v>14</v>
      </c>
      <c r="N978" s="21" t="n">
        <f aca="false">MAX(0,D978-E978)</f>
        <v>0</v>
      </c>
      <c r="O978" s="21" t="n">
        <f aca="false">IF(D978&lt;=E978,1,0)</f>
        <v>1</v>
      </c>
      <c r="P978" s="23" t="n">
        <f aca="false">G978+H978</f>
        <v>124.19</v>
      </c>
      <c r="Q978" s="23" t="n">
        <f aca="false">G978*INDEX(Assumptions!$B$8:$B$16,MATCH(F978,Assumptions!$A$8:$A$16,0))</f>
        <v>61.0856</v>
      </c>
      <c r="R978" s="23" t="n">
        <f aca="false">H978*Assumptions!$B$3</f>
        <v>11.322</v>
      </c>
      <c r="S978" s="23" t="n">
        <f aca="false">G978-Q978-R978</f>
        <v>32.9124</v>
      </c>
      <c r="T978" s="21" t="str">
        <f aca="false">IF(M978&lt;=7,"0-7 days",IF(M978&lt;=14,"8-14 days",IF(M978&lt;=21,"15-21 days","22+ days")))</f>
        <v>8-14 days</v>
      </c>
    </row>
    <row r="979" customFormat="false" ht="15" hidden="false" customHeight="false" outlineLevel="0" collapsed="false">
      <c r="A979" s="21" t="s">
        <v>1045</v>
      </c>
      <c r="B979" s="21" t="s">
        <v>156</v>
      </c>
      <c r="C979" s="22" t="n">
        <v>43130</v>
      </c>
      <c r="D979" s="22" t="n">
        <v>43143</v>
      </c>
      <c r="E979" s="22" t="n">
        <v>43160</v>
      </c>
      <c r="F979" s="21" t="s">
        <v>59</v>
      </c>
      <c r="G979" s="23" t="n">
        <v>60.19</v>
      </c>
      <c r="H979" s="23" t="n">
        <v>23.25</v>
      </c>
      <c r="I979" s="21" t="s">
        <v>45</v>
      </c>
      <c r="J979" s="21" t="n">
        <v>5</v>
      </c>
      <c r="K979" s="21" t="s">
        <v>46</v>
      </c>
      <c r="L979" s="24" t="n">
        <f aca="false">DATE(YEAR(C979),MONTH(C979),1)</f>
        <v>43101</v>
      </c>
      <c r="M979" s="21" t="n">
        <f aca="false">D979-C979</f>
        <v>13</v>
      </c>
      <c r="N979" s="21" t="n">
        <f aca="false">MAX(0,D979-E979)</f>
        <v>0</v>
      </c>
      <c r="O979" s="21" t="n">
        <f aca="false">IF(D979&lt;=E979,1,0)</f>
        <v>1</v>
      </c>
      <c r="P979" s="23" t="n">
        <f aca="false">G979+H979</f>
        <v>83.44</v>
      </c>
      <c r="Q979" s="23" t="n">
        <f aca="false">G979*INDEX(Assumptions!$B$8:$B$16,MATCH(F979,Assumptions!$A$8:$A$16,0))</f>
        <v>38.5216</v>
      </c>
      <c r="R979" s="23" t="n">
        <f aca="false">H979*Assumptions!$B$3</f>
        <v>13.95</v>
      </c>
      <c r="S979" s="23" t="n">
        <f aca="false">G979-Q979-R979</f>
        <v>7.7184</v>
      </c>
      <c r="T979" s="21" t="str">
        <f aca="false">IF(M979&lt;=7,"0-7 days",IF(M979&lt;=14,"8-14 days",IF(M979&lt;=21,"15-21 days","22+ days")))</f>
        <v>8-14 days</v>
      </c>
    </row>
    <row r="980" customFormat="false" ht="15" hidden="false" customHeight="false" outlineLevel="0" collapsed="false">
      <c r="A980" s="21" t="s">
        <v>1046</v>
      </c>
      <c r="B980" s="21" t="s">
        <v>62</v>
      </c>
      <c r="C980" s="22" t="n">
        <v>43130</v>
      </c>
      <c r="D980" s="22" t="n">
        <v>43141</v>
      </c>
      <c r="E980" s="22" t="n">
        <v>43150</v>
      </c>
      <c r="F980" s="21" t="s">
        <v>59</v>
      </c>
      <c r="G980" s="23" t="n">
        <v>168.1</v>
      </c>
      <c r="H980" s="23" t="n">
        <v>22.25</v>
      </c>
      <c r="I980" s="21" t="s">
        <v>45</v>
      </c>
      <c r="J980" s="21" t="n">
        <v>5</v>
      </c>
      <c r="K980" s="21" t="s">
        <v>46</v>
      </c>
      <c r="L980" s="24" t="n">
        <f aca="false">DATE(YEAR(C980),MONTH(C980),1)</f>
        <v>43101</v>
      </c>
      <c r="M980" s="21" t="n">
        <f aca="false">D980-C980</f>
        <v>11</v>
      </c>
      <c r="N980" s="21" t="n">
        <f aca="false">MAX(0,D980-E980)</f>
        <v>0</v>
      </c>
      <c r="O980" s="21" t="n">
        <f aca="false">IF(D980&lt;=E980,1,0)</f>
        <v>1</v>
      </c>
      <c r="P980" s="23" t="n">
        <f aca="false">G980+H980</f>
        <v>190.35</v>
      </c>
      <c r="Q980" s="23" t="n">
        <f aca="false">G980*INDEX(Assumptions!$B$8:$B$16,MATCH(F980,Assumptions!$A$8:$A$16,0))</f>
        <v>107.584</v>
      </c>
      <c r="R980" s="23" t="n">
        <f aca="false">H980*Assumptions!$B$3</f>
        <v>13.35</v>
      </c>
      <c r="S980" s="23" t="n">
        <f aca="false">G980-Q980-R980</f>
        <v>47.166</v>
      </c>
      <c r="T980" s="21" t="str">
        <f aca="false">IF(M980&lt;=7,"0-7 days",IF(M980&lt;=14,"8-14 days",IF(M980&lt;=21,"15-21 days","22+ days")))</f>
        <v>8-14 days</v>
      </c>
    </row>
    <row r="981" customFormat="false" ht="15" hidden="false" customHeight="false" outlineLevel="0" collapsed="false">
      <c r="A981" s="21" t="s">
        <v>1047</v>
      </c>
      <c r="B981" s="21" t="s">
        <v>52</v>
      </c>
      <c r="C981" s="22" t="n">
        <v>43130</v>
      </c>
      <c r="D981" s="22" t="n">
        <v>43161</v>
      </c>
      <c r="E981" s="22" t="n">
        <v>43155</v>
      </c>
      <c r="F981" s="21" t="s">
        <v>111</v>
      </c>
      <c r="G981" s="23" t="n">
        <v>52.84</v>
      </c>
      <c r="H981" s="23" t="n">
        <v>17.19</v>
      </c>
      <c r="I981" s="21" t="s">
        <v>45</v>
      </c>
      <c r="J981" s="21" t="n">
        <v>2</v>
      </c>
      <c r="K981" s="21" t="s">
        <v>46</v>
      </c>
      <c r="L981" s="24" t="n">
        <f aca="false">DATE(YEAR(C981),MONTH(C981),1)</f>
        <v>43101</v>
      </c>
      <c r="M981" s="21" t="n">
        <f aca="false">D981-C981</f>
        <v>31</v>
      </c>
      <c r="N981" s="21" t="n">
        <f aca="false">MAX(0,D981-E981)</f>
        <v>6</v>
      </c>
      <c r="O981" s="21" t="n">
        <f aca="false">IF(D981&lt;=E981,1,0)</f>
        <v>0</v>
      </c>
      <c r="P981" s="23" t="n">
        <f aca="false">G981+H981</f>
        <v>70.03</v>
      </c>
      <c r="Q981" s="23" t="n">
        <f aca="false">G981*INDEX(Assumptions!$B$8:$B$16,MATCH(F981,Assumptions!$A$8:$A$16,0))</f>
        <v>33.2892</v>
      </c>
      <c r="R981" s="23" t="n">
        <f aca="false">H981*Assumptions!$B$3</f>
        <v>10.314</v>
      </c>
      <c r="S981" s="23" t="n">
        <f aca="false">G981-Q981-R981</f>
        <v>9.2368</v>
      </c>
      <c r="T981" s="21" t="str">
        <f aca="false">IF(M981&lt;=7,"0-7 days",IF(M981&lt;=14,"8-14 days",IF(M981&lt;=21,"15-21 days","22+ days")))</f>
        <v>22+ days</v>
      </c>
    </row>
    <row r="982" customFormat="false" ht="15" hidden="false" customHeight="false" outlineLevel="0" collapsed="false">
      <c r="A982" s="21" t="s">
        <v>1048</v>
      </c>
      <c r="B982" s="21" t="s">
        <v>19</v>
      </c>
      <c r="C982" s="22" t="n">
        <v>43130</v>
      </c>
      <c r="D982" s="22" t="n">
        <v>43143</v>
      </c>
      <c r="E982" s="22" t="n">
        <v>43150</v>
      </c>
      <c r="F982" s="21" t="s">
        <v>79</v>
      </c>
      <c r="G982" s="23" t="n">
        <v>117.93</v>
      </c>
      <c r="H982" s="23" t="n">
        <v>15.69</v>
      </c>
      <c r="I982" s="21" t="s">
        <v>45</v>
      </c>
      <c r="J982" s="21" t="n">
        <v>5</v>
      </c>
      <c r="K982" s="21" t="s">
        <v>46</v>
      </c>
      <c r="L982" s="24" t="n">
        <f aca="false">DATE(YEAR(C982),MONTH(C982),1)</f>
        <v>43101</v>
      </c>
      <c r="M982" s="21" t="n">
        <f aca="false">D982-C982</f>
        <v>13</v>
      </c>
      <c r="N982" s="21" t="n">
        <f aca="false">MAX(0,D982-E982)</f>
        <v>0</v>
      </c>
      <c r="O982" s="21" t="n">
        <f aca="false">IF(D982&lt;=E982,1,0)</f>
        <v>1</v>
      </c>
      <c r="P982" s="23" t="n">
        <f aca="false">G982+H982</f>
        <v>133.62</v>
      </c>
      <c r="Q982" s="23" t="n">
        <f aca="false">G982*INDEX(Assumptions!$B$8:$B$16,MATCH(F982,Assumptions!$A$8:$A$16,0))</f>
        <v>82.551</v>
      </c>
      <c r="R982" s="23" t="n">
        <f aca="false">H982*Assumptions!$B$3</f>
        <v>9.414</v>
      </c>
      <c r="S982" s="23" t="n">
        <f aca="false">G982-Q982-R982</f>
        <v>25.965</v>
      </c>
      <c r="T982" s="21" t="str">
        <f aca="false">IF(M982&lt;=7,"0-7 days",IF(M982&lt;=14,"8-14 days",IF(M982&lt;=21,"15-21 days","22+ days")))</f>
        <v>8-14 days</v>
      </c>
    </row>
    <row r="983" customFormat="false" ht="15" hidden="false" customHeight="false" outlineLevel="0" collapsed="false">
      <c r="A983" s="21" t="s">
        <v>1049</v>
      </c>
      <c r="B983" s="21" t="s">
        <v>62</v>
      </c>
      <c r="C983" s="22" t="n">
        <v>43130</v>
      </c>
      <c r="D983" s="22" t="n">
        <v>43142</v>
      </c>
      <c r="E983" s="22" t="n">
        <v>43149</v>
      </c>
      <c r="F983" s="21" t="s">
        <v>59</v>
      </c>
      <c r="G983" s="23" t="n">
        <v>56.76</v>
      </c>
      <c r="H983" s="23" t="n">
        <v>23.52</v>
      </c>
      <c r="I983" s="21" t="s">
        <v>60</v>
      </c>
      <c r="J983" s="21" t="n">
        <v>3</v>
      </c>
      <c r="K983" s="21" t="s">
        <v>46</v>
      </c>
      <c r="L983" s="24" t="n">
        <f aca="false">DATE(YEAR(C983),MONTH(C983),1)</f>
        <v>43101</v>
      </c>
      <c r="M983" s="21" t="n">
        <f aca="false">D983-C983</f>
        <v>12</v>
      </c>
      <c r="N983" s="21" t="n">
        <f aca="false">MAX(0,D983-E983)</f>
        <v>0</v>
      </c>
      <c r="O983" s="21" t="n">
        <f aca="false">IF(D983&lt;=E983,1,0)</f>
        <v>1</v>
      </c>
      <c r="P983" s="23" t="n">
        <f aca="false">G983+H983</f>
        <v>80.28</v>
      </c>
      <c r="Q983" s="23" t="n">
        <f aca="false">G983*INDEX(Assumptions!$B$8:$B$16,MATCH(F983,Assumptions!$A$8:$A$16,0))</f>
        <v>36.3264</v>
      </c>
      <c r="R983" s="23" t="n">
        <f aca="false">H983*Assumptions!$B$3</f>
        <v>14.112</v>
      </c>
      <c r="S983" s="23" t="n">
        <f aca="false">G983-Q983-R983</f>
        <v>6.3216</v>
      </c>
      <c r="T983" s="21" t="str">
        <f aca="false">IF(M983&lt;=7,"0-7 days",IF(M983&lt;=14,"8-14 days",IF(M983&lt;=21,"15-21 days","22+ days")))</f>
        <v>8-14 days</v>
      </c>
    </row>
    <row r="984" customFormat="false" ht="15" hidden="false" customHeight="false" outlineLevel="0" collapsed="false">
      <c r="A984" s="21" t="s">
        <v>1050</v>
      </c>
      <c r="B984" s="21" t="s">
        <v>19</v>
      </c>
      <c r="C984" s="22" t="n">
        <v>43130</v>
      </c>
      <c r="D984" s="22" t="n">
        <v>43140</v>
      </c>
      <c r="E984" s="22" t="n">
        <v>43141</v>
      </c>
      <c r="F984" s="21" t="s">
        <v>49</v>
      </c>
      <c r="G984" s="23" t="n">
        <v>82.63</v>
      </c>
      <c r="H984" s="23" t="n">
        <v>21.62</v>
      </c>
      <c r="I984" s="21" t="s">
        <v>45</v>
      </c>
      <c r="J984" s="21" t="n">
        <v>4</v>
      </c>
      <c r="K984" s="21" t="s">
        <v>46</v>
      </c>
      <c r="L984" s="24" t="n">
        <f aca="false">DATE(YEAR(C984),MONTH(C984),1)</f>
        <v>43101</v>
      </c>
      <c r="M984" s="21" t="n">
        <f aca="false">D984-C984</f>
        <v>10</v>
      </c>
      <c r="N984" s="21" t="n">
        <f aca="false">MAX(0,D984-E984)</f>
        <v>0</v>
      </c>
      <c r="O984" s="21" t="n">
        <f aca="false">IF(D984&lt;=E984,1,0)</f>
        <v>1</v>
      </c>
      <c r="P984" s="23" t="n">
        <f aca="false">G984+H984</f>
        <v>104.25</v>
      </c>
      <c r="Q984" s="23" t="n">
        <f aca="false">G984*INDEX(Assumptions!$B$8:$B$16,MATCH(F984,Assumptions!$A$8:$A$16,0))</f>
        <v>47.9254</v>
      </c>
      <c r="R984" s="23" t="n">
        <f aca="false">H984*Assumptions!$B$3</f>
        <v>12.972</v>
      </c>
      <c r="S984" s="23" t="n">
        <f aca="false">G984-Q984-R984</f>
        <v>21.7326</v>
      </c>
      <c r="T984" s="21" t="str">
        <f aca="false">IF(M984&lt;=7,"0-7 days",IF(M984&lt;=14,"8-14 days",IF(M984&lt;=21,"15-21 days","22+ days")))</f>
        <v>8-14 days</v>
      </c>
    </row>
    <row r="985" customFormat="false" ht="15" hidden="false" customHeight="false" outlineLevel="0" collapsed="false">
      <c r="A985" s="21" t="s">
        <v>1051</v>
      </c>
      <c r="B985" s="21" t="s">
        <v>55</v>
      </c>
      <c r="C985" s="22" t="n">
        <v>43130</v>
      </c>
      <c r="D985" s="22" t="n">
        <v>43140</v>
      </c>
      <c r="E985" s="22" t="n">
        <v>43155</v>
      </c>
      <c r="F985" s="21" t="s">
        <v>49</v>
      </c>
      <c r="G985" s="23" t="n">
        <v>35.63</v>
      </c>
      <c r="H985" s="23" t="n">
        <v>26.32</v>
      </c>
      <c r="I985" s="21" t="s">
        <v>45</v>
      </c>
      <c r="J985" s="21" t="n">
        <v>4</v>
      </c>
      <c r="K985" s="21" t="s">
        <v>46</v>
      </c>
      <c r="L985" s="24" t="n">
        <f aca="false">DATE(YEAR(C985),MONTH(C985),1)</f>
        <v>43101</v>
      </c>
      <c r="M985" s="21" t="n">
        <f aca="false">D985-C985</f>
        <v>10</v>
      </c>
      <c r="N985" s="21" t="n">
        <f aca="false">MAX(0,D985-E985)</f>
        <v>0</v>
      </c>
      <c r="O985" s="21" t="n">
        <f aca="false">IF(D985&lt;=E985,1,0)</f>
        <v>1</v>
      </c>
      <c r="P985" s="23" t="n">
        <f aca="false">G985+H985</f>
        <v>61.95</v>
      </c>
      <c r="Q985" s="23" t="n">
        <f aca="false">G985*INDEX(Assumptions!$B$8:$B$16,MATCH(F985,Assumptions!$A$8:$A$16,0))</f>
        <v>20.6654</v>
      </c>
      <c r="R985" s="23" t="n">
        <f aca="false">H985*Assumptions!$B$3</f>
        <v>15.792</v>
      </c>
      <c r="S985" s="23" t="n">
        <f aca="false">G985-Q985-R985</f>
        <v>-0.827399999999999</v>
      </c>
      <c r="T985" s="21" t="str">
        <f aca="false">IF(M985&lt;=7,"0-7 days",IF(M985&lt;=14,"8-14 days",IF(M985&lt;=21,"15-21 days","22+ days")))</f>
        <v>8-14 days</v>
      </c>
    </row>
    <row r="986" customFormat="false" ht="15" hidden="false" customHeight="false" outlineLevel="0" collapsed="false">
      <c r="A986" s="21" t="s">
        <v>1052</v>
      </c>
      <c r="B986" s="21" t="s">
        <v>19</v>
      </c>
      <c r="C986" s="22" t="n">
        <v>43130</v>
      </c>
      <c r="D986" s="22" t="n">
        <v>43139</v>
      </c>
      <c r="E986" s="22" t="n">
        <v>43147</v>
      </c>
      <c r="F986" s="21" t="s">
        <v>49</v>
      </c>
      <c r="G986" s="23" t="n">
        <v>47.1</v>
      </c>
      <c r="H986" s="23" t="n">
        <v>21.78</v>
      </c>
      <c r="I986" s="21" t="s">
        <v>45</v>
      </c>
      <c r="J986" s="21" t="n">
        <v>4</v>
      </c>
      <c r="K986" s="21" t="s">
        <v>46</v>
      </c>
      <c r="L986" s="24" t="n">
        <f aca="false">DATE(YEAR(C986),MONTH(C986),1)</f>
        <v>43101</v>
      </c>
      <c r="M986" s="21" t="n">
        <f aca="false">D986-C986</f>
        <v>9</v>
      </c>
      <c r="N986" s="21" t="n">
        <f aca="false">MAX(0,D986-E986)</f>
        <v>0</v>
      </c>
      <c r="O986" s="21" t="n">
        <f aca="false">IF(D986&lt;=E986,1,0)</f>
        <v>1</v>
      </c>
      <c r="P986" s="23" t="n">
        <f aca="false">G986+H986</f>
        <v>68.88</v>
      </c>
      <c r="Q986" s="23" t="n">
        <f aca="false">G986*INDEX(Assumptions!$B$8:$B$16,MATCH(F986,Assumptions!$A$8:$A$16,0))</f>
        <v>27.318</v>
      </c>
      <c r="R986" s="23" t="n">
        <f aca="false">H986*Assumptions!$B$3</f>
        <v>13.068</v>
      </c>
      <c r="S986" s="23" t="n">
        <f aca="false">G986-Q986-R986</f>
        <v>6.714</v>
      </c>
      <c r="T986" s="21" t="str">
        <f aca="false">IF(M986&lt;=7,"0-7 days",IF(M986&lt;=14,"8-14 days",IF(M986&lt;=21,"15-21 days","22+ days")))</f>
        <v>8-14 days</v>
      </c>
    </row>
    <row r="987" customFormat="false" ht="15" hidden="false" customHeight="false" outlineLevel="0" collapsed="false">
      <c r="A987" s="21" t="s">
        <v>1053</v>
      </c>
      <c r="B987" s="21" t="s">
        <v>19</v>
      </c>
      <c r="C987" s="22" t="n">
        <v>43131</v>
      </c>
      <c r="D987" s="22" t="n">
        <v>43138</v>
      </c>
      <c r="E987" s="22" t="n">
        <v>43147</v>
      </c>
      <c r="F987" s="21" t="s">
        <v>79</v>
      </c>
      <c r="G987" s="23" t="n">
        <v>154.06</v>
      </c>
      <c r="H987" s="23" t="n">
        <v>18.04</v>
      </c>
      <c r="I987" s="21" t="s">
        <v>45</v>
      </c>
      <c r="J987" s="21" t="n">
        <v>4</v>
      </c>
      <c r="K987" s="21" t="s">
        <v>46</v>
      </c>
      <c r="L987" s="24" t="n">
        <f aca="false">DATE(YEAR(C987),MONTH(C987),1)</f>
        <v>43101</v>
      </c>
      <c r="M987" s="21" t="n">
        <f aca="false">D987-C987</f>
        <v>7</v>
      </c>
      <c r="N987" s="21" t="n">
        <f aca="false">MAX(0,D987-E987)</f>
        <v>0</v>
      </c>
      <c r="O987" s="21" t="n">
        <f aca="false">IF(D987&lt;=E987,1,0)</f>
        <v>1</v>
      </c>
      <c r="P987" s="23" t="n">
        <f aca="false">G987+H987</f>
        <v>172.1</v>
      </c>
      <c r="Q987" s="23" t="n">
        <f aca="false">G987*INDEX(Assumptions!$B$8:$B$16,MATCH(F987,Assumptions!$A$8:$A$16,0))</f>
        <v>107.842</v>
      </c>
      <c r="R987" s="23" t="n">
        <f aca="false">H987*Assumptions!$B$3</f>
        <v>10.824</v>
      </c>
      <c r="S987" s="23" t="n">
        <f aca="false">G987-Q987-R987</f>
        <v>35.394</v>
      </c>
      <c r="T987" s="21" t="str">
        <f aca="false">IF(M987&lt;=7,"0-7 days",IF(M987&lt;=14,"8-14 days",IF(M987&lt;=21,"15-21 days","22+ days")))</f>
        <v>0-7 days</v>
      </c>
    </row>
    <row r="988" customFormat="false" ht="15" hidden="false" customHeight="false" outlineLevel="0" collapsed="false">
      <c r="A988" s="21" t="s">
        <v>1054</v>
      </c>
      <c r="B988" s="21" t="s">
        <v>19</v>
      </c>
      <c r="C988" s="22" t="n">
        <v>43131</v>
      </c>
      <c r="D988" s="22" t="n">
        <v>43135</v>
      </c>
      <c r="E988" s="22" t="n">
        <v>43148</v>
      </c>
      <c r="F988" s="21" t="s">
        <v>49</v>
      </c>
      <c r="G988" s="23" t="n">
        <v>74</v>
      </c>
      <c r="H988" s="23" t="n">
        <v>15.33</v>
      </c>
      <c r="I988" s="21" t="s">
        <v>45</v>
      </c>
      <c r="J988" s="21" t="n">
        <v>4</v>
      </c>
      <c r="K988" s="21" t="s">
        <v>46</v>
      </c>
      <c r="L988" s="24" t="n">
        <f aca="false">DATE(YEAR(C988),MONTH(C988),1)</f>
        <v>43101</v>
      </c>
      <c r="M988" s="21" t="n">
        <f aca="false">D988-C988</f>
        <v>4</v>
      </c>
      <c r="N988" s="21" t="n">
        <f aca="false">MAX(0,D988-E988)</f>
        <v>0</v>
      </c>
      <c r="O988" s="21" t="n">
        <f aca="false">IF(D988&lt;=E988,1,0)</f>
        <v>1</v>
      </c>
      <c r="P988" s="23" t="n">
        <f aca="false">G988+H988</f>
        <v>89.33</v>
      </c>
      <c r="Q988" s="23" t="n">
        <f aca="false">G988*INDEX(Assumptions!$B$8:$B$16,MATCH(F988,Assumptions!$A$8:$A$16,0))</f>
        <v>42.92</v>
      </c>
      <c r="R988" s="23" t="n">
        <f aca="false">H988*Assumptions!$B$3</f>
        <v>9.198</v>
      </c>
      <c r="S988" s="23" t="n">
        <f aca="false">G988-Q988-R988</f>
        <v>21.882</v>
      </c>
      <c r="T988" s="21" t="str">
        <f aca="false">IF(M988&lt;=7,"0-7 days",IF(M988&lt;=14,"8-14 days",IF(M988&lt;=21,"15-21 days","22+ days")))</f>
        <v>0-7 days</v>
      </c>
    </row>
    <row r="989" customFormat="false" ht="15" hidden="false" customHeight="false" outlineLevel="0" collapsed="false">
      <c r="A989" s="21" t="s">
        <v>1055</v>
      </c>
      <c r="B989" s="21" t="s">
        <v>48</v>
      </c>
      <c r="C989" s="22" t="n">
        <v>43132</v>
      </c>
      <c r="D989" s="22" t="n">
        <v>43148</v>
      </c>
      <c r="E989" s="22" t="n">
        <v>43153</v>
      </c>
      <c r="F989" s="21" t="s">
        <v>59</v>
      </c>
      <c r="G989" s="23" t="n">
        <v>57.13</v>
      </c>
      <c r="H989" s="23" t="n">
        <v>23.38</v>
      </c>
      <c r="I989" s="21" t="s">
        <v>45</v>
      </c>
      <c r="J989" s="21" t="n">
        <v>5</v>
      </c>
      <c r="K989" s="21" t="s">
        <v>46</v>
      </c>
      <c r="L989" s="24" t="n">
        <f aca="false">DATE(YEAR(C989),MONTH(C989),1)</f>
        <v>43132</v>
      </c>
      <c r="M989" s="21" t="n">
        <f aca="false">D989-C989</f>
        <v>16</v>
      </c>
      <c r="N989" s="21" t="n">
        <f aca="false">MAX(0,D989-E989)</f>
        <v>0</v>
      </c>
      <c r="O989" s="21" t="n">
        <f aca="false">IF(D989&lt;=E989,1,0)</f>
        <v>1</v>
      </c>
      <c r="P989" s="23" t="n">
        <f aca="false">G989+H989</f>
        <v>80.51</v>
      </c>
      <c r="Q989" s="23" t="n">
        <f aca="false">G989*INDEX(Assumptions!$B$8:$B$16,MATCH(F989,Assumptions!$A$8:$A$16,0))</f>
        <v>36.5632</v>
      </c>
      <c r="R989" s="23" t="n">
        <f aca="false">H989*Assumptions!$B$3</f>
        <v>14.028</v>
      </c>
      <c r="S989" s="23" t="n">
        <f aca="false">G989-Q989-R989</f>
        <v>6.5388</v>
      </c>
      <c r="T989" s="21" t="str">
        <f aca="false">IF(M989&lt;=7,"0-7 days",IF(M989&lt;=14,"8-14 days",IF(M989&lt;=21,"15-21 days","22+ days")))</f>
        <v>15-21 days</v>
      </c>
    </row>
    <row r="990" customFormat="false" ht="15" hidden="false" customHeight="false" outlineLevel="0" collapsed="false">
      <c r="A990" s="21" t="s">
        <v>1056</v>
      </c>
      <c r="B990" s="21" t="s">
        <v>134</v>
      </c>
      <c r="C990" s="22" t="n">
        <v>43132</v>
      </c>
      <c r="D990" s="22" t="n">
        <v>43159</v>
      </c>
      <c r="E990" s="22" t="n">
        <v>43153</v>
      </c>
      <c r="F990" s="21" t="s">
        <v>79</v>
      </c>
      <c r="G990" s="23" t="n">
        <v>90.27</v>
      </c>
      <c r="H990" s="23" t="n">
        <v>17.41</v>
      </c>
      <c r="I990" s="21" t="s">
        <v>45</v>
      </c>
      <c r="J990" s="21" t="n">
        <v>3</v>
      </c>
      <c r="K990" s="21" t="s">
        <v>46</v>
      </c>
      <c r="L990" s="24" t="n">
        <f aca="false">DATE(YEAR(C990),MONTH(C990),1)</f>
        <v>43132</v>
      </c>
      <c r="M990" s="21" t="n">
        <f aca="false">D990-C990</f>
        <v>27</v>
      </c>
      <c r="N990" s="21" t="n">
        <f aca="false">MAX(0,D990-E990)</f>
        <v>6</v>
      </c>
      <c r="O990" s="21" t="n">
        <f aca="false">IF(D990&lt;=E990,1,0)</f>
        <v>0</v>
      </c>
      <c r="P990" s="23" t="n">
        <f aca="false">G990+H990</f>
        <v>107.68</v>
      </c>
      <c r="Q990" s="23" t="n">
        <f aca="false">G990*INDEX(Assumptions!$B$8:$B$16,MATCH(F990,Assumptions!$A$8:$A$16,0))</f>
        <v>63.189</v>
      </c>
      <c r="R990" s="23" t="n">
        <f aca="false">H990*Assumptions!$B$3</f>
        <v>10.446</v>
      </c>
      <c r="S990" s="23" t="n">
        <f aca="false">G990-Q990-R990</f>
        <v>16.635</v>
      </c>
      <c r="T990" s="21" t="str">
        <f aca="false">IF(M990&lt;=7,"0-7 days",IF(M990&lt;=14,"8-14 days",IF(M990&lt;=21,"15-21 days","22+ days")))</f>
        <v>22+ days</v>
      </c>
    </row>
    <row r="991" customFormat="false" ht="15" hidden="false" customHeight="false" outlineLevel="0" collapsed="false">
      <c r="A991" s="21" t="s">
        <v>1057</v>
      </c>
      <c r="B991" s="21" t="s">
        <v>19</v>
      </c>
      <c r="C991" s="22" t="n">
        <v>43132</v>
      </c>
      <c r="D991" s="22" t="n">
        <v>43141</v>
      </c>
      <c r="E991" s="22" t="n">
        <v>43150</v>
      </c>
      <c r="F991" s="21" t="s">
        <v>44</v>
      </c>
      <c r="G991" s="23" t="n">
        <v>85.44</v>
      </c>
      <c r="H991" s="23" t="n">
        <v>16.75</v>
      </c>
      <c r="I991" s="21" t="s">
        <v>60</v>
      </c>
      <c r="J991" s="21" t="n">
        <v>5</v>
      </c>
      <c r="K991" s="21" t="s">
        <v>46</v>
      </c>
      <c r="L991" s="24" t="n">
        <f aca="false">DATE(YEAR(C991),MONTH(C991),1)</f>
        <v>43132</v>
      </c>
      <c r="M991" s="21" t="n">
        <f aca="false">D991-C991</f>
        <v>9</v>
      </c>
      <c r="N991" s="21" t="n">
        <f aca="false">MAX(0,D991-E991)</f>
        <v>0</v>
      </c>
      <c r="O991" s="21" t="n">
        <f aca="false">IF(D991&lt;=E991,1,0)</f>
        <v>1</v>
      </c>
      <c r="P991" s="23" t="n">
        <f aca="false">G991+H991</f>
        <v>102.19</v>
      </c>
      <c r="Q991" s="23" t="n">
        <f aca="false">G991*INDEX(Assumptions!$B$8:$B$16,MATCH(F991,Assumptions!$A$8:$A$16,0))</f>
        <v>51.264</v>
      </c>
      <c r="R991" s="23" t="n">
        <f aca="false">H991*Assumptions!$B$3</f>
        <v>10.05</v>
      </c>
      <c r="S991" s="23" t="n">
        <f aca="false">G991-Q991-R991</f>
        <v>24.126</v>
      </c>
      <c r="T991" s="21" t="str">
        <f aca="false">IF(M991&lt;=7,"0-7 days",IF(M991&lt;=14,"8-14 days",IF(M991&lt;=21,"15-21 days","22+ days")))</f>
        <v>8-14 days</v>
      </c>
    </row>
    <row r="992" customFormat="false" ht="15" hidden="false" customHeight="false" outlineLevel="0" collapsed="false">
      <c r="A992" s="21" t="s">
        <v>1058</v>
      </c>
      <c r="B992" s="21" t="s">
        <v>19</v>
      </c>
      <c r="C992" s="22" t="n">
        <v>43133</v>
      </c>
      <c r="D992" s="22" t="n">
        <v>43137</v>
      </c>
      <c r="E992" s="22" t="n">
        <v>43148</v>
      </c>
      <c r="F992" s="21" t="s">
        <v>57</v>
      </c>
      <c r="G992" s="23" t="n">
        <v>83</v>
      </c>
      <c r="H992" s="23" t="n">
        <v>19.33</v>
      </c>
      <c r="I992" s="21" t="s">
        <v>45</v>
      </c>
      <c r="J992" s="21" t="n">
        <v>3</v>
      </c>
      <c r="K992" s="21" t="s">
        <v>46</v>
      </c>
      <c r="L992" s="24" t="n">
        <f aca="false">DATE(YEAR(C992),MONTH(C992),1)</f>
        <v>43132</v>
      </c>
      <c r="M992" s="21" t="n">
        <f aca="false">D992-C992</f>
        <v>4</v>
      </c>
      <c r="N992" s="21" t="n">
        <f aca="false">MAX(0,D992-E992)</f>
        <v>0</v>
      </c>
      <c r="O992" s="21" t="n">
        <f aca="false">IF(D992&lt;=E992,1,0)</f>
        <v>1</v>
      </c>
      <c r="P992" s="23" t="n">
        <f aca="false">G992+H992</f>
        <v>102.33</v>
      </c>
      <c r="Q992" s="23" t="n">
        <f aca="false">G992*INDEX(Assumptions!$B$8:$B$16,MATCH(F992,Assumptions!$A$8:$A$16,0))</f>
        <v>56.44</v>
      </c>
      <c r="R992" s="23" t="n">
        <f aca="false">H992*Assumptions!$B$3</f>
        <v>11.598</v>
      </c>
      <c r="S992" s="23" t="n">
        <f aca="false">G992-Q992-R992</f>
        <v>14.962</v>
      </c>
      <c r="T992" s="21" t="str">
        <f aca="false">IF(M992&lt;=7,"0-7 days",IF(M992&lt;=14,"8-14 days",IF(M992&lt;=21,"15-21 days","22+ days")))</f>
        <v>0-7 days</v>
      </c>
    </row>
    <row r="993" customFormat="false" ht="15" hidden="false" customHeight="false" outlineLevel="0" collapsed="false">
      <c r="A993" s="21" t="s">
        <v>1059</v>
      </c>
      <c r="B993" s="21" t="s">
        <v>19</v>
      </c>
      <c r="C993" s="22" t="n">
        <v>43134</v>
      </c>
      <c r="D993" s="22" t="n">
        <v>43140</v>
      </c>
      <c r="E993" s="22" t="n">
        <v>43152</v>
      </c>
      <c r="F993" s="21" t="s">
        <v>59</v>
      </c>
      <c r="G993" s="23" t="n">
        <v>87.77</v>
      </c>
      <c r="H993" s="23" t="n">
        <v>18.45</v>
      </c>
      <c r="I993" s="21" t="s">
        <v>45</v>
      </c>
      <c r="J993" s="21" t="n">
        <v>5</v>
      </c>
      <c r="K993" s="21" t="s">
        <v>46</v>
      </c>
      <c r="L993" s="24" t="n">
        <f aca="false">DATE(YEAR(C993),MONTH(C993),1)</f>
        <v>43132</v>
      </c>
      <c r="M993" s="21" t="n">
        <f aca="false">D993-C993</f>
        <v>6</v>
      </c>
      <c r="N993" s="21" t="n">
        <f aca="false">MAX(0,D993-E993)</f>
        <v>0</v>
      </c>
      <c r="O993" s="21" t="n">
        <f aca="false">IF(D993&lt;=E993,1,0)</f>
        <v>1</v>
      </c>
      <c r="P993" s="23" t="n">
        <f aca="false">G993+H993</f>
        <v>106.22</v>
      </c>
      <c r="Q993" s="23" t="n">
        <f aca="false">G993*INDEX(Assumptions!$B$8:$B$16,MATCH(F993,Assumptions!$A$8:$A$16,0))</f>
        <v>56.1728</v>
      </c>
      <c r="R993" s="23" t="n">
        <f aca="false">H993*Assumptions!$B$3</f>
        <v>11.07</v>
      </c>
      <c r="S993" s="23" t="n">
        <f aca="false">G993-Q993-R993</f>
        <v>20.5272</v>
      </c>
      <c r="T993" s="21" t="str">
        <f aca="false">IF(M993&lt;=7,"0-7 days",IF(M993&lt;=14,"8-14 days",IF(M993&lt;=21,"15-21 days","22+ days")))</f>
        <v>0-7 days</v>
      </c>
    </row>
    <row r="994" customFormat="false" ht="15" hidden="false" customHeight="false" outlineLevel="0" collapsed="false">
      <c r="A994" s="21" t="s">
        <v>1060</v>
      </c>
      <c r="B994" s="21" t="s">
        <v>19</v>
      </c>
      <c r="C994" s="22" t="n">
        <v>43134</v>
      </c>
      <c r="D994" s="22" t="n">
        <v>43146</v>
      </c>
      <c r="E994" s="22" t="n">
        <v>43149</v>
      </c>
      <c r="F994" s="21" t="s">
        <v>49</v>
      </c>
      <c r="G994" s="23" t="n">
        <v>37.78</v>
      </c>
      <c r="H994" s="23" t="n">
        <v>12.26</v>
      </c>
      <c r="I994" s="21" t="s">
        <v>45</v>
      </c>
      <c r="J994" s="21" t="n">
        <v>5</v>
      </c>
      <c r="K994" s="21" t="s">
        <v>46</v>
      </c>
      <c r="L994" s="24" t="n">
        <f aca="false">DATE(YEAR(C994),MONTH(C994),1)</f>
        <v>43132</v>
      </c>
      <c r="M994" s="21" t="n">
        <f aca="false">D994-C994</f>
        <v>12</v>
      </c>
      <c r="N994" s="21" t="n">
        <f aca="false">MAX(0,D994-E994)</f>
        <v>0</v>
      </c>
      <c r="O994" s="21" t="n">
        <f aca="false">IF(D994&lt;=E994,1,0)</f>
        <v>1</v>
      </c>
      <c r="P994" s="23" t="n">
        <f aca="false">G994+H994</f>
        <v>50.04</v>
      </c>
      <c r="Q994" s="23" t="n">
        <f aca="false">G994*INDEX(Assumptions!$B$8:$B$16,MATCH(F994,Assumptions!$A$8:$A$16,0))</f>
        <v>21.9124</v>
      </c>
      <c r="R994" s="23" t="n">
        <f aca="false">H994*Assumptions!$B$3</f>
        <v>7.356</v>
      </c>
      <c r="S994" s="23" t="n">
        <f aca="false">G994-Q994-R994</f>
        <v>8.5116</v>
      </c>
      <c r="T994" s="21" t="str">
        <f aca="false">IF(M994&lt;=7,"0-7 days",IF(M994&lt;=14,"8-14 days",IF(M994&lt;=21,"15-21 days","22+ days")))</f>
        <v>8-14 days</v>
      </c>
    </row>
    <row r="995" customFormat="false" ht="15" hidden="false" customHeight="false" outlineLevel="0" collapsed="false">
      <c r="A995" s="21" t="s">
        <v>1061</v>
      </c>
      <c r="B995" s="21" t="s">
        <v>19</v>
      </c>
      <c r="C995" s="22" t="n">
        <v>43134</v>
      </c>
      <c r="D995" s="22" t="n">
        <v>43139</v>
      </c>
      <c r="E995" s="22" t="n">
        <v>43147</v>
      </c>
      <c r="F995" s="21" t="s">
        <v>49</v>
      </c>
      <c r="G995" s="23" t="n">
        <v>135.36</v>
      </c>
      <c r="H995" s="23" t="n">
        <v>21.47</v>
      </c>
      <c r="I995" s="21" t="s">
        <v>60</v>
      </c>
      <c r="J995" s="21" t="n">
        <v>5</v>
      </c>
      <c r="K995" s="21" t="s">
        <v>46</v>
      </c>
      <c r="L995" s="24" t="n">
        <f aca="false">DATE(YEAR(C995),MONTH(C995),1)</f>
        <v>43132</v>
      </c>
      <c r="M995" s="21" t="n">
        <f aca="false">D995-C995</f>
        <v>5</v>
      </c>
      <c r="N995" s="21" t="n">
        <f aca="false">MAX(0,D995-E995)</f>
        <v>0</v>
      </c>
      <c r="O995" s="21" t="n">
        <f aca="false">IF(D995&lt;=E995,1,0)</f>
        <v>1</v>
      </c>
      <c r="P995" s="23" t="n">
        <f aca="false">G995+H995</f>
        <v>156.83</v>
      </c>
      <c r="Q995" s="23" t="n">
        <f aca="false">G995*INDEX(Assumptions!$B$8:$B$16,MATCH(F995,Assumptions!$A$8:$A$16,0))</f>
        <v>78.5088</v>
      </c>
      <c r="R995" s="23" t="n">
        <f aca="false">H995*Assumptions!$B$3</f>
        <v>12.882</v>
      </c>
      <c r="S995" s="23" t="n">
        <f aca="false">G995-Q995-R995</f>
        <v>43.9692</v>
      </c>
      <c r="T995" s="21" t="str">
        <f aca="false">IF(M995&lt;=7,"0-7 days",IF(M995&lt;=14,"8-14 days",IF(M995&lt;=21,"15-21 days","22+ days")))</f>
        <v>0-7 days</v>
      </c>
    </row>
    <row r="996" customFormat="false" ht="15" hidden="false" customHeight="false" outlineLevel="0" collapsed="false">
      <c r="A996" s="21" t="s">
        <v>1062</v>
      </c>
      <c r="B996" s="21" t="s">
        <v>19</v>
      </c>
      <c r="C996" s="22" t="n">
        <v>43134</v>
      </c>
      <c r="D996" s="22" t="n">
        <v>43144</v>
      </c>
      <c r="E996" s="22" t="n">
        <v>43146</v>
      </c>
      <c r="F996" s="21" t="s">
        <v>67</v>
      </c>
      <c r="G996" s="23" t="n">
        <v>103.45</v>
      </c>
      <c r="H996" s="23" t="n">
        <v>17.51</v>
      </c>
      <c r="I996" s="21" t="s">
        <v>60</v>
      </c>
      <c r="J996" s="21" t="n">
        <v>5</v>
      </c>
      <c r="K996" s="21" t="s">
        <v>46</v>
      </c>
      <c r="L996" s="24" t="n">
        <f aca="false">DATE(YEAR(C996),MONTH(C996),1)</f>
        <v>43132</v>
      </c>
      <c r="M996" s="21" t="n">
        <f aca="false">D996-C996</f>
        <v>10</v>
      </c>
      <c r="N996" s="21" t="n">
        <f aca="false">MAX(0,D996-E996)</f>
        <v>0</v>
      </c>
      <c r="O996" s="21" t="n">
        <f aca="false">IF(D996&lt;=E996,1,0)</f>
        <v>1</v>
      </c>
      <c r="P996" s="23" t="n">
        <f aca="false">G996+H996</f>
        <v>120.96</v>
      </c>
      <c r="Q996" s="23" t="n">
        <f aca="false">G996*INDEX(Assumptions!$B$8:$B$16,MATCH(F996,Assumptions!$A$8:$A$16,0))</f>
        <v>64.139</v>
      </c>
      <c r="R996" s="23" t="n">
        <f aca="false">H996*Assumptions!$B$3</f>
        <v>10.506</v>
      </c>
      <c r="S996" s="23" t="n">
        <f aca="false">G996-Q996-R996</f>
        <v>28.805</v>
      </c>
      <c r="T996" s="21" t="str">
        <f aca="false">IF(M996&lt;=7,"0-7 days",IF(M996&lt;=14,"8-14 days",IF(M996&lt;=21,"15-21 days","22+ days")))</f>
        <v>8-14 days</v>
      </c>
    </row>
    <row r="997" customFormat="false" ht="15" hidden="false" customHeight="false" outlineLevel="0" collapsed="false">
      <c r="A997" s="21" t="s">
        <v>1063</v>
      </c>
      <c r="B997" s="21" t="s">
        <v>55</v>
      </c>
      <c r="C997" s="22" t="n">
        <v>43134</v>
      </c>
      <c r="D997" s="22" t="n">
        <v>43155</v>
      </c>
      <c r="E997" s="22" t="n">
        <v>43159</v>
      </c>
      <c r="F997" s="21" t="s">
        <v>44</v>
      </c>
      <c r="G997" s="23" t="n">
        <v>134.12</v>
      </c>
      <c r="H997" s="23" t="n">
        <v>23.67</v>
      </c>
      <c r="I997" s="21" t="s">
        <v>45</v>
      </c>
      <c r="J997" s="21" t="n">
        <v>5</v>
      </c>
      <c r="K997" s="21" t="s">
        <v>46</v>
      </c>
      <c r="L997" s="24" t="n">
        <f aca="false">DATE(YEAR(C997),MONTH(C997),1)</f>
        <v>43132</v>
      </c>
      <c r="M997" s="21" t="n">
        <f aca="false">D997-C997</f>
        <v>21</v>
      </c>
      <c r="N997" s="21" t="n">
        <f aca="false">MAX(0,D997-E997)</f>
        <v>0</v>
      </c>
      <c r="O997" s="21" t="n">
        <f aca="false">IF(D997&lt;=E997,1,0)</f>
        <v>1</v>
      </c>
      <c r="P997" s="23" t="n">
        <f aca="false">G997+H997</f>
        <v>157.79</v>
      </c>
      <c r="Q997" s="23" t="n">
        <f aca="false">G997*INDEX(Assumptions!$B$8:$B$16,MATCH(F997,Assumptions!$A$8:$A$16,0))</f>
        <v>80.472</v>
      </c>
      <c r="R997" s="23" t="n">
        <f aca="false">H997*Assumptions!$B$3</f>
        <v>14.202</v>
      </c>
      <c r="S997" s="23" t="n">
        <f aca="false">G997-Q997-R997</f>
        <v>39.446</v>
      </c>
      <c r="T997" s="21" t="str">
        <f aca="false">IF(M997&lt;=7,"0-7 days",IF(M997&lt;=14,"8-14 days",IF(M997&lt;=21,"15-21 days","22+ days")))</f>
        <v>15-21 days</v>
      </c>
    </row>
    <row r="998" customFormat="false" ht="15" hidden="false" customHeight="false" outlineLevel="0" collapsed="false">
      <c r="A998" s="21" t="s">
        <v>1064</v>
      </c>
      <c r="B998" s="21" t="s">
        <v>19</v>
      </c>
      <c r="C998" s="22" t="n">
        <v>43134</v>
      </c>
      <c r="D998" s="22" t="n">
        <v>43145</v>
      </c>
      <c r="E998" s="22" t="n">
        <v>43149</v>
      </c>
      <c r="F998" s="21" t="s">
        <v>49</v>
      </c>
      <c r="G998" s="23" t="n">
        <v>102.24</v>
      </c>
      <c r="H998" s="23" t="n">
        <v>19.34</v>
      </c>
      <c r="I998" s="21" t="s">
        <v>45</v>
      </c>
      <c r="J998" s="21" t="n">
        <v>4</v>
      </c>
      <c r="K998" s="21" t="s">
        <v>46</v>
      </c>
      <c r="L998" s="24" t="n">
        <f aca="false">DATE(YEAR(C998),MONTH(C998),1)</f>
        <v>43132</v>
      </c>
      <c r="M998" s="21" t="n">
        <f aca="false">D998-C998</f>
        <v>11</v>
      </c>
      <c r="N998" s="21" t="n">
        <f aca="false">MAX(0,D998-E998)</f>
        <v>0</v>
      </c>
      <c r="O998" s="21" t="n">
        <f aca="false">IF(D998&lt;=E998,1,0)</f>
        <v>1</v>
      </c>
      <c r="P998" s="23" t="n">
        <f aca="false">G998+H998</f>
        <v>121.58</v>
      </c>
      <c r="Q998" s="23" t="n">
        <f aca="false">G998*INDEX(Assumptions!$B$8:$B$16,MATCH(F998,Assumptions!$A$8:$A$16,0))</f>
        <v>59.2992</v>
      </c>
      <c r="R998" s="23" t="n">
        <f aca="false">H998*Assumptions!$B$3</f>
        <v>11.604</v>
      </c>
      <c r="S998" s="23" t="n">
        <f aca="false">G998-Q998-R998</f>
        <v>31.3368</v>
      </c>
      <c r="T998" s="21" t="str">
        <f aca="false">IF(M998&lt;=7,"0-7 days",IF(M998&lt;=14,"8-14 days",IF(M998&lt;=21,"15-21 days","22+ days")))</f>
        <v>8-14 days</v>
      </c>
    </row>
    <row r="999" customFormat="false" ht="15" hidden="false" customHeight="false" outlineLevel="0" collapsed="false">
      <c r="A999" s="21" t="s">
        <v>1065</v>
      </c>
      <c r="B999" s="21" t="s">
        <v>19</v>
      </c>
      <c r="C999" s="22" t="n">
        <v>43134</v>
      </c>
      <c r="D999" s="22" t="n">
        <v>43141</v>
      </c>
      <c r="E999" s="22" t="n">
        <v>43149</v>
      </c>
      <c r="F999" s="21" t="s">
        <v>67</v>
      </c>
      <c r="G999" s="23" t="n">
        <v>112.79</v>
      </c>
      <c r="H999" s="23" t="n">
        <v>16.29</v>
      </c>
      <c r="I999" s="21" t="s">
        <v>45</v>
      </c>
      <c r="J999" s="21" t="n">
        <v>5</v>
      </c>
      <c r="K999" s="21" t="s">
        <v>46</v>
      </c>
      <c r="L999" s="24" t="n">
        <f aca="false">DATE(YEAR(C999),MONTH(C999),1)</f>
        <v>43132</v>
      </c>
      <c r="M999" s="21" t="n">
        <f aca="false">D999-C999</f>
        <v>7</v>
      </c>
      <c r="N999" s="21" t="n">
        <f aca="false">MAX(0,D999-E999)</f>
        <v>0</v>
      </c>
      <c r="O999" s="21" t="n">
        <f aca="false">IF(D999&lt;=E999,1,0)</f>
        <v>1</v>
      </c>
      <c r="P999" s="23" t="n">
        <f aca="false">G999+H999</f>
        <v>129.08</v>
      </c>
      <c r="Q999" s="23" t="n">
        <f aca="false">G999*INDEX(Assumptions!$B$8:$B$16,MATCH(F999,Assumptions!$A$8:$A$16,0))</f>
        <v>69.9298</v>
      </c>
      <c r="R999" s="23" t="n">
        <f aca="false">H999*Assumptions!$B$3</f>
        <v>9.774</v>
      </c>
      <c r="S999" s="23" t="n">
        <f aca="false">G999-Q999-R999</f>
        <v>33.0862</v>
      </c>
      <c r="T999" s="21" t="str">
        <f aca="false">IF(M999&lt;=7,"0-7 days",IF(M999&lt;=14,"8-14 days",IF(M999&lt;=21,"15-21 days","22+ days")))</f>
        <v>0-7 days</v>
      </c>
    </row>
    <row r="1000" customFormat="false" ht="15" hidden="false" customHeight="false" outlineLevel="0" collapsed="false">
      <c r="A1000" s="21" t="s">
        <v>1066</v>
      </c>
      <c r="B1000" s="21" t="s">
        <v>103</v>
      </c>
      <c r="C1000" s="22" t="n">
        <v>43135</v>
      </c>
      <c r="D1000" s="22" t="n">
        <v>43150</v>
      </c>
      <c r="E1000" s="22" t="n">
        <v>43156</v>
      </c>
      <c r="F1000" s="21" t="s">
        <v>53</v>
      </c>
      <c r="G1000" s="23" t="n">
        <v>104.37</v>
      </c>
      <c r="H1000" s="23" t="n">
        <v>24.18</v>
      </c>
      <c r="I1000" s="21" t="s">
        <v>45</v>
      </c>
      <c r="J1000" s="21" t="n">
        <v>3</v>
      </c>
      <c r="K1000" s="21" t="s">
        <v>46</v>
      </c>
      <c r="L1000" s="24" t="n">
        <f aca="false">DATE(YEAR(C1000),MONTH(C1000),1)</f>
        <v>43132</v>
      </c>
      <c r="M1000" s="21" t="n">
        <f aca="false">D1000-C1000</f>
        <v>15</v>
      </c>
      <c r="N1000" s="21" t="n">
        <f aca="false">MAX(0,D1000-E1000)</f>
        <v>0</v>
      </c>
      <c r="O1000" s="21" t="n">
        <f aca="false">IF(D1000&lt;=E1000,1,0)</f>
        <v>1</v>
      </c>
      <c r="P1000" s="23" t="n">
        <f aca="false">G1000+H1000</f>
        <v>128.55</v>
      </c>
      <c r="Q1000" s="23" t="n">
        <f aca="false">G1000*INDEX(Assumptions!$B$8:$B$16,MATCH(F1000,Assumptions!$A$8:$A$16,0))</f>
        <v>77.2338</v>
      </c>
      <c r="R1000" s="23" t="n">
        <f aca="false">H1000*Assumptions!$B$3</f>
        <v>14.508</v>
      </c>
      <c r="S1000" s="23" t="n">
        <f aca="false">G1000-Q1000-R1000</f>
        <v>12.6282</v>
      </c>
      <c r="T1000" s="21" t="str">
        <f aca="false">IF(M1000&lt;=7,"0-7 days",IF(M1000&lt;=14,"8-14 days",IF(M1000&lt;=21,"15-21 days","22+ days")))</f>
        <v>15-21 days</v>
      </c>
    </row>
    <row r="1001" customFormat="false" ht="15" hidden="false" customHeight="false" outlineLevel="0" collapsed="false">
      <c r="A1001" s="21" t="s">
        <v>1067</v>
      </c>
      <c r="B1001" s="21" t="s">
        <v>19</v>
      </c>
      <c r="C1001" s="22" t="n">
        <v>43135</v>
      </c>
      <c r="D1001" s="22" t="n">
        <v>43155</v>
      </c>
      <c r="E1001" s="22" t="n">
        <v>43151</v>
      </c>
      <c r="F1001" s="21" t="s">
        <v>67</v>
      </c>
      <c r="G1001" s="23" t="n">
        <v>63.35</v>
      </c>
      <c r="H1001" s="23" t="n">
        <v>20.64</v>
      </c>
      <c r="I1001" s="21" t="s">
        <v>60</v>
      </c>
      <c r="J1001" s="21" t="n">
        <v>2</v>
      </c>
      <c r="K1001" s="21" t="s">
        <v>46</v>
      </c>
      <c r="L1001" s="24" t="n">
        <f aca="false">DATE(YEAR(C1001),MONTH(C1001),1)</f>
        <v>43132</v>
      </c>
      <c r="M1001" s="21" t="n">
        <f aca="false">D1001-C1001</f>
        <v>20</v>
      </c>
      <c r="N1001" s="21" t="n">
        <f aca="false">MAX(0,D1001-E1001)</f>
        <v>4</v>
      </c>
      <c r="O1001" s="21" t="n">
        <f aca="false">IF(D1001&lt;=E1001,1,0)</f>
        <v>0</v>
      </c>
      <c r="P1001" s="23" t="n">
        <f aca="false">G1001+H1001</f>
        <v>83.99</v>
      </c>
      <c r="Q1001" s="23" t="n">
        <f aca="false">G1001*INDEX(Assumptions!$B$8:$B$16,MATCH(F1001,Assumptions!$A$8:$A$16,0))</f>
        <v>39.277</v>
      </c>
      <c r="R1001" s="23" t="n">
        <f aca="false">H1001*Assumptions!$B$3</f>
        <v>12.384</v>
      </c>
      <c r="S1001" s="23" t="n">
        <f aca="false">G1001-Q1001-R1001</f>
        <v>11.689</v>
      </c>
      <c r="T1001" s="21" t="str">
        <f aca="false">IF(M1001&lt;=7,"0-7 days",IF(M1001&lt;=14,"8-14 days",IF(M1001&lt;=21,"15-21 days","22+ days")))</f>
        <v>15-21 days</v>
      </c>
    </row>
    <row r="1002" customFormat="false" ht="15" hidden="false" customHeight="false" outlineLevel="0" collapsed="false">
      <c r="A1002" s="21" t="s">
        <v>1068</v>
      </c>
      <c r="B1002" s="21" t="s">
        <v>62</v>
      </c>
      <c r="C1002" s="22" t="n">
        <v>43135</v>
      </c>
      <c r="D1002" s="22" t="n">
        <v>43149</v>
      </c>
      <c r="E1002" s="22" t="n">
        <v>43154</v>
      </c>
      <c r="F1002" s="21" t="s">
        <v>49</v>
      </c>
      <c r="G1002" s="23" t="n">
        <v>228.83</v>
      </c>
      <c r="H1002" s="23" t="n">
        <v>31.54</v>
      </c>
      <c r="I1002" s="21" t="s">
        <v>45</v>
      </c>
      <c r="J1002" s="21" t="n">
        <v>3</v>
      </c>
      <c r="K1002" s="21" t="s">
        <v>46</v>
      </c>
      <c r="L1002" s="24" t="n">
        <f aca="false">DATE(YEAR(C1002),MONTH(C1002),1)</f>
        <v>43132</v>
      </c>
      <c r="M1002" s="21" t="n">
        <f aca="false">D1002-C1002</f>
        <v>14</v>
      </c>
      <c r="N1002" s="21" t="n">
        <f aca="false">MAX(0,D1002-E1002)</f>
        <v>0</v>
      </c>
      <c r="O1002" s="21" t="n">
        <f aca="false">IF(D1002&lt;=E1002,1,0)</f>
        <v>1</v>
      </c>
      <c r="P1002" s="23" t="n">
        <f aca="false">G1002+H1002</f>
        <v>260.37</v>
      </c>
      <c r="Q1002" s="23" t="n">
        <f aca="false">G1002*INDEX(Assumptions!$B$8:$B$16,MATCH(F1002,Assumptions!$A$8:$A$16,0))</f>
        <v>132.7214</v>
      </c>
      <c r="R1002" s="23" t="n">
        <f aca="false">H1002*Assumptions!$B$3</f>
        <v>18.924</v>
      </c>
      <c r="S1002" s="23" t="n">
        <f aca="false">G1002-Q1002-R1002</f>
        <v>77.1846</v>
      </c>
      <c r="T1002" s="21" t="str">
        <f aca="false">IF(M1002&lt;=7,"0-7 days",IF(M1002&lt;=14,"8-14 days",IF(M1002&lt;=21,"15-21 days","22+ days")))</f>
        <v>8-14 days</v>
      </c>
    </row>
    <row r="1003" customFormat="false" ht="15" hidden="false" customHeight="false" outlineLevel="0" collapsed="false">
      <c r="A1003" s="21" t="s">
        <v>1069</v>
      </c>
      <c r="B1003" s="21" t="s">
        <v>19</v>
      </c>
      <c r="C1003" s="22" t="n">
        <v>43136</v>
      </c>
      <c r="D1003" s="22" t="n">
        <v>43143</v>
      </c>
      <c r="E1003" s="22" t="n">
        <v>43151</v>
      </c>
      <c r="F1003" s="21" t="s">
        <v>79</v>
      </c>
      <c r="G1003" s="23" t="n">
        <v>212.34</v>
      </c>
      <c r="H1003" s="23" t="n">
        <v>15.28</v>
      </c>
      <c r="I1003" s="21" t="s">
        <v>50</v>
      </c>
      <c r="J1003" s="21" t="n">
        <v>5</v>
      </c>
      <c r="K1003" s="21" t="s">
        <v>46</v>
      </c>
      <c r="L1003" s="24" t="n">
        <f aca="false">DATE(YEAR(C1003),MONTH(C1003),1)</f>
        <v>43132</v>
      </c>
      <c r="M1003" s="21" t="n">
        <f aca="false">D1003-C1003</f>
        <v>7</v>
      </c>
      <c r="N1003" s="21" t="n">
        <f aca="false">MAX(0,D1003-E1003)</f>
        <v>0</v>
      </c>
      <c r="O1003" s="21" t="n">
        <f aca="false">IF(D1003&lt;=E1003,1,0)</f>
        <v>1</v>
      </c>
      <c r="P1003" s="23" t="n">
        <f aca="false">G1003+H1003</f>
        <v>227.62</v>
      </c>
      <c r="Q1003" s="23" t="n">
        <f aca="false">G1003*INDEX(Assumptions!$B$8:$B$16,MATCH(F1003,Assumptions!$A$8:$A$16,0))</f>
        <v>148.638</v>
      </c>
      <c r="R1003" s="23" t="n">
        <f aca="false">H1003*Assumptions!$B$3</f>
        <v>9.168</v>
      </c>
      <c r="S1003" s="23" t="n">
        <f aca="false">G1003-Q1003-R1003</f>
        <v>54.534</v>
      </c>
      <c r="T1003" s="21" t="str">
        <f aca="false">IF(M1003&lt;=7,"0-7 days",IF(M1003&lt;=14,"8-14 days",IF(M1003&lt;=21,"15-21 days","22+ days")))</f>
        <v>0-7 days</v>
      </c>
    </row>
    <row r="1004" customFormat="false" ht="15" hidden="false" customHeight="false" outlineLevel="0" collapsed="false">
      <c r="A1004" s="21" t="s">
        <v>1070</v>
      </c>
      <c r="B1004" s="21" t="s">
        <v>62</v>
      </c>
      <c r="C1004" s="22" t="n">
        <v>43136</v>
      </c>
      <c r="D1004" s="22" t="n">
        <v>43154</v>
      </c>
      <c r="E1004" s="22" t="n">
        <v>43157</v>
      </c>
      <c r="F1004" s="21" t="s">
        <v>49</v>
      </c>
      <c r="G1004" s="23" t="n">
        <v>73.44</v>
      </c>
      <c r="H1004" s="23" t="n">
        <v>18.08</v>
      </c>
      <c r="I1004" s="21" t="s">
        <v>45</v>
      </c>
      <c r="J1004" s="21" t="n">
        <v>5</v>
      </c>
      <c r="K1004" s="21" t="s">
        <v>46</v>
      </c>
      <c r="L1004" s="24" t="n">
        <f aca="false">DATE(YEAR(C1004),MONTH(C1004),1)</f>
        <v>43132</v>
      </c>
      <c r="M1004" s="21" t="n">
        <f aca="false">D1004-C1004</f>
        <v>18</v>
      </c>
      <c r="N1004" s="21" t="n">
        <f aca="false">MAX(0,D1004-E1004)</f>
        <v>0</v>
      </c>
      <c r="O1004" s="21" t="n">
        <f aca="false">IF(D1004&lt;=E1004,1,0)</f>
        <v>1</v>
      </c>
      <c r="P1004" s="23" t="n">
        <f aca="false">G1004+H1004</f>
        <v>91.52</v>
      </c>
      <c r="Q1004" s="23" t="n">
        <f aca="false">G1004*INDEX(Assumptions!$B$8:$B$16,MATCH(F1004,Assumptions!$A$8:$A$16,0))</f>
        <v>42.5952</v>
      </c>
      <c r="R1004" s="23" t="n">
        <f aca="false">H1004*Assumptions!$B$3</f>
        <v>10.848</v>
      </c>
      <c r="S1004" s="23" t="n">
        <f aca="false">G1004-Q1004-R1004</f>
        <v>19.9968</v>
      </c>
      <c r="T1004" s="21" t="str">
        <f aca="false">IF(M1004&lt;=7,"0-7 days",IF(M1004&lt;=14,"8-14 days",IF(M1004&lt;=21,"15-21 days","22+ days")))</f>
        <v>15-21 days</v>
      </c>
    </row>
    <row r="1005" customFormat="false" ht="15" hidden="false" customHeight="false" outlineLevel="0" collapsed="false">
      <c r="A1005" s="21" t="s">
        <v>1071</v>
      </c>
      <c r="B1005" s="21" t="s">
        <v>19</v>
      </c>
      <c r="C1005" s="22" t="n">
        <v>43136</v>
      </c>
      <c r="D1005" s="22" t="n">
        <v>43154</v>
      </c>
      <c r="E1005" s="22" t="n">
        <v>43152</v>
      </c>
      <c r="F1005" s="21" t="s">
        <v>111</v>
      </c>
      <c r="G1005" s="23" t="n">
        <v>25.29</v>
      </c>
      <c r="H1005" s="23" t="n">
        <v>15.87</v>
      </c>
      <c r="I1005" s="21" t="s">
        <v>60</v>
      </c>
      <c r="J1005" s="21" t="n">
        <v>3</v>
      </c>
      <c r="K1005" s="21" t="s">
        <v>46</v>
      </c>
      <c r="L1005" s="24" t="n">
        <f aca="false">DATE(YEAR(C1005),MONTH(C1005),1)</f>
        <v>43132</v>
      </c>
      <c r="M1005" s="21" t="n">
        <f aca="false">D1005-C1005</f>
        <v>18</v>
      </c>
      <c r="N1005" s="21" t="n">
        <f aca="false">MAX(0,D1005-E1005)</f>
        <v>2</v>
      </c>
      <c r="O1005" s="21" t="n">
        <f aca="false">IF(D1005&lt;=E1005,1,0)</f>
        <v>0</v>
      </c>
      <c r="P1005" s="23" t="n">
        <f aca="false">G1005+H1005</f>
        <v>41.16</v>
      </c>
      <c r="Q1005" s="23" t="n">
        <f aca="false">G1005*INDEX(Assumptions!$B$8:$B$16,MATCH(F1005,Assumptions!$A$8:$A$16,0))</f>
        <v>15.9327</v>
      </c>
      <c r="R1005" s="23" t="n">
        <f aca="false">H1005*Assumptions!$B$3</f>
        <v>9.522</v>
      </c>
      <c r="S1005" s="23" t="n">
        <f aca="false">G1005-Q1005-R1005</f>
        <v>-0.164699999999998</v>
      </c>
      <c r="T1005" s="21" t="str">
        <f aca="false">IF(M1005&lt;=7,"0-7 days",IF(M1005&lt;=14,"8-14 days",IF(M1005&lt;=21,"15-21 days","22+ days")))</f>
        <v>15-21 days</v>
      </c>
    </row>
    <row r="1006" customFormat="false" ht="15" hidden="false" customHeight="false" outlineLevel="0" collapsed="false">
      <c r="A1006" s="21" t="s">
        <v>1072</v>
      </c>
      <c r="B1006" s="21" t="s">
        <v>19</v>
      </c>
      <c r="C1006" s="22" t="n">
        <v>43136</v>
      </c>
      <c r="D1006" s="22" t="n">
        <v>43145</v>
      </c>
      <c r="E1006" s="22" t="n">
        <v>43153</v>
      </c>
      <c r="F1006" s="21" t="s">
        <v>67</v>
      </c>
      <c r="G1006" s="23" t="n">
        <v>49.01</v>
      </c>
      <c r="H1006" s="23" t="n">
        <v>14.39</v>
      </c>
      <c r="I1006" s="21" t="s">
        <v>45</v>
      </c>
      <c r="J1006" s="21" t="n">
        <v>4</v>
      </c>
      <c r="K1006" s="21" t="s">
        <v>46</v>
      </c>
      <c r="L1006" s="24" t="n">
        <f aca="false">DATE(YEAR(C1006),MONTH(C1006),1)</f>
        <v>43132</v>
      </c>
      <c r="M1006" s="21" t="n">
        <f aca="false">D1006-C1006</f>
        <v>9</v>
      </c>
      <c r="N1006" s="21" t="n">
        <f aca="false">MAX(0,D1006-E1006)</f>
        <v>0</v>
      </c>
      <c r="O1006" s="21" t="n">
        <f aca="false">IF(D1006&lt;=E1006,1,0)</f>
        <v>1</v>
      </c>
      <c r="P1006" s="23" t="n">
        <f aca="false">G1006+H1006</f>
        <v>63.4</v>
      </c>
      <c r="Q1006" s="23" t="n">
        <f aca="false">G1006*INDEX(Assumptions!$B$8:$B$16,MATCH(F1006,Assumptions!$A$8:$A$16,0))</f>
        <v>30.3862</v>
      </c>
      <c r="R1006" s="23" t="n">
        <f aca="false">H1006*Assumptions!$B$3</f>
        <v>8.634</v>
      </c>
      <c r="S1006" s="23" t="n">
        <f aca="false">G1006-Q1006-R1006</f>
        <v>9.9898</v>
      </c>
      <c r="T1006" s="21" t="str">
        <f aca="false">IF(M1006&lt;=7,"0-7 days",IF(M1006&lt;=14,"8-14 days",IF(M1006&lt;=21,"15-21 days","22+ days")))</f>
        <v>8-14 days</v>
      </c>
    </row>
    <row r="1007" customFormat="false" ht="15" hidden="false" customHeight="false" outlineLevel="0" collapsed="false">
      <c r="A1007" s="21" t="s">
        <v>1073</v>
      </c>
      <c r="B1007" s="21" t="s">
        <v>52</v>
      </c>
      <c r="C1007" s="22" t="n">
        <v>43136</v>
      </c>
      <c r="D1007" s="22" t="n">
        <v>43149</v>
      </c>
      <c r="E1007" s="22" t="n">
        <v>43160</v>
      </c>
      <c r="F1007" s="21" t="s">
        <v>44</v>
      </c>
      <c r="G1007" s="23" t="n">
        <v>150.12</v>
      </c>
      <c r="H1007" s="23" t="n">
        <v>20</v>
      </c>
      <c r="I1007" s="21" t="s">
        <v>45</v>
      </c>
      <c r="J1007" s="21" t="n">
        <v>5</v>
      </c>
      <c r="K1007" s="21" t="s">
        <v>46</v>
      </c>
      <c r="L1007" s="24" t="n">
        <f aca="false">DATE(YEAR(C1007),MONTH(C1007),1)</f>
        <v>43132</v>
      </c>
      <c r="M1007" s="21" t="n">
        <f aca="false">D1007-C1007</f>
        <v>13</v>
      </c>
      <c r="N1007" s="21" t="n">
        <f aca="false">MAX(0,D1007-E1007)</f>
        <v>0</v>
      </c>
      <c r="O1007" s="21" t="n">
        <f aca="false">IF(D1007&lt;=E1007,1,0)</f>
        <v>1</v>
      </c>
      <c r="P1007" s="23" t="n">
        <f aca="false">G1007+H1007</f>
        <v>170.12</v>
      </c>
      <c r="Q1007" s="23" t="n">
        <f aca="false">G1007*INDEX(Assumptions!$B$8:$B$16,MATCH(F1007,Assumptions!$A$8:$A$16,0))</f>
        <v>90.072</v>
      </c>
      <c r="R1007" s="23" t="n">
        <f aca="false">H1007*Assumptions!$B$3</f>
        <v>12</v>
      </c>
      <c r="S1007" s="23" t="n">
        <f aca="false">G1007-Q1007-R1007</f>
        <v>48.048</v>
      </c>
      <c r="T1007" s="21" t="str">
        <f aca="false">IF(M1007&lt;=7,"0-7 days",IF(M1007&lt;=14,"8-14 days",IF(M1007&lt;=21,"15-21 days","22+ days")))</f>
        <v>8-14 days</v>
      </c>
    </row>
    <row r="1008" customFormat="false" ht="15" hidden="false" customHeight="false" outlineLevel="0" collapsed="false">
      <c r="A1008" s="21" t="s">
        <v>1074</v>
      </c>
      <c r="B1008" s="21" t="s">
        <v>19</v>
      </c>
      <c r="C1008" s="22" t="n">
        <v>43136</v>
      </c>
      <c r="D1008" s="22" t="n">
        <v>43147</v>
      </c>
      <c r="E1008" s="22" t="n">
        <v>43150</v>
      </c>
      <c r="F1008" s="21" t="s">
        <v>67</v>
      </c>
      <c r="G1008" s="23" t="n">
        <v>66.35</v>
      </c>
      <c r="H1008" s="23" t="n">
        <v>11.93</v>
      </c>
      <c r="I1008" s="21" t="s">
        <v>45</v>
      </c>
      <c r="J1008" s="21" t="n">
        <v>4</v>
      </c>
      <c r="K1008" s="21" t="s">
        <v>46</v>
      </c>
      <c r="L1008" s="24" t="n">
        <f aca="false">DATE(YEAR(C1008),MONTH(C1008),1)</f>
        <v>43132</v>
      </c>
      <c r="M1008" s="21" t="n">
        <f aca="false">D1008-C1008</f>
        <v>11</v>
      </c>
      <c r="N1008" s="21" t="n">
        <f aca="false">MAX(0,D1008-E1008)</f>
        <v>0</v>
      </c>
      <c r="O1008" s="21" t="n">
        <f aca="false">IF(D1008&lt;=E1008,1,0)</f>
        <v>1</v>
      </c>
      <c r="P1008" s="23" t="n">
        <f aca="false">G1008+H1008</f>
        <v>78.28</v>
      </c>
      <c r="Q1008" s="23" t="n">
        <f aca="false">G1008*INDEX(Assumptions!$B$8:$B$16,MATCH(F1008,Assumptions!$A$8:$A$16,0))</f>
        <v>41.137</v>
      </c>
      <c r="R1008" s="23" t="n">
        <f aca="false">H1008*Assumptions!$B$3</f>
        <v>7.158</v>
      </c>
      <c r="S1008" s="23" t="n">
        <f aca="false">G1008-Q1008-R1008</f>
        <v>18.055</v>
      </c>
      <c r="T1008" s="21" t="str">
        <f aca="false">IF(M1008&lt;=7,"0-7 days",IF(M1008&lt;=14,"8-14 days",IF(M1008&lt;=21,"15-21 days","22+ days")))</f>
        <v>8-14 days</v>
      </c>
    </row>
    <row r="1009" customFormat="false" ht="15" hidden="false" customHeight="false" outlineLevel="0" collapsed="false">
      <c r="A1009" s="21" t="s">
        <v>1075</v>
      </c>
      <c r="B1009" s="21" t="s">
        <v>62</v>
      </c>
      <c r="C1009" s="22" t="n">
        <v>43136</v>
      </c>
      <c r="D1009" s="22" t="n">
        <v>43149</v>
      </c>
      <c r="E1009" s="22" t="n">
        <v>43157</v>
      </c>
      <c r="F1009" s="21" t="s">
        <v>59</v>
      </c>
      <c r="G1009" s="23" t="n">
        <v>140.72</v>
      </c>
      <c r="H1009" s="23" t="n">
        <v>26.43</v>
      </c>
      <c r="I1009" s="21" t="s">
        <v>45</v>
      </c>
      <c r="J1009" s="21" t="n">
        <v>3</v>
      </c>
      <c r="K1009" s="21" t="s">
        <v>46</v>
      </c>
      <c r="L1009" s="24" t="n">
        <f aca="false">DATE(YEAR(C1009),MONTH(C1009),1)</f>
        <v>43132</v>
      </c>
      <c r="M1009" s="21" t="n">
        <f aca="false">D1009-C1009</f>
        <v>13</v>
      </c>
      <c r="N1009" s="21" t="n">
        <f aca="false">MAX(0,D1009-E1009)</f>
        <v>0</v>
      </c>
      <c r="O1009" s="21" t="n">
        <f aca="false">IF(D1009&lt;=E1009,1,0)</f>
        <v>1</v>
      </c>
      <c r="P1009" s="23" t="n">
        <f aca="false">G1009+H1009</f>
        <v>167.15</v>
      </c>
      <c r="Q1009" s="23" t="n">
        <f aca="false">G1009*INDEX(Assumptions!$B$8:$B$16,MATCH(F1009,Assumptions!$A$8:$A$16,0))</f>
        <v>90.0608</v>
      </c>
      <c r="R1009" s="23" t="n">
        <f aca="false">H1009*Assumptions!$B$3</f>
        <v>15.858</v>
      </c>
      <c r="S1009" s="23" t="n">
        <f aca="false">G1009-Q1009-R1009</f>
        <v>34.8012</v>
      </c>
      <c r="T1009" s="21" t="str">
        <f aca="false">IF(M1009&lt;=7,"0-7 days",IF(M1009&lt;=14,"8-14 days",IF(M1009&lt;=21,"15-21 days","22+ days")))</f>
        <v>8-14 days</v>
      </c>
    </row>
    <row r="1010" customFormat="false" ht="15" hidden="false" customHeight="false" outlineLevel="0" collapsed="false">
      <c r="A1010" s="21" t="s">
        <v>1076</v>
      </c>
      <c r="B1010" s="21" t="s">
        <v>134</v>
      </c>
      <c r="C1010" s="22" t="n">
        <v>43137</v>
      </c>
      <c r="D1010" s="22" t="n">
        <v>43148</v>
      </c>
      <c r="E1010" s="22" t="n">
        <v>43158</v>
      </c>
      <c r="F1010" s="21" t="s">
        <v>49</v>
      </c>
      <c r="G1010" s="23" t="n">
        <v>139.52</v>
      </c>
      <c r="H1010" s="23" t="n">
        <v>18.34</v>
      </c>
      <c r="I1010" s="21" t="s">
        <v>45</v>
      </c>
      <c r="J1010" s="21" t="n">
        <v>4</v>
      </c>
      <c r="K1010" s="21" t="s">
        <v>46</v>
      </c>
      <c r="L1010" s="24" t="n">
        <f aca="false">DATE(YEAR(C1010),MONTH(C1010),1)</f>
        <v>43132</v>
      </c>
      <c r="M1010" s="21" t="n">
        <f aca="false">D1010-C1010</f>
        <v>11</v>
      </c>
      <c r="N1010" s="21" t="n">
        <f aca="false">MAX(0,D1010-E1010)</f>
        <v>0</v>
      </c>
      <c r="O1010" s="21" t="n">
        <f aca="false">IF(D1010&lt;=E1010,1,0)</f>
        <v>1</v>
      </c>
      <c r="P1010" s="23" t="n">
        <f aca="false">G1010+H1010</f>
        <v>157.86</v>
      </c>
      <c r="Q1010" s="23" t="n">
        <f aca="false">G1010*INDEX(Assumptions!$B$8:$B$16,MATCH(F1010,Assumptions!$A$8:$A$16,0))</f>
        <v>80.9216</v>
      </c>
      <c r="R1010" s="23" t="n">
        <f aca="false">H1010*Assumptions!$B$3</f>
        <v>11.004</v>
      </c>
      <c r="S1010" s="23" t="n">
        <f aca="false">G1010-Q1010-R1010</f>
        <v>47.5944</v>
      </c>
      <c r="T1010" s="21" t="str">
        <f aca="false">IF(M1010&lt;=7,"0-7 days",IF(M1010&lt;=14,"8-14 days",IF(M1010&lt;=21,"15-21 days","22+ days")))</f>
        <v>8-14 days</v>
      </c>
    </row>
    <row r="1011" customFormat="false" ht="15" hidden="false" customHeight="false" outlineLevel="0" collapsed="false">
      <c r="A1011" s="21" t="s">
        <v>1077</v>
      </c>
      <c r="B1011" s="21" t="s">
        <v>19</v>
      </c>
      <c r="C1011" s="22" t="n">
        <v>43137</v>
      </c>
      <c r="D1011" s="22" t="n">
        <v>43141</v>
      </c>
      <c r="E1011" s="22" t="n">
        <v>43149</v>
      </c>
      <c r="F1011" s="21" t="s">
        <v>67</v>
      </c>
      <c r="G1011" s="23" t="n">
        <v>62.72</v>
      </c>
      <c r="H1011" s="23" t="n">
        <v>17.23</v>
      </c>
      <c r="I1011" s="21" t="s">
        <v>45</v>
      </c>
      <c r="J1011" s="21" t="n">
        <v>5</v>
      </c>
      <c r="K1011" s="21" t="s">
        <v>46</v>
      </c>
      <c r="L1011" s="24" t="n">
        <f aca="false">DATE(YEAR(C1011),MONTH(C1011),1)</f>
        <v>43132</v>
      </c>
      <c r="M1011" s="21" t="n">
        <f aca="false">D1011-C1011</f>
        <v>4</v>
      </c>
      <c r="N1011" s="21" t="n">
        <f aca="false">MAX(0,D1011-E1011)</f>
        <v>0</v>
      </c>
      <c r="O1011" s="21" t="n">
        <f aca="false">IF(D1011&lt;=E1011,1,0)</f>
        <v>1</v>
      </c>
      <c r="P1011" s="23" t="n">
        <f aca="false">G1011+H1011</f>
        <v>79.95</v>
      </c>
      <c r="Q1011" s="23" t="n">
        <f aca="false">G1011*INDEX(Assumptions!$B$8:$B$16,MATCH(F1011,Assumptions!$A$8:$A$16,0))</f>
        <v>38.8864</v>
      </c>
      <c r="R1011" s="23" t="n">
        <f aca="false">H1011*Assumptions!$B$3</f>
        <v>10.338</v>
      </c>
      <c r="S1011" s="23" t="n">
        <f aca="false">G1011-Q1011-R1011</f>
        <v>13.4956</v>
      </c>
      <c r="T1011" s="21" t="str">
        <f aca="false">IF(M1011&lt;=7,"0-7 days",IF(M1011&lt;=14,"8-14 days",IF(M1011&lt;=21,"15-21 days","22+ days")))</f>
        <v>0-7 days</v>
      </c>
    </row>
    <row r="1012" customFormat="false" ht="15" hidden="false" customHeight="false" outlineLevel="0" collapsed="false">
      <c r="A1012" s="21" t="s">
        <v>1078</v>
      </c>
      <c r="B1012" s="21" t="s">
        <v>62</v>
      </c>
      <c r="C1012" s="22" t="n">
        <v>43137</v>
      </c>
      <c r="D1012" s="22" t="n">
        <v>43149</v>
      </c>
      <c r="E1012" s="22" t="n">
        <v>43160</v>
      </c>
      <c r="F1012" s="21" t="s">
        <v>79</v>
      </c>
      <c r="G1012" s="23" t="n">
        <v>101.47</v>
      </c>
      <c r="H1012" s="23" t="n">
        <v>19.06</v>
      </c>
      <c r="I1012" s="21" t="s">
        <v>45</v>
      </c>
      <c r="J1012" s="21" t="n">
        <v>5</v>
      </c>
      <c r="K1012" s="21" t="s">
        <v>46</v>
      </c>
      <c r="L1012" s="24" t="n">
        <f aca="false">DATE(YEAR(C1012),MONTH(C1012),1)</f>
        <v>43132</v>
      </c>
      <c r="M1012" s="21" t="n">
        <f aca="false">D1012-C1012</f>
        <v>12</v>
      </c>
      <c r="N1012" s="21" t="n">
        <f aca="false">MAX(0,D1012-E1012)</f>
        <v>0</v>
      </c>
      <c r="O1012" s="21" t="n">
        <f aca="false">IF(D1012&lt;=E1012,1,0)</f>
        <v>1</v>
      </c>
      <c r="P1012" s="23" t="n">
        <f aca="false">G1012+H1012</f>
        <v>120.53</v>
      </c>
      <c r="Q1012" s="23" t="n">
        <f aca="false">G1012*INDEX(Assumptions!$B$8:$B$16,MATCH(F1012,Assumptions!$A$8:$A$16,0))</f>
        <v>71.029</v>
      </c>
      <c r="R1012" s="23" t="n">
        <f aca="false">H1012*Assumptions!$B$3</f>
        <v>11.436</v>
      </c>
      <c r="S1012" s="23" t="n">
        <f aca="false">G1012-Q1012-R1012</f>
        <v>19.005</v>
      </c>
      <c r="T1012" s="21" t="str">
        <f aca="false">IF(M1012&lt;=7,"0-7 days",IF(M1012&lt;=14,"8-14 days",IF(M1012&lt;=21,"15-21 days","22+ days")))</f>
        <v>8-14 days</v>
      </c>
    </row>
    <row r="1013" customFormat="false" ht="15" hidden="false" customHeight="false" outlineLevel="0" collapsed="false">
      <c r="A1013" s="21" t="s">
        <v>1079</v>
      </c>
      <c r="B1013" s="21" t="s">
        <v>103</v>
      </c>
      <c r="C1013" s="22" t="n">
        <v>43137</v>
      </c>
      <c r="D1013" s="22" t="n">
        <v>43146</v>
      </c>
      <c r="E1013" s="22" t="n">
        <v>43158</v>
      </c>
      <c r="F1013" s="21" t="s">
        <v>79</v>
      </c>
      <c r="G1013" s="23" t="n">
        <v>195.47</v>
      </c>
      <c r="H1013" s="23" t="n">
        <v>19.79</v>
      </c>
      <c r="I1013" s="21" t="s">
        <v>50</v>
      </c>
      <c r="J1013" s="21" t="n">
        <v>5</v>
      </c>
      <c r="K1013" s="21" t="s">
        <v>46</v>
      </c>
      <c r="L1013" s="24" t="n">
        <f aca="false">DATE(YEAR(C1013),MONTH(C1013),1)</f>
        <v>43132</v>
      </c>
      <c r="M1013" s="21" t="n">
        <f aca="false">D1013-C1013</f>
        <v>9</v>
      </c>
      <c r="N1013" s="21" t="n">
        <f aca="false">MAX(0,D1013-E1013)</f>
        <v>0</v>
      </c>
      <c r="O1013" s="21" t="n">
        <f aca="false">IF(D1013&lt;=E1013,1,0)</f>
        <v>1</v>
      </c>
      <c r="P1013" s="23" t="n">
        <f aca="false">G1013+H1013</f>
        <v>215.26</v>
      </c>
      <c r="Q1013" s="23" t="n">
        <f aca="false">G1013*INDEX(Assumptions!$B$8:$B$16,MATCH(F1013,Assumptions!$A$8:$A$16,0))</f>
        <v>136.829</v>
      </c>
      <c r="R1013" s="23" t="n">
        <f aca="false">H1013*Assumptions!$B$3</f>
        <v>11.874</v>
      </c>
      <c r="S1013" s="23" t="n">
        <f aca="false">G1013-Q1013-R1013</f>
        <v>46.767</v>
      </c>
      <c r="T1013" s="21" t="str">
        <f aca="false">IF(M1013&lt;=7,"0-7 days",IF(M1013&lt;=14,"8-14 days",IF(M1013&lt;=21,"15-21 days","22+ days")))</f>
        <v>8-14 days</v>
      </c>
    </row>
    <row r="1014" customFormat="false" ht="15" hidden="false" customHeight="false" outlineLevel="0" collapsed="false">
      <c r="A1014" s="21" t="s">
        <v>1080</v>
      </c>
      <c r="B1014" s="21" t="s">
        <v>19</v>
      </c>
      <c r="C1014" s="22" t="n">
        <v>43137</v>
      </c>
      <c r="D1014" s="22" t="n">
        <v>43146</v>
      </c>
      <c r="E1014" s="22" t="n">
        <v>43155</v>
      </c>
      <c r="F1014" s="21" t="s">
        <v>67</v>
      </c>
      <c r="G1014" s="23" t="n">
        <v>81.07</v>
      </c>
      <c r="H1014" s="23" t="n">
        <v>20.44</v>
      </c>
      <c r="I1014" s="21" t="s">
        <v>45</v>
      </c>
      <c r="J1014" s="21" t="n">
        <v>5</v>
      </c>
      <c r="K1014" s="21" t="s">
        <v>46</v>
      </c>
      <c r="L1014" s="24" t="n">
        <f aca="false">DATE(YEAR(C1014),MONTH(C1014),1)</f>
        <v>43132</v>
      </c>
      <c r="M1014" s="21" t="n">
        <f aca="false">D1014-C1014</f>
        <v>9</v>
      </c>
      <c r="N1014" s="21" t="n">
        <f aca="false">MAX(0,D1014-E1014)</f>
        <v>0</v>
      </c>
      <c r="O1014" s="21" t="n">
        <f aca="false">IF(D1014&lt;=E1014,1,0)</f>
        <v>1</v>
      </c>
      <c r="P1014" s="23" t="n">
        <f aca="false">G1014+H1014</f>
        <v>101.51</v>
      </c>
      <c r="Q1014" s="23" t="n">
        <f aca="false">G1014*INDEX(Assumptions!$B$8:$B$16,MATCH(F1014,Assumptions!$A$8:$A$16,0))</f>
        <v>50.2634</v>
      </c>
      <c r="R1014" s="23" t="n">
        <f aca="false">H1014*Assumptions!$B$3</f>
        <v>12.264</v>
      </c>
      <c r="S1014" s="23" t="n">
        <f aca="false">G1014-Q1014-R1014</f>
        <v>18.5426</v>
      </c>
      <c r="T1014" s="21" t="str">
        <f aca="false">IF(M1014&lt;=7,"0-7 days",IF(M1014&lt;=14,"8-14 days",IF(M1014&lt;=21,"15-21 days","22+ days")))</f>
        <v>8-14 days</v>
      </c>
    </row>
    <row r="1015" customFormat="false" ht="15" hidden="false" customHeight="false" outlineLevel="0" collapsed="false">
      <c r="A1015" s="21" t="s">
        <v>1081</v>
      </c>
      <c r="B1015" s="21" t="s">
        <v>52</v>
      </c>
      <c r="C1015" s="22" t="n">
        <v>43138</v>
      </c>
      <c r="D1015" s="22" t="n">
        <v>43149</v>
      </c>
      <c r="E1015" s="22" t="n">
        <v>43164</v>
      </c>
      <c r="F1015" s="21" t="s">
        <v>57</v>
      </c>
      <c r="G1015" s="23" t="n">
        <v>126.8</v>
      </c>
      <c r="H1015" s="23" t="n">
        <v>32.51</v>
      </c>
      <c r="I1015" s="21" t="s">
        <v>60</v>
      </c>
      <c r="J1015" s="21" t="n">
        <v>5</v>
      </c>
      <c r="K1015" s="21" t="s">
        <v>46</v>
      </c>
      <c r="L1015" s="24" t="n">
        <f aca="false">DATE(YEAR(C1015),MONTH(C1015),1)</f>
        <v>43132</v>
      </c>
      <c r="M1015" s="21" t="n">
        <f aca="false">D1015-C1015</f>
        <v>11</v>
      </c>
      <c r="N1015" s="21" t="n">
        <f aca="false">MAX(0,D1015-E1015)</f>
        <v>0</v>
      </c>
      <c r="O1015" s="21" t="n">
        <f aca="false">IF(D1015&lt;=E1015,1,0)</f>
        <v>1</v>
      </c>
      <c r="P1015" s="23" t="n">
        <f aca="false">G1015+H1015</f>
        <v>159.31</v>
      </c>
      <c r="Q1015" s="23" t="n">
        <f aca="false">G1015*INDEX(Assumptions!$B$8:$B$16,MATCH(F1015,Assumptions!$A$8:$A$16,0))</f>
        <v>86.224</v>
      </c>
      <c r="R1015" s="23" t="n">
        <f aca="false">H1015*Assumptions!$B$3</f>
        <v>19.506</v>
      </c>
      <c r="S1015" s="23" t="n">
        <f aca="false">G1015-Q1015-R1015</f>
        <v>21.07</v>
      </c>
      <c r="T1015" s="21" t="str">
        <f aca="false">IF(M1015&lt;=7,"0-7 days",IF(M1015&lt;=14,"8-14 days",IF(M1015&lt;=21,"15-21 days","22+ days")))</f>
        <v>8-14 days</v>
      </c>
    </row>
    <row r="1016" customFormat="false" ht="15" hidden="false" customHeight="false" outlineLevel="0" collapsed="false">
      <c r="A1016" s="21" t="s">
        <v>1082</v>
      </c>
      <c r="B1016" s="21" t="s">
        <v>77</v>
      </c>
      <c r="C1016" s="22" t="n">
        <v>43139</v>
      </c>
      <c r="D1016" s="22" t="n">
        <v>43150</v>
      </c>
      <c r="E1016" s="22" t="n">
        <v>43166</v>
      </c>
      <c r="F1016" s="21" t="s">
        <v>44</v>
      </c>
      <c r="G1016" s="23" t="n">
        <v>112.59</v>
      </c>
      <c r="H1016" s="23" t="n">
        <v>25.92</v>
      </c>
      <c r="I1016" s="21" t="s">
        <v>60</v>
      </c>
      <c r="J1016" s="21" t="n">
        <v>5</v>
      </c>
      <c r="K1016" s="21" t="s">
        <v>46</v>
      </c>
      <c r="L1016" s="24" t="n">
        <f aca="false">DATE(YEAR(C1016),MONTH(C1016),1)</f>
        <v>43132</v>
      </c>
      <c r="M1016" s="21" t="n">
        <f aca="false">D1016-C1016</f>
        <v>11</v>
      </c>
      <c r="N1016" s="21" t="n">
        <f aca="false">MAX(0,D1016-E1016)</f>
        <v>0</v>
      </c>
      <c r="O1016" s="21" t="n">
        <f aca="false">IF(D1016&lt;=E1016,1,0)</f>
        <v>1</v>
      </c>
      <c r="P1016" s="23" t="n">
        <f aca="false">G1016+H1016</f>
        <v>138.51</v>
      </c>
      <c r="Q1016" s="23" t="n">
        <f aca="false">G1016*INDEX(Assumptions!$B$8:$B$16,MATCH(F1016,Assumptions!$A$8:$A$16,0))</f>
        <v>67.554</v>
      </c>
      <c r="R1016" s="23" t="n">
        <f aca="false">H1016*Assumptions!$B$3</f>
        <v>15.552</v>
      </c>
      <c r="S1016" s="23" t="n">
        <f aca="false">G1016-Q1016-R1016</f>
        <v>29.484</v>
      </c>
      <c r="T1016" s="21" t="str">
        <f aca="false">IF(M1016&lt;=7,"0-7 days",IF(M1016&lt;=14,"8-14 days",IF(M1016&lt;=21,"15-21 days","22+ days")))</f>
        <v>8-14 days</v>
      </c>
    </row>
    <row r="1017" customFormat="false" ht="15" hidden="false" customHeight="false" outlineLevel="0" collapsed="false">
      <c r="A1017" s="21" t="s">
        <v>1083</v>
      </c>
      <c r="B1017" s="21" t="s">
        <v>55</v>
      </c>
      <c r="C1017" s="22" t="n">
        <v>43139</v>
      </c>
      <c r="D1017" s="22" t="n">
        <v>43156</v>
      </c>
      <c r="E1017" s="22" t="n">
        <v>43165</v>
      </c>
      <c r="F1017" s="21" t="s">
        <v>64</v>
      </c>
      <c r="G1017" s="23" t="n">
        <v>215.54</v>
      </c>
      <c r="H1017" s="23" t="n">
        <v>26.49</v>
      </c>
      <c r="I1017" s="21" t="s">
        <v>45</v>
      </c>
      <c r="J1017" s="21" t="n">
        <v>3</v>
      </c>
      <c r="K1017" s="21" t="s">
        <v>46</v>
      </c>
      <c r="L1017" s="24" t="n">
        <f aca="false">DATE(YEAR(C1017),MONTH(C1017),1)</f>
        <v>43132</v>
      </c>
      <c r="M1017" s="21" t="n">
        <f aca="false">D1017-C1017</f>
        <v>17</v>
      </c>
      <c r="N1017" s="21" t="n">
        <f aca="false">MAX(0,D1017-E1017)</f>
        <v>0</v>
      </c>
      <c r="O1017" s="21" t="n">
        <f aca="false">IF(D1017&lt;=E1017,1,0)</f>
        <v>1</v>
      </c>
      <c r="P1017" s="23" t="n">
        <f aca="false">G1017+H1017</f>
        <v>242.03</v>
      </c>
      <c r="Q1017" s="23" t="n">
        <f aca="false">G1017*INDEX(Assumptions!$B$8:$B$16,MATCH(F1017,Assumptions!$A$8:$A$16,0))</f>
        <v>142.2564</v>
      </c>
      <c r="R1017" s="23" t="n">
        <f aca="false">H1017*Assumptions!$B$3</f>
        <v>15.894</v>
      </c>
      <c r="S1017" s="23" t="n">
        <f aca="false">G1017-Q1017-R1017</f>
        <v>57.3896</v>
      </c>
      <c r="T1017" s="21" t="str">
        <f aca="false">IF(M1017&lt;=7,"0-7 days",IF(M1017&lt;=14,"8-14 days",IF(M1017&lt;=21,"15-21 days","22+ days")))</f>
        <v>15-21 days</v>
      </c>
    </row>
    <row r="1018" customFormat="false" ht="15" hidden="false" customHeight="false" outlineLevel="0" collapsed="false">
      <c r="A1018" s="21" t="s">
        <v>1084</v>
      </c>
      <c r="B1018" s="21" t="s">
        <v>55</v>
      </c>
      <c r="C1018" s="22" t="n">
        <v>43139</v>
      </c>
      <c r="D1018" s="22" t="n">
        <v>43152</v>
      </c>
      <c r="E1018" s="22" t="n">
        <v>43163</v>
      </c>
      <c r="F1018" s="21" t="s">
        <v>67</v>
      </c>
      <c r="G1018" s="23" t="n">
        <v>62.92</v>
      </c>
      <c r="H1018" s="23" t="n">
        <v>27.19</v>
      </c>
      <c r="I1018" s="21" t="s">
        <v>50</v>
      </c>
      <c r="J1018" s="21" t="n">
        <v>3</v>
      </c>
      <c r="K1018" s="21" t="s">
        <v>46</v>
      </c>
      <c r="L1018" s="24" t="n">
        <f aca="false">DATE(YEAR(C1018),MONTH(C1018),1)</f>
        <v>43132</v>
      </c>
      <c r="M1018" s="21" t="n">
        <f aca="false">D1018-C1018</f>
        <v>13</v>
      </c>
      <c r="N1018" s="21" t="n">
        <f aca="false">MAX(0,D1018-E1018)</f>
        <v>0</v>
      </c>
      <c r="O1018" s="21" t="n">
        <f aca="false">IF(D1018&lt;=E1018,1,0)</f>
        <v>1</v>
      </c>
      <c r="P1018" s="23" t="n">
        <f aca="false">G1018+H1018</f>
        <v>90.11</v>
      </c>
      <c r="Q1018" s="23" t="n">
        <f aca="false">G1018*INDEX(Assumptions!$B$8:$B$16,MATCH(F1018,Assumptions!$A$8:$A$16,0))</f>
        <v>39.0104</v>
      </c>
      <c r="R1018" s="23" t="n">
        <f aca="false">H1018*Assumptions!$B$3</f>
        <v>16.314</v>
      </c>
      <c r="S1018" s="23" t="n">
        <f aca="false">G1018-Q1018-R1018</f>
        <v>7.5956</v>
      </c>
      <c r="T1018" s="21" t="str">
        <f aca="false">IF(M1018&lt;=7,"0-7 days",IF(M1018&lt;=14,"8-14 days",IF(M1018&lt;=21,"15-21 days","22+ days")))</f>
        <v>8-14 days</v>
      </c>
    </row>
    <row r="1019" customFormat="false" ht="15" hidden="false" customHeight="false" outlineLevel="0" collapsed="false">
      <c r="A1019" s="21" t="s">
        <v>1085</v>
      </c>
      <c r="B1019" s="21" t="s">
        <v>55</v>
      </c>
      <c r="C1019" s="22" t="n">
        <v>43139</v>
      </c>
      <c r="D1019" s="22" t="n">
        <v>43149</v>
      </c>
      <c r="E1019" s="22" t="n">
        <v>43160</v>
      </c>
      <c r="F1019" s="21" t="s">
        <v>67</v>
      </c>
      <c r="G1019" s="23" t="n">
        <v>71.28</v>
      </c>
      <c r="H1019" s="23" t="n">
        <v>18.8</v>
      </c>
      <c r="I1019" s="21" t="s">
        <v>45</v>
      </c>
      <c r="J1019" s="21" t="n">
        <v>5</v>
      </c>
      <c r="K1019" s="21" t="s">
        <v>46</v>
      </c>
      <c r="L1019" s="24" t="n">
        <f aca="false">DATE(YEAR(C1019),MONTH(C1019),1)</f>
        <v>43132</v>
      </c>
      <c r="M1019" s="21" t="n">
        <f aca="false">D1019-C1019</f>
        <v>10</v>
      </c>
      <c r="N1019" s="21" t="n">
        <f aca="false">MAX(0,D1019-E1019)</f>
        <v>0</v>
      </c>
      <c r="O1019" s="21" t="n">
        <f aca="false">IF(D1019&lt;=E1019,1,0)</f>
        <v>1</v>
      </c>
      <c r="P1019" s="23" t="n">
        <f aca="false">G1019+H1019</f>
        <v>90.08</v>
      </c>
      <c r="Q1019" s="23" t="n">
        <f aca="false">G1019*INDEX(Assumptions!$B$8:$B$16,MATCH(F1019,Assumptions!$A$8:$A$16,0))</f>
        <v>44.1936</v>
      </c>
      <c r="R1019" s="23" t="n">
        <f aca="false">H1019*Assumptions!$B$3</f>
        <v>11.28</v>
      </c>
      <c r="S1019" s="23" t="n">
        <f aca="false">G1019-Q1019-R1019</f>
        <v>15.8064</v>
      </c>
      <c r="T1019" s="21" t="str">
        <f aca="false">IF(M1019&lt;=7,"0-7 days",IF(M1019&lt;=14,"8-14 days",IF(M1019&lt;=21,"15-21 days","22+ days")))</f>
        <v>8-14 days</v>
      </c>
    </row>
    <row r="1020" customFormat="false" ht="15" hidden="false" customHeight="false" outlineLevel="0" collapsed="false">
      <c r="A1020" s="21" t="s">
        <v>1086</v>
      </c>
      <c r="B1020" s="21" t="s">
        <v>62</v>
      </c>
      <c r="C1020" s="22" t="n">
        <v>43139</v>
      </c>
      <c r="D1020" s="22" t="n">
        <v>43157</v>
      </c>
      <c r="E1020" s="22" t="n">
        <v>43159</v>
      </c>
      <c r="F1020" s="21" t="s">
        <v>57</v>
      </c>
      <c r="G1020" s="23" t="n">
        <v>98.85</v>
      </c>
      <c r="H1020" s="23" t="n">
        <v>24.55</v>
      </c>
      <c r="I1020" s="21" t="s">
        <v>60</v>
      </c>
      <c r="J1020" s="21" t="n">
        <v>4</v>
      </c>
      <c r="K1020" s="21" t="s">
        <v>46</v>
      </c>
      <c r="L1020" s="24" t="n">
        <f aca="false">DATE(YEAR(C1020),MONTH(C1020),1)</f>
        <v>43132</v>
      </c>
      <c r="M1020" s="21" t="n">
        <f aca="false">D1020-C1020</f>
        <v>18</v>
      </c>
      <c r="N1020" s="21" t="n">
        <f aca="false">MAX(0,D1020-E1020)</f>
        <v>0</v>
      </c>
      <c r="O1020" s="21" t="n">
        <f aca="false">IF(D1020&lt;=E1020,1,0)</f>
        <v>1</v>
      </c>
      <c r="P1020" s="23" t="n">
        <f aca="false">G1020+H1020</f>
        <v>123.4</v>
      </c>
      <c r="Q1020" s="23" t="n">
        <f aca="false">G1020*INDEX(Assumptions!$B$8:$B$16,MATCH(F1020,Assumptions!$A$8:$A$16,0))</f>
        <v>67.218</v>
      </c>
      <c r="R1020" s="23" t="n">
        <f aca="false">H1020*Assumptions!$B$3</f>
        <v>14.73</v>
      </c>
      <c r="S1020" s="23" t="n">
        <f aca="false">G1020-Q1020-R1020</f>
        <v>16.902</v>
      </c>
      <c r="T1020" s="21" t="str">
        <f aca="false">IF(M1020&lt;=7,"0-7 days",IF(M1020&lt;=14,"8-14 days",IF(M1020&lt;=21,"15-21 days","22+ days")))</f>
        <v>15-21 days</v>
      </c>
    </row>
    <row r="1021" customFormat="false" ht="15" hidden="false" customHeight="false" outlineLevel="0" collapsed="false">
      <c r="A1021" s="21" t="s">
        <v>1087</v>
      </c>
      <c r="B1021" s="21" t="s">
        <v>134</v>
      </c>
      <c r="C1021" s="22" t="n">
        <v>43140</v>
      </c>
      <c r="D1021" s="22" t="n">
        <v>43149</v>
      </c>
      <c r="E1021" s="22" t="n">
        <v>43163</v>
      </c>
      <c r="F1021" s="21" t="s">
        <v>111</v>
      </c>
      <c r="G1021" s="23" t="n">
        <v>96.6</v>
      </c>
      <c r="H1021" s="23" t="n">
        <v>27.53</v>
      </c>
      <c r="I1021" s="21" t="s">
        <v>45</v>
      </c>
      <c r="J1021" s="21" t="n">
        <v>5</v>
      </c>
      <c r="K1021" s="21" t="s">
        <v>46</v>
      </c>
      <c r="L1021" s="24" t="n">
        <f aca="false">DATE(YEAR(C1021),MONTH(C1021),1)</f>
        <v>43132</v>
      </c>
      <c r="M1021" s="21" t="n">
        <f aca="false">D1021-C1021</f>
        <v>9</v>
      </c>
      <c r="N1021" s="21" t="n">
        <f aca="false">MAX(0,D1021-E1021)</f>
        <v>0</v>
      </c>
      <c r="O1021" s="21" t="n">
        <f aca="false">IF(D1021&lt;=E1021,1,0)</f>
        <v>1</v>
      </c>
      <c r="P1021" s="23" t="n">
        <f aca="false">G1021+H1021</f>
        <v>124.13</v>
      </c>
      <c r="Q1021" s="23" t="n">
        <f aca="false">G1021*INDEX(Assumptions!$B$8:$B$16,MATCH(F1021,Assumptions!$A$8:$A$16,0))</f>
        <v>60.858</v>
      </c>
      <c r="R1021" s="23" t="n">
        <f aca="false">H1021*Assumptions!$B$3</f>
        <v>16.518</v>
      </c>
      <c r="S1021" s="23" t="n">
        <f aca="false">G1021-Q1021-R1021</f>
        <v>19.224</v>
      </c>
      <c r="T1021" s="21" t="str">
        <f aca="false">IF(M1021&lt;=7,"0-7 days",IF(M1021&lt;=14,"8-14 days",IF(M1021&lt;=21,"15-21 days","22+ days")))</f>
        <v>8-14 days</v>
      </c>
    </row>
    <row r="1022" customFormat="false" ht="15" hidden="false" customHeight="false" outlineLevel="0" collapsed="false">
      <c r="A1022" s="21" t="s">
        <v>1088</v>
      </c>
      <c r="B1022" s="21" t="s">
        <v>19</v>
      </c>
      <c r="C1022" s="22" t="n">
        <v>43140</v>
      </c>
      <c r="D1022" s="22" t="n">
        <v>43147</v>
      </c>
      <c r="E1022" s="22" t="n">
        <v>43155</v>
      </c>
      <c r="F1022" s="21" t="s">
        <v>64</v>
      </c>
      <c r="G1022" s="23" t="n">
        <v>152.14</v>
      </c>
      <c r="H1022" s="23" t="n">
        <v>19.4</v>
      </c>
      <c r="I1022" s="21" t="s">
        <v>50</v>
      </c>
      <c r="J1022" s="21" t="n">
        <v>4</v>
      </c>
      <c r="K1022" s="21" t="s">
        <v>46</v>
      </c>
      <c r="L1022" s="24" t="n">
        <f aca="false">DATE(YEAR(C1022),MONTH(C1022),1)</f>
        <v>43132</v>
      </c>
      <c r="M1022" s="21" t="n">
        <f aca="false">D1022-C1022</f>
        <v>7</v>
      </c>
      <c r="N1022" s="21" t="n">
        <f aca="false">MAX(0,D1022-E1022)</f>
        <v>0</v>
      </c>
      <c r="O1022" s="21" t="n">
        <f aca="false">IF(D1022&lt;=E1022,1,0)</f>
        <v>1</v>
      </c>
      <c r="P1022" s="23" t="n">
        <f aca="false">G1022+H1022</f>
        <v>171.54</v>
      </c>
      <c r="Q1022" s="23" t="n">
        <f aca="false">G1022*INDEX(Assumptions!$B$8:$B$16,MATCH(F1022,Assumptions!$A$8:$A$16,0))</f>
        <v>100.4124</v>
      </c>
      <c r="R1022" s="23" t="n">
        <f aca="false">H1022*Assumptions!$B$3</f>
        <v>11.64</v>
      </c>
      <c r="S1022" s="23" t="n">
        <f aca="false">G1022-Q1022-R1022</f>
        <v>40.0876</v>
      </c>
      <c r="T1022" s="21" t="str">
        <f aca="false">IF(M1022&lt;=7,"0-7 days",IF(M1022&lt;=14,"8-14 days",IF(M1022&lt;=21,"15-21 days","22+ days")))</f>
        <v>0-7 days</v>
      </c>
    </row>
    <row r="1023" customFormat="false" ht="15" hidden="false" customHeight="false" outlineLevel="0" collapsed="false">
      <c r="A1023" s="21" t="s">
        <v>1089</v>
      </c>
      <c r="B1023" s="21" t="s">
        <v>19</v>
      </c>
      <c r="C1023" s="22" t="n">
        <v>43140</v>
      </c>
      <c r="D1023" s="22" t="n">
        <v>43146</v>
      </c>
      <c r="E1023" s="22" t="n">
        <v>43157</v>
      </c>
      <c r="F1023" s="21" t="s">
        <v>59</v>
      </c>
      <c r="G1023" s="23" t="n">
        <v>35.71</v>
      </c>
      <c r="H1023" s="23" t="n">
        <v>13.04</v>
      </c>
      <c r="I1023" s="21" t="s">
        <v>60</v>
      </c>
      <c r="J1023" s="21" t="n">
        <v>5</v>
      </c>
      <c r="K1023" s="21" t="s">
        <v>46</v>
      </c>
      <c r="L1023" s="24" t="n">
        <f aca="false">DATE(YEAR(C1023),MONTH(C1023),1)</f>
        <v>43132</v>
      </c>
      <c r="M1023" s="21" t="n">
        <f aca="false">D1023-C1023</f>
        <v>6</v>
      </c>
      <c r="N1023" s="21" t="n">
        <f aca="false">MAX(0,D1023-E1023)</f>
        <v>0</v>
      </c>
      <c r="O1023" s="21" t="n">
        <f aca="false">IF(D1023&lt;=E1023,1,0)</f>
        <v>1</v>
      </c>
      <c r="P1023" s="23" t="n">
        <f aca="false">G1023+H1023</f>
        <v>48.75</v>
      </c>
      <c r="Q1023" s="23" t="n">
        <f aca="false">G1023*INDEX(Assumptions!$B$8:$B$16,MATCH(F1023,Assumptions!$A$8:$A$16,0))</f>
        <v>22.8544</v>
      </c>
      <c r="R1023" s="23" t="n">
        <f aca="false">H1023*Assumptions!$B$3</f>
        <v>7.824</v>
      </c>
      <c r="S1023" s="23" t="n">
        <f aca="false">G1023-Q1023-R1023</f>
        <v>5.0316</v>
      </c>
      <c r="T1023" s="21" t="str">
        <f aca="false">IF(M1023&lt;=7,"0-7 days",IF(M1023&lt;=14,"8-14 days",IF(M1023&lt;=21,"15-21 days","22+ days")))</f>
        <v>0-7 days</v>
      </c>
    </row>
    <row r="1024" customFormat="false" ht="15" hidden="false" customHeight="false" outlineLevel="0" collapsed="false">
      <c r="A1024" s="21" t="s">
        <v>1090</v>
      </c>
      <c r="B1024" s="21" t="s">
        <v>201</v>
      </c>
      <c r="C1024" s="22" t="n">
        <v>43140</v>
      </c>
      <c r="D1024" s="22" t="n">
        <v>43166</v>
      </c>
      <c r="E1024" s="22" t="n">
        <v>43173</v>
      </c>
      <c r="F1024" s="21" t="s">
        <v>64</v>
      </c>
      <c r="G1024" s="23" t="n">
        <v>354.71</v>
      </c>
      <c r="H1024" s="23" t="n">
        <v>50.46</v>
      </c>
      <c r="I1024" s="21" t="s">
        <v>45</v>
      </c>
      <c r="J1024" s="21" t="n">
        <v>2</v>
      </c>
      <c r="K1024" s="21" t="s">
        <v>46</v>
      </c>
      <c r="L1024" s="24" t="n">
        <f aca="false">DATE(YEAR(C1024),MONTH(C1024),1)</f>
        <v>43132</v>
      </c>
      <c r="M1024" s="21" t="n">
        <f aca="false">D1024-C1024</f>
        <v>26</v>
      </c>
      <c r="N1024" s="21" t="n">
        <f aca="false">MAX(0,D1024-E1024)</f>
        <v>0</v>
      </c>
      <c r="O1024" s="21" t="n">
        <f aca="false">IF(D1024&lt;=E1024,1,0)</f>
        <v>1</v>
      </c>
      <c r="P1024" s="23" t="n">
        <f aca="false">G1024+H1024</f>
        <v>405.17</v>
      </c>
      <c r="Q1024" s="23" t="n">
        <f aca="false">G1024*INDEX(Assumptions!$B$8:$B$16,MATCH(F1024,Assumptions!$A$8:$A$16,0))</f>
        <v>234.1086</v>
      </c>
      <c r="R1024" s="23" t="n">
        <f aca="false">H1024*Assumptions!$B$3</f>
        <v>30.276</v>
      </c>
      <c r="S1024" s="23" t="n">
        <f aca="false">G1024-Q1024-R1024</f>
        <v>90.3254</v>
      </c>
      <c r="T1024" s="21" t="str">
        <f aca="false">IF(M1024&lt;=7,"0-7 days",IF(M1024&lt;=14,"8-14 days",IF(M1024&lt;=21,"15-21 days","22+ days")))</f>
        <v>22+ days</v>
      </c>
    </row>
    <row r="1025" customFormat="false" ht="15" hidden="false" customHeight="false" outlineLevel="0" collapsed="false">
      <c r="A1025" s="21" t="s">
        <v>1091</v>
      </c>
      <c r="B1025" s="21" t="s">
        <v>48</v>
      </c>
      <c r="C1025" s="22" t="n">
        <v>43140</v>
      </c>
      <c r="D1025" s="22" t="n">
        <v>43147</v>
      </c>
      <c r="E1025" s="22" t="n">
        <v>43163</v>
      </c>
      <c r="F1025" s="21" t="s">
        <v>49</v>
      </c>
      <c r="G1025" s="23" t="n">
        <v>93.64</v>
      </c>
      <c r="H1025" s="23" t="n">
        <v>20.4</v>
      </c>
      <c r="I1025" s="21" t="s">
        <v>45</v>
      </c>
      <c r="J1025" s="21" t="n">
        <v>5</v>
      </c>
      <c r="K1025" s="21" t="s">
        <v>46</v>
      </c>
      <c r="L1025" s="24" t="n">
        <f aca="false">DATE(YEAR(C1025),MONTH(C1025),1)</f>
        <v>43132</v>
      </c>
      <c r="M1025" s="21" t="n">
        <f aca="false">D1025-C1025</f>
        <v>7</v>
      </c>
      <c r="N1025" s="21" t="n">
        <f aca="false">MAX(0,D1025-E1025)</f>
        <v>0</v>
      </c>
      <c r="O1025" s="21" t="n">
        <f aca="false">IF(D1025&lt;=E1025,1,0)</f>
        <v>1</v>
      </c>
      <c r="P1025" s="23" t="n">
        <f aca="false">G1025+H1025</f>
        <v>114.04</v>
      </c>
      <c r="Q1025" s="23" t="n">
        <f aca="false">G1025*INDEX(Assumptions!$B$8:$B$16,MATCH(F1025,Assumptions!$A$8:$A$16,0))</f>
        <v>54.3112</v>
      </c>
      <c r="R1025" s="23" t="n">
        <f aca="false">H1025*Assumptions!$B$3</f>
        <v>12.24</v>
      </c>
      <c r="S1025" s="23" t="n">
        <f aca="false">G1025-Q1025-R1025</f>
        <v>27.0888</v>
      </c>
      <c r="T1025" s="21" t="str">
        <f aca="false">IF(M1025&lt;=7,"0-7 days",IF(M1025&lt;=14,"8-14 days",IF(M1025&lt;=21,"15-21 days","22+ days")))</f>
        <v>0-7 days</v>
      </c>
    </row>
    <row r="1026" customFormat="false" ht="15" hidden="false" customHeight="false" outlineLevel="0" collapsed="false">
      <c r="A1026" s="21" t="s">
        <v>1092</v>
      </c>
      <c r="B1026" s="21" t="s">
        <v>19</v>
      </c>
      <c r="C1026" s="22" t="n">
        <v>43141</v>
      </c>
      <c r="D1026" s="22" t="n">
        <v>43150</v>
      </c>
      <c r="E1026" s="22" t="n">
        <v>43156</v>
      </c>
      <c r="F1026" s="21" t="s">
        <v>57</v>
      </c>
      <c r="G1026" s="23" t="n">
        <v>175.11</v>
      </c>
      <c r="H1026" s="23" t="n">
        <v>22.39</v>
      </c>
      <c r="I1026" s="21" t="s">
        <v>60</v>
      </c>
      <c r="J1026" s="21" t="n">
        <v>4</v>
      </c>
      <c r="K1026" s="21" t="s">
        <v>46</v>
      </c>
      <c r="L1026" s="24" t="n">
        <f aca="false">DATE(YEAR(C1026),MONTH(C1026),1)</f>
        <v>43132</v>
      </c>
      <c r="M1026" s="21" t="n">
        <f aca="false">D1026-C1026</f>
        <v>9</v>
      </c>
      <c r="N1026" s="21" t="n">
        <f aca="false">MAX(0,D1026-E1026)</f>
        <v>0</v>
      </c>
      <c r="O1026" s="21" t="n">
        <f aca="false">IF(D1026&lt;=E1026,1,0)</f>
        <v>1</v>
      </c>
      <c r="P1026" s="23" t="n">
        <f aca="false">G1026+H1026</f>
        <v>197.5</v>
      </c>
      <c r="Q1026" s="23" t="n">
        <f aca="false">G1026*INDEX(Assumptions!$B$8:$B$16,MATCH(F1026,Assumptions!$A$8:$A$16,0))</f>
        <v>119.0748</v>
      </c>
      <c r="R1026" s="23" t="n">
        <f aca="false">H1026*Assumptions!$B$3</f>
        <v>13.434</v>
      </c>
      <c r="S1026" s="23" t="n">
        <f aca="false">G1026-Q1026-R1026</f>
        <v>42.6012</v>
      </c>
      <c r="T1026" s="21" t="str">
        <f aca="false">IF(M1026&lt;=7,"0-7 days",IF(M1026&lt;=14,"8-14 days",IF(M1026&lt;=21,"15-21 days","22+ days")))</f>
        <v>8-14 days</v>
      </c>
    </row>
    <row r="1027" customFormat="false" ht="15" hidden="false" customHeight="false" outlineLevel="0" collapsed="false">
      <c r="A1027" s="21" t="s">
        <v>1093</v>
      </c>
      <c r="B1027" s="21" t="s">
        <v>62</v>
      </c>
      <c r="C1027" s="22" t="n">
        <v>43141</v>
      </c>
      <c r="D1027" s="22" t="n">
        <v>43158</v>
      </c>
      <c r="E1027" s="22" t="n">
        <v>43161</v>
      </c>
      <c r="F1027" s="21" t="s">
        <v>67</v>
      </c>
      <c r="G1027" s="23" t="n">
        <v>27.89</v>
      </c>
      <c r="H1027" s="23" t="n">
        <v>16.05</v>
      </c>
      <c r="I1027" s="21" t="s">
        <v>45</v>
      </c>
      <c r="J1027" s="21" t="n">
        <v>5</v>
      </c>
      <c r="K1027" s="21" t="s">
        <v>46</v>
      </c>
      <c r="L1027" s="24" t="n">
        <f aca="false">DATE(YEAR(C1027),MONTH(C1027),1)</f>
        <v>43132</v>
      </c>
      <c r="M1027" s="21" t="n">
        <f aca="false">D1027-C1027</f>
        <v>17</v>
      </c>
      <c r="N1027" s="21" t="n">
        <f aca="false">MAX(0,D1027-E1027)</f>
        <v>0</v>
      </c>
      <c r="O1027" s="21" t="n">
        <f aca="false">IF(D1027&lt;=E1027,1,0)</f>
        <v>1</v>
      </c>
      <c r="P1027" s="23" t="n">
        <f aca="false">G1027+H1027</f>
        <v>43.94</v>
      </c>
      <c r="Q1027" s="23" t="n">
        <f aca="false">G1027*INDEX(Assumptions!$B$8:$B$16,MATCH(F1027,Assumptions!$A$8:$A$16,0))</f>
        <v>17.2918</v>
      </c>
      <c r="R1027" s="23" t="n">
        <f aca="false">H1027*Assumptions!$B$3</f>
        <v>9.63</v>
      </c>
      <c r="S1027" s="23" t="n">
        <f aca="false">G1027-Q1027-R1027</f>
        <v>0.968200000000001</v>
      </c>
      <c r="T1027" s="21" t="str">
        <f aca="false">IF(M1027&lt;=7,"0-7 days",IF(M1027&lt;=14,"8-14 days",IF(M1027&lt;=21,"15-21 days","22+ days")))</f>
        <v>15-21 days</v>
      </c>
    </row>
    <row r="1028" customFormat="false" ht="15" hidden="false" customHeight="false" outlineLevel="0" collapsed="false">
      <c r="A1028" s="21" t="s">
        <v>1094</v>
      </c>
      <c r="B1028" s="21" t="s">
        <v>55</v>
      </c>
      <c r="C1028" s="22" t="n">
        <v>43141</v>
      </c>
      <c r="D1028" s="22" t="n">
        <v>43158</v>
      </c>
      <c r="E1028" s="22" t="n">
        <v>43165</v>
      </c>
      <c r="F1028" s="21" t="s">
        <v>44</v>
      </c>
      <c r="G1028" s="23" t="n">
        <v>237.43</v>
      </c>
      <c r="H1028" s="23" t="n">
        <v>24</v>
      </c>
      <c r="I1028" s="21" t="s">
        <v>45</v>
      </c>
      <c r="J1028" s="21" t="n">
        <v>5</v>
      </c>
      <c r="K1028" s="21" t="s">
        <v>46</v>
      </c>
      <c r="L1028" s="24" t="n">
        <f aca="false">DATE(YEAR(C1028),MONTH(C1028),1)</f>
        <v>43132</v>
      </c>
      <c r="M1028" s="21" t="n">
        <f aca="false">D1028-C1028</f>
        <v>17</v>
      </c>
      <c r="N1028" s="21" t="n">
        <f aca="false">MAX(0,D1028-E1028)</f>
        <v>0</v>
      </c>
      <c r="O1028" s="21" t="n">
        <f aca="false">IF(D1028&lt;=E1028,1,0)</f>
        <v>1</v>
      </c>
      <c r="P1028" s="23" t="n">
        <f aca="false">G1028+H1028</f>
        <v>261.43</v>
      </c>
      <c r="Q1028" s="23" t="n">
        <f aca="false">G1028*INDEX(Assumptions!$B$8:$B$16,MATCH(F1028,Assumptions!$A$8:$A$16,0))</f>
        <v>142.458</v>
      </c>
      <c r="R1028" s="23" t="n">
        <f aca="false">H1028*Assumptions!$B$3</f>
        <v>14.4</v>
      </c>
      <c r="S1028" s="23" t="n">
        <f aca="false">G1028-Q1028-R1028</f>
        <v>80.572</v>
      </c>
      <c r="T1028" s="21" t="str">
        <f aca="false">IF(M1028&lt;=7,"0-7 days",IF(M1028&lt;=14,"8-14 days",IF(M1028&lt;=21,"15-21 days","22+ days")))</f>
        <v>15-21 days</v>
      </c>
    </row>
    <row r="1029" customFormat="false" ht="15" hidden="false" customHeight="false" outlineLevel="0" collapsed="false">
      <c r="A1029" s="21" t="s">
        <v>1095</v>
      </c>
      <c r="B1029" s="21" t="s">
        <v>19</v>
      </c>
      <c r="C1029" s="22" t="n">
        <v>43142</v>
      </c>
      <c r="D1029" s="22" t="n">
        <v>43153</v>
      </c>
      <c r="E1029" s="22" t="n">
        <v>43156</v>
      </c>
      <c r="F1029" s="21" t="s">
        <v>67</v>
      </c>
      <c r="G1029" s="23" t="n">
        <v>257.93</v>
      </c>
      <c r="H1029" s="23" t="n">
        <v>25.38</v>
      </c>
      <c r="I1029" s="21" t="s">
        <v>45</v>
      </c>
      <c r="J1029" s="21" t="n">
        <v>5</v>
      </c>
      <c r="K1029" s="21" t="s">
        <v>46</v>
      </c>
      <c r="L1029" s="24" t="n">
        <f aca="false">DATE(YEAR(C1029),MONTH(C1029),1)</f>
        <v>43132</v>
      </c>
      <c r="M1029" s="21" t="n">
        <f aca="false">D1029-C1029</f>
        <v>11</v>
      </c>
      <c r="N1029" s="21" t="n">
        <f aca="false">MAX(0,D1029-E1029)</f>
        <v>0</v>
      </c>
      <c r="O1029" s="21" t="n">
        <f aca="false">IF(D1029&lt;=E1029,1,0)</f>
        <v>1</v>
      </c>
      <c r="P1029" s="23" t="n">
        <f aca="false">G1029+H1029</f>
        <v>283.31</v>
      </c>
      <c r="Q1029" s="23" t="n">
        <f aca="false">G1029*INDEX(Assumptions!$B$8:$B$16,MATCH(F1029,Assumptions!$A$8:$A$16,0))</f>
        <v>159.9166</v>
      </c>
      <c r="R1029" s="23" t="n">
        <f aca="false">H1029*Assumptions!$B$3</f>
        <v>15.228</v>
      </c>
      <c r="S1029" s="23" t="n">
        <f aca="false">G1029-Q1029-R1029</f>
        <v>82.7854</v>
      </c>
      <c r="T1029" s="21" t="str">
        <f aca="false">IF(M1029&lt;=7,"0-7 days",IF(M1029&lt;=14,"8-14 days",IF(M1029&lt;=21,"15-21 days","22+ days")))</f>
        <v>8-14 days</v>
      </c>
    </row>
    <row r="1030" customFormat="false" ht="15" hidden="false" customHeight="false" outlineLevel="0" collapsed="false">
      <c r="A1030" s="21" t="s">
        <v>1096</v>
      </c>
      <c r="B1030" s="21" t="s">
        <v>156</v>
      </c>
      <c r="C1030" s="22" t="n">
        <v>43142</v>
      </c>
      <c r="D1030" s="22" t="n">
        <v>43150</v>
      </c>
      <c r="E1030" s="22" t="n">
        <v>43170</v>
      </c>
      <c r="F1030" s="21" t="s">
        <v>57</v>
      </c>
      <c r="G1030" s="23" t="n">
        <v>101.26</v>
      </c>
      <c r="H1030" s="23" t="n">
        <v>22.15</v>
      </c>
      <c r="I1030" s="21" t="s">
        <v>45</v>
      </c>
      <c r="J1030" s="21" t="n">
        <v>5</v>
      </c>
      <c r="K1030" s="21" t="s">
        <v>46</v>
      </c>
      <c r="L1030" s="24" t="n">
        <f aca="false">DATE(YEAR(C1030),MONTH(C1030),1)</f>
        <v>43132</v>
      </c>
      <c r="M1030" s="21" t="n">
        <f aca="false">D1030-C1030</f>
        <v>8</v>
      </c>
      <c r="N1030" s="21" t="n">
        <f aca="false">MAX(0,D1030-E1030)</f>
        <v>0</v>
      </c>
      <c r="O1030" s="21" t="n">
        <f aca="false">IF(D1030&lt;=E1030,1,0)</f>
        <v>1</v>
      </c>
      <c r="P1030" s="23" t="n">
        <f aca="false">G1030+H1030</f>
        <v>123.41</v>
      </c>
      <c r="Q1030" s="23" t="n">
        <f aca="false">G1030*INDEX(Assumptions!$B$8:$B$16,MATCH(F1030,Assumptions!$A$8:$A$16,0))</f>
        <v>68.8568</v>
      </c>
      <c r="R1030" s="23" t="n">
        <f aca="false">H1030*Assumptions!$B$3</f>
        <v>13.29</v>
      </c>
      <c r="S1030" s="23" t="n">
        <f aca="false">G1030-Q1030-R1030</f>
        <v>19.1132</v>
      </c>
      <c r="T1030" s="21" t="str">
        <f aca="false">IF(M1030&lt;=7,"0-7 days",IF(M1030&lt;=14,"8-14 days",IF(M1030&lt;=21,"15-21 days","22+ days")))</f>
        <v>8-14 days</v>
      </c>
    </row>
    <row r="1031" customFormat="false" ht="15" hidden="false" customHeight="false" outlineLevel="0" collapsed="false">
      <c r="A1031" s="21" t="s">
        <v>1097</v>
      </c>
      <c r="B1031" s="21" t="s">
        <v>19</v>
      </c>
      <c r="C1031" s="22" t="n">
        <v>43142</v>
      </c>
      <c r="D1031" s="22" t="n">
        <v>43147</v>
      </c>
      <c r="E1031" s="22" t="n">
        <v>43154</v>
      </c>
      <c r="F1031" s="21" t="s">
        <v>111</v>
      </c>
      <c r="G1031" s="23" t="n">
        <v>53.24</v>
      </c>
      <c r="H1031" s="23" t="n">
        <v>13.18</v>
      </c>
      <c r="I1031" s="21" t="s">
        <v>45</v>
      </c>
      <c r="J1031" s="21" t="n">
        <v>4</v>
      </c>
      <c r="K1031" s="21" t="s">
        <v>46</v>
      </c>
      <c r="L1031" s="24" t="n">
        <f aca="false">DATE(YEAR(C1031),MONTH(C1031),1)</f>
        <v>43132</v>
      </c>
      <c r="M1031" s="21" t="n">
        <f aca="false">D1031-C1031</f>
        <v>5</v>
      </c>
      <c r="N1031" s="21" t="n">
        <f aca="false">MAX(0,D1031-E1031)</f>
        <v>0</v>
      </c>
      <c r="O1031" s="21" t="n">
        <f aca="false">IF(D1031&lt;=E1031,1,0)</f>
        <v>1</v>
      </c>
      <c r="P1031" s="23" t="n">
        <f aca="false">G1031+H1031</f>
        <v>66.42</v>
      </c>
      <c r="Q1031" s="23" t="n">
        <f aca="false">G1031*INDEX(Assumptions!$B$8:$B$16,MATCH(F1031,Assumptions!$A$8:$A$16,0))</f>
        <v>33.5412</v>
      </c>
      <c r="R1031" s="23" t="n">
        <f aca="false">H1031*Assumptions!$B$3</f>
        <v>7.908</v>
      </c>
      <c r="S1031" s="23" t="n">
        <f aca="false">G1031-Q1031-R1031</f>
        <v>11.7908</v>
      </c>
      <c r="T1031" s="21" t="str">
        <f aca="false">IF(M1031&lt;=7,"0-7 days",IF(M1031&lt;=14,"8-14 days",IF(M1031&lt;=21,"15-21 days","22+ days")))</f>
        <v>0-7 days</v>
      </c>
    </row>
    <row r="1032" customFormat="false" ht="15" hidden="false" customHeight="false" outlineLevel="0" collapsed="false">
      <c r="A1032" s="21" t="s">
        <v>1098</v>
      </c>
      <c r="B1032" s="21" t="s">
        <v>19</v>
      </c>
      <c r="C1032" s="22" t="n">
        <v>43142</v>
      </c>
      <c r="D1032" s="22" t="n">
        <v>43152</v>
      </c>
      <c r="E1032" s="22" t="n">
        <v>43158</v>
      </c>
      <c r="F1032" s="21" t="s">
        <v>111</v>
      </c>
      <c r="G1032" s="23" t="n">
        <v>62.66</v>
      </c>
      <c r="H1032" s="23" t="n">
        <v>11.84</v>
      </c>
      <c r="I1032" s="21" t="s">
        <v>45</v>
      </c>
      <c r="J1032" s="21" t="n">
        <v>4</v>
      </c>
      <c r="K1032" s="21" t="s">
        <v>46</v>
      </c>
      <c r="L1032" s="24" t="n">
        <f aca="false">DATE(YEAR(C1032),MONTH(C1032),1)</f>
        <v>43132</v>
      </c>
      <c r="M1032" s="21" t="n">
        <f aca="false">D1032-C1032</f>
        <v>10</v>
      </c>
      <c r="N1032" s="21" t="n">
        <f aca="false">MAX(0,D1032-E1032)</f>
        <v>0</v>
      </c>
      <c r="O1032" s="21" t="n">
        <f aca="false">IF(D1032&lt;=E1032,1,0)</f>
        <v>1</v>
      </c>
      <c r="P1032" s="23" t="n">
        <f aca="false">G1032+H1032</f>
        <v>74.5</v>
      </c>
      <c r="Q1032" s="23" t="n">
        <f aca="false">G1032*INDEX(Assumptions!$B$8:$B$16,MATCH(F1032,Assumptions!$A$8:$A$16,0))</f>
        <v>39.4758</v>
      </c>
      <c r="R1032" s="23" t="n">
        <f aca="false">H1032*Assumptions!$B$3</f>
        <v>7.104</v>
      </c>
      <c r="S1032" s="23" t="n">
        <f aca="false">G1032-Q1032-R1032</f>
        <v>16.0802</v>
      </c>
      <c r="T1032" s="21" t="str">
        <f aca="false">IF(M1032&lt;=7,"0-7 days",IF(M1032&lt;=14,"8-14 days",IF(M1032&lt;=21,"15-21 days","22+ days")))</f>
        <v>8-14 days</v>
      </c>
    </row>
    <row r="1033" customFormat="false" ht="15" hidden="false" customHeight="false" outlineLevel="0" collapsed="false">
      <c r="A1033" s="21" t="s">
        <v>1099</v>
      </c>
      <c r="B1033" s="21" t="s">
        <v>52</v>
      </c>
      <c r="C1033" s="22" t="n">
        <v>43142</v>
      </c>
      <c r="D1033" s="22" t="n">
        <v>43149</v>
      </c>
      <c r="E1033" s="22" t="n">
        <v>43166</v>
      </c>
      <c r="F1033" s="21" t="s">
        <v>53</v>
      </c>
      <c r="G1033" s="23" t="n">
        <v>210.08</v>
      </c>
      <c r="H1033" s="23" t="n">
        <v>19.82</v>
      </c>
      <c r="I1033" s="21" t="s">
        <v>60</v>
      </c>
      <c r="J1033" s="21" t="n">
        <v>4</v>
      </c>
      <c r="K1033" s="21" t="s">
        <v>46</v>
      </c>
      <c r="L1033" s="24" t="n">
        <f aca="false">DATE(YEAR(C1033),MONTH(C1033),1)</f>
        <v>43132</v>
      </c>
      <c r="M1033" s="21" t="n">
        <f aca="false">D1033-C1033</f>
        <v>7</v>
      </c>
      <c r="N1033" s="21" t="n">
        <f aca="false">MAX(0,D1033-E1033)</f>
        <v>0</v>
      </c>
      <c r="O1033" s="21" t="n">
        <f aca="false">IF(D1033&lt;=E1033,1,0)</f>
        <v>1</v>
      </c>
      <c r="P1033" s="23" t="n">
        <f aca="false">G1033+H1033</f>
        <v>229.9</v>
      </c>
      <c r="Q1033" s="23" t="n">
        <f aca="false">G1033*INDEX(Assumptions!$B$8:$B$16,MATCH(F1033,Assumptions!$A$8:$A$16,0))</f>
        <v>155.4592</v>
      </c>
      <c r="R1033" s="23" t="n">
        <f aca="false">H1033*Assumptions!$B$3</f>
        <v>11.892</v>
      </c>
      <c r="S1033" s="23" t="n">
        <f aca="false">G1033-Q1033-R1033</f>
        <v>42.7288</v>
      </c>
      <c r="T1033" s="21" t="str">
        <f aca="false">IF(M1033&lt;=7,"0-7 days",IF(M1033&lt;=14,"8-14 days",IF(M1033&lt;=21,"15-21 days","22+ days")))</f>
        <v>0-7 days</v>
      </c>
    </row>
    <row r="1034" customFormat="false" ht="15" hidden="false" customHeight="false" outlineLevel="0" collapsed="false">
      <c r="A1034" s="21" t="s">
        <v>1100</v>
      </c>
      <c r="B1034" s="21" t="s">
        <v>55</v>
      </c>
      <c r="C1034" s="22" t="n">
        <v>43142</v>
      </c>
      <c r="D1034" s="22" t="n">
        <v>43160</v>
      </c>
      <c r="E1034" s="22" t="n">
        <v>43167</v>
      </c>
      <c r="F1034" s="21" t="s">
        <v>67</v>
      </c>
      <c r="G1034" s="23" t="n">
        <v>62.11</v>
      </c>
      <c r="H1034" s="23" t="n">
        <v>23.91</v>
      </c>
      <c r="I1034" s="21" t="s">
        <v>45</v>
      </c>
      <c r="J1034" s="21" t="n">
        <v>5</v>
      </c>
      <c r="K1034" s="21" t="s">
        <v>46</v>
      </c>
      <c r="L1034" s="24" t="n">
        <f aca="false">DATE(YEAR(C1034),MONTH(C1034),1)</f>
        <v>43132</v>
      </c>
      <c r="M1034" s="21" t="n">
        <f aca="false">D1034-C1034</f>
        <v>18</v>
      </c>
      <c r="N1034" s="21" t="n">
        <f aca="false">MAX(0,D1034-E1034)</f>
        <v>0</v>
      </c>
      <c r="O1034" s="21" t="n">
        <f aca="false">IF(D1034&lt;=E1034,1,0)</f>
        <v>1</v>
      </c>
      <c r="P1034" s="23" t="n">
        <f aca="false">G1034+H1034</f>
        <v>86.02</v>
      </c>
      <c r="Q1034" s="23" t="n">
        <f aca="false">G1034*INDEX(Assumptions!$B$8:$B$16,MATCH(F1034,Assumptions!$A$8:$A$16,0))</f>
        <v>38.5082</v>
      </c>
      <c r="R1034" s="23" t="n">
        <f aca="false">H1034*Assumptions!$B$3</f>
        <v>14.346</v>
      </c>
      <c r="S1034" s="23" t="n">
        <f aca="false">G1034-Q1034-R1034</f>
        <v>9.2558</v>
      </c>
      <c r="T1034" s="21" t="str">
        <f aca="false">IF(M1034&lt;=7,"0-7 days",IF(M1034&lt;=14,"8-14 days",IF(M1034&lt;=21,"15-21 days","22+ days")))</f>
        <v>15-21 days</v>
      </c>
    </row>
    <row r="1035" customFormat="false" ht="15" hidden="false" customHeight="false" outlineLevel="0" collapsed="false">
      <c r="A1035" s="21" t="s">
        <v>1101</v>
      </c>
      <c r="B1035" s="21" t="s">
        <v>19</v>
      </c>
      <c r="C1035" s="22" t="n">
        <v>43142</v>
      </c>
      <c r="D1035" s="22" t="n">
        <v>43149</v>
      </c>
      <c r="E1035" s="22" t="n">
        <v>43157</v>
      </c>
      <c r="F1035" s="21" t="s">
        <v>49</v>
      </c>
      <c r="G1035" s="23" t="n">
        <v>81.04</v>
      </c>
      <c r="H1035" s="23" t="n">
        <v>12.28</v>
      </c>
      <c r="I1035" s="21" t="s">
        <v>45</v>
      </c>
      <c r="J1035" s="21" t="n">
        <v>5</v>
      </c>
      <c r="K1035" s="21" t="s">
        <v>46</v>
      </c>
      <c r="L1035" s="24" t="n">
        <f aca="false">DATE(YEAR(C1035),MONTH(C1035),1)</f>
        <v>43132</v>
      </c>
      <c r="M1035" s="21" t="n">
        <f aca="false">D1035-C1035</f>
        <v>7</v>
      </c>
      <c r="N1035" s="21" t="n">
        <f aca="false">MAX(0,D1035-E1035)</f>
        <v>0</v>
      </c>
      <c r="O1035" s="21" t="n">
        <f aca="false">IF(D1035&lt;=E1035,1,0)</f>
        <v>1</v>
      </c>
      <c r="P1035" s="23" t="n">
        <f aca="false">G1035+H1035</f>
        <v>93.32</v>
      </c>
      <c r="Q1035" s="23" t="n">
        <f aca="false">G1035*INDEX(Assumptions!$B$8:$B$16,MATCH(F1035,Assumptions!$A$8:$A$16,0))</f>
        <v>47.0032</v>
      </c>
      <c r="R1035" s="23" t="n">
        <f aca="false">H1035*Assumptions!$B$3</f>
        <v>7.368</v>
      </c>
      <c r="S1035" s="23" t="n">
        <f aca="false">G1035-Q1035-R1035</f>
        <v>26.6688</v>
      </c>
      <c r="T1035" s="21" t="str">
        <f aca="false">IF(M1035&lt;=7,"0-7 days",IF(M1035&lt;=14,"8-14 days",IF(M1035&lt;=21,"15-21 days","22+ days")))</f>
        <v>0-7 days</v>
      </c>
    </row>
    <row r="1036" customFormat="false" ht="15" hidden="false" customHeight="false" outlineLevel="0" collapsed="false">
      <c r="A1036" s="21" t="s">
        <v>1102</v>
      </c>
      <c r="B1036" s="21" t="s">
        <v>19</v>
      </c>
      <c r="C1036" s="22" t="n">
        <v>43142</v>
      </c>
      <c r="D1036" s="22" t="n">
        <v>43152</v>
      </c>
      <c r="E1036" s="22" t="n">
        <v>43157</v>
      </c>
      <c r="F1036" s="21" t="s">
        <v>111</v>
      </c>
      <c r="G1036" s="23" t="n">
        <v>103.21</v>
      </c>
      <c r="H1036" s="23" t="n">
        <v>19.54</v>
      </c>
      <c r="I1036" s="21" t="s">
        <v>45</v>
      </c>
      <c r="J1036" s="21" t="n">
        <v>4</v>
      </c>
      <c r="K1036" s="21" t="s">
        <v>46</v>
      </c>
      <c r="L1036" s="24" t="n">
        <f aca="false">DATE(YEAR(C1036),MONTH(C1036),1)</f>
        <v>43132</v>
      </c>
      <c r="M1036" s="21" t="n">
        <f aca="false">D1036-C1036</f>
        <v>10</v>
      </c>
      <c r="N1036" s="21" t="n">
        <f aca="false">MAX(0,D1036-E1036)</f>
        <v>0</v>
      </c>
      <c r="O1036" s="21" t="n">
        <f aca="false">IF(D1036&lt;=E1036,1,0)</f>
        <v>1</v>
      </c>
      <c r="P1036" s="23" t="n">
        <f aca="false">G1036+H1036</f>
        <v>122.75</v>
      </c>
      <c r="Q1036" s="23" t="n">
        <f aca="false">G1036*INDEX(Assumptions!$B$8:$B$16,MATCH(F1036,Assumptions!$A$8:$A$16,0))</f>
        <v>65.0223</v>
      </c>
      <c r="R1036" s="23" t="n">
        <f aca="false">H1036*Assumptions!$B$3</f>
        <v>11.724</v>
      </c>
      <c r="S1036" s="23" t="n">
        <f aca="false">G1036-Q1036-R1036</f>
        <v>26.4637</v>
      </c>
      <c r="T1036" s="21" t="str">
        <f aca="false">IF(M1036&lt;=7,"0-7 days",IF(M1036&lt;=14,"8-14 days",IF(M1036&lt;=21,"15-21 days","22+ days")))</f>
        <v>8-14 days</v>
      </c>
    </row>
    <row r="1037" customFormat="false" ht="15" hidden="false" customHeight="false" outlineLevel="0" collapsed="false">
      <c r="A1037" s="21" t="s">
        <v>1103</v>
      </c>
      <c r="B1037" s="21" t="s">
        <v>19</v>
      </c>
      <c r="C1037" s="22" t="n">
        <v>43142</v>
      </c>
      <c r="D1037" s="22" t="n">
        <v>43150</v>
      </c>
      <c r="E1037" s="22" t="n">
        <v>43158</v>
      </c>
      <c r="F1037" s="21" t="s">
        <v>64</v>
      </c>
      <c r="G1037" s="23" t="n">
        <v>267.94</v>
      </c>
      <c r="H1037" s="23" t="n">
        <v>22.32</v>
      </c>
      <c r="I1037" s="21" t="s">
        <v>45</v>
      </c>
      <c r="J1037" s="21" t="n">
        <v>4</v>
      </c>
      <c r="K1037" s="21" t="s">
        <v>46</v>
      </c>
      <c r="L1037" s="24" t="n">
        <f aca="false">DATE(YEAR(C1037),MONTH(C1037),1)</f>
        <v>43132</v>
      </c>
      <c r="M1037" s="21" t="n">
        <f aca="false">D1037-C1037</f>
        <v>8</v>
      </c>
      <c r="N1037" s="21" t="n">
        <f aca="false">MAX(0,D1037-E1037)</f>
        <v>0</v>
      </c>
      <c r="O1037" s="21" t="n">
        <f aca="false">IF(D1037&lt;=E1037,1,0)</f>
        <v>1</v>
      </c>
      <c r="P1037" s="23" t="n">
        <f aca="false">G1037+H1037</f>
        <v>290.26</v>
      </c>
      <c r="Q1037" s="23" t="n">
        <f aca="false">G1037*INDEX(Assumptions!$B$8:$B$16,MATCH(F1037,Assumptions!$A$8:$A$16,0))</f>
        <v>176.8404</v>
      </c>
      <c r="R1037" s="23" t="n">
        <f aca="false">H1037*Assumptions!$B$3</f>
        <v>13.392</v>
      </c>
      <c r="S1037" s="23" t="n">
        <f aca="false">G1037-Q1037-R1037</f>
        <v>77.7076</v>
      </c>
      <c r="T1037" s="21" t="str">
        <f aca="false">IF(M1037&lt;=7,"0-7 days",IF(M1037&lt;=14,"8-14 days",IF(M1037&lt;=21,"15-21 days","22+ days")))</f>
        <v>8-14 days</v>
      </c>
    </row>
    <row r="1038" customFormat="false" ht="15" hidden="false" customHeight="false" outlineLevel="0" collapsed="false">
      <c r="A1038" s="21" t="s">
        <v>1104</v>
      </c>
      <c r="B1038" s="21" t="s">
        <v>19</v>
      </c>
      <c r="C1038" s="22" t="n">
        <v>43143</v>
      </c>
      <c r="D1038" s="22" t="n">
        <v>43152</v>
      </c>
      <c r="E1038" s="22" t="n">
        <v>43159</v>
      </c>
      <c r="F1038" s="21" t="s">
        <v>49</v>
      </c>
      <c r="G1038" s="23" t="n">
        <v>62.33</v>
      </c>
      <c r="H1038" s="23" t="n">
        <v>18.61</v>
      </c>
      <c r="I1038" s="21" t="s">
        <v>45</v>
      </c>
      <c r="J1038" s="21" t="n">
        <v>4</v>
      </c>
      <c r="K1038" s="21" t="s">
        <v>46</v>
      </c>
      <c r="L1038" s="24" t="n">
        <f aca="false">DATE(YEAR(C1038),MONTH(C1038),1)</f>
        <v>43132</v>
      </c>
      <c r="M1038" s="21" t="n">
        <f aca="false">D1038-C1038</f>
        <v>9</v>
      </c>
      <c r="N1038" s="21" t="n">
        <f aca="false">MAX(0,D1038-E1038)</f>
        <v>0</v>
      </c>
      <c r="O1038" s="21" t="n">
        <f aca="false">IF(D1038&lt;=E1038,1,0)</f>
        <v>1</v>
      </c>
      <c r="P1038" s="23" t="n">
        <f aca="false">G1038+H1038</f>
        <v>80.94</v>
      </c>
      <c r="Q1038" s="23" t="n">
        <f aca="false">G1038*INDEX(Assumptions!$B$8:$B$16,MATCH(F1038,Assumptions!$A$8:$A$16,0))</f>
        <v>36.1514</v>
      </c>
      <c r="R1038" s="23" t="n">
        <f aca="false">H1038*Assumptions!$B$3</f>
        <v>11.166</v>
      </c>
      <c r="S1038" s="23" t="n">
        <f aca="false">G1038-Q1038-R1038</f>
        <v>15.0126</v>
      </c>
      <c r="T1038" s="21" t="str">
        <f aca="false">IF(M1038&lt;=7,"0-7 days",IF(M1038&lt;=14,"8-14 days",IF(M1038&lt;=21,"15-21 days","22+ days")))</f>
        <v>8-14 days</v>
      </c>
    </row>
    <row r="1039" customFormat="false" ht="15" hidden="false" customHeight="false" outlineLevel="0" collapsed="false">
      <c r="A1039" s="21" t="s">
        <v>1105</v>
      </c>
      <c r="B1039" s="21" t="s">
        <v>52</v>
      </c>
      <c r="C1039" s="22" t="n">
        <v>43143</v>
      </c>
      <c r="D1039" s="22" t="n">
        <v>43160</v>
      </c>
      <c r="E1039" s="22" t="n">
        <v>43166</v>
      </c>
      <c r="F1039" s="21" t="s">
        <v>67</v>
      </c>
      <c r="G1039" s="23" t="n">
        <v>124.39</v>
      </c>
      <c r="H1039" s="23" t="n">
        <v>19.95</v>
      </c>
      <c r="I1039" s="21" t="s">
        <v>45</v>
      </c>
      <c r="J1039" s="21" t="n">
        <v>3</v>
      </c>
      <c r="K1039" s="21" t="s">
        <v>46</v>
      </c>
      <c r="L1039" s="24" t="n">
        <f aca="false">DATE(YEAR(C1039),MONTH(C1039),1)</f>
        <v>43132</v>
      </c>
      <c r="M1039" s="21" t="n">
        <f aca="false">D1039-C1039</f>
        <v>17</v>
      </c>
      <c r="N1039" s="21" t="n">
        <f aca="false">MAX(0,D1039-E1039)</f>
        <v>0</v>
      </c>
      <c r="O1039" s="21" t="n">
        <f aca="false">IF(D1039&lt;=E1039,1,0)</f>
        <v>1</v>
      </c>
      <c r="P1039" s="23" t="n">
        <f aca="false">G1039+H1039</f>
        <v>144.34</v>
      </c>
      <c r="Q1039" s="23" t="n">
        <f aca="false">G1039*INDEX(Assumptions!$B$8:$B$16,MATCH(F1039,Assumptions!$A$8:$A$16,0))</f>
        <v>77.1218</v>
      </c>
      <c r="R1039" s="23" t="n">
        <f aca="false">H1039*Assumptions!$B$3</f>
        <v>11.97</v>
      </c>
      <c r="S1039" s="23" t="n">
        <f aca="false">G1039-Q1039-R1039</f>
        <v>35.2982</v>
      </c>
      <c r="T1039" s="21" t="str">
        <f aca="false">IF(M1039&lt;=7,"0-7 days",IF(M1039&lt;=14,"8-14 days",IF(M1039&lt;=21,"15-21 days","22+ days")))</f>
        <v>15-21 days</v>
      </c>
    </row>
    <row r="1040" customFormat="false" ht="15" hidden="false" customHeight="false" outlineLevel="0" collapsed="false">
      <c r="A1040" s="21" t="s">
        <v>1106</v>
      </c>
      <c r="B1040" s="21" t="s">
        <v>134</v>
      </c>
      <c r="C1040" s="22" t="n">
        <v>43143</v>
      </c>
      <c r="D1040" s="22" t="n">
        <v>43160</v>
      </c>
      <c r="E1040" s="22" t="n">
        <v>43165</v>
      </c>
      <c r="F1040" s="21" t="s">
        <v>64</v>
      </c>
      <c r="G1040" s="23" t="n">
        <v>137.04</v>
      </c>
      <c r="H1040" s="23" t="n">
        <v>23.35</v>
      </c>
      <c r="I1040" s="21" t="s">
        <v>45</v>
      </c>
      <c r="J1040" s="21" t="n">
        <v>4</v>
      </c>
      <c r="K1040" s="21" t="s">
        <v>46</v>
      </c>
      <c r="L1040" s="24" t="n">
        <f aca="false">DATE(YEAR(C1040),MONTH(C1040),1)</f>
        <v>43132</v>
      </c>
      <c r="M1040" s="21" t="n">
        <f aca="false">D1040-C1040</f>
        <v>17</v>
      </c>
      <c r="N1040" s="21" t="n">
        <f aca="false">MAX(0,D1040-E1040)</f>
        <v>0</v>
      </c>
      <c r="O1040" s="21" t="n">
        <f aca="false">IF(D1040&lt;=E1040,1,0)</f>
        <v>1</v>
      </c>
      <c r="P1040" s="23" t="n">
        <f aca="false">G1040+H1040</f>
        <v>160.39</v>
      </c>
      <c r="Q1040" s="23" t="n">
        <f aca="false">G1040*INDEX(Assumptions!$B$8:$B$16,MATCH(F1040,Assumptions!$A$8:$A$16,0))</f>
        <v>90.4464</v>
      </c>
      <c r="R1040" s="23" t="n">
        <f aca="false">H1040*Assumptions!$B$3</f>
        <v>14.01</v>
      </c>
      <c r="S1040" s="23" t="n">
        <f aca="false">G1040-Q1040-R1040</f>
        <v>32.5836</v>
      </c>
      <c r="T1040" s="21" t="str">
        <f aca="false">IF(M1040&lt;=7,"0-7 days",IF(M1040&lt;=14,"8-14 days",IF(M1040&lt;=21,"15-21 days","22+ days")))</f>
        <v>15-21 days</v>
      </c>
    </row>
    <row r="1041" customFormat="false" ht="15" hidden="false" customHeight="false" outlineLevel="0" collapsed="false">
      <c r="A1041" s="21" t="s">
        <v>1107</v>
      </c>
      <c r="B1041" s="21" t="s">
        <v>55</v>
      </c>
      <c r="C1041" s="22" t="n">
        <v>43143</v>
      </c>
      <c r="D1041" s="22" t="n">
        <v>43156</v>
      </c>
      <c r="E1041" s="22" t="n">
        <v>43166</v>
      </c>
      <c r="F1041" s="21" t="s">
        <v>49</v>
      </c>
      <c r="G1041" s="23" t="n">
        <v>81.73</v>
      </c>
      <c r="H1041" s="23" t="n">
        <v>31.03</v>
      </c>
      <c r="I1041" s="21" t="s">
        <v>45</v>
      </c>
      <c r="J1041" s="21" t="n">
        <v>4</v>
      </c>
      <c r="K1041" s="21" t="s">
        <v>46</v>
      </c>
      <c r="L1041" s="24" t="n">
        <f aca="false">DATE(YEAR(C1041),MONTH(C1041),1)</f>
        <v>43132</v>
      </c>
      <c r="M1041" s="21" t="n">
        <f aca="false">D1041-C1041</f>
        <v>13</v>
      </c>
      <c r="N1041" s="21" t="n">
        <f aca="false">MAX(0,D1041-E1041)</f>
        <v>0</v>
      </c>
      <c r="O1041" s="21" t="n">
        <f aca="false">IF(D1041&lt;=E1041,1,0)</f>
        <v>1</v>
      </c>
      <c r="P1041" s="23" t="n">
        <f aca="false">G1041+H1041</f>
        <v>112.76</v>
      </c>
      <c r="Q1041" s="23" t="n">
        <f aca="false">G1041*INDEX(Assumptions!$B$8:$B$16,MATCH(F1041,Assumptions!$A$8:$A$16,0))</f>
        <v>47.4034</v>
      </c>
      <c r="R1041" s="23" t="n">
        <f aca="false">H1041*Assumptions!$B$3</f>
        <v>18.618</v>
      </c>
      <c r="S1041" s="23" t="n">
        <f aca="false">G1041-Q1041-R1041</f>
        <v>15.7086</v>
      </c>
      <c r="T1041" s="21" t="str">
        <f aca="false">IF(M1041&lt;=7,"0-7 days",IF(M1041&lt;=14,"8-14 days",IF(M1041&lt;=21,"15-21 days","22+ days")))</f>
        <v>8-14 days</v>
      </c>
    </row>
    <row r="1042" customFormat="false" ht="15" hidden="false" customHeight="false" outlineLevel="0" collapsed="false">
      <c r="A1042" s="21" t="s">
        <v>1108</v>
      </c>
      <c r="B1042" s="21" t="s">
        <v>19</v>
      </c>
      <c r="C1042" s="22" t="n">
        <v>43144</v>
      </c>
      <c r="D1042" s="22" t="n">
        <v>43158</v>
      </c>
      <c r="E1042" s="22" t="n">
        <v>43157</v>
      </c>
      <c r="F1042" s="21" t="s">
        <v>53</v>
      </c>
      <c r="G1042" s="23" t="n">
        <v>148.65</v>
      </c>
      <c r="H1042" s="23" t="n">
        <v>21.75</v>
      </c>
      <c r="I1042" s="21" t="s">
        <v>45</v>
      </c>
      <c r="J1042" s="21" t="n">
        <v>4</v>
      </c>
      <c r="K1042" s="21" t="s">
        <v>46</v>
      </c>
      <c r="L1042" s="24" t="n">
        <f aca="false">DATE(YEAR(C1042),MONTH(C1042),1)</f>
        <v>43132</v>
      </c>
      <c r="M1042" s="21" t="n">
        <f aca="false">D1042-C1042</f>
        <v>14</v>
      </c>
      <c r="N1042" s="21" t="n">
        <f aca="false">MAX(0,D1042-E1042)</f>
        <v>1</v>
      </c>
      <c r="O1042" s="21" t="n">
        <f aca="false">IF(D1042&lt;=E1042,1,0)</f>
        <v>0</v>
      </c>
      <c r="P1042" s="23" t="n">
        <f aca="false">G1042+H1042</f>
        <v>170.4</v>
      </c>
      <c r="Q1042" s="23" t="n">
        <f aca="false">G1042*INDEX(Assumptions!$B$8:$B$16,MATCH(F1042,Assumptions!$A$8:$A$16,0))</f>
        <v>110.001</v>
      </c>
      <c r="R1042" s="23" t="n">
        <f aca="false">H1042*Assumptions!$B$3</f>
        <v>13.05</v>
      </c>
      <c r="S1042" s="23" t="n">
        <f aca="false">G1042-Q1042-R1042</f>
        <v>25.599</v>
      </c>
      <c r="T1042" s="21" t="str">
        <f aca="false">IF(M1042&lt;=7,"0-7 days",IF(M1042&lt;=14,"8-14 days",IF(M1042&lt;=21,"15-21 days","22+ days")))</f>
        <v>8-14 days</v>
      </c>
    </row>
    <row r="1043" customFormat="false" ht="15" hidden="false" customHeight="false" outlineLevel="0" collapsed="false">
      <c r="A1043" s="21" t="s">
        <v>1109</v>
      </c>
      <c r="B1043" s="21" t="s">
        <v>19</v>
      </c>
      <c r="C1043" s="22" t="n">
        <v>43144</v>
      </c>
      <c r="D1043" s="22" t="n">
        <v>43152</v>
      </c>
      <c r="E1043" s="22" t="n">
        <v>43160</v>
      </c>
      <c r="F1043" s="21" t="s">
        <v>44</v>
      </c>
      <c r="G1043" s="23" t="n">
        <v>209.2</v>
      </c>
      <c r="H1043" s="23" t="n">
        <v>18.03</v>
      </c>
      <c r="I1043" s="21" t="s">
        <v>45</v>
      </c>
      <c r="J1043" s="21" t="n">
        <v>4</v>
      </c>
      <c r="K1043" s="21" t="s">
        <v>46</v>
      </c>
      <c r="L1043" s="24" t="n">
        <f aca="false">DATE(YEAR(C1043),MONTH(C1043),1)</f>
        <v>43132</v>
      </c>
      <c r="M1043" s="21" t="n">
        <f aca="false">D1043-C1043</f>
        <v>8</v>
      </c>
      <c r="N1043" s="21" t="n">
        <f aca="false">MAX(0,D1043-E1043)</f>
        <v>0</v>
      </c>
      <c r="O1043" s="21" t="n">
        <f aca="false">IF(D1043&lt;=E1043,1,0)</f>
        <v>1</v>
      </c>
      <c r="P1043" s="23" t="n">
        <f aca="false">G1043+H1043</f>
        <v>227.23</v>
      </c>
      <c r="Q1043" s="23" t="n">
        <f aca="false">G1043*INDEX(Assumptions!$B$8:$B$16,MATCH(F1043,Assumptions!$A$8:$A$16,0))</f>
        <v>125.52</v>
      </c>
      <c r="R1043" s="23" t="n">
        <f aca="false">H1043*Assumptions!$B$3</f>
        <v>10.818</v>
      </c>
      <c r="S1043" s="23" t="n">
        <f aca="false">G1043-Q1043-R1043</f>
        <v>72.862</v>
      </c>
      <c r="T1043" s="21" t="str">
        <f aca="false">IF(M1043&lt;=7,"0-7 days",IF(M1043&lt;=14,"8-14 days",IF(M1043&lt;=21,"15-21 days","22+ days")))</f>
        <v>8-14 days</v>
      </c>
    </row>
    <row r="1044" customFormat="false" ht="15" hidden="false" customHeight="false" outlineLevel="0" collapsed="false">
      <c r="A1044" s="21" t="s">
        <v>1110</v>
      </c>
      <c r="B1044" s="21" t="s">
        <v>55</v>
      </c>
      <c r="C1044" s="22" t="n">
        <v>43144</v>
      </c>
      <c r="D1044" s="22" t="n">
        <v>43158</v>
      </c>
      <c r="E1044" s="22" t="n">
        <v>43170</v>
      </c>
      <c r="F1044" s="21" t="s">
        <v>79</v>
      </c>
      <c r="G1044" s="23" t="n">
        <v>73.43</v>
      </c>
      <c r="H1044" s="23" t="n">
        <v>22.57</v>
      </c>
      <c r="I1044" s="21" t="s">
        <v>45</v>
      </c>
      <c r="J1044" s="21" t="n">
        <v>4</v>
      </c>
      <c r="K1044" s="21" t="s">
        <v>46</v>
      </c>
      <c r="L1044" s="24" t="n">
        <f aca="false">DATE(YEAR(C1044),MONTH(C1044),1)</f>
        <v>43132</v>
      </c>
      <c r="M1044" s="21" t="n">
        <f aca="false">D1044-C1044</f>
        <v>14</v>
      </c>
      <c r="N1044" s="21" t="n">
        <f aca="false">MAX(0,D1044-E1044)</f>
        <v>0</v>
      </c>
      <c r="O1044" s="21" t="n">
        <f aca="false">IF(D1044&lt;=E1044,1,0)</f>
        <v>1</v>
      </c>
      <c r="P1044" s="23" t="n">
        <f aca="false">G1044+H1044</f>
        <v>96</v>
      </c>
      <c r="Q1044" s="23" t="n">
        <f aca="false">G1044*INDEX(Assumptions!$B$8:$B$16,MATCH(F1044,Assumptions!$A$8:$A$16,0))</f>
        <v>51.401</v>
      </c>
      <c r="R1044" s="23" t="n">
        <f aca="false">H1044*Assumptions!$B$3</f>
        <v>13.542</v>
      </c>
      <c r="S1044" s="23" t="n">
        <f aca="false">G1044-Q1044-R1044</f>
        <v>8.487</v>
      </c>
      <c r="T1044" s="21" t="str">
        <f aca="false">IF(M1044&lt;=7,"0-7 days",IF(M1044&lt;=14,"8-14 days",IF(M1044&lt;=21,"15-21 days","22+ days")))</f>
        <v>8-14 days</v>
      </c>
    </row>
    <row r="1045" customFormat="false" ht="15" hidden="false" customHeight="false" outlineLevel="0" collapsed="false">
      <c r="A1045" s="21" t="s">
        <v>1111</v>
      </c>
      <c r="B1045" s="21" t="s">
        <v>19</v>
      </c>
      <c r="C1045" s="22" t="n">
        <v>43144</v>
      </c>
      <c r="D1045" s="22" t="n">
        <v>43150</v>
      </c>
      <c r="E1045" s="22" t="n">
        <v>43161</v>
      </c>
      <c r="F1045" s="21" t="s">
        <v>67</v>
      </c>
      <c r="G1045" s="23" t="n">
        <v>180.51</v>
      </c>
      <c r="H1045" s="23" t="n">
        <v>17.57</v>
      </c>
      <c r="I1045" s="21" t="s">
        <v>104</v>
      </c>
      <c r="J1045" s="21" t="n">
        <v>4</v>
      </c>
      <c r="K1045" s="21" t="s">
        <v>46</v>
      </c>
      <c r="L1045" s="24" t="n">
        <f aca="false">DATE(YEAR(C1045),MONTH(C1045),1)</f>
        <v>43132</v>
      </c>
      <c r="M1045" s="21" t="n">
        <f aca="false">D1045-C1045</f>
        <v>6</v>
      </c>
      <c r="N1045" s="21" t="n">
        <f aca="false">MAX(0,D1045-E1045)</f>
        <v>0</v>
      </c>
      <c r="O1045" s="21" t="n">
        <f aca="false">IF(D1045&lt;=E1045,1,0)</f>
        <v>1</v>
      </c>
      <c r="P1045" s="23" t="n">
        <f aca="false">G1045+H1045</f>
        <v>198.08</v>
      </c>
      <c r="Q1045" s="23" t="n">
        <f aca="false">G1045*INDEX(Assumptions!$B$8:$B$16,MATCH(F1045,Assumptions!$A$8:$A$16,0))</f>
        <v>111.9162</v>
      </c>
      <c r="R1045" s="23" t="n">
        <f aca="false">H1045*Assumptions!$B$3</f>
        <v>10.542</v>
      </c>
      <c r="S1045" s="23" t="n">
        <f aca="false">G1045-Q1045-R1045</f>
        <v>58.0518</v>
      </c>
      <c r="T1045" s="21" t="str">
        <f aca="false">IF(M1045&lt;=7,"0-7 days",IF(M1045&lt;=14,"8-14 days",IF(M1045&lt;=21,"15-21 days","22+ days")))</f>
        <v>0-7 days</v>
      </c>
    </row>
    <row r="1046" customFormat="false" ht="15" hidden="false" customHeight="false" outlineLevel="0" collapsed="false">
      <c r="A1046" s="21" t="s">
        <v>1112</v>
      </c>
      <c r="B1046" s="21" t="s">
        <v>19</v>
      </c>
      <c r="C1046" s="22" t="n">
        <v>43145</v>
      </c>
      <c r="D1046" s="22" t="n">
        <v>43159</v>
      </c>
      <c r="E1046" s="22" t="n">
        <v>43161</v>
      </c>
      <c r="F1046" s="21" t="s">
        <v>67</v>
      </c>
      <c r="G1046" s="23" t="n">
        <v>48.91</v>
      </c>
      <c r="H1046" s="23" t="n">
        <v>17.01</v>
      </c>
      <c r="I1046" s="21" t="s">
        <v>45</v>
      </c>
      <c r="J1046" s="21" t="n">
        <v>4</v>
      </c>
      <c r="K1046" s="21" t="s">
        <v>46</v>
      </c>
      <c r="L1046" s="24" t="n">
        <f aca="false">DATE(YEAR(C1046),MONTH(C1046),1)</f>
        <v>43132</v>
      </c>
      <c r="M1046" s="21" t="n">
        <f aca="false">D1046-C1046</f>
        <v>14</v>
      </c>
      <c r="N1046" s="21" t="n">
        <f aca="false">MAX(0,D1046-E1046)</f>
        <v>0</v>
      </c>
      <c r="O1046" s="21" t="n">
        <f aca="false">IF(D1046&lt;=E1046,1,0)</f>
        <v>1</v>
      </c>
      <c r="P1046" s="23" t="n">
        <f aca="false">G1046+H1046</f>
        <v>65.92</v>
      </c>
      <c r="Q1046" s="23" t="n">
        <f aca="false">G1046*INDEX(Assumptions!$B$8:$B$16,MATCH(F1046,Assumptions!$A$8:$A$16,0))</f>
        <v>30.3242</v>
      </c>
      <c r="R1046" s="23" t="n">
        <f aca="false">H1046*Assumptions!$B$3</f>
        <v>10.206</v>
      </c>
      <c r="S1046" s="23" t="n">
        <f aca="false">G1046-Q1046-R1046</f>
        <v>8.3798</v>
      </c>
      <c r="T1046" s="21" t="str">
        <f aca="false">IF(M1046&lt;=7,"0-7 days",IF(M1046&lt;=14,"8-14 days",IF(M1046&lt;=21,"15-21 days","22+ days")))</f>
        <v>8-14 days</v>
      </c>
    </row>
    <row r="1047" customFormat="false" ht="15" hidden="false" customHeight="false" outlineLevel="0" collapsed="false">
      <c r="A1047" s="21" t="s">
        <v>1113</v>
      </c>
      <c r="B1047" s="21" t="s">
        <v>52</v>
      </c>
      <c r="C1047" s="22" t="n">
        <v>43145</v>
      </c>
      <c r="D1047" s="22" t="n">
        <v>43162</v>
      </c>
      <c r="E1047" s="22" t="n">
        <v>43169</v>
      </c>
      <c r="F1047" s="21" t="s">
        <v>44</v>
      </c>
      <c r="G1047" s="23" t="n">
        <v>34.38</v>
      </c>
      <c r="H1047" s="23" t="n">
        <v>26.04</v>
      </c>
      <c r="I1047" s="21" t="s">
        <v>45</v>
      </c>
      <c r="J1047" s="21" t="n">
        <v>5</v>
      </c>
      <c r="K1047" s="21" t="s">
        <v>46</v>
      </c>
      <c r="L1047" s="24" t="n">
        <f aca="false">DATE(YEAR(C1047),MONTH(C1047),1)</f>
        <v>43132</v>
      </c>
      <c r="M1047" s="21" t="n">
        <f aca="false">D1047-C1047</f>
        <v>17</v>
      </c>
      <c r="N1047" s="21" t="n">
        <f aca="false">MAX(0,D1047-E1047)</f>
        <v>0</v>
      </c>
      <c r="O1047" s="21" t="n">
        <f aca="false">IF(D1047&lt;=E1047,1,0)</f>
        <v>1</v>
      </c>
      <c r="P1047" s="23" t="n">
        <f aca="false">G1047+H1047</f>
        <v>60.42</v>
      </c>
      <c r="Q1047" s="23" t="n">
        <f aca="false">G1047*INDEX(Assumptions!$B$8:$B$16,MATCH(F1047,Assumptions!$A$8:$A$16,0))</f>
        <v>20.628</v>
      </c>
      <c r="R1047" s="23" t="n">
        <f aca="false">H1047*Assumptions!$B$3</f>
        <v>15.624</v>
      </c>
      <c r="S1047" s="23" t="n">
        <f aca="false">G1047-Q1047-R1047</f>
        <v>-1.872</v>
      </c>
      <c r="T1047" s="21" t="str">
        <f aca="false">IF(M1047&lt;=7,"0-7 days",IF(M1047&lt;=14,"8-14 days",IF(M1047&lt;=21,"15-21 days","22+ days")))</f>
        <v>15-21 days</v>
      </c>
    </row>
    <row r="1048" customFormat="false" ht="15" hidden="false" customHeight="false" outlineLevel="0" collapsed="false">
      <c r="A1048" s="21" t="s">
        <v>1114</v>
      </c>
      <c r="B1048" s="21" t="s">
        <v>48</v>
      </c>
      <c r="C1048" s="22" t="n">
        <v>43145</v>
      </c>
      <c r="D1048" s="22" t="n">
        <v>43169</v>
      </c>
      <c r="E1048" s="22" t="n">
        <v>43169</v>
      </c>
      <c r="F1048" s="21" t="s">
        <v>57</v>
      </c>
      <c r="G1048" s="23" t="n">
        <v>154.73</v>
      </c>
      <c r="H1048" s="23" t="n">
        <v>19.44</v>
      </c>
      <c r="I1048" s="21" t="s">
        <v>45</v>
      </c>
      <c r="J1048" s="21" t="n">
        <v>4</v>
      </c>
      <c r="K1048" s="21" t="s">
        <v>46</v>
      </c>
      <c r="L1048" s="24" t="n">
        <f aca="false">DATE(YEAR(C1048),MONTH(C1048),1)</f>
        <v>43132</v>
      </c>
      <c r="M1048" s="21" t="n">
        <f aca="false">D1048-C1048</f>
        <v>24</v>
      </c>
      <c r="N1048" s="21" t="n">
        <f aca="false">MAX(0,D1048-E1048)</f>
        <v>0</v>
      </c>
      <c r="O1048" s="21" t="n">
        <f aca="false">IF(D1048&lt;=E1048,1,0)</f>
        <v>1</v>
      </c>
      <c r="P1048" s="23" t="n">
        <f aca="false">G1048+H1048</f>
        <v>174.17</v>
      </c>
      <c r="Q1048" s="23" t="n">
        <f aca="false">G1048*INDEX(Assumptions!$B$8:$B$16,MATCH(F1048,Assumptions!$A$8:$A$16,0))</f>
        <v>105.2164</v>
      </c>
      <c r="R1048" s="23" t="n">
        <f aca="false">H1048*Assumptions!$B$3</f>
        <v>11.664</v>
      </c>
      <c r="S1048" s="23" t="n">
        <f aca="false">G1048-Q1048-R1048</f>
        <v>37.8496</v>
      </c>
      <c r="T1048" s="21" t="str">
        <f aca="false">IF(M1048&lt;=7,"0-7 days",IF(M1048&lt;=14,"8-14 days",IF(M1048&lt;=21,"15-21 days","22+ days")))</f>
        <v>22+ days</v>
      </c>
    </row>
    <row r="1049" customFormat="false" ht="15" hidden="false" customHeight="false" outlineLevel="0" collapsed="false">
      <c r="A1049" s="21" t="s">
        <v>1115</v>
      </c>
      <c r="B1049" s="21" t="s">
        <v>103</v>
      </c>
      <c r="C1049" s="22" t="n">
        <v>43145</v>
      </c>
      <c r="D1049" s="22" t="n">
        <v>43153</v>
      </c>
      <c r="E1049" s="22" t="n">
        <v>43171</v>
      </c>
      <c r="F1049" s="21" t="s">
        <v>79</v>
      </c>
      <c r="G1049" s="23" t="n">
        <v>83.33</v>
      </c>
      <c r="H1049" s="23" t="n">
        <v>16.71</v>
      </c>
      <c r="I1049" s="21" t="s">
        <v>45</v>
      </c>
      <c r="J1049" s="21" t="n">
        <v>5</v>
      </c>
      <c r="K1049" s="21" t="s">
        <v>46</v>
      </c>
      <c r="L1049" s="24" t="n">
        <f aca="false">DATE(YEAR(C1049),MONTH(C1049),1)</f>
        <v>43132</v>
      </c>
      <c r="M1049" s="21" t="n">
        <f aca="false">D1049-C1049</f>
        <v>8</v>
      </c>
      <c r="N1049" s="21" t="n">
        <f aca="false">MAX(0,D1049-E1049)</f>
        <v>0</v>
      </c>
      <c r="O1049" s="21" t="n">
        <f aca="false">IF(D1049&lt;=E1049,1,0)</f>
        <v>1</v>
      </c>
      <c r="P1049" s="23" t="n">
        <f aca="false">G1049+H1049</f>
        <v>100.04</v>
      </c>
      <c r="Q1049" s="23" t="n">
        <f aca="false">G1049*INDEX(Assumptions!$B$8:$B$16,MATCH(F1049,Assumptions!$A$8:$A$16,0))</f>
        <v>58.331</v>
      </c>
      <c r="R1049" s="23" t="n">
        <f aca="false">H1049*Assumptions!$B$3</f>
        <v>10.026</v>
      </c>
      <c r="S1049" s="23" t="n">
        <f aca="false">G1049-Q1049-R1049</f>
        <v>14.973</v>
      </c>
      <c r="T1049" s="21" t="str">
        <f aca="false">IF(M1049&lt;=7,"0-7 days",IF(M1049&lt;=14,"8-14 days",IF(M1049&lt;=21,"15-21 days","22+ days")))</f>
        <v>8-14 days</v>
      </c>
    </row>
    <row r="1050" customFormat="false" ht="15" hidden="false" customHeight="false" outlineLevel="0" collapsed="false">
      <c r="A1050" s="21" t="s">
        <v>1116</v>
      </c>
      <c r="B1050" s="21" t="s">
        <v>19</v>
      </c>
      <c r="C1050" s="22" t="n">
        <v>43145</v>
      </c>
      <c r="D1050" s="22" t="n">
        <v>43156</v>
      </c>
      <c r="E1050" s="22" t="n">
        <v>43160</v>
      </c>
      <c r="F1050" s="21" t="s">
        <v>111</v>
      </c>
      <c r="G1050" s="23" t="n">
        <v>153.54</v>
      </c>
      <c r="H1050" s="23" t="n">
        <v>17.58</v>
      </c>
      <c r="I1050" s="21" t="s">
        <v>45</v>
      </c>
      <c r="J1050" s="21" t="n">
        <v>4</v>
      </c>
      <c r="K1050" s="21" t="s">
        <v>46</v>
      </c>
      <c r="L1050" s="24" t="n">
        <f aca="false">DATE(YEAR(C1050),MONTH(C1050),1)</f>
        <v>43132</v>
      </c>
      <c r="M1050" s="21" t="n">
        <f aca="false">D1050-C1050</f>
        <v>11</v>
      </c>
      <c r="N1050" s="21" t="n">
        <f aca="false">MAX(0,D1050-E1050)</f>
        <v>0</v>
      </c>
      <c r="O1050" s="21" t="n">
        <f aca="false">IF(D1050&lt;=E1050,1,0)</f>
        <v>1</v>
      </c>
      <c r="P1050" s="23" t="n">
        <f aca="false">G1050+H1050</f>
        <v>171.12</v>
      </c>
      <c r="Q1050" s="23" t="n">
        <f aca="false">G1050*INDEX(Assumptions!$B$8:$B$16,MATCH(F1050,Assumptions!$A$8:$A$16,0))</f>
        <v>96.7302</v>
      </c>
      <c r="R1050" s="23" t="n">
        <f aca="false">H1050*Assumptions!$B$3</f>
        <v>10.548</v>
      </c>
      <c r="S1050" s="23" t="n">
        <f aca="false">G1050-Q1050-R1050</f>
        <v>46.2618</v>
      </c>
      <c r="T1050" s="21" t="str">
        <f aca="false">IF(M1050&lt;=7,"0-7 days",IF(M1050&lt;=14,"8-14 days",IF(M1050&lt;=21,"15-21 days","22+ days")))</f>
        <v>8-14 days</v>
      </c>
    </row>
    <row r="1051" customFormat="false" ht="15" hidden="false" customHeight="false" outlineLevel="0" collapsed="false">
      <c r="A1051" s="21" t="s">
        <v>1117</v>
      </c>
      <c r="B1051" s="21" t="s">
        <v>55</v>
      </c>
      <c r="C1051" s="22" t="n">
        <v>43146</v>
      </c>
      <c r="D1051" s="22" t="n">
        <v>43156</v>
      </c>
      <c r="E1051" s="22" t="n">
        <v>43170</v>
      </c>
      <c r="F1051" s="21" t="s">
        <v>59</v>
      </c>
      <c r="G1051" s="23" t="n">
        <v>117.84</v>
      </c>
      <c r="H1051" s="23" t="n">
        <v>31.08</v>
      </c>
      <c r="I1051" s="21" t="s">
        <v>45</v>
      </c>
      <c r="J1051" s="21" t="n">
        <v>5</v>
      </c>
      <c r="K1051" s="21" t="s">
        <v>46</v>
      </c>
      <c r="L1051" s="24" t="n">
        <f aca="false">DATE(YEAR(C1051),MONTH(C1051),1)</f>
        <v>43132</v>
      </c>
      <c r="M1051" s="21" t="n">
        <f aca="false">D1051-C1051</f>
        <v>10</v>
      </c>
      <c r="N1051" s="21" t="n">
        <f aca="false">MAX(0,D1051-E1051)</f>
        <v>0</v>
      </c>
      <c r="O1051" s="21" t="n">
        <f aca="false">IF(D1051&lt;=E1051,1,0)</f>
        <v>1</v>
      </c>
      <c r="P1051" s="23" t="n">
        <f aca="false">G1051+H1051</f>
        <v>148.92</v>
      </c>
      <c r="Q1051" s="23" t="n">
        <f aca="false">G1051*INDEX(Assumptions!$B$8:$B$16,MATCH(F1051,Assumptions!$A$8:$A$16,0))</f>
        <v>75.4176</v>
      </c>
      <c r="R1051" s="23" t="n">
        <f aca="false">H1051*Assumptions!$B$3</f>
        <v>18.648</v>
      </c>
      <c r="S1051" s="23" t="n">
        <f aca="false">G1051-Q1051-R1051</f>
        <v>23.7744</v>
      </c>
      <c r="T1051" s="21" t="str">
        <f aca="false">IF(M1051&lt;=7,"0-7 days",IF(M1051&lt;=14,"8-14 days",IF(M1051&lt;=21,"15-21 days","22+ days")))</f>
        <v>8-14 days</v>
      </c>
    </row>
    <row r="1052" customFormat="false" ht="15" hidden="false" customHeight="false" outlineLevel="0" collapsed="false">
      <c r="A1052" s="21" t="s">
        <v>1118</v>
      </c>
      <c r="B1052" s="21" t="s">
        <v>55</v>
      </c>
      <c r="C1052" s="22" t="n">
        <v>43146</v>
      </c>
      <c r="D1052" s="22" t="n">
        <v>43154</v>
      </c>
      <c r="E1052" s="22" t="n">
        <v>43169</v>
      </c>
      <c r="F1052" s="21" t="s">
        <v>59</v>
      </c>
      <c r="G1052" s="23" t="n">
        <v>175.06</v>
      </c>
      <c r="H1052" s="23" t="n">
        <v>32.2</v>
      </c>
      <c r="I1052" s="21" t="s">
        <v>60</v>
      </c>
      <c r="J1052" s="21" t="n">
        <v>5</v>
      </c>
      <c r="K1052" s="21" t="s">
        <v>46</v>
      </c>
      <c r="L1052" s="24" t="n">
        <f aca="false">DATE(YEAR(C1052),MONTH(C1052),1)</f>
        <v>43132</v>
      </c>
      <c r="M1052" s="21" t="n">
        <f aca="false">D1052-C1052</f>
        <v>8</v>
      </c>
      <c r="N1052" s="21" t="n">
        <f aca="false">MAX(0,D1052-E1052)</f>
        <v>0</v>
      </c>
      <c r="O1052" s="21" t="n">
        <f aca="false">IF(D1052&lt;=E1052,1,0)</f>
        <v>1</v>
      </c>
      <c r="P1052" s="23" t="n">
        <f aca="false">G1052+H1052</f>
        <v>207.26</v>
      </c>
      <c r="Q1052" s="23" t="n">
        <f aca="false">G1052*INDEX(Assumptions!$B$8:$B$16,MATCH(F1052,Assumptions!$A$8:$A$16,0))</f>
        <v>112.0384</v>
      </c>
      <c r="R1052" s="23" t="n">
        <f aca="false">H1052*Assumptions!$B$3</f>
        <v>19.32</v>
      </c>
      <c r="S1052" s="23" t="n">
        <f aca="false">G1052-Q1052-R1052</f>
        <v>43.7016</v>
      </c>
      <c r="T1052" s="21" t="str">
        <f aca="false">IF(M1052&lt;=7,"0-7 days",IF(M1052&lt;=14,"8-14 days",IF(M1052&lt;=21,"15-21 days","22+ days")))</f>
        <v>8-14 days</v>
      </c>
    </row>
    <row r="1053" customFormat="false" ht="15" hidden="false" customHeight="false" outlineLevel="0" collapsed="false">
      <c r="A1053" s="21" t="s">
        <v>1119</v>
      </c>
      <c r="B1053" s="21" t="s">
        <v>55</v>
      </c>
      <c r="C1053" s="22" t="n">
        <v>43146</v>
      </c>
      <c r="D1053" s="22" t="n">
        <v>43162</v>
      </c>
      <c r="E1053" s="22" t="n">
        <v>43171</v>
      </c>
      <c r="F1053" s="21" t="s">
        <v>44</v>
      </c>
      <c r="G1053" s="23" t="n">
        <v>68.45</v>
      </c>
      <c r="H1053" s="23" t="n">
        <v>30.12</v>
      </c>
      <c r="I1053" s="21" t="s">
        <v>50</v>
      </c>
      <c r="J1053" s="21" t="n">
        <v>4</v>
      </c>
      <c r="K1053" s="21" t="s">
        <v>46</v>
      </c>
      <c r="L1053" s="24" t="n">
        <f aca="false">DATE(YEAR(C1053),MONTH(C1053),1)</f>
        <v>43132</v>
      </c>
      <c r="M1053" s="21" t="n">
        <f aca="false">D1053-C1053</f>
        <v>16</v>
      </c>
      <c r="N1053" s="21" t="n">
        <f aca="false">MAX(0,D1053-E1053)</f>
        <v>0</v>
      </c>
      <c r="O1053" s="21" t="n">
        <f aca="false">IF(D1053&lt;=E1053,1,0)</f>
        <v>1</v>
      </c>
      <c r="P1053" s="23" t="n">
        <f aca="false">G1053+H1053</f>
        <v>98.57</v>
      </c>
      <c r="Q1053" s="23" t="n">
        <f aca="false">G1053*INDEX(Assumptions!$B$8:$B$16,MATCH(F1053,Assumptions!$A$8:$A$16,0))</f>
        <v>41.07</v>
      </c>
      <c r="R1053" s="23" t="n">
        <f aca="false">H1053*Assumptions!$B$3</f>
        <v>18.072</v>
      </c>
      <c r="S1053" s="23" t="n">
        <f aca="false">G1053-Q1053-R1053</f>
        <v>9.308</v>
      </c>
      <c r="T1053" s="21" t="str">
        <f aca="false">IF(M1053&lt;=7,"0-7 days",IF(M1053&lt;=14,"8-14 days",IF(M1053&lt;=21,"15-21 days","22+ days")))</f>
        <v>15-21 days</v>
      </c>
    </row>
    <row r="1054" customFormat="false" ht="15" hidden="false" customHeight="false" outlineLevel="0" collapsed="false">
      <c r="A1054" s="21" t="s">
        <v>1120</v>
      </c>
      <c r="B1054" s="21" t="s">
        <v>62</v>
      </c>
      <c r="C1054" s="22" t="n">
        <v>43147</v>
      </c>
      <c r="D1054" s="22" t="n">
        <v>43158</v>
      </c>
      <c r="E1054" s="22" t="n">
        <v>43169</v>
      </c>
      <c r="F1054" s="21" t="s">
        <v>111</v>
      </c>
      <c r="G1054" s="23" t="n">
        <v>52.56</v>
      </c>
      <c r="H1054" s="23" t="n">
        <v>22.67</v>
      </c>
      <c r="I1054" s="21" t="s">
        <v>45</v>
      </c>
      <c r="J1054" s="21" t="n">
        <v>3</v>
      </c>
      <c r="K1054" s="21" t="s">
        <v>46</v>
      </c>
      <c r="L1054" s="24" t="n">
        <f aca="false">DATE(YEAR(C1054),MONTH(C1054),1)</f>
        <v>43132</v>
      </c>
      <c r="M1054" s="21" t="n">
        <f aca="false">D1054-C1054</f>
        <v>11</v>
      </c>
      <c r="N1054" s="21" t="n">
        <f aca="false">MAX(0,D1054-E1054)</f>
        <v>0</v>
      </c>
      <c r="O1054" s="21" t="n">
        <f aca="false">IF(D1054&lt;=E1054,1,0)</f>
        <v>1</v>
      </c>
      <c r="P1054" s="23" t="n">
        <f aca="false">G1054+H1054</f>
        <v>75.23</v>
      </c>
      <c r="Q1054" s="23" t="n">
        <f aca="false">G1054*INDEX(Assumptions!$B$8:$B$16,MATCH(F1054,Assumptions!$A$8:$A$16,0))</f>
        <v>33.1128</v>
      </c>
      <c r="R1054" s="23" t="n">
        <f aca="false">H1054*Assumptions!$B$3</f>
        <v>13.602</v>
      </c>
      <c r="S1054" s="23" t="n">
        <f aca="false">G1054-Q1054-R1054</f>
        <v>5.8452</v>
      </c>
      <c r="T1054" s="21" t="str">
        <f aca="false">IF(M1054&lt;=7,"0-7 days",IF(M1054&lt;=14,"8-14 days",IF(M1054&lt;=21,"15-21 days","22+ days")))</f>
        <v>8-14 days</v>
      </c>
    </row>
    <row r="1055" customFormat="false" ht="15" hidden="false" customHeight="false" outlineLevel="0" collapsed="false">
      <c r="A1055" s="21" t="s">
        <v>1121</v>
      </c>
      <c r="B1055" s="21" t="s">
        <v>55</v>
      </c>
      <c r="C1055" s="22" t="n">
        <v>43147</v>
      </c>
      <c r="D1055" s="22" t="n">
        <v>43174</v>
      </c>
      <c r="E1055" s="22" t="n">
        <v>43171</v>
      </c>
      <c r="F1055" s="21" t="s">
        <v>59</v>
      </c>
      <c r="G1055" s="23" t="n">
        <v>49.92</v>
      </c>
      <c r="H1055" s="23" t="n">
        <v>24.52</v>
      </c>
      <c r="I1055" s="21" t="s">
        <v>45</v>
      </c>
      <c r="J1055" s="21" t="n">
        <v>2</v>
      </c>
      <c r="K1055" s="21" t="s">
        <v>46</v>
      </c>
      <c r="L1055" s="24" t="n">
        <f aca="false">DATE(YEAR(C1055),MONTH(C1055),1)</f>
        <v>43132</v>
      </c>
      <c r="M1055" s="21" t="n">
        <f aca="false">D1055-C1055</f>
        <v>27</v>
      </c>
      <c r="N1055" s="21" t="n">
        <f aca="false">MAX(0,D1055-E1055)</f>
        <v>3</v>
      </c>
      <c r="O1055" s="21" t="n">
        <f aca="false">IF(D1055&lt;=E1055,1,0)</f>
        <v>0</v>
      </c>
      <c r="P1055" s="23" t="n">
        <f aca="false">G1055+H1055</f>
        <v>74.44</v>
      </c>
      <c r="Q1055" s="23" t="n">
        <f aca="false">G1055*INDEX(Assumptions!$B$8:$B$16,MATCH(F1055,Assumptions!$A$8:$A$16,0))</f>
        <v>31.9488</v>
      </c>
      <c r="R1055" s="23" t="n">
        <f aca="false">H1055*Assumptions!$B$3</f>
        <v>14.712</v>
      </c>
      <c r="S1055" s="23" t="n">
        <f aca="false">G1055-Q1055-R1055</f>
        <v>3.2592</v>
      </c>
      <c r="T1055" s="21" t="str">
        <f aca="false">IF(M1055&lt;=7,"0-7 days",IF(M1055&lt;=14,"8-14 days",IF(M1055&lt;=21,"15-21 days","22+ days")))</f>
        <v>22+ days</v>
      </c>
    </row>
    <row r="1056" customFormat="false" ht="15" hidden="false" customHeight="false" outlineLevel="0" collapsed="false">
      <c r="A1056" s="21" t="s">
        <v>1122</v>
      </c>
      <c r="B1056" s="21" t="s">
        <v>93</v>
      </c>
      <c r="C1056" s="22" t="n">
        <v>43147</v>
      </c>
      <c r="D1056" s="22" t="n">
        <v>43182</v>
      </c>
      <c r="E1056" s="22" t="n">
        <v>43180</v>
      </c>
      <c r="F1056" s="21" t="s">
        <v>49</v>
      </c>
      <c r="G1056" s="23" t="n">
        <v>59.44</v>
      </c>
      <c r="H1056" s="23" t="n">
        <v>34.85</v>
      </c>
      <c r="I1056" s="21" t="s">
        <v>60</v>
      </c>
      <c r="J1056" s="21" t="n">
        <v>3</v>
      </c>
      <c r="K1056" s="21" t="s">
        <v>46</v>
      </c>
      <c r="L1056" s="24" t="n">
        <f aca="false">DATE(YEAR(C1056),MONTH(C1056),1)</f>
        <v>43132</v>
      </c>
      <c r="M1056" s="21" t="n">
        <f aca="false">D1056-C1056</f>
        <v>35</v>
      </c>
      <c r="N1056" s="21" t="n">
        <f aca="false">MAX(0,D1056-E1056)</f>
        <v>2</v>
      </c>
      <c r="O1056" s="21" t="n">
        <f aca="false">IF(D1056&lt;=E1056,1,0)</f>
        <v>0</v>
      </c>
      <c r="P1056" s="23" t="n">
        <f aca="false">G1056+H1056</f>
        <v>94.29</v>
      </c>
      <c r="Q1056" s="23" t="n">
        <f aca="false">G1056*INDEX(Assumptions!$B$8:$B$16,MATCH(F1056,Assumptions!$A$8:$A$16,0))</f>
        <v>34.4752</v>
      </c>
      <c r="R1056" s="23" t="n">
        <f aca="false">H1056*Assumptions!$B$3</f>
        <v>20.91</v>
      </c>
      <c r="S1056" s="23" t="n">
        <f aca="false">G1056-Q1056-R1056</f>
        <v>4.0548</v>
      </c>
      <c r="T1056" s="21" t="str">
        <f aca="false">IF(M1056&lt;=7,"0-7 days",IF(M1056&lt;=14,"8-14 days",IF(M1056&lt;=21,"15-21 days","22+ days")))</f>
        <v>22+ days</v>
      </c>
    </row>
    <row r="1057" customFormat="false" ht="15" hidden="false" customHeight="false" outlineLevel="0" collapsed="false">
      <c r="A1057" s="21" t="s">
        <v>1123</v>
      </c>
      <c r="B1057" s="21" t="s">
        <v>48</v>
      </c>
      <c r="C1057" s="22" t="n">
        <v>43148</v>
      </c>
      <c r="D1057" s="22" t="n">
        <v>43162</v>
      </c>
      <c r="E1057" s="22" t="n">
        <v>43168</v>
      </c>
      <c r="F1057" s="21" t="s">
        <v>53</v>
      </c>
      <c r="G1057" s="23" t="n">
        <v>124.64</v>
      </c>
      <c r="H1057" s="23" t="n">
        <v>18.59</v>
      </c>
      <c r="I1057" s="21" t="s">
        <v>45</v>
      </c>
      <c r="J1057" s="21" t="n">
        <v>4</v>
      </c>
      <c r="K1057" s="21" t="s">
        <v>46</v>
      </c>
      <c r="L1057" s="24" t="n">
        <f aca="false">DATE(YEAR(C1057),MONTH(C1057),1)</f>
        <v>43132</v>
      </c>
      <c r="M1057" s="21" t="n">
        <f aca="false">D1057-C1057</f>
        <v>14</v>
      </c>
      <c r="N1057" s="21" t="n">
        <f aca="false">MAX(0,D1057-E1057)</f>
        <v>0</v>
      </c>
      <c r="O1057" s="21" t="n">
        <f aca="false">IF(D1057&lt;=E1057,1,0)</f>
        <v>1</v>
      </c>
      <c r="P1057" s="23" t="n">
        <f aca="false">G1057+H1057</f>
        <v>143.23</v>
      </c>
      <c r="Q1057" s="23" t="n">
        <f aca="false">G1057*INDEX(Assumptions!$B$8:$B$16,MATCH(F1057,Assumptions!$A$8:$A$16,0))</f>
        <v>92.2336</v>
      </c>
      <c r="R1057" s="23" t="n">
        <f aca="false">H1057*Assumptions!$B$3</f>
        <v>11.154</v>
      </c>
      <c r="S1057" s="23" t="n">
        <f aca="false">G1057-Q1057-R1057</f>
        <v>21.2524</v>
      </c>
      <c r="T1057" s="21" t="str">
        <f aca="false">IF(M1057&lt;=7,"0-7 days",IF(M1057&lt;=14,"8-14 days",IF(M1057&lt;=21,"15-21 days","22+ days")))</f>
        <v>8-14 days</v>
      </c>
    </row>
    <row r="1058" customFormat="false" ht="15" hidden="false" customHeight="false" outlineLevel="0" collapsed="false">
      <c r="A1058" s="21" t="s">
        <v>1124</v>
      </c>
      <c r="B1058" s="21" t="s">
        <v>134</v>
      </c>
      <c r="C1058" s="22" t="n">
        <v>43148</v>
      </c>
      <c r="D1058" s="22" t="n">
        <v>43159</v>
      </c>
      <c r="E1058" s="22" t="n">
        <v>43171</v>
      </c>
      <c r="F1058" s="21" t="s">
        <v>67</v>
      </c>
      <c r="G1058" s="23" t="n">
        <v>43.38</v>
      </c>
      <c r="H1058" s="23" t="n">
        <v>26.62</v>
      </c>
      <c r="I1058" s="21" t="s">
        <v>45</v>
      </c>
      <c r="J1058" s="21" t="n">
        <v>5</v>
      </c>
      <c r="K1058" s="21" t="s">
        <v>46</v>
      </c>
      <c r="L1058" s="24" t="n">
        <f aca="false">DATE(YEAR(C1058),MONTH(C1058),1)</f>
        <v>43132</v>
      </c>
      <c r="M1058" s="21" t="n">
        <f aca="false">D1058-C1058</f>
        <v>11</v>
      </c>
      <c r="N1058" s="21" t="n">
        <f aca="false">MAX(0,D1058-E1058)</f>
        <v>0</v>
      </c>
      <c r="O1058" s="21" t="n">
        <f aca="false">IF(D1058&lt;=E1058,1,0)</f>
        <v>1</v>
      </c>
      <c r="P1058" s="23" t="n">
        <f aca="false">G1058+H1058</f>
        <v>70</v>
      </c>
      <c r="Q1058" s="23" t="n">
        <f aca="false">G1058*INDEX(Assumptions!$B$8:$B$16,MATCH(F1058,Assumptions!$A$8:$A$16,0))</f>
        <v>26.8956</v>
      </c>
      <c r="R1058" s="23" t="n">
        <f aca="false">H1058*Assumptions!$B$3</f>
        <v>15.972</v>
      </c>
      <c r="S1058" s="23" t="n">
        <f aca="false">G1058-Q1058-R1058</f>
        <v>0.512400000000001</v>
      </c>
      <c r="T1058" s="21" t="str">
        <f aca="false">IF(M1058&lt;=7,"0-7 days",IF(M1058&lt;=14,"8-14 days",IF(M1058&lt;=21,"15-21 days","22+ days")))</f>
        <v>8-14 days</v>
      </c>
    </row>
    <row r="1059" customFormat="false" ht="15" hidden="false" customHeight="false" outlineLevel="0" collapsed="false">
      <c r="A1059" s="21" t="s">
        <v>1125</v>
      </c>
      <c r="B1059" s="21" t="s">
        <v>55</v>
      </c>
      <c r="C1059" s="22" t="n">
        <v>43148</v>
      </c>
      <c r="D1059" s="22" t="n">
        <v>43165</v>
      </c>
      <c r="E1059" s="22" t="n">
        <v>43176</v>
      </c>
      <c r="F1059" s="21" t="s">
        <v>79</v>
      </c>
      <c r="G1059" s="23" t="n">
        <v>144.48</v>
      </c>
      <c r="H1059" s="23" t="n">
        <v>25.51</v>
      </c>
      <c r="I1059" s="21" t="s">
        <v>45</v>
      </c>
      <c r="J1059" s="21" t="n">
        <v>4</v>
      </c>
      <c r="K1059" s="21" t="s">
        <v>46</v>
      </c>
      <c r="L1059" s="24" t="n">
        <f aca="false">DATE(YEAR(C1059),MONTH(C1059),1)</f>
        <v>43132</v>
      </c>
      <c r="M1059" s="21" t="n">
        <f aca="false">D1059-C1059</f>
        <v>17</v>
      </c>
      <c r="N1059" s="21" t="n">
        <f aca="false">MAX(0,D1059-E1059)</f>
        <v>0</v>
      </c>
      <c r="O1059" s="21" t="n">
        <f aca="false">IF(D1059&lt;=E1059,1,0)</f>
        <v>1</v>
      </c>
      <c r="P1059" s="23" t="n">
        <f aca="false">G1059+H1059</f>
        <v>169.99</v>
      </c>
      <c r="Q1059" s="23" t="n">
        <f aca="false">G1059*INDEX(Assumptions!$B$8:$B$16,MATCH(F1059,Assumptions!$A$8:$A$16,0))</f>
        <v>101.136</v>
      </c>
      <c r="R1059" s="23" t="n">
        <f aca="false">H1059*Assumptions!$B$3</f>
        <v>15.306</v>
      </c>
      <c r="S1059" s="23" t="n">
        <f aca="false">G1059-Q1059-R1059</f>
        <v>28.038</v>
      </c>
      <c r="T1059" s="21" t="str">
        <f aca="false">IF(M1059&lt;=7,"0-7 days",IF(M1059&lt;=14,"8-14 days",IF(M1059&lt;=21,"15-21 days","22+ days")))</f>
        <v>15-21 days</v>
      </c>
    </row>
    <row r="1060" customFormat="false" ht="15" hidden="false" customHeight="false" outlineLevel="0" collapsed="false">
      <c r="A1060" s="21" t="s">
        <v>1126</v>
      </c>
      <c r="B1060" s="21" t="s">
        <v>134</v>
      </c>
      <c r="C1060" s="22" t="n">
        <v>43148</v>
      </c>
      <c r="D1060" s="22" t="n">
        <v>43155</v>
      </c>
      <c r="E1060" s="22" t="n">
        <v>43171</v>
      </c>
      <c r="F1060" s="21" t="s">
        <v>111</v>
      </c>
      <c r="G1060" s="23" t="n">
        <v>64.66</v>
      </c>
      <c r="H1060" s="23" t="n">
        <v>18.78</v>
      </c>
      <c r="I1060" s="21" t="s">
        <v>60</v>
      </c>
      <c r="J1060" s="21" t="n">
        <v>5</v>
      </c>
      <c r="K1060" s="21" t="s">
        <v>46</v>
      </c>
      <c r="L1060" s="24" t="n">
        <f aca="false">DATE(YEAR(C1060),MONTH(C1060),1)</f>
        <v>43132</v>
      </c>
      <c r="M1060" s="21" t="n">
        <f aca="false">D1060-C1060</f>
        <v>7</v>
      </c>
      <c r="N1060" s="21" t="n">
        <f aca="false">MAX(0,D1060-E1060)</f>
        <v>0</v>
      </c>
      <c r="O1060" s="21" t="n">
        <f aca="false">IF(D1060&lt;=E1060,1,0)</f>
        <v>1</v>
      </c>
      <c r="P1060" s="23" t="n">
        <f aca="false">G1060+H1060</f>
        <v>83.44</v>
      </c>
      <c r="Q1060" s="23" t="n">
        <f aca="false">G1060*INDEX(Assumptions!$B$8:$B$16,MATCH(F1060,Assumptions!$A$8:$A$16,0))</f>
        <v>40.7358</v>
      </c>
      <c r="R1060" s="23" t="n">
        <f aca="false">H1060*Assumptions!$B$3</f>
        <v>11.268</v>
      </c>
      <c r="S1060" s="23" t="n">
        <f aca="false">G1060-Q1060-R1060</f>
        <v>12.6562</v>
      </c>
      <c r="T1060" s="21" t="str">
        <f aca="false">IF(M1060&lt;=7,"0-7 days",IF(M1060&lt;=14,"8-14 days",IF(M1060&lt;=21,"15-21 days","22+ days")))</f>
        <v>0-7 days</v>
      </c>
    </row>
    <row r="1061" customFormat="false" ht="15" hidden="false" customHeight="false" outlineLevel="0" collapsed="false">
      <c r="A1061" s="21" t="s">
        <v>1127</v>
      </c>
      <c r="B1061" s="21" t="s">
        <v>55</v>
      </c>
      <c r="C1061" s="22" t="n">
        <v>43148</v>
      </c>
      <c r="D1061" s="22" t="n">
        <v>43162</v>
      </c>
      <c r="E1061" s="22" t="n">
        <v>43169</v>
      </c>
      <c r="F1061" s="21" t="s">
        <v>67</v>
      </c>
      <c r="G1061" s="23" t="n">
        <v>57.89</v>
      </c>
      <c r="H1061" s="23" t="n">
        <v>17.1</v>
      </c>
      <c r="I1061" s="21" t="s">
        <v>45</v>
      </c>
      <c r="J1061" s="21" t="n">
        <v>3</v>
      </c>
      <c r="K1061" s="21" t="s">
        <v>46</v>
      </c>
      <c r="L1061" s="24" t="n">
        <f aca="false">DATE(YEAR(C1061),MONTH(C1061),1)</f>
        <v>43132</v>
      </c>
      <c r="M1061" s="21" t="n">
        <f aca="false">D1061-C1061</f>
        <v>14</v>
      </c>
      <c r="N1061" s="21" t="n">
        <f aca="false">MAX(0,D1061-E1061)</f>
        <v>0</v>
      </c>
      <c r="O1061" s="21" t="n">
        <f aca="false">IF(D1061&lt;=E1061,1,0)</f>
        <v>1</v>
      </c>
      <c r="P1061" s="23" t="n">
        <f aca="false">G1061+H1061</f>
        <v>74.99</v>
      </c>
      <c r="Q1061" s="23" t="n">
        <f aca="false">G1061*INDEX(Assumptions!$B$8:$B$16,MATCH(F1061,Assumptions!$A$8:$A$16,0))</f>
        <v>35.8918</v>
      </c>
      <c r="R1061" s="23" t="n">
        <f aca="false">H1061*Assumptions!$B$3</f>
        <v>10.26</v>
      </c>
      <c r="S1061" s="23" t="n">
        <f aca="false">G1061-Q1061-R1061</f>
        <v>11.7382</v>
      </c>
      <c r="T1061" s="21" t="str">
        <f aca="false">IF(M1061&lt;=7,"0-7 days",IF(M1061&lt;=14,"8-14 days",IF(M1061&lt;=21,"15-21 days","22+ days")))</f>
        <v>8-14 days</v>
      </c>
    </row>
    <row r="1062" customFormat="false" ht="15" hidden="false" customHeight="false" outlineLevel="0" collapsed="false">
      <c r="A1062" s="21" t="s">
        <v>1128</v>
      </c>
      <c r="B1062" s="21" t="s">
        <v>55</v>
      </c>
      <c r="C1062" s="22" t="n">
        <v>43148</v>
      </c>
      <c r="D1062" s="22" t="n">
        <v>43178</v>
      </c>
      <c r="E1062" s="22" t="n">
        <v>43174</v>
      </c>
      <c r="F1062" s="21" t="s">
        <v>59</v>
      </c>
      <c r="G1062" s="23" t="n">
        <v>88.62</v>
      </c>
      <c r="H1062" s="23" t="n">
        <v>22.57</v>
      </c>
      <c r="I1062" s="21" t="s">
        <v>45</v>
      </c>
      <c r="J1062" s="21" t="n">
        <v>2</v>
      </c>
      <c r="K1062" s="21" t="s">
        <v>46</v>
      </c>
      <c r="L1062" s="24" t="n">
        <f aca="false">DATE(YEAR(C1062),MONTH(C1062),1)</f>
        <v>43132</v>
      </c>
      <c r="M1062" s="21" t="n">
        <f aca="false">D1062-C1062</f>
        <v>30</v>
      </c>
      <c r="N1062" s="21" t="n">
        <f aca="false">MAX(0,D1062-E1062)</f>
        <v>4</v>
      </c>
      <c r="O1062" s="21" t="n">
        <f aca="false">IF(D1062&lt;=E1062,1,0)</f>
        <v>0</v>
      </c>
      <c r="P1062" s="23" t="n">
        <f aca="false">G1062+H1062</f>
        <v>111.19</v>
      </c>
      <c r="Q1062" s="23" t="n">
        <f aca="false">G1062*INDEX(Assumptions!$B$8:$B$16,MATCH(F1062,Assumptions!$A$8:$A$16,0))</f>
        <v>56.7168</v>
      </c>
      <c r="R1062" s="23" t="n">
        <f aca="false">H1062*Assumptions!$B$3</f>
        <v>13.542</v>
      </c>
      <c r="S1062" s="23" t="n">
        <f aca="false">G1062-Q1062-R1062</f>
        <v>18.3612</v>
      </c>
      <c r="T1062" s="21" t="str">
        <f aca="false">IF(M1062&lt;=7,"0-7 days",IF(M1062&lt;=14,"8-14 days",IF(M1062&lt;=21,"15-21 days","22+ days")))</f>
        <v>22+ days</v>
      </c>
    </row>
    <row r="1063" customFormat="false" ht="15" hidden="false" customHeight="false" outlineLevel="0" collapsed="false">
      <c r="A1063" s="21" t="s">
        <v>1129</v>
      </c>
      <c r="B1063" s="21" t="s">
        <v>93</v>
      </c>
      <c r="C1063" s="22" t="n">
        <v>43148</v>
      </c>
      <c r="D1063" s="22" t="n">
        <v>43172</v>
      </c>
      <c r="E1063" s="22" t="n">
        <v>43178</v>
      </c>
      <c r="F1063" s="21" t="s">
        <v>57</v>
      </c>
      <c r="G1063" s="23" t="n">
        <v>85.4</v>
      </c>
      <c r="H1063" s="23" t="n">
        <v>23.05</v>
      </c>
      <c r="I1063" s="21" t="s">
        <v>45</v>
      </c>
      <c r="J1063" s="21" t="n">
        <v>3</v>
      </c>
      <c r="K1063" s="21" t="s">
        <v>46</v>
      </c>
      <c r="L1063" s="24" t="n">
        <f aca="false">DATE(YEAR(C1063),MONTH(C1063),1)</f>
        <v>43132</v>
      </c>
      <c r="M1063" s="21" t="n">
        <f aca="false">D1063-C1063</f>
        <v>24</v>
      </c>
      <c r="N1063" s="21" t="n">
        <f aca="false">MAX(0,D1063-E1063)</f>
        <v>0</v>
      </c>
      <c r="O1063" s="21" t="n">
        <f aca="false">IF(D1063&lt;=E1063,1,0)</f>
        <v>1</v>
      </c>
      <c r="P1063" s="23" t="n">
        <f aca="false">G1063+H1063</f>
        <v>108.45</v>
      </c>
      <c r="Q1063" s="23" t="n">
        <f aca="false">G1063*INDEX(Assumptions!$B$8:$B$16,MATCH(F1063,Assumptions!$A$8:$A$16,0))</f>
        <v>58.072</v>
      </c>
      <c r="R1063" s="23" t="n">
        <f aca="false">H1063*Assumptions!$B$3</f>
        <v>13.83</v>
      </c>
      <c r="S1063" s="23" t="n">
        <f aca="false">G1063-Q1063-R1063</f>
        <v>13.498</v>
      </c>
      <c r="T1063" s="21" t="str">
        <f aca="false">IF(M1063&lt;=7,"0-7 days",IF(M1063&lt;=14,"8-14 days",IF(M1063&lt;=21,"15-21 days","22+ days")))</f>
        <v>22+ days</v>
      </c>
    </row>
    <row r="1064" customFormat="false" ht="15" hidden="false" customHeight="false" outlineLevel="0" collapsed="false">
      <c r="A1064" s="21" t="s">
        <v>1130</v>
      </c>
      <c r="B1064" s="21" t="s">
        <v>62</v>
      </c>
      <c r="C1064" s="22" t="n">
        <v>43149</v>
      </c>
      <c r="D1064" s="22" t="n">
        <v>43165</v>
      </c>
      <c r="E1064" s="22" t="n">
        <v>43166</v>
      </c>
      <c r="F1064" s="21" t="s">
        <v>79</v>
      </c>
      <c r="G1064" s="23" t="n">
        <v>77.16</v>
      </c>
      <c r="H1064" s="23" t="n">
        <v>29.14</v>
      </c>
      <c r="I1064" s="21" t="s">
        <v>50</v>
      </c>
      <c r="J1064" s="21" t="n">
        <v>5</v>
      </c>
      <c r="K1064" s="21" t="s">
        <v>46</v>
      </c>
      <c r="L1064" s="24" t="n">
        <f aca="false">DATE(YEAR(C1064),MONTH(C1064),1)</f>
        <v>43132</v>
      </c>
      <c r="M1064" s="21" t="n">
        <f aca="false">D1064-C1064</f>
        <v>16</v>
      </c>
      <c r="N1064" s="21" t="n">
        <f aca="false">MAX(0,D1064-E1064)</f>
        <v>0</v>
      </c>
      <c r="O1064" s="21" t="n">
        <f aca="false">IF(D1064&lt;=E1064,1,0)</f>
        <v>1</v>
      </c>
      <c r="P1064" s="23" t="n">
        <f aca="false">G1064+H1064</f>
        <v>106.3</v>
      </c>
      <c r="Q1064" s="23" t="n">
        <f aca="false">G1064*INDEX(Assumptions!$B$8:$B$16,MATCH(F1064,Assumptions!$A$8:$A$16,0))</f>
        <v>54.012</v>
      </c>
      <c r="R1064" s="23" t="n">
        <f aca="false">H1064*Assumptions!$B$3</f>
        <v>17.484</v>
      </c>
      <c r="S1064" s="23" t="n">
        <f aca="false">G1064-Q1064-R1064</f>
        <v>5.66400000000001</v>
      </c>
      <c r="T1064" s="21" t="str">
        <f aca="false">IF(M1064&lt;=7,"0-7 days",IF(M1064&lt;=14,"8-14 days",IF(M1064&lt;=21,"15-21 days","22+ days")))</f>
        <v>15-21 days</v>
      </c>
    </row>
    <row r="1065" customFormat="false" ht="15" hidden="false" customHeight="false" outlineLevel="0" collapsed="false">
      <c r="A1065" s="21" t="s">
        <v>1131</v>
      </c>
      <c r="B1065" s="21" t="s">
        <v>201</v>
      </c>
      <c r="C1065" s="22" t="n">
        <v>43149</v>
      </c>
      <c r="D1065" s="22" t="n">
        <v>43177</v>
      </c>
      <c r="E1065" s="22" t="n">
        <v>43178</v>
      </c>
      <c r="F1065" s="21" t="s">
        <v>49</v>
      </c>
      <c r="G1065" s="23" t="n">
        <v>99.96</v>
      </c>
      <c r="H1065" s="23" t="n">
        <v>44.18</v>
      </c>
      <c r="I1065" s="21" t="s">
        <v>60</v>
      </c>
      <c r="J1065" s="21" t="n">
        <v>3</v>
      </c>
      <c r="K1065" s="21" t="s">
        <v>46</v>
      </c>
      <c r="L1065" s="24" t="n">
        <f aca="false">DATE(YEAR(C1065),MONTH(C1065),1)</f>
        <v>43132</v>
      </c>
      <c r="M1065" s="21" t="n">
        <f aca="false">D1065-C1065</f>
        <v>28</v>
      </c>
      <c r="N1065" s="21" t="n">
        <f aca="false">MAX(0,D1065-E1065)</f>
        <v>0</v>
      </c>
      <c r="O1065" s="21" t="n">
        <f aca="false">IF(D1065&lt;=E1065,1,0)</f>
        <v>1</v>
      </c>
      <c r="P1065" s="23" t="n">
        <f aca="false">G1065+H1065</f>
        <v>144.14</v>
      </c>
      <c r="Q1065" s="23" t="n">
        <f aca="false">G1065*INDEX(Assumptions!$B$8:$B$16,MATCH(F1065,Assumptions!$A$8:$A$16,0))</f>
        <v>57.9768</v>
      </c>
      <c r="R1065" s="23" t="n">
        <f aca="false">H1065*Assumptions!$B$3</f>
        <v>26.508</v>
      </c>
      <c r="S1065" s="23" t="n">
        <f aca="false">G1065-Q1065-R1065</f>
        <v>15.4752</v>
      </c>
      <c r="T1065" s="21" t="str">
        <f aca="false">IF(M1065&lt;=7,"0-7 days",IF(M1065&lt;=14,"8-14 days",IF(M1065&lt;=21,"15-21 days","22+ days")))</f>
        <v>22+ days</v>
      </c>
    </row>
    <row r="1066" customFormat="false" ht="15" hidden="false" customHeight="false" outlineLevel="0" collapsed="false">
      <c r="A1066" s="21" t="s">
        <v>1132</v>
      </c>
      <c r="B1066" s="21" t="s">
        <v>19</v>
      </c>
      <c r="C1066" s="22" t="n">
        <v>43149</v>
      </c>
      <c r="D1066" s="22" t="n">
        <v>43157</v>
      </c>
      <c r="E1066" s="22" t="n">
        <v>43165</v>
      </c>
      <c r="F1066" s="21" t="s">
        <v>59</v>
      </c>
      <c r="G1066" s="23" t="n">
        <v>57.91</v>
      </c>
      <c r="H1066" s="23" t="n">
        <v>12.54</v>
      </c>
      <c r="I1066" s="21" t="s">
        <v>60</v>
      </c>
      <c r="J1066" s="21" t="n">
        <v>5</v>
      </c>
      <c r="K1066" s="21" t="s">
        <v>46</v>
      </c>
      <c r="L1066" s="24" t="n">
        <f aca="false">DATE(YEAR(C1066),MONTH(C1066),1)</f>
        <v>43132</v>
      </c>
      <c r="M1066" s="21" t="n">
        <f aca="false">D1066-C1066</f>
        <v>8</v>
      </c>
      <c r="N1066" s="21" t="n">
        <f aca="false">MAX(0,D1066-E1066)</f>
        <v>0</v>
      </c>
      <c r="O1066" s="21" t="n">
        <f aca="false">IF(D1066&lt;=E1066,1,0)</f>
        <v>1</v>
      </c>
      <c r="P1066" s="23" t="n">
        <f aca="false">G1066+H1066</f>
        <v>70.45</v>
      </c>
      <c r="Q1066" s="23" t="n">
        <f aca="false">G1066*INDEX(Assumptions!$B$8:$B$16,MATCH(F1066,Assumptions!$A$8:$A$16,0))</f>
        <v>37.0624</v>
      </c>
      <c r="R1066" s="23" t="n">
        <f aca="false">H1066*Assumptions!$B$3</f>
        <v>7.524</v>
      </c>
      <c r="S1066" s="23" t="n">
        <f aca="false">G1066-Q1066-R1066</f>
        <v>13.3236</v>
      </c>
      <c r="T1066" s="21" t="str">
        <f aca="false">IF(M1066&lt;=7,"0-7 days",IF(M1066&lt;=14,"8-14 days",IF(M1066&lt;=21,"15-21 days","22+ days")))</f>
        <v>8-14 days</v>
      </c>
    </row>
    <row r="1067" customFormat="false" ht="15" hidden="false" customHeight="false" outlineLevel="0" collapsed="false">
      <c r="A1067" s="21" t="s">
        <v>1133</v>
      </c>
      <c r="B1067" s="21" t="s">
        <v>55</v>
      </c>
      <c r="C1067" s="22" t="n">
        <v>43149</v>
      </c>
      <c r="D1067" s="22" t="n">
        <v>43158</v>
      </c>
      <c r="E1067" s="22" t="n">
        <v>43173</v>
      </c>
      <c r="F1067" s="21" t="s">
        <v>49</v>
      </c>
      <c r="G1067" s="23" t="n">
        <v>138.15</v>
      </c>
      <c r="H1067" s="23" t="n">
        <v>29.19</v>
      </c>
      <c r="I1067" s="21" t="s">
        <v>45</v>
      </c>
      <c r="J1067" s="21" t="n">
        <v>5</v>
      </c>
      <c r="K1067" s="21" t="s">
        <v>46</v>
      </c>
      <c r="L1067" s="24" t="n">
        <f aca="false">DATE(YEAR(C1067),MONTH(C1067),1)</f>
        <v>43132</v>
      </c>
      <c r="M1067" s="21" t="n">
        <f aca="false">D1067-C1067</f>
        <v>9</v>
      </c>
      <c r="N1067" s="21" t="n">
        <f aca="false">MAX(0,D1067-E1067)</f>
        <v>0</v>
      </c>
      <c r="O1067" s="21" t="n">
        <f aca="false">IF(D1067&lt;=E1067,1,0)</f>
        <v>1</v>
      </c>
      <c r="P1067" s="23" t="n">
        <f aca="false">G1067+H1067</f>
        <v>167.34</v>
      </c>
      <c r="Q1067" s="23" t="n">
        <f aca="false">G1067*INDEX(Assumptions!$B$8:$B$16,MATCH(F1067,Assumptions!$A$8:$A$16,0))</f>
        <v>80.127</v>
      </c>
      <c r="R1067" s="23" t="n">
        <f aca="false">H1067*Assumptions!$B$3</f>
        <v>17.514</v>
      </c>
      <c r="S1067" s="23" t="n">
        <f aca="false">G1067-Q1067-R1067</f>
        <v>40.509</v>
      </c>
      <c r="T1067" s="21" t="str">
        <f aca="false">IF(M1067&lt;=7,"0-7 days",IF(M1067&lt;=14,"8-14 days",IF(M1067&lt;=21,"15-21 days","22+ days")))</f>
        <v>8-14 days</v>
      </c>
    </row>
    <row r="1068" customFormat="false" ht="15" hidden="false" customHeight="false" outlineLevel="0" collapsed="false">
      <c r="A1068" s="21" t="s">
        <v>1134</v>
      </c>
      <c r="B1068" s="21" t="s">
        <v>19</v>
      </c>
      <c r="C1068" s="22" t="n">
        <v>43150</v>
      </c>
      <c r="D1068" s="22" t="n">
        <v>43159</v>
      </c>
      <c r="E1068" s="22" t="n">
        <v>43167</v>
      </c>
      <c r="F1068" s="21" t="s">
        <v>59</v>
      </c>
      <c r="G1068" s="23" t="n">
        <v>169.66</v>
      </c>
      <c r="H1068" s="23" t="n">
        <v>22.2</v>
      </c>
      <c r="I1068" s="21" t="s">
        <v>45</v>
      </c>
      <c r="J1068" s="21" t="n">
        <v>5</v>
      </c>
      <c r="K1068" s="21" t="s">
        <v>46</v>
      </c>
      <c r="L1068" s="24" t="n">
        <f aca="false">DATE(YEAR(C1068),MONTH(C1068),1)</f>
        <v>43132</v>
      </c>
      <c r="M1068" s="21" t="n">
        <f aca="false">D1068-C1068</f>
        <v>9</v>
      </c>
      <c r="N1068" s="21" t="n">
        <f aca="false">MAX(0,D1068-E1068)</f>
        <v>0</v>
      </c>
      <c r="O1068" s="21" t="n">
        <f aca="false">IF(D1068&lt;=E1068,1,0)</f>
        <v>1</v>
      </c>
      <c r="P1068" s="23" t="n">
        <f aca="false">G1068+H1068</f>
        <v>191.86</v>
      </c>
      <c r="Q1068" s="23" t="n">
        <f aca="false">G1068*INDEX(Assumptions!$B$8:$B$16,MATCH(F1068,Assumptions!$A$8:$A$16,0))</f>
        <v>108.5824</v>
      </c>
      <c r="R1068" s="23" t="n">
        <f aca="false">H1068*Assumptions!$B$3</f>
        <v>13.32</v>
      </c>
      <c r="S1068" s="23" t="n">
        <f aca="false">G1068-Q1068-R1068</f>
        <v>47.7576</v>
      </c>
      <c r="T1068" s="21" t="str">
        <f aca="false">IF(M1068&lt;=7,"0-7 days",IF(M1068&lt;=14,"8-14 days",IF(M1068&lt;=21,"15-21 days","22+ days")))</f>
        <v>8-14 days</v>
      </c>
    </row>
    <row r="1069" customFormat="false" ht="15" hidden="false" customHeight="false" outlineLevel="0" collapsed="false">
      <c r="A1069" s="21" t="s">
        <v>1135</v>
      </c>
      <c r="B1069" s="21" t="s">
        <v>19</v>
      </c>
      <c r="C1069" s="22" t="n">
        <v>43150</v>
      </c>
      <c r="D1069" s="22" t="n">
        <v>43156</v>
      </c>
      <c r="E1069" s="22" t="n">
        <v>43165</v>
      </c>
      <c r="F1069" s="21" t="s">
        <v>67</v>
      </c>
      <c r="G1069" s="23" t="n">
        <v>65.59</v>
      </c>
      <c r="H1069" s="23" t="n">
        <v>22.18</v>
      </c>
      <c r="I1069" s="21" t="s">
        <v>45</v>
      </c>
      <c r="J1069" s="21" t="n">
        <v>4</v>
      </c>
      <c r="K1069" s="21" t="s">
        <v>46</v>
      </c>
      <c r="L1069" s="24" t="n">
        <f aca="false">DATE(YEAR(C1069),MONTH(C1069),1)</f>
        <v>43132</v>
      </c>
      <c r="M1069" s="21" t="n">
        <f aca="false">D1069-C1069</f>
        <v>6</v>
      </c>
      <c r="N1069" s="21" t="n">
        <f aca="false">MAX(0,D1069-E1069)</f>
        <v>0</v>
      </c>
      <c r="O1069" s="21" t="n">
        <f aca="false">IF(D1069&lt;=E1069,1,0)</f>
        <v>1</v>
      </c>
      <c r="P1069" s="23" t="n">
        <f aca="false">G1069+H1069</f>
        <v>87.77</v>
      </c>
      <c r="Q1069" s="23" t="n">
        <f aca="false">G1069*INDEX(Assumptions!$B$8:$B$16,MATCH(F1069,Assumptions!$A$8:$A$16,0))</f>
        <v>40.6658</v>
      </c>
      <c r="R1069" s="23" t="n">
        <f aca="false">H1069*Assumptions!$B$3</f>
        <v>13.308</v>
      </c>
      <c r="S1069" s="23" t="n">
        <f aca="false">G1069-Q1069-R1069</f>
        <v>11.6162</v>
      </c>
      <c r="T1069" s="21" t="str">
        <f aca="false">IF(M1069&lt;=7,"0-7 days",IF(M1069&lt;=14,"8-14 days",IF(M1069&lt;=21,"15-21 days","22+ days")))</f>
        <v>0-7 days</v>
      </c>
    </row>
    <row r="1070" customFormat="false" ht="15" hidden="false" customHeight="false" outlineLevel="0" collapsed="false">
      <c r="A1070" s="21" t="s">
        <v>1136</v>
      </c>
      <c r="B1070" s="21" t="s">
        <v>19</v>
      </c>
      <c r="C1070" s="22" t="n">
        <v>43150</v>
      </c>
      <c r="D1070" s="22" t="n">
        <v>43164</v>
      </c>
      <c r="E1070" s="22" t="n">
        <v>43168</v>
      </c>
      <c r="F1070" s="21" t="s">
        <v>57</v>
      </c>
      <c r="G1070" s="23" t="n">
        <v>62.73</v>
      </c>
      <c r="H1070" s="23" t="n">
        <v>17.43</v>
      </c>
      <c r="I1070" s="21" t="s">
        <v>45</v>
      </c>
      <c r="J1070" s="21" t="n">
        <v>5</v>
      </c>
      <c r="K1070" s="21" t="s">
        <v>46</v>
      </c>
      <c r="L1070" s="24" t="n">
        <f aca="false">DATE(YEAR(C1070),MONTH(C1070),1)</f>
        <v>43132</v>
      </c>
      <c r="M1070" s="21" t="n">
        <f aca="false">D1070-C1070</f>
        <v>14</v>
      </c>
      <c r="N1070" s="21" t="n">
        <f aca="false">MAX(0,D1070-E1070)</f>
        <v>0</v>
      </c>
      <c r="O1070" s="21" t="n">
        <f aca="false">IF(D1070&lt;=E1070,1,0)</f>
        <v>1</v>
      </c>
      <c r="P1070" s="23" t="n">
        <f aca="false">G1070+H1070</f>
        <v>80.16</v>
      </c>
      <c r="Q1070" s="23" t="n">
        <f aca="false">G1070*INDEX(Assumptions!$B$8:$B$16,MATCH(F1070,Assumptions!$A$8:$A$16,0))</f>
        <v>42.6564</v>
      </c>
      <c r="R1070" s="23" t="n">
        <f aca="false">H1070*Assumptions!$B$3</f>
        <v>10.458</v>
      </c>
      <c r="S1070" s="23" t="n">
        <f aca="false">G1070-Q1070-R1070</f>
        <v>9.6156</v>
      </c>
      <c r="T1070" s="21" t="str">
        <f aca="false">IF(M1070&lt;=7,"0-7 days",IF(M1070&lt;=14,"8-14 days",IF(M1070&lt;=21,"15-21 days","22+ days")))</f>
        <v>8-14 days</v>
      </c>
    </row>
    <row r="1071" customFormat="false" ht="15" hidden="false" customHeight="false" outlineLevel="0" collapsed="false">
      <c r="A1071" s="21" t="s">
        <v>1137</v>
      </c>
      <c r="B1071" s="21" t="s">
        <v>19</v>
      </c>
      <c r="C1071" s="22" t="n">
        <v>43151</v>
      </c>
      <c r="D1071" s="22" t="n">
        <v>43164</v>
      </c>
      <c r="E1071" s="22" t="n">
        <v>43161</v>
      </c>
      <c r="F1071" s="21" t="s">
        <v>67</v>
      </c>
      <c r="G1071" s="23" t="n">
        <v>71.3</v>
      </c>
      <c r="H1071" s="23" t="n">
        <v>19.13</v>
      </c>
      <c r="I1071" s="21" t="s">
        <v>45</v>
      </c>
      <c r="J1071" s="21" t="n">
        <v>4</v>
      </c>
      <c r="K1071" s="21" t="s">
        <v>46</v>
      </c>
      <c r="L1071" s="24" t="n">
        <f aca="false">DATE(YEAR(C1071),MONTH(C1071),1)</f>
        <v>43132</v>
      </c>
      <c r="M1071" s="21" t="n">
        <f aca="false">D1071-C1071</f>
        <v>13</v>
      </c>
      <c r="N1071" s="21" t="n">
        <f aca="false">MAX(0,D1071-E1071)</f>
        <v>3</v>
      </c>
      <c r="O1071" s="21" t="n">
        <f aca="false">IF(D1071&lt;=E1071,1,0)</f>
        <v>0</v>
      </c>
      <c r="P1071" s="23" t="n">
        <f aca="false">G1071+H1071</f>
        <v>90.43</v>
      </c>
      <c r="Q1071" s="23" t="n">
        <f aca="false">G1071*INDEX(Assumptions!$B$8:$B$16,MATCH(F1071,Assumptions!$A$8:$A$16,0))</f>
        <v>44.206</v>
      </c>
      <c r="R1071" s="23" t="n">
        <f aca="false">H1071*Assumptions!$B$3</f>
        <v>11.478</v>
      </c>
      <c r="S1071" s="23" t="n">
        <f aca="false">G1071-Q1071-R1071</f>
        <v>15.616</v>
      </c>
      <c r="T1071" s="21" t="str">
        <f aca="false">IF(M1071&lt;=7,"0-7 days",IF(M1071&lt;=14,"8-14 days",IF(M1071&lt;=21,"15-21 days","22+ days")))</f>
        <v>8-14 days</v>
      </c>
    </row>
    <row r="1072" customFormat="false" ht="15" hidden="false" customHeight="false" outlineLevel="0" collapsed="false">
      <c r="A1072" s="21" t="s">
        <v>1138</v>
      </c>
      <c r="B1072" s="21" t="s">
        <v>103</v>
      </c>
      <c r="C1072" s="22" t="n">
        <v>43151</v>
      </c>
      <c r="D1072" s="22" t="n">
        <v>43160</v>
      </c>
      <c r="E1072" s="22" t="n">
        <v>43173</v>
      </c>
      <c r="F1072" s="21" t="s">
        <v>79</v>
      </c>
      <c r="G1072" s="23" t="n">
        <v>48.13</v>
      </c>
      <c r="H1072" s="23" t="n">
        <v>20</v>
      </c>
      <c r="I1072" s="21" t="s">
        <v>45</v>
      </c>
      <c r="J1072" s="21" t="n">
        <v>5</v>
      </c>
      <c r="K1072" s="21" t="s">
        <v>46</v>
      </c>
      <c r="L1072" s="24" t="n">
        <f aca="false">DATE(YEAR(C1072),MONTH(C1072),1)</f>
        <v>43132</v>
      </c>
      <c r="M1072" s="21" t="n">
        <f aca="false">D1072-C1072</f>
        <v>9</v>
      </c>
      <c r="N1072" s="21" t="n">
        <f aca="false">MAX(0,D1072-E1072)</f>
        <v>0</v>
      </c>
      <c r="O1072" s="21" t="n">
        <f aca="false">IF(D1072&lt;=E1072,1,0)</f>
        <v>1</v>
      </c>
      <c r="P1072" s="23" t="n">
        <f aca="false">G1072+H1072</f>
        <v>68.13</v>
      </c>
      <c r="Q1072" s="23" t="n">
        <f aca="false">G1072*INDEX(Assumptions!$B$8:$B$16,MATCH(F1072,Assumptions!$A$8:$A$16,0))</f>
        <v>33.691</v>
      </c>
      <c r="R1072" s="23" t="n">
        <f aca="false">H1072*Assumptions!$B$3</f>
        <v>12</v>
      </c>
      <c r="S1072" s="23" t="n">
        <f aca="false">G1072-Q1072-R1072</f>
        <v>2.439</v>
      </c>
      <c r="T1072" s="21" t="str">
        <f aca="false">IF(M1072&lt;=7,"0-7 days",IF(M1072&lt;=14,"8-14 days",IF(M1072&lt;=21,"15-21 days","22+ days")))</f>
        <v>8-14 days</v>
      </c>
    </row>
    <row r="1073" customFormat="false" ht="15" hidden="false" customHeight="false" outlineLevel="0" collapsed="false">
      <c r="A1073" s="21" t="s">
        <v>1139</v>
      </c>
      <c r="B1073" s="21" t="s">
        <v>62</v>
      </c>
      <c r="C1073" s="22" t="n">
        <v>43151</v>
      </c>
      <c r="D1073" s="22" t="n">
        <v>43169</v>
      </c>
      <c r="E1073" s="22" t="n">
        <v>43172</v>
      </c>
      <c r="F1073" s="21" t="s">
        <v>57</v>
      </c>
      <c r="G1073" s="23" t="n">
        <v>158.82</v>
      </c>
      <c r="H1073" s="23" t="n">
        <v>28.81</v>
      </c>
      <c r="I1073" s="21" t="s">
        <v>45</v>
      </c>
      <c r="J1073" s="21" t="n">
        <v>4</v>
      </c>
      <c r="K1073" s="21" t="s">
        <v>46</v>
      </c>
      <c r="L1073" s="24" t="n">
        <f aca="false">DATE(YEAR(C1073),MONTH(C1073),1)</f>
        <v>43132</v>
      </c>
      <c r="M1073" s="21" t="n">
        <f aca="false">D1073-C1073</f>
        <v>18</v>
      </c>
      <c r="N1073" s="21" t="n">
        <f aca="false">MAX(0,D1073-E1073)</f>
        <v>0</v>
      </c>
      <c r="O1073" s="21" t="n">
        <f aca="false">IF(D1073&lt;=E1073,1,0)</f>
        <v>1</v>
      </c>
      <c r="P1073" s="23" t="n">
        <f aca="false">G1073+H1073</f>
        <v>187.63</v>
      </c>
      <c r="Q1073" s="23" t="n">
        <f aca="false">G1073*INDEX(Assumptions!$B$8:$B$16,MATCH(F1073,Assumptions!$A$8:$A$16,0))</f>
        <v>107.9976</v>
      </c>
      <c r="R1073" s="23" t="n">
        <f aca="false">H1073*Assumptions!$B$3</f>
        <v>17.286</v>
      </c>
      <c r="S1073" s="23" t="n">
        <f aca="false">G1073-Q1073-R1073</f>
        <v>33.5364</v>
      </c>
      <c r="T1073" s="21" t="str">
        <f aca="false">IF(M1073&lt;=7,"0-7 days",IF(M1073&lt;=14,"8-14 days",IF(M1073&lt;=21,"15-21 days","22+ days")))</f>
        <v>15-21 days</v>
      </c>
    </row>
    <row r="1074" customFormat="false" ht="15" hidden="false" customHeight="false" outlineLevel="0" collapsed="false">
      <c r="A1074" s="21" t="s">
        <v>1140</v>
      </c>
      <c r="B1074" s="21" t="s">
        <v>174</v>
      </c>
      <c r="C1074" s="22" t="n">
        <v>43152</v>
      </c>
      <c r="D1074" s="22" t="n">
        <v>43169</v>
      </c>
      <c r="E1074" s="22" t="n">
        <v>43185</v>
      </c>
      <c r="F1074" s="21" t="s">
        <v>67</v>
      </c>
      <c r="G1074" s="23" t="n">
        <v>48.89</v>
      </c>
      <c r="H1074" s="23" t="n">
        <v>39.96</v>
      </c>
      <c r="I1074" s="21" t="s">
        <v>45</v>
      </c>
      <c r="J1074" s="21" t="n">
        <v>4</v>
      </c>
      <c r="K1074" s="21" t="s">
        <v>46</v>
      </c>
      <c r="L1074" s="24" t="n">
        <f aca="false">DATE(YEAR(C1074),MONTH(C1074),1)</f>
        <v>43132</v>
      </c>
      <c r="M1074" s="21" t="n">
        <f aca="false">D1074-C1074</f>
        <v>17</v>
      </c>
      <c r="N1074" s="21" t="n">
        <f aca="false">MAX(0,D1074-E1074)</f>
        <v>0</v>
      </c>
      <c r="O1074" s="21" t="n">
        <f aca="false">IF(D1074&lt;=E1074,1,0)</f>
        <v>1</v>
      </c>
      <c r="P1074" s="23" t="n">
        <f aca="false">G1074+H1074</f>
        <v>88.85</v>
      </c>
      <c r="Q1074" s="23" t="n">
        <f aca="false">G1074*INDEX(Assumptions!$B$8:$B$16,MATCH(F1074,Assumptions!$A$8:$A$16,0))</f>
        <v>30.3118</v>
      </c>
      <c r="R1074" s="23" t="n">
        <f aca="false">H1074*Assumptions!$B$3</f>
        <v>23.976</v>
      </c>
      <c r="S1074" s="23" t="n">
        <f aca="false">G1074-Q1074-R1074</f>
        <v>-5.3978</v>
      </c>
      <c r="T1074" s="21" t="str">
        <f aca="false">IF(M1074&lt;=7,"0-7 days",IF(M1074&lt;=14,"8-14 days",IF(M1074&lt;=21,"15-21 days","22+ days")))</f>
        <v>15-21 days</v>
      </c>
    </row>
    <row r="1075" customFormat="false" ht="15" hidden="false" customHeight="false" outlineLevel="0" collapsed="false">
      <c r="A1075" s="21" t="s">
        <v>1141</v>
      </c>
      <c r="B1075" s="21" t="s">
        <v>19</v>
      </c>
      <c r="C1075" s="22" t="n">
        <v>43152</v>
      </c>
      <c r="D1075" s="22" t="n">
        <v>43157</v>
      </c>
      <c r="E1075" s="22" t="n">
        <v>43168</v>
      </c>
      <c r="F1075" s="21" t="s">
        <v>59</v>
      </c>
      <c r="G1075" s="23" t="n">
        <v>90.62</v>
      </c>
      <c r="H1075" s="23" t="n">
        <v>18.87</v>
      </c>
      <c r="I1075" s="21" t="s">
        <v>45</v>
      </c>
      <c r="J1075" s="21" t="n">
        <v>5</v>
      </c>
      <c r="K1075" s="21" t="s">
        <v>46</v>
      </c>
      <c r="L1075" s="24" t="n">
        <f aca="false">DATE(YEAR(C1075),MONTH(C1075),1)</f>
        <v>43132</v>
      </c>
      <c r="M1075" s="21" t="n">
        <f aca="false">D1075-C1075</f>
        <v>5</v>
      </c>
      <c r="N1075" s="21" t="n">
        <f aca="false">MAX(0,D1075-E1075)</f>
        <v>0</v>
      </c>
      <c r="O1075" s="21" t="n">
        <f aca="false">IF(D1075&lt;=E1075,1,0)</f>
        <v>1</v>
      </c>
      <c r="P1075" s="23" t="n">
        <f aca="false">G1075+H1075</f>
        <v>109.49</v>
      </c>
      <c r="Q1075" s="23" t="n">
        <f aca="false">G1075*INDEX(Assumptions!$B$8:$B$16,MATCH(F1075,Assumptions!$A$8:$A$16,0))</f>
        <v>57.9968</v>
      </c>
      <c r="R1075" s="23" t="n">
        <f aca="false">H1075*Assumptions!$B$3</f>
        <v>11.322</v>
      </c>
      <c r="S1075" s="23" t="n">
        <f aca="false">G1075-Q1075-R1075</f>
        <v>21.3012</v>
      </c>
      <c r="T1075" s="21" t="str">
        <f aca="false">IF(M1075&lt;=7,"0-7 days",IF(M1075&lt;=14,"8-14 days",IF(M1075&lt;=21,"15-21 days","22+ days")))</f>
        <v>0-7 days</v>
      </c>
    </row>
    <row r="1076" customFormat="false" ht="15" hidden="false" customHeight="false" outlineLevel="0" collapsed="false">
      <c r="A1076" s="21" t="s">
        <v>1142</v>
      </c>
      <c r="B1076" s="21" t="s">
        <v>19</v>
      </c>
      <c r="C1076" s="22" t="n">
        <v>43152</v>
      </c>
      <c r="D1076" s="22" t="n">
        <v>43160</v>
      </c>
      <c r="E1076" s="22" t="n">
        <v>43168</v>
      </c>
      <c r="F1076" s="21" t="s">
        <v>111</v>
      </c>
      <c r="G1076" s="23" t="n">
        <v>39.53</v>
      </c>
      <c r="H1076" s="23" t="n">
        <v>19.45</v>
      </c>
      <c r="I1076" s="21" t="s">
        <v>60</v>
      </c>
      <c r="J1076" s="21" t="n">
        <v>3</v>
      </c>
      <c r="K1076" s="21" t="s">
        <v>46</v>
      </c>
      <c r="L1076" s="24" t="n">
        <f aca="false">DATE(YEAR(C1076),MONTH(C1076),1)</f>
        <v>43132</v>
      </c>
      <c r="M1076" s="21" t="n">
        <f aca="false">D1076-C1076</f>
        <v>8</v>
      </c>
      <c r="N1076" s="21" t="n">
        <f aca="false">MAX(0,D1076-E1076)</f>
        <v>0</v>
      </c>
      <c r="O1076" s="21" t="n">
        <f aca="false">IF(D1076&lt;=E1076,1,0)</f>
        <v>1</v>
      </c>
      <c r="P1076" s="23" t="n">
        <f aca="false">G1076+H1076</f>
        <v>58.98</v>
      </c>
      <c r="Q1076" s="23" t="n">
        <f aca="false">G1076*INDEX(Assumptions!$B$8:$B$16,MATCH(F1076,Assumptions!$A$8:$A$16,0))</f>
        <v>24.9039</v>
      </c>
      <c r="R1076" s="23" t="n">
        <f aca="false">H1076*Assumptions!$B$3</f>
        <v>11.67</v>
      </c>
      <c r="S1076" s="23" t="n">
        <f aca="false">G1076-Q1076-R1076</f>
        <v>2.9561</v>
      </c>
      <c r="T1076" s="21" t="str">
        <f aca="false">IF(M1076&lt;=7,"0-7 days",IF(M1076&lt;=14,"8-14 days",IF(M1076&lt;=21,"15-21 days","22+ days")))</f>
        <v>8-14 days</v>
      </c>
    </row>
    <row r="1077" customFormat="false" ht="15" hidden="false" customHeight="false" outlineLevel="0" collapsed="false">
      <c r="A1077" s="21" t="s">
        <v>1143</v>
      </c>
      <c r="B1077" s="21" t="s">
        <v>19</v>
      </c>
      <c r="C1077" s="22" t="n">
        <v>43152</v>
      </c>
      <c r="D1077" s="22" t="n">
        <v>43161</v>
      </c>
      <c r="E1077" s="22" t="n">
        <v>43163</v>
      </c>
      <c r="F1077" s="21" t="s">
        <v>44</v>
      </c>
      <c r="G1077" s="23" t="n">
        <v>67.65</v>
      </c>
      <c r="H1077" s="23" t="n">
        <v>16.68</v>
      </c>
      <c r="I1077" s="21" t="s">
        <v>60</v>
      </c>
      <c r="J1077" s="21" t="n">
        <v>3</v>
      </c>
      <c r="K1077" s="21" t="s">
        <v>46</v>
      </c>
      <c r="L1077" s="24" t="n">
        <f aca="false">DATE(YEAR(C1077),MONTH(C1077),1)</f>
        <v>43132</v>
      </c>
      <c r="M1077" s="21" t="n">
        <f aca="false">D1077-C1077</f>
        <v>9</v>
      </c>
      <c r="N1077" s="21" t="n">
        <f aca="false">MAX(0,D1077-E1077)</f>
        <v>0</v>
      </c>
      <c r="O1077" s="21" t="n">
        <f aca="false">IF(D1077&lt;=E1077,1,0)</f>
        <v>1</v>
      </c>
      <c r="P1077" s="23" t="n">
        <f aca="false">G1077+H1077</f>
        <v>84.33</v>
      </c>
      <c r="Q1077" s="23" t="n">
        <f aca="false">G1077*INDEX(Assumptions!$B$8:$B$16,MATCH(F1077,Assumptions!$A$8:$A$16,0))</f>
        <v>40.59</v>
      </c>
      <c r="R1077" s="23" t="n">
        <f aca="false">H1077*Assumptions!$B$3</f>
        <v>10.008</v>
      </c>
      <c r="S1077" s="23" t="n">
        <f aca="false">G1077-Q1077-R1077</f>
        <v>17.052</v>
      </c>
      <c r="T1077" s="21" t="str">
        <f aca="false">IF(M1077&lt;=7,"0-7 days",IF(M1077&lt;=14,"8-14 days",IF(M1077&lt;=21,"15-21 days","22+ days")))</f>
        <v>8-14 days</v>
      </c>
    </row>
    <row r="1078" customFormat="false" ht="15" hidden="false" customHeight="false" outlineLevel="0" collapsed="false">
      <c r="A1078" s="21" t="s">
        <v>1144</v>
      </c>
      <c r="B1078" s="21" t="s">
        <v>48</v>
      </c>
      <c r="C1078" s="22" t="n">
        <v>43153</v>
      </c>
      <c r="D1078" s="22" t="n">
        <v>43167</v>
      </c>
      <c r="E1078" s="22" t="n">
        <v>43171</v>
      </c>
      <c r="F1078" s="21" t="s">
        <v>111</v>
      </c>
      <c r="G1078" s="23" t="n">
        <v>42.05</v>
      </c>
      <c r="H1078" s="23" t="n">
        <v>17.91</v>
      </c>
      <c r="I1078" s="21" t="s">
        <v>45</v>
      </c>
      <c r="J1078" s="21" t="n">
        <v>4</v>
      </c>
      <c r="K1078" s="21" t="s">
        <v>46</v>
      </c>
      <c r="L1078" s="24" t="n">
        <f aca="false">DATE(YEAR(C1078),MONTH(C1078),1)</f>
        <v>43132</v>
      </c>
      <c r="M1078" s="21" t="n">
        <f aca="false">D1078-C1078</f>
        <v>14</v>
      </c>
      <c r="N1078" s="21" t="n">
        <f aca="false">MAX(0,D1078-E1078)</f>
        <v>0</v>
      </c>
      <c r="O1078" s="21" t="n">
        <f aca="false">IF(D1078&lt;=E1078,1,0)</f>
        <v>1</v>
      </c>
      <c r="P1078" s="23" t="n">
        <f aca="false">G1078+H1078</f>
        <v>59.96</v>
      </c>
      <c r="Q1078" s="23" t="n">
        <f aca="false">G1078*INDEX(Assumptions!$B$8:$B$16,MATCH(F1078,Assumptions!$A$8:$A$16,0))</f>
        <v>26.4915</v>
      </c>
      <c r="R1078" s="23" t="n">
        <f aca="false">H1078*Assumptions!$B$3</f>
        <v>10.746</v>
      </c>
      <c r="S1078" s="23" t="n">
        <f aca="false">G1078-Q1078-R1078</f>
        <v>4.8125</v>
      </c>
      <c r="T1078" s="21" t="str">
        <f aca="false">IF(M1078&lt;=7,"0-7 days",IF(M1078&lt;=14,"8-14 days",IF(M1078&lt;=21,"15-21 days","22+ days")))</f>
        <v>8-14 days</v>
      </c>
    </row>
    <row r="1079" customFormat="false" ht="15" hidden="false" customHeight="false" outlineLevel="0" collapsed="false">
      <c r="A1079" s="21" t="s">
        <v>1145</v>
      </c>
      <c r="B1079" s="21" t="s">
        <v>19</v>
      </c>
      <c r="C1079" s="22" t="n">
        <v>43153</v>
      </c>
      <c r="D1079" s="22" t="n">
        <v>43161</v>
      </c>
      <c r="E1079" s="22" t="n">
        <v>43167</v>
      </c>
      <c r="F1079" s="21" t="s">
        <v>59</v>
      </c>
      <c r="G1079" s="23" t="n">
        <v>79.21</v>
      </c>
      <c r="H1079" s="23" t="n">
        <v>21.8</v>
      </c>
      <c r="I1079" s="21" t="s">
        <v>45</v>
      </c>
      <c r="J1079" s="21" t="n">
        <v>4</v>
      </c>
      <c r="K1079" s="21" t="s">
        <v>46</v>
      </c>
      <c r="L1079" s="24" t="n">
        <f aca="false">DATE(YEAR(C1079),MONTH(C1079),1)</f>
        <v>43132</v>
      </c>
      <c r="M1079" s="21" t="n">
        <f aca="false">D1079-C1079</f>
        <v>8</v>
      </c>
      <c r="N1079" s="21" t="n">
        <f aca="false">MAX(0,D1079-E1079)</f>
        <v>0</v>
      </c>
      <c r="O1079" s="21" t="n">
        <f aca="false">IF(D1079&lt;=E1079,1,0)</f>
        <v>1</v>
      </c>
      <c r="P1079" s="23" t="n">
        <f aca="false">G1079+H1079</f>
        <v>101.01</v>
      </c>
      <c r="Q1079" s="23" t="n">
        <f aca="false">G1079*INDEX(Assumptions!$B$8:$B$16,MATCH(F1079,Assumptions!$A$8:$A$16,0))</f>
        <v>50.6944</v>
      </c>
      <c r="R1079" s="23" t="n">
        <f aca="false">H1079*Assumptions!$B$3</f>
        <v>13.08</v>
      </c>
      <c r="S1079" s="23" t="n">
        <f aca="false">G1079-Q1079-R1079</f>
        <v>15.4356</v>
      </c>
      <c r="T1079" s="21" t="str">
        <f aca="false">IF(M1079&lt;=7,"0-7 days",IF(M1079&lt;=14,"8-14 days",IF(M1079&lt;=21,"15-21 days","22+ days")))</f>
        <v>8-14 days</v>
      </c>
    </row>
    <row r="1080" customFormat="false" ht="15" hidden="false" customHeight="false" outlineLevel="0" collapsed="false">
      <c r="A1080" s="21" t="s">
        <v>1146</v>
      </c>
      <c r="B1080" s="21" t="s">
        <v>19</v>
      </c>
      <c r="C1080" s="22" t="n">
        <v>43153</v>
      </c>
      <c r="D1080" s="22" t="n">
        <v>43160</v>
      </c>
      <c r="E1080" s="22" t="n">
        <v>43170</v>
      </c>
      <c r="F1080" s="21" t="s">
        <v>111</v>
      </c>
      <c r="G1080" s="23" t="n">
        <v>36.79</v>
      </c>
      <c r="H1080" s="23" t="n">
        <v>17.84</v>
      </c>
      <c r="I1080" s="21" t="s">
        <v>60</v>
      </c>
      <c r="J1080" s="21" t="n">
        <v>5</v>
      </c>
      <c r="K1080" s="21" t="s">
        <v>46</v>
      </c>
      <c r="L1080" s="24" t="n">
        <f aca="false">DATE(YEAR(C1080),MONTH(C1080),1)</f>
        <v>43132</v>
      </c>
      <c r="M1080" s="21" t="n">
        <f aca="false">D1080-C1080</f>
        <v>7</v>
      </c>
      <c r="N1080" s="21" t="n">
        <f aca="false">MAX(0,D1080-E1080)</f>
        <v>0</v>
      </c>
      <c r="O1080" s="21" t="n">
        <f aca="false">IF(D1080&lt;=E1080,1,0)</f>
        <v>1</v>
      </c>
      <c r="P1080" s="23" t="n">
        <f aca="false">G1080+H1080</f>
        <v>54.63</v>
      </c>
      <c r="Q1080" s="23" t="n">
        <f aca="false">G1080*INDEX(Assumptions!$B$8:$B$16,MATCH(F1080,Assumptions!$A$8:$A$16,0))</f>
        <v>23.1777</v>
      </c>
      <c r="R1080" s="23" t="n">
        <f aca="false">H1080*Assumptions!$B$3</f>
        <v>10.704</v>
      </c>
      <c r="S1080" s="23" t="n">
        <f aca="false">G1080-Q1080-R1080</f>
        <v>2.9083</v>
      </c>
      <c r="T1080" s="21" t="str">
        <f aca="false">IF(M1080&lt;=7,"0-7 days",IF(M1080&lt;=14,"8-14 days",IF(M1080&lt;=21,"15-21 days","22+ days")))</f>
        <v>0-7 days</v>
      </c>
    </row>
    <row r="1081" customFormat="false" ht="15" hidden="false" customHeight="false" outlineLevel="0" collapsed="false">
      <c r="A1081" s="21" t="s">
        <v>1147</v>
      </c>
      <c r="B1081" s="21" t="s">
        <v>19</v>
      </c>
      <c r="C1081" s="22" t="n">
        <v>43153</v>
      </c>
      <c r="D1081" s="22" t="n">
        <v>43163</v>
      </c>
      <c r="E1081" s="22" t="n">
        <v>43168</v>
      </c>
      <c r="F1081" s="21" t="s">
        <v>53</v>
      </c>
      <c r="G1081" s="23" t="n">
        <v>183.23</v>
      </c>
      <c r="H1081" s="23" t="n">
        <v>18.59</v>
      </c>
      <c r="I1081" s="21" t="s">
        <v>104</v>
      </c>
      <c r="J1081" s="21" t="n">
        <v>3</v>
      </c>
      <c r="K1081" s="21" t="s">
        <v>46</v>
      </c>
      <c r="L1081" s="24" t="n">
        <f aca="false">DATE(YEAR(C1081),MONTH(C1081),1)</f>
        <v>43132</v>
      </c>
      <c r="M1081" s="21" t="n">
        <f aca="false">D1081-C1081</f>
        <v>10</v>
      </c>
      <c r="N1081" s="21" t="n">
        <f aca="false">MAX(0,D1081-E1081)</f>
        <v>0</v>
      </c>
      <c r="O1081" s="21" t="n">
        <f aca="false">IF(D1081&lt;=E1081,1,0)</f>
        <v>1</v>
      </c>
      <c r="P1081" s="23" t="n">
        <f aca="false">G1081+H1081</f>
        <v>201.82</v>
      </c>
      <c r="Q1081" s="23" t="n">
        <f aca="false">G1081*INDEX(Assumptions!$B$8:$B$16,MATCH(F1081,Assumptions!$A$8:$A$16,0))</f>
        <v>135.5902</v>
      </c>
      <c r="R1081" s="23" t="n">
        <f aca="false">H1081*Assumptions!$B$3</f>
        <v>11.154</v>
      </c>
      <c r="S1081" s="23" t="n">
        <f aca="false">G1081-Q1081-R1081</f>
        <v>36.4858</v>
      </c>
      <c r="T1081" s="21" t="str">
        <f aca="false">IF(M1081&lt;=7,"0-7 days",IF(M1081&lt;=14,"8-14 days",IF(M1081&lt;=21,"15-21 days","22+ days")))</f>
        <v>8-14 days</v>
      </c>
    </row>
    <row r="1082" customFormat="false" ht="15" hidden="false" customHeight="false" outlineLevel="0" collapsed="false">
      <c r="A1082" s="21" t="s">
        <v>1148</v>
      </c>
      <c r="B1082" s="21" t="s">
        <v>19</v>
      </c>
      <c r="C1082" s="22" t="n">
        <v>43153</v>
      </c>
      <c r="D1082" s="22" t="n">
        <v>43157</v>
      </c>
      <c r="E1082" s="22" t="n">
        <v>43170</v>
      </c>
      <c r="F1082" s="21" t="s">
        <v>111</v>
      </c>
      <c r="G1082" s="23" t="n">
        <v>62.96</v>
      </c>
      <c r="H1082" s="23" t="n">
        <v>12.37</v>
      </c>
      <c r="I1082" s="21" t="s">
        <v>45</v>
      </c>
      <c r="J1082" s="21" t="n">
        <v>5</v>
      </c>
      <c r="K1082" s="21" t="s">
        <v>46</v>
      </c>
      <c r="L1082" s="24" t="n">
        <f aca="false">DATE(YEAR(C1082),MONTH(C1082),1)</f>
        <v>43132</v>
      </c>
      <c r="M1082" s="21" t="n">
        <f aca="false">D1082-C1082</f>
        <v>4</v>
      </c>
      <c r="N1082" s="21" t="n">
        <f aca="false">MAX(0,D1082-E1082)</f>
        <v>0</v>
      </c>
      <c r="O1082" s="21" t="n">
        <f aca="false">IF(D1082&lt;=E1082,1,0)</f>
        <v>1</v>
      </c>
      <c r="P1082" s="23" t="n">
        <f aca="false">G1082+H1082</f>
        <v>75.33</v>
      </c>
      <c r="Q1082" s="23" t="n">
        <f aca="false">G1082*INDEX(Assumptions!$B$8:$B$16,MATCH(F1082,Assumptions!$A$8:$A$16,0))</f>
        <v>39.6648</v>
      </c>
      <c r="R1082" s="23" t="n">
        <f aca="false">H1082*Assumptions!$B$3</f>
        <v>7.422</v>
      </c>
      <c r="S1082" s="23" t="n">
        <f aca="false">G1082-Q1082-R1082</f>
        <v>15.8732</v>
      </c>
      <c r="T1082" s="21" t="str">
        <f aca="false">IF(M1082&lt;=7,"0-7 days",IF(M1082&lt;=14,"8-14 days",IF(M1082&lt;=21,"15-21 days","22+ days")))</f>
        <v>0-7 days</v>
      </c>
    </row>
    <row r="1083" customFormat="false" ht="15" hidden="false" customHeight="false" outlineLevel="0" collapsed="false">
      <c r="A1083" s="21" t="s">
        <v>1149</v>
      </c>
      <c r="B1083" s="21" t="s">
        <v>52</v>
      </c>
      <c r="C1083" s="22" t="n">
        <v>43154</v>
      </c>
      <c r="D1083" s="22" t="n">
        <v>43169</v>
      </c>
      <c r="E1083" s="22" t="n">
        <v>43178</v>
      </c>
      <c r="F1083" s="21" t="s">
        <v>57</v>
      </c>
      <c r="G1083" s="23" t="n">
        <v>80.3</v>
      </c>
      <c r="H1083" s="23" t="n">
        <v>31.75</v>
      </c>
      <c r="I1083" s="21" t="s">
        <v>45</v>
      </c>
      <c r="J1083" s="21" t="n">
        <v>4</v>
      </c>
      <c r="K1083" s="21" t="s">
        <v>46</v>
      </c>
      <c r="L1083" s="24" t="n">
        <f aca="false">DATE(YEAR(C1083),MONTH(C1083),1)</f>
        <v>43132</v>
      </c>
      <c r="M1083" s="21" t="n">
        <f aca="false">D1083-C1083</f>
        <v>15</v>
      </c>
      <c r="N1083" s="21" t="n">
        <f aca="false">MAX(0,D1083-E1083)</f>
        <v>0</v>
      </c>
      <c r="O1083" s="21" t="n">
        <f aca="false">IF(D1083&lt;=E1083,1,0)</f>
        <v>1</v>
      </c>
      <c r="P1083" s="23" t="n">
        <f aca="false">G1083+H1083</f>
        <v>112.05</v>
      </c>
      <c r="Q1083" s="23" t="n">
        <f aca="false">G1083*INDEX(Assumptions!$B$8:$B$16,MATCH(F1083,Assumptions!$A$8:$A$16,0))</f>
        <v>54.604</v>
      </c>
      <c r="R1083" s="23" t="n">
        <f aca="false">H1083*Assumptions!$B$3</f>
        <v>19.05</v>
      </c>
      <c r="S1083" s="23" t="n">
        <f aca="false">G1083-Q1083-R1083</f>
        <v>6.646</v>
      </c>
      <c r="T1083" s="21" t="str">
        <f aca="false">IF(M1083&lt;=7,"0-7 days",IF(M1083&lt;=14,"8-14 days",IF(M1083&lt;=21,"15-21 days","22+ days")))</f>
        <v>15-21 days</v>
      </c>
    </row>
    <row r="1084" customFormat="false" ht="15" hidden="false" customHeight="false" outlineLevel="0" collapsed="false">
      <c r="A1084" s="21" t="s">
        <v>1150</v>
      </c>
      <c r="B1084" s="21" t="s">
        <v>103</v>
      </c>
      <c r="C1084" s="22" t="n">
        <v>43154</v>
      </c>
      <c r="D1084" s="22" t="n">
        <v>43173</v>
      </c>
      <c r="E1084" s="22" t="n">
        <v>43176</v>
      </c>
      <c r="F1084" s="21" t="s">
        <v>79</v>
      </c>
      <c r="G1084" s="23" t="n">
        <v>78.54</v>
      </c>
      <c r="H1084" s="23" t="n">
        <v>28.37</v>
      </c>
      <c r="I1084" s="21" t="s">
        <v>45</v>
      </c>
      <c r="J1084" s="21" t="n">
        <v>4</v>
      </c>
      <c r="K1084" s="21" t="s">
        <v>46</v>
      </c>
      <c r="L1084" s="24" t="n">
        <f aca="false">DATE(YEAR(C1084),MONTH(C1084),1)</f>
        <v>43132</v>
      </c>
      <c r="M1084" s="21" t="n">
        <f aca="false">D1084-C1084</f>
        <v>19</v>
      </c>
      <c r="N1084" s="21" t="n">
        <f aca="false">MAX(0,D1084-E1084)</f>
        <v>0</v>
      </c>
      <c r="O1084" s="21" t="n">
        <f aca="false">IF(D1084&lt;=E1084,1,0)</f>
        <v>1</v>
      </c>
      <c r="P1084" s="23" t="n">
        <f aca="false">G1084+H1084</f>
        <v>106.91</v>
      </c>
      <c r="Q1084" s="23" t="n">
        <f aca="false">G1084*INDEX(Assumptions!$B$8:$B$16,MATCH(F1084,Assumptions!$A$8:$A$16,0))</f>
        <v>54.978</v>
      </c>
      <c r="R1084" s="23" t="n">
        <f aca="false">H1084*Assumptions!$B$3</f>
        <v>17.022</v>
      </c>
      <c r="S1084" s="23" t="n">
        <f aca="false">G1084-Q1084-R1084</f>
        <v>6.54000000000001</v>
      </c>
      <c r="T1084" s="21" t="str">
        <f aca="false">IF(M1084&lt;=7,"0-7 days",IF(M1084&lt;=14,"8-14 days",IF(M1084&lt;=21,"15-21 days","22+ days")))</f>
        <v>15-21 days</v>
      </c>
    </row>
    <row r="1085" customFormat="false" ht="15" hidden="false" customHeight="false" outlineLevel="0" collapsed="false">
      <c r="A1085" s="21" t="s">
        <v>1151</v>
      </c>
      <c r="B1085" s="21" t="s">
        <v>19</v>
      </c>
      <c r="C1085" s="22" t="n">
        <v>43155</v>
      </c>
      <c r="D1085" s="22" t="n">
        <v>43160</v>
      </c>
      <c r="E1085" s="22" t="n">
        <v>43171</v>
      </c>
      <c r="F1085" s="21" t="s">
        <v>49</v>
      </c>
      <c r="G1085" s="23" t="n">
        <v>49.73</v>
      </c>
      <c r="H1085" s="23" t="n">
        <v>19.62</v>
      </c>
      <c r="I1085" s="21" t="s">
        <v>45</v>
      </c>
      <c r="J1085" s="21" t="n">
        <v>3</v>
      </c>
      <c r="K1085" s="21" t="s">
        <v>46</v>
      </c>
      <c r="L1085" s="24" t="n">
        <f aca="false">DATE(YEAR(C1085),MONTH(C1085),1)</f>
        <v>43132</v>
      </c>
      <c r="M1085" s="21" t="n">
        <f aca="false">D1085-C1085</f>
        <v>5</v>
      </c>
      <c r="N1085" s="21" t="n">
        <f aca="false">MAX(0,D1085-E1085)</f>
        <v>0</v>
      </c>
      <c r="O1085" s="21" t="n">
        <f aca="false">IF(D1085&lt;=E1085,1,0)</f>
        <v>1</v>
      </c>
      <c r="P1085" s="23" t="n">
        <f aca="false">G1085+H1085</f>
        <v>69.35</v>
      </c>
      <c r="Q1085" s="23" t="n">
        <f aca="false">G1085*INDEX(Assumptions!$B$8:$B$16,MATCH(F1085,Assumptions!$A$8:$A$16,0))</f>
        <v>28.8434</v>
      </c>
      <c r="R1085" s="23" t="n">
        <f aca="false">H1085*Assumptions!$B$3</f>
        <v>11.772</v>
      </c>
      <c r="S1085" s="23" t="n">
        <f aca="false">G1085-Q1085-R1085</f>
        <v>9.1146</v>
      </c>
      <c r="T1085" s="21" t="str">
        <f aca="false">IF(M1085&lt;=7,"0-7 days",IF(M1085&lt;=14,"8-14 days",IF(M1085&lt;=21,"15-21 days","22+ days")))</f>
        <v>0-7 days</v>
      </c>
    </row>
    <row r="1086" customFormat="false" ht="15" hidden="false" customHeight="false" outlineLevel="0" collapsed="false">
      <c r="A1086" s="21" t="s">
        <v>1152</v>
      </c>
      <c r="B1086" s="21" t="s">
        <v>62</v>
      </c>
      <c r="C1086" s="22" t="n">
        <v>43155</v>
      </c>
      <c r="D1086" s="22" t="n">
        <v>43164</v>
      </c>
      <c r="E1086" s="22" t="n">
        <v>43175</v>
      </c>
      <c r="F1086" s="21" t="s">
        <v>53</v>
      </c>
      <c r="G1086" s="23" t="n">
        <v>186.97</v>
      </c>
      <c r="H1086" s="23" t="n">
        <v>31.66</v>
      </c>
      <c r="I1086" s="21" t="s">
        <v>45</v>
      </c>
      <c r="J1086" s="21" t="n">
        <v>5</v>
      </c>
      <c r="K1086" s="21" t="s">
        <v>46</v>
      </c>
      <c r="L1086" s="24" t="n">
        <f aca="false">DATE(YEAR(C1086),MONTH(C1086),1)</f>
        <v>43132</v>
      </c>
      <c r="M1086" s="21" t="n">
        <f aca="false">D1086-C1086</f>
        <v>9</v>
      </c>
      <c r="N1086" s="21" t="n">
        <f aca="false">MAX(0,D1086-E1086)</f>
        <v>0</v>
      </c>
      <c r="O1086" s="21" t="n">
        <f aca="false">IF(D1086&lt;=E1086,1,0)</f>
        <v>1</v>
      </c>
      <c r="P1086" s="23" t="n">
        <f aca="false">G1086+H1086</f>
        <v>218.63</v>
      </c>
      <c r="Q1086" s="23" t="n">
        <f aca="false">G1086*INDEX(Assumptions!$B$8:$B$16,MATCH(F1086,Assumptions!$A$8:$A$16,0))</f>
        <v>138.3578</v>
      </c>
      <c r="R1086" s="23" t="n">
        <f aca="false">H1086*Assumptions!$B$3</f>
        <v>18.996</v>
      </c>
      <c r="S1086" s="23" t="n">
        <f aca="false">G1086-Q1086-R1086</f>
        <v>29.6162</v>
      </c>
      <c r="T1086" s="21" t="str">
        <f aca="false">IF(M1086&lt;=7,"0-7 days",IF(M1086&lt;=14,"8-14 days",IF(M1086&lt;=21,"15-21 days","22+ days")))</f>
        <v>8-14 days</v>
      </c>
    </row>
    <row r="1087" customFormat="false" ht="15" hidden="false" customHeight="false" outlineLevel="0" collapsed="false">
      <c r="A1087" s="21" t="s">
        <v>1153</v>
      </c>
      <c r="B1087" s="21" t="s">
        <v>77</v>
      </c>
      <c r="C1087" s="22" t="n">
        <v>43156</v>
      </c>
      <c r="D1087" s="22" t="n">
        <v>43164</v>
      </c>
      <c r="E1087" s="22" t="n">
        <v>43181</v>
      </c>
      <c r="F1087" s="21" t="s">
        <v>44</v>
      </c>
      <c r="G1087" s="23" t="n">
        <v>122.4</v>
      </c>
      <c r="H1087" s="23" t="n">
        <v>28.71</v>
      </c>
      <c r="I1087" s="21" t="s">
        <v>60</v>
      </c>
      <c r="J1087" s="21" t="n">
        <v>5</v>
      </c>
      <c r="K1087" s="21" t="s">
        <v>46</v>
      </c>
      <c r="L1087" s="24" t="n">
        <f aca="false">DATE(YEAR(C1087),MONTH(C1087),1)</f>
        <v>43132</v>
      </c>
      <c r="M1087" s="21" t="n">
        <f aca="false">D1087-C1087</f>
        <v>8</v>
      </c>
      <c r="N1087" s="21" t="n">
        <f aca="false">MAX(0,D1087-E1087)</f>
        <v>0</v>
      </c>
      <c r="O1087" s="21" t="n">
        <f aca="false">IF(D1087&lt;=E1087,1,0)</f>
        <v>1</v>
      </c>
      <c r="P1087" s="23" t="n">
        <f aca="false">G1087+H1087</f>
        <v>151.11</v>
      </c>
      <c r="Q1087" s="23" t="n">
        <f aca="false">G1087*INDEX(Assumptions!$B$8:$B$16,MATCH(F1087,Assumptions!$A$8:$A$16,0))</f>
        <v>73.44</v>
      </c>
      <c r="R1087" s="23" t="n">
        <f aca="false">H1087*Assumptions!$B$3</f>
        <v>17.226</v>
      </c>
      <c r="S1087" s="23" t="n">
        <f aca="false">G1087-Q1087-R1087</f>
        <v>31.734</v>
      </c>
      <c r="T1087" s="21" t="str">
        <f aca="false">IF(M1087&lt;=7,"0-7 days",IF(M1087&lt;=14,"8-14 days",IF(M1087&lt;=21,"15-21 days","22+ days")))</f>
        <v>8-14 days</v>
      </c>
    </row>
    <row r="1088" customFormat="false" ht="15" hidden="false" customHeight="false" outlineLevel="0" collapsed="false">
      <c r="A1088" s="21" t="s">
        <v>1154</v>
      </c>
      <c r="B1088" s="21" t="s">
        <v>19</v>
      </c>
      <c r="C1088" s="22" t="n">
        <v>43156</v>
      </c>
      <c r="D1088" s="22" t="n">
        <v>43162</v>
      </c>
      <c r="E1088" s="22" t="n">
        <v>43170</v>
      </c>
      <c r="F1088" s="21" t="s">
        <v>59</v>
      </c>
      <c r="G1088" s="23" t="n">
        <v>214.43</v>
      </c>
      <c r="H1088" s="23" t="n">
        <v>19.72</v>
      </c>
      <c r="I1088" s="21" t="s">
        <v>60</v>
      </c>
      <c r="J1088" s="21" t="n">
        <v>5</v>
      </c>
      <c r="K1088" s="21" t="s">
        <v>46</v>
      </c>
      <c r="L1088" s="24" t="n">
        <f aca="false">DATE(YEAR(C1088),MONTH(C1088),1)</f>
        <v>43132</v>
      </c>
      <c r="M1088" s="21" t="n">
        <f aca="false">D1088-C1088</f>
        <v>6</v>
      </c>
      <c r="N1088" s="21" t="n">
        <f aca="false">MAX(0,D1088-E1088)</f>
        <v>0</v>
      </c>
      <c r="O1088" s="21" t="n">
        <f aca="false">IF(D1088&lt;=E1088,1,0)</f>
        <v>1</v>
      </c>
      <c r="P1088" s="23" t="n">
        <f aca="false">G1088+H1088</f>
        <v>234.15</v>
      </c>
      <c r="Q1088" s="23" t="n">
        <f aca="false">G1088*INDEX(Assumptions!$B$8:$B$16,MATCH(F1088,Assumptions!$A$8:$A$16,0))</f>
        <v>137.2352</v>
      </c>
      <c r="R1088" s="23" t="n">
        <f aca="false">H1088*Assumptions!$B$3</f>
        <v>11.832</v>
      </c>
      <c r="S1088" s="23" t="n">
        <f aca="false">G1088-Q1088-R1088</f>
        <v>65.3628</v>
      </c>
      <c r="T1088" s="21" t="str">
        <f aca="false">IF(M1088&lt;=7,"0-7 days",IF(M1088&lt;=14,"8-14 days",IF(M1088&lt;=21,"15-21 days","22+ days")))</f>
        <v>0-7 days</v>
      </c>
    </row>
    <row r="1089" customFormat="false" ht="15" hidden="false" customHeight="false" outlineLevel="0" collapsed="false">
      <c r="A1089" s="21" t="s">
        <v>1155</v>
      </c>
      <c r="B1089" s="21" t="s">
        <v>55</v>
      </c>
      <c r="C1089" s="22" t="n">
        <v>43156</v>
      </c>
      <c r="D1089" s="22" t="n">
        <v>43171</v>
      </c>
      <c r="E1089" s="22" t="n">
        <v>43177</v>
      </c>
      <c r="F1089" s="21" t="s">
        <v>79</v>
      </c>
      <c r="G1089" s="23" t="n">
        <v>144.6</v>
      </c>
      <c r="H1089" s="23" t="n">
        <v>28.09</v>
      </c>
      <c r="I1089" s="21" t="s">
        <v>45</v>
      </c>
      <c r="J1089" s="21" t="n">
        <v>4</v>
      </c>
      <c r="K1089" s="21" t="s">
        <v>46</v>
      </c>
      <c r="L1089" s="24" t="n">
        <f aca="false">DATE(YEAR(C1089),MONTH(C1089),1)</f>
        <v>43132</v>
      </c>
      <c r="M1089" s="21" t="n">
        <f aca="false">D1089-C1089</f>
        <v>15</v>
      </c>
      <c r="N1089" s="21" t="n">
        <f aca="false">MAX(0,D1089-E1089)</f>
        <v>0</v>
      </c>
      <c r="O1089" s="21" t="n">
        <f aca="false">IF(D1089&lt;=E1089,1,0)</f>
        <v>1</v>
      </c>
      <c r="P1089" s="23" t="n">
        <f aca="false">G1089+H1089</f>
        <v>172.69</v>
      </c>
      <c r="Q1089" s="23" t="n">
        <f aca="false">G1089*INDEX(Assumptions!$B$8:$B$16,MATCH(F1089,Assumptions!$A$8:$A$16,0))</f>
        <v>101.22</v>
      </c>
      <c r="R1089" s="23" t="n">
        <f aca="false">H1089*Assumptions!$B$3</f>
        <v>16.854</v>
      </c>
      <c r="S1089" s="23" t="n">
        <f aca="false">G1089-Q1089-R1089</f>
        <v>26.526</v>
      </c>
      <c r="T1089" s="21" t="str">
        <f aca="false">IF(M1089&lt;=7,"0-7 days",IF(M1089&lt;=14,"8-14 days",IF(M1089&lt;=21,"15-21 days","22+ days")))</f>
        <v>15-21 days</v>
      </c>
    </row>
    <row r="1090" customFormat="false" ht="15" hidden="false" customHeight="false" outlineLevel="0" collapsed="false">
      <c r="A1090" s="21" t="s">
        <v>1156</v>
      </c>
      <c r="B1090" s="21" t="s">
        <v>19</v>
      </c>
      <c r="C1090" s="22" t="n">
        <v>43156</v>
      </c>
      <c r="D1090" s="22" t="n">
        <v>43167</v>
      </c>
      <c r="E1090" s="22" t="n">
        <v>43172</v>
      </c>
      <c r="F1090" s="21" t="s">
        <v>79</v>
      </c>
      <c r="G1090" s="23" t="n">
        <v>100.75</v>
      </c>
      <c r="H1090" s="23" t="n">
        <v>12.98</v>
      </c>
      <c r="I1090" s="21" t="s">
        <v>60</v>
      </c>
      <c r="J1090" s="21" t="n">
        <v>4</v>
      </c>
      <c r="K1090" s="21" t="s">
        <v>46</v>
      </c>
      <c r="L1090" s="24" t="n">
        <f aca="false">DATE(YEAR(C1090),MONTH(C1090),1)</f>
        <v>43132</v>
      </c>
      <c r="M1090" s="21" t="n">
        <f aca="false">D1090-C1090</f>
        <v>11</v>
      </c>
      <c r="N1090" s="21" t="n">
        <f aca="false">MAX(0,D1090-E1090)</f>
        <v>0</v>
      </c>
      <c r="O1090" s="21" t="n">
        <f aca="false">IF(D1090&lt;=E1090,1,0)</f>
        <v>1</v>
      </c>
      <c r="P1090" s="23" t="n">
        <f aca="false">G1090+H1090</f>
        <v>113.73</v>
      </c>
      <c r="Q1090" s="23" t="n">
        <f aca="false">G1090*INDEX(Assumptions!$B$8:$B$16,MATCH(F1090,Assumptions!$A$8:$A$16,0))</f>
        <v>70.525</v>
      </c>
      <c r="R1090" s="23" t="n">
        <f aca="false">H1090*Assumptions!$B$3</f>
        <v>7.788</v>
      </c>
      <c r="S1090" s="23" t="n">
        <f aca="false">G1090-Q1090-R1090</f>
        <v>22.437</v>
      </c>
      <c r="T1090" s="21" t="str">
        <f aca="false">IF(M1090&lt;=7,"0-7 days",IF(M1090&lt;=14,"8-14 days",IF(M1090&lt;=21,"15-21 days","22+ days")))</f>
        <v>8-14 days</v>
      </c>
    </row>
    <row r="1091" customFormat="false" ht="15" hidden="false" customHeight="false" outlineLevel="0" collapsed="false">
      <c r="A1091" s="21" t="s">
        <v>1157</v>
      </c>
      <c r="B1091" s="21" t="s">
        <v>62</v>
      </c>
      <c r="C1091" s="22" t="n">
        <v>43156</v>
      </c>
      <c r="D1091" s="22" t="n">
        <v>43166</v>
      </c>
      <c r="E1091" s="22" t="n">
        <v>43177</v>
      </c>
      <c r="F1091" s="21" t="s">
        <v>67</v>
      </c>
      <c r="G1091" s="23" t="n">
        <v>240.98</v>
      </c>
      <c r="H1091" s="23" t="n">
        <v>32.26</v>
      </c>
      <c r="I1091" s="21" t="s">
        <v>45</v>
      </c>
      <c r="J1091" s="21" t="n">
        <v>5</v>
      </c>
      <c r="K1091" s="21" t="s">
        <v>46</v>
      </c>
      <c r="L1091" s="24" t="n">
        <f aca="false">DATE(YEAR(C1091),MONTH(C1091),1)</f>
        <v>43132</v>
      </c>
      <c r="M1091" s="21" t="n">
        <f aca="false">D1091-C1091</f>
        <v>10</v>
      </c>
      <c r="N1091" s="21" t="n">
        <f aca="false">MAX(0,D1091-E1091)</f>
        <v>0</v>
      </c>
      <c r="O1091" s="21" t="n">
        <f aca="false">IF(D1091&lt;=E1091,1,0)</f>
        <v>1</v>
      </c>
      <c r="P1091" s="23" t="n">
        <f aca="false">G1091+H1091</f>
        <v>273.24</v>
      </c>
      <c r="Q1091" s="23" t="n">
        <f aca="false">G1091*INDEX(Assumptions!$B$8:$B$16,MATCH(F1091,Assumptions!$A$8:$A$16,0))</f>
        <v>149.4076</v>
      </c>
      <c r="R1091" s="23" t="n">
        <f aca="false">H1091*Assumptions!$B$3</f>
        <v>19.356</v>
      </c>
      <c r="S1091" s="23" t="n">
        <f aca="false">G1091-Q1091-R1091</f>
        <v>72.2164</v>
      </c>
      <c r="T1091" s="21" t="str">
        <f aca="false">IF(M1091&lt;=7,"0-7 days",IF(M1091&lt;=14,"8-14 days",IF(M1091&lt;=21,"15-21 days","22+ days")))</f>
        <v>8-14 days</v>
      </c>
    </row>
    <row r="1092" customFormat="false" ht="15" hidden="false" customHeight="false" outlineLevel="0" collapsed="false">
      <c r="A1092" s="21" t="s">
        <v>1158</v>
      </c>
      <c r="B1092" s="21" t="s">
        <v>19</v>
      </c>
      <c r="C1092" s="22" t="n">
        <v>43156</v>
      </c>
      <c r="D1092" s="22" t="n">
        <v>43164</v>
      </c>
      <c r="E1092" s="22" t="n">
        <v>43170</v>
      </c>
      <c r="F1092" s="21" t="s">
        <v>53</v>
      </c>
      <c r="G1092" s="23" t="n">
        <v>105.31</v>
      </c>
      <c r="H1092" s="23" t="n">
        <v>13.4</v>
      </c>
      <c r="I1092" s="21" t="s">
        <v>45</v>
      </c>
      <c r="J1092" s="21" t="n">
        <v>5</v>
      </c>
      <c r="K1092" s="21" t="s">
        <v>46</v>
      </c>
      <c r="L1092" s="24" t="n">
        <f aca="false">DATE(YEAR(C1092),MONTH(C1092),1)</f>
        <v>43132</v>
      </c>
      <c r="M1092" s="21" t="n">
        <f aca="false">D1092-C1092</f>
        <v>8</v>
      </c>
      <c r="N1092" s="21" t="n">
        <f aca="false">MAX(0,D1092-E1092)</f>
        <v>0</v>
      </c>
      <c r="O1092" s="21" t="n">
        <f aca="false">IF(D1092&lt;=E1092,1,0)</f>
        <v>1</v>
      </c>
      <c r="P1092" s="23" t="n">
        <f aca="false">G1092+H1092</f>
        <v>118.71</v>
      </c>
      <c r="Q1092" s="23" t="n">
        <f aca="false">G1092*INDEX(Assumptions!$B$8:$B$16,MATCH(F1092,Assumptions!$A$8:$A$16,0))</f>
        <v>77.9294</v>
      </c>
      <c r="R1092" s="23" t="n">
        <f aca="false">H1092*Assumptions!$B$3</f>
        <v>8.04</v>
      </c>
      <c r="S1092" s="23" t="n">
        <f aca="false">G1092-Q1092-R1092</f>
        <v>19.3406</v>
      </c>
      <c r="T1092" s="21" t="str">
        <f aca="false">IF(M1092&lt;=7,"0-7 days",IF(M1092&lt;=14,"8-14 days",IF(M1092&lt;=21,"15-21 days","22+ days")))</f>
        <v>8-14 days</v>
      </c>
    </row>
    <row r="1093" customFormat="false" ht="15" hidden="false" customHeight="false" outlineLevel="0" collapsed="false">
      <c r="A1093" s="21" t="s">
        <v>1159</v>
      </c>
      <c r="B1093" s="21" t="s">
        <v>19</v>
      </c>
      <c r="C1093" s="22" t="n">
        <v>43156</v>
      </c>
      <c r="D1093" s="22" t="n">
        <v>43164</v>
      </c>
      <c r="E1093" s="22" t="n">
        <v>43168</v>
      </c>
      <c r="F1093" s="21" t="s">
        <v>67</v>
      </c>
      <c r="G1093" s="23" t="n">
        <v>74.96</v>
      </c>
      <c r="H1093" s="23" t="n">
        <v>17.42</v>
      </c>
      <c r="I1093" s="21" t="s">
        <v>45</v>
      </c>
      <c r="J1093" s="21" t="n">
        <v>5</v>
      </c>
      <c r="K1093" s="21" t="s">
        <v>46</v>
      </c>
      <c r="L1093" s="24" t="n">
        <f aca="false">DATE(YEAR(C1093),MONTH(C1093),1)</f>
        <v>43132</v>
      </c>
      <c r="M1093" s="21" t="n">
        <f aca="false">D1093-C1093</f>
        <v>8</v>
      </c>
      <c r="N1093" s="21" t="n">
        <f aca="false">MAX(0,D1093-E1093)</f>
        <v>0</v>
      </c>
      <c r="O1093" s="21" t="n">
        <f aca="false">IF(D1093&lt;=E1093,1,0)</f>
        <v>1</v>
      </c>
      <c r="P1093" s="23" t="n">
        <f aca="false">G1093+H1093</f>
        <v>92.38</v>
      </c>
      <c r="Q1093" s="23" t="n">
        <f aca="false">G1093*INDEX(Assumptions!$B$8:$B$16,MATCH(F1093,Assumptions!$A$8:$A$16,0))</f>
        <v>46.4752</v>
      </c>
      <c r="R1093" s="23" t="n">
        <f aca="false">H1093*Assumptions!$B$3</f>
        <v>10.452</v>
      </c>
      <c r="S1093" s="23" t="n">
        <f aca="false">G1093-Q1093-R1093</f>
        <v>18.0328</v>
      </c>
      <c r="T1093" s="21" t="str">
        <f aca="false">IF(M1093&lt;=7,"0-7 days",IF(M1093&lt;=14,"8-14 days",IF(M1093&lt;=21,"15-21 days","22+ days")))</f>
        <v>8-14 days</v>
      </c>
    </row>
    <row r="1094" customFormat="false" ht="15" hidden="false" customHeight="false" outlineLevel="0" collapsed="false">
      <c r="A1094" s="21" t="s">
        <v>1160</v>
      </c>
      <c r="B1094" s="21" t="s">
        <v>55</v>
      </c>
      <c r="C1094" s="22" t="n">
        <v>43157</v>
      </c>
      <c r="D1094" s="22" t="n">
        <v>43173</v>
      </c>
      <c r="E1094" s="22" t="n">
        <v>43182</v>
      </c>
      <c r="F1094" s="21" t="s">
        <v>67</v>
      </c>
      <c r="G1094" s="23" t="n">
        <v>120.04</v>
      </c>
      <c r="H1094" s="23" t="n">
        <v>30.95</v>
      </c>
      <c r="I1094" s="21" t="s">
        <v>60</v>
      </c>
      <c r="J1094" s="21" t="n">
        <v>4</v>
      </c>
      <c r="K1094" s="21" t="s">
        <v>46</v>
      </c>
      <c r="L1094" s="24" t="n">
        <f aca="false">DATE(YEAR(C1094),MONTH(C1094),1)</f>
        <v>43132</v>
      </c>
      <c r="M1094" s="21" t="n">
        <f aca="false">D1094-C1094</f>
        <v>16</v>
      </c>
      <c r="N1094" s="21" t="n">
        <f aca="false">MAX(0,D1094-E1094)</f>
        <v>0</v>
      </c>
      <c r="O1094" s="21" t="n">
        <f aca="false">IF(D1094&lt;=E1094,1,0)</f>
        <v>1</v>
      </c>
      <c r="P1094" s="23" t="n">
        <f aca="false">G1094+H1094</f>
        <v>150.99</v>
      </c>
      <c r="Q1094" s="23" t="n">
        <f aca="false">G1094*INDEX(Assumptions!$B$8:$B$16,MATCH(F1094,Assumptions!$A$8:$A$16,0))</f>
        <v>74.4248</v>
      </c>
      <c r="R1094" s="23" t="n">
        <f aca="false">H1094*Assumptions!$B$3</f>
        <v>18.57</v>
      </c>
      <c r="S1094" s="23" t="n">
        <f aca="false">G1094-Q1094-R1094</f>
        <v>27.0452</v>
      </c>
      <c r="T1094" s="21" t="str">
        <f aca="false">IF(M1094&lt;=7,"0-7 days",IF(M1094&lt;=14,"8-14 days",IF(M1094&lt;=21,"15-21 days","22+ days")))</f>
        <v>15-21 days</v>
      </c>
    </row>
    <row r="1095" customFormat="false" ht="15" hidden="false" customHeight="false" outlineLevel="0" collapsed="false">
      <c r="A1095" s="21" t="s">
        <v>1161</v>
      </c>
      <c r="B1095" s="21" t="s">
        <v>77</v>
      </c>
      <c r="C1095" s="22" t="n">
        <v>43157</v>
      </c>
      <c r="D1095" s="22" t="n">
        <v>43167</v>
      </c>
      <c r="E1095" s="22" t="n">
        <v>43182</v>
      </c>
      <c r="F1095" s="21" t="s">
        <v>49</v>
      </c>
      <c r="G1095" s="23" t="n">
        <v>178.69</v>
      </c>
      <c r="H1095" s="23" t="n">
        <v>25.82</v>
      </c>
      <c r="I1095" s="21" t="s">
        <v>60</v>
      </c>
      <c r="J1095" s="21" t="n">
        <v>4</v>
      </c>
      <c r="K1095" s="21" t="s">
        <v>46</v>
      </c>
      <c r="L1095" s="24" t="n">
        <f aca="false">DATE(YEAR(C1095),MONTH(C1095),1)</f>
        <v>43132</v>
      </c>
      <c r="M1095" s="21" t="n">
        <f aca="false">D1095-C1095</f>
        <v>10</v>
      </c>
      <c r="N1095" s="21" t="n">
        <f aca="false">MAX(0,D1095-E1095)</f>
        <v>0</v>
      </c>
      <c r="O1095" s="21" t="n">
        <f aca="false">IF(D1095&lt;=E1095,1,0)</f>
        <v>1</v>
      </c>
      <c r="P1095" s="23" t="n">
        <f aca="false">G1095+H1095</f>
        <v>204.51</v>
      </c>
      <c r="Q1095" s="23" t="n">
        <f aca="false">G1095*INDEX(Assumptions!$B$8:$B$16,MATCH(F1095,Assumptions!$A$8:$A$16,0))</f>
        <v>103.6402</v>
      </c>
      <c r="R1095" s="23" t="n">
        <f aca="false">H1095*Assumptions!$B$3</f>
        <v>15.492</v>
      </c>
      <c r="S1095" s="23" t="n">
        <f aca="false">G1095-Q1095-R1095</f>
        <v>59.5578</v>
      </c>
      <c r="T1095" s="21" t="str">
        <f aca="false">IF(M1095&lt;=7,"0-7 days",IF(M1095&lt;=14,"8-14 days",IF(M1095&lt;=21,"15-21 days","22+ days")))</f>
        <v>8-14 days</v>
      </c>
    </row>
    <row r="1096" customFormat="false" ht="15" hidden="false" customHeight="false" outlineLevel="0" collapsed="false">
      <c r="A1096" s="21" t="s">
        <v>1162</v>
      </c>
      <c r="B1096" s="21" t="s">
        <v>55</v>
      </c>
      <c r="C1096" s="22" t="n">
        <v>43157</v>
      </c>
      <c r="D1096" s="22" t="n">
        <v>43166</v>
      </c>
      <c r="E1096" s="22" t="n">
        <v>43179</v>
      </c>
      <c r="F1096" s="21" t="s">
        <v>67</v>
      </c>
      <c r="G1096" s="23" t="n">
        <v>83.64</v>
      </c>
      <c r="H1096" s="23" t="n">
        <v>20.78</v>
      </c>
      <c r="I1096" s="21" t="s">
        <v>60</v>
      </c>
      <c r="J1096" s="21" t="n">
        <v>5</v>
      </c>
      <c r="K1096" s="21" t="s">
        <v>46</v>
      </c>
      <c r="L1096" s="24" t="n">
        <f aca="false">DATE(YEAR(C1096),MONTH(C1096),1)</f>
        <v>43132</v>
      </c>
      <c r="M1096" s="21" t="n">
        <f aca="false">D1096-C1096</f>
        <v>9</v>
      </c>
      <c r="N1096" s="21" t="n">
        <f aca="false">MAX(0,D1096-E1096)</f>
        <v>0</v>
      </c>
      <c r="O1096" s="21" t="n">
        <f aca="false">IF(D1096&lt;=E1096,1,0)</f>
        <v>1</v>
      </c>
      <c r="P1096" s="23" t="n">
        <f aca="false">G1096+H1096</f>
        <v>104.42</v>
      </c>
      <c r="Q1096" s="23" t="n">
        <f aca="false">G1096*INDEX(Assumptions!$B$8:$B$16,MATCH(F1096,Assumptions!$A$8:$A$16,0))</f>
        <v>51.8568</v>
      </c>
      <c r="R1096" s="23" t="n">
        <f aca="false">H1096*Assumptions!$B$3</f>
        <v>12.468</v>
      </c>
      <c r="S1096" s="23" t="n">
        <f aca="false">G1096-Q1096-R1096</f>
        <v>19.3152</v>
      </c>
      <c r="T1096" s="21" t="str">
        <f aca="false">IF(M1096&lt;=7,"0-7 days",IF(M1096&lt;=14,"8-14 days",IF(M1096&lt;=21,"15-21 days","22+ days")))</f>
        <v>8-14 days</v>
      </c>
    </row>
    <row r="1097" customFormat="false" ht="15" hidden="false" customHeight="false" outlineLevel="0" collapsed="false">
      <c r="A1097" s="21" t="s">
        <v>1163</v>
      </c>
      <c r="B1097" s="21" t="s">
        <v>19</v>
      </c>
      <c r="C1097" s="22" t="n">
        <v>43157</v>
      </c>
      <c r="D1097" s="22" t="n">
        <v>43171</v>
      </c>
      <c r="E1097" s="22" t="n">
        <v>43171</v>
      </c>
      <c r="F1097" s="21" t="s">
        <v>67</v>
      </c>
      <c r="G1097" s="23" t="n">
        <v>47.34</v>
      </c>
      <c r="H1097" s="23" t="n">
        <v>11.8</v>
      </c>
      <c r="I1097" s="21" t="s">
        <v>45</v>
      </c>
      <c r="J1097" s="21" t="n">
        <v>5</v>
      </c>
      <c r="K1097" s="21" t="s">
        <v>46</v>
      </c>
      <c r="L1097" s="24" t="n">
        <f aca="false">DATE(YEAR(C1097),MONTH(C1097),1)</f>
        <v>43132</v>
      </c>
      <c r="M1097" s="21" t="n">
        <f aca="false">D1097-C1097</f>
        <v>14</v>
      </c>
      <c r="N1097" s="21" t="n">
        <f aca="false">MAX(0,D1097-E1097)</f>
        <v>0</v>
      </c>
      <c r="O1097" s="21" t="n">
        <f aca="false">IF(D1097&lt;=E1097,1,0)</f>
        <v>1</v>
      </c>
      <c r="P1097" s="23" t="n">
        <f aca="false">G1097+H1097</f>
        <v>59.14</v>
      </c>
      <c r="Q1097" s="23" t="n">
        <f aca="false">G1097*INDEX(Assumptions!$B$8:$B$16,MATCH(F1097,Assumptions!$A$8:$A$16,0))</f>
        <v>29.3508</v>
      </c>
      <c r="R1097" s="23" t="n">
        <f aca="false">H1097*Assumptions!$B$3</f>
        <v>7.08</v>
      </c>
      <c r="S1097" s="23" t="n">
        <f aca="false">G1097-Q1097-R1097</f>
        <v>10.9092</v>
      </c>
      <c r="T1097" s="21" t="str">
        <f aca="false">IF(M1097&lt;=7,"0-7 days",IF(M1097&lt;=14,"8-14 days",IF(M1097&lt;=21,"15-21 days","22+ days")))</f>
        <v>8-14 days</v>
      </c>
    </row>
    <row r="1098" customFormat="false" ht="15" hidden="false" customHeight="false" outlineLevel="0" collapsed="false">
      <c r="A1098" s="21" t="s">
        <v>1164</v>
      </c>
      <c r="B1098" s="21" t="s">
        <v>19</v>
      </c>
      <c r="C1098" s="22" t="n">
        <v>43158</v>
      </c>
      <c r="D1098" s="22" t="n">
        <v>43164</v>
      </c>
      <c r="E1098" s="22" t="n">
        <v>43172</v>
      </c>
      <c r="F1098" s="21" t="s">
        <v>44</v>
      </c>
      <c r="G1098" s="23" t="n">
        <v>23.7</v>
      </c>
      <c r="H1098" s="23" t="n">
        <v>18.58</v>
      </c>
      <c r="I1098" s="21" t="s">
        <v>60</v>
      </c>
      <c r="J1098" s="21" t="n">
        <v>4</v>
      </c>
      <c r="K1098" s="21" t="s">
        <v>46</v>
      </c>
      <c r="L1098" s="24" t="n">
        <f aca="false">DATE(YEAR(C1098),MONTH(C1098),1)</f>
        <v>43132</v>
      </c>
      <c r="M1098" s="21" t="n">
        <f aca="false">D1098-C1098</f>
        <v>6</v>
      </c>
      <c r="N1098" s="21" t="n">
        <f aca="false">MAX(0,D1098-E1098)</f>
        <v>0</v>
      </c>
      <c r="O1098" s="21" t="n">
        <f aca="false">IF(D1098&lt;=E1098,1,0)</f>
        <v>1</v>
      </c>
      <c r="P1098" s="23" t="n">
        <f aca="false">G1098+H1098</f>
        <v>42.28</v>
      </c>
      <c r="Q1098" s="23" t="n">
        <f aca="false">G1098*INDEX(Assumptions!$B$8:$B$16,MATCH(F1098,Assumptions!$A$8:$A$16,0))</f>
        <v>14.22</v>
      </c>
      <c r="R1098" s="23" t="n">
        <f aca="false">H1098*Assumptions!$B$3</f>
        <v>11.148</v>
      </c>
      <c r="S1098" s="23" t="n">
        <f aca="false">G1098-Q1098-R1098</f>
        <v>-1.668</v>
      </c>
      <c r="T1098" s="21" t="str">
        <f aca="false">IF(M1098&lt;=7,"0-7 days",IF(M1098&lt;=14,"8-14 days",IF(M1098&lt;=21,"15-21 days","22+ days")))</f>
        <v>0-7 days</v>
      </c>
    </row>
    <row r="1099" customFormat="false" ht="15" hidden="false" customHeight="false" outlineLevel="0" collapsed="false">
      <c r="A1099" s="21" t="s">
        <v>1165</v>
      </c>
      <c r="B1099" s="21" t="s">
        <v>62</v>
      </c>
      <c r="C1099" s="22" t="n">
        <v>43158</v>
      </c>
      <c r="D1099" s="22" t="n">
        <v>43175</v>
      </c>
      <c r="E1099" s="22" t="n">
        <v>43182</v>
      </c>
      <c r="F1099" s="21" t="s">
        <v>59</v>
      </c>
      <c r="G1099" s="23" t="n">
        <v>99.94</v>
      </c>
      <c r="H1099" s="23" t="n">
        <v>27.75</v>
      </c>
      <c r="I1099" s="21" t="s">
        <v>45</v>
      </c>
      <c r="J1099" s="21" t="n">
        <v>5</v>
      </c>
      <c r="K1099" s="21" t="s">
        <v>46</v>
      </c>
      <c r="L1099" s="24" t="n">
        <f aca="false">DATE(YEAR(C1099),MONTH(C1099),1)</f>
        <v>43132</v>
      </c>
      <c r="M1099" s="21" t="n">
        <f aca="false">D1099-C1099</f>
        <v>17</v>
      </c>
      <c r="N1099" s="21" t="n">
        <f aca="false">MAX(0,D1099-E1099)</f>
        <v>0</v>
      </c>
      <c r="O1099" s="21" t="n">
        <f aca="false">IF(D1099&lt;=E1099,1,0)</f>
        <v>1</v>
      </c>
      <c r="P1099" s="23" t="n">
        <f aca="false">G1099+H1099</f>
        <v>127.69</v>
      </c>
      <c r="Q1099" s="23" t="n">
        <f aca="false">G1099*INDEX(Assumptions!$B$8:$B$16,MATCH(F1099,Assumptions!$A$8:$A$16,0))</f>
        <v>63.9616</v>
      </c>
      <c r="R1099" s="23" t="n">
        <f aca="false">H1099*Assumptions!$B$3</f>
        <v>16.65</v>
      </c>
      <c r="S1099" s="23" t="n">
        <f aca="false">G1099-Q1099-R1099</f>
        <v>19.3284</v>
      </c>
      <c r="T1099" s="21" t="str">
        <f aca="false">IF(M1099&lt;=7,"0-7 days",IF(M1099&lt;=14,"8-14 days",IF(M1099&lt;=21,"15-21 days","22+ days")))</f>
        <v>15-21 days</v>
      </c>
    </row>
    <row r="1100" customFormat="false" ht="15" hidden="false" customHeight="false" outlineLevel="0" collapsed="false">
      <c r="A1100" s="21" t="s">
        <v>1166</v>
      </c>
      <c r="B1100" s="21" t="s">
        <v>55</v>
      </c>
      <c r="C1100" s="22" t="n">
        <v>43158</v>
      </c>
      <c r="D1100" s="22" t="n">
        <v>43170</v>
      </c>
      <c r="E1100" s="22" t="n">
        <v>43182</v>
      </c>
      <c r="F1100" s="21" t="s">
        <v>111</v>
      </c>
      <c r="G1100" s="23" t="n">
        <v>98.78</v>
      </c>
      <c r="H1100" s="23" t="n">
        <v>17.96</v>
      </c>
      <c r="I1100" s="21" t="s">
        <v>60</v>
      </c>
      <c r="J1100" s="21" t="n">
        <v>3</v>
      </c>
      <c r="K1100" s="21" t="s">
        <v>46</v>
      </c>
      <c r="L1100" s="24" t="n">
        <f aca="false">DATE(YEAR(C1100),MONTH(C1100),1)</f>
        <v>43132</v>
      </c>
      <c r="M1100" s="21" t="n">
        <f aca="false">D1100-C1100</f>
        <v>12</v>
      </c>
      <c r="N1100" s="21" t="n">
        <f aca="false">MAX(0,D1100-E1100)</f>
        <v>0</v>
      </c>
      <c r="O1100" s="21" t="n">
        <f aca="false">IF(D1100&lt;=E1100,1,0)</f>
        <v>1</v>
      </c>
      <c r="P1100" s="23" t="n">
        <f aca="false">G1100+H1100</f>
        <v>116.74</v>
      </c>
      <c r="Q1100" s="23" t="n">
        <f aca="false">G1100*INDEX(Assumptions!$B$8:$B$16,MATCH(F1100,Assumptions!$A$8:$A$16,0))</f>
        <v>62.2314</v>
      </c>
      <c r="R1100" s="23" t="n">
        <f aca="false">H1100*Assumptions!$B$3</f>
        <v>10.776</v>
      </c>
      <c r="S1100" s="23" t="n">
        <f aca="false">G1100-Q1100-R1100</f>
        <v>25.7726</v>
      </c>
      <c r="T1100" s="21" t="str">
        <f aca="false">IF(M1100&lt;=7,"0-7 days",IF(M1100&lt;=14,"8-14 days",IF(M1100&lt;=21,"15-21 days","22+ days")))</f>
        <v>8-14 days</v>
      </c>
    </row>
    <row r="1101" customFormat="false" ht="15" hidden="false" customHeight="false" outlineLevel="0" collapsed="false">
      <c r="A1101" s="21" t="s">
        <v>1167</v>
      </c>
      <c r="B1101" s="21" t="s">
        <v>19</v>
      </c>
      <c r="C1101" s="22" t="n">
        <v>43158</v>
      </c>
      <c r="D1101" s="22" t="n">
        <v>43169</v>
      </c>
      <c r="E1101" s="22" t="n">
        <v>43174</v>
      </c>
      <c r="F1101" s="21" t="s">
        <v>79</v>
      </c>
      <c r="G1101" s="23" t="n">
        <v>117.21</v>
      </c>
      <c r="H1101" s="23" t="n">
        <v>18</v>
      </c>
      <c r="I1101" s="21" t="s">
        <v>45</v>
      </c>
      <c r="J1101" s="21" t="n">
        <v>5</v>
      </c>
      <c r="K1101" s="21" t="s">
        <v>46</v>
      </c>
      <c r="L1101" s="24" t="n">
        <f aca="false">DATE(YEAR(C1101),MONTH(C1101),1)</f>
        <v>43132</v>
      </c>
      <c r="M1101" s="21" t="n">
        <f aca="false">D1101-C1101</f>
        <v>11</v>
      </c>
      <c r="N1101" s="21" t="n">
        <f aca="false">MAX(0,D1101-E1101)</f>
        <v>0</v>
      </c>
      <c r="O1101" s="21" t="n">
        <f aca="false">IF(D1101&lt;=E1101,1,0)</f>
        <v>1</v>
      </c>
      <c r="P1101" s="23" t="n">
        <f aca="false">G1101+H1101</f>
        <v>135.21</v>
      </c>
      <c r="Q1101" s="23" t="n">
        <f aca="false">G1101*INDEX(Assumptions!$B$8:$B$16,MATCH(F1101,Assumptions!$A$8:$A$16,0))</f>
        <v>82.047</v>
      </c>
      <c r="R1101" s="23" t="n">
        <f aca="false">H1101*Assumptions!$B$3</f>
        <v>10.8</v>
      </c>
      <c r="S1101" s="23" t="n">
        <f aca="false">G1101-Q1101-R1101</f>
        <v>24.363</v>
      </c>
      <c r="T1101" s="21" t="str">
        <f aca="false">IF(M1101&lt;=7,"0-7 days",IF(M1101&lt;=14,"8-14 days",IF(M1101&lt;=21,"15-21 days","22+ days")))</f>
        <v>8-14 days</v>
      </c>
    </row>
    <row r="1102" customFormat="false" ht="15" hidden="false" customHeight="false" outlineLevel="0" collapsed="false">
      <c r="A1102" s="21" t="s">
        <v>1168</v>
      </c>
      <c r="B1102" s="21" t="s">
        <v>93</v>
      </c>
      <c r="C1102" s="22" t="n">
        <v>43158</v>
      </c>
      <c r="D1102" s="22" t="n">
        <v>43174</v>
      </c>
      <c r="E1102" s="22" t="n">
        <v>43188</v>
      </c>
      <c r="F1102" s="21" t="s">
        <v>79</v>
      </c>
      <c r="G1102" s="23" t="n">
        <v>48.3</v>
      </c>
      <c r="H1102" s="23" t="n">
        <v>24.45</v>
      </c>
      <c r="I1102" s="21" t="s">
        <v>45</v>
      </c>
      <c r="J1102" s="21" t="n">
        <v>4</v>
      </c>
      <c r="K1102" s="21" t="s">
        <v>46</v>
      </c>
      <c r="L1102" s="24" t="n">
        <f aca="false">DATE(YEAR(C1102),MONTH(C1102),1)</f>
        <v>43132</v>
      </c>
      <c r="M1102" s="21" t="n">
        <f aca="false">D1102-C1102</f>
        <v>16</v>
      </c>
      <c r="N1102" s="21" t="n">
        <f aca="false">MAX(0,D1102-E1102)</f>
        <v>0</v>
      </c>
      <c r="O1102" s="21" t="n">
        <f aca="false">IF(D1102&lt;=E1102,1,0)</f>
        <v>1</v>
      </c>
      <c r="P1102" s="23" t="n">
        <f aca="false">G1102+H1102</f>
        <v>72.75</v>
      </c>
      <c r="Q1102" s="23" t="n">
        <f aca="false">G1102*INDEX(Assumptions!$B$8:$B$16,MATCH(F1102,Assumptions!$A$8:$A$16,0))</f>
        <v>33.81</v>
      </c>
      <c r="R1102" s="23" t="n">
        <f aca="false">H1102*Assumptions!$B$3</f>
        <v>14.67</v>
      </c>
      <c r="S1102" s="23" t="n">
        <f aca="false">G1102-Q1102-R1102</f>
        <v>-0.179999999999996</v>
      </c>
      <c r="T1102" s="21" t="str">
        <f aca="false">IF(M1102&lt;=7,"0-7 days",IF(M1102&lt;=14,"8-14 days",IF(M1102&lt;=21,"15-21 days","22+ days")))</f>
        <v>15-21 days</v>
      </c>
    </row>
    <row r="1103" customFormat="false" ht="15" hidden="false" customHeight="false" outlineLevel="0" collapsed="false">
      <c r="A1103" s="21" t="s">
        <v>1169</v>
      </c>
      <c r="B1103" s="21" t="s">
        <v>55</v>
      </c>
      <c r="C1103" s="22" t="n">
        <v>43159</v>
      </c>
      <c r="D1103" s="22" t="n">
        <v>43170</v>
      </c>
      <c r="E1103" s="22" t="n">
        <v>43182</v>
      </c>
      <c r="F1103" s="21" t="s">
        <v>67</v>
      </c>
      <c r="G1103" s="23" t="n">
        <v>84.17</v>
      </c>
      <c r="H1103" s="23" t="n">
        <v>19.38</v>
      </c>
      <c r="I1103" s="21" t="s">
        <v>45</v>
      </c>
      <c r="J1103" s="21" t="n">
        <v>3</v>
      </c>
      <c r="K1103" s="21" t="s">
        <v>46</v>
      </c>
      <c r="L1103" s="24" t="n">
        <f aca="false">DATE(YEAR(C1103),MONTH(C1103),1)</f>
        <v>43132</v>
      </c>
      <c r="M1103" s="21" t="n">
        <f aca="false">D1103-C1103</f>
        <v>11</v>
      </c>
      <c r="N1103" s="21" t="n">
        <f aca="false">MAX(0,D1103-E1103)</f>
        <v>0</v>
      </c>
      <c r="O1103" s="21" t="n">
        <f aca="false">IF(D1103&lt;=E1103,1,0)</f>
        <v>1</v>
      </c>
      <c r="P1103" s="23" t="n">
        <f aca="false">G1103+H1103</f>
        <v>103.55</v>
      </c>
      <c r="Q1103" s="23" t="n">
        <f aca="false">G1103*INDEX(Assumptions!$B$8:$B$16,MATCH(F1103,Assumptions!$A$8:$A$16,0))</f>
        <v>52.1854</v>
      </c>
      <c r="R1103" s="23" t="n">
        <f aca="false">H1103*Assumptions!$B$3</f>
        <v>11.628</v>
      </c>
      <c r="S1103" s="23" t="n">
        <f aca="false">G1103-Q1103-R1103</f>
        <v>20.3566</v>
      </c>
      <c r="T1103" s="21" t="str">
        <f aca="false">IF(M1103&lt;=7,"0-7 days",IF(M1103&lt;=14,"8-14 days",IF(M1103&lt;=21,"15-21 days","22+ days")))</f>
        <v>8-14 days</v>
      </c>
    </row>
    <row r="1104" customFormat="false" ht="15" hidden="false" customHeight="false" outlineLevel="0" collapsed="false">
      <c r="A1104" s="21" t="s">
        <v>1170</v>
      </c>
      <c r="B1104" s="21" t="s">
        <v>48</v>
      </c>
      <c r="C1104" s="22" t="n">
        <v>43159</v>
      </c>
      <c r="D1104" s="22" t="n">
        <v>43171</v>
      </c>
      <c r="E1104" s="22" t="n">
        <v>43181</v>
      </c>
      <c r="F1104" s="21" t="s">
        <v>111</v>
      </c>
      <c r="G1104" s="23" t="n">
        <v>80.23</v>
      </c>
      <c r="H1104" s="23" t="n">
        <v>27.53</v>
      </c>
      <c r="I1104" s="21" t="s">
        <v>45</v>
      </c>
      <c r="J1104" s="21" t="n">
        <v>5</v>
      </c>
      <c r="K1104" s="21" t="s">
        <v>46</v>
      </c>
      <c r="L1104" s="24" t="n">
        <f aca="false">DATE(YEAR(C1104),MONTH(C1104),1)</f>
        <v>43132</v>
      </c>
      <c r="M1104" s="21" t="n">
        <f aca="false">D1104-C1104</f>
        <v>12</v>
      </c>
      <c r="N1104" s="21" t="n">
        <f aca="false">MAX(0,D1104-E1104)</f>
        <v>0</v>
      </c>
      <c r="O1104" s="21" t="n">
        <f aca="false">IF(D1104&lt;=E1104,1,0)</f>
        <v>1</v>
      </c>
      <c r="P1104" s="23" t="n">
        <f aca="false">G1104+H1104</f>
        <v>107.76</v>
      </c>
      <c r="Q1104" s="23" t="n">
        <f aca="false">G1104*INDEX(Assumptions!$B$8:$B$16,MATCH(F1104,Assumptions!$A$8:$A$16,0))</f>
        <v>50.5449</v>
      </c>
      <c r="R1104" s="23" t="n">
        <f aca="false">H1104*Assumptions!$B$3</f>
        <v>16.518</v>
      </c>
      <c r="S1104" s="23" t="n">
        <f aca="false">G1104-Q1104-R1104</f>
        <v>13.1671</v>
      </c>
      <c r="T1104" s="21" t="str">
        <f aca="false">IF(M1104&lt;=7,"0-7 days",IF(M1104&lt;=14,"8-14 days",IF(M1104&lt;=21,"15-21 days","22+ days")))</f>
        <v>8-14 days</v>
      </c>
    </row>
    <row r="1105" customFormat="false" ht="15" hidden="false" customHeight="false" outlineLevel="0" collapsed="false">
      <c r="A1105" s="21" t="s">
        <v>1171</v>
      </c>
      <c r="B1105" s="21" t="s">
        <v>19</v>
      </c>
      <c r="C1105" s="22" t="n">
        <v>43159</v>
      </c>
      <c r="D1105" s="22" t="n">
        <v>43164</v>
      </c>
      <c r="E1105" s="22" t="n">
        <v>43171</v>
      </c>
      <c r="F1105" s="21" t="s">
        <v>64</v>
      </c>
      <c r="G1105" s="23" t="n">
        <v>226.77</v>
      </c>
      <c r="H1105" s="23" t="n">
        <v>18.14</v>
      </c>
      <c r="I1105" s="21" t="s">
        <v>45</v>
      </c>
      <c r="J1105" s="21" t="n">
        <v>4</v>
      </c>
      <c r="K1105" s="21" t="s">
        <v>46</v>
      </c>
      <c r="L1105" s="24" t="n">
        <f aca="false">DATE(YEAR(C1105),MONTH(C1105),1)</f>
        <v>43132</v>
      </c>
      <c r="M1105" s="21" t="n">
        <f aca="false">D1105-C1105</f>
        <v>5</v>
      </c>
      <c r="N1105" s="21" t="n">
        <f aca="false">MAX(0,D1105-E1105)</f>
        <v>0</v>
      </c>
      <c r="O1105" s="21" t="n">
        <f aca="false">IF(D1105&lt;=E1105,1,0)</f>
        <v>1</v>
      </c>
      <c r="P1105" s="23" t="n">
        <f aca="false">G1105+H1105</f>
        <v>244.91</v>
      </c>
      <c r="Q1105" s="23" t="n">
        <f aca="false">G1105*INDEX(Assumptions!$B$8:$B$16,MATCH(F1105,Assumptions!$A$8:$A$16,0))</f>
        <v>149.6682</v>
      </c>
      <c r="R1105" s="23" t="n">
        <f aca="false">H1105*Assumptions!$B$3</f>
        <v>10.884</v>
      </c>
      <c r="S1105" s="23" t="n">
        <f aca="false">G1105-Q1105-R1105</f>
        <v>66.2178</v>
      </c>
      <c r="T1105" s="21" t="str">
        <f aca="false">IF(M1105&lt;=7,"0-7 days",IF(M1105&lt;=14,"8-14 days",IF(M1105&lt;=21,"15-21 days","22+ days")))</f>
        <v>0-7 days</v>
      </c>
    </row>
    <row r="1106" customFormat="false" ht="15" hidden="false" customHeight="false" outlineLevel="0" collapsed="false">
      <c r="A1106" s="21" t="s">
        <v>1172</v>
      </c>
      <c r="B1106" s="21" t="s">
        <v>19</v>
      </c>
      <c r="C1106" s="22" t="n">
        <v>43159</v>
      </c>
      <c r="D1106" s="22" t="n">
        <v>43169</v>
      </c>
      <c r="E1106" s="22" t="n">
        <v>43175</v>
      </c>
      <c r="F1106" s="21" t="s">
        <v>49</v>
      </c>
      <c r="G1106" s="23" t="n">
        <v>106.97</v>
      </c>
      <c r="H1106" s="23" t="n">
        <v>23.05</v>
      </c>
      <c r="I1106" s="21" t="s">
        <v>60</v>
      </c>
      <c r="J1106" s="21" t="n">
        <v>5</v>
      </c>
      <c r="K1106" s="21" t="s">
        <v>46</v>
      </c>
      <c r="L1106" s="24" t="n">
        <f aca="false">DATE(YEAR(C1106),MONTH(C1106),1)</f>
        <v>43132</v>
      </c>
      <c r="M1106" s="21" t="n">
        <f aca="false">D1106-C1106</f>
        <v>10</v>
      </c>
      <c r="N1106" s="21" t="n">
        <f aca="false">MAX(0,D1106-E1106)</f>
        <v>0</v>
      </c>
      <c r="O1106" s="21" t="n">
        <f aca="false">IF(D1106&lt;=E1106,1,0)</f>
        <v>1</v>
      </c>
      <c r="P1106" s="23" t="n">
        <f aca="false">G1106+H1106</f>
        <v>130.02</v>
      </c>
      <c r="Q1106" s="23" t="n">
        <f aca="false">G1106*INDEX(Assumptions!$B$8:$B$16,MATCH(F1106,Assumptions!$A$8:$A$16,0))</f>
        <v>62.0426</v>
      </c>
      <c r="R1106" s="23" t="n">
        <f aca="false">H1106*Assumptions!$B$3</f>
        <v>13.83</v>
      </c>
      <c r="S1106" s="23" t="n">
        <f aca="false">G1106-Q1106-R1106</f>
        <v>31.0974</v>
      </c>
      <c r="T1106" s="21" t="str">
        <f aca="false">IF(M1106&lt;=7,"0-7 days",IF(M1106&lt;=14,"8-14 days",IF(M1106&lt;=21,"15-21 days","22+ days")))</f>
        <v>8-14 days</v>
      </c>
    </row>
    <row r="1107" customFormat="false" ht="15" hidden="false" customHeight="false" outlineLevel="0" collapsed="false">
      <c r="A1107" s="21" t="s">
        <v>1173</v>
      </c>
      <c r="B1107" s="21" t="s">
        <v>62</v>
      </c>
      <c r="C1107" s="22" t="n">
        <v>43160</v>
      </c>
      <c r="D1107" s="22" t="n">
        <v>43175</v>
      </c>
      <c r="E1107" s="22" t="n">
        <v>43183</v>
      </c>
      <c r="F1107" s="21" t="s">
        <v>59</v>
      </c>
      <c r="G1107" s="23" t="n">
        <v>93.66</v>
      </c>
      <c r="H1107" s="23" t="n">
        <v>25.64</v>
      </c>
      <c r="I1107" s="21" t="s">
        <v>104</v>
      </c>
      <c r="J1107" s="21" t="n">
        <v>5</v>
      </c>
      <c r="K1107" s="21" t="s">
        <v>46</v>
      </c>
      <c r="L1107" s="24" t="n">
        <f aca="false">DATE(YEAR(C1107),MONTH(C1107),1)</f>
        <v>43160</v>
      </c>
      <c r="M1107" s="21" t="n">
        <f aca="false">D1107-C1107</f>
        <v>15</v>
      </c>
      <c r="N1107" s="21" t="n">
        <f aca="false">MAX(0,D1107-E1107)</f>
        <v>0</v>
      </c>
      <c r="O1107" s="21" t="n">
        <f aca="false">IF(D1107&lt;=E1107,1,0)</f>
        <v>1</v>
      </c>
      <c r="P1107" s="23" t="n">
        <f aca="false">G1107+H1107</f>
        <v>119.3</v>
      </c>
      <c r="Q1107" s="23" t="n">
        <f aca="false">G1107*INDEX(Assumptions!$B$8:$B$16,MATCH(F1107,Assumptions!$A$8:$A$16,0))</f>
        <v>59.9424</v>
      </c>
      <c r="R1107" s="23" t="n">
        <f aca="false">H1107*Assumptions!$B$3</f>
        <v>15.384</v>
      </c>
      <c r="S1107" s="23" t="n">
        <f aca="false">G1107-Q1107-R1107</f>
        <v>18.3336</v>
      </c>
      <c r="T1107" s="21" t="str">
        <f aca="false">IF(M1107&lt;=7,"0-7 days",IF(M1107&lt;=14,"8-14 days",IF(M1107&lt;=21,"15-21 days","22+ days")))</f>
        <v>15-21 days</v>
      </c>
    </row>
    <row r="1108" customFormat="false" ht="15" hidden="false" customHeight="false" outlineLevel="0" collapsed="false">
      <c r="A1108" s="21" t="s">
        <v>1174</v>
      </c>
      <c r="B1108" s="21" t="s">
        <v>19</v>
      </c>
      <c r="C1108" s="22" t="n">
        <v>43160</v>
      </c>
      <c r="D1108" s="22" t="n">
        <v>43167</v>
      </c>
      <c r="E1108" s="22" t="n">
        <v>43177</v>
      </c>
      <c r="F1108" s="21" t="s">
        <v>111</v>
      </c>
      <c r="G1108" s="23" t="n">
        <v>65.73</v>
      </c>
      <c r="H1108" s="23" t="n">
        <v>11.89</v>
      </c>
      <c r="I1108" s="21" t="s">
        <v>45</v>
      </c>
      <c r="J1108" s="21" t="n">
        <v>4</v>
      </c>
      <c r="K1108" s="21" t="s">
        <v>46</v>
      </c>
      <c r="L1108" s="24" t="n">
        <f aca="false">DATE(YEAR(C1108),MONTH(C1108),1)</f>
        <v>43160</v>
      </c>
      <c r="M1108" s="21" t="n">
        <f aca="false">D1108-C1108</f>
        <v>7</v>
      </c>
      <c r="N1108" s="21" t="n">
        <f aca="false">MAX(0,D1108-E1108)</f>
        <v>0</v>
      </c>
      <c r="O1108" s="21" t="n">
        <f aca="false">IF(D1108&lt;=E1108,1,0)</f>
        <v>1</v>
      </c>
      <c r="P1108" s="23" t="n">
        <f aca="false">G1108+H1108</f>
        <v>77.62</v>
      </c>
      <c r="Q1108" s="23" t="n">
        <f aca="false">G1108*INDEX(Assumptions!$B$8:$B$16,MATCH(F1108,Assumptions!$A$8:$A$16,0))</f>
        <v>41.4099</v>
      </c>
      <c r="R1108" s="23" t="n">
        <f aca="false">H1108*Assumptions!$B$3</f>
        <v>7.134</v>
      </c>
      <c r="S1108" s="23" t="n">
        <f aca="false">G1108-Q1108-R1108</f>
        <v>17.1861</v>
      </c>
      <c r="T1108" s="21" t="str">
        <f aca="false">IF(M1108&lt;=7,"0-7 days",IF(M1108&lt;=14,"8-14 days",IF(M1108&lt;=21,"15-21 days","22+ days")))</f>
        <v>0-7 days</v>
      </c>
    </row>
    <row r="1109" customFormat="false" ht="15" hidden="false" customHeight="false" outlineLevel="0" collapsed="false">
      <c r="A1109" s="21" t="s">
        <v>1175</v>
      </c>
      <c r="B1109" s="21" t="s">
        <v>77</v>
      </c>
      <c r="C1109" s="22" t="n">
        <v>43160</v>
      </c>
      <c r="D1109" s="22" t="n">
        <v>43180</v>
      </c>
      <c r="E1109" s="22" t="n">
        <v>43185</v>
      </c>
      <c r="F1109" s="21" t="s">
        <v>49</v>
      </c>
      <c r="G1109" s="23" t="n">
        <v>221.3</v>
      </c>
      <c r="H1109" s="23" t="n">
        <v>33.59</v>
      </c>
      <c r="I1109" s="21" t="s">
        <v>60</v>
      </c>
      <c r="J1109" s="21" t="n">
        <v>3</v>
      </c>
      <c r="K1109" s="21" t="s">
        <v>46</v>
      </c>
      <c r="L1109" s="24" t="n">
        <f aca="false">DATE(YEAR(C1109),MONTH(C1109),1)</f>
        <v>43160</v>
      </c>
      <c r="M1109" s="21" t="n">
        <f aca="false">D1109-C1109</f>
        <v>20</v>
      </c>
      <c r="N1109" s="21" t="n">
        <f aca="false">MAX(0,D1109-E1109)</f>
        <v>0</v>
      </c>
      <c r="O1109" s="21" t="n">
        <f aca="false">IF(D1109&lt;=E1109,1,0)</f>
        <v>1</v>
      </c>
      <c r="P1109" s="23" t="n">
        <f aca="false">G1109+H1109</f>
        <v>254.89</v>
      </c>
      <c r="Q1109" s="23" t="n">
        <f aca="false">G1109*INDEX(Assumptions!$B$8:$B$16,MATCH(F1109,Assumptions!$A$8:$A$16,0))</f>
        <v>128.354</v>
      </c>
      <c r="R1109" s="23" t="n">
        <f aca="false">H1109*Assumptions!$B$3</f>
        <v>20.154</v>
      </c>
      <c r="S1109" s="23" t="n">
        <f aca="false">G1109-Q1109-R1109</f>
        <v>72.792</v>
      </c>
      <c r="T1109" s="21" t="str">
        <f aca="false">IF(M1109&lt;=7,"0-7 days",IF(M1109&lt;=14,"8-14 days",IF(M1109&lt;=21,"15-21 days","22+ days")))</f>
        <v>15-21 days</v>
      </c>
    </row>
    <row r="1110" customFormat="false" ht="15" hidden="false" customHeight="false" outlineLevel="0" collapsed="false">
      <c r="A1110" s="21" t="s">
        <v>1176</v>
      </c>
      <c r="B1110" s="21" t="s">
        <v>93</v>
      </c>
      <c r="C1110" s="22" t="n">
        <v>43160</v>
      </c>
      <c r="D1110" s="22" t="n">
        <v>43180</v>
      </c>
      <c r="E1110" s="22" t="n">
        <v>43187</v>
      </c>
      <c r="F1110" s="21" t="s">
        <v>111</v>
      </c>
      <c r="G1110" s="23" t="n">
        <v>44.7</v>
      </c>
      <c r="H1110" s="23" t="n">
        <v>26.5</v>
      </c>
      <c r="I1110" s="21" t="s">
        <v>60</v>
      </c>
      <c r="J1110" s="21" t="n">
        <v>5</v>
      </c>
      <c r="K1110" s="21" t="s">
        <v>46</v>
      </c>
      <c r="L1110" s="24" t="n">
        <f aca="false">DATE(YEAR(C1110),MONTH(C1110),1)</f>
        <v>43160</v>
      </c>
      <c r="M1110" s="21" t="n">
        <f aca="false">D1110-C1110</f>
        <v>20</v>
      </c>
      <c r="N1110" s="21" t="n">
        <f aca="false">MAX(0,D1110-E1110)</f>
        <v>0</v>
      </c>
      <c r="O1110" s="21" t="n">
        <f aca="false">IF(D1110&lt;=E1110,1,0)</f>
        <v>1</v>
      </c>
      <c r="P1110" s="23" t="n">
        <f aca="false">G1110+H1110</f>
        <v>71.2</v>
      </c>
      <c r="Q1110" s="23" t="n">
        <f aca="false">G1110*INDEX(Assumptions!$B$8:$B$16,MATCH(F1110,Assumptions!$A$8:$A$16,0))</f>
        <v>28.161</v>
      </c>
      <c r="R1110" s="23" t="n">
        <f aca="false">H1110*Assumptions!$B$3</f>
        <v>15.9</v>
      </c>
      <c r="S1110" s="23" t="n">
        <f aca="false">G1110-Q1110-R1110</f>
        <v>0.639000000000003</v>
      </c>
      <c r="T1110" s="21" t="str">
        <f aca="false">IF(M1110&lt;=7,"0-7 days",IF(M1110&lt;=14,"8-14 days",IF(M1110&lt;=21,"15-21 days","22+ days")))</f>
        <v>15-21 days</v>
      </c>
    </row>
    <row r="1111" customFormat="false" ht="15" hidden="false" customHeight="false" outlineLevel="0" collapsed="false">
      <c r="A1111" s="21" t="s">
        <v>1177</v>
      </c>
      <c r="B1111" s="21" t="s">
        <v>19</v>
      </c>
      <c r="C1111" s="22" t="n">
        <v>43160</v>
      </c>
      <c r="D1111" s="22" t="n">
        <v>43168</v>
      </c>
      <c r="E1111" s="22" t="n">
        <v>43175</v>
      </c>
      <c r="F1111" s="21" t="s">
        <v>59</v>
      </c>
      <c r="G1111" s="23" t="n">
        <v>213.45</v>
      </c>
      <c r="H1111" s="23" t="n">
        <v>15.21</v>
      </c>
      <c r="I1111" s="21" t="s">
        <v>45</v>
      </c>
      <c r="J1111" s="21" t="n">
        <v>4</v>
      </c>
      <c r="K1111" s="21" t="s">
        <v>46</v>
      </c>
      <c r="L1111" s="24" t="n">
        <f aca="false">DATE(YEAR(C1111),MONTH(C1111),1)</f>
        <v>43160</v>
      </c>
      <c r="M1111" s="21" t="n">
        <f aca="false">D1111-C1111</f>
        <v>8</v>
      </c>
      <c r="N1111" s="21" t="n">
        <f aca="false">MAX(0,D1111-E1111)</f>
        <v>0</v>
      </c>
      <c r="O1111" s="21" t="n">
        <f aca="false">IF(D1111&lt;=E1111,1,0)</f>
        <v>1</v>
      </c>
      <c r="P1111" s="23" t="n">
        <f aca="false">G1111+H1111</f>
        <v>228.66</v>
      </c>
      <c r="Q1111" s="23" t="n">
        <f aca="false">G1111*INDEX(Assumptions!$B$8:$B$16,MATCH(F1111,Assumptions!$A$8:$A$16,0))</f>
        <v>136.608</v>
      </c>
      <c r="R1111" s="23" t="n">
        <f aca="false">H1111*Assumptions!$B$3</f>
        <v>9.126</v>
      </c>
      <c r="S1111" s="23" t="n">
        <f aca="false">G1111-Q1111-R1111</f>
        <v>67.716</v>
      </c>
      <c r="T1111" s="21" t="str">
        <f aca="false">IF(M1111&lt;=7,"0-7 days",IF(M1111&lt;=14,"8-14 days",IF(M1111&lt;=21,"15-21 days","22+ days")))</f>
        <v>8-14 days</v>
      </c>
    </row>
    <row r="1112" customFormat="false" ht="15" hidden="false" customHeight="false" outlineLevel="0" collapsed="false">
      <c r="A1112" s="21" t="s">
        <v>1178</v>
      </c>
      <c r="B1112" s="21" t="s">
        <v>19</v>
      </c>
      <c r="C1112" s="22" t="n">
        <v>43161</v>
      </c>
      <c r="D1112" s="22" t="n">
        <v>43173</v>
      </c>
      <c r="E1112" s="22" t="n">
        <v>43176</v>
      </c>
      <c r="F1112" s="21" t="s">
        <v>111</v>
      </c>
      <c r="G1112" s="23" t="n">
        <v>71.83</v>
      </c>
      <c r="H1112" s="23" t="n">
        <v>16.69</v>
      </c>
      <c r="I1112" s="21" t="s">
        <v>60</v>
      </c>
      <c r="J1112" s="21" t="n">
        <v>5</v>
      </c>
      <c r="K1112" s="21" t="s">
        <v>46</v>
      </c>
      <c r="L1112" s="24" t="n">
        <f aca="false">DATE(YEAR(C1112),MONTH(C1112),1)</f>
        <v>43160</v>
      </c>
      <c r="M1112" s="21" t="n">
        <f aca="false">D1112-C1112</f>
        <v>12</v>
      </c>
      <c r="N1112" s="21" t="n">
        <f aca="false">MAX(0,D1112-E1112)</f>
        <v>0</v>
      </c>
      <c r="O1112" s="21" t="n">
        <f aca="false">IF(D1112&lt;=E1112,1,0)</f>
        <v>1</v>
      </c>
      <c r="P1112" s="23" t="n">
        <f aca="false">G1112+H1112</f>
        <v>88.52</v>
      </c>
      <c r="Q1112" s="23" t="n">
        <f aca="false">G1112*INDEX(Assumptions!$B$8:$B$16,MATCH(F1112,Assumptions!$A$8:$A$16,0))</f>
        <v>45.2529</v>
      </c>
      <c r="R1112" s="23" t="n">
        <f aca="false">H1112*Assumptions!$B$3</f>
        <v>10.014</v>
      </c>
      <c r="S1112" s="23" t="n">
        <f aca="false">G1112-Q1112-R1112</f>
        <v>16.5631</v>
      </c>
      <c r="T1112" s="21" t="str">
        <f aca="false">IF(M1112&lt;=7,"0-7 days",IF(M1112&lt;=14,"8-14 days",IF(M1112&lt;=21,"15-21 days","22+ days")))</f>
        <v>8-14 days</v>
      </c>
    </row>
    <row r="1113" customFormat="false" ht="15" hidden="false" customHeight="false" outlineLevel="0" collapsed="false">
      <c r="A1113" s="21" t="s">
        <v>1179</v>
      </c>
      <c r="B1113" s="21" t="s">
        <v>48</v>
      </c>
      <c r="C1113" s="22" t="n">
        <v>43161</v>
      </c>
      <c r="D1113" s="22" t="n">
        <v>43173</v>
      </c>
      <c r="E1113" s="22" t="n">
        <v>43181</v>
      </c>
      <c r="F1113" s="21" t="s">
        <v>64</v>
      </c>
      <c r="G1113" s="23" t="n">
        <v>286.4</v>
      </c>
      <c r="H1113" s="23" t="n">
        <v>24.01</v>
      </c>
      <c r="I1113" s="21" t="s">
        <v>45</v>
      </c>
      <c r="J1113" s="21" t="n">
        <v>5</v>
      </c>
      <c r="K1113" s="21" t="s">
        <v>46</v>
      </c>
      <c r="L1113" s="24" t="n">
        <f aca="false">DATE(YEAR(C1113),MONTH(C1113),1)</f>
        <v>43160</v>
      </c>
      <c r="M1113" s="21" t="n">
        <f aca="false">D1113-C1113</f>
        <v>12</v>
      </c>
      <c r="N1113" s="21" t="n">
        <f aca="false">MAX(0,D1113-E1113)</f>
        <v>0</v>
      </c>
      <c r="O1113" s="21" t="n">
        <f aca="false">IF(D1113&lt;=E1113,1,0)</f>
        <v>1</v>
      </c>
      <c r="P1113" s="23" t="n">
        <f aca="false">G1113+H1113</f>
        <v>310.41</v>
      </c>
      <c r="Q1113" s="23" t="n">
        <f aca="false">G1113*INDEX(Assumptions!$B$8:$B$16,MATCH(F1113,Assumptions!$A$8:$A$16,0))</f>
        <v>189.024</v>
      </c>
      <c r="R1113" s="23" t="n">
        <f aca="false">H1113*Assumptions!$B$3</f>
        <v>14.406</v>
      </c>
      <c r="S1113" s="23" t="n">
        <f aca="false">G1113-Q1113-R1113</f>
        <v>82.97</v>
      </c>
      <c r="T1113" s="21" t="str">
        <f aca="false">IF(M1113&lt;=7,"0-7 days",IF(M1113&lt;=14,"8-14 days",IF(M1113&lt;=21,"15-21 days","22+ days")))</f>
        <v>8-14 days</v>
      </c>
    </row>
    <row r="1114" customFormat="false" ht="15" hidden="false" customHeight="false" outlineLevel="0" collapsed="false">
      <c r="A1114" s="21" t="s">
        <v>1180</v>
      </c>
      <c r="B1114" s="21" t="s">
        <v>19</v>
      </c>
      <c r="C1114" s="22" t="n">
        <v>43162</v>
      </c>
      <c r="D1114" s="22" t="n">
        <v>43166</v>
      </c>
      <c r="E1114" s="22" t="n">
        <v>43175</v>
      </c>
      <c r="F1114" s="21" t="s">
        <v>59</v>
      </c>
      <c r="G1114" s="23" t="n">
        <v>102.55</v>
      </c>
      <c r="H1114" s="23" t="n">
        <v>17.86</v>
      </c>
      <c r="I1114" s="21" t="s">
        <v>45</v>
      </c>
      <c r="J1114" s="21" t="n">
        <v>4</v>
      </c>
      <c r="K1114" s="21" t="s">
        <v>46</v>
      </c>
      <c r="L1114" s="24" t="n">
        <f aca="false">DATE(YEAR(C1114),MONTH(C1114),1)</f>
        <v>43160</v>
      </c>
      <c r="M1114" s="21" t="n">
        <f aca="false">D1114-C1114</f>
        <v>4</v>
      </c>
      <c r="N1114" s="21" t="n">
        <f aca="false">MAX(0,D1114-E1114)</f>
        <v>0</v>
      </c>
      <c r="O1114" s="21" t="n">
        <f aca="false">IF(D1114&lt;=E1114,1,0)</f>
        <v>1</v>
      </c>
      <c r="P1114" s="23" t="n">
        <f aca="false">G1114+H1114</f>
        <v>120.41</v>
      </c>
      <c r="Q1114" s="23" t="n">
        <f aca="false">G1114*INDEX(Assumptions!$B$8:$B$16,MATCH(F1114,Assumptions!$A$8:$A$16,0))</f>
        <v>65.632</v>
      </c>
      <c r="R1114" s="23" t="n">
        <f aca="false">H1114*Assumptions!$B$3</f>
        <v>10.716</v>
      </c>
      <c r="S1114" s="23" t="n">
        <f aca="false">G1114-Q1114-R1114</f>
        <v>26.202</v>
      </c>
      <c r="T1114" s="21" t="str">
        <f aca="false">IF(M1114&lt;=7,"0-7 days",IF(M1114&lt;=14,"8-14 days",IF(M1114&lt;=21,"15-21 days","22+ days")))</f>
        <v>0-7 days</v>
      </c>
    </row>
    <row r="1115" customFormat="false" ht="15" hidden="false" customHeight="false" outlineLevel="0" collapsed="false">
      <c r="A1115" s="21" t="s">
        <v>1181</v>
      </c>
      <c r="B1115" s="21" t="s">
        <v>19</v>
      </c>
      <c r="C1115" s="22" t="n">
        <v>43162</v>
      </c>
      <c r="D1115" s="22" t="n">
        <v>43175</v>
      </c>
      <c r="E1115" s="22" t="n">
        <v>43178</v>
      </c>
      <c r="F1115" s="21" t="s">
        <v>59</v>
      </c>
      <c r="G1115" s="23" t="n">
        <v>103.2</v>
      </c>
      <c r="H1115" s="23" t="n">
        <v>19.63</v>
      </c>
      <c r="I1115" s="21" t="s">
        <v>45</v>
      </c>
      <c r="J1115" s="21" t="n">
        <v>5</v>
      </c>
      <c r="K1115" s="21" t="s">
        <v>46</v>
      </c>
      <c r="L1115" s="24" t="n">
        <f aca="false">DATE(YEAR(C1115),MONTH(C1115),1)</f>
        <v>43160</v>
      </c>
      <c r="M1115" s="21" t="n">
        <f aca="false">D1115-C1115</f>
        <v>13</v>
      </c>
      <c r="N1115" s="21" t="n">
        <f aca="false">MAX(0,D1115-E1115)</f>
        <v>0</v>
      </c>
      <c r="O1115" s="21" t="n">
        <f aca="false">IF(D1115&lt;=E1115,1,0)</f>
        <v>1</v>
      </c>
      <c r="P1115" s="23" t="n">
        <f aca="false">G1115+H1115</f>
        <v>122.83</v>
      </c>
      <c r="Q1115" s="23" t="n">
        <f aca="false">G1115*INDEX(Assumptions!$B$8:$B$16,MATCH(F1115,Assumptions!$A$8:$A$16,0))</f>
        <v>66.048</v>
      </c>
      <c r="R1115" s="23" t="n">
        <f aca="false">H1115*Assumptions!$B$3</f>
        <v>11.778</v>
      </c>
      <c r="S1115" s="23" t="n">
        <f aca="false">G1115-Q1115-R1115</f>
        <v>25.374</v>
      </c>
      <c r="T1115" s="21" t="str">
        <f aca="false">IF(M1115&lt;=7,"0-7 days",IF(M1115&lt;=14,"8-14 days",IF(M1115&lt;=21,"15-21 days","22+ days")))</f>
        <v>8-14 days</v>
      </c>
    </row>
    <row r="1116" customFormat="false" ht="15" hidden="false" customHeight="false" outlineLevel="0" collapsed="false">
      <c r="A1116" s="21" t="s">
        <v>1182</v>
      </c>
      <c r="B1116" s="21" t="s">
        <v>55</v>
      </c>
      <c r="C1116" s="22" t="n">
        <v>43162</v>
      </c>
      <c r="D1116" s="22" t="n">
        <v>43185</v>
      </c>
      <c r="E1116" s="22" t="n">
        <v>43188</v>
      </c>
      <c r="F1116" s="21" t="s">
        <v>64</v>
      </c>
      <c r="G1116" s="23" t="n">
        <v>72.14</v>
      </c>
      <c r="H1116" s="23" t="n">
        <v>24.33</v>
      </c>
      <c r="I1116" s="21" t="s">
        <v>45</v>
      </c>
      <c r="J1116" s="21" t="n">
        <v>5</v>
      </c>
      <c r="K1116" s="21" t="s">
        <v>46</v>
      </c>
      <c r="L1116" s="24" t="n">
        <f aca="false">DATE(YEAR(C1116),MONTH(C1116),1)</f>
        <v>43160</v>
      </c>
      <c r="M1116" s="21" t="n">
        <f aca="false">D1116-C1116</f>
        <v>23</v>
      </c>
      <c r="N1116" s="21" t="n">
        <f aca="false">MAX(0,D1116-E1116)</f>
        <v>0</v>
      </c>
      <c r="O1116" s="21" t="n">
        <f aca="false">IF(D1116&lt;=E1116,1,0)</f>
        <v>1</v>
      </c>
      <c r="P1116" s="23" t="n">
        <f aca="false">G1116+H1116</f>
        <v>96.47</v>
      </c>
      <c r="Q1116" s="23" t="n">
        <f aca="false">G1116*INDEX(Assumptions!$B$8:$B$16,MATCH(F1116,Assumptions!$A$8:$A$16,0))</f>
        <v>47.6124</v>
      </c>
      <c r="R1116" s="23" t="n">
        <f aca="false">H1116*Assumptions!$B$3</f>
        <v>14.598</v>
      </c>
      <c r="S1116" s="23" t="n">
        <f aca="false">G1116-Q1116-R1116</f>
        <v>9.9296</v>
      </c>
      <c r="T1116" s="21" t="str">
        <f aca="false">IF(M1116&lt;=7,"0-7 days",IF(M1116&lt;=14,"8-14 days",IF(M1116&lt;=21,"15-21 days","22+ days")))</f>
        <v>22+ days</v>
      </c>
    </row>
    <row r="1117" customFormat="false" ht="15" hidden="false" customHeight="false" outlineLevel="0" collapsed="false">
      <c r="A1117" s="21" t="s">
        <v>1183</v>
      </c>
      <c r="B1117" s="21" t="s">
        <v>19</v>
      </c>
      <c r="C1117" s="22" t="n">
        <v>43162</v>
      </c>
      <c r="D1117" s="22" t="n">
        <v>43170</v>
      </c>
      <c r="E1117" s="22" t="n">
        <v>43179</v>
      </c>
      <c r="F1117" s="21" t="s">
        <v>111</v>
      </c>
      <c r="G1117" s="23" t="n">
        <v>226.69</v>
      </c>
      <c r="H1117" s="23" t="n">
        <v>18.4</v>
      </c>
      <c r="I1117" s="21" t="s">
        <v>45</v>
      </c>
      <c r="J1117" s="21" t="n">
        <v>5</v>
      </c>
      <c r="K1117" s="21" t="s">
        <v>46</v>
      </c>
      <c r="L1117" s="24" t="n">
        <f aca="false">DATE(YEAR(C1117),MONTH(C1117),1)</f>
        <v>43160</v>
      </c>
      <c r="M1117" s="21" t="n">
        <f aca="false">D1117-C1117</f>
        <v>8</v>
      </c>
      <c r="N1117" s="21" t="n">
        <f aca="false">MAX(0,D1117-E1117)</f>
        <v>0</v>
      </c>
      <c r="O1117" s="21" t="n">
        <f aca="false">IF(D1117&lt;=E1117,1,0)</f>
        <v>1</v>
      </c>
      <c r="P1117" s="23" t="n">
        <f aca="false">G1117+H1117</f>
        <v>245.09</v>
      </c>
      <c r="Q1117" s="23" t="n">
        <f aca="false">G1117*INDEX(Assumptions!$B$8:$B$16,MATCH(F1117,Assumptions!$A$8:$A$16,0))</f>
        <v>142.8147</v>
      </c>
      <c r="R1117" s="23" t="n">
        <f aca="false">H1117*Assumptions!$B$3</f>
        <v>11.04</v>
      </c>
      <c r="S1117" s="23" t="n">
        <f aca="false">G1117-Q1117-R1117</f>
        <v>72.8353</v>
      </c>
      <c r="T1117" s="21" t="str">
        <f aca="false">IF(M1117&lt;=7,"0-7 days",IF(M1117&lt;=14,"8-14 days",IF(M1117&lt;=21,"15-21 days","22+ days")))</f>
        <v>8-14 days</v>
      </c>
    </row>
    <row r="1118" customFormat="false" ht="15" hidden="false" customHeight="false" outlineLevel="0" collapsed="false">
      <c r="A1118" s="21" t="s">
        <v>1184</v>
      </c>
      <c r="B1118" s="21" t="s">
        <v>19</v>
      </c>
      <c r="C1118" s="22" t="n">
        <v>43162</v>
      </c>
      <c r="D1118" s="22" t="n">
        <v>43171</v>
      </c>
      <c r="E1118" s="22" t="n">
        <v>43176</v>
      </c>
      <c r="F1118" s="21" t="s">
        <v>67</v>
      </c>
      <c r="G1118" s="23" t="n">
        <v>48.77</v>
      </c>
      <c r="H1118" s="23" t="n">
        <v>14.42</v>
      </c>
      <c r="I1118" s="21" t="s">
        <v>45</v>
      </c>
      <c r="J1118" s="21" t="n">
        <v>4</v>
      </c>
      <c r="K1118" s="21" t="s">
        <v>46</v>
      </c>
      <c r="L1118" s="24" t="n">
        <f aca="false">DATE(YEAR(C1118),MONTH(C1118),1)</f>
        <v>43160</v>
      </c>
      <c r="M1118" s="21" t="n">
        <f aca="false">D1118-C1118</f>
        <v>9</v>
      </c>
      <c r="N1118" s="21" t="n">
        <f aca="false">MAX(0,D1118-E1118)</f>
        <v>0</v>
      </c>
      <c r="O1118" s="21" t="n">
        <f aca="false">IF(D1118&lt;=E1118,1,0)</f>
        <v>1</v>
      </c>
      <c r="P1118" s="23" t="n">
        <f aca="false">G1118+H1118</f>
        <v>63.19</v>
      </c>
      <c r="Q1118" s="23" t="n">
        <f aca="false">G1118*INDEX(Assumptions!$B$8:$B$16,MATCH(F1118,Assumptions!$A$8:$A$16,0))</f>
        <v>30.2374</v>
      </c>
      <c r="R1118" s="23" t="n">
        <f aca="false">H1118*Assumptions!$B$3</f>
        <v>8.652</v>
      </c>
      <c r="S1118" s="23" t="n">
        <f aca="false">G1118-Q1118-R1118</f>
        <v>9.8806</v>
      </c>
      <c r="T1118" s="21" t="str">
        <f aca="false">IF(M1118&lt;=7,"0-7 days",IF(M1118&lt;=14,"8-14 days",IF(M1118&lt;=21,"15-21 days","22+ days")))</f>
        <v>8-14 days</v>
      </c>
    </row>
    <row r="1119" customFormat="false" ht="15" hidden="false" customHeight="false" outlineLevel="0" collapsed="false">
      <c r="A1119" s="21" t="s">
        <v>1185</v>
      </c>
      <c r="B1119" s="21" t="s">
        <v>103</v>
      </c>
      <c r="C1119" s="22" t="n">
        <v>43162</v>
      </c>
      <c r="D1119" s="22" t="n">
        <v>43180</v>
      </c>
      <c r="E1119" s="22" t="n">
        <v>43185</v>
      </c>
      <c r="F1119" s="21" t="s">
        <v>59</v>
      </c>
      <c r="G1119" s="23" t="n">
        <v>204.72</v>
      </c>
      <c r="H1119" s="23" t="n">
        <v>33.3</v>
      </c>
      <c r="I1119" s="21" t="s">
        <v>45</v>
      </c>
      <c r="J1119" s="21" t="n">
        <v>5</v>
      </c>
      <c r="K1119" s="21" t="s">
        <v>46</v>
      </c>
      <c r="L1119" s="24" t="n">
        <f aca="false">DATE(YEAR(C1119),MONTH(C1119),1)</f>
        <v>43160</v>
      </c>
      <c r="M1119" s="21" t="n">
        <f aca="false">D1119-C1119</f>
        <v>18</v>
      </c>
      <c r="N1119" s="21" t="n">
        <f aca="false">MAX(0,D1119-E1119)</f>
        <v>0</v>
      </c>
      <c r="O1119" s="21" t="n">
        <f aca="false">IF(D1119&lt;=E1119,1,0)</f>
        <v>1</v>
      </c>
      <c r="P1119" s="23" t="n">
        <f aca="false">G1119+H1119</f>
        <v>238.02</v>
      </c>
      <c r="Q1119" s="23" t="n">
        <f aca="false">G1119*INDEX(Assumptions!$B$8:$B$16,MATCH(F1119,Assumptions!$A$8:$A$16,0))</f>
        <v>131.0208</v>
      </c>
      <c r="R1119" s="23" t="n">
        <f aca="false">H1119*Assumptions!$B$3</f>
        <v>19.98</v>
      </c>
      <c r="S1119" s="23" t="n">
        <f aca="false">G1119-Q1119-R1119</f>
        <v>53.7192</v>
      </c>
      <c r="T1119" s="21" t="str">
        <f aca="false">IF(M1119&lt;=7,"0-7 days",IF(M1119&lt;=14,"8-14 days",IF(M1119&lt;=21,"15-21 days","22+ days")))</f>
        <v>15-21 days</v>
      </c>
    </row>
    <row r="1120" customFormat="false" ht="15" hidden="false" customHeight="false" outlineLevel="0" collapsed="false">
      <c r="A1120" s="21" t="s">
        <v>1186</v>
      </c>
      <c r="B1120" s="21" t="s">
        <v>134</v>
      </c>
      <c r="C1120" s="22" t="n">
        <v>43163</v>
      </c>
      <c r="D1120" s="22" t="n">
        <v>43185</v>
      </c>
      <c r="E1120" s="22" t="n">
        <v>43189</v>
      </c>
      <c r="F1120" s="21" t="s">
        <v>64</v>
      </c>
      <c r="G1120" s="23" t="n">
        <v>73.88</v>
      </c>
      <c r="H1120" s="23" t="n">
        <v>23.38</v>
      </c>
      <c r="I1120" s="21" t="s">
        <v>60</v>
      </c>
      <c r="J1120" s="21" t="n">
        <v>4</v>
      </c>
      <c r="K1120" s="21" t="s">
        <v>46</v>
      </c>
      <c r="L1120" s="24" t="n">
        <f aca="false">DATE(YEAR(C1120),MONTH(C1120),1)</f>
        <v>43160</v>
      </c>
      <c r="M1120" s="21" t="n">
        <f aca="false">D1120-C1120</f>
        <v>22</v>
      </c>
      <c r="N1120" s="21" t="n">
        <f aca="false">MAX(0,D1120-E1120)</f>
        <v>0</v>
      </c>
      <c r="O1120" s="21" t="n">
        <f aca="false">IF(D1120&lt;=E1120,1,0)</f>
        <v>1</v>
      </c>
      <c r="P1120" s="23" t="n">
        <f aca="false">G1120+H1120</f>
        <v>97.26</v>
      </c>
      <c r="Q1120" s="23" t="n">
        <f aca="false">G1120*INDEX(Assumptions!$B$8:$B$16,MATCH(F1120,Assumptions!$A$8:$A$16,0))</f>
        <v>48.7608</v>
      </c>
      <c r="R1120" s="23" t="n">
        <f aca="false">H1120*Assumptions!$B$3</f>
        <v>14.028</v>
      </c>
      <c r="S1120" s="23" t="n">
        <f aca="false">G1120-Q1120-R1120</f>
        <v>11.0912</v>
      </c>
      <c r="T1120" s="21" t="str">
        <f aca="false">IF(M1120&lt;=7,"0-7 days",IF(M1120&lt;=14,"8-14 days",IF(M1120&lt;=21,"15-21 days","22+ days")))</f>
        <v>22+ days</v>
      </c>
    </row>
    <row r="1121" customFormat="false" ht="15" hidden="false" customHeight="false" outlineLevel="0" collapsed="false">
      <c r="A1121" s="21" t="s">
        <v>1187</v>
      </c>
      <c r="B1121" s="21" t="s">
        <v>156</v>
      </c>
      <c r="C1121" s="22" t="n">
        <v>43163</v>
      </c>
      <c r="D1121" s="22" t="n">
        <v>43188</v>
      </c>
      <c r="E1121" s="22" t="n">
        <v>43187</v>
      </c>
      <c r="F1121" s="21" t="s">
        <v>79</v>
      </c>
      <c r="G1121" s="23" t="n">
        <v>135.95</v>
      </c>
      <c r="H1121" s="23" t="n">
        <v>34.54</v>
      </c>
      <c r="I1121" s="21" t="s">
        <v>45</v>
      </c>
      <c r="J1121" s="21" t="n">
        <v>3</v>
      </c>
      <c r="K1121" s="21" t="s">
        <v>46</v>
      </c>
      <c r="L1121" s="24" t="n">
        <f aca="false">DATE(YEAR(C1121),MONTH(C1121),1)</f>
        <v>43160</v>
      </c>
      <c r="M1121" s="21" t="n">
        <f aca="false">D1121-C1121</f>
        <v>25</v>
      </c>
      <c r="N1121" s="21" t="n">
        <f aca="false">MAX(0,D1121-E1121)</f>
        <v>1</v>
      </c>
      <c r="O1121" s="21" t="n">
        <f aca="false">IF(D1121&lt;=E1121,1,0)</f>
        <v>0</v>
      </c>
      <c r="P1121" s="23" t="n">
        <f aca="false">G1121+H1121</f>
        <v>170.49</v>
      </c>
      <c r="Q1121" s="23" t="n">
        <f aca="false">G1121*INDEX(Assumptions!$B$8:$B$16,MATCH(F1121,Assumptions!$A$8:$A$16,0))</f>
        <v>95.165</v>
      </c>
      <c r="R1121" s="23" t="n">
        <f aca="false">H1121*Assumptions!$B$3</f>
        <v>20.724</v>
      </c>
      <c r="S1121" s="23" t="n">
        <f aca="false">G1121-Q1121-R1121</f>
        <v>20.061</v>
      </c>
      <c r="T1121" s="21" t="str">
        <f aca="false">IF(M1121&lt;=7,"0-7 days",IF(M1121&lt;=14,"8-14 days",IF(M1121&lt;=21,"15-21 days","22+ days")))</f>
        <v>22+ days</v>
      </c>
    </row>
    <row r="1122" customFormat="false" ht="15" hidden="false" customHeight="false" outlineLevel="0" collapsed="false">
      <c r="A1122" s="21" t="s">
        <v>1188</v>
      </c>
      <c r="B1122" s="21" t="s">
        <v>19</v>
      </c>
      <c r="C1122" s="22" t="n">
        <v>43163</v>
      </c>
      <c r="D1122" s="22" t="n">
        <v>43169</v>
      </c>
      <c r="E1122" s="22" t="n">
        <v>43178</v>
      </c>
      <c r="F1122" s="21" t="s">
        <v>79</v>
      </c>
      <c r="G1122" s="23" t="n">
        <v>129.8</v>
      </c>
      <c r="H1122" s="23" t="n">
        <v>19.3</v>
      </c>
      <c r="I1122" s="21" t="s">
        <v>60</v>
      </c>
      <c r="J1122" s="21" t="n">
        <v>4</v>
      </c>
      <c r="K1122" s="21" t="s">
        <v>46</v>
      </c>
      <c r="L1122" s="24" t="n">
        <f aca="false">DATE(YEAR(C1122),MONTH(C1122),1)</f>
        <v>43160</v>
      </c>
      <c r="M1122" s="21" t="n">
        <f aca="false">D1122-C1122</f>
        <v>6</v>
      </c>
      <c r="N1122" s="21" t="n">
        <f aca="false">MAX(0,D1122-E1122)</f>
        <v>0</v>
      </c>
      <c r="O1122" s="21" t="n">
        <f aca="false">IF(D1122&lt;=E1122,1,0)</f>
        <v>1</v>
      </c>
      <c r="P1122" s="23" t="n">
        <f aca="false">G1122+H1122</f>
        <v>149.1</v>
      </c>
      <c r="Q1122" s="23" t="n">
        <f aca="false">G1122*INDEX(Assumptions!$B$8:$B$16,MATCH(F1122,Assumptions!$A$8:$A$16,0))</f>
        <v>90.86</v>
      </c>
      <c r="R1122" s="23" t="n">
        <f aca="false">H1122*Assumptions!$B$3</f>
        <v>11.58</v>
      </c>
      <c r="S1122" s="23" t="n">
        <f aca="false">G1122-Q1122-R1122</f>
        <v>27.36</v>
      </c>
      <c r="T1122" s="21" t="str">
        <f aca="false">IF(M1122&lt;=7,"0-7 days",IF(M1122&lt;=14,"8-14 days",IF(M1122&lt;=21,"15-21 days","22+ days")))</f>
        <v>0-7 days</v>
      </c>
    </row>
    <row r="1123" customFormat="false" ht="15" hidden="false" customHeight="false" outlineLevel="0" collapsed="false">
      <c r="A1123" s="21" t="s">
        <v>1189</v>
      </c>
      <c r="B1123" s="21" t="s">
        <v>19</v>
      </c>
      <c r="C1123" s="22" t="n">
        <v>43163</v>
      </c>
      <c r="D1123" s="22" t="n">
        <v>43177</v>
      </c>
      <c r="E1123" s="22" t="n">
        <v>43182</v>
      </c>
      <c r="F1123" s="21" t="s">
        <v>44</v>
      </c>
      <c r="G1123" s="23" t="n">
        <v>46.76</v>
      </c>
      <c r="H1123" s="23" t="n">
        <v>21.81</v>
      </c>
      <c r="I1123" s="21" t="s">
        <v>45</v>
      </c>
      <c r="J1123" s="21" t="n">
        <v>4</v>
      </c>
      <c r="K1123" s="21" t="s">
        <v>46</v>
      </c>
      <c r="L1123" s="24" t="n">
        <f aca="false">DATE(YEAR(C1123),MONTH(C1123),1)</f>
        <v>43160</v>
      </c>
      <c r="M1123" s="21" t="n">
        <f aca="false">D1123-C1123</f>
        <v>14</v>
      </c>
      <c r="N1123" s="21" t="n">
        <f aca="false">MAX(0,D1123-E1123)</f>
        <v>0</v>
      </c>
      <c r="O1123" s="21" t="n">
        <f aca="false">IF(D1123&lt;=E1123,1,0)</f>
        <v>1</v>
      </c>
      <c r="P1123" s="23" t="n">
        <f aca="false">G1123+H1123</f>
        <v>68.57</v>
      </c>
      <c r="Q1123" s="23" t="n">
        <f aca="false">G1123*INDEX(Assumptions!$B$8:$B$16,MATCH(F1123,Assumptions!$A$8:$A$16,0))</f>
        <v>28.056</v>
      </c>
      <c r="R1123" s="23" t="n">
        <f aca="false">H1123*Assumptions!$B$3</f>
        <v>13.086</v>
      </c>
      <c r="S1123" s="23" t="n">
        <f aca="false">G1123-Q1123-R1123</f>
        <v>5.618</v>
      </c>
      <c r="T1123" s="21" t="str">
        <f aca="false">IF(M1123&lt;=7,"0-7 days",IF(M1123&lt;=14,"8-14 days",IF(M1123&lt;=21,"15-21 days","22+ days")))</f>
        <v>8-14 days</v>
      </c>
    </row>
    <row r="1124" customFormat="false" ht="15" hidden="false" customHeight="false" outlineLevel="0" collapsed="false">
      <c r="A1124" s="21" t="s">
        <v>1190</v>
      </c>
      <c r="B1124" s="21" t="s">
        <v>19</v>
      </c>
      <c r="C1124" s="22" t="n">
        <v>43163</v>
      </c>
      <c r="D1124" s="22" t="n">
        <v>43170</v>
      </c>
      <c r="E1124" s="22" t="n">
        <v>43181</v>
      </c>
      <c r="F1124" s="21" t="s">
        <v>49</v>
      </c>
      <c r="G1124" s="23" t="n">
        <v>122.46</v>
      </c>
      <c r="H1124" s="23" t="n">
        <v>16.45</v>
      </c>
      <c r="I1124" s="21" t="s">
        <v>50</v>
      </c>
      <c r="J1124" s="21" t="n">
        <v>4</v>
      </c>
      <c r="K1124" s="21" t="s">
        <v>46</v>
      </c>
      <c r="L1124" s="24" t="n">
        <f aca="false">DATE(YEAR(C1124),MONTH(C1124),1)</f>
        <v>43160</v>
      </c>
      <c r="M1124" s="21" t="n">
        <f aca="false">D1124-C1124</f>
        <v>7</v>
      </c>
      <c r="N1124" s="21" t="n">
        <f aca="false">MAX(0,D1124-E1124)</f>
        <v>0</v>
      </c>
      <c r="O1124" s="21" t="n">
        <f aca="false">IF(D1124&lt;=E1124,1,0)</f>
        <v>1</v>
      </c>
      <c r="P1124" s="23" t="n">
        <f aca="false">G1124+H1124</f>
        <v>138.91</v>
      </c>
      <c r="Q1124" s="23" t="n">
        <f aca="false">G1124*INDEX(Assumptions!$B$8:$B$16,MATCH(F1124,Assumptions!$A$8:$A$16,0))</f>
        <v>71.0268</v>
      </c>
      <c r="R1124" s="23" t="n">
        <f aca="false">H1124*Assumptions!$B$3</f>
        <v>9.87</v>
      </c>
      <c r="S1124" s="23" t="n">
        <f aca="false">G1124-Q1124-R1124</f>
        <v>41.5632</v>
      </c>
      <c r="T1124" s="21" t="str">
        <f aca="false">IF(M1124&lt;=7,"0-7 days",IF(M1124&lt;=14,"8-14 days",IF(M1124&lt;=21,"15-21 days","22+ days")))</f>
        <v>0-7 days</v>
      </c>
    </row>
    <row r="1125" customFormat="false" ht="15" hidden="false" customHeight="false" outlineLevel="0" collapsed="false">
      <c r="A1125" s="21" t="s">
        <v>1191</v>
      </c>
      <c r="B1125" s="21" t="s">
        <v>19</v>
      </c>
      <c r="C1125" s="22" t="n">
        <v>43163</v>
      </c>
      <c r="D1125" s="22" t="n">
        <v>43173</v>
      </c>
      <c r="E1125" s="22" t="n">
        <v>43177</v>
      </c>
      <c r="F1125" s="21" t="s">
        <v>57</v>
      </c>
      <c r="G1125" s="23" t="n">
        <v>140.05</v>
      </c>
      <c r="H1125" s="23" t="n">
        <v>13.6</v>
      </c>
      <c r="I1125" s="21" t="s">
        <v>45</v>
      </c>
      <c r="J1125" s="21" t="n">
        <v>5</v>
      </c>
      <c r="K1125" s="21" t="s">
        <v>46</v>
      </c>
      <c r="L1125" s="24" t="n">
        <f aca="false">DATE(YEAR(C1125),MONTH(C1125),1)</f>
        <v>43160</v>
      </c>
      <c r="M1125" s="21" t="n">
        <f aca="false">D1125-C1125</f>
        <v>10</v>
      </c>
      <c r="N1125" s="21" t="n">
        <f aca="false">MAX(0,D1125-E1125)</f>
        <v>0</v>
      </c>
      <c r="O1125" s="21" t="n">
        <f aca="false">IF(D1125&lt;=E1125,1,0)</f>
        <v>1</v>
      </c>
      <c r="P1125" s="23" t="n">
        <f aca="false">G1125+H1125</f>
        <v>153.65</v>
      </c>
      <c r="Q1125" s="23" t="n">
        <f aca="false">G1125*INDEX(Assumptions!$B$8:$B$16,MATCH(F1125,Assumptions!$A$8:$A$16,0))</f>
        <v>95.234</v>
      </c>
      <c r="R1125" s="23" t="n">
        <f aca="false">H1125*Assumptions!$B$3</f>
        <v>8.16</v>
      </c>
      <c r="S1125" s="23" t="n">
        <f aca="false">G1125-Q1125-R1125</f>
        <v>36.656</v>
      </c>
      <c r="T1125" s="21" t="str">
        <f aca="false">IF(M1125&lt;=7,"0-7 days",IF(M1125&lt;=14,"8-14 days",IF(M1125&lt;=21,"15-21 days","22+ days")))</f>
        <v>8-14 days</v>
      </c>
    </row>
    <row r="1126" customFormat="false" ht="15" hidden="false" customHeight="false" outlineLevel="0" collapsed="false">
      <c r="A1126" s="21" t="s">
        <v>1192</v>
      </c>
      <c r="B1126" s="21" t="s">
        <v>174</v>
      </c>
      <c r="C1126" s="22" t="n">
        <v>43163</v>
      </c>
      <c r="D1126" s="22" t="n">
        <v>43201</v>
      </c>
      <c r="E1126" s="22" t="n">
        <v>43195</v>
      </c>
      <c r="F1126" s="21" t="s">
        <v>59</v>
      </c>
      <c r="G1126" s="23" t="n">
        <v>36.86</v>
      </c>
      <c r="H1126" s="23" t="n">
        <v>40.79</v>
      </c>
      <c r="I1126" s="21" t="s">
        <v>45</v>
      </c>
      <c r="J1126" s="21" t="n">
        <v>2</v>
      </c>
      <c r="K1126" s="21" t="s">
        <v>46</v>
      </c>
      <c r="L1126" s="24" t="n">
        <f aca="false">DATE(YEAR(C1126),MONTH(C1126),1)</f>
        <v>43160</v>
      </c>
      <c r="M1126" s="21" t="n">
        <f aca="false">D1126-C1126</f>
        <v>38</v>
      </c>
      <c r="N1126" s="21" t="n">
        <f aca="false">MAX(0,D1126-E1126)</f>
        <v>6</v>
      </c>
      <c r="O1126" s="21" t="n">
        <f aca="false">IF(D1126&lt;=E1126,1,0)</f>
        <v>0</v>
      </c>
      <c r="P1126" s="23" t="n">
        <f aca="false">G1126+H1126</f>
        <v>77.65</v>
      </c>
      <c r="Q1126" s="23" t="n">
        <f aca="false">G1126*INDEX(Assumptions!$B$8:$B$16,MATCH(F1126,Assumptions!$A$8:$A$16,0))</f>
        <v>23.5904</v>
      </c>
      <c r="R1126" s="23" t="n">
        <f aca="false">H1126*Assumptions!$B$3</f>
        <v>24.474</v>
      </c>
      <c r="S1126" s="23" t="n">
        <f aca="false">G1126-Q1126-R1126</f>
        <v>-11.2044</v>
      </c>
      <c r="T1126" s="21" t="str">
        <f aca="false">IF(M1126&lt;=7,"0-7 days",IF(M1126&lt;=14,"8-14 days",IF(M1126&lt;=21,"15-21 days","22+ days")))</f>
        <v>22+ days</v>
      </c>
    </row>
    <row r="1127" customFormat="false" ht="15" hidden="false" customHeight="false" outlineLevel="0" collapsed="false">
      <c r="A1127" s="21" t="s">
        <v>1193</v>
      </c>
      <c r="B1127" s="21" t="s">
        <v>156</v>
      </c>
      <c r="C1127" s="22" t="n">
        <v>43163</v>
      </c>
      <c r="D1127" s="22" t="n">
        <v>43176</v>
      </c>
      <c r="E1127" s="22" t="n">
        <v>43187</v>
      </c>
      <c r="F1127" s="21" t="s">
        <v>67</v>
      </c>
      <c r="G1127" s="23" t="n">
        <v>128.79</v>
      </c>
      <c r="H1127" s="23" t="n">
        <v>25.45</v>
      </c>
      <c r="I1127" s="21" t="s">
        <v>45</v>
      </c>
      <c r="J1127" s="21" t="n">
        <v>3</v>
      </c>
      <c r="K1127" s="21" t="s">
        <v>46</v>
      </c>
      <c r="L1127" s="24" t="n">
        <f aca="false">DATE(YEAR(C1127),MONTH(C1127),1)</f>
        <v>43160</v>
      </c>
      <c r="M1127" s="21" t="n">
        <f aca="false">D1127-C1127</f>
        <v>13</v>
      </c>
      <c r="N1127" s="21" t="n">
        <f aca="false">MAX(0,D1127-E1127)</f>
        <v>0</v>
      </c>
      <c r="O1127" s="21" t="n">
        <f aca="false">IF(D1127&lt;=E1127,1,0)</f>
        <v>1</v>
      </c>
      <c r="P1127" s="23" t="n">
        <f aca="false">G1127+H1127</f>
        <v>154.24</v>
      </c>
      <c r="Q1127" s="23" t="n">
        <f aca="false">G1127*INDEX(Assumptions!$B$8:$B$16,MATCH(F1127,Assumptions!$A$8:$A$16,0))</f>
        <v>79.8498</v>
      </c>
      <c r="R1127" s="23" t="n">
        <f aca="false">H1127*Assumptions!$B$3</f>
        <v>15.27</v>
      </c>
      <c r="S1127" s="23" t="n">
        <f aca="false">G1127-Q1127-R1127</f>
        <v>33.6702</v>
      </c>
      <c r="T1127" s="21" t="str">
        <f aca="false">IF(M1127&lt;=7,"0-7 days",IF(M1127&lt;=14,"8-14 days",IF(M1127&lt;=21,"15-21 days","22+ days")))</f>
        <v>8-14 days</v>
      </c>
    </row>
    <row r="1128" customFormat="false" ht="15" hidden="false" customHeight="false" outlineLevel="0" collapsed="false">
      <c r="A1128" s="21" t="s">
        <v>1194</v>
      </c>
      <c r="B1128" s="21" t="s">
        <v>134</v>
      </c>
      <c r="C1128" s="22" t="n">
        <v>43164</v>
      </c>
      <c r="D1128" s="22" t="n">
        <v>43179</v>
      </c>
      <c r="E1128" s="22" t="n">
        <v>43187</v>
      </c>
      <c r="F1128" s="21" t="s">
        <v>57</v>
      </c>
      <c r="G1128" s="23" t="n">
        <v>86.7</v>
      </c>
      <c r="H1128" s="23" t="n">
        <v>18.94</v>
      </c>
      <c r="I1128" s="21" t="s">
        <v>60</v>
      </c>
      <c r="J1128" s="21" t="n">
        <v>3</v>
      </c>
      <c r="K1128" s="21" t="s">
        <v>46</v>
      </c>
      <c r="L1128" s="24" t="n">
        <f aca="false">DATE(YEAR(C1128),MONTH(C1128),1)</f>
        <v>43160</v>
      </c>
      <c r="M1128" s="21" t="n">
        <f aca="false">D1128-C1128</f>
        <v>15</v>
      </c>
      <c r="N1128" s="21" t="n">
        <f aca="false">MAX(0,D1128-E1128)</f>
        <v>0</v>
      </c>
      <c r="O1128" s="21" t="n">
        <f aca="false">IF(D1128&lt;=E1128,1,0)</f>
        <v>1</v>
      </c>
      <c r="P1128" s="23" t="n">
        <f aca="false">G1128+H1128</f>
        <v>105.64</v>
      </c>
      <c r="Q1128" s="23" t="n">
        <f aca="false">G1128*INDEX(Assumptions!$B$8:$B$16,MATCH(F1128,Assumptions!$A$8:$A$16,0))</f>
        <v>58.956</v>
      </c>
      <c r="R1128" s="23" t="n">
        <f aca="false">H1128*Assumptions!$B$3</f>
        <v>11.364</v>
      </c>
      <c r="S1128" s="23" t="n">
        <f aca="false">G1128-Q1128-R1128</f>
        <v>16.38</v>
      </c>
      <c r="T1128" s="21" t="str">
        <f aca="false">IF(M1128&lt;=7,"0-7 days",IF(M1128&lt;=14,"8-14 days",IF(M1128&lt;=21,"15-21 days","22+ days")))</f>
        <v>15-21 days</v>
      </c>
    </row>
    <row r="1129" customFormat="false" ht="15" hidden="false" customHeight="false" outlineLevel="0" collapsed="false">
      <c r="A1129" s="21" t="s">
        <v>1195</v>
      </c>
      <c r="B1129" s="21" t="s">
        <v>62</v>
      </c>
      <c r="C1129" s="22" t="n">
        <v>43164</v>
      </c>
      <c r="D1129" s="22" t="n">
        <v>43174</v>
      </c>
      <c r="E1129" s="22" t="n">
        <v>43184</v>
      </c>
      <c r="F1129" s="21" t="s">
        <v>49</v>
      </c>
      <c r="G1129" s="23" t="n">
        <v>97.15</v>
      </c>
      <c r="H1129" s="23" t="n">
        <v>23.17</v>
      </c>
      <c r="I1129" s="21" t="s">
        <v>45</v>
      </c>
      <c r="J1129" s="21" t="n">
        <v>5</v>
      </c>
      <c r="K1129" s="21" t="s">
        <v>46</v>
      </c>
      <c r="L1129" s="24" t="n">
        <f aca="false">DATE(YEAR(C1129),MONTH(C1129),1)</f>
        <v>43160</v>
      </c>
      <c r="M1129" s="21" t="n">
        <f aca="false">D1129-C1129</f>
        <v>10</v>
      </c>
      <c r="N1129" s="21" t="n">
        <f aca="false">MAX(0,D1129-E1129)</f>
        <v>0</v>
      </c>
      <c r="O1129" s="21" t="n">
        <f aca="false">IF(D1129&lt;=E1129,1,0)</f>
        <v>1</v>
      </c>
      <c r="P1129" s="23" t="n">
        <f aca="false">G1129+H1129</f>
        <v>120.32</v>
      </c>
      <c r="Q1129" s="23" t="n">
        <f aca="false">G1129*INDEX(Assumptions!$B$8:$B$16,MATCH(F1129,Assumptions!$A$8:$A$16,0))</f>
        <v>56.347</v>
      </c>
      <c r="R1129" s="23" t="n">
        <f aca="false">H1129*Assumptions!$B$3</f>
        <v>13.902</v>
      </c>
      <c r="S1129" s="23" t="n">
        <f aca="false">G1129-Q1129-R1129</f>
        <v>26.901</v>
      </c>
      <c r="T1129" s="21" t="str">
        <f aca="false">IF(M1129&lt;=7,"0-7 days",IF(M1129&lt;=14,"8-14 days",IF(M1129&lt;=21,"15-21 days","22+ days")))</f>
        <v>8-14 days</v>
      </c>
    </row>
    <row r="1130" customFormat="false" ht="15" hidden="false" customHeight="false" outlineLevel="0" collapsed="false">
      <c r="A1130" s="21" t="s">
        <v>1196</v>
      </c>
      <c r="B1130" s="21" t="s">
        <v>55</v>
      </c>
      <c r="C1130" s="22" t="n">
        <v>43164</v>
      </c>
      <c r="D1130" s="22" t="n">
        <v>43185</v>
      </c>
      <c r="E1130" s="22" t="n">
        <v>43187</v>
      </c>
      <c r="F1130" s="21" t="s">
        <v>67</v>
      </c>
      <c r="G1130" s="23" t="n">
        <v>235.21</v>
      </c>
      <c r="H1130" s="23" t="n">
        <v>25.7</v>
      </c>
      <c r="I1130" s="21" t="s">
        <v>45</v>
      </c>
      <c r="J1130" s="21" t="n">
        <v>3</v>
      </c>
      <c r="K1130" s="21" t="s">
        <v>46</v>
      </c>
      <c r="L1130" s="24" t="n">
        <f aca="false">DATE(YEAR(C1130),MONTH(C1130),1)</f>
        <v>43160</v>
      </c>
      <c r="M1130" s="21" t="n">
        <f aca="false">D1130-C1130</f>
        <v>21</v>
      </c>
      <c r="N1130" s="21" t="n">
        <f aca="false">MAX(0,D1130-E1130)</f>
        <v>0</v>
      </c>
      <c r="O1130" s="21" t="n">
        <f aca="false">IF(D1130&lt;=E1130,1,0)</f>
        <v>1</v>
      </c>
      <c r="P1130" s="23" t="n">
        <f aca="false">G1130+H1130</f>
        <v>260.91</v>
      </c>
      <c r="Q1130" s="23" t="n">
        <f aca="false">G1130*INDEX(Assumptions!$B$8:$B$16,MATCH(F1130,Assumptions!$A$8:$A$16,0))</f>
        <v>145.8302</v>
      </c>
      <c r="R1130" s="23" t="n">
        <f aca="false">H1130*Assumptions!$B$3</f>
        <v>15.42</v>
      </c>
      <c r="S1130" s="23" t="n">
        <f aca="false">G1130-Q1130-R1130</f>
        <v>73.9598</v>
      </c>
      <c r="T1130" s="21" t="str">
        <f aca="false">IF(M1130&lt;=7,"0-7 days",IF(M1130&lt;=14,"8-14 days",IF(M1130&lt;=21,"15-21 days","22+ days")))</f>
        <v>15-21 days</v>
      </c>
    </row>
    <row r="1131" customFormat="false" ht="15" hidden="false" customHeight="false" outlineLevel="0" collapsed="false">
      <c r="A1131" s="21" t="s">
        <v>1197</v>
      </c>
      <c r="B1131" s="21" t="s">
        <v>19</v>
      </c>
      <c r="C1131" s="22" t="n">
        <v>43164</v>
      </c>
      <c r="D1131" s="22" t="n">
        <v>43168</v>
      </c>
      <c r="E1131" s="22" t="n">
        <v>43178</v>
      </c>
      <c r="F1131" s="21" t="s">
        <v>49</v>
      </c>
      <c r="G1131" s="23" t="n">
        <v>40.4</v>
      </c>
      <c r="H1131" s="23" t="n">
        <v>17.65</v>
      </c>
      <c r="I1131" s="21" t="s">
        <v>45</v>
      </c>
      <c r="J1131" s="21" t="n">
        <v>5</v>
      </c>
      <c r="K1131" s="21" t="s">
        <v>46</v>
      </c>
      <c r="L1131" s="24" t="n">
        <f aca="false">DATE(YEAR(C1131),MONTH(C1131),1)</f>
        <v>43160</v>
      </c>
      <c r="M1131" s="21" t="n">
        <f aca="false">D1131-C1131</f>
        <v>4</v>
      </c>
      <c r="N1131" s="21" t="n">
        <f aca="false">MAX(0,D1131-E1131)</f>
        <v>0</v>
      </c>
      <c r="O1131" s="21" t="n">
        <f aca="false">IF(D1131&lt;=E1131,1,0)</f>
        <v>1</v>
      </c>
      <c r="P1131" s="23" t="n">
        <f aca="false">G1131+H1131</f>
        <v>58.05</v>
      </c>
      <c r="Q1131" s="23" t="n">
        <f aca="false">G1131*INDEX(Assumptions!$B$8:$B$16,MATCH(F1131,Assumptions!$A$8:$A$16,0))</f>
        <v>23.432</v>
      </c>
      <c r="R1131" s="23" t="n">
        <f aca="false">H1131*Assumptions!$B$3</f>
        <v>10.59</v>
      </c>
      <c r="S1131" s="23" t="n">
        <f aca="false">G1131-Q1131-R1131</f>
        <v>6.378</v>
      </c>
      <c r="T1131" s="21" t="str">
        <f aca="false">IF(M1131&lt;=7,"0-7 days",IF(M1131&lt;=14,"8-14 days",IF(M1131&lt;=21,"15-21 days","22+ days")))</f>
        <v>0-7 days</v>
      </c>
    </row>
    <row r="1132" customFormat="false" ht="15" hidden="false" customHeight="false" outlineLevel="0" collapsed="false">
      <c r="A1132" s="21" t="s">
        <v>1198</v>
      </c>
      <c r="B1132" s="21" t="s">
        <v>62</v>
      </c>
      <c r="C1132" s="22" t="n">
        <v>43165</v>
      </c>
      <c r="D1132" s="22" t="n">
        <v>43178</v>
      </c>
      <c r="E1132" s="22" t="n">
        <v>43186</v>
      </c>
      <c r="F1132" s="21" t="s">
        <v>79</v>
      </c>
      <c r="G1132" s="23" t="n">
        <v>146.18</v>
      </c>
      <c r="H1132" s="23" t="n">
        <v>23.55</v>
      </c>
      <c r="I1132" s="21" t="s">
        <v>45</v>
      </c>
      <c r="J1132" s="21" t="n">
        <v>5</v>
      </c>
      <c r="K1132" s="21" t="s">
        <v>46</v>
      </c>
      <c r="L1132" s="24" t="n">
        <f aca="false">DATE(YEAR(C1132),MONTH(C1132),1)</f>
        <v>43160</v>
      </c>
      <c r="M1132" s="21" t="n">
        <f aca="false">D1132-C1132</f>
        <v>13</v>
      </c>
      <c r="N1132" s="21" t="n">
        <f aca="false">MAX(0,D1132-E1132)</f>
        <v>0</v>
      </c>
      <c r="O1132" s="21" t="n">
        <f aca="false">IF(D1132&lt;=E1132,1,0)</f>
        <v>1</v>
      </c>
      <c r="P1132" s="23" t="n">
        <f aca="false">G1132+H1132</f>
        <v>169.73</v>
      </c>
      <c r="Q1132" s="23" t="n">
        <f aca="false">G1132*INDEX(Assumptions!$B$8:$B$16,MATCH(F1132,Assumptions!$A$8:$A$16,0))</f>
        <v>102.326</v>
      </c>
      <c r="R1132" s="23" t="n">
        <f aca="false">H1132*Assumptions!$B$3</f>
        <v>14.13</v>
      </c>
      <c r="S1132" s="23" t="n">
        <f aca="false">G1132-Q1132-R1132</f>
        <v>29.724</v>
      </c>
      <c r="T1132" s="21" t="str">
        <f aca="false">IF(M1132&lt;=7,"0-7 days",IF(M1132&lt;=14,"8-14 days",IF(M1132&lt;=21,"15-21 days","22+ days")))</f>
        <v>8-14 days</v>
      </c>
    </row>
    <row r="1133" customFormat="false" ht="15" hidden="false" customHeight="false" outlineLevel="0" collapsed="false">
      <c r="A1133" s="21" t="s">
        <v>1199</v>
      </c>
      <c r="B1133" s="21" t="s">
        <v>103</v>
      </c>
      <c r="C1133" s="22" t="n">
        <v>43165</v>
      </c>
      <c r="D1133" s="22" t="n">
        <v>43172</v>
      </c>
      <c r="E1133" s="22" t="n">
        <v>43186</v>
      </c>
      <c r="F1133" s="21" t="s">
        <v>49</v>
      </c>
      <c r="G1133" s="23" t="n">
        <v>68.6</v>
      </c>
      <c r="H1133" s="23" t="n">
        <v>20.85</v>
      </c>
      <c r="I1133" s="21" t="s">
        <v>45</v>
      </c>
      <c r="J1133" s="21" t="n">
        <v>4</v>
      </c>
      <c r="K1133" s="21" t="s">
        <v>46</v>
      </c>
      <c r="L1133" s="24" t="n">
        <f aca="false">DATE(YEAR(C1133),MONTH(C1133),1)</f>
        <v>43160</v>
      </c>
      <c r="M1133" s="21" t="n">
        <f aca="false">D1133-C1133</f>
        <v>7</v>
      </c>
      <c r="N1133" s="21" t="n">
        <f aca="false">MAX(0,D1133-E1133)</f>
        <v>0</v>
      </c>
      <c r="O1133" s="21" t="n">
        <f aca="false">IF(D1133&lt;=E1133,1,0)</f>
        <v>1</v>
      </c>
      <c r="P1133" s="23" t="n">
        <f aca="false">G1133+H1133</f>
        <v>89.45</v>
      </c>
      <c r="Q1133" s="23" t="n">
        <f aca="false">G1133*INDEX(Assumptions!$B$8:$B$16,MATCH(F1133,Assumptions!$A$8:$A$16,0))</f>
        <v>39.788</v>
      </c>
      <c r="R1133" s="23" t="n">
        <f aca="false">H1133*Assumptions!$B$3</f>
        <v>12.51</v>
      </c>
      <c r="S1133" s="23" t="n">
        <f aca="false">G1133-Q1133-R1133</f>
        <v>16.302</v>
      </c>
      <c r="T1133" s="21" t="str">
        <f aca="false">IF(M1133&lt;=7,"0-7 days",IF(M1133&lt;=14,"8-14 days",IF(M1133&lt;=21,"15-21 days","22+ days")))</f>
        <v>0-7 days</v>
      </c>
    </row>
    <row r="1134" customFormat="false" ht="15" hidden="false" customHeight="false" outlineLevel="0" collapsed="false">
      <c r="A1134" s="21" t="s">
        <v>1200</v>
      </c>
      <c r="B1134" s="21" t="s">
        <v>156</v>
      </c>
      <c r="C1134" s="22" t="n">
        <v>43165</v>
      </c>
      <c r="D1134" s="22" t="n">
        <v>43184</v>
      </c>
      <c r="E1134" s="22" t="n">
        <v>43187</v>
      </c>
      <c r="F1134" s="21" t="s">
        <v>67</v>
      </c>
      <c r="G1134" s="23" t="n">
        <v>59</v>
      </c>
      <c r="H1134" s="23" t="n">
        <v>19.92</v>
      </c>
      <c r="I1134" s="21" t="s">
        <v>45</v>
      </c>
      <c r="J1134" s="21" t="n">
        <v>4</v>
      </c>
      <c r="K1134" s="21" t="s">
        <v>46</v>
      </c>
      <c r="L1134" s="24" t="n">
        <f aca="false">DATE(YEAR(C1134),MONTH(C1134),1)</f>
        <v>43160</v>
      </c>
      <c r="M1134" s="21" t="n">
        <f aca="false">D1134-C1134</f>
        <v>19</v>
      </c>
      <c r="N1134" s="21" t="n">
        <f aca="false">MAX(0,D1134-E1134)</f>
        <v>0</v>
      </c>
      <c r="O1134" s="21" t="n">
        <f aca="false">IF(D1134&lt;=E1134,1,0)</f>
        <v>1</v>
      </c>
      <c r="P1134" s="23" t="n">
        <f aca="false">G1134+H1134</f>
        <v>78.92</v>
      </c>
      <c r="Q1134" s="23" t="n">
        <f aca="false">G1134*INDEX(Assumptions!$B$8:$B$16,MATCH(F1134,Assumptions!$A$8:$A$16,0))</f>
        <v>36.58</v>
      </c>
      <c r="R1134" s="23" t="n">
        <f aca="false">H1134*Assumptions!$B$3</f>
        <v>11.952</v>
      </c>
      <c r="S1134" s="23" t="n">
        <f aca="false">G1134-Q1134-R1134</f>
        <v>10.468</v>
      </c>
      <c r="T1134" s="21" t="str">
        <f aca="false">IF(M1134&lt;=7,"0-7 days",IF(M1134&lt;=14,"8-14 days",IF(M1134&lt;=21,"15-21 days","22+ days")))</f>
        <v>15-21 days</v>
      </c>
    </row>
    <row r="1135" customFormat="false" ht="15" hidden="false" customHeight="false" outlineLevel="0" collapsed="false">
      <c r="A1135" s="21" t="s">
        <v>1201</v>
      </c>
      <c r="B1135" s="21" t="s">
        <v>19</v>
      </c>
      <c r="C1135" s="22" t="n">
        <v>43165</v>
      </c>
      <c r="D1135" s="22" t="n">
        <v>43170</v>
      </c>
      <c r="E1135" s="22" t="n">
        <v>43183</v>
      </c>
      <c r="F1135" s="21" t="s">
        <v>64</v>
      </c>
      <c r="G1135" s="23" t="n">
        <v>158.3</v>
      </c>
      <c r="H1135" s="23" t="n">
        <v>17.76</v>
      </c>
      <c r="I1135" s="21" t="s">
        <v>45</v>
      </c>
      <c r="J1135" s="21" t="n">
        <v>5</v>
      </c>
      <c r="K1135" s="21" t="s">
        <v>46</v>
      </c>
      <c r="L1135" s="24" t="n">
        <f aca="false">DATE(YEAR(C1135),MONTH(C1135),1)</f>
        <v>43160</v>
      </c>
      <c r="M1135" s="21" t="n">
        <f aca="false">D1135-C1135</f>
        <v>5</v>
      </c>
      <c r="N1135" s="21" t="n">
        <f aca="false">MAX(0,D1135-E1135)</f>
        <v>0</v>
      </c>
      <c r="O1135" s="21" t="n">
        <f aca="false">IF(D1135&lt;=E1135,1,0)</f>
        <v>1</v>
      </c>
      <c r="P1135" s="23" t="n">
        <f aca="false">G1135+H1135</f>
        <v>176.06</v>
      </c>
      <c r="Q1135" s="23" t="n">
        <f aca="false">G1135*INDEX(Assumptions!$B$8:$B$16,MATCH(F1135,Assumptions!$A$8:$A$16,0))</f>
        <v>104.478</v>
      </c>
      <c r="R1135" s="23" t="n">
        <f aca="false">H1135*Assumptions!$B$3</f>
        <v>10.656</v>
      </c>
      <c r="S1135" s="23" t="n">
        <f aca="false">G1135-Q1135-R1135</f>
        <v>43.166</v>
      </c>
      <c r="T1135" s="21" t="str">
        <f aca="false">IF(M1135&lt;=7,"0-7 days",IF(M1135&lt;=14,"8-14 days",IF(M1135&lt;=21,"15-21 days","22+ days")))</f>
        <v>0-7 days</v>
      </c>
    </row>
    <row r="1136" customFormat="false" ht="15" hidden="false" customHeight="false" outlineLevel="0" collapsed="false">
      <c r="A1136" s="21" t="s">
        <v>1202</v>
      </c>
      <c r="B1136" s="21" t="s">
        <v>62</v>
      </c>
      <c r="C1136" s="22" t="n">
        <v>43165</v>
      </c>
      <c r="D1136" s="22" t="n">
        <v>43174</v>
      </c>
      <c r="E1136" s="22" t="n">
        <v>43188</v>
      </c>
      <c r="F1136" s="21" t="s">
        <v>79</v>
      </c>
      <c r="G1136" s="23" t="n">
        <v>147.36</v>
      </c>
      <c r="H1136" s="23" t="n">
        <v>23.42</v>
      </c>
      <c r="I1136" s="21" t="s">
        <v>45</v>
      </c>
      <c r="J1136" s="21" t="n">
        <v>5</v>
      </c>
      <c r="K1136" s="21" t="s">
        <v>46</v>
      </c>
      <c r="L1136" s="24" t="n">
        <f aca="false">DATE(YEAR(C1136),MONTH(C1136),1)</f>
        <v>43160</v>
      </c>
      <c r="M1136" s="21" t="n">
        <f aca="false">D1136-C1136</f>
        <v>9</v>
      </c>
      <c r="N1136" s="21" t="n">
        <f aca="false">MAX(0,D1136-E1136)</f>
        <v>0</v>
      </c>
      <c r="O1136" s="21" t="n">
        <f aca="false">IF(D1136&lt;=E1136,1,0)</f>
        <v>1</v>
      </c>
      <c r="P1136" s="23" t="n">
        <f aca="false">G1136+H1136</f>
        <v>170.78</v>
      </c>
      <c r="Q1136" s="23" t="n">
        <f aca="false">G1136*INDEX(Assumptions!$B$8:$B$16,MATCH(F1136,Assumptions!$A$8:$A$16,0))</f>
        <v>103.152</v>
      </c>
      <c r="R1136" s="23" t="n">
        <f aca="false">H1136*Assumptions!$B$3</f>
        <v>14.052</v>
      </c>
      <c r="S1136" s="23" t="n">
        <f aca="false">G1136-Q1136-R1136</f>
        <v>30.156</v>
      </c>
      <c r="T1136" s="21" t="str">
        <f aca="false">IF(M1136&lt;=7,"0-7 days",IF(M1136&lt;=14,"8-14 days",IF(M1136&lt;=21,"15-21 days","22+ days")))</f>
        <v>8-14 days</v>
      </c>
    </row>
    <row r="1137" customFormat="false" ht="15" hidden="false" customHeight="false" outlineLevel="0" collapsed="false">
      <c r="A1137" s="21" t="s">
        <v>1203</v>
      </c>
      <c r="B1137" s="21" t="s">
        <v>134</v>
      </c>
      <c r="C1137" s="22" t="n">
        <v>43165</v>
      </c>
      <c r="D1137" s="22" t="n">
        <v>43178</v>
      </c>
      <c r="E1137" s="22" t="n">
        <v>43191</v>
      </c>
      <c r="F1137" s="21" t="s">
        <v>53</v>
      </c>
      <c r="G1137" s="23" t="n">
        <v>204.73</v>
      </c>
      <c r="H1137" s="23" t="n">
        <v>33.09</v>
      </c>
      <c r="I1137" s="21" t="s">
        <v>50</v>
      </c>
      <c r="J1137" s="21" t="n">
        <v>5</v>
      </c>
      <c r="K1137" s="21" t="s">
        <v>46</v>
      </c>
      <c r="L1137" s="24" t="n">
        <f aca="false">DATE(YEAR(C1137),MONTH(C1137),1)</f>
        <v>43160</v>
      </c>
      <c r="M1137" s="21" t="n">
        <f aca="false">D1137-C1137</f>
        <v>13</v>
      </c>
      <c r="N1137" s="21" t="n">
        <f aca="false">MAX(0,D1137-E1137)</f>
        <v>0</v>
      </c>
      <c r="O1137" s="21" t="n">
        <f aca="false">IF(D1137&lt;=E1137,1,0)</f>
        <v>1</v>
      </c>
      <c r="P1137" s="23" t="n">
        <f aca="false">G1137+H1137</f>
        <v>237.82</v>
      </c>
      <c r="Q1137" s="23" t="n">
        <f aca="false">G1137*INDEX(Assumptions!$B$8:$B$16,MATCH(F1137,Assumptions!$A$8:$A$16,0))</f>
        <v>151.5002</v>
      </c>
      <c r="R1137" s="23" t="n">
        <f aca="false">H1137*Assumptions!$B$3</f>
        <v>19.854</v>
      </c>
      <c r="S1137" s="23" t="n">
        <f aca="false">G1137-Q1137-R1137</f>
        <v>33.3758</v>
      </c>
      <c r="T1137" s="21" t="str">
        <f aca="false">IF(M1137&lt;=7,"0-7 days",IF(M1137&lt;=14,"8-14 days",IF(M1137&lt;=21,"15-21 days","22+ days")))</f>
        <v>8-14 days</v>
      </c>
    </row>
    <row r="1138" customFormat="false" ht="15" hidden="false" customHeight="false" outlineLevel="0" collapsed="false">
      <c r="A1138" s="21" t="s">
        <v>1204</v>
      </c>
      <c r="B1138" s="21" t="s">
        <v>62</v>
      </c>
      <c r="C1138" s="22" t="n">
        <v>43165</v>
      </c>
      <c r="D1138" s="22" t="n">
        <v>43174</v>
      </c>
      <c r="E1138" s="22" t="n">
        <v>43188</v>
      </c>
      <c r="F1138" s="21" t="s">
        <v>64</v>
      </c>
      <c r="G1138" s="23" t="n">
        <v>80.51</v>
      </c>
      <c r="H1138" s="23" t="n">
        <v>20.34</v>
      </c>
      <c r="I1138" s="21" t="s">
        <v>45</v>
      </c>
      <c r="J1138" s="21" t="n">
        <v>4</v>
      </c>
      <c r="K1138" s="21" t="s">
        <v>46</v>
      </c>
      <c r="L1138" s="24" t="n">
        <f aca="false">DATE(YEAR(C1138),MONTH(C1138),1)</f>
        <v>43160</v>
      </c>
      <c r="M1138" s="21" t="n">
        <f aca="false">D1138-C1138</f>
        <v>9</v>
      </c>
      <c r="N1138" s="21" t="n">
        <f aca="false">MAX(0,D1138-E1138)</f>
        <v>0</v>
      </c>
      <c r="O1138" s="21" t="n">
        <f aca="false">IF(D1138&lt;=E1138,1,0)</f>
        <v>1</v>
      </c>
      <c r="P1138" s="23" t="n">
        <f aca="false">G1138+H1138</f>
        <v>100.85</v>
      </c>
      <c r="Q1138" s="23" t="n">
        <f aca="false">G1138*INDEX(Assumptions!$B$8:$B$16,MATCH(F1138,Assumptions!$A$8:$A$16,0))</f>
        <v>53.1366</v>
      </c>
      <c r="R1138" s="23" t="n">
        <f aca="false">H1138*Assumptions!$B$3</f>
        <v>12.204</v>
      </c>
      <c r="S1138" s="23" t="n">
        <f aca="false">G1138-Q1138-R1138</f>
        <v>15.1694</v>
      </c>
      <c r="T1138" s="21" t="str">
        <f aca="false">IF(M1138&lt;=7,"0-7 days",IF(M1138&lt;=14,"8-14 days",IF(M1138&lt;=21,"15-21 days","22+ days")))</f>
        <v>8-14 days</v>
      </c>
    </row>
    <row r="1139" customFormat="false" ht="15" hidden="false" customHeight="false" outlineLevel="0" collapsed="false">
      <c r="A1139" s="21" t="s">
        <v>1205</v>
      </c>
      <c r="B1139" s="21" t="s">
        <v>62</v>
      </c>
      <c r="C1139" s="22" t="n">
        <v>43166</v>
      </c>
      <c r="D1139" s="22" t="n">
        <v>43189</v>
      </c>
      <c r="E1139" s="22" t="n">
        <v>43187</v>
      </c>
      <c r="F1139" s="21" t="s">
        <v>67</v>
      </c>
      <c r="G1139" s="23" t="n">
        <v>77.21</v>
      </c>
      <c r="H1139" s="23" t="n">
        <v>22.24</v>
      </c>
      <c r="I1139" s="21" t="s">
        <v>60</v>
      </c>
      <c r="J1139" s="21" t="n">
        <v>3</v>
      </c>
      <c r="K1139" s="21" t="s">
        <v>46</v>
      </c>
      <c r="L1139" s="24" t="n">
        <f aca="false">DATE(YEAR(C1139),MONTH(C1139),1)</f>
        <v>43160</v>
      </c>
      <c r="M1139" s="21" t="n">
        <f aca="false">D1139-C1139</f>
        <v>23</v>
      </c>
      <c r="N1139" s="21" t="n">
        <f aca="false">MAX(0,D1139-E1139)</f>
        <v>2</v>
      </c>
      <c r="O1139" s="21" t="n">
        <f aca="false">IF(D1139&lt;=E1139,1,0)</f>
        <v>0</v>
      </c>
      <c r="P1139" s="23" t="n">
        <f aca="false">G1139+H1139</f>
        <v>99.45</v>
      </c>
      <c r="Q1139" s="23" t="n">
        <f aca="false">G1139*INDEX(Assumptions!$B$8:$B$16,MATCH(F1139,Assumptions!$A$8:$A$16,0))</f>
        <v>47.8702</v>
      </c>
      <c r="R1139" s="23" t="n">
        <f aca="false">H1139*Assumptions!$B$3</f>
        <v>13.344</v>
      </c>
      <c r="S1139" s="23" t="n">
        <f aca="false">G1139-Q1139-R1139</f>
        <v>15.9958</v>
      </c>
      <c r="T1139" s="21" t="str">
        <f aca="false">IF(M1139&lt;=7,"0-7 days",IF(M1139&lt;=14,"8-14 days",IF(M1139&lt;=21,"15-21 days","22+ days")))</f>
        <v>22+ days</v>
      </c>
    </row>
    <row r="1140" customFormat="false" ht="15" hidden="false" customHeight="false" outlineLevel="0" collapsed="false">
      <c r="A1140" s="21" t="s">
        <v>1206</v>
      </c>
      <c r="B1140" s="21" t="s">
        <v>19</v>
      </c>
      <c r="C1140" s="22" t="n">
        <v>43166</v>
      </c>
      <c r="D1140" s="22" t="n">
        <v>43172</v>
      </c>
      <c r="E1140" s="22" t="n">
        <v>43181</v>
      </c>
      <c r="F1140" s="21" t="s">
        <v>53</v>
      </c>
      <c r="G1140" s="23" t="n">
        <v>132.32</v>
      </c>
      <c r="H1140" s="23" t="n">
        <v>22.51</v>
      </c>
      <c r="I1140" s="21" t="s">
        <v>45</v>
      </c>
      <c r="J1140" s="21" t="n">
        <v>4</v>
      </c>
      <c r="K1140" s="21" t="s">
        <v>46</v>
      </c>
      <c r="L1140" s="24" t="n">
        <f aca="false">DATE(YEAR(C1140),MONTH(C1140),1)</f>
        <v>43160</v>
      </c>
      <c r="M1140" s="21" t="n">
        <f aca="false">D1140-C1140</f>
        <v>6</v>
      </c>
      <c r="N1140" s="21" t="n">
        <f aca="false">MAX(0,D1140-E1140)</f>
        <v>0</v>
      </c>
      <c r="O1140" s="21" t="n">
        <f aca="false">IF(D1140&lt;=E1140,1,0)</f>
        <v>1</v>
      </c>
      <c r="P1140" s="23" t="n">
        <f aca="false">G1140+H1140</f>
        <v>154.83</v>
      </c>
      <c r="Q1140" s="23" t="n">
        <f aca="false">G1140*INDEX(Assumptions!$B$8:$B$16,MATCH(F1140,Assumptions!$A$8:$A$16,0))</f>
        <v>97.9168</v>
      </c>
      <c r="R1140" s="23" t="n">
        <f aca="false">H1140*Assumptions!$B$3</f>
        <v>13.506</v>
      </c>
      <c r="S1140" s="23" t="n">
        <f aca="false">G1140-Q1140-R1140</f>
        <v>20.8972</v>
      </c>
      <c r="T1140" s="21" t="str">
        <f aca="false">IF(M1140&lt;=7,"0-7 days",IF(M1140&lt;=14,"8-14 days",IF(M1140&lt;=21,"15-21 days","22+ days")))</f>
        <v>0-7 days</v>
      </c>
    </row>
    <row r="1141" customFormat="false" ht="15" hidden="false" customHeight="false" outlineLevel="0" collapsed="false">
      <c r="A1141" s="21" t="s">
        <v>1207</v>
      </c>
      <c r="B1141" s="21" t="s">
        <v>19</v>
      </c>
      <c r="C1141" s="22" t="n">
        <v>43166</v>
      </c>
      <c r="D1141" s="22" t="n">
        <v>43174</v>
      </c>
      <c r="E1141" s="22" t="n">
        <v>43183</v>
      </c>
      <c r="F1141" s="21" t="s">
        <v>79</v>
      </c>
      <c r="G1141" s="23" t="n">
        <v>111.2</v>
      </c>
      <c r="H1141" s="23" t="n">
        <v>16.29</v>
      </c>
      <c r="I1141" s="21" t="s">
        <v>45</v>
      </c>
      <c r="J1141" s="21" t="n">
        <v>5</v>
      </c>
      <c r="K1141" s="21" t="s">
        <v>46</v>
      </c>
      <c r="L1141" s="24" t="n">
        <f aca="false">DATE(YEAR(C1141),MONTH(C1141),1)</f>
        <v>43160</v>
      </c>
      <c r="M1141" s="21" t="n">
        <f aca="false">D1141-C1141</f>
        <v>8</v>
      </c>
      <c r="N1141" s="21" t="n">
        <f aca="false">MAX(0,D1141-E1141)</f>
        <v>0</v>
      </c>
      <c r="O1141" s="21" t="n">
        <f aca="false">IF(D1141&lt;=E1141,1,0)</f>
        <v>1</v>
      </c>
      <c r="P1141" s="23" t="n">
        <f aca="false">G1141+H1141</f>
        <v>127.49</v>
      </c>
      <c r="Q1141" s="23" t="n">
        <f aca="false">G1141*INDEX(Assumptions!$B$8:$B$16,MATCH(F1141,Assumptions!$A$8:$A$16,0))</f>
        <v>77.84</v>
      </c>
      <c r="R1141" s="23" t="n">
        <f aca="false">H1141*Assumptions!$B$3</f>
        <v>9.774</v>
      </c>
      <c r="S1141" s="23" t="n">
        <f aca="false">G1141-Q1141-R1141</f>
        <v>23.586</v>
      </c>
      <c r="T1141" s="21" t="str">
        <f aca="false">IF(M1141&lt;=7,"0-7 days",IF(M1141&lt;=14,"8-14 days",IF(M1141&lt;=21,"15-21 days","22+ days")))</f>
        <v>8-14 days</v>
      </c>
    </row>
    <row r="1142" customFormat="false" ht="15" hidden="false" customHeight="false" outlineLevel="0" collapsed="false">
      <c r="A1142" s="21" t="s">
        <v>1208</v>
      </c>
      <c r="B1142" s="21" t="s">
        <v>174</v>
      </c>
      <c r="C1142" s="22" t="n">
        <v>43167</v>
      </c>
      <c r="D1142" s="22" t="n">
        <v>43193</v>
      </c>
      <c r="E1142" s="22" t="n">
        <v>43201</v>
      </c>
      <c r="F1142" s="21" t="s">
        <v>49</v>
      </c>
      <c r="G1142" s="23" t="n">
        <v>134.71</v>
      </c>
      <c r="H1142" s="23" t="n">
        <v>47.67</v>
      </c>
      <c r="I1142" s="21" t="s">
        <v>50</v>
      </c>
      <c r="J1142" s="21" t="n">
        <v>4</v>
      </c>
      <c r="K1142" s="21" t="s">
        <v>46</v>
      </c>
      <c r="L1142" s="24" t="n">
        <f aca="false">DATE(YEAR(C1142),MONTH(C1142),1)</f>
        <v>43160</v>
      </c>
      <c r="M1142" s="21" t="n">
        <f aca="false">D1142-C1142</f>
        <v>26</v>
      </c>
      <c r="N1142" s="21" t="n">
        <f aca="false">MAX(0,D1142-E1142)</f>
        <v>0</v>
      </c>
      <c r="O1142" s="21" t="n">
        <f aca="false">IF(D1142&lt;=E1142,1,0)</f>
        <v>1</v>
      </c>
      <c r="P1142" s="23" t="n">
        <f aca="false">G1142+H1142</f>
        <v>182.38</v>
      </c>
      <c r="Q1142" s="23" t="n">
        <f aca="false">G1142*INDEX(Assumptions!$B$8:$B$16,MATCH(F1142,Assumptions!$A$8:$A$16,0))</f>
        <v>78.1318</v>
      </c>
      <c r="R1142" s="23" t="n">
        <f aca="false">H1142*Assumptions!$B$3</f>
        <v>28.602</v>
      </c>
      <c r="S1142" s="23" t="n">
        <f aca="false">G1142-Q1142-R1142</f>
        <v>27.9762</v>
      </c>
      <c r="T1142" s="21" t="str">
        <f aca="false">IF(M1142&lt;=7,"0-7 days",IF(M1142&lt;=14,"8-14 days",IF(M1142&lt;=21,"15-21 days","22+ days")))</f>
        <v>22+ days</v>
      </c>
    </row>
    <row r="1143" customFormat="false" ht="15" hidden="false" customHeight="false" outlineLevel="0" collapsed="false">
      <c r="A1143" s="21" t="s">
        <v>1209</v>
      </c>
      <c r="B1143" s="21" t="s">
        <v>19</v>
      </c>
      <c r="C1143" s="22" t="n">
        <v>43168</v>
      </c>
      <c r="D1143" s="22" t="n">
        <v>43173</v>
      </c>
      <c r="E1143" s="22" t="n">
        <v>43178</v>
      </c>
      <c r="F1143" s="21" t="s">
        <v>67</v>
      </c>
      <c r="G1143" s="23" t="n">
        <v>117.38</v>
      </c>
      <c r="H1143" s="23" t="n">
        <v>13.31</v>
      </c>
      <c r="I1143" s="21" t="s">
        <v>60</v>
      </c>
      <c r="J1143" s="21" t="n">
        <v>5</v>
      </c>
      <c r="K1143" s="21" t="s">
        <v>46</v>
      </c>
      <c r="L1143" s="24" t="n">
        <f aca="false">DATE(YEAR(C1143),MONTH(C1143),1)</f>
        <v>43160</v>
      </c>
      <c r="M1143" s="21" t="n">
        <f aca="false">D1143-C1143</f>
        <v>5</v>
      </c>
      <c r="N1143" s="21" t="n">
        <f aca="false">MAX(0,D1143-E1143)</f>
        <v>0</v>
      </c>
      <c r="O1143" s="21" t="n">
        <f aca="false">IF(D1143&lt;=E1143,1,0)</f>
        <v>1</v>
      </c>
      <c r="P1143" s="23" t="n">
        <f aca="false">G1143+H1143</f>
        <v>130.69</v>
      </c>
      <c r="Q1143" s="23" t="n">
        <f aca="false">G1143*INDEX(Assumptions!$B$8:$B$16,MATCH(F1143,Assumptions!$A$8:$A$16,0))</f>
        <v>72.7756</v>
      </c>
      <c r="R1143" s="23" t="n">
        <f aca="false">H1143*Assumptions!$B$3</f>
        <v>7.986</v>
      </c>
      <c r="S1143" s="23" t="n">
        <f aca="false">G1143-Q1143-R1143</f>
        <v>36.6184</v>
      </c>
      <c r="T1143" s="21" t="str">
        <f aca="false">IF(M1143&lt;=7,"0-7 days",IF(M1143&lt;=14,"8-14 days",IF(M1143&lt;=21,"15-21 days","22+ days")))</f>
        <v>0-7 days</v>
      </c>
    </row>
    <row r="1144" customFormat="false" ht="15" hidden="false" customHeight="false" outlineLevel="0" collapsed="false">
      <c r="A1144" s="21" t="s">
        <v>1210</v>
      </c>
      <c r="B1144" s="21" t="s">
        <v>19</v>
      </c>
      <c r="C1144" s="22" t="n">
        <v>43168</v>
      </c>
      <c r="D1144" s="22" t="n">
        <v>43181</v>
      </c>
      <c r="E1144" s="22" t="n">
        <v>43182</v>
      </c>
      <c r="F1144" s="21" t="s">
        <v>53</v>
      </c>
      <c r="G1144" s="23" t="n">
        <v>57.96</v>
      </c>
      <c r="H1144" s="23" t="n">
        <v>16.73</v>
      </c>
      <c r="I1144" s="21" t="s">
        <v>60</v>
      </c>
      <c r="J1144" s="21" t="n">
        <v>5</v>
      </c>
      <c r="K1144" s="21" t="s">
        <v>46</v>
      </c>
      <c r="L1144" s="24" t="n">
        <f aca="false">DATE(YEAR(C1144),MONTH(C1144),1)</f>
        <v>43160</v>
      </c>
      <c r="M1144" s="21" t="n">
        <f aca="false">D1144-C1144</f>
        <v>13</v>
      </c>
      <c r="N1144" s="21" t="n">
        <f aca="false">MAX(0,D1144-E1144)</f>
        <v>0</v>
      </c>
      <c r="O1144" s="21" t="n">
        <f aca="false">IF(D1144&lt;=E1144,1,0)</f>
        <v>1</v>
      </c>
      <c r="P1144" s="23" t="n">
        <f aca="false">G1144+H1144</f>
        <v>74.69</v>
      </c>
      <c r="Q1144" s="23" t="n">
        <f aca="false">G1144*INDEX(Assumptions!$B$8:$B$16,MATCH(F1144,Assumptions!$A$8:$A$16,0))</f>
        <v>42.8904</v>
      </c>
      <c r="R1144" s="23" t="n">
        <f aca="false">H1144*Assumptions!$B$3</f>
        <v>10.038</v>
      </c>
      <c r="S1144" s="23" t="n">
        <f aca="false">G1144-Q1144-R1144</f>
        <v>5.0316</v>
      </c>
      <c r="T1144" s="21" t="str">
        <f aca="false">IF(M1144&lt;=7,"0-7 days",IF(M1144&lt;=14,"8-14 days",IF(M1144&lt;=21,"15-21 days","22+ days")))</f>
        <v>8-14 days</v>
      </c>
    </row>
    <row r="1145" customFormat="false" ht="15" hidden="false" customHeight="false" outlineLevel="0" collapsed="false">
      <c r="A1145" s="21" t="s">
        <v>1211</v>
      </c>
      <c r="B1145" s="21" t="s">
        <v>19</v>
      </c>
      <c r="C1145" s="22" t="n">
        <v>43168</v>
      </c>
      <c r="D1145" s="22" t="n">
        <v>43175</v>
      </c>
      <c r="E1145" s="22" t="n">
        <v>43184</v>
      </c>
      <c r="F1145" s="21" t="s">
        <v>64</v>
      </c>
      <c r="G1145" s="23" t="n">
        <v>63.79</v>
      </c>
      <c r="H1145" s="23" t="n">
        <v>22.14</v>
      </c>
      <c r="I1145" s="21" t="s">
        <v>45</v>
      </c>
      <c r="J1145" s="21" t="n">
        <v>4</v>
      </c>
      <c r="K1145" s="21" t="s">
        <v>46</v>
      </c>
      <c r="L1145" s="24" t="n">
        <f aca="false">DATE(YEAR(C1145),MONTH(C1145),1)</f>
        <v>43160</v>
      </c>
      <c r="M1145" s="21" t="n">
        <f aca="false">D1145-C1145</f>
        <v>7</v>
      </c>
      <c r="N1145" s="21" t="n">
        <f aca="false">MAX(0,D1145-E1145)</f>
        <v>0</v>
      </c>
      <c r="O1145" s="21" t="n">
        <f aca="false">IF(D1145&lt;=E1145,1,0)</f>
        <v>1</v>
      </c>
      <c r="P1145" s="23" t="n">
        <f aca="false">G1145+H1145</f>
        <v>85.93</v>
      </c>
      <c r="Q1145" s="23" t="n">
        <f aca="false">G1145*INDEX(Assumptions!$B$8:$B$16,MATCH(F1145,Assumptions!$A$8:$A$16,0))</f>
        <v>42.1014</v>
      </c>
      <c r="R1145" s="23" t="n">
        <f aca="false">H1145*Assumptions!$B$3</f>
        <v>13.284</v>
      </c>
      <c r="S1145" s="23" t="n">
        <f aca="false">G1145-Q1145-R1145</f>
        <v>8.4046</v>
      </c>
      <c r="T1145" s="21" t="str">
        <f aca="false">IF(M1145&lt;=7,"0-7 days",IF(M1145&lt;=14,"8-14 days",IF(M1145&lt;=21,"15-21 days","22+ days")))</f>
        <v>0-7 days</v>
      </c>
    </row>
    <row r="1146" customFormat="false" ht="15" hidden="false" customHeight="false" outlineLevel="0" collapsed="false">
      <c r="A1146" s="21" t="s">
        <v>1212</v>
      </c>
      <c r="B1146" s="21" t="s">
        <v>52</v>
      </c>
      <c r="C1146" s="22" t="n">
        <v>43169</v>
      </c>
      <c r="D1146" s="22" t="n">
        <v>43180</v>
      </c>
      <c r="E1146" s="22" t="n">
        <v>43194</v>
      </c>
      <c r="F1146" s="21" t="s">
        <v>49</v>
      </c>
      <c r="G1146" s="23" t="n">
        <v>118.15</v>
      </c>
      <c r="H1146" s="23" t="n">
        <v>24.11</v>
      </c>
      <c r="I1146" s="21" t="s">
        <v>45</v>
      </c>
      <c r="J1146" s="21" t="n">
        <v>3</v>
      </c>
      <c r="K1146" s="21" t="s">
        <v>46</v>
      </c>
      <c r="L1146" s="24" t="n">
        <f aca="false">DATE(YEAR(C1146),MONTH(C1146),1)</f>
        <v>43160</v>
      </c>
      <c r="M1146" s="21" t="n">
        <f aca="false">D1146-C1146</f>
        <v>11</v>
      </c>
      <c r="N1146" s="21" t="n">
        <f aca="false">MAX(0,D1146-E1146)</f>
        <v>0</v>
      </c>
      <c r="O1146" s="21" t="n">
        <f aca="false">IF(D1146&lt;=E1146,1,0)</f>
        <v>1</v>
      </c>
      <c r="P1146" s="23" t="n">
        <f aca="false">G1146+H1146</f>
        <v>142.26</v>
      </c>
      <c r="Q1146" s="23" t="n">
        <f aca="false">G1146*INDEX(Assumptions!$B$8:$B$16,MATCH(F1146,Assumptions!$A$8:$A$16,0))</f>
        <v>68.527</v>
      </c>
      <c r="R1146" s="23" t="n">
        <f aca="false">H1146*Assumptions!$B$3</f>
        <v>14.466</v>
      </c>
      <c r="S1146" s="23" t="n">
        <f aca="false">G1146-Q1146-R1146</f>
        <v>35.157</v>
      </c>
      <c r="T1146" s="21" t="str">
        <f aca="false">IF(M1146&lt;=7,"0-7 days",IF(M1146&lt;=14,"8-14 days",IF(M1146&lt;=21,"15-21 days","22+ days")))</f>
        <v>8-14 days</v>
      </c>
    </row>
    <row r="1147" customFormat="false" ht="15" hidden="false" customHeight="false" outlineLevel="0" collapsed="false">
      <c r="A1147" s="21" t="s">
        <v>1213</v>
      </c>
      <c r="B1147" s="21" t="s">
        <v>156</v>
      </c>
      <c r="C1147" s="22" t="n">
        <v>43169</v>
      </c>
      <c r="D1147" s="22" t="n">
        <v>43196</v>
      </c>
      <c r="E1147" s="22" t="n">
        <v>43195</v>
      </c>
      <c r="F1147" s="21" t="s">
        <v>49</v>
      </c>
      <c r="G1147" s="23" t="n">
        <v>144.13</v>
      </c>
      <c r="H1147" s="23" t="n">
        <v>32.16</v>
      </c>
      <c r="I1147" s="21" t="s">
        <v>45</v>
      </c>
      <c r="J1147" s="21" t="n">
        <v>4</v>
      </c>
      <c r="K1147" s="21" t="s">
        <v>46</v>
      </c>
      <c r="L1147" s="24" t="n">
        <f aca="false">DATE(YEAR(C1147),MONTH(C1147),1)</f>
        <v>43160</v>
      </c>
      <c r="M1147" s="21" t="n">
        <f aca="false">D1147-C1147</f>
        <v>27</v>
      </c>
      <c r="N1147" s="21" t="n">
        <f aca="false">MAX(0,D1147-E1147)</f>
        <v>1</v>
      </c>
      <c r="O1147" s="21" t="n">
        <f aca="false">IF(D1147&lt;=E1147,1,0)</f>
        <v>0</v>
      </c>
      <c r="P1147" s="23" t="n">
        <f aca="false">G1147+H1147</f>
        <v>176.29</v>
      </c>
      <c r="Q1147" s="23" t="n">
        <f aca="false">G1147*INDEX(Assumptions!$B$8:$B$16,MATCH(F1147,Assumptions!$A$8:$A$16,0))</f>
        <v>83.5954</v>
      </c>
      <c r="R1147" s="23" t="n">
        <f aca="false">H1147*Assumptions!$B$3</f>
        <v>19.296</v>
      </c>
      <c r="S1147" s="23" t="n">
        <f aca="false">G1147-Q1147-R1147</f>
        <v>41.2386</v>
      </c>
      <c r="T1147" s="21" t="str">
        <f aca="false">IF(M1147&lt;=7,"0-7 days",IF(M1147&lt;=14,"8-14 days",IF(M1147&lt;=21,"15-21 days","22+ days")))</f>
        <v>22+ days</v>
      </c>
    </row>
    <row r="1148" customFormat="false" ht="15" hidden="false" customHeight="false" outlineLevel="0" collapsed="false">
      <c r="A1148" s="21" t="s">
        <v>1214</v>
      </c>
      <c r="B1148" s="21" t="s">
        <v>19</v>
      </c>
      <c r="C1148" s="22" t="n">
        <v>43169</v>
      </c>
      <c r="D1148" s="22" t="n">
        <v>43175</v>
      </c>
      <c r="E1148" s="22" t="n">
        <v>43185</v>
      </c>
      <c r="F1148" s="21" t="s">
        <v>44</v>
      </c>
      <c r="G1148" s="23" t="n">
        <v>88.11</v>
      </c>
      <c r="H1148" s="23" t="n">
        <v>15.57</v>
      </c>
      <c r="I1148" s="21" t="s">
        <v>45</v>
      </c>
      <c r="J1148" s="21" t="n">
        <v>4</v>
      </c>
      <c r="K1148" s="21" t="s">
        <v>46</v>
      </c>
      <c r="L1148" s="24" t="n">
        <f aca="false">DATE(YEAR(C1148),MONTH(C1148),1)</f>
        <v>43160</v>
      </c>
      <c r="M1148" s="21" t="n">
        <f aca="false">D1148-C1148</f>
        <v>6</v>
      </c>
      <c r="N1148" s="21" t="n">
        <f aca="false">MAX(0,D1148-E1148)</f>
        <v>0</v>
      </c>
      <c r="O1148" s="21" t="n">
        <f aca="false">IF(D1148&lt;=E1148,1,0)</f>
        <v>1</v>
      </c>
      <c r="P1148" s="23" t="n">
        <f aca="false">G1148+H1148</f>
        <v>103.68</v>
      </c>
      <c r="Q1148" s="23" t="n">
        <f aca="false">G1148*INDEX(Assumptions!$B$8:$B$16,MATCH(F1148,Assumptions!$A$8:$A$16,0))</f>
        <v>52.866</v>
      </c>
      <c r="R1148" s="23" t="n">
        <f aca="false">H1148*Assumptions!$B$3</f>
        <v>9.342</v>
      </c>
      <c r="S1148" s="23" t="n">
        <f aca="false">G1148-Q1148-R1148</f>
        <v>25.902</v>
      </c>
      <c r="T1148" s="21" t="str">
        <f aca="false">IF(M1148&lt;=7,"0-7 days",IF(M1148&lt;=14,"8-14 days",IF(M1148&lt;=21,"15-21 days","22+ days")))</f>
        <v>0-7 days</v>
      </c>
    </row>
    <row r="1149" customFormat="false" ht="15" hidden="false" customHeight="false" outlineLevel="0" collapsed="false">
      <c r="A1149" s="21" t="s">
        <v>1215</v>
      </c>
      <c r="B1149" s="21" t="s">
        <v>19</v>
      </c>
      <c r="C1149" s="22" t="n">
        <v>43169</v>
      </c>
      <c r="D1149" s="22" t="n">
        <v>43178</v>
      </c>
      <c r="E1149" s="22" t="n">
        <v>43184</v>
      </c>
      <c r="F1149" s="21" t="s">
        <v>67</v>
      </c>
      <c r="G1149" s="23" t="n">
        <v>228.79</v>
      </c>
      <c r="H1149" s="23" t="n">
        <v>21.28</v>
      </c>
      <c r="I1149" s="21" t="s">
        <v>45</v>
      </c>
      <c r="J1149" s="21" t="n">
        <v>4</v>
      </c>
      <c r="K1149" s="21" t="s">
        <v>46</v>
      </c>
      <c r="L1149" s="24" t="n">
        <f aca="false">DATE(YEAR(C1149),MONTH(C1149),1)</f>
        <v>43160</v>
      </c>
      <c r="M1149" s="21" t="n">
        <f aca="false">D1149-C1149</f>
        <v>9</v>
      </c>
      <c r="N1149" s="21" t="n">
        <f aca="false">MAX(0,D1149-E1149)</f>
        <v>0</v>
      </c>
      <c r="O1149" s="21" t="n">
        <f aca="false">IF(D1149&lt;=E1149,1,0)</f>
        <v>1</v>
      </c>
      <c r="P1149" s="23" t="n">
        <f aca="false">G1149+H1149</f>
        <v>250.07</v>
      </c>
      <c r="Q1149" s="23" t="n">
        <f aca="false">G1149*INDEX(Assumptions!$B$8:$B$16,MATCH(F1149,Assumptions!$A$8:$A$16,0))</f>
        <v>141.8498</v>
      </c>
      <c r="R1149" s="23" t="n">
        <f aca="false">H1149*Assumptions!$B$3</f>
        <v>12.768</v>
      </c>
      <c r="S1149" s="23" t="n">
        <f aca="false">G1149-Q1149-R1149</f>
        <v>74.1722</v>
      </c>
      <c r="T1149" s="21" t="str">
        <f aca="false">IF(M1149&lt;=7,"0-7 days",IF(M1149&lt;=14,"8-14 days",IF(M1149&lt;=21,"15-21 days","22+ days")))</f>
        <v>8-14 days</v>
      </c>
    </row>
    <row r="1150" customFormat="false" ht="15" hidden="false" customHeight="false" outlineLevel="0" collapsed="false">
      <c r="A1150" s="21" t="s">
        <v>1216</v>
      </c>
      <c r="B1150" s="21" t="s">
        <v>19</v>
      </c>
      <c r="C1150" s="22" t="n">
        <v>43169</v>
      </c>
      <c r="D1150" s="22" t="n">
        <v>43178</v>
      </c>
      <c r="E1150" s="22" t="n">
        <v>43181</v>
      </c>
      <c r="F1150" s="21" t="s">
        <v>64</v>
      </c>
      <c r="G1150" s="23" t="n">
        <v>42.93</v>
      </c>
      <c r="H1150" s="23" t="n">
        <v>14.78</v>
      </c>
      <c r="I1150" s="21" t="s">
        <v>45</v>
      </c>
      <c r="J1150" s="21" t="n">
        <v>5</v>
      </c>
      <c r="K1150" s="21" t="s">
        <v>46</v>
      </c>
      <c r="L1150" s="24" t="n">
        <f aca="false">DATE(YEAR(C1150),MONTH(C1150),1)</f>
        <v>43160</v>
      </c>
      <c r="M1150" s="21" t="n">
        <f aca="false">D1150-C1150</f>
        <v>9</v>
      </c>
      <c r="N1150" s="21" t="n">
        <f aca="false">MAX(0,D1150-E1150)</f>
        <v>0</v>
      </c>
      <c r="O1150" s="21" t="n">
        <f aca="false">IF(D1150&lt;=E1150,1,0)</f>
        <v>1</v>
      </c>
      <c r="P1150" s="23" t="n">
        <f aca="false">G1150+H1150</f>
        <v>57.71</v>
      </c>
      <c r="Q1150" s="23" t="n">
        <f aca="false">G1150*INDEX(Assumptions!$B$8:$B$16,MATCH(F1150,Assumptions!$A$8:$A$16,0))</f>
        <v>28.3338</v>
      </c>
      <c r="R1150" s="23" t="n">
        <f aca="false">H1150*Assumptions!$B$3</f>
        <v>8.868</v>
      </c>
      <c r="S1150" s="23" t="n">
        <f aca="false">G1150-Q1150-R1150</f>
        <v>5.7282</v>
      </c>
      <c r="T1150" s="21" t="str">
        <f aca="false">IF(M1150&lt;=7,"0-7 days",IF(M1150&lt;=14,"8-14 days",IF(M1150&lt;=21,"15-21 days","22+ days")))</f>
        <v>8-14 days</v>
      </c>
    </row>
    <row r="1151" customFormat="false" ht="15" hidden="false" customHeight="false" outlineLevel="0" collapsed="false">
      <c r="A1151" s="21" t="s">
        <v>1217</v>
      </c>
      <c r="B1151" s="21" t="s">
        <v>134</v>
      </c>
      <c r="C1151" s="22" t="n">
        <v>43170</v>
      </c>
      <c r="D1151" s="22" t="n">
        <v>43186</v>
      </c>
      <c r="E1151" s="22" t="n">
        <v>43194</v>
      </c>
      <c r="F1151" s="21" t="s">
        <v>111</v>
      </c>
      <c r="G1151" s="23" t="n">
        <v>41.21</v>
      </c>
      <c r="H1151" s="23" t="n">
        <v>19.04</v>
      </c>
      <c r="I1151" s="21" t="s">
        <v>45</v>
      </c>
      <c r="J1151" s="21" t="n">
        <v>5</v>
      </c>
      <c r="K1151" s="21" t="s">
        <v>46</v>
      </c>
      <c r="L1151" s="24" t="n">
        <f aca="false">DATE(YEAR(C1151),MONTH(C1151),1)</f>
        <v>43160</v>
      </c>
      <c r="M1151" s="21" t="n">
        <f aca="false">D1151-C1151</f>
        <v>16</v>
      </c>
      <c r="N1151" s="21" t="n">
        <f aca="false">MAX(0,D1151-E1151)</f>
        <v>0</v>
      </c>
      <c r="O1151" s="21" t="n">
        <f aca="false">IF(D1151&lt;=E1151,1,0)</f>
        <v>1</v>
      </c>
      <c r="P1151" s="23" t="n">
        <f aca="false">G1151+H1151</f>
        <v>60.25</v>
      </c>
      <c r="Q1151" s="23" t="n">
        <f aca="false">G1151*INDEX(Assumptions!$B$8:$B$16,MATCH(F1151,Assumptions!$A$8:$A$16,0))</f>
        <v>25.9623</v>
      </c>
      <c r="R1151" s="23" t="n">
        <f aca="false">H1151*Assumptions!$B$3</f>
        <v>11.424</v>
      </c>
      <c r="S1151" s="23" t="n">
        <f aca="false">G1151-Q1151-R1151</f>
        <v>3.8237</v>
      </c>
      <c r="T1151" s="21" t="str">
        <f aca="false">IF(M1151&lt;=7,"0-7 days",IF(M1151&lt;=14,"8-14 days",IF(M1151&lt;=21,"15-21 days","22+ days")))</f>
        <v>15-21 days</v>
      </c>
    </row>
    <row r="1152" customFormat="false" ht="15" hidden="false" customHeight="false" outlineLevel="0" collapsed="false">
      <c r="A1152" s="21" t="s">
        <v>1218</v>
      </c>
      <c r="B1152" s="21" t="s">
        <v>19</v>
      </c>
      <c r="C1152" s="22" t="n">
        <v>43170</v>
      </c>
      <c r="D1152" s="22" t="n">
        <v>43179</v>
      </c>
      <c r="E1152" s="22" t="n">
        <v>43187</v>
      </c>
      <c r="F1152" s="21" t="s">
        <v>64</v>
      </c>
      <c r="G1152" s="23" t="n">
        <v>117.81</v>
      </c>
      <c r="H1152" s="23" t="n">
        <v>20.3</v>
      </c>
      <c r="I1152" s="21" t="s">
        <v>60</v>
      </c>
      <c r="J1152" s="21" t="n">
        <v>4</v>
      </c>
      <c r="K1152" s="21" t="s">
        <v>46</v>
      </c>
      <c r="L1152" s="24" t="n">
        <f aca="false">DATE(YEAR(C1152),MONTH(C1152),1)</f>
        <v>43160</v>
      </c>
      <c r="M1152" s="21" t="n">
        <f aca="false">D1152-C1152</f>
        <v>9</v>
      </c>
      <c r="N1152" s="21" t="n">
        <f aca="false">MAX(0,D1152-E1152)</f>
        <v>0</v>
      </c>
      <c r="O1152" s="21" t="n">
        <f aca="false">IF(D1152&lt;=E1152,1,0)</f>
        <v>1</v>
      </c>
      <c r="P1152" s="23" t="n">
        <f aca="false">G1152+H1152</f>
        <v>138.11</v>
      </c>
      <c r="Q1152" s="23" t="n">
        <f aca="false">G1152*INDEX(Assumptions!$B$8:$B$16,MATCH(F1152,Assumptions!$A$8:$A$16,0))</f>
        <v>77.7546</v>
      </c>
      <c r="R1152" s="23" t="n">
        <f aca="false">H1152*Assumptions!$B$3</f>
        <v>12.18</v>
      </c>
      <c r="S1152" s="23" t="n">
        <f aca="false">G1152-Q1152-R1152</f>
        <v>27.8754</v>
      </c>
      <c r="T1152" s="21" t="str">
        <f aca="false">IF(M1152&lt;=7,"0-7 days",IF(M1152&lt;=14,"8-14 days",IF(M1152&lt;=21,"15-21 days","22+ days")))</f>
        <v>8-14 days</v>
      </c>
    </row>
    <row r="1153" customFormat="false" ht="15" hidden="false" customHeight="false" outlineLevel="0" collapsed="false">
      <c r="A1153" s="21" t="s">
        <v>1219</v>
      </c>
      <c r="B1153" s="21" t="s">
        <v>55</v>
      </c>
      <c r="C1153" s="22" t="n">
        <v>43170</v>
      </c>
      <c r="D1153" s="22" t="n">
        <v>43178</v>
      </c>
      <c r="E1153" s="22" t="n">
        <v>43195</v>
      </c>
      <c r="F1153" s="21" t="s">
        <v>59</v>
      </c>
      <c r="G1153" s="23" t="n">
        <v>173.27</v>
      </c>
      <c r="H1153" s="23" t="n">
        <v>28.23</v>
      </c>
      <c r="I1153" s="21" t="s">
        <v>45</v>
      </c>
      <c r="J1153" s="21" t="n">
        <v>4</v>
      </c>
      <c r="K1153" s="21" t="s">
        <v>46</v>
      </c>
      <c r="L1153" s="24" t="n">
        <f aca="false">DATE(YEAR(C1153),MONTH(C1153),1)</f>
        <v>43160</v>
      </c>
      <c r="M1153" s="21" t="n">
        <f aca="false">D1153-C1153</f>
        <v>8</v>
      </c>
      <c r="N1153" s="21" t="n">
        <f aca="false">MAX(0,D1153-E1153)</f>
        <v>0</v>
      </c>
      <c r="O1153" s="21" t="n">
        <f aca="false">IF(D1153&lt;=E1153,1,0)</f>
        <v>1</v>
      </c>
      <c r="P1153" s="23" t="n">
        <f aca="false">G1153+H1153</f>
        <v>201.5</v>
      </c>
      <c r="Q1153" s="23" t="n">
        <f aca="false">G1153*INDEX(Assumptions!$B$8:$B$16,MATCH(F1153,Assumptions!$A$8:$A$16,0))</f>
        <v>110.8928</v>
      </c>
      <c r="R1153" s="23" t="n">
        <f aca="false">H1153*Assumptions!$B$3</f>
        <v>16.938</v>
      </c>
      <c r="S1153" s="23" t="n">
        <f aca="false">G1153-Q1153-R1153</f>
        <v>45.4392</v>
      </c>
      <c r="T1153" s="21" t="str">
        <f aca="false">IF(M1153&lt;=7,"0-7 days",IF(M1153&lt;=14,"8-14 days",IF(M1153&lt;=21,"15-21 days","22+ days")))</f>
        <v>8-14 days</v>
      </c>
    </row>
    <row r="1154" customFormat="false" ht="15" hidden="false" customHeight="false" outlineLevel="0" collapsed="false">
      <c r="A1154" s="21" t="s">
        <v>1220</v>
      </c>
      <c r="B1154" s="21" t="s">
        <v>19</v>
      </c>
      <c r="C1154" s="22" t="n">
        <v>43170</v>
      </c>
      <c r="D1154" s="22" t="n">
        <v>43186</v>
      </c>
      <c r="E1154" s="22" t="n">
        <v>43182</v>
      </c>
      <c r="F1154" s="21" t="s">
        <v>67</v>
      </c>
      <c r="G1154" s="23" t="n">
        <v>45.51</v>
      </c>
      <c r="H1154" s="23" t="n">
        <v>13.49</v>
      </c>
      <c r="I1154" s="21" t="s">
        <v>45</v>
      </c>
      <c r="J1154" s="21" t="n">
        <v>2</v>
      </c>
      <c r="K1154" s="21" t="s">
        <v>46</v>
      </c>
      <c r="L1154" s="24" t="n">
        <f aca="false">DATE(YEAR(C1154),MONTH(C1154),1)</f>
        <v>43160</v>
      </c>
      <c r="M1154" s="21" t="n">
        <f aca="false">D1154-C1154</f>
        <v>16</v>
      </c>
      <c r="N1154" s="21" t="n">
        <f aca="false">MAX(0,D1154-E1154)</f>
        <v>4</v>
      </c>
      <c r="O1154" s="21" t="n">
        <f aca="false">IF(D1154&lt;=E1154,1,0)</f>
        <v>0</v>
      </c>
      <c r="P1154" s="23" t="n">
        <f aca="false">G1154+H1154</f>
        <v>59</v>
      </c>
      <c r="Q1154" s="23" t="n">
        <f aca="false">G1154*INDEX(Assumptions!$B$8:$B$16,MATCH(F1154,Assumptions!$A$8:$A$16,0))</f>
        <v>28.2162</v>
      </c>
      <c r="R1154" s="23" t="n">
        <f aca="false">H1154*Assumptions!$B$3</f>
        <v>8.094</v>
      </c>
      <c r="S1154" s="23" t="n">
        <f aca="false">G1154-Q1154-R1154</f>
        <v>9.1998</v>
      </c>
      <c r="T1154" s="21" t="str">
        <f aca="false">IF(M1154&lt;=7,"0-7 days",IF(M1154&lt;=14,"8-14 days",IF(M1154&lt;=21,"15-21 days","22+ days")))</f>
        <v>15-21 days</v>
      </c>
    </row>
    <row r="1155" customFormat="false" ht="15" hidden="false" customHeight="false" outlineLevel="0" collapsed="false">
      <c r="A1155" s="21" t="s">
        <v>1221</v>
      </c>
      <c r="B1155" s="21" t="s">
        <v>19</v>
      </c>
      <c r="C1155" s="22" t="n">
        <v>43171</v>
      </c>
      <c r="D1155" s="22" t="n">
        <v>43181</v>
      </c>
      <c r="E1155" s="22" t="n">
        <v>43185</v>
      </c>
      <c r="F1155" s="21" t="s">
        <v>67</v>
      </c>
      <c r="G1155" s="23" t="n">
        <v>64.06</v>
      </c>
      <c r="H1155" s="23" t="n">
        <v>13.32</v>
      </c>
      <c r="I1155" s="21" t="s">
        <v>45</v>
      </c>
      <c r="J1155" s="21" t="n">
        <v>5</v>
      </c>
      <c r="K1155" s="21" t="s">
        <v>46</v>
      </c>
      <c r="L1155" s="24" t="n">
        <f aca="false">DATE(YEAR(C1155),MONTH(C1155),1)</f>
        <v>43160</v>
      </c>
      <c r="M1155" s="21" t="n">
        <f aca="false">D1155-C1155</f>
        <v>10</v>
      </c>
      <c r="N1155" s="21" t="n">
        <f aca="false">MAX(0,D1155-E1155)</f>
        <v>0</v>
      </c>
      <c r="O1155" s="21" t="n">
        <f aca="false">IF(D1155&lt;=E1155,1,0)</f>
        <v>1</v>
      </c>
      <c r="P1155" s="23" t="n">
        <f aca="false">G1155+H1155</f>
        <v>77.38</v>
      </c>
      <c r="Q1155" s="23" t="n">
        <f aca="false">G1155*INDEX(Assumptions!$B$8:$B$16,MATCH(F1155,Assumptions!$A$8:$A$16,0))</f>
        <v>39.7172</v>
      </c>
      <c r="R1155" s="23" t="n">
        <f aca="false">H1155*Assumptions!$B$3</f>
        <v>7.992</v>
      </c>
      <c r="S1155" s="23" t="n">
        <f aca="false">G1155-Q1155-R1155</f>
        <v>16.3508</v>
      </c>
      <c r="T1155" s="21" t="str">
        <f aca="false">IF(M1155&lt;=7,"0-7 days",IF(M1155&lt;=14,"8-14 days",IF(M1155&lt;=21,"15-21 days","22+ days")))</f>
        <v>8-14 days</v>
      </c>
    </row>
    <row r="1156" customFormat="false" ht="15" hidden="false" customHeight="false" outlineLevel="0" collapsed="false">
      <c r="A1156" s="21" t="s">
        <v>1222</v>
      </c>
      <c r="B1156" s="21" t="s">
        <v>19</v>
      </c>
      <c r="C1156" s="22" t="n">
        <v>43172</v>
      </c>
      <c r="D1156" s="22" t="n">
        <v>43177</v>
      </c>
      <c r="E1156" s="22" t="n">
        <v>43188</v>
      </c>
      <c r="F1156" s="21" t="s">
        <v>111</v>
      </c>
      <c r="G1156" s="23" t="n">
        <v>77.86</v>
      </c>
      <c r="H1156" s="23" t="n">
        <v>14.13</v>
      </c>
      <c r="I1156" s="21" t="s">
        <v>45</v>
      </c>
      <c r="J1156" s="21" t="n">
        <v>4</v>
      </c>
      <c r="K1156" s="21" t="s">
        <v>46</v>
      </c>
      <c r="L1156" s="24" t="n">
        <f aca="false">DATE(YEAR(C1156),MONTH(C1156),1)</f>
        <v>43160</v>
      </c>
      <c r="M1156" s="21" t="n">
        <f aca="false">D1156-C1156</f>
        <v>5</v>
      </c>
      <c r="N1156" s="21" t="n">
        <f aca="false">MAX(0,D1156-E1156)</f>
        <v>0</v>
      </c>
      <c r="O1156" s="21" t="n">
        <f aca="false">IF(D1156&lt;=E1156,1,0)</f>
        <v>1</v>
      </c>
      <c r="P1156" s="23" t="n">
        <f aca="false">G1156+H1156</f>
        <v>91.99</v>
      </c>
      <c r="Q1156" s="23" t="n">
        <f aca="false">G1156*INDEX(Assumptions!$B$8:$B$16,MATCH(F1156,Assumptions!$A$8:$A$16,0))</f>
        <v>49.0518</v>
      </c>
      <c r="R1156" s="23" t="n">
        <f aca="false">H1156*Assumptions!$B$3</f>
        <v>8.478</v>
      </c>
      <c r="S1156" s="23" t="n">
        <f aca="false">G1156-Q1156-R1156</f>
        <v>20.3302</v>
      </c>
      <c r="T1156" s="21" t="str">
        <f aca="false">IF(M1156&lt;=7,"0-7 days",IF(M1156&lt;=14,"8-14 days",IF(M1156&lt;=21,"15-21 days","22+ days")))</f>
        <v>0-7 days</v>
      </c>
    </row>
    <row r="1157" customFormat="false" ht="15" hidden="false" customHeight="false" outlineLevel="0" collapsed="false">
      <c r="A1157" s="21" t="s">
        <v>1223</v>
      </c>
      <c r="B1157" s="21" t="s">
        <v>62</v>
      </c>
      <c r="C1157" s="22" t="n">
        <v>43172</v>
      </c>
      <c r="D1157" s="22" t="n">
        <v>43181</v>
      </c>
      <c r="E1157" s="22" t="n">
        <v>43197</v>
      </c>
      <c r="F1157" s="21" t="s">
        <v>79</v>
      </c>
      <c r="G1157" s="23" t="n">
        <v>79.69</v>
      </c>
      <c r="H1157" s="23" t="n">
        <v>29.01</v>
      </c>
      <c r="I1157" s="21" t="s">
        <v>60</v>
      </c>
      <c r="J1157" s="21" t="n">
        <v>5</v>
      </c>
      <c r="K1157" s="21" t="s">
        <v>46</v>
      </c>
      <c r="L1157" s="24" t="n">
        <f aca="false">DATE(YEAR(C1157),MONTH(C1157),1)</f>
        <v>43160</v>
      </c>
      <c r="M1157" s="21" t="n">
        <f aca="false">D1157-C1157</f>
        <v>9</v>
      </c>
      <c r="N1157" s="21" t="n">
        <f aca="false">MAX(0,D1157-E1157)</f>
        <v>0</v>
      </c>
      <c r="O1157" s="21" t="n">
        <f aca="false">IF(D1157&lt;=E1157,1,0)</f>
        <v>1</v>
      </c>
      <c r="P1157" s="23" t="n">
        <f aca="false">G1157+H1157</f>
        <v>108.7</v>
      </c>
      <c r="Q1157" s="23" t="n">
        <f aca="false">G1157*INDEX(Assumptions!$B$8:$B$16,MATCH(F1157,Assumptions!$A$8:$A$16,0))</f>
        <v>55.783</v>
      </c>
      <c r="R1157" s="23" t="n">
        <f aca="false">H1157*Assumptions!$B$3</f>
        <v>17.406</v>
      </c>
      <c r="S1157" s="23" t="n">
        <f aca="false">G1157-Q1157-R1157</f>
        <v>6.50100000000001</v>
      </c>
      <c r="T1157" s="21" t="str">
        <f aca="false">IF(M1157&lt;=7,"0-7 days",IF(M1157&lt;=14,"8-14 days",IF(M1157&lt;=21,"15-21 days","22+ days")))</f>
        <v>8-14 days</v>
      </c>
    </row>
    <row r="1158" customFormat="false" ht="15" hidden="false" customHeight="false" outlineLevel="0" collapsed="false">
      <c r="A1158" s="21" t="s">
        <v>1224</v>
      </c>
      <c r="B1158" s="21" t="s">
        <v>48</v>
      </c>
      <c r="C1158" s="22" t="n">
        <v>43172</v>
      </c>
      <c r="D1158" s="22" t="n">
        <v>43196</v>
      </c>
      <c r="E1158" s="22" t="n">
        <v>43194</v>
      </c>
      <c r="F1158" s="21" t="s">
        <v>111</v>
      </c>
      <c r="G1158" s="23" t="n">
        <v>168.95</v>
      </c>
      <c r="H1158" s="23" t="n">
        <v>28.03</v>
      </c>
      <c r="I1158" s="21" t="s">
        <v>45</v>
      </c>
      <c r="J1158" s="21" t="n">
        <v>2</v>
      </c>
      <c r="K1158" s="21" t="s">
        <v>46</v>
      </c>
      <c r="L1158" s="24" t="n">
        <f aca="false">DATE(YEAR(C1158),MONTH(C1158),1)</f>
        <v>43160</v>
      </c>
      <c r="M1158" s="21" t="n">
        <f aca="false">D1158-C1158</f>
        <v>24</v>
      </c>
      <c r="N1158" s="21" t="n">
        <f aca="false">MAX(0,D1158-E1158)</f>
        <v>2</v>
      </c>
      <c r="O1158" s="21" t="n">
        <f aca="false">IF(D1158&lt;=E1158,1,0)</f>
        <v>0</v>
      </c>
      <c r="P1158" s="23" t="n">
        <f aca="false">G1158+H1158</f>
        <v>196.98</v>
      </c>
      <c r="Q1158" s="23" t="n">
        <f aca="false">G1158*INDEX(Assumptions!$B$8:$B$16,MATCH(F1158,Assumptions!$A$8:$A$16,0))</f>
        <v>106.4385</v>
      </c>
      <c r="R1158" s="23" t="n">
        <f aca="false">H1158*Assumptions!$B$3</f>
        <v>16.818</v>
      </c>
      <c r="S1158" s="23" t="n">
        <f aca="false">G1158-Q1158-R1158</f>
        <v>45.6935</v>
      </c>
      <c r="T1158" s="21" t="str">
        <f aca="false">IF(M1158&lt;=7,"0-7 days",IF(M1158&lt;=14,"8-14 days",IF(M1158&lt;=21,"15-21 days","22+ days")))</f>
        <v>22+ days</v>
      </c>
    </row>
    <row r="1159" customFormat="false" ht="15" hidden="false" customHeight="false" outlineLevel="0" collapsed="false">
      <c r="A1159" s="21" t="s">
        <v>1225</v>
      </c>
      <c r="B1159" s="21" t="s">
        <v>55</v>
      </c>
      <c r="C1159" s="22" t="n">
        <v>43172</v>
      </c>
      <c r="D1159" s="22" t="n">
        <v>43198</v>
      </c>
      <c r="E1159" s="22" t="n">
        <v>43197</v>
      </c>
      <c r="F1159" s="21" t="s">
        <v>57</v>
      </c>
      <c r="G1159" s="23" t="n">
        <v>30.14</v>
      </c>
      <c r="H1159" s="23" t="n">
        <v>28.85</v>
      </c>
      <c r="I1159" s="21" t="s">
        <v>45</v>
      </c>
      <c r="J1159" s="21" t="n">
        <v>3</v>
      </c>
      <c r="K1159" s="21" t="s">
        <v>46</v>
      </c>
      <c r="L1159" s="24" t="n">
        <f aca="false">DATE(YEAR(C1159),MONTH(C1159),1)</f>
        <v>43160</v>
      </c>
      <c r="M1159" s="21" t="n">
        <f aca="false">D1159-C1159</f>
        <v>26</v>
      </c>
      <c r="N1159" s="21" t="n">
        <f aca="false">MAX(0,D1159-E1159)</f>
        <v>1</v>
      </c>
      <c r="O1159" s="21" t="n">
        <f aca="false">IF(D1159&lt;=E1159,1,0)</f>
        <v>0</v>
      </c>
      <c r="P1159" s="23" t="n">
        <f aca="false">G1159+H1159</f>
        <v>58.99</v>
      </c>
      <c r="Q1159" s="23" t="n">
        <f aca="false">G1159*INDEX(Assumptions!$B$8:$B$16,MATCH(F1159,Assumptions!$A$8:$A$16,0))</f>
        <v>20.4952</v>
      </c>
      <c r="R1159" s="23" t="n">
        <f aca="false">H1159*Assumptions!$B$3</f>
        <v>17.31</v>
      </c>
      <c r="S1159" s="23" t="n">
        <f aca="false">G1159-Q1159-R1159</f>
        <v>-7.6652</v>
      </c>
      <c r="T1159" s="21" t="str">
        <f aca="false">IF(M1159&lt;=7,"0-7 days",IF(M1159&lt;=14,"8-14 days",IF(M1159&lt;=21,"15-21 days","22+ days")))</f>
        <v>22+ days</v>
      </c>
    </row>
    <row r="1160" customFormat="false" ht="15" hidden="false" customHeight="false" outlineLevel="0" collapsed="false">
      <c r="A1160" s="21" t="s">
        <v>1226</v>
      </c>
      <c r="B1160" s="21" t="s">
        <v>134</v>
      </c>
      <c r="C1160" s="22" t="n">
        <v>43172</v>
      </c>
      <c r="D1160" s="22" t="n">
        <v>43187</v>
      </c>
      <c r="E1160" s="22" t="n">
        <v>43196</v>
      </c>
      <c r="F1160" s="21" t="s">
        <v>57</v>
      </c>
      <c r="G1160" s="23" t="n">
        <v>190.4</v>
      </c>
      <c r="H1160" s="23" t="n">
        <v>18.9</v>
      </c>
      <c r="I1160" s="21" t="s">
        <v>60</v>
      </c>
      <c r="J1160" s="21" t="n">
        <v>5</v>
      </c>
      <c r="K1160" s="21" t="s">
        <v>46</v>
      </c>
      <c r="L1160" s="24" t="n">
        <f aca="false">DATE(YEAR(C1160),MONTH(C1160),1)</f>
        <v>43160</v>
      </c>
      <c r="M1160" s="21" t="n">
        <f aca="false">D1160-C1160</f>
        <v>15</v>
      </c>
      <c r="N1160" s="21" t="n">
        <f aca="false">MAX(0,D1160-E1160)</f>
        <v>0</v>
      </c>
      <c r="O1160" s="21" t="n">
        <f aca="false">IF(D1160&lt;=E1160,1,0)</f>
        <v>1</v>
      </c>
      <c r="P1160" s="23" t="n">
        <f aca="false">G1160+H1160</f>
        <v>209.3</v>
      </c>
      <c r="Q1160" s="23" t="n">
        <f aca="false">G1160*INDEX(Assumptions!$B$8:$B$16,MATCH(F1160,Assumptions!$A$8:$A$16,0))</f>
        <v>129.472</v>
      </c>
      <c r="R1160" s="23" t="n">
        <f aca="false">H1160*Assumptions!$B$3</f>
        <v>11.34</v>
      </c>
      <c r="S1160" s="23" t="n">
        <f aca="false">G1160-Q1160-R1160</f>
        <v>49.588</v>
      </c>
      <c r="T1160" s="21" t="str">
        <f aca="false">IF(M1160&lt;=7,"0-7 days",IF(M1160&lt;=14,"8-14 days",IF(M1160&lt;=21,"15-21 days","22+ days")))</f>
        <v>15-21 days</v>
      </c>
    </row>
    <row r="1161" customFormat="false" ht="15" hidden="false" customHeight="false" outlineLevel="0" collapsed="false">
      <c r="A1161" s="21" t="s">
        <v>1227</v>
      </c>
      <c r="B1161" s="21" t="s">
        <v>19</v>
      </c>
      <c r="C1161" s="22" t="n">
        <v>43172</v>
      </c>
      <c r="D1161" s="22" t="n">
        <v>43178</v>
      </c>
      <c r="E1161" s="22" t="n">
        <v>43187</v>
      </c>
      <c r="F1161" s="21" t="s">
        <v>67</v>
      </c>
      <c r="G1161" s="23" t="n">
        <v>61.55</v>
      </c>
      <c r="H1161" s="23" t="n">
        <v>14.56</v>
      </c>
      <c r="I1161" s="21" t="s">
        <v>45</v>
      </c>
      <c r="J1161" s="21" t="n">
        <v>4</v>
      </c>
      <c r="K1161" s="21" t="s">
        <v>46</v>
      </c>
      <c r="L1161" s="24" t="n">
        <f aca="false">DATE(YEAR(C1161),MONTH(C1161),1)</f>
        <v>43160</v>
      </c>
      <c r="M1161" s="21" t="n">
        <f aca="false">D1161-C1161</f>
        <v>6</v>
      </c>
      <c r="N1161" s="21" t="n">
        <f aca="false">MAX(0,D1161-E1161)</f>
        <v>0</v>
      </c>
      <c r="O1161" s="21" t="n">
        <f aca="false">IF(D1161&lt;=E1161,1,0)</f>
        <v>1</v>
      </c>
      <c r="P1161" s="23" t="n">
        <f aca="false">G1161+H1161</f>
        <v>76.11</v>
      </c>
      <c r="Q1161" s="23" t="n">
        <f aca="false">G1161*INDEX(Assumptions!$B$8:$B$16,MATCH(F1161,Assumptions!$A$8:$A$16,0))</f>
        <v>38.161</v>
      </c>
      <c r="R1161" s="23" t="n">
        <f aca="false">H1161*Assumptions!$B$3</f>
        <v>8.736</v>
      </c>
      <c r="S1161" s="23" t="n">
        <f aca="false">G1161-Q1161-R1161</f>
        <v>14.653</v>
      </c>
      <c r="T1161" s="21" t="str">
        <f aca="false">IF(M1161&lt;=7,"0-7 days",IF(M1161&lt;=14,"8-14 days",IF(M1161&lt;=21,"15-21 days","22+ days")))</f>
        <v>0-7 days</v>
      </c>
    </row>
    <row r="1162" customFormat="false" ht="15" hidden="false" customHeight="false" outlineLevel="0" collapsed="false">
      <c r="A1162" s="21" t="s">
        <v>1228</v>
      </c>
      <c r="B1162" s="21" t="s">
        <v>19</v>
      </c>
      <c r="C1162" s="22" t="n">
        <v>43172</v>
      </c>
      <c r="D1162" s="22" t="n">
        <v>43181</v>
      </c>
      <c r="E1162" s="22" t="n">
        <v>43187</v>
      </c>
      <c r="F1162" s="21" t="s">
        <v>44</v>
      </c>
      <c r="G1162" s="23" t="n">
        <v>155.77</v>
      </c>
      <c r="H1162" s="23" t="n">
        <v>23.75</v>
      </c>
      <c r="I1162" s="21" t="s">
        <v>45</v>
      </c>
      <c r="J1162" s="21" t="n">
        <v>4</v>
      </c>
      <c r="K1162" s="21" t="s">
        <v>46</v>
      </c>
      <c r="L1162" s="24" t="n">
        <f aca="false">DATE(YEAR(C1162),MONTH(C1162),1)</f>
        <v>43160</v>
      </c>
      <c r="M1162" s="21" t="n">
        <f aca="false">D1162-C1162</f>
        <v>9</v>
      </c>
      <c r="N1162" s="21" t="n">
        <f aca="false">MAX(0,D1162-E1162)</f>
        <v>0</v>
      </c>
      <c r="O1162" s="21" t="n">
        <f aca="false">IF(D1162&lt;=E1162,1,0)</f>
        <v>1</v>
      </c>
      <c r="P1162" s="23" t="n">
        <f aca="false">G1162+H1162</f>
        <v>179.52</v>
      </c>
      <c r="Q1162" s="23" t="n">
        <f aca="false">G1162*INDEX(Assumptions!$B$8:$B$16,MATCH(F1162,Assumptions!$A$8:$A$16,0))</f>
        <v>93.462</v>
      </c>
      <c r="R1162" s="23" t="n">
        <f aca="false">H1162*Assumptions!$B$3</f>
        <v>14.25</v>
      </c>
      <c r="S1162" s="23" t="n">
        <f aca="false">G1162-Q1162-R1162</f>
        <v>48.058</v>
      </c>
      <c r="T1162" s="21" t="str">
        <f aca="false">IF(M1162&lt;=7,"0-7 days",IF(M1162&lt;=14,"8-14 days",IF(M1162&lt;=21,"15-21 days","22+ days")))</f>
        <v>8-14 days</v>
      </c>
    </row>
    <row r="1163" customFormat="false" ht="15" hidden="false" customHeight="false" outlineLevel="0" collapsed="false">
      <c r="A1163" s="21" t="s">
        <v>1229</v>
      </c>
      <c r="B1163" s="21" t="s">
        <v>19</v>
      </c>
      <c r="C1163" s="22" t="n">
        <v>43172</v>
      </c>
      <c r="D1163" s="22" t="n">
        <v>43180</v>
      </c>
      <c r="E1163" s="22" t="n">
        <v>43185</v>
      </c>
      <c r="F1163" s="21" t="s">
        <v>111</v>
      </c>
      <c r="G1163" s="23" t="n">
        <v>42.57</v>
      </c>
      <c r="H1163" s="23" t="n">
        <v>16.72</v>
      </c>
      <c r="I1163" s="21" t="s">
        <v>45</v>
      </c>
      <c r="J1163" s="21" t="n">
        <v>5</v>
      </c>
      <c r="K1163" s="21" t="s">
        <v>46</v>
      </c>
      <c r="L1163" s="24" t="n">
        <f aca="false">DATE(YEAR(C1163),MONTH(C1163),1)</f>
        <v>43160</v>
      </c>
      <c r="M1163" s="21" t="n">
        <f aca="false">D1163-C1163</f>
        <v>8</v>
      </c>
      <c r="N1163" s="21" t="n">
        <f aca="false">MAX(0,D1163-E1163)</f>
        <v>0</v>
      </c>
      <c r="O1163" s="21" t="n">
        <f aca="false">IF(D1163&lt;=E1163,1,0)</f>
        <v>1</v>
      </c>
      <c r="P1163" s="23" t="n">
        <f aca="false">G1163+H1163</f>
        <v>59.29</v>
      </c>
      <c r="Q1163" s="23" t="n">
        <f aca="false">G1163*INDEX(Assumptions!$B$8:$B$16,MATCH(F1163,Assumptions!$A$8:$A$16,0))</f>
        <v>26.8191</v>
      </c>
      <c r="R1163" s="23" t="n">
        <f aca="false">H1163*Assumptions!$B$3</f>
        <v>10.032</v>
      </c>
      <c r="S1163" s="23" t="n">
        <f aca="false">G1163-Q1163-R1163</f>
        <v>5.7189</v>
      </c>
      <c r="T1163" s="21" t="str">
        <f aca="false">IF(M1163&lt;=7,"0-7 days",IF(M1163&lt;=14,"8-14 days",IF(M1163&lt;=21,"15-21 days","22+ days")))</f>
        <v>8-14 days</v>
      </c>
    </row>
    <row r="1164" customFormat="false" ht="15" hidden="false" customHeight="false" outlineLevel="0" collapsed="false">
      <c r="A1164" s="21" t="s">
        <v>1230</v>
      </c>
      <c r="B1164" s="21" t="s">
        <v>156</v>
      </c>
      <c r="C1164" s="22" t="n">
        <v>43173</v>
      </c>
      <c r="D1164" s="22" t="n">
        <v>43186</v>
      </c>
      <c r="E1164" s="22" t="n">
        <v>43198</v>
      </c>
      <c r="F1164" s="21" t="s">
        <v>49</v>
      </c>
      <c r="G1164" s="23" t="n">
        <v>208.62</v>
      </c>
      <c r="H1164" s="23" t="n">
        <v>25.71</v>
      </c>
      <c r="I1164" s="21" t="s">
        <v>45</v>
      </c>
      <c r="J1164" s="21" t="n">
        <v>5</v>
      </c>
      <c r="K1164" s="21" t="s">
        <v>46</v>
      </c>
      <c r="L1164" s="24" t="n">
        <f aca="false">DATE(YEAR(C1164),MONTH(C1164),1)</f>
        <v>43160</v>
      </c>
      <c r="M1164" s="21" t="n">
        <f aca="false">D1164-C1164</f>
        <v>13</v>
      </c>
      <c r="N1164" s="21" t="n">
        <f aca="false">MAX(0,D1164-E1164)</f>
        <v>0</v>
      </c>
      <c r="O1164" s="21" t="n">
        <f aca="false">IF(D1164&lt;=E1164,1,0)</f>
        <v>1</v>
      </c>
      <c r="P1164" s="23" t="n">
        <f aca="false">G1164+H1164</f>
        <v>234.33</v>
      </c>
      <c r="Q1164" s="23" t="n">
        <f aca="false">G1164*INDEX(Assumptions!$B$8:$B$16,MATCH(F1164,Assumptions!$A$8:$A$16,0))</f>
        <v>120.9996</v>
      </c>
      <c r="R1164" s="23" t="n">
        <f aca="false">H1164*Assumptions!$B$3</f>
        <v>15.426</v>
      </c>
      <c r="S1164" s="23" t="n">
        <f aca="false">G1164-Q1164-R1164</f>
        <v>72.1944</v>
      </c>
      <c r="T1164" s="21" t="str">
        <f aca="false">IF(M1164&lt;=7,"0-7 days",IF(M1164&lt;=14,"8-14 days",IF(M1164&lt;=21,"15-21 days","22+ days")))</f>
        <v>8-14 days</v>
      </c>
    </row>
    <row r="1165" customFormat="false" ht="15" hidden="false" customHeight="false" outlineLevel="0" collapsed="false">
      <c r="A1165" s="21" t="s">
        <v>1231</v>
      </c>
      <c r="B1165" s="21" t="s">
        <v>48</v>
      </c>
      <c r="C1165" s="22" t="n">
        <v>43173</v>
      </c>
      <c r="D1165" s="22" t="n">
        <v>43185</v>
      </c>
      <c r="E1165" s="22" t="n">
        <v>43192</v>
      </c>
      <c r="F1165" s="21" t="s">
        <v>79</v>
      </c>
      <c r="G1165" s="23" t="n">
        <v>126.94</v>
      </c>
      <c r="H1165" s="23" t="n">
        <v>27.58</v>
      </c>
      <c r="I1165" s="21" t="s">
        <v>45</v>
      </c>
      <c r="J1165" s="21" t="n">
        <v>4</v>
      </c>
      <c r="K1165" s="21" t="s">
        <v>46</v>
      </c>
      <c r="L1165" s="24" t="n">
        <f aca="false">DATE(YEAR(C1165),MONTH(C1165),1)</f>
        <v>43160</v>
      </c>
      <c r="M1165" s="21" t="n">
        <f aca="false">D1165-C1165</f>
        <v>12</v>
      </c>
      <c r="N1165" s="21" t="n">
        <f aca="false">MAX(0,D1165-E1165)</f>
        <v>0</v>
      </c>
      <c r="O1165" s="21" t="n">
        <f aca="false">IF(D1165&lt;=E1165,1,0)</f>
        <v>1</v>
      </c>
      <c r="P1165" s="23" t="n">
        <f aca="false">G1165+H1165</f>
        <v>154.52</v>
      </c>
      <c r="Q1165" s="23" t="n">
        <f aca="false">G1165*INDEX(Assumptions!$B$8:$B$16,MATCH(F1165,Assumptions!$A$8:$A$16,0))</f>
        <v>88.858</v>
      </c>
      <c r="R1165" s="23" t="n">
        <f aca="false">H1165*Assumptions!$B$3</f>
        <v>16.548</v>
      </c>
      <c r="S1165" s="23" t="n">
        <f aca="false">G1165-Q1165-R1165</f>
        <v>21.534</v>
      </c>
      <c r="T1165" s="21" t="str">
        <f aca="false">IF(M1165&lt;=7,"0-7 days",IF(M1165&lt;=14,"8-14 days",IF(M1165&lt;=21,"15-21 days","22+ days")))</f>
        <v>8-14 days</v>
      </c>
    </row>
    <row r="1166" customFormat="false" ht="15" hidden="false" customHeight="false" outlineLevel="0" collapsed="false">
      <c r="A1166" s="21" t="s">
        <v>1232</v>
      </c>
      <c r="B1166" s="21" t="s">
        <v>19</v>
      </c>
      <c r="C1166" s="22" t="n">
        <v>43173</v>
      </c>
      <c r="D1166" s="22" t="n">
        <v>43177</v>
      </c>
      <c r="E1166" s="22" t="n">
        <v>43189</v>
      </c>
      <c r="F1166" s="21" t="s">
        <v>57</v>
      </c>
      <c r="G1166" s="23" t="n">
        <v>40.85</v>
      </c>
      <c r="H1166" s="23" t="n">
        <v>19.08</v>
      </c>
      <c r="I1166" s="21" t="s">
        <v>45</v>
      </c>
      <c r="J1166" s="21" t="n">
        <v>4</v>
      </c>
      <c r="K1166" s="21" t="s">
        <v>46</v>
      </c>
      <c r="L1166" s="24" t="n">
        <f aca="false">DATE(YEAR(C1166),MONTH(C1166),1)</f>
        <v>43160</v>
      </c>
      <c r="M1166" s="21" t="n">
        <f aca="false">D1166-C1166</f>
        <v>4</v>
      </c>
      <c r="N1166" s="21" t="n">
        <f aca="false">MAX(0,D1166-E1166)</f>
        <v>0</v>
      </c>
      <c r="O1166" s="21" t="n">
        <f aca="false">IF(D1166&lt;=E1166,1,0)</f>
        <v>1</v>
      </c>
      <c r="P1166" s="23" t="n">
        <f aca="false">G1166+H1166</f>
        <v>59.93</v>
      </c>
      <c r="Q1166" s="23" t="n">
        <f aca="false">G1166*INDEX(Assumptions!$B$8:$B$16,MATCH(F1166,Assumptions!$A$8:$A$16,0))</f>
        <v>27.778</v>
      </c>
      <c r="R1166" s="23" t="n">
        <f aca="false">H1166*Assumptions!$B$3</f>
        <v>11.448</v>
      </c>
      <c r="S1166" s="23" t="n">
        <f aca="false">G1166-Q1166-R1166</f>
        <v>1.624</v>
      </c>
      <c r="T1166" s="21" t="str">
        <f aca="false">IF(M1166&lt;=7,"0-7 days",IF(M1166&lt;=14,"8-14 days",IF(M1166&lt;=21,"15-21 days","22+ days")))</f>
        <v>0-7 days</v>
      </c>
    </row>
    <row r="1167" customFormat="false" ht="15" hidden="false" customHeight="false" outlineLevel="0" collapsed="false">
      <c r="A1167" s="21" t="s">
        <v>1233</v>
      </c>
      <c r="B1167" s="21" t="s">
        <v>48</v>
      </c>
      <c r="C1167" s="22" t="n">
        <v>43173</v>
      </c>
      <c r="D1167" s="22" t="n">
        <v>43180</v>
      </c>
      <c r="E1167" s="22" t="n">
        <v>43194</v>
      </c>
      <c r="F1167" s="21" t="s">
        <v>111</v>
      </c>
      <c r="G1167" s="23" t="n">
        <v>35.54</v>
      </c>
      <c r="H1167" s="23" t="n">
        <v>21.65</v>
      </c>
      <c r="I1167" s="21" t="s">
        <v>45</v>
      </c>
      <c r="J1167" s="21" t="n">
        <v>5</v>
      </c>
      <c r="K1167" s="21" t="s">
        <v>46</v>
      </c>
      <c r="L1167" s="24" t="n">
        <f aca="false">DATE(YEAR(C1167),MONTH(C1167),1)</f>
        <v>43160</v>
      </c>
      <c r="M1167" s="21" t="n">
        <f aca="false">D1167-C1167</f>
        <v>7</v>
      </c>
      <c r="N1167" s="21" t="n">
        <f aca="false">MAX(0,D1167-E1167)</f>
        <v>0</v>
      </c>
      <c r="O1167" s="21" t="n">
        <f aca="false">IF(D1167&lt;=E1167,1,0)</f>
        <v>1</v>
      </c>
      <c r="P1167" s="23" t="n">
        <f aca="false">G1167+H1167</f>
        <v>57.19</v>
      </c>
      <c r="Q1167" s="23" t="n">
        <f aca="false">G1167*INDEX(Assumptions!$B$8:$B$16,MATCH(F1167,Assumptions!$A$8:$A$16,0))</f>
        <v>22.3902</v>
      </c>
      <c r="R1167" s="23" t="n">
        <f aca="false">H1167*Assumptions!$B$3</f>
        <v>12.99</v>
      </c>
      <c r="S1167" s="23" t="n">
        <f aca="false">G1167-Q1167-R1167</f>
        <v>0.159800000000001</v>
      </c>
      <c r="T1167" s="21" t="str">
        <f aca="false">IF(M1167&lt;=7,"0-7 days",IF(M1167&lt;=14,"8-14 days",IF(M1167&lt;=21,"15-21 days","22+ days")))</f>
        <v>0-7 days</v>
      </c>
    </row>
    <row r="1168" customFormat="false" ht="15" hidden="false" customHeight="false" outlineLevel="0" collapsed="false">
      <c r="A1168" s="21" t="s">
        <v>1234</v>
      </c>
      <c r="B1168" s="21" t="s">
        <v>19</v>
      </c>
      <c r="C1168" s="22" t="n">
        <v>43174</v>
      </c>
      <c r="D1168" s="22" t="n">
        <v>43183</v>
      </c>
      <c r="E1168" s="22" t="n">
        <v>43191</v>
      </c>
      <c r="F1168" s="21" t="s">
        <v>59</v>
      </c>
      <c r="G1168" s="23" t="n">
        <v>120.2</v>
      </c>
      <c r="H1168" s="23" t="n">
        <v>21.82</v>
      </c>
      <c r="I1168" s="21" t="s">
        <v>45</v>
      </c>
      <c r="J1168" s="21" t="n">
        <v>5</v>
      </c>
      <c r="K1168" s="21" t="s">
        <v>46</v>
      </c>
      <c r="L1168" s="24" t="n">
        <f aca="false">DATE(YEAR(C1168),MONTH(C1168),1)</f>
        <v>43160</v>
      </c>
      <c r="M1168" s="21" t="n">
        <f aca="false">D1168-C1168</f>
        <v>9</v>
      </c>
      <c r="N1168" s="21" t="n">
        <f aca="false">MAX(0,D1168-E1168)</f>
        <v>0</v>
      </c>
      <c r="O1168" s="21" t="n">
        <f aca="false">IF(D1168&lt;=E1168,1,0)</f>
        <v>1</v>
      </c>
      <c r="P1168" s="23" t="n">
        <f aca="false">G1168+H1168</f>
        <v>142.02</v>
      </c>
      <c r="Q1168" s="23" t="n">
        <f aca="false">G1168*INDEX(Assumptions!$B$8:$B$16,MATCH(F1168,Assumptions!$A$8:$A$16,0))</f>
        <v>76.928</v>
      </c>
      <c r="R1168" s="23" t="n">
        <f aca="false">H1168*Assumptions!$B$3</f>
        <v>13.092</v>
      </c>
      <c r="S1168" s="23" t="n">
        <f aca="false">G1168-Q1168-R1168</f>
        <v>30.18</v>
      </c>
      <c r="T1168" s="21" t="str">
        <f aca="false">IF(M1168&lt;=7,"0-7 days",IF(M1168&lt;=14,"8-14 days",IF(M1168&lt;=21,"15-21 days","22+ days")))</f>
        <v>8-14 days</v>
      </c>
    </row>
    <row r="1169" customFormat="false" ht="15" hidden="false" customHeight="false" outlineLevel="0" collapsed="false">
      <c r="A1169" s="21" t="s">
        <v>1235</v>
      </c>
      <c r="B1169" s="21" t="s">
        <v>55</v>
      </c>
      <c r="C1169" s="22" t="n">
        <v>43174</v>
      </c>
      <c r="D1169" s="22" t="n">
        <v>43188</v>
      </c>
      <c r="E1169" s="22" t="n">
        <v>43198</v>
      </c>
      <c r="F1169" s="21" t="s">
        <v>79</v>
      </c>
      <c r="G1169" s="23" t="n">
        <v>195.09</v>
      </c>
      <c r="H1169" s="23" t="n">
        <v>22.56</v>
      </c>
      <c r="I1169" s="21" t="s">
        <v>45</v>
      </c>
      <c r="J1169" s="21" t="n">
        <v>4</v>
      </c>
      <c r="K1169" s="21" t="s">
        <v>46</v>
      </c>
      <c r="L1169" s="24" t="n">
        <f aca="false">DATE(YEAR(C1169),MONTH(C1169),1)</f>
        <v>43160</v>
      </c>
      <c r="M1169" s="21" t="n">
        <f aca="false">D1169-C1169</f>
        <v>14</v>
      </c>
      <c r="N1169" s="21" t="n">
        <f aca="false">MAX(0,D1169-E1169)</f>
        <v>0</v>
      </c>
      <c r="O1169" s="21" t="n">
        <f aca="false">IF(D1169&lt;=E1169,1,0)</f>
        <v>1</v>
      </c>
      <c r="P1169" s="23" t="n">
        <f aca="false">G1169+H1169</f>
        <v>217.65</v>
      </c>
      <c r="Q1169" s="23" t="n">
        <f aca="false">G1169*INDEX(Assumptions!$B$8:$B$16,MATCH(F1169,Assumptions!$A$8:$A$16,0))</f>
        <v>136.563</v>
      </c>
      <c r="R1169" s="23" t="n">
        <f aca="false">H1169*Assumptions!$B$3</f>
        <v>13.536</v>
      </c>
      <c r="S1169" s="23" t="n">
        <f aca="false">G1169-Q1169-R1169</f>
        <v>44.991</v>
      </c>
      <c r="T1169" s="21" t="str">
        <f aca="false">IF(M1169&lt;=7,"0-7 days",IF(M1169&lt;=14,"8-14 days",IF(M1169&lt;=21,"15-21 days","22+ days")))</f>
        <v>8-14 days</v>
      </c>
    </row>
    <row r="1170" customFormat="false" ht="15" hidden="false" customHeight="false" outlineLevel="0" collapsed="false">
      <c r="A1170" s="21" t="s">
        <v>1236</v>
      </c>
      <c r="B1170" s="21" t="s">
        <v>52</v>
      </c>
      <c r="C1170" s="22" t="n">
        <v>43174</v>
      </c>
      <c r="D1170" s="22" t="n">
        <v>43184</v>
      </c>
      <c r="E1170" s="22" t="n">
        <v>43201</v>
      </c>
      <c r="F1170" s="21" t="s">
        <v>53</v>
      </c>
      <c r="G1170" s="23" t="n">
        <v>105.27</v>
      </c>
      <c r="H1170" s="23" t="n">
        <v>31.05</v>
      </c>
      <c r="I1170" s="21" t="s">
        <v>60</v>
      </c>
      <c r="J1170" s="21" t="n">
        <v>5</v>
      </c>
      <c r="K1170" s="21" t="s">
        <v>46</v>
      </c>
      <c r="L1170" s="24" t="n">
        <f aca="false">DATE(YEAR(C1170),MONTH(C1170),1)</f>
        <v>43160</v>
      </c>
      <c r="M1170" s="21" t="n">
        <f aca="false">D1170-C1170</f>
        <v>10</v>
      </c>
      <c r="N1170" s="21" t="n">
        <f aca="false">MAX(0,D1170-E1170)</f>
        <v>0</v>
      </c>
      <c r="O1170" s="21" t="n">
        <f aca="false">IF(D1170&lt;=E1170,1,0)</f>
        <v>1</v>
      </c>
      <c r="P1170" s="23" t="n">
        <f aca="false">G1170+H1170</f>
        <v>136.32</v>
      </c>
      <c r="Q1170" s="23" t="n">
        <f aca="false">G1170*INDEX(Assumptions!$B$8:$B$16,MATCH(F1170,Assumptions!$A$8:$A$16,0))</f>
        <v>77.8998</v>
      </c>
      <c r="R1170" s="23" t="n">
        <f aca="false">H1170*Assumptions!$B$3</f>
        <v>18.63</v>
      </c>
      <c r="S1170" s="23" t="n">
        <f aca="false">G1170-Q1170-R1170</f>
        <v>8.7402</v>
      </c>
      <c r="T1170" s="21" t="str">
        <f aca="false">IF(M1170&lt;=7,"0-7 days",IF(M1170&lt;=14,"8-14 days",IF(M1170&lt;=21,"15-21 days","22+ days")))</f>
        <v>8-14 days</v>
      </c>
    </row>
    <row r="1171" customFormat="false" ht="15" hidden="false" customHeight="false" outlineLevel="0" collapsed="false">
      <c r="A1171" s="21" t="s">
        <v>1237</v>
      </c>
      <c r="B1171" s="21" t="s">
        <v>77</v>
      </c>
      <c r="C1171" s="22" t="n">
        <v>43174</v>
      </c>
      <c r="D1171" s="22" t="n">
        <v>43195</v>
      </c>
      <c r="E1171" s="22" t="n">
        <v>43199</v>
      </c>
      <c r="F1171" s="21" t="s">
        <v>79</v>
      </c>
      <c r="G1171" s="23" t="n">
        <v>192.99</v>
      </c>
      <c r="H1171" s="23" t="n">
        <v>23.4</v>
      </c>
      <c r="I1171" s="21" t="s">
        <v>45</v>
      </c>
      <c r="J1171" s="21" t="n">
        <v>4</v>
      </c>
      <c r="K1171" s="21" t="s">
        <v>46</v>
      </c>
      <c r="L1171" s="24" t="n">
        <f aca="false">DATE(YEAR(C1171),MONTH(C1171),1)</f>
        <v>43160</v>
      </c>
      <c r="M1171" s="21" t="n">
        <f aca="false">D1171-C1171</f>
        <v>21</v>
      </c>
      <c r="N1171" s="21" t="n">
        <f aca="false">MAX(0,D1171-E1171)</f>
        <v>0</v>
      </c>
      <c r="O1171" s="21" t="n">
        <f aca="false">IF(D1171&lt;=E1171,1,0)</f>
        <v>1</v>
      </c>
      <c r="P1171" s="23" t="n">
        <f aca="false">G1171+H1171</f>
        <v>216.39</v>
      </c>
      <c r="Q1171" s="23" t="n">
        <f aca="false">G1171*INDEX(Assumptions!$B$8:$B$16,MATCH(F1171,Assumptions!$A$8:$A$16,0))</f>
        <v>135.093</v>
      </c>
      <c r="R1171" s="23" t="n">
        <f aca="false">H1171*Assumptions!$B$3</f>
        <v>14.04</v>
      </c>
      <c r="S1171" s="23" t="n">
        <f aca="false">G1171-Q1171-R1171</f>
        <v>43.857</v>
      </c>
      <c r="T1171" s="21" t="str">
        <f aca="false">IF(M1171&lt;=7,"0-7 days",IF(M1171&lt;=14,"8-14 days",IF(M1171&lt;=21,"15-21 days","22+ days")))</f>
        <v>15-21 days</v>
      </c>
    </row>
    <row r="1172" customFormat="false" ht="15" hidden="false" customHeight="false" outlineLevel="0" collapsed="false">
      <c r="A1172" s="21" t="s">
        <v>1238</v>
      </c>
      <c r="B1172" s="21" t="s">
        <v>19</v>
      </c>
      <c r="C1172" s="22" t="n">
        <v>43174</v>
      </c>
      <c r="D1172" s="22" t="n">
        <v>43181</v>
      </c>
      <c r="E1172" s="22" t="n">
        <v>43190</v>
      </c>
      <c r="F1172" s="21" t="s">
        <v>59</v>
      </c>
      <c r="G1172" s="23" t="n">
        <v>101.96</v>
      </c>
      <c r="H1172" s="23" t="n">
        <v>17.5</v>
      </c>
      <c r="I1172" s="21" t="s">
        <v>45</v>
      </c>
      <c r="J1172" s="21" t="n">
        <v>5</v>
      </c>
      <c r="K1172" s="21" t="s">
        <v>46</v>
      </c>
      <c r="L1172" s="24" t="n">
        <f aca="false">DATE(YEAR(C1172),MONTH(C1172),1)</f>
        <v>43160</v>
      </c>
      <c r="M1172" s="21" t="n">
        <f aca="false">D1172-C1172</f>
        <v>7</v>
      </c>
      <c r="N1172" s="21" t="n">
        <f aca="false">MAX(0,D1172-E1172)</f>
        <v>0</v>
      </c>
      <c r="O1172" s="21" t="n">
        <f aca="false">IF(D1172&lt;=E1172,1,0)</f>
        <v>1</v>
      </c>
      <c r="P1172" s="23" t="n">
        <f aca="false">G1172+H1172</f>
        <v>119.46</v>
      </c>
      <c r="Q1172" s="23" t="n">
        <f aca="false">G1172*INDEX(Assumptions!$B$8:$B$16,MATCH(F1172,Assumptions!$A$8:$A$16,0))</f>
        <v>65.2544</v>
      </c>
      <c r="R1172" s="23" t="n">
        <f aca="false">H1172*Assumptions!$B$3</f>
        <v>10.5</v>
      </c>
      <c r="S1172" s="23" t="n">
        <f aca="false">G1172-Q1172-R1172</f>
        <v>26.2056</v>
      </c>
      <c r="T1172" s="21" t="str">
        <f aca="false">IF(M1172&lt;=7,"0-7 days",IF(M1172&lt;=14,"8-14 days",IF(M1172&lt;=21,"15-21 days","22+ days")))</f>
        <v>0-7 days</v>
      </c>
    </row>
    <row r="1173" customFormat="false" ht="15" hidden="false" customHeight="false" outlineLevel="0" collapsed="false">
      <c r="A1173" s="21" t="s">
        <v>1239</v>
      </c>
      <c r="B1173" s="21" t="s">
        <v>134</v>
      </c>
      <c r="C1173" s="22" t="n">
        <v>43174</v>
      </c>
      <c r="D1173" s="22" t="n">
        <v>43199</v>
      </c>
      <c r="E1173" s="22" t="n">
        <v>43197</v>
      </c>
      <c r="F1173" s="21" t="s">
        <v>59</v>
      </c>
      <c r="G1173" s="23" t="n">
        <v>113.75</v>
      </c>
      <c r="H1173" s="23" t="n">
        <v>26.75</v>
      </c>
      <c r="I1173" s="21" t="s">
        <v>45</v>
      </c>
      <c r="J1173" s="21" t="n">
        <v>3</v>
      </c>
      <c r="K1173" s="21" t="s">
        <v>46</v>
      </c>
      <c r="L1173" s="24" t="n">
        <f aca="false">DATE(YEAR(C1173),MONTH(C1173),1)</f>
        <v>43160</v>
      </c>
      <c r="M1173" s="21" t="n">
        <f aca="false">D1173-C1173</f>
        <v>25</v>
      </c>
      <c r="N1173" s="21" t="n">
        <f aca="false">MAX(0,D1173-E1173)</f>
        <v>2</v>
      </c>
      <c r="O1173" s="21" t="n">
        <f aca="false">IF(D1173&lt;=E1173,1,0)</f>
        <v>0</v>
      </c>
      <c r="P1173" s="23" t="n">
        <f aca="false">G1173+H1173</f>
        <v>140.5</v>
      </c>
      <c r="Q1173" s="23" t="n">
        <f aca="false">G1173*INDEX(Assumptions!$B$8:$B$16,MATCH(F1173,Assumptions!$A$8:$A$16,0))</f>
        <v>72.8</v>
      </c>
      <c r="R1173" s="23" t="n">
        <f aca="false">H1173*Assumptions!$B$3</f>
        <v>16.05</v>
      </c>
      <c r="S1173" s="23" t="n">
        <f aca="false">G1173-Q1173-R1173</f>
        <v>24.9</v>
      </c>
      <c r="T1173" s="21" t="str">
        <f aca="false">IF(M1173&lt;=7,"0-7 days",IF(M1173&lt;=14,"8-14 days",IF(M1173&lt;=21,"15-21 days","22+ days")))</f>
        <v>22+ days</v>
      </c>
    </row>
    <row r="1174" customFormat="false" ht="15" hidden="false" customHeight="false" outlineLevel="0" collapsed="false">
      <c r="A1174" s="21" t="s">
        <v>1240</v>
      </c>
      <c r="B1174" s="21" t="s">
        <v>55</v>
      </c>
      <c r="C1174" s="22" t="n">
        <v>43175</v>
      </c>
      <c r="D1174" s="22" t="n">
        <v>43196</v>
      </c>
      <c r="E1174" s="22" t="n">
        <v>43200</v>
      </c>
      <c r="F1174" s="21" t="s">
        <v>44</v>
      </c>
      <c r="G1174" s="23" t="n">
        <v>113.87</v>
      </c>
      <c r="H1174" s="23" t="n">
        <v>17.12</v>
      </c>
      <c r="I1174" s="21" t="s">
        <v>45</v>
      </c>
      <c r="J1174" s="21" t="n">
        <v>4</v>
      </c>
      <c r="K1174" s="21" t="s">
        <v>46</v>
      </c>
      <c r="L1174" s="24" t="n">
        <f aca="false">DATE(YEAR(C1174),MONTH(C1174),1)</f>
        <v>43160</v>
      </c>
      <c r="M1174" s="21" t="n">
        <f aca="false">D1174-C1174</f>
        <v>21</v>
      </c>
      <c r="N1174" s="21" t="n">
        <f aca="false">MAX(0,D1174-E1174)</f>
        <v>0</v>
      </c>
      <c r="O1174" s="21" t="n">
        <f aca="false">IF(D1174&lt;=E1174,1,0)</f>
        <v>1</v>
      </c>
      <c r="P1174" s="23" t="n">
        <f aca="false">G1174+H1174</f>
        <v>130.99</v>
      </c>
      <c r="Q1174" s="23" t="n">
        <f aca="false">G1174*INDEX(Assumptions!$B$8:$B$16,MATCH(F1174,Assumptions!$A$8:$A$16,0))</f>
        <v>68.322</v>
      </c>
      <c r="R1174" s="23" t="n">
        <f aca="false">H1174*Assumptions!$B$3</f>
        <v>10.272</v>
      </c>
      <c r="S1174" s="23" t="n">
        <f aca="false">G1174-Q1174-R1174</f>
        <v>35.276</v>
      </c>
      <c r="T1174" s="21" t="str">
        <f aca="false">IF(M1174&lt;=7,"0-7 days",IF(M1174&lt;=14,"8-14 days",IF(M1174&lt;=21,"15-21 days","22+ days")))</f>
        <v>15-21 days</v>
      </c>
    </row>
    <row r="1175" customFormat="false" ht="15" hidden="false" customHeight="false" outlineLevel="0" collapsed="false">
      <c r="A1175" s="21" t="s">
        <v>1241</v>
      </c>
      <c r="B1175" s="21" t="s">
        <v>156</v>
      </c>
      <c r="C1175" s="22" t="n">
        <v>43175</v>
      </c>
      <c r="D1175" s="22" t="n">
        <v>43191</v>
      </c>
      <c r="E1175" s="22" t="n">
        <v>43198</v>
      </c>
      <c r="F1175" s="21" t="s">
        <v>53</v>
      </c>
      <c r="G1175" s="23" t="n">
        <v>138.31</v>
      </c>
      <c r="H1175" s="23" t="n">
        <v>32.52</v>
      </c>
      <c r="I1175" s="21" t="s">
        <v>45</v>
      </c>
      <c r="J1175" s="21" t="n">
        <v>4</v>
      </c>
      <c r="K1175" s="21" t="s">
        <v>46</v>
      </c>
      <c r="L1175" s="24" t="n">
        <f aca="false">DATE(YEAR(C1175),MONTH(C1175),1)</f>
        <v>43160</v>
      </c>
      <c r="M1175" s="21" t="n">
        <f aca="false">D1175-C1175</f>
        <v>16</v>
      </c>
      <c r="N1175" s="21" t="n">
        <f aca="false">MAX(0,D1175-E1175)</f>
        <v>0</v>
      </c>
      <c r="O1175" s="21" t="n">
        <f aca="false">IF(D1175&lt;=E1175,1,0)</f>
        <v>1</v>
      </c>
      <c r="P1175" s="23" t="n">
        <f aca="false">G1175+H1175</f>
        <v>170.83</v>
      </c>
      <c r="Q1175" s="23" t="n">
        <f aca="false">G1175*INDEX(Assumptions!$B$8:$B$16,MATCH(F1175,Assumptions!$A$8:$A$16,0))</f>
        <v>102.3494</v>
      </c>
      <c r="R1175" s="23" t="n">
        <f aca="false">H1175*Assumptions!$B$3</f>
        <v>19.512</v>
      </c>
      <c r="S1175" s="23" t="n">
        <f aca="false">G1175-Q1175-R1175</f>
        <v>16.4486</v>
      </c>
      <c r="T1175" s="21" t="str">
        <f aca="false">IF(M1175&lt;=7,"0-7 days",IF(M1175&lt;=14,"8-14 days",IF(M1175&lt;=21,"15-21 days","22+ days")))</f>
        <v>15-21 days</v>
      </c>
    </row>
    <row r="1176" customFormat="false" ht="15" hidden="false" customHeight="false" outlineLevel="0" collapsed="false">
      <c r="A1176" s="21" t="s">
        <v>1242</v>
      </c>
      <c r="B1176" s="21" t="s">
        <v>156</v>
      </c>
      <c r="C1176" s="22" t="n">
        <v>43175</v>
      </c>
      <c r="D1176" s="22" t="n">
        <v>43183</v>
      </c>
      <c r="E1176" s="22" t="n">
        <v>43199</v>
      </c>
      <c r="F1176" s="21" t="s">
        <v>79</v>
      </c>
      <c r="G1176" s="23" t="n">
        <v>80.68</v>
      </c>
      <c r="H1176" s="23" t="n">
        <v>27.35</v>
      </c>
      <c r="I1176" s="21" t="s">
        <v>60</v>
      </c>
      <c r="J1176" s="21" t="n">
        <v>5</v>
      </c>
      <c r="K1176" s="21" t="s">
        <v>46</v>
      </c>
      <c r="L1176" s="24" t="n">
        <f aca="false">DATE(YEAR(C1176),MONTH(C1176),1)</f>
        <v>43160</v>
      </c>
      <c r="M1176" s="21" t="n">
        <f aca="false">D1176-C1176</f>
        <v>8</v>
      </c>
      <c r="N1176" s="21" t="n">
        <f aca="false">MAX(0,D1176-E1176)</f>
        <v>0</v>
      </c>
      <c r="O1176" s="21" t="n">
        <f aca="false">IF(D1176&lt;=E1176,1,0)</f>
        <v>1</v>
      </c>
      <c r="P1176" s="23" t="n">
        <f aca="false">G1176+H1176</f>
        <v>108.03</v>
      </c>
      <c r="Q1176" s="23" t="n">
        <f aca="false">G1176*INDEX(Assumptions!$B$8:$B$16,MATCH(F1176,Assumptions!$A$8:$A$16,0))</f>
        <v>56.476</v>
      </c>
      <c r="R1176" s="23" t="n">
        <f aca="false">H1176*Assumptions!$B$3</f>
        <v>16.41</v>
      </c>
      <c r="S1176" s="23" t="n">
        <f aca="false">G1176-Q1176-R1176</f>
        <v>7.79400000000001</v>
      </c>
      <c r="T1176" s="21" t="str">
        <f aca="false">IF(M1176&lt;=7,"0-7 days",IF(M1176&lt;=14,"8-14 days",IF(M1176&lt;=21,"15-21 days","22+ days")))</f>
        <v>8-14 days</v>
      </c>
    </row>
    <row r="1177" customFormat="false" ht="15" hidden="false" customHeight="false" outlineLevel="0" collapsed="false">
      <c r="A1177" s="21" t="s">
        <v>1243</v>
      </c>
      <c r="B1177" s="21" t="s">
        <v>19</v>
      </c>
      <c r="C1177" s="22" t="n">
        <v>43175</v>
      </c>
      <c r="D1177" s="22" t="n">
        <v>43184</v>
      </c>
      <c r="E1177" s="22" t="n">
        <v>43191</v>
      </c>
      <c r="F1177" s="21" t="s">
        <v>49</v>
      </c>
      <c r="G1177" s="23" t="n">
        <v>75.58</v>
      </c>
      <c r="H1177" s="23" t="n">
        <v>21.38</v>
      </c>
      <c r="I1177" s="21" t="s">
        <v>45</v>
      </c>
      <c r="J1177" s="21" t="n">
        <v>5</v>
      </c>
      <c r="K1177" s="21" t="s">
        <v>46</v>
      </c>
      <c r="L1177" s="24" t="n">
        <f aca="false">DATE(YEAR(C1177),MONTH(C1177),1)</f>
        <v>43160</v>
      </c>
      <c r="M1177" s="21" t="n">
        <f aca="false">D1177-C1177</f>
        <v>9</v>
      </c>
      <c r="N1177" s="21" t="n">
        <f aca="false">MAX(0,D1177-E1177)</f>
        <v>0</v>
      </c>
      <c r="O1177" s="21" t="n">
        <f aca="false">IF(D1177&lt;=E1177,1,0)</f>
        <v>1</v>
      </c>
      <c r="P1177" s="23" t="n">
        <f aca="false">G1177+H1177</f>
        <v>96.96</v>
      </c>
      <c r="Q1177" s="23" t="n">
        <f aca="false">G1177*INDEX(Assumptions!$B$8:$B$16,MATCH(F1177,Assumptions!$A$8:$A$16,0))</f>
        <v>43.8364</v>
      </c>
      <c r="R1177" s="23" t="n">
        <f aca="false">H1177*Assumptions!$B$3</f>
        <v>12.828</v>
      </c>
      <c r="S1177" s="23" t="n">
        <f aca="false">G1177-Q1177-R1177</f>
        <v>18.9156</v>
      </c>
      <c r="T1177" s="21" t="str">
        <f aca="false">IF(M1177&lt;=7,"0-7 days",IF(M1177&lt;=14,"8-14 days",IF(M1177&lt;=21,"15-21 days","22+ days")))</f>
        <v>8-14 days</v>
      </c>
    </row>
    <row r="1178" customFormat="false" ht="15" hidden="false" customHeight="false" outlineLevel="0" collapsed="false">
      <c r="A1178" s="21" t="s">
        <v>1244</v>
      </c>
      <c r="B1178" s="21" t="s">
        <v>19</v>
      </c>
      <c r="C1178" s="22" t="n">
        <v>43175</v>
      </c>
      <c r="D1178" s="22" t="n">
        <v>43186</v>
      </c>
      <c r="E1178" s="22" t="n">
        <v>43195</v>
      </c>
      <c r="F1178" s="21" t="s">
        <v>49</v>
      </c>
      <c r="G1178" s="23" t="n">
        <v>229.98</v>
      </c>
      <c r="H1178" s="23" t="n">
        <v>24.52</v>
      </c>
      <c r="I1178" s="21" t="s">
        <v>45</v>
      </c>
      <c r="J1178" s="21" t="n">
        <v>5</v>
      </c>
      <c r="K1178" s="21" t="s">
        <v>46</v>
      </c>
      <c r="L1178" s="24" t="n">
        <f aca="false">DATE(YEAR(C1178),MONTH(C1178),1)</f>
        <v>43160</v>
      </c>
      <c r="M1178" s="21" t="n">
        <f aca="false">D1178-C1178</f>
        <v>11</v>
      </c>
      <c r="N1178" s="21" t="n">
        <f aca="false">MAX(0,D1178-E1178)</f>
        <v>0</v>
      </c>
      <c r="O1178" s="21" t="n">
        <f aca="false">IF(D1178&lt;=E1178,1,0)</f>
        <v>1</v>
      </c>
      <c r="P1178" s="23" t="n">
        <f aca="false">G1178+H1178</f>
        <v>254.5</v>
      </c>
      <c r="Q1178" s="23" t="n">
        <f aca="false">G1178*INDEX(Assumptions!$B$8:$B$16,MATCH(F1178,Assumptions!$A$8:$A$16,0))</f>
        <v>133.3884</v>
      </c>
      <c r="R1178" s="23" t="n">
        <f aca="false">H1178*Assumptions!$B$3</f>
        <v>14.712</v>
      </c>
      <c r="S1178" s="23" t="n">
        <f aca="false">G1178-Q1178-R1178</f>
        <v>81.8796</v>
      </c>
      <c r="T1178" s="21" t="str">
        <f aca="false">IF(M1178&lt;=7,"0-7 days",IF(M1178&lt;=14,"8-14 days",IF(M1178&lt;=21,"15-21 days","22+ days")))</f>
        <v>8-14 days</v>
      </c>
    </row>
    <row r="1179" customFormat="false" ht="15" hidden="false" customHeight="false" outlineLevel="0" collapsed="false">
      <c r="A1179" s="21" t="s">
        <v>1245</v>
      </c>
      <c r="B1179" s="21" t="s">
        <v>62</v>
      </c>
      <c r="C1179" s="22" t="n">
        <v>43175</v>
      </c>
      <c r="D1179" s="22" t="n">
        <v>43184</v>
      </c>
      <c r="E1179" s="22" t="n">
        <v>43198</v>
      </c>
      <c r="F1179" s="21" t="s">
        <v>53</v>
      </c>
      <c r="G1179" s="23" t="n">
        <v>117.23</v>
      </c>
      <c r="H1179" s="23" t="n">
        <v>29.32</v>
      </c>
      <c r="I1179" s="21" t="s">
        <v>45</v>
      </c>
      <c r="J1179" s="21" t="n">
        <v>4</v>
      </c>
      <c r="K1179" s="21" t="s">
        <v>46</v>
      </c>
      <c r="L1179" s="24" t="n">
        <f aca="false">DATE(YEAR(C1179),MONTH(C1179),1)</f>
        <v>43160</v>
      </c>
      <c r="M1179" s="21" t="n">
        <f aca="false">D1179-C1179</f>
        <v>9</v>
      </c>
      <c r="N1179" s="21" t="n">
        <f aca="false">MAX(0,D1179-E1179)</f>
        <v>0</v>
      </c>
      <c r="O1179" s="21" t="n">
        <f aca="false">IF(D1179&lt;=E1179,1,0)</f>
        <v>1</v>
      </c>
      <c r="P1179" s="23" t="n">
        <f aca="false">G1179+H1179</f>
        <v>146.55</v>
      </c>
      <c r="Q1179" s="23" t="n">
        <f aca="false">G1179*INDEX(Assumptions!$B$8:$B$16,MATCH(F1179,Assumptions!$A$8:$A$16,0))</f>
        <v>86.7502</v>
      </c>
      <c r="R1179" s="23" t="n">
        <f aca="false">H1179*Assumptions!$B$3</f>
        <v>17.592</v>
      </c>
      <c r="S1179" s="23" t="n">
        <f aca="false">G1179-Q1179-R1179</f>
        <v>12.8878</v>
      </c>
      <c r="T1179" s="21" t="str">
        <f aca="false">IF(M1179&lt;=7,"0-7 days",IF(M1179&lt;=14,"8-14 days",IF(M1179&lt;=21,"15-21 days","22+ days")))</f>
        <v>8-14 days</v>
      </c>
    </row>
    <row r="1180" customFormat="false" ht="15" hidden="false" customHeight="false" outlineLevel="0" collapsed="false">
      <c r="A1180" s="21" t="s">
        <v>1246</v>
      </c>
      <c r="B1180" s="21" t="s">
        <v>19</v>
      </c>
      <c r="C1180" s="22" t="n">
        <v>43175</v>
      </c>
      <c r="D1180" s="22" t="n">
        <v>43185</v>
      </c>
      <c r="E1180" s="22" t="n">
        <v>43191</v>
      </c>
      <c r="F1180" s="21" t="s">
        <v>64</v>
      </c>
      <c r="G1180" s="23" t="n">
        <v>239.62</v>
      </c>
      <c r="H1180" s="23" t="n">
        <v>21.14</v>
      </c>
      <c r="I1180" s="21" t="s">
        <v>45</v>
      </c>
      <c r="J1180" s="21" t="n">
        <v>5</v>
      </c>
      <c r="K1180" s="21" t="s">
        <v>46</v>
      </c>
      <c r="L1180" s="24" t="n">
        <f aca="false">DATE(YEAR(C1180),MONTH(C1180),1)</f>
        <v>43160</v>
      </c>
      <c r="M1180" s="21" t="n">
        <f aca="false">D1180-C1180</f>
        <v>10</v>
      </c>
      <c r="N1180" s="21" t="n">
        <f aca="false">MAX(0,D1180-E1180)</f>
        <v>0</v>
      </c>
      <c r="O1180" s="21" t="n">
        <f aca="false">IF(D1180&lt;=E1180,1,0)</f>
        <v>1</v>
      </c>
      <c r="P1180" s="23" t="n">
        <f aca="false">G1180+H1180</f>
        <v>260.76</v>
      </c>
      <c r="Q1180" s="23" t="n">
        <f aca="false">G1180*INDEX(Assumptions!$B$8:$B$16,MATCH(F1180,Assumptions!$A$8:$A$16,0))</f>
        <v>158.1492</v>
      </c>
      <c r="R1180" s="23" t="n">
        <f aca="false">H1180*Assumptions!$B$3</f>
        <v>12.684</v>
      </c>
      <c r="S1180" s="23" t="n">
        <f aca="false">G1180-Q1180-R1180</f>
        <v>68.7868</v>
      </c>
      <c r="T1180" s="21" t="str">
        <f aca="false">IF(M1180&lt;=7,"0-7 days",IF(M1180&lt;=14,"8-14 days",IF(M1180&lt;=21,"15-21 days","22+ days")))</f>
        <v>8-14 days</v>
      </c>
    </row>
    <row r="1181" customFormat="false" ht="15" hidden="false" customHeight="false" outlineLevel="0" collapsed="false">
      <c r="A1181" s="21" t="s">
        <v>1247</v>
      </c>
      <c r="B1181" s="21" t="s">
        <v>19</v>
      </c>
      <c r="C1181" s="22" t="n">
        <v>43175</v>
      </c>
      <c r="D1181" s="22" t="n">
        <v>43181</v>
      </c>
      <c r="E1181" s="22" t="n">
        <v>43190</v>
      </c>
      <c r="F1181" s="21" t="s">
        <v>64</v>
      </c>
      <c r="G1181" s="23" t="n">
        <v>175.75</v>
      </c>
      <c r="H1181" s="23" t="n">
        <v>22.39</v>
      </c>
      <c r="I1181" s="21" t="s">
        <v>45</v>
      </c>
      <c r="J1181" s="21" t="n">
        <v>5</v>
      </c>
      <c r="K1181" s="21" t="s">
        <v>46</v>
      </c>
      <c r="L1181" s="24" t="n">
        <f aca="false">DATE(YEAR(C1181),MONTH(C1181),1)</f>
        <v>43160</v>
      </c>
      <c r="M1181" s="21" t="n">
        <f aca="false">D1181-C1181</f>
        <v>6</v>
      </c>
      <c r="N1181" s="21" t="n">
        <f aca="false">MAX(0,D1181-E1181)</f>
        <v>0</v>
      </c>
      <c r="O1181" s="21" t="n">
        <f aca="false">IF(D1181&lt;=E1181,1,0)</f>
        <v>1</v>
      </c>
      <c r="P1181" s="23" t="n">
        <f aca="false">G1181+H1181</f>
        <v>198.14</v>
      </c>
      <c r="Q1181" s="23" t="n">
        <f aca="false">G1181*INDEX(Assumptions!$B$8:$B$16,MATCH(F1181,Assumptions!$A$8:$A$16,0))</f>
        <v>115.995</v>
      </c>
      <c r="R1181" s="23" t="n">
        <f aca="false">H1181*Assumptions!$B$3</f>
        <v>13.434</v>
      </c>
      <c r="S1181" s="23" t="n">
        <f aca="false">G1181-Q1181-R1181</f>
        <v>46.321</v>
      </c>
      <c r="T1181" s="21" t="str">
        <f aca="false">IF(M1181&lt;=7,"0-7 days",IF(M1181&lt;=14,"8-14 days",IF(M1181&lt;=21,"15-21 days","22+ days")))</f>
        <v>0-7 days</v>
      </c>
    </row>
    <row r="1182" customFormat="false" ht="15" hidden="false" customHeight="false" outlineLevel="0" collapsed="false">
      <c r="A1182" s="21" t="s">
        <v>1248</v>
      </c>
      <c r="B1182" s="21" t="s">
        <v>19</v>
      </c>
      <c r="C1182" s="22" t="n">
        <v>43176</v>
      </c>
      <c r="D1182" s="22" t="n">
        <v>43179</v>
      </c>
      <c r="E1182" s="22" t="n">
        <v>43192</v>
      </c>
      <c r="F1182" s="21" t="s">
        <v>59</v>
      </c>
      <c r="G1182" s="23" t="n">
        <v>71.18</v>
      </c>
      <c r="H1182" s="23" t="n">
        <v>12.01</v>
      </c>
      <c r="I1182" s="21" t="s">
        <v>45</v>
      </c>
      <c r="J1182" s="21" t="n">
        <v>4</v>
      </c>
      <c r="K1182" s="21" t="s">
        <v>46</v>
      </c>
      <c r="L1182" s="24" t="n">
        <f aca="false">DATE(YEAR(C1182),MONTH(C1182),1)</f>
        <v>43160</v>
      </c>
      <c r="M1182" s="21" t="n">
        <f aca="false">D1182-C1182</f>
        <v>3</v>
      </c>
      <c r="N1182" s="21" t="n">
        <f aca="false">MAX(0,D1182-E1182)</f>
        <v>0</v>
      </c>
      <c r="O1182" s="21" t="n">
        <f aca="false">IF(D1182&lt;=E1182,1,0)</f>
        <v>1</v>
      </c>
      <c r="P1182" s="23" t="n">
        <f aca="false">G1182+H1182</f>
        <v>83.19</v>
      </c>
      <c r="Q1182" s="23" t="n">
        <f aca="false">G1182*INDEX(Assumptions!$B$8:$B$16,MATCH(F1182,Assumptions!$A$8:$A$16,0))</f>
        <v>45.5552</v>
      </c>
      <c r="R1182" s="23" t="n">
        <f aca="false">H1182*Assumptions!$B$3</f>
        <v>7.206</v>
      </c>
      <c r="S1182" s="23" t="n">
        <f aca="false">G1182-Q1182-R1182</f>
        <v>18.4188</v>
      </c>
      <c r="T1182" s="21" t="str">
        <f aca="false">IF(M1182&lt;=7,"0-7 days",IF(M1182&lt;=14,"8-14 days",IF(M1182&lt;=21,"15-21 days","22+ days")))</f>
        <v>0-7 days</v>
      </c>
    </row>
    <row r="1183" customFormat="false" ht="15" hidden="false" customHeight="false" outlineLevel="0" collapsed="false">
      <c r="A1183" s="21" t="s">
        <v>1249</v>
      </c>
      <c r="B1183" s="21" t="s">
        <v>19</v>
      </c>
      <c r="C1183" s="22" t="n">
        <v>43177</v>
      </c>
      <c r="D1183" s="22" t="n">
        <v>43191</v>
      </c>
      <c r="E1183" s="22" t="n">
        <v>43193</v>
      </c>
      <c r="F1183" s="21" t="s">
        <v>67</v>
      </c>
      <c r="G1183" s="23" t="n">
        <v>71.75</v>
      </c>
      <c r="H1183" s="23" t="n">
        <v>13.06</v>
      </c>
      <c r="I1183" s="21" t="s">
        <v>45</v>
      </c>
      <c r="J1183" s="21" t="n">
        <v>4</v>
      </c>
      <c r="K1183" s="21" t="s">
        <v>46</v>
      </c>
      <c r="L1183" s="24" t="n">
        <f aca="false">DATE(YEAR(C1183),MONTH(C1183),1)</f>
        <v>43160</v>
      </c>
      <c r="M1183" s="21" t="n">
        <f aca="false">D1183-C1183</f>
        <v>14</v>
      </c>
      <c r="N1183" s="21" t="n">
        <f aca="false">MAX(0,D1183-E1183)</f>
        <v>0</v>
      </c>
      <c r="O1183" s="21" t="n">
        <f aca="false">IF(D1183&lt;=E1183,1,0)</f>
        <v>1</v>
      </c>
      <c r="P1183" s="23" t="n">
        <f aca="false">G1183+H1183</f>
        <v>84.81</v>
      </c>
      <c r="Q1183" s="23" t="n">
        <f aca="false">G1183*INDEX(Assumptions!$B$8:$B$16,MATCH(F1183,Assumptions!$A$8:$A$16,0))</f>
        <v>44.485</v>
      </c>
      <c r="R1183" s="23" t="n">
        <f aca="false">H1183*Assumptions!$B$3</f>
        <v>7.836</v>
      </c>
      <c r="S1183" s="23" t="n">
        <f aca="false">G1183-Q1183-R1183</f>
        <v>19.429</v>
      </c>
      <c r="T1183" s="21" t="str">
        <f aca="false">IF(M1183&lt;=7,"0-7 days",IF(M1183&lt;=14,"8-14 days",IF(M1183&lt;=21,"15-21 days","22+ days")))</f>
        <v>8-14 days</v>
      </c>
    </row>
    <row r="1184" customFormat="false" ht="15" hidden="false" customHeight="false" outlineLevel="0" collapsed="false">
      <c r="A1184" s="21" t="s">
        <v>1250</v>
      </c>
      <c r="B1184" s="21" t="s">
        <v>19</v>
      </c>
      <c r="C1184" s="22" t="n">
        <v>43177</v>
      </c>
      <c r="D1184" s="22" t="n">
        <v>43183</v>
      </c>
      <c r="E1184" s="22" t="n">
        <v>43192</v>
      </c>
      <c r="F1184" s="21" t="s">
        <v>64</v>
      </c>
      <c r="G1184" s="23" t="n">
        <v>141.9</v>
      </c>
      <c r="H1184" s="23" t="n">
        <v>23.08</v>
      </c>
      <c r="I1184" s="21" t="s">
        <v>45</v>
      </c>
      <c r="J1184" s="21" t="n">
        <v>5</v>
      </c>
      <c r="K1184" s="21" t="s">
        <v>46</v>
      </c>
      <c r="L1184" s="24" t="n">
        <f aca="false">DATE(YEAR(C1184),MONTH(C1184),1)</f>
        <v>43160</v>
      </c>
      <c r="M1184" s="21" t="n">
        <f aca="false">D1184-C1184</f>
        <v>6</v>
      </c>
      <c r="N1184" s="21" t="n">
        <f aca="false">MAX(0,D1184-E1184)</f>
        <v>0</v>
      </c>
      <c r="O1184" s="21" t="n">
        <f aca="false">IF(D1184&lt;=E1184,1,0)</f>
        <v>1</v>
      </c>
      <c r="P1184" s="23" t="n">
        <f aca="false">G1184+H1184</f>
        <v>164.98</v>
      </c>
      <c r="Q1184" s="23" t="n">
        <f aca="false">G1184*INDEX(Assumptions!$B$8:$B$16,MATCH(F1184,Assumptions!$A$8:$A$16,0))</f>
        <v>93.654</v>
      </c>
      <c r="R1184" s="23" t="n">
        <f aca="false">H1184*Assumptions!$B$3</f>
        <v>13.848</v>
      </c>
      <c r="S1184" s="23" t="n">
        <f aca="false">G1184-Q1184-R1184</f>
        <v>34.398</v>
      </c>
      <c r="T1184" s="21" t="str">
        <f aca="false">IF(M1184&lt;=7,"0-7 days",IF(M1184&lt;=14,"8-14 days",IF(M1184&lt;=21,"15-21 days","22+ days")))</f>
        <v>0-7 days</v>
      </c>
    </row>
    <row r="1185" customFormat="false" ht="15" hidden="false" customHeight="false" outlineLevel="0" collapsed="false">
      <c r="A1185" s="21" t="s">
        <v>1251</v>
      </c>
      <c r="B1185" s="21" t="s">
        <v>19</v>
      </c>
      <c r="C1185" s="22" t="n">
        <v>43178</v>
      </c>
      <c r="D1185" s="22" t="n">
        <v>43187</v>
      </c>
      <c r="E1185" s="22" t="n">
        <v>43195</v>
      </c>
      <c r="F1185" s="21" t="s">
        <v>59</v>
      </c>
      <c r="G1185" s="23" t="n">
        <v>92.08</v>
      </c>
      <c r="H1185" s="23" t="n">
        <v>19.73</v>
      </c>
      <c r="I1185" s="21" t="s">
        <v>60</v>
      </c>
      <c r="J1185" s="21" t="n">
        <v>5</v>
      </c>
      <c r="K1185" s="21" t="s">
        <v>46</v>
      </c>
      <c r="L1185" s="24" t="n">
        <f aca="false">DATE(YEAR(C1185),MONTH(C1185),1)</f>
        <v>43160</v>
      </c>
      <c r="M1185" s="21" t="n">
        <f aca="false">D1185-C1185</f>
        <v>9</v>
      </c>
      <c r="N1185" s="21" t="n">
        <f aca="false">MAX(0,D1185-E1185)</f>
        <v>0</v>
      </c>
      <c r="O1185" s="21" t="n">
        <f aca="false">IF(D1185&lt;=E1185,1,0)</f>
        <v>1</v>
      </c>
      <c r="P1185" s="23" t="n">
        <f aca="false">G1185+H1185</f>
        <v>111.81</v>
      </c>
      <c r="Q1185" s="23" t="n">
        <f aca="false">G1185*INDEX(Assumptions!$B$8:$B$16,MATCH(F1185,Assumptions!$A$8:$A$16,0))</f>
        <v>58.9312</v>
      </c>
      <c r="R1185" s="23" t="n">
        <f aca="false">H1185*Assumptions!$B$3</f>
        <v>11.838</v>
      </c>
      <c r="S1185" s="23" t="n">
        <f aca="false">G1185-Q1185-R1185</f>
        <v>21.3108</v>
      </c>
      <c r="T1185" s="21" t="str">
        <f aca="false">IF(M1185&lt;=7,"0-7 days",IF(M1185&lt;=14,"8-14 days",IF(M1185&lt;=21,"15-21 days","22+ days")))</f>
        <v>8-14 days</v>
      </c>
    </row>
    <row r="1186" customFormat="false" ht="15" hidden="false" customHeight="false" outlineLevel="0" collapsed="false">
      <c r="A1186" s="21" t="s">
        <v>1252</v>
      </c>
      <c r="B1186" s="21" t="s">
        <v>55</v>
      </c>
      <c r="C1186" s="22" t="n">
        <v>43178</v>
      </c>
      <c r="D1186" s="22" t="n">
        <v>43191</v>
      </c>
      <c r="E1186" s="22" t="n">
        <v>43204</v>
      </c>
      <c r="F1186" s="21" t="s">
        <v>53</v>
      </c>
      <c r="G1186" s="23" t="n">
        <v>152.87</v>
      </c>
      <c r="H1186" s="23" t="n">
        <v>31.78</v>
      </c>
      <c r="I1186" s="21" t="s">
        <v>60</v>
      </c>
      <c r="J1186" s="21" t="n">
        <v>4</v>
      </c>
      <c r="K1186" s="21" t="s">
        <v>46</v>
      </c>
      <c r="L1186" s="24" t="n">
        <f aca="false">DATE(YEAR(C1186),MONTH(C1186),1)</f>
        <v>43160</v>
      </c>
      <c r="M1186" s="21" t="n">
        <f aca="false">D1186-C1186</f>
        <v>13</v>
      </c>
      <c r="N1186" s="21" t="n">
        <f aca="false">MAX(0,D1186-E1186)</f>
        <v>0</v>
      </c>
      <c r="O1186" s="21" t="n">
        <f aca="false">IF(D1186&lt;=E1186,1,0)</f>
        <v>1</v>
      </c>
      <c r="P1186" s="23" t="n">
        <f aca="false">G1186+H1186</f>
        <v>184.65</v>
      </c>
      <c r="Q1186" s="23" t="n">
        <f aca="false">G1186*INDEX(Assumptions!$B$8:$B$16,MATCH(F1186,Assumptions!$A$8:$A$16,0))</f>
        <v>113.1238</v>
      </c>
      <c r="R1186" s="23" t="n">
        <f aca="false">H1186*Assumptions!$B$3</f>
        <v>19.068</v>
      </c>
      <c r="S1186" s="23" t="n">
        <f aca="false">G1186-Q1186-R1186</f>
        <v>20.6782</v>
      </c>
      <c r="T1186" s="21" t="str">
        <f aca="false">IF(M1186&lt;=7,"0-7 days",IF(M1186&lt;=14,"8-14 days",IF(M1186&lt;=21,"15-21 days","22+ days")))</f>
        <v>8-14 days</v>
      </c>
    </row>
    <row r="1187" customFormat="false" ht="15" hidden="false" customHeight="false" outlineLevel="0" collapsed="false">
      <c r="A1187" s="21" t="s">
        <v>1253</v>
      </c>
      <c r="B1187" s="21" t="s">
        <v>52</v>
      </c>
      <c r="C1187" s="22" t="n">
        <v>43178</v>
      </c>
      <c r="D1187" s="22" t="n">
        <v>43195</v>
      </c>
      <c r="E1187" s="22" t="n">
        <v>43202</v>
      </c>
      <c r="F1187" s="21" t="s">
        <v>53</v>
      </c>
      <c r="G1187" s="23" t="n">
        <v>155.77</v>
      </c>
      <c r="H1187" s="23" t="n">
        <v>21.83</v>
      </c>
      <c r="I1187" s="21" t="s">
        <v>45</v>
      </c>
      <c r="J1187" s="21" t="n">
        <v>5</v>
      </c>
      <c r="K1187" s="21" t="s">
        <v>46</v>
      </c>
      <c r="L1187" s="24" t="n">
        <f aca="false">DATE(YEAR(C1187),MONTH(C1187),1)</f>
        <v>43160</v>
      </c>
      <c r="M1187" s="21" t="n">
        <f aca="false">D1187-C1187</f>
        <v>17</v>
      </c>
      <c r="N1187" s="21" t="n">
        <f aca="false">MAX(0,D1187-E1187)</f>
        <v>0</v>
      </c>
      <c r="O1187" s="21" t="n">
        <f aca="false">IF(D1187&lt;=E1187,1,0)</f>
        <v>1</v>
      </c>
      <c r="P1187" s="23" t="n">
        <f aca="false">G1187+H1187</f>
        <v>177.6</v>
      </c>
      <c r="Q1187" s="23" t="n">
        <f aca="false">G1187*INDEX(Assumptions!$B$8:$B$16,MATCH(F1187,Assumptions!$A$8:$A$16,0))</f>
        <v>115.2698</v>
      </c>
      <c r="R1187" s="23" t="n">
        <f aca="false">H1187*Assumptions!$B$3</f>
        <v>13.098</v>
      </c>
      <c r="S1187" s="23" t="n">
        <f aca="false">G1187-Q1187-R1187</f>
        <v>27.4022</v>
      </c>
      <c r="T1187" s="21" t="str">
        <f aca="false">IF(M1187&lt;=7,"0-7 days",IF(M1187&lt;=14,"8-14 days",IF(M1187&lt;=21,"15-21 days","22+ days")))</f>
        <v>15-21 days</v>
      </c>
    </row>
    <row r="1188" customFormat="false" ht="15" hidden="false" customHeight="false" outlineLevel="0" collapsed="false">
      <c r="A1188" s="21" t="s">
        <v>1254</v>
      </c>
      <c r="B1188" s="21" t="s">
        <v>19</v>
      </c>
      <c r="C1188" s="22" t="n">
        <v>43179</v>
      </c>
      <c r="D1188" s="22" t="n">
        <v>43199</v>
      </c>
      <c r="E1188" s="22" t="n">
        <v>43192</v>
      </c>
      <c r="F1188" s="21" t="s">
        <v>44</v>
      </c>
      <c r="G1188" s="23" t="n">
        <v>94.61</v>
      </c>
      <c r="H1188" s="23" t="n">
        <v>21.62</v>
      </c>
      <c r="I1188" s="21" t="s">
        <v>45</v>
      </c>
      <c r="J1188" s="21" t="n">
        <v>3</v>
      </c>
      <c r="K1188" s="21" t="s">
        <v>46</v>
      </c>
      <c r="L1188" s="24" t="n">
        <f aca="false">DATE(YEAR(C1188),MONTH(C1188),1)</f>
        <v>43160</v>
      </c>
      <c r="M1188" s="21" t="n">
        <f aca="false">D1188-C1188</f>
        <v>20</v>
      </c>
      <c r="N1188" s="21" t="n">
        <f aca="false">MAX(0,D1188-E1188)</f>
        <v>7</v>
      </c>
      <c r="O1188" s="21" t="n">
        <f aca="false">IF(D1188&lt;=E1188,1,0)</f>
        <v>0</v>
      </c>
      <c r="P1188" s="23" t="n">
        <f aca="false">G1188+H1188</f>
        <v>116.23</v>
      </c>
      <c r="Q1188" s="23" t="n">
        <f aca="false">G1188*INDEX(Assumptions!$B$8:$B$16,MATCH(F1188,Assumptions!$A$8:$A$16,0))</f>
        <v>56.766</v>
      </c>
      <c r="R1188" s="23" t="n">
        <f aca="false">H1188*Assumptions!$B$3</f>
        <v>12.972</v>
      </c>
      <c r="S1188" s="23" t="n">
        <f aca="false">G1188-Q1188-R1188</f>
        <v>24.872</v>
      </c>
      <c r="T1188" s="21" t="str">
        <f aca="false">IF(M1188&lt;=7,"0-7 days",IF(M1188&lt;=14,"8-14 days",IF(M1188&lt;=21,"15-21 days","22+ days")))</f>
        <v>15-21 days</v>
      </c>
    </row>
    <row r="1189" customFormat="false" ht="15" hidden="false" customHeight="false" outlineLevel="0" collapsed="false">
      <c r="A1189" s="21" t="s">
        <v>1255</v>
      </c>
      <c r="B1189" s="21" t="s">
        <v>134</v>
      </c>
      <c r="C1189" s="22" t="n">
        <v>43179</v>
      </c>
      <c r="D1189" s="22" t="n">
        <v>43195</v>
      </c>
      <c r="E1189" s="22" t="n">
        <v>43204</v>
      </c>
      <c r="F1189" s="21" t="s">
        <v>67</v>
      </c>
      <c r="G1189" s="23" t="n">
        <v>60.53</v>
      </c>
      <c r="H1189" s="23" t="n">
        <v>30.02</v>
      </c>
      <c r="I1189" s="21" t="s">
        <v>45</v>
      </c>
      <c r="J1189" s="21" t="n">
        <v>3</v>
      </c>
      <c r="K1189" s="21" t="s">
        <v>46</v>
      </c>
      <c r="L1189" s="24" t="n">
        <f aca="false">DATE(YEAR(C1189),MONTH(C1189),1)</f>
        <v>43160</v>
      </c>
      <c r="M1189" s="21" t="n">
        <f aca="false">D1189-C1189</f>
        <v>16</v>
      </c>
      <c r="N1189" s="21" t="n">
        <f aca="false">MAX(0,D1189-E1189)</f>
        <v>0</v>
      </c>
      <c r="O1189" s="21" t="n">
        <f aca="false">IF(D1189&lt;=E1189,1,0)</f>
        <v>1</v>
      </c>
      <c r="P1189" s="23" t="n">
        <f aca="false">G1189+H1189</f>
        <v>90.55</v>
      </c>
      <c r="Q1189" s="23" t="n">
        <f aca="false">G1189*INDEX(Assumptions!$B$8:$B$16,MATCH(F1189,Assumptions!$A$8:$A$16,0))</f>
        <v>37.5286</v>
      </c>
      <c r="R1189" s="23" t="n">
        <f aca="false">H1189*Assumptions!$B$3</f>
        <v>18.012</v>
      </c>
      <c r="S1189" s="23" t="n">
        <f aca="false">G1189-Q1189-R1189</f>
        <v>4.9894</v>
      </c>
      <c r="T1189" s="21" t="str">
        <f aca="false">IF(M1189&lt;=7,"0-7 days",IF(M1189&lt;=14,"8-14 days",IF(M1189&lt;=21,"15-21 days","22+ days")))</f>
        <v>15-21 days</v>
      </c>
    </row>
    <row r="1190" customFormat="false" ht="15" hidden="false" customHeight="false" outlineLevel="0" collapsed="false">
      <c r="A1190" s="21" t="s">
        <v>1256</v>
      </c>
      <c r="B1190" s="21" t="s">
        <v>19</v>
      </c>
      <c r="C1190" s="22" t="n">
        <v>43179</v>
      </c>
      <c r="D1190" s="22" t="n">
        <v>43188</v>
      </c>
      <c r="E1190" s="22" t="n">
        <v>43195</v>
      </c>
      <c r="F1190" s="21" t="s">
        <v>79</v>
      </c>
      <c r="G1190" s="23" t="n">
        <v>44.25</v>
      </c>
      <c r="H1190" s="23" t="n">
        <v>15.68</v>
      </c>
      <c r="I1190" s="21" t="s">
        <v>45</v>
      </c>
      <c r="J1190" s="21" t="n">
        <v>4</v>
      </c>
      <c r="K1190" s="21" t="s">
        <v>46</v>
      </c>
      <c r="L1190" s="24" t="n">
        <f aca="false">DATE(YEAR(C1190),MONTH(C1190),1)</f>
        <v>43160</v>
      </c>
      <c r="M1190" s="21" t="n">
        <f aca="false">D1190-C1190</f>
        <v>9</v>
      </c>
      <c r="N1190" s="21" t="n">
        <f aca="false">MAX(0,D1190-E1190)</f>
        <v>0</v>
      </c>
      <c r="O1190" s="21" t="n">
        <f aca="false">IF(D1190&lt;=E1190,1,0)</f>
        <v>1</v>
      </c>
      <c r="P1190" s="23" t="n">
        <f aca="false">G1190+H1190</f>
        <v>59.93</v>
      </c>
      <c r="Q1190" s="23" t="n">
        <f aca="false">G1190*INDEX(Assumptions!$B$8:$B$16,MATCH(F1190,Assumptions!$A$8:$A$16,0))</f>
        <v>30.975</v>
      </c>
      <c r="R1190" s="23" t="n">
        <f aca="false">H1190*Assumptions!$B$3</f>
        <v>9.408</v>
      </c>
      <c r="S1190" s="23" t="n">
        <f aca="false">G1190-Q1190-R1190</f>
        <v>3.867</v>
      </c>
      <c r="T1190" s="21" t="str">
        <f aca="false">IF(M1190&lt;=7,"0-7 days",IF(M1190&lt;=14,"8-14 days",IF(M1190&lt;=21,"15-21 days","22+ days")))</f>
        <v>8-14 days</v>
      </c>
    </row>
    <row r="1191" customFormat="false" ht="15" hidden="false" customHeight="false" outlineLevel="0" collapsed="false">
      <c r="A1191" s="21" t="s">
        <v>1257</v>
      </c>
      <c r="B1191" s="21" t="s">
        <v>19</v>
      </c>
      <c r="C1191" s="22" t="n">
        <v>43180</v>
      </c>
      <c r="D1191" s="22" t="n">
        <v>43192</v>
      </c>
      <c r="E1191" s="22" t="n">
        <v>43194</v>
      </c>
      <c r="F1191" s="21" t="s">
        <v>57</v>
      </c>
      <c r="G1191" s="23" t="n">
        <v>69.14</v>
      </c>
      <c r="H1191" s="23" t="n">
        <v>12.9</v>
      </c>
      <c r="I1191" s="21" t="s">
        <v>45</v>
      </c>
      <c r="J1191" s="21" t="n">
        <v>5</v>
      </c>
      <c r="K1191" s="21" t="s">
        <v>46</v>
      </c>
      <c r="L1191" s="24" t="n">
        <f aca="false">DATE(YEAR(C1191),MONTH(C1191),1)</f>
        <v>43160</v>
      </c>
      <c r="M1191" s="21" t="n">
        <f aca="false">D1191-C1191</f>
        <v>12</v>
      </c>
      <c r="N1191" s="21" t="n">
        <f aca="false">MAX(0,D1191-E1191)</f>
        <v>0</v>
      </c>
      <c r="O1191" s="21" t="n">
        <f aca="false">IF(D1191&lt;=E1191,1,0)</f>
        <v>1</v>
      </c>
      <c r="P1191" s="23" t="n">
        <f aca="false">G1191+H1191</f>
        <v>82.04</v>
      </c>
      <c r="Q1191" s="23" t="n">
        <f aca="false">G1191*INDEX(Assumptions!$B$8:$B$16,MATCH(F1191,Assumptions!$A$8:$A$16,0))</f>
        <v>47.0152</v>
      </c>
      <c r="R1191" s="23" t="n">
        <f aca="false">H1191*Assumptions!$B$3</f>
        <v>7.74</v>
      </c>
      <c r="S1191" s="23" t="n">
        <f aca="false">G1191-Q1191-R1191</f>
        <v>14.3848</v>
      </c>
      <c r="T1191" s="21" t="str">
        <f aca="false">IF(M1191&lt;=7,"0-7 days",IF(M1191&lt;=14,"8-14 days",IF(M1191&lt;=21,"15-21 days","22+ days")))</f>
        <v>8-14 days</v>
      </c>
    </row>
    <row r="1192" customFormat="false" ht="15" hidden="false" customHeight="false" outlineLevel="0" collapsed="false">
      <c r="A1192" s="21" t="s">
        <v>1258</v>
      </c>
      <c r="B1192" s="21" t="s">
        <v>134</v>
      </c>
      <c r="C1192" s="22" t="n">
        <v>43180</v>
      </c>
      <c r="D1192" s="22" t="n">
        <v>43195</v>
      </c>
      <c r="E1192" s="22" t="n">
        <v>43202</v>
      </c>
      <c r="F1192" s="21" t="s">
        <v>67</v>
      </c>
      <c r="G1192" s="23" t="n">
        <v>32.95</v>
      </c>
      <c r="H1192" s="23" t="n">
        <v>28.91</v>
      </c>
      <c r="I1192" s="21" t="s">
        <v>45</v>
      </c>
      <c r="J1192" s="21" t="n">
        <v>3</v>
      </c>
      <c r="K1192" s="21" t="s">
        <v>46</v>
      </c>
      <c r="L1192" s="24" t="n">
        <f aca="false">DATE(YEAR(C1192),MONTH(C1192),1)</f>
        <v>43160</v>
      </c>
      <c r="M1192" s="21" t="n">
        <f aca="false">D1192-C1192</f>
        <v>15</v>
      </c>
      <c r="N1192" s="21" t="n">
        <f aca="false">MAX(0,D1192-E1192)</f>
        <v>0</v>
      </c>
      <c r="O1192" s="21" t="n">
        <f aca="false">IF(D1192&lt;=E1192,1,0)</f>
        <v>1</v>
      </c>
      <c r="P1192" s="23" t="n">
        <f aca="false">G1192+H1192</f>
        <v>61.86</v>
      </c>
      <c r="Q1192" s="23" t="n">
        <f aca="false">G1192*INDEX(Assumptions!$B$8:$B$16,MATCH(F1192,Assumptions!$A$8:$A$16,0))</f>
        <v>20.429</v>
      </c>
      <c r="R1192" s="23" t="n">
        <f aca="false">H1192*Assumptions!$B$3</f>
        <v>17.346</v>
      </c>
      <c r="S1192" s="23" t="n">
        <f aca="false">G1192-Q1192-R1192</f>
        <v>-4.825</v>
      </c>
      <c r="T1192" s="21" t="str">
        <f aca="false">IF(M1192&lt;=7,"0-7 days",IF(M1192&lt;=14,"8-14 days",IF(M1192&lt;=21,"15-21 days","22+ days")))</f>
        <v>15-21 days</v>
      </c>
    </row>
    <row r="1193" customFormat="false" ht="15" hidden="false" customHeight="false" outlineLevel="0" collapsed="false">
      <c r="A1193" s="21" t="s">
        <v>1259</v>
      </c>
      <c r="B1193" s="21" t="s">
        <v>19</v>
      </c>
      <c r="C1193" s="22" t="n">
        <v>43180</v>
      </c>
      <c r="D1193" s="22" t="n">
        <v>43185</v>
      </c>
      <c r="E1193" s="22" t="n">
        <v>43195</v>
      </c>
      <c r="F1193" s="21" t="s">
        <v>67</v>
      </c>
      <c r="G1193" s="23" t="n">
        <v>48.48</v>
      </c>
      <c r="H1193" s="23" t="n">
        <v>19.52</v>
      </c>
      <c r="I1193" s="21" t="s">
        <v>45</v>
      </c>
      <c r="J1193" s="21" t="n">
        <v>4</v>
      </c>
      <c r="K1193" s="21" t="s">
        <v>46</v>
      </c>
      <c r="L1193" s="24" t="n">
        <f aca="false">DATE(YEAR(C1193),MONTH(C1193),1)</f>
        <v>43160</v>
      </c>
      <c r="M1193" s="21" t="n">
        <f aca="false">D1193-C1193</f>
        <v>5</v>
      </c>
      <c r="N1193" s="21" t="n">
        <f aca="false">MAX(0,D1193-E1193)</f>
        <v>0</v>
      </c>
      <c r="O1193" s="21" t="n">
        <f aca="false">IF(D1193&lt;=E1193,1,0)</f>
        <v>1</v>
      </c>
      <c r="P1193" s="23" t="n">
        <f aca="false">G1193+H1193</f>
        <v>68</v>
      </c>
      <c r="Q1193" s="23" t="n">
        <f aca="false">G1193*INDEX(Assumptions!$B$8:$B$16,MATCH(F1193,Assumptions!$A$8:$A$16,0))</f>
        <v>30.0576</v>
      </c>
      <c r="R1193" s="23" t="n">
        <f aca="false">H1193*Assumptions!$B$3</f>
        <v>11.712</v>
      </c>
      <c r="S1193" s="23" t="n">
        <f aca="false">G1193-Q1193-R1193</f>
        <v>6.7104</v>
      </c>
      <c r="T1193" s="21" t="str">
        <f aca="false">IF(M1193&lt;=7,"0-7 days",IF(M1193&lt;=14,"8-14 days",IF(M1193&lt;=21,"15-21 days","22+ days")))</f>
        <v>0-7 days</v>
      </c>
    </row>
    <row r="1194" customFormat="false" ht="15" hidden="false" customHeight="false" outlineLevel="0" collapsed="false">
      <c r="A1194" s="21" t="s">
        <v>1260</v>
      </c>
      <c r="B1194" s="21" t="s">
        <v>19</v>
      </c>
      <c r="C1194" s="22" t="n">
        <v>43180</v>
      </c>
      <c r="D1194" s="22" t="n">
        <v>43189</v>
      </c>
      <c r="E1194" s="22" t="n">
        <v>43194</v>
      </c>
      <c r="F1194" s="21" t="s">
        <v>59</v>
      </c>
      <c r="G1194" s="23" t="n">
        <v>76.57</v>
      </c>
      <c r="H1194" s="23" t="n">
        <v>21.13</v>
      </c>
      <c r="I1194" s="21" t="s">
        <v>45</v>
      </c>
      <c r="J1194" s="21" t="n">
        <v>4</v>
      </c>
      <c r="K1194" s="21" t="s">
        <v>46</v>
      </c>
      <c r="L1194" s="24" t="n">
        <f aca="false">DATE(YEAR(C1194),MONTH(C1194),1)</f>
        <v>43160</v>
      </c>
      <c r="M1194" s="21" t="n">
        <f aca="false">D1194-C1194</f>
        <v>9</v>
      </c>
      <c r="N1194" s="21" t="n">
        <f aca="false">MAX(0,D1194-E1194)</f>
        <v>0</v>
      </c>
      <c r="O1194" s="21" t="n">
        <f aca="false">IF(D1194&lt;=E1194,1,0)</f>
        <v>1</v>
      </c>
      <c r="P1194" s="23" t="n">
        <f aca="false">G1194+H1194</f>
        <v>97.7</v>
      </c>
      <c r="Q1194" s="23" t="n">
        <f aca="false">G1194*INDEX(Assumptions!$B$8:$B$16,MATCH(F1194,Assumptions!$A$8:$A$16,0))</f>
        <v>49.0048</v>
      </c>
      <c r="R1194" s="23" t="n">
        <f aca="false">H1194*Assumptions!$B$3</f>
        <v>12.678</v>
      </c>
      <c r="S1194" s="23" t="n">
        <f aca="false">G1194-Q1194-R1194</f>
        <v>14.8872</v>
      </c>
      <c r="T1194" s="21" t="str">
        <f aca="false">IF(M1194&lt;=7,"0-7 days",IF(M1194&lt;=14,"8-14 days",IF(M1194&lt;=21,"15-21 days","22+ days")))</f>
        <v>8-14 days</v>
      </c>
    </row>
    <row r="1195" customFormat="false" ht="15" hidden="false" customHeight="false" outlineLevel="0" collapsed="false">
      <c r="A1195" s="21" t="s">
        <v>1261</v>
      </c>
      <c r="B1195" s="21" t="s">
        <v>62</v>
      </c>
      <c r="C1195" s="22" t="n">
        <v>43180</v>
      </c>
      <c r="D1195" s="22" t="n">
        <v>43189</v>
      </c>
      <c r="E1195" s="22" t="n">
        <v>43202</v>
      </c>
      <c r="F1195" s="21" t="s">
        <v>111</v>
      </c>
      <c r="G1195" s="23" t="n">
        <v>43.08</v>
      </c>
      <c r="H1195" s="23" t="n">
        <v>22.74</v>
      </c>
      <c r="I1195" s="21" t="s">
        <v>60</v>
      </c>
      <c r="J1195" s="21" t="n">
        <v>4</v>
      </c>
      <c r="K1195" s="21" t="s">
        <v>46</v>
      </c>
      <c r="L1195" s="24" t="n">
        <f aca="false">DATE(YEAR(C1195),MONTH(C1195),1)</f>
        <v>43160</v>
      </c>
      <c r="M1195" s="21" t="n">
        <f aca="false">D1195-C1195</f>
        <v>9</v>
      </c>
      <c r="N1195" s="21" t="n">
        <f aca="false">MAX(0,D1195-E1195)</f>
        <v>0</v>
      </c>
      <c r="O1195" s="21" t="n">
        <f aca="false">IF(D1195&lt;=E1195,1,0)</f>
        <v>1</v>
      </c>
      <c r="P1195" s="23" t="n">
        <f aca="false">G1195+H1195</f>
        <v>65.82</v>
      </c>
      <c r="Q1195" s="23" t="n">
        <f aca="false">G1195*INDEX(Assumptions!$B$8:$B$16,MATCH(F1195,Assumptions!$A$8:$A$16,0))</f>
        <v>27.1404</v>
      </c>
      <c r="R1195" s="23" t="n">
        <f aca="false">H1195*Assumptions!$B$3</f>
        <v>13.644</v>
      </c>
      <c r="S1195" s="23" t="n">
        <f aca="false">G1195-Q1195-R1195</f>
        <v>2.2956</v>
      </c>
      <c r="T1195" s="21" t="str">
        <f aca="false">IF(M1195&lt;=7,"0-7 days",IF(M1195&lt;=14,"8-14 days",IF(M1195&lt;=21,"15-21 days","22+ days")))</f>
        <v>8-14 days</v>
      </c>
    </row>
    <row r="1196" customFormat="false" ht="15" hidden="false" customHeight="false" outlineLevel="0" collapsed="false">
      <c r="A1196" s="21" t="s">
        <v>1262</v>
      </c>
      <c r="B1196" s="21" t="s">
        <v>19</v>
      </c>
      <c r="C1196" s="22" t="n">
        <v>43180</v>
      </c>
      <c r="D1196" s="22" t="n">
        <v>43189</v>
      </c>
      <c r="E1196" s="22" t="n">
        <v>43195</v>
      </c>
      <c r="F1196" s="21" t="s">
        <v>111</v>
      </c>
      <c r="G1196" s="23" t="n">
        <v>111.5</v>
      </c>
      <c r="H1196" s="23" t="n">
        <v>21.16</v>
      </c>
      <c r="I1196" s="21" t="s">
        <v>45</v>
      </c>
      <c r="J1196" s="21" t="n">
        <v>5</v>
      </c>
      <c r="K1196" s="21" t="s">
        <v>46</v>
      </c>
      <c r="L1196" s="24" t="n">
        <f aca="false">DATE(YEAR(C1196),MONTH(C1196),1)</f>
        <v>43160</v>
      </c>
      <c r="M1196" s="21" t="n">
        <f aca="false">D1196-C1196</f>
        <v>9</v>
      </c>
      <c r="N1196" s="21" t="n">
        <f aca="false">MAX(0,D1196-E1196)</f>
        <v>0</v>
      </c>
      <c r="O1196" s="21" t="n">
        <f aca="false">IF(D1196&lt;=E1196,1,0)</f>
        <v>1</v>
      </c>
      <c r="P1196" s="23" t="n">
        <f aca="false">G1196+H1196</f>
        <v>132.66</v>
      </c>
      <c r="Q1196" s="23" t="n">
        <f aca="false">G1196*INDEX(Assumptions!$B$8:$B$16,MATCH(F1196,Assumptions!$A$8:$A$16,0))</f>
        <v>70.245</v>
      </c>
      <c r="R1196" s="23" t="n">
        <f aca="false">H1196*Assumptions!$B$3</f>
        <v>12.696</v>
      </c>
      <c r="S1196" s="23" t="n">
        <f aca="false">G1196-Q1196-R1196</f>
        <v>28.559</v>
      </c>
      <c r="T1196" s="21" t="str">
        <f aca="false">IF(M1196&lt;=7,"0-7 days",IF(M1196&lt;=14,"8-14 days",IF(M1196&lt;=21,"15-21 days","22+ days")))</f>
        <v>8-14 days</v>
      </c>
    </row>
    <row r="1197" customFormat="false" ht="15" hidden="false" customHeight="false" outlineLevel="0" collapsed="false">
      <c r="A1197" s="21" t="s">
        <v>1263</v>
      </c>
      <c r="B1197" s="21" t="s">
        <v>19</v>
      </c>
      <c r="C1197" s="22" t="n">
        <v>43180</v>
      </c>
      <c r="D1197" s="22" t="n">
        <v>43195</v>
      </c>
      <c r="E1197" s="22" t="n">
        <v>43193</v>
      </c>
      <c r="F1197" s="21" t="s">
        <v>79</v>
      </c>
      <c r="G1197" s="23" t="n">
        <v>110.01</v>
      </c>
      <c r="H1197" s="23" t="n">
        <v>16.04</v>
      </c>
      <c r="I1197" s="21" t="s">
        <v>45</v>
      </c>
      <c r="J1197" s="21" t="n">
        <v>3</v>
      </c>
      <c r="K1197" s="21" t="s">
        <v>46</v>
      </c>
      <c r="L1197" s="24" t="n">
        <f aca="false">DATE(YEAR(C1197),MONTH(C1197),1)</f>
        <v>43160</v>
      </c>
      <c r="M1197" s="21" t="n">
        <f aca="false">D1197-C1197</f>
        <v>15</v>
      </c>
      <c r="N1197" s="21" t="n">
        <f aca="false">MAX(0,D1197-E1197)</f>
        <v>2</v>
      </c>
      <c r="O1197" s="21" t="n">
        <f aca="false">IF(D1197&lt;=E1197,1,0)</f>
        <v>0</v>
      </c>
      <c r="P1197" s="23" t="n">
        <f aca="false">G1197+H1197</f>
        <v>126.05</v>
      </c>
      <c r="Q1197" s="23" t="n">
        <f aca="false">G1197*INDEX(Assumptions!$B$8:$B$16,MATCH(F1197,Assumptions!$A$8:$A$16,0))</f>
        <v>77.007</v>
      </c>
      <c r="R1197" s="23" t="n">
        <f aca="false">H1197*Assumptions!$B$3</f>
        <v>9.624</v>
      </c>
      <c r="S1197" s="23" t="n">
        <f aca="false">G1197-Q1197-R1197</f>
        <v>23.379</v>
      </c>
      <c r="T1197" s="21" t="str">
        <f aca="false">IF(M1197&lt;=7,"0-7 days",IF(M1197&lt;=14,"8-14 days",IF(M1197&lt;=21,"15-21 days","22+ days")))</f>
        <v>15-21 days</v>
      </c>
    </row>
    <row r="1198" customFormat="false" ht="15" hidden="false" customHeight="false" outlineLevel="0" collapsed="false">
      <c r="A1198" s="21" t="s">
        <v>1264</v>
      </c>
      <c r="B1198" s="21" t="s">
        <v>55</v>
      </c>
      <c r="C1198" s="22" t="n">
        <v>43180</v>
      </c>
      <c r="D1198" s="22" t="n">
        <v>43188</v>
      </c>
      <c r="E1198" s="22" t="n">
        <v>43204</v>
      </c>
      <c r="F1198" s="21" t="s">
        <v>59</v>
      </c>
      <c r="G1198" s="23" t="n">
        <v>99.43</v>
      </c>
      <c r="H1198" s="23" t="n">
        <v>30.43</v>
      </c>
      <c r="I1198" s="21" t="s">
        <v>45</v>
      </c>
      <c r="J1198" s="21" t="n">
        <v>4</v>
      </c>
      <c r="K1198" s="21" t="s">
        <v>46</v>
      </c>
      <c r="L1198" s="24" t="n">
        <f aca="false">DATE(YEAR(C1198),MONTH(C1198),1)</f>
        <v>43160</v>
      </c>
      <c r="M1198" s="21" t="n">
        <f aca="false">D1198-C1198</f>
        <v>8</v>
      </c>
      <c r="N1198" s="21" t="n">
        <f aca="false">MAX(0,D1198-E1198)</f>
        <v>0</v>
      </c>
      <c r="O1198" s="21" t="n">
        <f aca="false">IF(D1198&lt;=E1198,1,0)</f>
        <v>1</v>
      </c>
      <c r="P1198" s="23" t="n">
        <f aca="false">G1198+H1198</f>
        <v>129.86</v>
      </c>
      <c r="Q1198" s="23" t="n">
        <f aca="false">G1198*INDEX(Assumptions!$B$8:$B$16,MATCH(F1198,Assumptions!$A$8:$A$16,0))</f>
        <v>63.6352</v>
      </c>
      <c r="R1198" s="23" t="n">
        <f aca="false">H1198*Assumptions!$B$3</f>
        <v>18.258</v>
      </c>
      <c r="S1198" s="23" t="n">
        <f aca="false">G1198-Q1198-R1198</f>
        <v>17.5368</v>
      </c>
      <c r="T1198" s="21" t="str">
        <f aca="false">IF(M1198&lt;=7,"0-7 days",IF(M1198&lt;=14,"8-14 days",IF(M1198&lt;=21,"15-21 days","22+ days")))</f>
        <v>8-14 days</v>
      </c>
    </row>
    <row r="1199" customFormat="false" ht="15" hidden="false" customHeight="false" outlineLevel="0" collapsed="false">
      <c r="A1199" s="21" t="s">
        <v>1265</v>
      </c>
      <c r="B1199" s="21" t="s">
        <v>156</v>
      </c>
      <c r="C1199" s="22" t="n">
        <v>43181</v>
      </c>
      <c r="D1199" s="22" t="n">
        <v>43205</v>
      </c>
      <c r="E1199" s="22" t="n">
        <v>43204</v>
      </c>
      <c r="F1199" s="21" t="s">
        <v>44</v>
      </c>
      <c r="G1199" s="23" t="n">
        <v>103.39</v>
      </c>
      <c r="H1199" s="23" t="n">
        <v>27.63</v>
      </c>
      <c r="I1199" s="21" t="s">
        <v>45</v>
      </c>
      <c r="J1199" s="21" t="n">
        <v>1</v>
      </c>
      <c r="K1199" s="21" t="s">
        <v>46</v>
      </c>
      <c r="L1199" s="24" t="n">
        <f aca="false">DATE(YEAR(C1199),MONTH(C1199),1)</f>
        <v>43160</v>
      </c>
      <c r="M1199" s="21" t="n">
        <f aca="false">D1199-C1199</f>
        <v>24</v>
      </c>
      <c r="N1199" s="21" t="n">
        <f aca="false">MAX(0,D1199-E1199)</f>
        <v>1</v>
      </c>
      <c r="O1199" s="21" t="n">
        <f aca="false">IF(D1199&lt;=E1199,1,0)</f>
        <v>0</v>
      </c>
      <c r="P1199" s="23" t="n">
        <f aca="false">G1199+H1199</f>
        <v>131.02</v>
      </c>
      <c r="Q1199" s="23" t="n">
        <f aca="false">G1199*INDEX(Assumptions!$B$8:$B$16,MATCH(F1199,Assumptions!$A$8:$A$16,0))</f>
        <v>62.034</v>
      </c>
      <c r="R1199" s="23" t="n">
        <f aca="false">H1199*Assumptions!$B$3</f>
        <v>16.578</v>
      </c>
      <c r="S1199" s="23" t="n">
        <f aca="false">G1199-Q1199-R1199</f>
        <v>24.778</v>
      </c>
      <c r="T1199" s="21" t="str">
        <f aca="false">IF(M1199&lt;=7,"0-7 days",IF(M1199&lt;=14,"8-14 days",IF(M1199&lt;=21,"15-21 days","22+ days")))</f>
        <v>22+ days</v>
      </c>
    </row>
    <row r="1200" customFormat="false" ht="15" hidden="false" customHeight="false" outlineLevel="0" collapsed="false">
      <c r="A1200" s="21" t="s">
        <v>1266</v>
      </c>
      <c r="B1200" s="21" t="s">
        <v>134</v>
      </c>
      <c r="C1200" s="22" t="n">
        <v>43181</v>
      </c>
      <c r="D1200" s="22" t="n">
        <v>43193</v>
      </c>
      <c r="E1200" s="22" t="n">
        <v>43207</v>
      </c>
      <c r="F1200" s="21" t="s">
        <v>44</v>
      </c>
      <c r="G1200" s="23" t="n">
        <v>17.28</v>
      </c>
      <c r="H1200" s="23" t="n">
        <v>21.37</v>
      </c>
      <c r="I1200" s="21" t="s">
        <v>45</v>
      </c>
      <c r="J1200" s="21" t="n">
        <v>5</v>
      </c>
      <c r="K1200" s="21" t="s">
        <v>46</v>
      </c>
      <c r="L1200" s="24" t="n">
        <f aca="false">DATE(YEAR(C1200),MONTH(C1200),1)</f>
        <v>43160</v>
      </c>
      <c r="M1200" s="21" t="n">
        <f aca="false">D1200-C1200</f>
        <v>12</v>
      </c>
      <c r="N1200" s="21" t="n">
        <f aca="false">MAX(0,D1200-E1200)</f>
        <v>0</v>
      </c>
      <c r="O1200" s="21" t="n">
        <f aca="false">IF(D1200&lt;=E1200,1,0)</f>
        <v>1</v>
      </c>
      <c r="P1200" s="23" t="n">
        <f aca="false">G1200+H1200</f>
        <v>38.65</v>
      </c>
      <c r="Q1200" s="23" t="n">
        <f aca="false">G1200*INDEX(Assumptions!$B$8:$B$16,MATCH(F1200,Assumptions!$A$8:$A$16,0))</f>
        <v>10.368</v>
      </c>
      <c r="R1200" s="23" t="n">
        <f aca="false">H1200*Assumptions!$B$3</f>
        <v>12.822</v>
      </c>
      <c r="S1200" s="23" t="n">
        <f aca="false">G1200-Q1200-R1200</f>
        <v>-5.91</v>
      </c>
      <c r="T1200" s="21" t="str">
        <f aca="false">IF(M1200&lt;=7,"0-7 days",IF(M1200&lt;=14,"8-14 days",IF(M1200&lt;=21,"15-21 days","22+ days")))</f>
        <v>8-14 days</v>
      </c>
    </row>
    <row r="1201" customFormat="false" ht="15" hidden="false" customHeight="false" outlineLevel="0" collapsed="false">
      <c r="A1201" s="21" t="s">
        <v>1267</v>
      </c>
      <c r="B1201" s="21" t="s">
        <v>19</v>
      </c>
      <c r="C1201" s="22" t="n">
        <v>43182</v>
      </c>
      <c r="D1201" s="22" t="n">
        <v>43189</v>
      </c>
      <c r="E1201" s="22" t="n">
        <v>43197</v>
      </c>
      <c r="F1201" s="21" t="s">
        <v>111</v>
      </c>
      <c r="G1201" s="23" t="n">
        <v>93.44</v>
      </c>
      <c r="H1201" s="23" t="n">
        <v>13.82</v>
      </c>
      <c r="I1201" s="21" t="s">
        <v>45</v>
      </c>
      <c r="J1201" s="21" t="n">
        <v>4</v>
      </c>
      <c r="K1201" s="21" t="s">
        <v>46</v>
      </c>
      <c r="L1201" s="24" t="n">
        <f aca="false">DATE(YEAR(C1201),MONTH(C1201),1)</f>
        <v>43160</v>
      </c>
      <c r="M1201" s="21" t="n">
        <f aca="false">D1201-C1201</f>
        <v>7</v>
      </c>
      <c r="N1201" s="21" t="n">
        <f aca="false">MAX(0,D1201-E1201)</f>
        <v>0</v>
      </c>
      <c r="O1201" s="21" t="n">
        <f aca="false">IF(D1201&lt;=E1201,1,0)</f>
        <v>1</v>
      </c>
      <c r="P1201" s="23" t="n">
        <f aca="false">G1201+H1201</f>
        <v>107.26</v>
      </c>
      <c r="Q1201" s="23" t="n">
        <f aca="false">G1201*INDEX(Assumptions!$B$8:$B$16,MATCH(F1201,Assumptions!$A$8:$A$16,0))</f>
        <v>58.8672</v>
      </c>
      <c r="R1201" s="23" t="n">
        <f aca="false">H1201*Assumptions!$B$3</f>
        <v>8.292</v>
      </c>
      <c r="S1201" s="23" t="n">
        <f aca="false">G1201-Q1201-R1201</f>
        <v>26.2808</v>
      </c>
      <c r="T1201" s="21" t="str">
        <f aca="false">IF(M1201&lt;=7,"0-7 days",IF(M1201&lt;=14,"8-14 days",IF(M1201&lt;=21,"15-21 days","22+ days")))</f>
        <v>0-7 days</v>
      </c>
    </row>
    <row r="1202" customFormat="false" ht="15" hidden="false" customHeight="false" outlineLevel="0" collapsed="false">
      <c r="A1202" s="21" t="s">
        <v>1268</v>
      </c>
      <c r="B1202" s="21" t="s">
        <v>52</v>
      </c>
      <c r="C1202" s="22" t="n">
        <v>43182</v>
      </c>
      <c r="D1202" s="22" t="n">
        <v>43198</v>
      </c>
      <c r="E1202" s="22" t="n">
        <v>43204</v>
      </c>
      <c r="F1202" s="21" t="s">
        <v>53</v>
      </c>
      <c r="G1202" s="23" t="n">
        <v>121.02</v>
      </c>
      <c r="H1202" s="23" t="n">
        <v>18.2</v>
      </c>
      <c r="I1202" s="21" t="s">
        <v>50</v>
      </c>
      <c r="J1202" s="21" t="n">
        <v>5</v>
      </c>
      <c r="K1202" s="21" t="s">
        <v>46</v>
      </c>
      <c r="L1202" s="24" t="n">
        <f aca="false">DATE(YEAR(C1202),MONTH(C1202),1)</f>
        <v>43160</v>
      </c>
      <c r="M1202" s="21" t="n">
        <f aca="false">D1202-C1202</f>
        <v>16</v>
      </c>
      <c r="N1202" s="21" t="n">
        <f aca="false">MAX(0,D1202-E1202)</f>
        <v>0</v>
      </c>
      <c r="O1202" s="21" t="n">
        <f aca="false">IF(D1202&lt;=E1202,1,0)</f>
        <v>1</v>
      </c>
      <c r="P1202" s="23" t="n">
        <f aca="false">G1202+H1202</f>
        <v>139.22</v>
      </c>
      <c r="Q1202" s="23" t="n">
        <f aca="false">G1202*INDEX(Assumptions!$B$8:$B$16,MATCH(F1202,Assumptions!$A$8:$A$16,0))</f>
        <v>89.5548</v>
      </c>
      <c r="R1202" s="23" t="n">
        <f aca="false">H1202*Assumptions!$B$3</f>
        <v>10.92</v>
      </c>
      <c r="S1202" s="23" t="n">
        <f aca="false">G1202-Q1202-R1202</f>
        <v>20.5452</v>
      </c>
      <c r="T1202" s="21" t="str">
        <f aca="false">IF(M1202&lt;=7,"0-7 days",IF(M1202&lt;=14,"8-14 days",IF(M1202&lt;=21,"15-21 days","22+ days")))</f>
        <v>15-21 days</v>
      </c>
    </row>
    <row r="1203" customFormat="false" ht="15" hidden="false" customHeight="false" outlineLevel="0" collapsed="false">
      <c r="A1203" s="21" t="s">
        <v>1269</v>
      </c>
      <c r="B1203" s="21" t="s">
        <v>19</v>
      </c>
      <c r="C1203" s="22" t="n">
        <v>43182</v>
      </c>
      <c r="D1203" s="22" t="n">
        <v>43189</v>
      </c>
      <c r="E1203" s="22" t="n">
        <v>43200</v>
      </c>
      <c r="F1203" s="21" t="s">
        <v>67</v>
      </c>
      <c r="G1203" s="23" t="n">
        <v>71.38</v>
      </c>
      <c r="H1203" s="23" t="n">
        <v>15.84</v>
      </c>
      <c r="I1203" s="21" t="s">
        <v>45</v>
      </c>
      <c r="J1203" s="21" t="n">
        <v>4</v>
      </c>
      <c r="K1203" s="21" t="s">
        <v>46</v>
      </c>
      <c r="L1203" s="24" t="n">
        <f aca="false">DATE(YEAR(C1203),MONTH(C1203),1)</f>
        <v>43160</v>
      </c>
      <c r="M1203" s="21" t="n">
        <f aca="false">D1203-C1203</f>
        <v>7</v>
      </c>
      <c r="N1203" s="21" t="n">
        <f aca="false">MAX(0,D1203-E1203)</f>
        <v>0</v>
      </c>
      <c r="O1203" s="21" t="n">
        <f aca="false">IF(D1203&lt;=E1203,1,0)</f>
        <v>1</v>
      </c>
      <c r="P1203" s="23" t="n">
        <f aca="false">G1203+H1203</f>
        <v>87.22</v>
      </c>
      <c r="Q1203" s="23" t="n">
        <f aca="false">G1203*INDEX(Assumptions!$B$8:$B$16,MATCH(F1203,Assumptions!$A$8:$A$16,0))</f>
        <v>44.2556</v>
      </c>
      <c r="R1203" s="23" t="n">
        <f aca="false">H1203*Assumptions!$B$3</f>
        <v>9.504</v>
      </c>
      <c r="S1203" s="23" t="n">
        <f aca="false">G1203-Q1203-R1203</f>
        <v>17.6204</v>
      </c>
      <c r="T1203" s="21" t="str">
        <f aca="false">IF(M1203&lt;=7,"0-7 days",IF(M1203&lt;=14,"8-14 days",IF(M1203&lt;=21,"15-21 days","22+ days")))</f>
        <v>0-7 days</v>
      </c>
    </row>
    <row r="1204" customFormat="false" ht="15" hidden="false" customHeight="false" outlineLevel="0" collapsed="false">
      <c r="A1204" s="21" t="s">
        <v>1270</v>
      </c>
      <c r="B1204" s="21" t="s">
        <v>48</v>
      </c>
      <c r="C1204" s="22" t="n">
        <v>43182</v>
      </c>
      <c r="D1204" s="22" t="n">
        <v>43195</v>
      </c>
      <c r="E1204" s="22" t="n">
        <v>43205</v>
      </c>
      <c r="F1204" s="21" t="s">
        <v>49</v>
      </c>
      <c r="G1204" s="23" t="n">
        <v>81.98</v>
      </c>
      <c r="H1204" s="23" t="n">
        <v>25.67</v>
      </c>
      <c r="I1204" s="21" t="s">
        <v>50</v>
      </c>
      <c r="J1204" s="21" t="n">
        <v>5</v>
      </c>
      <c r="K1204" s="21" t="s">
        <v>46</v>
      </c>
      <c r="L1204" s="24" t="n">
        <f aca="false">DATE(YEAR(C1204),MONTH(C1204),1)</f>
        <v>43160</v>
      </c>
      <c r="M1204" s="21" t="n">
        <f aca="false">D1204-C1204</f>
        <v>13</v>
      </c>
      <c r="N1204" s="21" t="n">
        <f aca="false">MAX(0,D1204-E1204)</f>
        <v>0</v>
      </c>
      <c r="O1204" s="21" t="n">
        <f aca="false">IF(D1204&lt;=E1204,1,0)</f>
        <v>1</v>
      </c>
      <c r="P1204" s="23" t="n">
        <f aca="false">G1204+H1204</f>
        <v>107.65</v>
      </c>
      <c r="Q1204" s="23" t="n">
        <f aca="false">G1204*INDEX(Assumptions!$B$8:$B$16,MATCH(F1204,Assumptions!$A$8:$A$16,0))</f>
        <v>47.5484</v>
      </c>
      <c r="R1204" s="23" t="n">
        <f aca="false">H1204*Assumptions!$B$3</f>
        <v>15.402</v>
      </c>
      <c r="S1204" s="23" t="n">
        <f aca="false">G1204-Q1204-R1204</f>
        <v>19.0296</v>
      </c>
      <c r="T1204" s="21" t="str">
        <f aca="false">IF(M1204&lt;=7,"0-7 days",IF(M1204&lt;=14,"8-14 days",IF(M1204&lt;=21,"15-21 days","22+ days")))</f>
        <v>8-14 days</v>
      </c>
    </row>
    <row r="1205" customFormat="false" ht="15" hidden="false" customHeight="false" outlineLevel="0" collapsed="false">
      <c r="A1205" s="21" t="s">
        <v>1271</v>
      </c>
      <c r="B1205" s="21" t="s">
        <v>55</v>
      </c>
      <c r="C1205" s="22" t="n">
        <v>43182</v>
      </c>
      <c r="D1205" s="22" t="n">
        <v>43190</v>
      </c>
      <c r="E1205" s="22" t="n">
        <v>43206</v>
      </c>
      <c r="F1205" s="21" t="s">
        <v>79</v>
      </c>
      <c r="G1205" s="23" t="n">
        <v>94.16</v>
      </c>
      <c r="H1205" s="23" t="n">
        <v>17.84</v>
      </c>
      <c r="I1205" s="21" t="s">
        <v>45</v>
      </c>
      <c r="J1205" s="21" t="n">
        <v>5</v>
      </c>
      <c r="K1205" s="21" t="s">
        <v>46</v>
      </c>
      <c r="L1205" s="24" t="n">
        <f aca="false">DATE(YEAR(C1205),MONTH(C1205),1)</f>
        <v>43160</v>
      </c>
      <c r="M1205" s="21" t="n">
        <f aca="false">D1205-C1205</f>
        <v>8</v>
      </c>
      <c r="N1205" s="21" t="n">
        <f aca="false">MAX(0,D1205-E1205)</f>
        <v>0</v>
      </c>
      <c r="O1205" s="21" t="n">
        <f aca="false">IF(D1205&lt;=E1205,1,0)</f>
        <v>1</v>
      </c>
      <c r="P1205" s="23" t="n">
        <f aca="false">G1205+H1205</f>
        <v>112</v>
      </c>
      <c r="Q1205" s="23" t="n">
        <f aca="false">G1205*INDEX(Assumptions!$B$8:$B$16,MATCH(F1205,Assumptions!$A$8:$A$16,0))</f>
        <v>65.912</v>
      </c>
      <c r="R1205" s="23" t="n">
        <f aca="false">H1205*Assumptions!$B$3</f>
        <v>10.704</v>
      </c>
      <c r="S1205" s="23" t="n">
        <f aca="false">G1205-Q1205-R1205</f>
        <v>17.544</v>
      </c>
      <c r="T1205" s="21" t="str">
        <f aca="false">IF(M1205&lt;=7,"0-7 days",IF(M1205&lt;=14,"8-14 days",IF(M1205&lt;=21,"15-21 days","22+ days")))</f>
        <v>8-14 days</v>
      </c>
    </row>
    <row r="1206" customFormat="false" ht="15" hidden="false" customHeight="false" outlineLevel="0" collapsed="false">
      <c r="A1206" s="21" t="s">
        <v>1272</v>
      </c>
      <c r="B1206" s="21" t="s">
        <v>103</v>
      </c>
      <c r="C1206" s="22" t="n">
        <v>43183</v>
      </c>
      <c r="D1206" s="22" t="n">
        <v>43203</v>
      </c>
      <c r="E1206" s="22" t="n">
        <v>43207</v>
      </c>
      <c r="F1206" s="21" t="s">
        <v>49</v>
      </c>
      <c r="G1206" s="23" t="n">
        <v>189.31</v>
      </c>
      <c r="H1206" s="23" t="n">
        <v>29.54</v>
      </c>
      <c r="I1206" s="21" t="s">
        <v>60</v>
      </c>
      <c r="J1206" s="21" t="n">
        <v>4</v>
      </c>
      <c r="K1206" s="21" t="s">
        <v>46</v>
      </c>
      <c r="L1206" s="24" t="n">
        <f aca="false">DATE(YEAR(C1206),MONTH(C1206),1)</f>
        <v>43160</v>
      </c>
      <c r="M1206" s="21" t="n">
        <f aca="false">D1206-C1206</f>
        <v>20</v>
      </c>
      <c r="N1206" s="21" t="n">
        <f aca="false">MAX(0,D1206-E1206)</f>
        <v>0</v>
      </c>
      <c r="O1206" s="21" t="n">
        <f aca="false">IF(D1206&lt;=E1206,1,0)</f>
        <v>1</v>
      </c>
      <c r="P1206" s="23" t="n">
        <f aca="false">G1206+H1206</f>
        <v>218.85</v>
      </c>
      <c r="Q1206" s="23" t="n">
        <f aca="false">G1206*INDEX(Assumptions!$B$8:$B$16,MATCH(F1206,Assumptions!$A$8:$A$16,0))</f>
        <v>109.7998</v>
      </c>
      <c r="R1206" s="23" t="n">
        <f aca="false">H1206*Assumptions!$B$3</f>
        <v>17.724</v>
      </c>
      <c r="S1206" s="23" t="n">
        <f aca="false">G1206-Q1206-R1206</f>
        <v>61.7862</v>
      </c>
      <c r="T1206" s="21" t="str">
        <f aca="false">IF(M1206&lt;=7,"0-7 days",IF(M1206&lt;=14,"8-14 days",IF(M1206&lt;=21,"15-21 days","22+ days")))</f>
        <v>15-21 days</v>
      </c>
    </row>
    <row r="1207" customFormat="false" ht="15" hidden="false" customHeight="false" outlineLevel="0" collapsed="false">
      <c r="A1207" s="21" t="s">
        <v>1273</v>
      </c>
      <c r="B1207" s="21" t="s">
        <v>55</v>
      </c>
      <c r="C1207" s="22" t="n">
        <v>43183</v>
      </c>
      <c r="D1207" s="22" t="n">
        <v>43194</v>
      </c>
      <c r="E1207" s="22" t="n">
        <v>43209</v>
      </c>
      <c r="F1207" s="21" t="s">
        <v>49</v>
      </c>
      <c r="G1207" s="23" t="n">
        <v>35.21</v>
      </c>
      <c r="H1207" s="23" t="n">
        <v>17.91</v>
      </c>
      <c r="I1207" s="21" t="s">
        <v>60</v>
      </c>
      <c r="J1207" s="21" t="n">
        <v>5</v>
      </c>
      <c r="K1207" s="21" t="s">
        <v>46</v>
      </c>
      <c r="L1207" s="24" t="n">
        <f aca="false">DATE(YEAR(C1207),MONTH(C1207),1)</f>
        <v>43160</v>
      </c>
      <c r="M1207" s="21" t="n">
        <f aca="false">D1207-C1207</f>
        <v>11</v>
      </c>
      <c r="N1207" s="21" t="n">
        <f aca="false">MAX(0,D1207-E1207)</f>
        <v>0</v>
      </c>
      <c r="O1207" s="21" t="n">
        <f aca="false">IF(D1207&lt;=E1207,1,0)</f>
        <v>1</v>
      </c>
      <c r="P1207" s="23" t="n">
        <f aca="false">G1207+H1207</f>
        <v>53.12</v>
      </c>
      <c r="Q1207" s="23" t="n">
        <f aca="false">G1207*INDEX(Assumptions!$B$8:$B$16,MATCH(F1207,Assumptions!$A$8:$A$16,0))</f>
        <v>20.4218</v>
      </c>
      <c r="R1207" s="23" t="n">
        <f aca="false">H1207*Assumptions!$B$3</f>
        <v>10.746</v>
      </c>
      <c r="S1207" s="23" t="n">
        <f aca="false">G1207-Q1207-R1207</f>
        <v>4.0422</v>
      </c>
      <c r="T1207" s="21" t="str">
        <f aca="false">IF(M1207&lt;=7,"0-7 days",IF(M1207&lt;=14,"8-14 days",IF(M1207&lt;=21,"15-21 days","22+ days")))</f>
        <v>8-14 days</v>
      </c>
    </row>
    <row r="1208" customFormat="false" ht="15" hidden="false" customHeight="false" outlineLevel="0" collapsed="false">
      <c r="A1208" s="21" t="s">
        <v>1274</v>
      </c>
      <c r="B1208" s="21" t="s">
        <v>19</v>
      </c>
      <c r="C1208" s="22" t="n">
        <v>43183</v>
      </c>
      <c r="D1208" s="22" t="n">
        <v>43191</v>
      </c>
      <c r="E1208" s="22" t="n">
        <v>43198</v>
      </c>
      <c r="F1208" s="21" t="s">
        <v>53</v>
      </c>
      <c r="G1208" s="23" t="n">
        <v>242.97</v>
      </c>
      <c r="H1208" s="23" t="n">
        <v>22.9</v>
      </c>
      <c r="I1208" s="21" t="s">
        <v>45</v>
      </c>
      <c r="J1208" s="21" t="n">
        <v>5</v>
      </c>
      <c r="K1208" s="21" t="s">
        <v>46</v>
      </c>
      <c r="L1208" s="24" t="n">
        <f aca="false">DATE(YEAR(C1208),MONTH(C1208),1)</f>
        <v>43160</v>
      </c>
      <c r="M1208" s="21" t="n">
        <f aca="false">D1208-C1208</f>
        <v>8</v>
      </c>
      <c r="N1208" s="21" t="n">
        <f aca="false">MAX(0,D1208-E1208)</f>
        <v>0</v>
      </c>
      <c r="O1208" s="21" t="n">
        <f aca="false">IF(D1208&lt;=E1208,1,0)</f>
        <v>1</v>
      </c>
      <c r="P1208" s="23" t="n">
        <f aca="false">G1208+H1208</f>
        <v>265.87</v>
      </c>
      <c r="Q1208" s="23" t="n">
        <f aca="false">G1208*INDEX(Assumptions!$B$8:$B$16,MATCH(F1208,Assumptions!$A$8:$A$16,0))</f>
        <v>179.7978</v>
      </c>
      <c r="R1208" s="23" t="n">
        <f aca="false">H1208*Assumptions!$B$3</f>
        <v>13.74</v>
      </c>
      <c r="S1208" s="23" t="n">
        <f aca="false">G1208-Q1208-R1208</f>
        <v>49.4322</v>
      </c>
      <c r="T1208" s="21" t="str">
        <f aca="false">IF(M1208&lt;=7,"0-7 days",IF(M1208&lt;=14,"8-14 days",IF(M1208&lt;=21,"15-21 days","22+ days")))</f>
        <v>8-14 days</v>
      </c>
    </row>
    <row r="1209" customFormat="false" ht="15" hidden="false" customHeight="false" outlineLevel="0" collapsed="false">
      <c r="A1209" s="21" t="s">
        <v>1275</v>
      </c>
      <c r="B1209" s="21" t="s">
        <v>19</v>
      </c>
      <c r="C1209" s="22" t="n">
        <v>43183</v>
      </c>
      <c r="D1209" s="22" t="n">
        <v>43186</v>
      </c>
      <c r="E1209" s="22" t="n">
        <v>43199</v>
      </c>
      <c r="F1209" s="21" t="s">
        <v>67</v>
      </c>
      <c r="G1209" s="23" t="n">
        <v>57.68</v>
      </c>
      <c r="H1209" s="23" t="n">
        <v>11.7</v>
      </c>
      <c r="I1209" s="21" t="s">
        <v>60</v>
      </c>
      <c r="J1209" s="21" t="n">
        <v>5</v>
      </c>
      <c r="K1209" s="21" t="s">
        <v>46</v>
      </c>
      <c r="L1209" s="24" t="n">
        <f aca="false">DATE(YEAR(C1209),MONTH(C1209),1)</f>
        <v>43160</v>
      </c>
      <c r="M1209" s="21" t="n">
        <f aca="false">D1209-C1209</f>
        <v>3</v>
      </c>
      <c r="N1209" s="21" t="n">
        <f aca="false">MAX(0,D1209-E1209)</f>
        <v>0</v>
      </c>
      <c r="O1209" s="21" t="n">
        <f aca="false">IF(D1209&lt;=E1209,1,0)</f>
        <v>1</v>
      </c>
      <c r="P1209" s="23" t="n">
        <f aca="false">G1209+H1209</f>
        <v>69.38</v>
      </c>
      <c r="Q1209" s="23" t="n">
        <f aca="false">G1209*INDEX(Assumptions!$B$8:$B$16,MATCH(F1209,Assumptions!$A$8:$A$16,0))</f>
        <v>35.7616</v>
      </c>
      <c r="R1209" s="23" t="n">
        <f aca="false">H1209*Assumptions!$B$3</f>
        <v>7.02</v>
      </c>
      <c r="S1209" s="23" t="n">
        <f aca="false">G1209-Q1209-R1209</f>
        <v>14.8984</v>
      </c>
      <c r="T1209" s="21" t="str">
        <f aca="false">IF(M1209&lt;=7,"0-7 days",IF(M1209&lt;=14,"8-14 days",IF(M1209&lt;=21,"15-21 days","22+ days")))</f>
        <v>0-7 days</v>
      </c>
    </row>
    <row r="1210" customFormat="false" ht="15" hidden="false" customHeight="false" outlineLevel="0" collapsed="false">
      <c r="A1210" s="21" t="s">
        <v>1276</v>
      </c>
      <c r="B1210" s="21" t="s">
        <v>55</v>
      </c>
      <c r="C1210" s="22" t="n">
        <v>43184</v>
      </c>
      <c r="D1210" s="22" t="n">
        <v>43205</v>
      </c>
      <c r="E1210" s="22" t="n">
        <v>43209</v>
      </c>
      <c r="F1210" s="21" t="s">
        <v>67</v>
      </c>
      <c r="G1210" s="23" t="n">
        <v>33.72</v>
      </c>
      <c r="H1210" s="23" t="n">
        <v>25.53</v>
      </c>
      <c r="I1210" s="21" t="s">
        <v>104</v>
      </c>
      <c r="J1210" s="21" t="n">
        <v>4</v>
      </c>
      <c r="K1210" s="21" t="s">
        <v>46</v>
      </c>
      <c r="L1210" s="24" t="n">
        <f aca="false">DATE(YEAR(C1210),MONTH(C1210),1)</f>
        <v>43160</v>
      </c>
      <c r="M1210" s="21" t="n">
        <f aca="false">D1210-C1210</f>
        <v>21</v>
      </c>
      <c r="N1210" s="21" t="n">
        <f aca="false">MAX(0,D1210-E1210)</f>
        <v>0</v>
      </c>
      <c r="O1210" s="21" t="n">
        <f aca="false">IF(D1210&lt;=E1210,1,0)</f>
        <v>1</v>
      </c>
      <c r="P1210" s="23" t="n">
        <f aca="false">G1210+H1210</f>
        <v>59.25</v>
      </c>
      <c r="Q1210" s="23" t="n">
        <f aca="false">G1210*INDEX(Assumptions!$B$8:$B$16,MATCH(F1210,Assumptions!$A$8:$A$16,0))</f>
        <v>20.9064</v>
      </c>
      <c r="R1210" s="23" t="n">
        <f aca="false">H1210*Assumptions!$B$3</f>
        <v>15.318</v>
      </c>
      <c r="S1210" s="23" t="n">
        <f aca="false">G1210-Q1210-R1210</f>
        <v>-2.5044</v>
      </c>
      <c r="T1210" s="21" t="str">
        <f aca="false">IF(M1210&lt;=7,"0-7 days",IF(M1210&lt;=14,"8-14 days",IF(M1210&lt;=21,"15-21 days","22+ days")))</f>
        <v>15-21 days</v>
      </c>
    </row>
    <row r="1211" customFormat="false" ht="15" hidden="false" customHeight="false" outlineLevel="0" collapsed="false">
      <c r="A1211" s="21" t="s">
        <v>1277</v>
      </c>
      <c r="B1211" s="21" t="s">
        <v>19</v>
      </c>
      <c r="C1211" s="22" t="n">
        <v>43184</v>
      </c>
      <c r="D1211" s="22" t="n">
        <v>43190</v>
      </c>
      <c r="E1211" s="22" t="n">
        <v>43200</v>
      </c>
      <c r="F1211" s="21" t="s">
        <v>64</v>
      </c>
      <c r="G1211" s="23" t="n">
        <v>90.03</v>
      </c>
      <c r="H1211" s="23" t="n">
        <v>13.02</v>
      </c>
      <c r="I1211" s="21" t="s">
        <v>60</v>
      </c>
      <c r="J1211" s="21" t="n">
        <v>5</v>
      </c>
      <c r="K1211" s="21" t="s">
        <v>46</v>
      </c>
      <c r="L1211" s="24" t="n">
        <f aca="false">DATE(YEAR(C1211),MONTH(C1211),1)</f>
        <v>43160</v>
      </c>
      <c r="M1211" s="21" t="n">
        <f aca="false">D1211-C1211</f>
        <v>6</v>
      </c>
      <c r="N1211" s="21" t="n">
        <f aca="false">MAX(0,D1211-E1211)</f>
        <v>0</v>
      </c>
      <c r="O1211" s="21" t="n">
        <f aca="false">IF(D1211&lt;=E1211,1,0)</f>
        <v>1</v>
      </c>
      <c r="P1211" s="23" t="n">
        <f aca="false">G1211+H1211</f>
        <v>103.05</v>
      </c>
      <c r="Q1211" s="23" t="n">
        <f aca="false">G1211*INDEX(Assumptions!$B$8:$B$16,MATCH(F1211,Assumptions!$A$8:$A$16,0))</f>
        <v>59.4198</v>
      </c>
      <c r="R1211" s="23" t="n">
        <f aca="false">H1211*Assumptions!$B$3</f>
        <v>7.812</v>
      </c>
      <c r="S1211" s="23" t="n">
        <f aca="false">G1211-Q1211-R1211</f>
        <v>22.7982</v>
      </c>
      <c r="T1211" s="21" t="str">
        <f aca="false">IF(M1211&lt;=7,"0-7 days",IF(M1211&lt;=14,"8-14 days",IF(M1211&lt;=21,"15-21 days","22+ days")))</f>
        <v>0-7 days</v>
      </c>
    </row>
    <row r="1212" customFormat="false" ht="15" hidden="false" customHeight="false" outlineLevel="0" collapsed="false">
      <c r="A1212" s="21" t="s">
        <v>1278</v>
      </c>
      <c r="B1212" s="21" t="s">
        <v>48</v>
      </c>
      <c r="C1212" s="22" t="n">
        <v>43184</v>
      </c>
      <c r="D1212" s="22" t="n">
        <v>43196</v>
      </c>
      <c r="E1212" s="22" t="n">
        <v>43203</v>
      </c>
      <c r="F1212" s="21" t="s">
        <v>79</v>
      </c>
      <c r="G1212" s="23" t="n">
        <v>74.69</v>
      </c>
      <c r="H1212" s="23" t="n">
        <v>27.06</v>
      </c>
      <c r="I1212" s="21" t="s">
        <v>45</v>
      </c>
      <c r="J1212" s="21" t="n">
        <v>4</v>
      </c>
      <c r="K1212" s="21" t="s">
        <v>46</v>
      </c>
      <c r="L1212" s="24" t="n">
        <f aca="false">DATE(YEAR(C1212),MONTH(C1212),1)</f>
        <v>43160</v>
      </c>
      <c r="M1212" s="21" t="n">
        <f aca="false">D1212-C1212</f>
        <v>12</v>
      </c>
      <c r="N1212" s="21" t="n">
        <f aca="false">MAX(0,D1212-E1212)</f>
        <v>0</v>
      </c>
      <c r="O1212" s="21" t="n">
        <f aca="false">IF(D1212&lt;=E1212,1,0)</f>
        <v>1</v>
      </c>
      <c r="P1212" s="23" t="n">
        <f aca="false">G1212+H1212</f>
        <v>101.75</v>
      </c>
      <c r="Q1212" s="23" t="n">
        <f aca="false">G1212*INDEX(Assumptions!$B$8:$B$16,MATCH(F1212,Assumptions!$A$8:$A$16,0))</f>
        <v>52.283</v>
      </c>
      <c r="R1212" s="23" t="n">
        <f aca="false">H1212*Assumptions!$B$3</f>
        <v>16.236</v>
      </c>
      <c r="S1212" s="23" t="n">
        <f aca="false">G1212-Q1212-R1212</f>
        <v>6.17100000000001</v>
      </c>
      <c r="T1212" s="21" t="str">
        <f aca="false">IF(M1212&lt;=7,"0-7 days",IF(M1212&lt;=14,"8-14 days",IF(M1212&lt;=21,"15-21 days","22+ days")))</f>
        <v>8-14 days</v>
      </c>
    </row>
    <row r="1213" customFormat="false" ht="15" hidden="false" customHeight="false" outlineLevel="0" collapsed="false">
      <c r="A1213" s="21" t="s">
        <v>1279</v>
      </c>
      <c r="B1213" s="21" t="s">
        <v>19</v>
      </c>
      <c r="C1213" s="22" t="n">
        <v>43185</v>
      </c>
      <c r="D1213" s="22" t="n">
        <v>43190</v>
      </c>
      <c r="E1213" s="22" t="n">
        <v>43201</v>
      </c>
      <c r="F1213" s="21" t="s">
        <v>79</v>
      </c>
      <c r="G1213" s="23" t="n">
        <v>64.78</v>
      </c>
      <c r="H1213" s="23" t="n">
        <v>16.81</v>
      </c>
      <c r="I1213" s="21" t="s">
        <v>60</v>
      </c>
      <c r="J1213" s="21" t="n">
        <v>4</v>
      </c>
      <c r="K1213" s="21" t="s">
        <v>46</v>
      </c>
      <c r="L1213" s="24" t="n">
        <f aca="false">DATE(YEAR(C1213),MONTH(C1213),1)</f>
        <v>43160</v>
      </c>
      <c r="M1213" s="21" t="n">
        <f aca="false">D1213-C1213</f>
        <v>5</v>
      </c>
      <c r="N1213" s="21" t="n">
        <f aca="false">MAX(0,D1213-E1213)</f>
        <v>0</v>
      </c>
      <c r="O1213" s="21" t="n">
        <f aca="false">IF(D1213&lt;=E1213,1,0)</f>
        <v>1</v>
      </c>
      <c r="P1213" s="23" t="n">
        <f aca="false">G1213+H1213</f>
        <v>81.59</v>
      </c>
      <c r="Q1213" s="23" t="n">
        <f aca="false">G1213*INDEX(Assumptions!$B$8:$B$16,MATCH(F1213,Assumptions!$A$8:$A$16,0))</f>
        <v>45.346</v>
      </c>
      <c r="R1213" s="23" t="n">
        <f aca="false">H1213*Assumptions!$B$3</f>
        <v>10.086</v>
      </c>
      <c r="S1213" s="23" t="n">
        <f aca="false">G1213-Q1213-R1213</f>
        <v>9.34800000000001</v>
      </c>
      <c r="T1213" s="21" t="str">
        <f aca="false">IF(M1213&lt;=7,"0-7 days",IF(M1213&lt;=14,"8-14 days",IF(M1213&lt;=21,"15-21 days","22+ days")))</f>
        <v>0-7 days</v>
      </c>
    </row>
    <row r="1214" customFormat="false" ht="15" hidden="false" customHeight="false" outlineLevel="0" collapsed="false">
      <c r="A1214" s="21" t="s">
        <v>1280</v>
      </c>
      <c r="B1214" s="21" t="s">
        <v>19</v>
      </c>
      <c r="C1214" s="22" t="n">
        <v>43185</v>
      </c>
      <c r="D1214" s="22" t="n">
        <v>43194</v>
      </c>
      <c r="E1214" s="22" t="n">
        <v>43202</v>
      </c>
      <c r="F1214" s="21" t="s">
        <v>67</v>
      </c>
      <c r="G1214" s="23" t="n">
        <v>288.7</v>
      </c>
      <c r="H1214" s="23" t="n">
        <v>16.55</v>
      </c>
      <c r="I1214" s="21" t="s">
        <v>45</v>
      </c>
      <c r="J1214" s="21" t="n">
        <v>3</v>
      </c>
      <c r="K1214" s="21" t="s">
        <v>46</v>
      </c>
      <c r="L1214" s="24" t="n">
        <f aca="false">DATE(YEAR(C1214),MONTH(C1214),1)</f>
        <v>43160</v>
      </c>
      <c r="M1214" s="21" t="n">
        <f aca="false">D1214-C1214</f>
        <v>9</v>
      </c>
      <c r="N1214" s="21" t="n">
        <f aca="false">MAX(0,D1214-E1214)</f>
        <v>0</v>
      </c>
      <c r="O1214" s="21" t="n">
        <f aca="false">IF(D1214&lt;=E1214,1,0)</f>
        <v>1</v>
      </c>
      <c r="P1214" s="23" t="n">
        <f aca="false">G1214+H1214</f>
        <v>305.25</v>
      </c>
      <c r="Q1214" s="23" t="n">
        <f aca="false">G1214*INDEX(Assumptions!$B$8:$B$16,MATCH(F1214,Assumptions!$A$8:$A$16,0))</f>
        <v>178.994</v>
      </c>
      <c r="R1214" s="23" t="n">
        <f aca="false">H1214*Assumptions!$B$3</f>
        <v>9.93</v>
      </c>
      <c r="S1214" s="23" t="n">
        <f aca="false">G1214-Q1214-R1214</f>
        <v>99.776</v>
      </c>
      <c r="T1214" s="21" t="str">
        <f aca="false">IF(M1214&lt;=7,"0-7 days",IF(M1214&lt;=14,"8-14 days",IF(M1214&lt;=21,"15-21 days","22+ days")))</f>
        <v>8-14 days</v>
      </c>
    </row>
    <row r="1215" customFormat="false" ht="15" hidden="false" customHeight="false" outlineLevel="0" collapsed="false">
      <c r="A1215" s="21" t="s">
        <v>1281</v>
      </c>
      <c r="B1215" s="21" t="s">
        <v>48</v>
      </c>
      <c r="C1215" s="22" t="n">
        <v>43186</v>
      </c>
      <c r="D1215" s="22" t="n">
        <v>43209</v>
      </c>
      <c r="E1215" s="22" t="n">
        <v>43205</v>
      </c>
      <c r="F1215" s="21" t="s">
        <v>79</v>
      </c>
      <c r="G1215" s="23" t="n">
        <v>111.28</v>
      </c>
      <c r="H1215" s="23" t="n">
        <v>19.12</v>
      </c>
      <c r="I1215" s="21" t="s">
        <v>45</v>
      </c>
      <c r="J1215" s="21" t="n">
        <v>3</v>
      </c>
      <c r="K1215" s="21" t="s">
        <v>46</v>
      </c>
      <c r="L1215" s="24" t="n">
        <f aca="false">DATE(YEAR(C1215),MONTH(C1215),1)</f>
        <v>43160</v>
      </c>
      <c r="M1215" s="21" t="n">
        <f aca="false">D1215-C1215</f>
        <v>23</v>
      </c>
      <c r="N1215" s="21" t="n">
        <f aca="false">MAX(0,D1215-E1215)</f>
        <v>4</v>
      </c>
      <c r="O1215" s="21" t="n">
        <f aca="false">IF(D1215&lt;=E1215,1,0)</f>
        <v>0</v>
      </c>
      <c r="P1215" s="23" t="n">
        <f aca="false">G1215+H1215</f>
        <v>130.4</v>
      </c>
      <c r="Q1215" s="23" t="n">
        <f aca="false">G1215*INDEX(Assumptions!$B$8:$B$16,MATCH(F1215,Assumptions!$A$8:$A$16,0))</f>
        <v>77.896</v>
      </c>
      <c r="R1215" s="23" t="n">
        <f aca="false">H1215*Assumptions!$B$3</f>
        <v>11.472</v>
      </c>
      <c r="S1215" s="23" t="n">
        <f aca="false">G1215-Q1215-R1215</f>
        <v>21.912</v>
      </c>
      <c r="T1215" s="21" t="str">
        <f aca="false">IF(M1215&lt;=7,"0-7 days",IF(M1215&lt;=14,"8-14 days",IF(M1215&lt;=21,"15-21 days","22+ days")))</f>
        <v>22+ days</v>
      </c>
    </row>
    <row r="1216" customFormat="false" ht="15" hidden="false" customHeight="false" outlineLevel="0" collapsed="false">
      <c r="A1216" s="21" t="s">
        <v>1282</v>
      </c>
      <c r="B1216" s="21" t="s">
        <v>19</v>
      </c>
      <c r="C1216" s="22" t="n">
        <v>43186</v>
      </c>
      <c r="D1216" s="22" t="n">
        <v>43193</v>
      </c>
      <c r="E1216" s="22" t="n">
        <v>43205</v>
      </c>
      <c r="F1216" s="21" t="s">
        <v>79</v>
      </c>
      <c r="G1216" s="23" t="n">
        <v>113.5</v>
      </c>
      <c r="H1216" s="23" t="n">
        <v>17.81</v>
      </c>
      <c r="I1216" s="21" t="s">
        <v>45</v>
      </c>
      <c r="J1216" s="21" t="n">
        <v>3</v>
      </c>
      <c r="K1216" s="21" t="s">
        <v>46</v>
      </c>
      <c r="L1216" s="24" t="n">
        <f aca="false">DATE(YEAR(C1216),MONTH(C1216),1)</f>
        <v>43160</v>
      </c>
      <c r="M1216" s="21" t="n">
        <f aca="false">D1216-C1216</f>
        <v>7</v>
      </c>
      <c r="N1216" s="21" t="n">
        <f aca="false">MAX(0,D1216-E1216)</f>
        <v>0</v>
      </c>
      <c r="O1216" s="21" t="n">
        <f aca="false">IF(D1216&lt;=E1216,1,0)</f>
        <v>1</v>
      </c>
      <c r="P1216" s="23" t="n">
        <f aca="false">G1216+H1216</f>
        <v>131.31</v>
      </c>
      <c r="Q1216" s="23" t="n">
        <f aca="false">G1216*INDEX(Assumptions!$B$8:$B$16,MATCH(F1216,Assumptions!$A$8:$A$16,0))</f>
        <v>79.45</v>
      </c>
      <c r="R1216" s="23" t="n">
        <f aca="false">H1216*Assumptions!$B$3</f>
        <v>10.686</v>
      </c>
      <c r="S1216" s="23" t="n">
        <f aca="false">G1216-Q1216-R1216</f>
        <v>23.364</v>
      </c>
      <c r="T1216" s="21" t="str">
        <f aca="false">IF(M1216&lt;=7,"0-7 days",IF(M1216&lt;=14,"8-14 days",IF(M1216&lt;=21,"15-21 days","22+ days")))</f>
        <v>0-7 days</v>
      </c>
    </row>
    <row r="1217" customFormat="false" ht="15" hidden="false" customHeight="false" outlineLevel="0" collapsed="false">
      <c r="A1217" s="21" t="s">
        <v>1283</v>
      </c>
      <c r="B1217" s="21" t="s">
        <v>19</v>
      </c>
      <c r="C1217" s="22" t="n">
        <v>43186</v>
      </c>
      <c r="D1217" s="22" t="n">
        <v>43193</v>
      </c>
      <c r="E1217" s="22" t="n">
        <v>43199</v>
      </c>
      <c r="F1217" s="21" t="s">
        <v>44</v>
      </c>
      <c r="G1217" s="23" t="n">
        <v>38.61</v>
      </c>
      <c r="H1217" s="23" t="n">
        <v>13.78</v>
      </c>
      <c r="I1217" s="21" t="s">
        <v>45</v>
      </c>
      <c r="J1217" s="21" t="n">
        <v>5</v>
      </c>
      <c r="K1217" s="21" t="s">
        <v>46</v>
      </c>
      <c r="L1217" s="24" t="n">
        <f aca="false">DATE(YEAR(C1217),MONTH(C1217),1)</f>
        <v>43160</v>
      </c>
      <c r="M1217" s="21" t="n">
        <f aca="false">D1217-C1217</f>
        <v>7</v>
      </c>
      <c r="N1217" s="21" t="n">
        <f aca="false">MAX(0,D1217-E1217)</f>
        <v>0</v>
      </c>
      <c r="O1217" s="21" t="n">
        <f aca="false">IF(D1217&lt;=E1217,1,0)</f>
        <v>1</v>
      </c>
      <c r="P1217" s="23" t="n">
        <f aca="false">G1217+H1217</f>
        <v>52.39</v>
      </c>
      <c r="Q1217" s="23" t="n">
        <f aca="false">G1217*INDEX(Assumptions!$B$8:$B$16,MATCH(F1217,Assumptions!$A$8:$A$16,0))</f>
        <v>23.166</v>
      </c>
      <c r="R1217" s="23" t="n">
        <f aca="false">H1217*Assumptions!$B$3</f>
        <v>8.268</v>
      </c>
      <c r="S1217" s="23" t="n">
        <f aca="false">G1217-Q1217-R1217</f>
        <v>7.176</v>
      </c>
      <c r="T1217" s="21" t="str">
        <f aca="false">IF(M1217&lt;=7,"0-7 days",IF(M1217&lt;=14,"8-14 days",IF(M1217&lt;=21,"15-21 days","22+ days")))</f>
        <v>0-7 days</v>
      </c>
    </row>
    <row r="1218" customFormat="false" ht="15" hidden="false" customHeight="false" outlineLevel="0" collapsed="false">
      <c r="A1218" s="21" t="s">
        <v>1284</v>
      </c>
      <c r="B1218" s="21" t="s">
        <v>62</v>
      </c>
      <c r="C1218" s="22" t="n">
        <v>43187</v>
      </c>
      <c r="D1218" s="22" t="n">
        <v>43198</v>
      </c>
      <c r="E1218" s="22" t="n">
        <v>43208</v>
      </c>
      <c r="F1218" s="21" t="s">
        <v>67</v>
      </c>
      <c r="G1218" s="23" t="n">
        <v>48.38</v>
      </c>
      <c r="H1218" s="23" t="n">
        <v>17.6</v>
      </c>
      <c r="I1218" s="21" t="s">
        <v>45</v>
      </c>
      <c r="J1218" s="21" t="n">
        <v>5</v>
      </c>
      <c r="K1218" s="21" t="s">
        <v>46</v>
      </c>
      <c r="L1218" s="24" t="n">
        <f aca="false">DATE(YEAR(C1218),MONTH(C1218),1)</f>
        <v>43160</v>
      </c>
      <c r="M1218" s="21" t="n">
        <f aca="false">D1218-C1218</f>
        <v>11</v>
      </c>
      <c r="N1218" s="21" t="n">
        <f aca="false">MAX(0,D1218-E1218)</f>
        <v>0</v>
      </c>
      <c r="O1218" s="21" t="n">
        <f aca="false">IF(D1218&lt;=E1218,1,0)</f>
        <v>1</v>
      </c>
      <c r="P1218" s="23" t="n">
        <f aca="false">G1218+H1218</f>
        <v>65.98</v>
      </c>
      <c r="Q1218" s="23" t="n">
        <f aca="false">G1218*INDEX(Assumptions!$B$8:$B$16,MATCH(F1218,Assumptions!$A$8:$A$16,0))</f>
        <v>29.9956</v>
      </c>
      <c r="R1218" s="23" t="n">
        <f aca="false">H1218*Assumptions!$B$3</f>
        <v>10.56</v>
      </c>
      <c r="S1218" s="23" t="n">
        <f aca="false">G1218-Q1218-R1218</f>
        <v>7.8244</v>
      </c>
      <c r="T1218" s="21" t="str">
        <f aca="false">IF(M1218&lt;=7,"0-7 days",IF(M1218&lt;=14,"8-14 days",IF(M1218&lt;=21,"15-21 days","22+ days")))</f>
        <v>8-14 days</v>
      </c>
    </row>
    <row r="1219" customFormat="false" ht="15" hidden="false" customHeight="false" outlineLevel="0" collapsed="false">
      <c r="A1219" s="21" t="s">
        <v>1285</v>
      </c>
      <c r="B1219" s="21" t="s">
        <v>19</v>
      </c>
      <c r="C1219" s="22" t="n">
        <v>43187</v>
      </c>
      <c r="D1219" s="22" t="n">
        <v>43197</v>
      </c>
      <c r="E1219" s="22" t="n">
        <v>43202</v>
      </c>
      <c r="F1219" s="21" t="s">
        <v>79</v>
      </c>
      <c r="G1219" s="23" t="n">
        <v>166.13</v>
      </c>
      <c r="H1219" s="23" t="n">
        <v>16.76</v>
      </c>
      <c r="I1219" s="21" t="s">
        <v>50</v>
      </c>
      <c r="J1219" s="21" t="n">
        <v>5</v>
      </c>
      <c r="K1219" s="21" t="s">
        <v>46</v>
      </c>
      <c r="L1219" s="24" t="n">
        <f aca="false">DATE(YEAR(C1219),MONTH(C1219),1)</f>
        <v>43160</v>
      </c>
      <c r="M1219" s="21" t="n">
        <f aca="false">D1219-C1219</f>
        <v>10</v>
      </c>
      <c r="N1219" s="21" t="n">
        <f aca="false">MAX(0,D1219-E1219)</f>
        <v>0</v>
      </c>
      <c r="O1219" s="21" t="n">
        <f aca="false">IF(D1219&lt;=E1219,1,0)</f>
        <v>1</v>
      </c>
      <c r="P1219" s="23" t="n">
        <f aca="false">G1219+H1219</f>
        <v>182.89</v>
      </c>
      <c r="Q1219" s="23" t="n">
        <f aca="false">G1219*INDEX(Assumptions!$B$8:$B$16,MATCH(F1219,Assumptions!$A$8:$A$16,0))</f>
        <v>116.291</v>
      </c>
      <c r="R1219" s="23" t="n">
        <f aca="false">H1219*Assumptions!$B$3</f>
        <v>10.056</v>
      </c>
      <c r="S1219" s="23" t="n">
        <f aca="false">G1219-Q1219-R1219</f>
        <v>39.783</v>
      </c>
      <c r="T1219" s="21" t="str">
        <f aca="false">IF(M1219&lt;=7,"0-7 days",IF(M1219&lt;=14,"8-14 days",IF(M1219&lt;=21,"15-21 days","22+ days")))</f>
        <v>8-14 days</v>
      </c>
    </row>
    <row r="1220" customFormat="false" ht="15" hidden="false" customHeight="false" outlineLevel="0" collapsed="false">
      <c r="A1220" s="21" t="s">
        <v>1286</v>
      </c>
      <c r="B1220" s="21" t="s">
        <v>62</v>
      </c>
      <c r="C1220" s="22" t="n">
        <v>43187</v>
      </c>
      <c r="D1220" s="22" t="n">
        <v>43198</v>
      </c>
      <c r="E1220" s="22" t="n">
        <v>43208</v>
      </c>
      <c r="F1220" s="21" t="s">
        <v>64</v>
      </c>
      <c r="G1220" s="23" t="n">
        <v>101.71</v>
      </c>
      <c r="H1220" s="23" t="n">
        <v>16.94</v>
      </c>
      <c r="I1220" s="21" t="s">
        <v>45</v>
      </c>
      <c r="J1220" s="21" t="n">
        <v>5</v>
      </c>
      <c r="K1220" s="21" t="s">
        <v>46</v>
      </c>
      <c r="L1220" s="24" t="n">
        <f aca="false">DATE(YEAR(C1220),MONTH(C1220),1)</f>
        <v>43160</v>
      </c>
      <c r="M1220" s="21" t="n">
        <f aca="false">D1220-C1220</f>
        <v>11</v>
      </c>
      <c r="N1220" s="21" t="n">
        <f aca="false">MAX(0,D1220-E1220)</f>
        <v>0</v>
      </c>
      <c r="O1220" s="21" t="n">
        <f aca="false">IF(D1220&lt;=E1220,1,0)</f>
        <v>1</v>
      </c>
      <c r="P1220" s="23" t="n">
        <f aca="false">G1220+H1220</f>
        <v>118.65</v>
      </c>
      <c r="Q1220" s="23" t="n">
        <f aca="false">G1220*INDEX(Assumptions!$B$8:$B$16,MATCH(F1220,Assumptions!$A$8:$A$16,0))</f>
        <v>67.1286</v>
      </c>
      <c r="R1220" s="23" t="n">
        <f aca="false">H1220*Assumptions!$B$3</f>
        <v>10.164</v>
      </c>
      <c r="S1220" s="23" t="n">
        <f aca="false">G1220-Q1220-R1220</f>
        <v>24.4174</v>
      </c>
      <c r="T1220" s="21" t="str">
        <f aca="false">IF(M1220&lt;=7,"0-7 days",IF(M1220&lt;=14,"8-14 days",IF(M1220&lt;=21,"15-21 days","22+ days")))</f>
        <v>8-14 days</v>
      </c>
    </row>
    <row r="1221" customFormat="false" ht="15" hidden="false" customHeight="false" outlineLevel="0" collapsed="false">
      <c r="A1221" s="21" t="s">
        <v>1287</v>
      </c>
      <c r="B1221" s="21" t="s">
        <v>19</v>
      </c>
      <c r="C1221" s="22" t="n">
        <v>43187</v>
      </c>
      <c r="D1221" s="22" t="n">
        <v>43205</v>
      </c>
      <c r="E1221" s="22" t="n">
        <v>43198</v>
      </c>
      <c r="F1221" s="21" t="s">
        <v>44</v>
      </c>
      <c r="G1221" s="23" t="n">
        <v>53.4</v>
      </c>
      <c r="H1221" s="23" t="n">
        <v>15.87</v>
      </c>
      <c r="I1221" s="21" t="s">
        <v>45</v>
      </c>
      <c r="J1221" s="21" t="n">
        <v>3</v>
      </c>
      <c r="K1221" s="21" t="s">
        <v>46</v>
      </c>
      <c r="L1221" s="24" t="n">
        <f aca="false">DATE(YEAR(C1221),MONTH(C1221),1)</f>
        <v>43160</v>
      </c>
      <c r="M1221" s="21" t="n">
        <f aca="false">D1221-C1221</f>
        <v>18</v>
      </c>
      <c r="N1221" s="21" t="n">
        <f aca="false">MAX(0,D1221-E1221)</f>
        <v>7</v>
      </c>
      <c r="O1221" s="21" t="n">
        <f aca="false">IF(D1221&lt;=E1221,1,0)</f>
        <v>0</v>
      </c>
      <c r="P1221" s="23" t="n">
        <f aca="false">G1221+H1221</f>
        <v>69.27</v>
      </c>
      <c r="Q1221" s="23" t="n">
        <f aca="false">G1221*INDEX(Assumptions!$B$8:$B$16,MATCH(F1221,Assumptions!$A$8:$A$16,0))</f>
        <v>32.04</v>
      </c>
      <c r="R1221" s="23" t="n">
        <f aca="false">H1221*Assumptions!$B$3</f>
        <v>9.522</v>
      </c>
      <c r="S1221" s="23" t="n">
        <f aca="false">G1221-Q1221-R1221</f>
        <v>11.838</v>
      </c>
      <c r="T1221" s="21" t="str">
        <f aca="false">IF(M1221&lt;=7,"0-7 days",IF(M1221&lt;=14,"8-14 days",IF(M1221&lt;=21,"15-21 days","22+ days")))</f>
        <v>15-21 days</v>
      </c>
    </row>
    <row r="1222" customFormat="false" ht="15" hidden="false" customHeight="false" outlineLevel="0" collapsed="false">
      <c r="A1222" s="21" t="s">
        <v>1288</v>
      </c>
      <c r="B1222" s="21" t="s">
        <v>48</v>
      </c>
      <c r="C1222" s="22" t="n">
        <v>43188</v>
      </c>
      <c r="D1222" s="22" t="n">
        <v>43207</v>
      </c>
      <c r="E1222" s="22" t="n">
        <v>43209</v>
      </c>
      <c r="F1222" s="21" t="s">
        <v>79</v>
      </c>
      <c r="G1222" s="23" t="n">
        <v>76.8</v>
      </c>
      <c r="H1222" s="23" t="n">
        <v>20.84</v>
      </c>
      <c r="I1222" s="21" t="s">
        <v>45</v>
      </c>
      <c r="J1222" s="21" t="n">
        <v>4</v>
      </c>
      <c r="K1222" s="21" t="s">
        <v>46</v>
      </c>
      <c r="L1222" s="24" t="n">
        <f aca="false">DATE(YEAR(C1222),MONTH(C1222),1)</f>
        <v>43160</v>
      </c>
      <c r="M1222" s="21" t="n">
        <f aca="false">D1222-C1222</f>
        <v>19</v>
      </c>
      <c r="N1222" s="21" t="n">
        <f aca="false">MAX(0,D1222-E1222)</f>
        <v>0</v>
      </c>
      <c r="O1222" s="21" t="n">
        <f aca="false">IF(D1222&lt;=E1222,1,0)</f>
        <v>1</v>
      </c>
      <c r="P1222" s="23" t="n">
        <f aca="false">G1222+H1222</f>
        <v>97.64</v>
      </c>
      <c r="Q1222" s="23" t="n">
        <f aca="false">G1222*INDEX(Assumptions!$B$8:$B$16,MATCH(F1222,Assumptions!$A$8:$A$16,0))</f>
        <v>53.76</v>
      </c>
      <c r="R1222" s="23" t="n">
        <f aca="false">H1222*Assumptions!$B$3</f>
        <v>12.504</v>
      </c>
      <c r="S1222" s="23" t="n">
        <f aca="false">G1222-Q1222-R1222</f>
        <v>10.536</v>
      </c>
      <c r="T1222" s="21" t="str">
        <f aca="false">IF(M1222&lt;=7,"0-7 days",IF(M1222&lt;=14,"8-14 days",IF(M1222&lt;=21,"15-21 days","22+ days")))</f>
        <v>15-21 days</v>
      </c>
    </row>
    <row r="1223" customFormat="false" ht="15" hidden="false" customHeight="false" outlineLevel="0" collapsed="false">
      <c r="A1223" s="21" t="s">
        <v>1289</v>
      </c>
      <c r="B1223" s="21" t="s">
        <v>19</v>
      </c>
      <c r="C1223" s="22" t="n">
        <v>43188</v>
      </c>
      <c r="D1223" s="22" t="n">
        <v>43196</v>
      </c>
      <c r="E1223" s="22" t="n">
        <v>43203</v>
      </c>
      <c r="F1223" s="21" t="s">
        <v>67</v>
      </c>
      <c r="G1223" s="23" t="n">
        <v>150.81</v>
      </c>
      <c r="H1223" s="23" t="n">
        <v>17.21</v>
      </c>
      <c r="I1223" s="21" t="s">
        <v>45</v>
      </c>
      <c r="J1223" s="21" t="n">
        <v>5</v>
      </c>
      <c r="K1223" s="21" t="s">
        <v>46</v>
      </c>
      <c r="L1223" s="24" t="n">
        <f aca="false">DATE(YEAR(C1223),MONTH(C1223),1)</f>
        <v>43160</v>
      </c>
      <c r="M1223" s="21" t="n">
        <f aca="false">D1223-C1223</f>
        <v>8</v>
      </c>
      <c r="N1223" s="21" t="n">
        <f aca="false">MAX(0,D1223-E1223)</f>
        <v>0</v>
      </c>
      <c r="O1223" s="21" t="n">
        <f aca="false">IF(D1223&lt;=E1223,1,0)</f>
        <v>1</v>
      </c>
      <c r="P1223" s="23" t="n">
        <f aca="false">G1223+H1223</f>
        <v>168.02</v>
      </c>
      <c r="Q1223" s="23" t="n">
        <f aca="false">G1223*INDEX(Assumptions!$B$8:$B$16,MATCH(F1223,Assumptions!$A$8:$A$16,0))</f>
        <v>93.5022</v>
      </c>
      <c r="R1223" s="23" t="n">
        <f aca="false">H1223*Assumptions!$B$3</f>
        <v>10.326</v>
      </c>
      <c r="S1223" s="23" t="n">
        <f aca="false">G1223-Q1223-R1223</f>
        <v>46.9818</v>
      </c>
      <c r="T1223" s="21" t="str">
        <f aca="false">IF(M1223&lt;=7,"0-7 days",IF(M1223&lt;=14,"8-14 days",IF(M1223&lt;=21,"15-21 days","22+ days")))</f>
        <v>8-14 days</v>
      </c>
    </row>
    <row r="1224" customFormat="false" ht="15" hidden="false" customHeight="false" outlineLevel="0" collapsed="false">
      <c r="A1224" s="21" t="s">
        <v>1290</v>
      </c>
      <c r="B1224" s="21" t="s">
        <v>19</v>
      </c>
      <c r="C1224" s="22" t="n">
        <v>43188</v>
      </c>
      <c r="D1224" s="22" t="n">
        <v>43199</v>
      </c>
      <c r="E1224" s="22" t="n">
        <v>43207</v>
      </c>
      <c r="F1224" s="21" t="s">
        <v>59</v>
      </c>
      <c r="G1224" s="23" t="n">
        <v>105.29</v>
      </c>
      <c r="H1224" s="23" t="n">
        <v>19.95</v>
      </c>
      <c r="I1224" s="21" t="s">
        <v>45</v>
      </c>
      <c r="J1224" s="21" t="n">
        <v>5</v>
      </c>
      <c r="K1224" s="21" t="s">
        <v>46</v>
      </c>
      <c r="L1224" s="24" t="n">
        <f aca="false">DATE(YEAR(C1224),MONTH(C1224),1)</f>
        <v>43160</v>
      </c>
      <c r="M1224" s="21" t="n">
        <f aca="false">D1224-C1224</f>
        <v>11</v>
      </c>
      <c r="N1224" s="21" t="n">
        <f aca="false">MAX(0,D1224-E1224)</f>
        <v>0</v>
      </c>
      <c r="O1224" s="21" t="n">
        <f aca="false">IF(D1224&lt;=E1224,1,0)</f>
        <v>1</v>
      </c>
      <c r="P1224" s="23" t="n">
        <f aca="false">G1224+H1224</f>
        <v>125.24</v>
      </c>
      <c r="Q1224" s="23" t="n">
        <f aca="false">G1224*INDEX(Assumptions!$B$8:$B$16,MATCH(F1224,Assumptions!$A$8:$A$16,0))</f>
        <v>67.3856</v>
      </c>
      <c r="R1224" s="23" t="n">
        <f aca="false">H1224*Assumptions!$B$3</f>
        <v>11.97</v>
      </c>
      <c r="S1224" s="23" t="n">
        <f aca="false">G1224-Q1224-R1224</f>
        <v>25.9344</v>
      </c>
      <c r="T1224" s="21" t="str">
        <f aca="false">IF(M1224&lt;=7,"0-7 days",IF(M1224&lt;=14,"8-14 days",IF(M1224&lt;=21,"15-21 days","22+ days")))</f>
        <v>8-14 days</v>
      </c>
    </row>
    <row r="1225" customFormat="false" ht="15" hidden="false" customHeight="false" outlineLevel="0" collapsed="false">
      <c r="A1225" s="21" t="s">
        <v>1291</v>
      </c>
      <c r="B1225" s="21" t="s">
        <v>55</v>
      </c>
      <c r="C1225" s="22" t="n">
        <v>43188</v>
      </c>
      <c r="D1225" s="22" t="n">
        <v>43205</v>
      </c>
      <c r="E1225" s="22" t="n">
        <v>43210</v>
      </c>
      <c r="F1225" s="21" t="s">
        <v>53</v>
      </c>
      <c r="G1225" s="23" t="n">
        <v>134.71</v>
      </c>
      <c r="H1225" s="23" t="n">
        <v>17.84</v>
      </c>
      <c r="I1225" s="21" t="s">
        <v>45</v>
      </c>
      <c r="J1225" s="21" t="n">
        <v>4</v>
      </c>
      <c r="K1225" s="21" t="s">
        <v>46</v>
      </c>
      <c r="L1225" s="24" t="n">
        <f aca="false">DATE(YEAR(C1225),MONTH(C1225),1)</f>
        <v>43160</v>
      </c>
      <c r="M1225" s="21" t="n">
        <f aca="false">D1225-C1225</f>
        <v>17</v>
      </c>
      <c r="N1225" s="21" t="n">
        <f aca="false">MAX(0,D1225-E1225)</f>
        <v>0</v>
      </c>
      <c r="O1225" s="21" t="n">
        <f aca="false">IF(D1225&lt;=E1225,1,0)</f>
        <v>1</v>
      </c>
      <c r="P1225" s="23" t="n">
        <f aca="false">G1225+H1225</f>
        <v>152.55</v>
      </c>
      <c r="Q1225" s="23" t="n">
        <f aca="false">G1225*INDEX(Assumptions!$B$8:$B$16,MATCH(F1225,Assumptions!$A$8:$A$16,0))</f>
        <v>99.6854</v>
      </c>
      <c r="R1225" s="23" t="n">
        <f aca="false">H1225*Assumptions!$B$3</f>
        <v>10.704</v>
      </c>
      <c r="S1225" s="23" t="n">
        <f aca="false">G1225-Q1225-R1225</f>
        <v>24.3206</v>
      </c>
      <c r="T1225" s="21" t="str">
        <f aca="false">IF(M1225&lt;=7,"0-7 days",IF(M1225&lt;=14,"8-14 days",IF(M1225&lt;=21,"15-21 days","22+ days")))</f>
        <v>15-21 days</v>
      </c>
    </row>
    <row r="1226" customFormat="false" ht="15" hidden="false" customHeight="false" outlineLevel="0" collapsed="false">
      <c r="A1226" s="21" t="s">
        <v>1292</v>
      </c>
      <c r="B1226" s="21" t="s">
        <v>134</v>
      </c>
      <c r="C1226" s="22" t="n">
        <v>43188</v>
      </c>
      <c r="D1226" s="22" t="n">
        <v>43199</v>
      </c>
      <c r="E1226" s="22" t="n">
        <v>43211</v>
      </c>
      <c r="F1226" s="21" t="s">
        <v>67</v>
      </c>
      <c r="G1226" s="23" t="n">
        <v>65.31</v>
      </c>
      <c r="H1226" s="23" t="n">
        <v>30.53</v>
      </c>
      <c r="I1226" s="21" t="s">
        <v>45</v>
      </c>
      <c r="J1226" s="21" t="n">
        <v>5</v>
      </c>
      <c r="K1226" s="21" t="s">
        <v>46</v>
      </c>
      <c r="L1226" s="24" t="n">
        <f aca="false">DATE(YEAR(C1226),MONTH(C1226),1)</f>
        <v>43160</v>
      </c>
      <c r="M1226" s="21" t="n">
        <f aca="false">D1226-C1226</f>
        <v>11</v>
      </c>
      <c r="N1226" s="21" t="n">
        <f aca="false">MAX(0,D1226-E1226)</f>
        <v>0</v>
      </c>
      <c r="O1226" s="21" t="n">
        <f aca="false">IF(D1226&lt;=E1226,1,0)</f>
        <v>1</v>
      </c>
      <c r="P1226" s="23" t="n">
        <f aca="false">G1226+H1226</f>
        <v>95.84</v>
      </c>
      <c r="Q1226" s="23" t="n">
        <f aca="false">G1226*INDEX(Assumptions!$B$8:$B$16,MATCH(F1226,Assumptions!$A$8:$A$16,0))</f>
        <v>40.4922</v>
      </c>
      <c r="R1226" s="23" t="n">
        <f aca="false">H1226*Assumptions!$B$3</f>
        <v>18.318</v>
      </c>
      <c r="S1226" s="23" t="n">
        <f aca="false">G1226-Q1226-R1226</f>
        <v>6.4998</v>
      </c>
      <c r="T1226" s="21" t="str">
        <f aca="false">IF(M1226&lt;=7,"0-7 days",IF(M1226&lt;=14,"8-14 days",IF(M1226&lt;=21,"15-21 days","22+ days")))</f>
        <v>8-14 days</v>
      </c>
    </row>
    <row r="1227" customFormat="false" ht="15" hidden="false" customHeight="false" outlineLevel="0" collapsed="false">
      <c r="A1227" s="21" t="s">
        <v>1293</v>
      </c>
      <c r="B1227" s="21" t="s">
        <v>55</v>
      </c>
      <c r="C1227" s="22" t="n">
        <v>43188</v>
      </c>
      <c r="D1227" s="22" t="n">
        <v>43211</v>
      </c>
      <c r="E1227" s="22" t="n">
        <v>43214</v>
      </c>
      <c r="F1227" s="21" t="s">
        <v>79</v>
      </c>
      <c r="G1227" s="23" t="n">
        <v>64.34</v>
      </c>
      <c r="H1227" s="23" t="n">
        <v>26.69</v>
      </c>
      <c r="I1227" s="21" t="s">
        <v>60</v>
      </c>
      <c r="J1227" s="21" t="n">
        <v>5</v>
      </c>
      <c r="K1227" s="21" t="s">
        <v>46</v>
      </c>
      <c r="L1227" s="24" t="n">
        <f aca="false">DATE(YEAR(C1227),MONTH(C1227),1)</f>
        <v>43160</v>
      </c>
      <c r="M1227" s="21" t="n">
        <f aca="false">D1227-C1227</f>
        <v>23</v>
      </c>
      <c r="N1227" s="21" t="n">
        <f aca="false">MAX(0,D1227-E1227)</f>
        <v>0</v>
      </c>
      <c r="O1227" s="21" t="n">
        <f aca="false">IF(D1227&lt;=E1227,1,0)</f>
        <v>1</v>
      </c>
      <c r="P1227" s="23" t="n">
        <f aca="false">G1227+H1227</f>
        <v>91.03</v>
      </c>
      <c r="Q1227" s="23" t="n">
        <f aca="false">G1227*INDEX(Assumptions!$B$8:$B$16,MATCH(F1227,Assumptions!$A$8:$A$16,0))</f>
        <v>45.038</v>
      </c>
      <c r="R1227" s="23" t="n">
        <f aca="false">H1227*Assumptions!$B$3</f>
        <v>16.014</v>
      </c>
      <c r="S1227" s="23" t="n">
        <f aca="false">G1227-Q1227-R1227</f>
        <v>3.28800000000001</v>
      </c>
      <c r="T1227" s="21" t="str">
        <f aca="false">IF(M1227&lt;=7,"0-7 days",IF(M1227&lt;=14,"8-14 days",IF(M1227&lt;=21,"15-21 days","22+ days")))</f>
        <v>22+ days</v>
      </c>
    </row>
    <row r="1228" customFormat="false" ht="15" hidden="false" customHeight="false" outlineLevel="0" collapsed="false">
      <c r="A1228" s="21" t="s">
        <v>1294</v>
      </c>
      <c r="B1228" s="21" t="s">
        <v>19</v>
      </c>
      <c r="C1228" s="22" t="n">
        <v>43188</v>
      </c>
      <c r="D1228" s="22" t="n">
        <v>43195</v>
      </c>
      <c r="E1228" s="22" t="n">
        <v>43204</v>
      </c>
      <c r="F1228" s="21" t="s">
        <v>67</v>
      </c>
      <c r="G1228" s="23" t="n">
        <v>82.72</v>
      </c>
      <c r="H1228" s="23" t="n">
        <v>20.98</v>
      </c>
      <c r="I1228" s="21" t="s">
        <v>45</v>
      </c>
      <c r="J1228" s="21" t="n">
        <v>4</v>
      </c>
      <c r="K1228" s="21" t="s">
        <v>46</v>
      </c>
      <c r="L1228" s="24" t="n">
        <f aca="false">DATE(YEAR(C1228),MONTH(C1228),1)</f>
        <v>43160</v>
      </c>
      <c r="M1228" s="21" t="n">
        <f aca="false">D1228-C1228</f>
        <v>7</v>
      </c>
      <c r="N1228" s="21" t="n">
        <f aca="false">MAX(0,D1228-E1228)</f>
        <v>0</v>
      </c>
      <c r="O1228" s="21" t="n">
        <f aca="false">IF(D1228&lt;=E1228,1,0)</f>
        <v>1</v>
      </c>
      <c r="P1228" s="23" t="n">
        <f aca="false">G1228+H1228</f>
        <v>103.7</v>
      </c>
      <c r="Q1228" s="23" t="n">
        <f aca="false">G1228*INDEX(Assumptions!$B$8:$B$16,MATCH(F1228,Assumptions!$A$8:$A$16,0))</f>
        <v>51.2864</v>
      </c>
      <c r="R1228" s="23" t="n">
        <f aca="false">H1228*Assumptions!$B$3</f>
        <v>12.588</v>
      </c>
      <c r="S1228" s="23" t="n">
        <f aca="false">G1228-Q1228-R1228</f>
        <v>18.8456</v>
      </c>
      <c r="T1228" s="21" t="str">
        <f aca="false">IF(M1228&lt;=7,"0-7 days",IF(M1228&lt;=14,"8-14 days",IF(M1228&lt;=21,"15-21 days","22+ days")))</f>
        <v>0-7 days</v>
      </c>
    </row>
    <row r="1229" customFormat="false" ht="15" hidden="false" customHeight="false" outlineLevel="0" collapsed="false">
      <c r="A1229" s="21" t="s">
        <v>1295</v>
      </c>
      <c r="B1229" s="21" t="s">
        <v>19</v>
      </c>
      <c r="C1229" s="22" t="n">
        <v>43189</v>
      </c>
      <c r="D1229" s="22" t="n">
        <v>43205</v>
      </c>
      <c r="E1229" s="22" t="n">
        <v>43206</v>
      </c>
      <c r="F1229" s="21" t="s">
        <v>59</v>
      </c>
      <c r="G1229" s="23" t="n">
        <v>142.56</v>
      </c>
      <c r="H1229" s="23" t="n">
        <v>22.54</v>
      </c>
      <c r="I1229" s="21" t="s">
        <v>60</v>
      </c>
      <c r="J1229" s="21" t="n">
        <v>4</v>
      </c>
      <c r="K1229" s="21" t="s">
        <v>46</v>
      </c>
      <c r="L1229" s="24" t="n">
        <f aca="false">DATE(YEAR(C1229),MONTH(C1229),1)</f>
        <v>43160</v>
      </c>
      <c r="M1229" s="21" t="n">
        <f aca="false">D1229-C1229</f>
        <v>16</v>
      </c>
      <c r="N1229" s="21" t="n">
        <f aca="false">MAX(0,D1229-E1229)</f>
        <v>0</v>
      </c>
      <c r="O1229" s="21" t="n">
        <f aca="false">IF(D1229&lt;=E1229,1,0)</f>
        <v>1</v>
      </c>
      <c r="P1229" s="23" t="n">
        <f aca="false">G1229+H1229</f>
        <v>165.1</v>
      </c>
      <c r="Q1229" s="23" t="n">
        <f aca="false">G1229*INDEX(Assumptions!$B$8:$B$16,MATCH(F1229,Assumptions!$A$8:$A$16,0))</f>
        <v>91.2384</v>
      </c>
      <c r="R1229" s="23" t="n">
        <f aca="false">H1229*Assumptions!$B$3</f>
        <v>13.524</v>
      </c>
      <c r="S1229" s="23" t="n">
        <f aca="false">G1229-Q1229-R1229</f>
        <v>37.7976</v>
      </c>
      <c r="T1229" s="21" t="str">
        <f aca="false">IF(M1229&lt;=7,"0-7 days",IF(M1229&lt;=14,"8-14 days",IF(M1229&lt;=21,"15-21 days","22+ days")))</f>
        <v>15-21 days</v>
      </c>
    </row>
    <row r="1230" customFormat="false" ht="15" hidden="false" customHeight="false" outlineLevel="0" collapsed="false">
      <c r="A1230" s="21" t="s">
        <v>1296</v>
      </c>
      <c r="B1230" s="21" t="s">
        <v>62</v>
      </c>
      <c r="C1230" s="22" t="n">
        <v>43189</v>
      </c>
      <c r="D1230" s="22" t="n">
        <v>43210</v>
      </c>
      <c r="E1230" s="22" t="n">
        <v>43208</v>
      </c>
      <c r="F1230" s="21" t="s">
        <v>53</v>
      </c>
      <c r="G1230" s="23" t="n">
        <v>144.34</v>
      </c>
      <c r="H1230" s="23" t="n">
        <v>30.46</v>
      </c>
      <c r="I1230" s="21" t="s">
        <v>60</v>
      </c>
      <c r="J1230" s="21" t="n">
        <v>2</v>
      </c>
      <c r="K1230" s="21" t="s">
        <v>46</v>
      </c>
      <c r="L1230" s="24" t="n">
        <f aca="false">DATE(YEAR(C1230),MONTH(C1230),1)</f>
        <v>43160</v>
      </c>
      <c r="M1230" s="21" t="n">
        <f aca="false">D1230-C1230</f>
        <v>21</v>
      </c>
      <c r="N1230" s="21" t="n">
        <f aca="false">MAX(0,D1230-E1230)</f>
        <v>2</v>
      </c>
      <c r="O1230" s="21" t="n">
        <f aca="false">IF(D1230&lt;=E1230,1,0)</f>
        <v>0</v>
      </c>
      <c r="P1230" s="23" t="n">
        <f aca="false">G1230+H1230</f>
        <v>174.8</v>
      </c>
      <c r="Q1230" s="23" t="n">
        <f aca="false">G1230*INDEX(Assumptions!$B$8:$B$16,MATCH(F1230,Assumptions!$A$8:$A$16,0))</f>
        <v>106.8116</v>
      </c>
      <c r="R1230" s="23" t="n">
        <f aca="false">H1230*Assumptions!$B$3</f>
        <v>18.276</v>
      </c>
      <c r="S1230" s="23" t="n">
        <f aca="false">G1230-Q1230-R1230</f>
        <v>19.2524</v>
      </c>
      <c r="T1230" s="21" t="str">
        <f aca="false">IF(M1230&lt;=7,"0-7 days",IF(M1230&lt;=14,"8-14 days",IF(M1230&lt;=21,"15-21 days","22+ days")))</f>
        <v>15-21 days</v>
      </c>
    </row>
    <row r="1231" customFormat="false" ht="15" hidden="false" customHeight="false" outlineLevel="0" collapsed="false">
      <c r="A1231" s="21" t="s">
        <v>1297</v>
      </c>
      <c r="B1231" s="21" t="s">
        <v>62</v>
      </c>
      <c r="C1231" s="22" t="n">
        <v>43190</v>
      </c>
      <c r="D1231" s="22" t="n">
        <v>43195</v>
      </c>
      <c r="E1231" s="22" t="n">
        <v>43211</v>
      </c>
      <c r="F1231" s="21" t="s">
        <v>111</v>
      </c>
      <c r="G1231" s="23" t="n">
        <v>164.02</v>
      </c>
      <c r="H1231" s="23" t="n">
        <v>19.23</v>
      </c>
      <c r="I1231" s="21" t="s">
        <v>45</v>
      </c>
      <c r="J1231" s="21" t="n">
        <v>4</v>
      </c>
      <c r="K1231" s="21" t="s">
        <v>46</v>
      </c>
      <c r="L1231" s="24" t="n">
        <f aca="false">DATE(YEAR(C1231),MONTH(C1231),1)</f>
        <v>43160</v>
      </c>
      <c r="M1231" s="21" t="n">
        <f aca="false">D1231-C1231</f>
        <v>5</v>
      </c>
      <c r="N1231" s="21" t="n">
        <f aca="false">MAX(0,D1231-E1231)</f>
        <v>0</v>
      </c>
      <c r="O1231" s="21" t="n">
        <f aca="false">IF(D1231&lt;=E1231,1,0)</f>
        <v>1</v>
      </c>
      <c r="P1231" s="23" t="n">
        <f aca="false">G1231+H1231</f>
        <v>183.25</v>
      </c>
      <c r="Q1231" s="23" t="n">
        <f aca="false">G1231*INDEX(Assumptions!$B$8:$B$16,MATCH(F1231,Assumptions!$A$8:$A$16,0))</f>
        <v>103.3326</v>
      </c>
      <c r="R1231" s="23" t="n">
        <f aca="false">H1231*Assumptions!$B$3</f>
        <v>11.538</v>
      </c>
      <c r="S1231" s="23" t="n">
        <f aca="false">G1231-Q1231-R1231</f>
        <v>49.1494</v>
      </c>
      <c r="T1231" s="21" t="str">
        <f aca="false">IF(M1231&lt;=7,"0-7 days",IF(M1231&lt;=14,"8-14 days",IF(M1231&lt;=21,"15-21 days","22+ days")))</f>
        <v>0-7 days</v>
      </c>
    </row>
    <row r="1232" customFormat="false" ht="15" hidden="false" customHeight="false" outlineLevel="0" collapsed="false">
      <c r="A1232" s="21" t="s">
        <v>1298</v>
      </c>
      <c r="B1232" s="21" t="s">
        <v>55</v>
      </c>
      <c r="C1232" s="22" t="n">
        <v>43190</v>
      </c>
      <c r="D1232" s="22" t="n">
        <v>43205</v>
      </c>
      <c r="E1232" s="22" t="n">
        <v>43213</v>
      </c>
      <c r="F1232" s="21" t="s">
        <v>49</v>
      </c>
      <c r="G1232" s="23" t="n">
        <v>91.54</v>
      </c>
      <c r="H1232" s="23" t="n">
        <v>16.53</v>
      </c>
      <c r="I1232" s="21" t="s">
        <v>45</v>
      </c>
      <c r="J1232" s="21" t="n">
        <v>3</v>
      </c>
      <c r="K1232" s="21" t="s">
        <v>46</v>
      </c>
      <c r="L1232" s="24" t="n">
        <f aca="false">DATE(YEAR(C1232),MONTH(C1232),1)</f>
        <v>43160</v>
      </c>
      <c r="M1232" s="21" t="n">
        <f aca="false">D1232-C1232</f>
        <v>15</v>
      </c>
      <c r="N1232" s="21" t="n">
        <f aca="false">MAX(0,D1232-E1232)</f>
        <v>0</v>
      </c>
      <c r="O1232" s="21" t="n">
        <f aca="false">IF(D1232&lt;=E1232,1,0)</f>
        <v>1</v>
      </c>
      <c r="P1232" s="23" t="n">
        <f aca="false">G1232+H1232</f>
        <v>108.07</v>
      </c>
      <c r="Q1232" s="23" t="n">
        <f aca="false">G1232*INDEX(Assumptions!$B$8:$B$16,MATCH(F1232,Assumptions!$A$8:$A$16,0))</f>
        <v>53.0932</v>
      </c>
      <c r="R1232" s="23" t="n">
        <f aca="false">H1232*Assumptions!$B$3</f>
        <v>9.918</v>
      </c>
      <c r="S1232" s="23" t="n">
        <f aca="false">G1232-Q1232-R1232</f>
        <v>28.5288</v>
      </c>
      <c r="T1232" s="21" t="str">
        <f aca="false">IF(M1232&lt;=7,"0-7 days",IF(M1232&lt;=14,"8-14 days",IF(M1232&lt;=21,"15-21 days","22+ days")))</f>
        <v>15-21 days</v>
      </c>
    </row>
    <row r="1233" customFormat="false" ht="15" hidden="false" customHeight="false" outlineLevel="0" collapsed="false">
      <c r="A1233" s="21" t="s">
        <v>1299</v>
      </c>
      <c r="B1233" s="21" t="s">
        <v>48</v>
      </c>
      <c r="C1233" s="22" t="n">
        <v>43190</v>
      </c>
      <c r="D1233" s="22" t="n">
        <v>43209</v>
      </c>
      <c r="E1233" s="22" t="n">
        <v>43214</v>
      </c>
      <c r="F1233" s="21" t="s">
        <v>79</v>
      </c>
      <c r="G1233" s="23" t="n">
        <v>130.58</v>
      </c>
      <c r="H1233" s="23" t="n">
        <v>23.88</v>
      </c>
      <c r="I1233" s="21" t="s">
        <v>60</v>
      </c>
      <c r="J1233" s="21" t="n">
        <v>3</v>
      </c>
      <c r="K1233" s="21" t="s">
        <v>46</v>
      </c>
      <c r="L1233" s="24" t="n">
        <f aca="false">DATE(YEAR(C1233),MONTH(C1233),1)</f>
        <v>43160</v>
      </c>
      <c r="M1233" s="21" t="n">
        <f aca="false">D1233-C1233</f>
        <v>19</v>
      </c>
      <c r="N1233" s="21" t="n">
        <f aca="false">MAX(0,D1233-E1233)</f>
        <v>0</v>
      </c>
      <c r="O1233" s="21" t="n">
        <f aca="false">IF(D1233&lt;=E1233,1,0)</f>
        <v>1</v>
      </c>
      <c r="P1233" s="23" t="n">
        <f aca="false">G1233+H1233</f>
        <v>154.46</v>
      </c>
      <c r="Q1233" s="23" t="n">
        <f aca="false">G1233*INDEX(Assumptions!$B$8:$B$16,MATCH(F1233,Assumptions!$A$8:$A$16,0))</f>
        <v>91.406</v>
      </c>
      <c r="R1233" s="23" t="n">
        <f aca="false">H1233*Assumptions!$B$3</f>
        <v>14.328</v>
      </c>
      <c r="S1233" s="23" t="n">
        <f aca="false">G1233-Q1233-R1233</f>
        <v>24.846</v>
      </c>
      <c r="T1233" s="21" t="str">
        <f aca="false">IF(M1233&lt;=7,"0-7 days",IF(M1233&lt;=14,"8-14 days",IF(M1233&lt;=21,"15-21 days","22+ days")))</f>
        <v>15-21 days</v>
      </c>
    </row>
    <row r="1234" customFormat="false" ht="15" hidden="false" customHeight="false" outlineLevel="0" collapsed="false">
      <c r="A1234" s="21" t="s">
        <v>1300</v>
      </c>
      <c r="B1234" s="21" t="s">
        <v>55</v>
      </c>
      <c r="C1234" s="22" t="n">
        <v>43190</v>
      </c>
      <c r="D1234" s="22" t="n">
        <v>43202</v>
      </c>
      <c r="E1234" s="22" t="n">
        <v>43216</v>
      </c>
      <c r="F1234" s="21" t="s">
        <v>111</v>
      </c>
      <c r="G1234" s="23" t="n">
        <v>54.93</v>
      </c>
      <c r="H1234" s="23" t="n">
        <v>19.65</v>
      </c>
      <c r="I1234" s="21" t="s">
        <v>45</v>
      </c>
      <c r="J1234" s="21" t="n">
        <v>4</v>
      </c>
      <c r="K1234" s="21" t="s">
        <v>46</v>
      </c>
      <c r="L1234" s="24" t="n">
        <f aca="false">DATE(YEAR(C1234),MONTH(C1234),1)</f>
        <v>43160</v>
      </c>
      <c r="M1234" s="21" t="n">
        <f aca="false">D1234-C1234</f>
        <v>12</v>
      </c>
      <c r="N1234" s="21" t="n">
        <f aca="false">MAX(0,D1234-E1234)</f>
        <v>0</v>
      </c>
      <c r="O1234" s="21" t="n">
        <f aca="false">IF(D1234&lt;=E1234,1,0)</f>
        <v>1</v>
      </c>
      <c r="P1234" s="23" t="n">
        <f aca="false">G1234+H1234</f>
        <v>74.58</v>
      </c>
      <c r="Q1234" s="23" t="n">
        <f aca="false">G1234*INDEX(Assumptions!$B$8:$B$16,MATCH(F1234,Assumptions!$A$8:$A$16,0))</f>
        <v>34.6059</v>
      </c>
      <c r="R1234" s="23" t="n">
        <f aca="false">H1234*Assumptions!$B$3</f>
        <v>11.79</v>
      </c>
      <c r="S1234" s="23" t="n">
        <f aca="false">G1234-Q1234-R1234</f>
        <v>8.5341</v>
      </c>
      <c r="T1234" s="21" t="str">
        <f aca="false">IF(M1234&lt;=7,"0-7 days",IF(M1234&lt;=14,"8-14 days",IF(M1234&lt;=21,"15-21 days","22+ days")))</f>
        <v>8-14 days</v>
      </c>
    </row>
    <row r="1235" customFormat="false" ht="15" hidden="false" customHeight="false" outlineLevel="0" collapsed="false">
      <c r="A1235" s="21" t="s">
        <v>1301</v>
      </c>
      <c r="B1235" s="21" t="s">
        <v>55</v>
      </c>
      <c r="C1235" s="22" t="n">
        <v>43190</v>
      </c>
      <c r="D1235" s="22" t="n">
        <v>43204</v>
      </c>
      <c r="E1235" s="22" t="n">
        <v>43215</v>
      </c>
      <c r="F1235" s="21" t="s">
        <v>79</v>
      </c>
      <c r="G1235" s="23" t="n">
        <v>151.97</v>
      </c>
      <c r="H1235" s="23" t="n">
        <v>28.43</v>
      </c>
      <c r="I1235" s="21" t="s">
        <v>45</v>
      </c>
      <c r="J1235" s="21" t="n">
        <v>4</v>
      </c>
      <c r="K1235" s="21" t="s">
        <v>46</v>
      </c>
      <c r="L1235" s="24" t="n">
        <f aca="false">DATE(YEAR(C1235),MONTH(C1235),1)</f>
        <v>43160</v>
      </c>
      <c r="M1235" s="21" t="n">
        <f aca="false">D1235-C1235</f>
        <v>14</v>
      </c>
      <c r="N1235" s="21" t="n">
        <f aca="false">MAX(0,D1235-E1235)</f>
        <v>0</v>
      </c>
      <c r="O1235" s="21" t="n">
        <f aca="false">IF(D1235&lt;=E1235,1,0)</f>
        <v>1</v>
      </c>
      <c r="P1235" s="23" t="n">
        <f aca="false">G1235+H1235</f>
        <v>180.4</v>
      </c>
      <c r="Q1235" s="23" t="n">
        <f aca="false">G1235*INDEX(Assumptions!$B$8:$B$16,MATCH(F1235,Assumptions!$A$8:$A$16,0))</f>
        <v>106.379</v>
      </c>
      <c r="R1235" s="23" t="n">
        <f aca="false">H1235*Assumptions!$B$3</f>
        <v>17.058</v>
      </c>
      <c r="S1235" s="23" t="n">
        <f aca="false">G1235-Q1235-R1235</f>
        <v>28.533</v>
      </c>
      <c r="T1235" s="21" t="str">
        <f aca="false">IF(M1235&lt;=7,"0-7 days",IF(M1235&lt;=14,"8-14 days",IF(M1235&lt;=21,"15-21 days","22+ days")))</f>
        <v>8-14 days</v>
      </c>
    </row>
    <row r="1236" customFormat="false" ht="15" hidden="false" customHeight="false" outlineLevel="0" collapsed="false">
      <c r="A1236" s="21" t="s">
        <v>1302</v>
      </c>
      <c r="B1236" s="21" t="s">
        <v>55</v>
      </c>
      <c r="C1236" s="22" t="n">
        <v>43190</v>
      </c>
      <c r="D1236" s="22" t="n">
        <v>43204</v>
      </c>
      <c r="E1236" s="22" t="n">
        <v>43214</v>
      </c>
      <c r="F1236" s="21" t="s">
        <v>67</v>
      </c>
      <c r="G1236" s="23" t="n">
        <v>86.49</v>
      </c>
      <c r="H1236" s="23" t="n">
        <v>29.56</v>
      </c>
      <c r="I1236" s="21" t="s">
        <v>45</v>
      </c>
      <c r="J1236" s="21" t="n">
        <v>3</v>
      </c>
      <c r="K1236" s="21" t="s">
        <v>46</v>
      </c>
      <c r="L1236" s="24" t="n">
        <f aca="false">DATE(YEAR(C1236),MONTH(C1236),1)</f>
        <v>43160</v>
      </c>
      <c r="M1236" s="21" t="n">
        <f aca="false">D1236-C1236</f>
        <v>14</v>
      </c>
      <c r="N1236" s="21" t="n">
        <f aca="false">MAX(0,D1236-E1236)</f>
        <v>0</v>
      </c>
      <c r="O1236" s="21" t="n">
        <f aca="false">IF(D1236&lt;=E1236,1,0)</f>
        <v>1</v>
      </c>
      <c r="P1236" s="23" t="n">
        <f aca="false">G1236+H1236</f>
        <v>116.05</v>
      </c>
      <c r="Q1236" s="23" t="n">
        <f aca="false">G1236*INDEX(Assumptions!$B$8:$B$16,MATCH(F1236,Assumptions!$A$8:$A$16,0))</f>
        <v>53.6238</v>
      </c>
      <c r="R1236" s="23" t="n">
        <f aca="false">H1236*Assumptions!$B$3</f>
        <v>17.736</v>
      </c>
      <c r="S1236" s="23" t="n">
        <f aca="false">G1236-Q1236-R1236</f>
        <v>15.1302</v>
      </c>
      <c r="T1236" s="21" t="str">
        <f aca="false">IF(M1236&lt;=7,"0-7 days",IF(M1236&lt;=14,"8-14 days",IF(M1236&lt;=21,"15-21 days","22+ days")))</f>
        <v>8-14 days</v>
      </c>
    </row>
    <row r="1237" customFormat="false" ht="15" hidden="false" customHeight="false" outlineLevel="0" collapsed="false">
      <c r="A1237" s="21" t="s">
        <v>1303</v>
      </c>
      <c r="B1237" s="21" t="s">
        <v>19</v>
      </c>
      <c r="C1237" s="22" t="n">
        <v>43191</v>
      </c>
      <c r="D1237" s="22" t="n">
        <v>43195</v>
      </c>
      <c r="E1237" s="22" t="n">
        <v>43208</v>
      </c>
      <c r="F1237" s="21" t="s">
        <v>79</v>
      </c>
      <c r="G1237" s="23" t="n">
        <v>121.49</v>
      </c>
      <c r="H1237" s="23" t="n">
        <v>14.65</v>
      </c>
      <c r="I1237" s="21" t="s">
        <v>45</v>
      </c>
      <c r="J1237" s="21" t="n">
        <v>4</v>
      </c>
      <c r="K1237" s="21" t="s">
        <v>46</v>
      </c>
      <c r="L1237" s="24" t="n">
        <f aca="false">DATE(YEAR(C1237),MONTH(C1237),1)</f>
        <v>43191</v>
      </c>
      <c r="M1237" s="21" t="n">
        <f aca="false">D1237-C1237</f>
        <v>4</v>
      </c>
      <c r="N1237" s="21" t="n">
        <f aca="false">MAX(0,D1237-E1237)</f>
        <v>0</v>
      </c>
      <c r="O1237" s="21" t="n">
        <f aca="false">IF(D1237&lt;=E1237,1,0)</f>
        <v>1</v>
      </c>
      <c r="P1237" s="23" t="n">
        <f aca="false">G1237+H1237</f>
        <v>136.14</v>
      </c>
      <c r="Q1237" s="23" t="n">
        <f aca="false">G1237*INDEX(Assumptions!$B$8:$B$16,MATCH(F1237,Assumptions!$A$8:$A$16,0))</f>
        <v>85.043</v>
      </c>
      <c r="R1237" s="23" t="n">
        <f aca="false">H1237*Assumptions!$B$3</f>
        <v>8.79</v>
      </c>
      <c r="S1237" s="23" t="n">
        <f aca="false">G1237-Q1237-R1237</f>
        <v>27.657</v>
      </c>
      <c r="T1237" s="21" t="str">
        <f aca="false">IF(M1237&lt;=7,"0-7 days",IF(M1237&lt;=14,"8-14 days",IF(M1237&lt;=21,"15-21 days","22+ days")))</f>
        <v>0-7 days</v>
      </c>
    </row>
    <row r="1238" customFormat="false" ht="15" hidden="false" customHeight="false" outlineLevel="0" collapsed="false">
      <c r="A1238" s="21" t="s">
        <v>1304</v>
      </c>
      <c r="B1238" s="21" t="s">
        <v>93</v>
      </c>
      <c r="C1238" s="22" t="n">
        <v>43191</v>
      </c>
      <c r="D1238" s="22" t="n">
        <v>43201</v>
      </c>
      <c r="E1238" s="22" t="n">
        <v>43220</v>
      </c>
      <c r="F1238" s="21" t="s">
        <v>67</v>
      </c>
      <c r="G1238" s="23" t="n">
        <v>230.34</v>
      </c>
      <c r="H1238" s="23" t="n">
        <v>33.14</v>
      </c>
      <c r="I1238" s="21" t="s">
        <v>45</v>
      </c>
      <c r="J1238" s="21" t="n">
        <v>5</v>
      </c>
      <c r="K1238" s="21" t="s">
        <v>46</v>
      </c>
      <c r="L1238" s="24" t="n">
        <f aca="false">DATE(YEAR(C1238),MONTH(C1238),1)</f>
        <v>43191</v>
      </c>
      <c r="M1238" s="21" t="n">
        <f aca="false">D1238-C1238</f>
        <v>10</v>
      </c>
      <c r="N1238" s="21" t="n">
        <f aca="false">MAX(0,D1238-E1238)</f>
        <v>0</v>
      </c>
      <c r="O1238" s="21" t="n">
        <f aca="false">IF(D1238&lt;=E1238,1,0)</f>
        <v>1</v>
      </c>
      <c r="P1238" s="23" t="n">
        <f aca="false">G1238+H1238</f>
        <v>263.48</v>
      </c>
      <c r="Q1238" s="23" t="n">
        <f aca="false">G1238*INDEX(Assumptions!$B$8:$B$16,MATCH(F1238,Assumptions!$A$8:$A$16,0))</f>
        <v>142.8108</v>
      </c>
      <c r="R1238" s="23" t="n">
        <f aca="false">H1238*Assumptions!$B$3</f>
        <v>19.884</v>
      </c>
      <c r="S1238" s="23" t="n">
        <f aca="false">G1238-Q1238-R1238</f>
        <v>67.6452</v>
      </c>
      <c r="T1238" s="21" t="str">
        <f aca="false">IF(M1238&lt;=7,"0-7 days",IF(M1238&lt;=14,"8-14 days",IF(M1238&lt;=21,"15-21 days","22+ days")))</f>
        <v>8-14 days</v>
      </c>
    </row>
    <row r="1239" customFormat="false" ht="15" hidden="false" customHeight="false" outlineLevel="0" collapsed="false">
      <c r="A1239" s="21" t="s">
        <v>1305</v>
      </c>
      <c r="B1239" s="21" t="s">
        <v>62</v>
      </c>
      <c r="C1239" s="22" t="n">
        <v>43191</v>
      </c>
      <c r="D1239" s="22" t="n">
        <v>43209</v>
      </c>
      <c r="E1239" s="22" t="n">
        <v>43210</v>
      </c>
      <c r="F1239" s="21" t="s">
        <v>67</v>
      </c>
      <c r="G1239" s="23" t="n">
        <v>71.31</v>
      </c>
      <c r="H1239" s="23" t="n">
        <v>23.29</v>
      </c>
      <c r="I1239" s="21" t="s">
        <v>60</v>
      </c>
      <c r="J1239" s="21" t="n">
        <v>2</v>
      </c>
      <c r="K1239" s="21" t="s">
        <v>46</v>
      </c>
      <c r="L1239" s="24" t="n">
        <f aca="false">DATE(YEAR(C1239),MONTH(C1239),1)</f>
        <v>43191</v>
      </c>
      <c r="M1239" s="21" t="n">
        <f aca="false">D1239-C1239</f>
        <v>18</v>
      </c>
      <c r="N1239" s="21" t="n">
        <f aca="false">MAX(0,D1239-E1239)</f>
        <v>0</v>
      </c>
      <c r="O1239" s="21" t="n">
        <f aca="false">IF(D1239&lt;=E1239,1,0)</f>
        <v>1</v>
      </c>
      <c r="P1239" s="23" t="n">
        <f aca="false">G1239+H1239</f>
        <v>94.6</v>
      </c>
      <c r="Q1239" s="23" t="n">
        <f aca="false">G1239*INDEX(Assumptions!$B$8:$B$16,MATCH(F1239,Assumptions!$A$8:$A$16,0))</f>
        <v>44.2122</v>
      </c>
      <c r="R1239" s="23" t="n">
        <f aca="false">H1239*Assumptions!$B$3</f>
        <v>13.974</v>
      </c>
      <c r="S1239" s="23" t="n">
        <f aca="false">G1239-Q1239-R1239</f>
        <v>13.1238</v>
      </c>
      <c r="T1239" s="21" t="str">
        <f aca="false">IF(M1239&lt;=7,"0-7 days",IF(M1239&lt;=14,"8-14 days",IF(M1239&lt;=21,"15-21 days","22+ days")))</f>
        <v>15-21 days</v>
      </c>
    </row>
    <row r="1240" customFormat="false" ht="15" hidden="false" customHeight="false" outlineLevel="0" collapsed="false">
      <c r="A1240" s="21" t="s">
        <v>1306</v>
      </c>
      <c r="B1240" s="21" t="s">
        <v>103</v>
      </c>
      <c r="C1240" s="22" t="n">
        <v>43191</v>
      </c>
      <c r="D1240" s="22" t="n">
        <v>43202</v>
      </c>
      <c r="E1240" s="22" t="n">
        <v>43215</v>
      </c>
      <c r="F1240" s="21" t="s">
        <v>64</v>
      </c>
      <c r="G1240" s="23" t="n">
        <v>300.4</v>
      </c>
      <c r="H1240" s="23" t="n">
        <v>30.81</v>
      </c>
      <c r="I1240" s="21" t="s">
        <v>45</v>
      </c>
      <c r="J1240" s="21" t="n">
        <v>5</v>
      </c>
      <c r="K1240" s="21" t="s">
        <v>46</v>
      </c>
      <c r="L1240" s="24" t="n">
        <f aca="false">DATE(YEAR(C1240),MONTH(C1240),1)</f>
        <v>43191</v>
      </c>
      <c r="M1240" s="21" t="n">
        <f aca="false">D1240-C1240</f>
        <v>11</v>
      </c>
      <c r="N1240" s="21" t="n">
        <f aca="false">MAX(0,D1240-E1240)</f>
        <v>0</v>
      </c>
      <c r="O1240" s="21" t="n">
        <f aca="false">IF(D1240&lt;=E1240,1,0)</f>
        <v>1</v>
      </c>
      <c r="P1240" s="23" t="n">
        <f aca="false">G1240+H1240</f>
        <v>331.21</v>
      </c>
      <c r="Q1240" s="23" t="n">
        <f aca="false">G1240*INDEX(Assumptions!$B$8:$B$16,MATCH(F1240,Assumptions!$A$8:$A$16,0))</f>
        <v>198.264</v>
      </c>
      <c r="R1240" s="23" t="n">
        <f aca="false">H1240*Assumptions!$B$3</f>
        <v>18.486</v>
      </c>
      <c r="S1240" s="23" t="n">
        <f aca="false">G1240-Q1240-R1240</f>
        <v>83.65</v>
      </c>
      <c r="T1240" s="21" t="str">
        <f aca="false">IF(M1240&lt;=7,"0-7 days",IF(M1240&lt;=14,"8-14 days",IF(M1240&lt;=21,"15-21 days","22+ days")))</f>
        <v>8-14 days</v>
      </c>
    </row>
    <row r="1241" customFormat="false" ht="15" hidden="false" customHeight="false" outlineLevel="0" collapsed="false">
      <c r="A1241" s="21" t="s">
        <v>1307</v>
      </c>
      <c r="B1241" s="21" t="s">
        <v>19</v>
      </c>
      <c r="C1241" s="22" t="n">
        <v>43192</v>
      </c>
      <c r="D1241" s="22" t="n">
        <v>43198</v>
      </c>
      <c r="E1241" s="22" t="n">
        <v>43205</v>
      </c>
      <c r="F1241" s="21" t="s">
        <v>53</v>
      </c>
      <c r="G1241" s="23" t="n">
        <v>44.63</v>
      </c>
      <c r="H1241" s="23" t="n">
        <v>14.72</v>
      </c>
      <c r="I1241" s="21" t="s">
        <v>45</v>
      </c>
      <c r="J1241" s="21" t="n">
        <v>4</v>
      </c>
      <c r="K1241" s="21" t="s">
        <v>46</v>
      </c>
      <c r="L1241" s="24" t="n">
        <f aca="false">DATE(YEAR(C1241),MONTH(C1241),1)</f>
        <v>43191</v>
      </c>
      <c r="M1241" s="21" t="n">
        <f aca="false">D1241-C1241</f>
        <v>6</v>
      </c>
      <c r="N1241" s="21" t="n">
        <f aca="false">MAX(0,D1241-E1241)</f>
        <v>0</v>
      </c>
      <c r="O1241" s="21" t="n">
        <f aca="false">IF(D1241&lt;=E1241,1,0)</f>
        <v>1</v>
      </c>
      <c r="P1241" s="23" t="n">
        <f aca="false">G1241+H1241</f>
        <v>59.35</v>
      </c>
      <c r="Q1241" s="23" t="n">
        <f aca="false">G1241*INDEX(Assumptions!$B$8:$B$16,MATCH(F1241,Assumptions!$A$8:$A$16,0))</f>
        <v>33.0262</v>
      </c>
      <c r="R1241" s="23" t="n">
        <f aca="false">H1241*Assumptions!$B$3</f>
        <v>8.832</v>
      </c>
      <c r="S1241" s="23" t="n">
        <f aca="false">G1241-Q1241-R1241</f>
        <v>2.7718</v>
      </c>
      <c r="T1241" s="21" t="str">
        <f aca="false">IF(M1241&lt;=7,"0-7 days",IF(M1241&lt;=14,"8-14 days",IF(M1241&lt;=21,"15-21 days","22+ days")))</f>
        <v>0-7 days</v>
      </c>
    </row>
    <row r="1242" customFormat="false" ht="15" hidden="false" customHeight="false" outlineLevel="0" collapsed="false">
      <c r="A1242" s="21" t="s">
        <v>1308</v>
      </c>
      <c r="B1242" s="21" t="s">
        <v>19</v>
      </c>
      <c r="C1242" s="22" t="n">
        <v>43192</v>
      </c>
      <c r="D1242" s="22" t="n">
        <v>43201</v>
      </c>
      <c r="E1242" s="22" t="n">
        <v>43208</v>
      </c>
      <c r="F1242" s="21" t="s">
        <v>64</v>
      </c>
      <c r="G1242" s="23" t="n">
        <v>61.64</v>
      </c>
      <c r="H1242" s="23" t="n">
        <v>21.49</v>
      </c>
      <c r="I1242" s="21" t="s">
        <v>60</v>
      </c>
      <c r="J1242" s="21" t="n">
        <v>5</v>
      </c>
      <c r="K1242" s="21" t="s">
        <v>46</v>
      </c>
      <c r="L1242" s="24" t="n">
        <f aca="false">DATE(YEAR(C1242),MONTH(C1242),1)</f>
        <v>43191</v>
      </c>
      <c r="M1242" s="21" t="n">
        <f aca="false">D1242-C1242</f>
        <v>9</v>
      </c>
      <c r="N1242" s="21" t="n">
        <f aca="false">MAX(0,D1242-E1242)</f>
        <v>0</v>
      </c>
      <c r="O1242" s="21" t="n">
        <f aca="false">IF(D1242&lt;=E1242,1,0)</f>
        <v>1</v>
      </c>
      <c r="P1242" s="23" t="n">
        <f aca="false">G1242+H1242</f>
        <v>83.13</v>
      </c>
      <c r="Q1242" s="23" t="n">
        <f aca="false">G1242*INDEX(Assumptions!$B$8:$B$16,MATCH(F1242,Assumptions!$A$8:$A$16,0))</f>
        <v>40.6824</v>
      </c>
      <c r="R1242" s="23" t="n">
        <f aca="false">H1242*Assumptions!$B$3</f>
        <v>12.894</v>
      </c>
      <c r="S1242" s="23" t="n">
        <f aca="false">G1242-Q1242-R1242</f>
        <v>8.0636</v>
      </c>
      <c r="T1242" s="21" t="str">
        <f aca="false">IF(M1242&lt;=7,"0-7 days",IF(M1242&lt;=14,"8-14 days",IF(M1242&lt;=21,"15-21 days","22+ days")))</f>
        <v>8-14 days</v>
      </c>
    </row>
    <row r="1243" customFormat="false" ht="15" hidden="false" customHeight="false" outlineLevel="0" collapsed="false">
      <c r="A1243" s="21" t="s">
        <v>1309</v>
      </c>
      <c r="B1243" s="21" t="s">
        <v>103</v>
      </c>
      <c r="C1243" s="22" t="n">
        <v>43192</v>
      </c>
      <c r="D1243" s="22" t="n">
        <v>43202</v>
      </c>
      <c r="E1243" s="22" t="n">
        <v>43212</v>
      </c>
      <c r="F1243" s="21" t="s">
        <v>67</v>
      </c>
      <c r="G1243" s="23" t="n">
        <v>60.8</v>
      </c>
      <c r="H1243" s="23" t="n">
        <v>22.66</v>
      </c>
      <c r="I1243" s="21" t="s">
        <v>45</v>
      </c>
      <c r="J1243" s="21" t="n">
        <v>5</v>
      </c>
      <c r="K1243" s="21" t="s">
        <v>46</v>
      </c>
      <c r="L1243" s="24" t="n">
        <f aca="false">DATE(YEAR(C1243),MONTH(C1243),1)</f>
        <v>43191</v>
      </c>
      <c r="M1243" s="21" t="n">
        <f aca="false">D1243-C1243</f>
        <v>10</v>
      </c>
      <c r="N1243" s="21" t="n">
        <f aca="false">MAX(0,D1243-E1243)</f>
        <v>0</v>
      </c>
      <c r="O1243" s="21" t="n">
        <f aca="false">IF(D1243&lt;=E1243,1,0)</f>
        <v>1</v>
      </c>
      <c r="P1243" s="23" t="n">
        <f aca="false">G1243+H1243</f>
        <v>83.46</v>
      </c>
      <c r="Q1243" s="23" t="n">
        <f aca="false">G1243*INDEX(Assumptions!$B$8:$B$16,MATCH(F1243,Assumptions!$A$8:$A$16,0))</f>
        <v>37.696</v>
      </c>
      <c r="R1243" s="23" t="n">
        <f aca="false">H1243*Assumptions!$B$3</f>
        <v>13.596</v>
      </c>
      <c r="S1243" s="23" t="n">
        <f aca="false">G1243-Q1243-R1243</f>
        <v>9.508</v>
      </c>
      <c r="T1243" s="21" t="str">
        <f aca="false">IF(M1243&lt;=7,"0-7 days",IF(M1243&lt;=14,"8-14 days",IF(M1243&lt;=21,"15-21 days","22+ days")))</f>
        <v>8-14 days</v>
      </c>
    </row>
    <row r="1244" customFormat="false" ht="15" hidden="false" customHeight="false" outlineLevel="0" collapsed="false">
      <c r="A1244" s="21" t="s">
        <v>1310</v>
      </c>
      <c r="B1244" s="21" t="s">
        <v>48</v>
      </c>
      <c r="C1244" s="22" t="n">
        <v>43193</v>
      </c>
      <c r="D1244" s="22" t="n">
        <v>43208</v>
      </c>
      <c r="E1244" s="22" t="n">
        <v>43212</v>
      </c>
      <c r="F1244" s="21" t="s">
        <v>67</v>
      </c>
      <c r="G1244" s="23" t="n">
        <v>93.9</v>
      </c>
      <c r="H1244" s="23" t="n">
        <v>19.07</v>
      </c>
      <c r="I1244" s="21" t="s">
        <v>45</v>
      </c>
      <c r="J1244" s="21" t="n">
        <v>5</v>
      </c>
      <c r="K1244" s="21" t="s">
        <v>46</v>
      </c>
      <c r="L1244" s="24" t="n">
        <f aca="false">DATE(YEAR(C1244),MONTH(C1244),1)</f>
        <v>43191</v>
      </c>
      <c r="M1244" s="21" t="n">
        <f aca="false">D1244-C1244</f>
        <v>15</v>
      </c>
      <c r="N1244" s="21" t="n">
        <f aca="false">MAX(0,D1244-E1244)</f>
        <v>0</v>
      </c>
      <c r="O1244" s="21" t="n">
        <f aca="false">IF(D1244&lt;=E1244,1,0)</f>
        <v>1</v>
      </c>
      <c r="P1244" s="23" t="n">
        <f aca="false">G1244+H1244</f>
        <v>112.97</v>
      </c>
      <c r="Q1244" s="23" t="n">
        <f aca="false">G1244*INDEX(Assumptions!$B$8:$B$16,MATCH(F1244,Assumptions!$A$8:$A$16,0))</f>
        <v>58.218</v>
      </c>
      <c r="R1244" s="23" t="n">
        <f aca="false">H1244*Assumptions!$B$3</f>
        <v>11.442</v>
      </c>
      <c r="S1244" s="23" t="n">
        <f aca="false">G1244-Q1244-R1244</f>
        <v>24.24</v>
      </c>
      <c r="T1244" s="21" t="str">
        <f aca="false">IF(M1244&lt;=7,"0-7 days",IF(M1244&lt;=14,"8-14 days",IF(M1244&lt;=21,"15-21 days","22+ days")))</f>
        <v>15-21 days</v>
      </c>
    </row>
    <row r="1245" customFormat="false" ht="15" hidden="false" customHeight="false" outlineLevel="0" collapsed="false">
      <c r="A1245" s="21" t="s">
        <v>1311</v>
      </c>
      <c r="B1245" s="21" t="s">
        <v>55</v>
      </c>
      <c r="C1245" s="22" t="n">
        <v>43193</v>
      </c>
      <c r="D1245" s="22" t="n">
        <v>43218</v>
      </c>
      <c r="E1245" s="22" t="n">
        <v>43215</v>
      </c>
      <c r="F1245" s="21" t="s">
        <v>79</v>
      </c>
      <c r="G1245" s="23" t="n">
        <v>65.13</v>
      </c>
      <c r="H1245" s="23" t="n">
        <v>22.29</v>
      </c>
      <c r="I1245" s="21" t="s">
        <v>45</v>
      </c>
      <c r="J1245" s="21" t="n">
        <v>3</v>
      </c>
      <c r="K1245" s="21" t="s">
        <v>46</v>
      </c>
      <c r="L1245" s="24" t="n">
        <f aca="false">DATE(YEAR(C1245),MONTH(C1245),1)</f>
        <v>43191</v>
      </c>
      <c r="M1245" s="21" t="n">
        <f aca="false">D1245-C1245</f>
        <v>25</v>
      </c>
      <c r="N1245" s="21" t="n">
        <f aca="false">MAX(0,D1245-E1245)</f>
        <v>3</v>
      </c>
      <c r="O1245" s="21" t="n">
        <f aca="false">IF(D1245&lt;=E1245,1,0)</f>
        <v>0</v>
      </c>
      <c r="P1245" s="23" t="n">
        <f aca="false">G1245+H1245</f>
        <v>87.42</v>
      </c>
      <c r="Q1245" s="23" t="n">
        <f aca="false">G1245*INDEX(Assumptions!$B$8:$B$16,MATCH(F1245,Assumptions!$A$8:$A$16,0))</f>
        <v>45.591</v>
      </c>
      <c r="R1245" s="23" t="n">
        <f aca="false">H1245*Assumptions!$B$3</f>
        <v>13.374</v>
      </c>
      <c r="S1245" s="23" t="n">
        <f aca="false">G1245-Q1245-R1245</f>
        <v>6.165</v>
      </c>
      <c r="T1245" s="21" t="str">
        <f aca="false">IF(M1245&lt;=7,"0-7 days",IF(M1245&lt;=14,"8-14 days",IF(M1245&lt;=21,"15-21 days","22+ days")))</f>
        <v>22+ days</v>
      </c>
    </row>
    <row r="1246" customFormat="false" ht="15" hidden="false" customHeight="false" outlineLevel="0" collapsed="false">
      <c r="A1246" s="21" t="s">
        <v>1312</v>
      </c>
      <c r="B1246" s="21" t="s">
        <v>19</v>
      </c>
      <c r="C1246" s="22" t="n">
        <v>43193</v>
      </c>
      <c r="D1246" s="22" t="n">
        <v>43206</v>
      </c>
      <c r="E1246" s="22" t="n">
        <v>43208</v>
      </c>
      <c r="F1246" s="21" t="s">
        <v>67</v>
      </c>
      <c r="G1246" s="23" t="n">
        <v>123.36</v>
      </c>
      <c r="H1246" s="23" t="n">
        <v>18.14</v>
      </c>
      <c r="I1246" s="21" t="s">
        <v>45</v>
      </c>
      <c r="J1246" s="21" t="n">
        <v>5</v>
      </c>
      <c r="K1246" s="21" t="s">
        <v>46</v>
      </c>
      <c r="L1246" s="24" t="n">
        <f aca="false">DATE(YEAR(C1246),MONTH(C1246),1)</f>
        <v>43191</v>
      </c>
      <c r="M1246" s="21" t="n">
        <f aca="false">D1246-C1246</f>
        <v>13</v>
      </c>
      <c r="N1246" s="21" t="n">
        <f aca="false">MAX(0,D1246-E1246)</f>
        <v>0</v>
      </c>
      <c r="O1246" s="21" t="n">
        <f aca="false">IF(D1246&lt;=E1246,1,0)</f>
        <v>1</v>
      </c>
      <c r="P1246" s="23" t="n">
        <f aca="false">G1246+H1246</f>
        <v>141.5</v>
      </c>
      <c r="Q1246" s="23" t="n">
        <f aca="false">G1246*INDEX(Assumptions!$B$8:$B$16,MATCH(F1246,Assumptions!$A$8:$A$16,0))</f>
        <v>76.4832</v>
      </c>
      <c r="R1246" s="23" t="n">
        <f aca="false">H1246*Assumptions!$B$3</f>
        <v>10.884</v>
      </c>
      <c r="S1246" s="23" t="n">
        <f aca="false">G1246-Q1246-R1246</f>
        <v>35.9928</v>
      </c>
      <c r="T1246" s="21" t="str">
        <f aca="false">IF(M1246&lt;=7,"0-7 days",IF(M1246&lt;=14,"8-14 days",IF(M1246&lt;=21,"15-21 days","22+ days")))</f>
        <v>8-14 days</v>
      </c>
    </row>
    <row r="1247" customFormat="false" ht="15" hidden="false" customHeight="false" outlineLevel="0" collapsed="false">
      <c r="A1247" s="21" t="s">
        <v>1313</v>
      </c>
      <c r="B1247" s="21" t="s">
        <v>19</v>
      </c>
      <c r="C1247" s="22" t="n">
        <v>43193</v>
      </c>
      <c r="D1247" s="22" t="n">
        <v>43200</v>
      </c>
      <c r="E1247" s="22" t="n">
        <v>43207</v>
      </c>
      <c r="F1247" s="21" t="s">
        <v>59</v>
      </c>
      <c r="G1247" s="23" t="n">
        <v>76.85</v>
      </c>
      <c r="H1247" s="23" t="n">
        <v>20.17</v>
      </c>
      <c r="I1247" s="21" t="s">
        <v>45</v>
      </c>
      <c r="J1247" s="21" t="n">
        <v>5</v>
      </c>
      <c r="K1247" s="21" t="s">
        <v>46</v>
      </c>
      <c r="L1247" s="24" t="n">
        <f aca="false">DATE(YEAR(C1247),MONTH(C1247),1)</f>
        <v>43191</v>
      </c>
      <c r="M1247" s="21" t="n">
        <f aca="false">D1247-C1247</f>
        <v>7</v>
      </c>
      <c r="N1247" s="21" t="n">
        <f aca="false">MAX(0,D1247-E1247)</f>
        <v>0</v>
      </c>
      <c r="O1247" s="21" t="n">
        <f aca="false">IF(D1247&lt;=E1247,1,0)</f>
        <v>1</v>
      </c>
      <c r="P1247" s="23" t="n">
        <f aca="false">G1247+H1247</f>
        <v>97.02</v>
      </c>
      <c r="Q1247" s="23" t="n">
        <f aca="false">G1247*INDEX(Assumptions!$B$8:$B$16,MATCH(F1247,Assumptions!$A$8:$A$16,0))</f>
        <v>49.184</v>
      </c>
      <c r="R1247" s="23" t="n">
        <f aca="false">H1247*Assumptions!$B$3</f>
        <v>12.102</v>
      </c>
      <c r="S1247" s="23" t="n">
        <f aca="false">G1247-Q1247-R1247</f>
        <v>15.564</v>
      </c>
      <c r="T1247" s="21" t="str">
        <f aca="false">IF(M1247&lt;=7,"0-7 days",IF(M1247&lt;=14,"8-14 days",IF(M1247&lt;=21,"15-21 days","22+ days")))</f>
        <v>0-7 days</v>
      </c>
    </row>
    <row r="1248" customFormat="false" ht="15" hidden="false" customHeight="false" outlineLevel="0" collapsed="false">
      <c r="A1248" s="21" t="s">
        <v>1314</v>
      </c>
      <c r="B1248" s="21" t="s">
        <v>19</v>
      </c>
      <c r="C1248" s="22" t="n">
        <v>43193</v>
      </c>
      <c r="D1248" s="22" t="n">
        <v>43203</v>
      </c>
      <c r="E1248" s="22" t="n">
        <v>43210</v>
      </c>
      <c r="F1248" s="21" t="s">
        <v>49</v>
      </c>
      <c r="G1248" s="23" t="n">
        <v>92.19</v>
      </c>
      <c r="H1248" s="23" t="n">
        <v>13.3</v>
      </c>
      <c r="I1248" s="21" t="s">
        <v>60</v>
      </c>
      <c r="J1248" s="21" t="n">
        <v>4</v>
      </c>
      <c r="K1248" s="21" t="s">
        <v>46</v>
      </c>
      <c r="L1248" s="24" t="n">
        <f aca="false">DATE(YEAR(C1248),MONTH(C1248),1)</f>
        <v>43191</v>
      </c>
      <c r="M1248" s="21" t="n">
        <f aca="false">D1248-C1248</f>
        <v>10</v>
      </c>
      <c r="N1248" s="21" t="n">
        <f aca="false">MAX(0,D1248-E1248)</f>
        <v>0</v>
      </c>
      <c r="O1248" s="21" t="n">
        <f aca="false">IF(D1248&lt;=E1248,1,0)</f>
        <v>1</v>
      </c>
      <c r="P1248" s="23" t="n">
        <f aca="false">G1248+H1248</f>
        <v>105.49</v>
      </c>
      <c r="Q1248" s="23" t="n">
        <f aca="false">G1248*INDEX(Assumptions!$B$8:$B$16,MATCH(F1248,Assumptions!$A$8:$A$16,0))</f>
        <v>53.4702</v>
      </c>
      <c r="R1248" s="23" t="n">
        <f aca="false">H1248*Assumptions!$B$3</f>
        <v>7.98</v>
      </c>
      <c r="S1248" s="23" t="n">
        <f aca="false">G1248-Q1248-R1248</f>
        <v>30.7398</v>
      </c>
      <c r="T1248" s="21" t="str">
        <f aca="false">IF(M1248&lt;=7,"0-7 days",IF(M1248&lt;=14,"8-14 days",IF(M1248&lt;=21,"15-21 days","22+ days")))</f>
        <v>8-14 days</v>
      </c>
    </row>
    <row r="1249" customFormat="false" ht="15" hidden="false" customHeight="false" outlineLevel="0" collapsed="false">
      <c r="A1249" s="21" t="s">
        <v>1315</v>
      </c>
      <c r="B1249" s="21" t="s">
        <v>77</v>
      </c>
      <c r="C1249" s="22" t="n">
        <v>43193</v>
      </c>
      <c r="D1249" s="22" t="n">
        <v>43206</v>
      </c>
      <c r="E1249" s="22" t="n">
        <v>43218</v>
      </c>
      <c r="F1249" s="21" t="s">
        <v>49</v>
      </c>
      <c r="G1249" s="23" t="n">
        <v>74.3</v>
      </c>
      <c r="H1249" s="23" t="n">
        <v>31</v>
      </c>
      <c r="I1249" s="21" t="s">
        <v>60</v>
      </c>
      <c r="J1249" s="21" t="n">
        <v>5</v>
      </c>
      <c r="K1249" s="21" t="s">
        <v>46</v>
      </c>
      <c r="L1249" s="24" t="n">
        <f aca="false">DATE(YEAR(C1249),MONTH(C1249),1)</f>
        <v>43191</v>
      </c>
      <c r="M1249" s="21" t="n">
        <f aca="false">D1249-C1249</f>
        <v>13</v>
      </c>
      <c r="N1249" s="21" t="n">
        <f aca="false">MAX(0,D1249-E1249)</f>
        <v>0</v>
      </c>
      <c r="O1249" s="21" t="n">
        <f aca="false">IF(D1249&lt;=E1249,1,0)</f>
        <v>1</v>
      </c>
      <c r="P1249" s="23" t="n">
        <f aca="false">G1249+H1249</f>
        <v>105.3</v>
      </c>
      <c r="Q1249" s="23" t="n">
        <f aca="false">G1249*INDEX(Assumptions!$B$8:$B$16,MATCH(F1249,Assumptions!$A$8:$A$16,0))</f>
        <v>43.094</v>
      </c>
      <c r="R1249" s="23" t="n">
        <f aca="false">H1249*Assumptions!$B$3</f>
        <v>18.6</v>
      </c>
      <c r="S1249" s="23" t="n">
        <f aca="false">G1249-Q1249-R1249</f>
        <v>12.606</v>
      </c>
      <c r="T1249" s="21" t="str">
        <f aca="false">IF(M1249&lt;=7,"0-7 days",IF(M1249&lt;=14,"8-14 days",IF(M1249&lt;=21,"15-21 days","22+ days")))</f>
        <v>8-14 days</v>
      </c>
    </row>
    <row r="1250" customFormat="false" ht="15" hidden="false" customHeight="false" outlineLevel="0" collapsed="false">
      <c r="A1250" s="21" t="s">
        <v>1316</v>
      </c>
      <c r="B1250" s="21" t="s">
        <v>55</v>
      </c>
      <c r="C1250" s="22" t="n">
        <v>43193</v>
      </c>
      <c r="D1250" s="22" t="n">
        <v>43206</v>
      </c>
      <c r="E1250" s="22" t="n">
        <v>43220</v>
      </c>
      <c r="F1250" s="21" t="s">
        <v>79</v>
      </c>
      <c r="G1250" s="23" t="n">
        <v>78.12</v>
      </c>
      <c r="H1250" s="23" t="n">
        <v>16.43</v>
      </c>
      <c r="I1250" s="21" t="s">
        <v>45</v>
      </c>
      <c r="J1250" s="21" t="n">
        <v>5</v>
      </c>
      <c r="K1250" s="21" t="s">
        <v>46</v>
      </c>
      <c r="L1250" s="24" t="n">
        <f aca="false">DATE(YEAR(C1250),MONTH(C1250),1)</f>
        <v>43191</v>
      </c>
      <c r="M1250" s="21" t="n">
        <f aca="false">D1250-C1250</f>
        <v>13</v>
      </c>
      <c r="N1250" s="21" t="n">
        <f aca="false">MAX(0,D1250-E1250)</f>
        <v>0</v>
      </c>
      <c r="O1250" s="21" t="n">
        <f aca="false">IF(D1250&lt;=E1250,1,0)</f>
        <v>1</v>
      </c>
      <c r="P1250" s="23" t="n">
        <f aca="false">G1250+H1250</f>
        <v>94.55</v>
      </c>
      <c r="Q1250" s="23" t="n">
        <f aca="false">G1250*INDEX(Assumptions!$B$8:$B$16,MATCH(F1250,Assumptions!$A$8:$A$16,0))</f>
        <v>54.684</v>
      </c>
      <c r="R1250" s="23" t="n">
        <f aca="false">H1250*Assumptions!$B$3</f>
        <v>9.858</v>
      </c>
      <c r="S1250" s="23" t="n">
        <f aca="false">G1250-Q1250-R1250</f>
        <v>13.578</v>
      </c>
      <c r="T1250" s="21" t="str">
        <f aca="false">IF(M1250&lt;=7,"0-7 days",IF(M1250&lt;=14,"8-14 days",IF(M1250&lt;=21,"15-21 days","22+ days")))</f>
        <v>8-14 days</v>
      </c>
    </row>
    <row r="1251" customFormat="false" ht="15" hidden="false" customHeight="false" outlineLevel="0" collapsed="false">
      <c r="A1251" s="21" t="s">
        <v>1317</v>
      </c>
      <c r="B1251" s="21" t="s">
        <v>19</v>
      </c>
      <c r="C1251" s="22" t="n">
        <v>43193</v>
      </c>
      <c r="D1251" s="22" t="n">
        <v>43200</v>
      </c>
      <c r="E1251" s="22" t="n">
        <v>43206</v>
      </c>
      <c r="F1251" s="21" t="s">
        <v>53</v>
      </c>
      <c r="G1251" s="23" t="n">
        <v>82.02</v>
      </c>
      <c r="H1251" s="23" t="n">
        <v>14.97</v>
      </c>
      <c r="I1251" s="21" t="s">
        <v>45</v>
      </c>
      <c r="J1251" s="21" t="n">
        <v>4</v>
      </c>
      <c r="K1251" s="21" t="s">
        <v>46</v>
      </c>
      <c r="L1251" s="24" t="n">
        <f aca="false">DATE(YEAR(C1251),MONTH(C1251),1)</f>
        <v>43191</v>
      </c>
      <c r="M1251" s="21" t="n">
        <f aca="false">D1251-C1251</f>
        <v>7</v>
      </c>
      <c r="N1251" s="21" t="n">
        <f aca="false">MAX(0,D1251-E1251)</f>
        <v>0</v>
      </c>
      <c r="O1251" s="21" t="n">
        <f aca="false">IF(D1251&lt;=E1251,1,0)</f>
        <v>1</v>
      </c>
      <c r="P1251" s="23" t="n">
        <f aca="false">G1251+H1251</f>
        <v>96.99</v>
      </c>
      <c r="Q1251" s="23" t="n">
        <f aca="false">G1251*INDEX(Assumptions!$B$8:$B$16,MATCH(F1251,Assumptions!$A$8:$A$16,0))</f>
        <v>60.6948</v>
      </c>
      <c r="R1251" s="23" t="n">
        <f aca="false">H1251*Assumptions!$B$3</f>
        <v>8.982</v>
      </c>
      <c r="S1251" s="23" t="n">
        <f aca="false">G1251-Q1251-R1251</f>
        <v>12.3432</v>
      </c>
      <c r="T1251" s="21" t="str">
        <f aca="false">IF(M1251&lt;=7,"0-7 days",IF(M1251&lt;=14,"8-14 days",IF(M1251&lt;=21,"15-21 days","22+ days")))</f>
        <v>0-7 days</v>
      </c>
    </row>
    <row r="1252" customFormat="false" ht="15" hidden="false" customHeight="false" outlineLevel="0" collapsed="false">
      <c r="A1252" s="21" t="s">
        <v>1318</v>
      </c>
      <c r="B1252" s="21" t="s">
        <v>103</v>
      </c>
      <c r="C1252" s="22" t="n">
        <v>43193</v>
      </c>
      <c r="D1252" s="22" t="n">
        <v>43202</v>
      </c>
      <c r="E1252" s="22" t="n">
        <v>43214</v>
      </c>
      <c r="F1252" s="21" t="s">
        <v>79</v>
      </c>
      <c r="G1252" s="23" t="n">
        <v>138.23</v>
      </c>
      <c r="H1252" s="23" t="n">
        <v>19.25</v>
      </c>
      <c r="I1252" s="21" t="s">
        <v>45</v>
      </c>
      <c r="J1252" s="21" t="n">
        <v>4</v>
      </c>
      <c r="K1252" s="21" t="s">
        <v>46</v>
      </c>
      <c r="L1252" s="24" t="n">
        <f aca="false">DATE(YEAR(C1252),MONTH(C1252),1)</f>
        <v>43191</v>
      </c>
      <c r="M1252" s="21" t="n">
        <f aca="false">D1252-C1252</f>
        <v>9</v>
      </c>
      <c r="N1252" s="21" t="n">
        <f aca="false">MAX(0,D1252-E1252)</f>
        <v>0</v>
      </c>
      <c r="O1252" s="21" t="n">
        <f aca="false">IF(D1252&lt;=E1252,1,0)</f>
        <v>1</v>
      </c>
      <c r="P1252" s="23" t="n">
        <f aca="false">G1252+H1252</f>
        <v>157.48</v>
      </c>
      <c r="Q1252" s="23" t="n">
        <f aca="false">G1252*INDEX(Assumptions!$B$8:$B$16,MATCH(F1252,Assumptions!$A$8:$A$16,0))</f>
        <v>96.761</v>
      </c>
      <c r="R1252" s="23" t="n">
        <f aca="false">H1252*Assumptions!$B$3</f>
        <v>11.55</v>
      </c>
      <c r="S1252" s="23" t="n">
        <f aca="false">G1252-Q1252-R1252</f>
        <v>29.919</v>
      </c>
      <c r="T1252" s="21" t="str">
        <f aca="false">IF(M1252&lt;=7,"0-7 days",IF(M1252&lt;=14,"8-14 days",IF(M1252&lt;=21,"15-21 days","22+ days")))</f>
        <v>8-14 days</v>
      </c>
    </row>
    <row r="1253" customFormat="false" ht="15" hidden="false" customHeight="false" outlineLevel="0" collapsed="false">
      <c r="A1253" s="21" t="s">
        <v>1319</v>
      </c>
      <c r="B1253" s="21" t="s">
        <v>48</v>
      </c>
      <c r="C1253" s="22" t="n">
        <v>43193</v>
      </c>
      <c r="D1253" s="22" t="n">
        <v>43208</v>
      </c>
      <c r="E1253" s="22" t="n">
        <v>43213</v>
      </c>
      <c r="F1253" s="21" t="s">
        <v>49</v>
      </c>
      <c r="G1253" s="23" t="n">
        <v>100.97</v>
      </c>
      <c r="H1253" s="23" t="n">
        <v>22.51</v>
      </c>
      <c r="I1253" s="21" t="s">
        <v>45</v>
      </c>
      <c r="J1253" s="21" t="n">
        <v>3</v>
      </c>
      <c r="K1253" s="21" t="s">
        <v>46</v>
      </c>
      <c r="L1253" s="24" t="n">
        <f aca="false">DATE(YEAR(C1253),MONTH(C1253),1)</f>
        <v>43191</v>
      </c>
      <c r="M1253" s="21" t="n">
        <f aca="false">D1253-C1253</f>
        <v>15</v>
      </c>
      <c r="N1253" s="21" t="n">
        <f aca="false">MAX(0,D1253-E1253)</f>
        <v>0</v>
      </c>
      <c r="O1253" s="21" t="n">
        <f aca="false">IF(D1253&lt;=E1253,1,0)</f>
        <v>1</v>
      </c>
      <c r="P1253" s="23" t="n">
        <f aca="false">G1253+H1253</f>
        <v>123.48</v>
      </c>
      <c r="Q1253" s="23" t="n">
        <f aca="false">G1253*INDEX(Assumptions!$B$8:$B$16,MATCH(F1253,Assumptions!$A$8:$A$16,0))</f>
        <v>58.5626</v>
      </c>
      <c r="R1253" s="23" t="n">
        <f aca="false">H1253*Assumptions!$B$3</f>
        <v>13.506</v>
      </c>
      <c r="S1253" s="23" t="n">
        <f aca="false">G1253-Q1253-R1253</f>
        <v>28.9014</v>
      </c>
      <c r="T1253" s="21" t="str">
        <f aca="false">IF(M1253&lt;=7,"0-7 days",IF(M1253&lt;=14,"8-14 days",IF(M1253&lt;=21,"15-21 days","22+ days")))</f>
        <v>15-21 days</v>
      </c>
    </row>
    <row r="1254" customFormat="false" ht="15" hidden="false" customHeight="false" outlineLevel="0" collapsed="false">
      <c r="A1254" s="21" t="s">
        <v>1320</v>
      </c>
      <c r="B1254" s="21" t="s">
        <v>55</v>
      </c>
      <c r="C1254" s="22" t="n">
        <v>43193</v>
      </c>
      <c r="D1254" s="22" t="n">
        <v>43206</v>
      </c>
      <c r="E1254" s="22" t="n">
        <v>43218</v>
      </c>
      <c r="F1254" s="21" t="s">
        <v>44</v>
      </c>
      <c r="G1254" s="23" t="n">
        <v>45.1</v>
      </c>
      <c r="H1254" s="23" t="n">
        <v>28.5</v>
      </c>
      <c r="I1254" s="21" t="s">
        <v>45</v>
      </c>
      <c r="J1254" s="21" t="n">
        <v>5</v>
      </c>
      <c r="K1254" s="21" t="s">
        <v>46</v>
      </c>
      <c r="L1254" s="24" t="n">
        <f aca="false">DATE(YEAR(C1254),MONTH(C1254),1)</f>
        <v>43191</v>
      </c>
      <c r="M1254" s="21" t="n">
        <f aca="false">D1254-C1254</f>
        <v>13</v>
      </c>
      <c r="N1254" s="21" t="n">
        <f aca="false">MAX(0,D1254-E1254)</f>
        <v>0</v>
      </c>
      <c r="O1254" s="21" t="n">
        <f aca="false">IF(D1254&lt;=E1254,1,0)</f>
        <v>1</v>
      </c>
      <c r="P1254" s="23" t="n">
        <f aca="false">G1254+H1254</f>
        <v>73.6</v>
      </c>
      <c r="Q1254" s="23" t="n">
        <f aca="false">G1254*INDEX(Assumptions!$B$8:$B$16,MATCH(F1254,Assumptions!$A$8:$A$16,0))</f>
        <v>27.06</v>
      </c>
      <c r="R1254" s="23" t="n">
        <f aca="false">H1254*Assumptions!$B$3</f>
        <v>17.1</v>
      </c>
      <c r="S1254" s="23" t="n">
        <f aca="false">G1254-Q1254-R1254</f>
        <v>0.940000000000005</v>
      </c>
      <c r="T1254" s="21" t="str">
        <f aca="false">IF(M1254&lt;=7,"0-7 days",IF(M1254&lt;=14,"8-14 days",IF(M1254&lt;=21,"15-21 days","22+ days")))</f>
        <v>8-14 days</v>
      </c>
    </row>
    <row r="1255" customFormat="false" ht="15" hidden="false" customHeight="false" outlineLevel="0" collapsed="false">
      <c r="A1255" s="21" t="s">
        <v>1321</v>
      </c>
      <c r="B1255" s="21" t="s">
        <v>19</v>
      </c>
      <c r="C1255" s="22" t="n">
        <v>43193</v>
      </c>
      <c r="D1255" s="22" t="n">
        <v>43206</v>
      </c>
      <c r="E1255" s="22" t="n">
        <v>43210</v>
      </c>
      <c r="F1255" s="21" t="s">
        <v>67</v>
      </c>
      <c r="G1255" s="23" t="n">
        <v>94.37</v>
      </c>
      <c r="H1255" s="23" t="n">
        <v>14</v>
      </c>
      <c r="I1255" s="21" t="s">
        <v>45</v>
      </c>
      <c r="J1255" s="21" t="n">
        <v>4</v>
      </c>
      <c r="K1255" s="21" t="s">
        <v>46</v>
      </c>
      <c r="L1255" s="24" t="n">
        <f aca="false">DATE(YEAR(C1255),MONTH(C1255),1)</f>
        <v>43191</v>
      </c>
      <c r="M1255" s="21" t="n">
        <f aca="false">D1255-C1255</f>
        <v>13</v>
      </c>
      <c r="N1255" s="21" t="n">
        <f aca="false">MAX(0,D1255-E1255)</f>
        <v>0</v>
      </c>
      <c r="O1255" s="21" t="n">
        <f aca="false">IF(D1255&lt;=E1255,1,0)</f>
        <v>1</v>
      </c>
      <c r="P1255" s="23" t="n">
        <f aca="false">G1255+H1255</f>
        <v>108.37</v>
      </c>
      <c r="Q1255" s="23" t="n">
        <f aca="false">G1255*INDEX(Assumptions!$B$8:$B$16,MATCH(F1255,Assumptions!$A$8:$A$16,0))</f>
        <v>58.5094</v>
      </c>
      <c r="R1255" s="23" t="n">
        <f aca="false">H1255*Assumptions!$B$3</f>
        <v>8.4</v>
      </c>
      <c r="S1255" s="23" t="n">
        <f aca="false">G1255-Q1255-R1255</f>
        <v>27.4606</v>
      </c>
      <c r="T1255" s="21" t="str">
        <f aca="false">IF(M1255&lt;=7,"0-7 days",IF(M1255&lt;=14,"8-14 days",IF(M1255&lt;=21,"15-21 days","22+ days")))</f>
        <v>8-14 days</v>
      </c>
    </row>
    <row r="1256" customFormat="false" ht="15" hidden="false" customHeight="false" outlineLevel="0" collapsed="false">
      <c r="A1256" s="21" t="s">
        <v>1322</v>
      </c>
      <c r="B1256" s="21" t="s">
        <v>19</v>
      </c>
      <c r="C1256" s="22" t="n">
        <v>43194</v>
      </c>
      <c r="D1256" s="22" t="n">
        <v>43200</v>
      </c>
      <c r="E1256" s="22" t="n">
        <v>43211</v>
      </c>
      <c r="F1256" s="21" t="s">
        <v>67</v>
      </c>
      <c r="G1256" s="23" t="n">
        <v>81.55</v>
      </c>
      <c r="H1256" s="23" t="n">
        <v>21.96</v>
      </c>
      <c r="I1256" s="21" t="s">
        <v>45</v>
      </c>
      <c r="J1256" s="21" t="n">
        <v>4</v>
      </c>
      <c r="K1256" s="21" t="s">
        <v>46</v>
      </c>
      <c r="L1256" s="24" t="n">
        <f aca="false">DATE(YEAR(C1256),MONTH(C1256),1)</f>
        <v>43191</v>
      </c>
      <c r="M1256" s="21" t="n">
        <f aca="false">D1256-C1256</f>
        <v>6</v>
      </c>
      <c r="N1256" s="21" t="n">
        <f aca="false">MAX(0,D1256-E1256)</f>
        <v>0</v>
      </c>
      <c r="O1256" s="21" t="n">
        <f aca="false">IF(D1256&lt;=E1256,1,0)</f>
        <v>1</v>
      </c>
      <c r="P1256" s="23" t="n">
        <f aca="false">G1256+H1256</f>
        <v>103.51</v>
      </c>
      <c r="Q1256" s="23" t="n">
        <f aca="false">G1256*INDEX(Assumptions!$B$8:$B$16,MATCH(F1256,Assumptions!$A$8:$A$16,0))</f>
        <v>50.561</v>
      </c>
      <c r="R1256" s="23" t="n">
        <f aca="false">H1256*Assumptions!$B$3</f>
        <v>13.176</v>
      </c>
      <c r="S1256" s="23" t="n">
        <f aca="false">G1256-Q1256-R1256</f>
        <v>17.813</v>
      </c>
      <c r="T1256" s="21" t="str">
        <f aca="false">IF(M1256&lt;=7,"0-7 days",IF(M1256&lt;=14,"8-14 days",IF(M1256&lt;=21,"15-21 days","22+ days")))</f>
        <v>0-7 days</v>
      </c>
    </row>
    <row r="1257" customFormat="false" ht="15" hidden="false" customHeight="false" outlineLevel="0" collapsed="false">
      <c r="A1257" s="21" t="s">
        <v>1323</v>
      </c>
      <c r="B1257" s="21" t="s">
        <v>55</v>
      </c>
      <c r="C1257" s="22" t="n">
        <v>43194</v>
      </c>
      <c r="D1257" s="22" t="n">
        <v>43210</v>
      </c>
      <c r="E1257" s="22" t="n">
        <v>43222</v>
      </c>
      <c r="F1257" s="21" t="s">
        <v>111</v>
      </c>
      <c r="G1257" s="23" t="n">
        <v>120.53</v>
      </c>
      <c r="H1257" s="23" t="n">
        <v>30.29</v>
      </c>
      <c r="I1257" s="21" t="s">
        <v>45</v>
      </c>
      <c r="J1257" s="21" t="n">
        <v>4</v>
      </c>
      <c r="K1257" s="21" t="s">
        <v>46</v>
      </c>
      <c r="L1257" s="24" t="n">
        <f aca="false">DATE(YEAR(C1257),MONTH(C1257),1)</f>
        <v>43191</v>
      </c>
      <c r="M1257" s="21" t="n">
        <f aca="false">D1257-C1257</f>
        <v>16</v>
      </c>
      <c r="N1257" s="21" t="n">
        <f aca="false">MAX(0,D1257-E1257)</f>
        <v>0</v>
      </c>
      <c r="O1257" s="21" t="n">
        <f aca="false">IF(D1257&lt;=E1257,1,0)</f>
        <v>1</v>
      </c>
      <c r="P1257" s="23" t="n">
        <f aca="false">G1257+H1257</f>
        <v>150.82</v>
      </c>
      <c r="Q1257" s="23" t="n">
        <f aca="false">G1257*INDEX(Assumptions!$B$8:$B$16,MATCH(F1257,Assumptions!$A$8:$A$16,0))</f>
        <v>75.9339</v>
      </c>
      <c r="R1257" s="23" t="n">
        <f aca="false">H1257*Assumptions!$B$3</f>
        <v>18.174</v>
      </c>
      <c r="S1257" s="23" t="n">
        <f aca="false">G1257-Q1257-R1257</f>
        <v>26.4221</v>
      </c>
      <c r="T1257" s="21" t="str">
        <f aca="false">IF(M1257&lt;=7,"0-7 days",IF(M1257&lt;=14,"8-14 days",IF(M1257&lt;=21,"15-21 days","22+ days")))</f>
        <v>15-21 days</v>
      </c>
    </row>
    <row r="1258" customFormat="false" ht="15" hidden="false" customHeight="false" outlineLevel="0" collapsed="false">
      <c r="A1258" s="21" t="s">
        <v>1324</v>
      </c>
      <c r="B1258" s="21" t="s">
        <v>19</v>
      </c>
      <c r="C1258" s="22" t="n">
        <v>43194</v>
      </c>
      <c r="D1258" s="22" t="n">
        <v>43201</v>
      </c>
      <c r="E1258" s="22" t="n">
        <v>43207</v>
      </c>
      <c r="F1258" s="21" t="s">
        <v>67</v>
      </c>
      <c r="G1258" s="23" t="n">
        <v>31.1</v>
      </c>
      <c r="H1258" s="23" t="n">
        <v>20.88</v>
      </c>
      <c r="I1258" s="21" t="s">
        <v>60</v>
      </c>
      <c r="J1258" s="21" t="n">
        <v>5</v>
      </c>
      <c r="K1258" s="21" t="s">
        <v>46</v>
      </c>
      <c r="L1258" s="24" t="n">
        <f aca="false">DATE(YEAR(C1258),MONTH(C1258),1)</f>
        <v>43191</v>
      </c>
      <c r="M1258" s="21" t="n">
        <f aca="false">D1258-C1258</f>
        <v>7</v>
      </c>
      <c r="N1258" s="21" t="n">
        <f aca="false">MAX(0,D1258-E1258)</f>
        <v>0</v>
      </c>
      <c r="O1258" s="21" t="n">
        <f aca="false">IF(D1258&lt;=E1258,1,0)</f>
        <v>1</v>
      </c>
      <c r="P1258" s="23" t="n">
        <f aca="false">G1258+H1258</f>
        <v>51.98</v>
      </c>
      <c r="Q1258" s="23" t="n">
        <f aca="false">G1258*INDEX(Assumptions!$B$8:$B$16,MATCH(F1258,Assumptions!$A$8:$A$16,0))</f>
        <v>19.282</v>
      </c>
      <c r="R1258" s="23" t="n">
        <f aca="false">H1258*Assumptions!$B$3</f>
        <v>12.528</v>
      </c>
      <c r="S1258" s="23" t="n">
        <f aca="false">G1258-Q1258-R1258</f>
        <v>-0.709999999999997</v>
      </c>
      <c r="T1258" s="21" t="str">
        <f aca="false">IF(M1258&lt;=7,"0-7 days",IF(M1258&lt;=14,"8-14 days",IF(M1258&lt;=21,"15-21 days","22+ days")))</f>
        <v>0-7 days</v>
      </c>
    </row>
    <row r="1259" customFormat="false" ht="15" hidden="false" customHeight="false" outlineLevel="0" collapsed="false">
      <c r="A1259" s="21" t="s">
        <v>1325</v>
      </c>
      <c r="B1259" s="21" t="s">
        <v>19</v>
      </c>
      <c r="C1259" s="22" t="n">
        <v>43194</v>
      </c>
      <c r="D1259" s="22" t="n">
        <v>43198</v>
      </c>
      <c r="E1259" s="22" t="n">
        <v>43206</v>
      </c>
      <c r="F1259" s="21" t="s">
        <v>49</v>
      </c>
      <c r="G1259" s="23" t="n">
        <v>63.69</v>
      </c>
      <c r="H1259" s="23" t="n">
        <v>20.31</v>
      </c>
      <c r="I1259" s="21" t="s">
        <v>60</v>
      </c>
      <c r="J1259" s="21" t="n">
        <v>5</v>
      </c>
      <c r="K1259" s="21" t="s">
        <v>46</v>
      </c>
      <c r="L1259" s="24" t="n">
        <f aca="false">DATE(YEAR(C1259),MONTH(C1259),1)</f>
        <v>43191</v>
      </c>
      <c r="M1259" s="21" t="n">
        <f aca="false">D1259-C1259</f>
        <v>4</v>
      </c>
      <c r="N1259" s="21" t="n">
        <f aca="false">MAX(0,D1259-E1259)</f>
        <v>0</v>
      </c>
      <c r="O1259" s="21" t="n">
        <f aca="false">IF(D1259&lt;=E1259,1,0)</f>
        <v>1</v>
      </c>
      <c r="P1259" s="23" t="n">
        <f aca="false">G1259+H1259</f>
        <v>84</v>
      </c>
      <c r="Q1259" s="23" t="n">
        <f aca="false">G1259*INDEX(Assumptions!$B$8:$B$16,MATCH(F1259,Assumptions!$A$8:$A$16,0))</f>
        <v>36.9402</v>
      </c>
      <c r="R1259" s="23" t="n">
        <f aca="false">H1259*Assumptions!$B$3</f>
        <v>12.186</v>
      </c>
      <c r="S1259" s="23" t="n">
        <f aca="false">G1259-Q1259-R1259</f>
        <v>14.5638</v>
      </c>
      <c r="T1259" s="21" t="str">
        <f aca="false">IF(M1259&lt;=7,"0-7 days",IF(M1259&lt;=14,"8-14 days",IF(M1259&lt;=21,"15-21 days","22+ days")))</f>
        <v>0-7 days</v>
      </c>
    </row>
    <row r="1260" customFormat="false" ht="15" hidden="false" customHeight="false" outlineLevel="0" collapsed="false">
      <c r="A1260" s="21" t="s">
        <v>1326</v>
      </c>
      <c r="B1260" s="21" t="s">
        <v>19</v>
      </c>
      <c r="C1260" s="22" t="n">
        <v>43195</v>
      </c>
      <c r="D1260" s="22" t="n">
        <v>43205</v>
      </c>
      <c r="E1260" s="22" t="n">
        <v>43215</v>
      </c>
      <c r="F1260" s="21" t="s">
        <v>79</v>
      </c>
      <c r="G1260" s="23" t="n">
        <v>83.3</v>
      </c>
      <c r="H1260" s="23" t="n">
        <v>21.6</v>
      </c>
      <c r="I1260" s="21" t="s">
        <v>45</v>
      </c>
      <c r="J1260" s="21" t="n">
        <v>5</v>
      </c>
      <c r="K1260" s="21" t="s">
        <v>46</v>
      </c>
      <c r="L1260" s="24" t="n">
        <f aca="false">DATE(YEAR(C1260),MONTH(C1260),1)</f>
        <v>43191</v>
      </c>
      <c r="M1260" s="21" t="n">
        <f aca="false">D1260-C1260</f>
        <v>10</v>
      </c>
      <c r="N1260" s="21" t="n">
        <f aca="false">MAX(0,D1260-E1260)</f>
        <v>0</v>
      </c>
      <c r="O1260" s="21" t="n">
        <f aca="false">IF(D1260&lt;=E1260,1,0)</f>
        <v>1</v>
      </c>
      <c r="P1260" s="23" t="n">
        <f aca="false">G1260+H1260</f>
        <v>104.9</v>
      </c>
      <c r="Q1260" s="23" t="n">
        <f aca="false">G1260*INDEX(Assumptions!$B$8:$B$16,MATCH(F1260,Assumptions!$A$8:$A$16,0))</f>
        <v>58.31</v>
      </c>
      <c r="R1260" s="23" t="n">
        <f aca="false">H1260*Assumptions!$B$3</f>
        <v>12.96</v>
      </c>
      <c r="S1260" s="23" t="n">
        <f aca="false">G1260-Q1260-R1260</f>
        <v>12.03</v>
      </c>
      <c r="T1260" s="21" t="str">
        <f aca="false">IF(M1260&lt;=7,"0-7 days",IF(M1260&lt;=14,"8-14 days",IF(M1260&lt;=21,"15-21 days","22+ days")))</f>
        <v>8-14 days</v>
      </c>
    </row>
    <row r="1261" customFormat="false" ht="15" hidden="false" customHeight="false" outlineLevel="0" collapsed="false">
      <c r="A1261" s="21" t="s">
        <v>1327</v>
      </c>
      <c r="B1261" s="21" t="s">
        <v>52</v>
      </c>
      <c r="C1261" s="22" t="n">
        <v>43195</v>
      </c>
      <c r="D1261" s="22" t="n">
        <v>43210</v>
      </c>
      <c r="E1261" s="22" t="n">
        <v>43220</v>
      </c>
      <c r="F1261" s="21" t="s">
        <v>53</v>
      </c>
      <c r="G1261" s="23" t="n">
        <v>266.47</v>
      </c>
      <c r="H1261" s="23" t="n">
        <v>22.96</v>
      </c>
      <c r="I1261" s="21" t="s">
        <v>45</v>
      </c>
      <c r="J1261" s="21" t="n">
        <v>5</v>
      </c>
      <c r="K1261" s="21" t="s">
        <v>46</v>
      </c>
      <c r="L1261" s="24" t="n">
        <f aca="false">DATE(YEAR(C1261),MONTH(C1261),1)</f>
        <v>43191</v>
      </c>
      <c r="M1261" s="21" t="n">
        <f aca="false">D1261-C1261</f>
        <v>15</v>
      </c>
      <c r="N1261" s="21" t="n">
        <f aca="false">MAX(0,D1261-E1261)</f>
        <v>0</v>
      </c>
      <c r="O1261" s="21" t="n">
        <f aca="false">IF(D1261&lt;=E1261,1,0)</f>
        <v>1</v>
      </c>
      <c r="P1261" s="23" t="n">
        <f aca="false">G1261+H1261</f>
        <v>289.43</v>
      </c>
      <c r="Q1261" s="23" t="n">
        <f aca="false">G1261*INDEX(Assumptions!$B$8:$B$16,MATCH(F1261,Assumptions!$A$8:$A$16,0))</f>
        <v>197.1878</v>
      </c>
      <c r="R1261" s="23" t="n">
        <f aca="false">H1261*Assumptions!$B$3</f>
        <v>13.776</v>
      </c>
      <c r="S1261" s="23" t="n">
        <f aca="false">G1261-Q1261-R1261</f>
        <v>55.5062</v>
      </c>
      <c r="T1261" s="21" t="str">
        <f aca="false">IF(M1261&lt;=7,"0-7 days",IF(M1261&lt;=14,"8-14 days",IF(M1261&lt;=21,"15-21 days","22+ days")))</f>
        <v>15-21 days</v>
      </c>
    </row>
    <row r="1262" customFormat="false" ht="15" hidden="false" customHeight="false" outlineLevel="0" collapsed="false">
      <c r="A1262" s="21" t="s">
        <v>1328</v>
      </c>
      <c r="B1262" s="21" t="s">
        <v>19</v>
      </c>
      <c r="C1262" s="22" t="n">
        <v>43196</v>
      </c>
      <c r="D1262" s="22" t="n">
        <v>43208</v>
      </c>
      <c r="E1262" s="22" t="n">
        <v>43213</v>
      </c>
      <c r="F1262" s="21" t="s">
        <v>79</v>
      </c>
      <c r="G1262" s="23" t="n">
        <v>68.97</v>
      </c>
      <c r="H1262" s="23" t="n">
        <v>15.19</v>
      </c>
      <c r="I1262" s="21" t="s">
        <v>45</v>
      </c>
      <c r="J1262" s="21" t="n">
        <v>4</v>
      </c>
      <c r="K1262" s="21" t="s">
        <v>46</v>
      </c>
      <c r="L1262" s="24" t="n">
        <f aca="false">DATE(YEAR(C1262),MONTH(C1262),1)</f>
        <v>43191</v>
      </c>
      <c r="M1262" s="21" t="n">
        <f aca="false">D1262-C1262</f>
        <v>12</v>
      </c>
      <c r="N1262" s="21" t="n">
        <f aca="false">MAX(0,D1262-E1262)</f>
        <v>0</v>
      </c>
      <c r="O1262" s="21" t="n">
        <f aca="false">IF(D1262&lt;=E1262,1,0)</f>
        <v>1</v>
      </c>
      <c r="P1262" s="23" t="n">
        <f aca="false">G1262+H1262</f>
        <v>84.16</v>
      </c>
      <c r="Q1262" s="23" t="n">
        <f aca="false">G1262*INDEX(Assumptions!$B$8:$B$16,MATCH(F1262,Assumptions!$A$8:$A$16,0))</f>
        <v>48.279</v>
      </c>
      <c r="R1262" s="23" t="n">
        <f aca="false">H1262*Assumptions!$B$3</f>
        <v>9.114</v>
      </c>
      <c r="S1262" s="23" t="n">
        <f aca="false">G1262-Q1262-R1262</f>
        <v>11.577</v>
      </c>
      <c r="T1262" s="21" t="str">
        <f aca="false">IF(M1262&lt;=7,"0-7 days",IF(M1262&lt;=14,"8-14 days",IF(M1262&lt;=21,"15-21 days","22+ days")))</f>
        <v>8-14 days</v>
      </c>
    </row>
    <row r="1263" customFormat="false" ht="15" hidden="false" customHeight="false" outlineLevel="0" collapsed="false">
      <c r="A1263" s="21" t="s">
        <v>1329</v>
      </c>
      <c r="B1263" s="21" t="s">
        <v>19</v>
      </c>
      <c r="C1263" s="22" t="n">
        <v>43196</v>
      </c>
      <c r="D1263" s="22" t="n">
        <v>43202</v>
      </c>
      <c r="E1263" s="22" t="n">
        <v>43213</v>
      </c>
      <c r="F1263" s="21" t="s">
        <v>44</v>
      </c>
      <c r="G1263" s="23" t="n">
        <v>118.67</v>
      </c>
      <c r="H1263" s="23" t="n">
        <v>17.81</v>
      </c>
      <c r="I1263" s="21" t="s">
        <v>45</v>
      </c>
      <c r="J1263" s="21" t="n">
        <v>5</v>
      </c>
      <c r="K1263" s="21" t="s">
        <v>46</v>
      </c>
      <c r="L1263" s="24" t="n">
        <f aca="false">DATE(YEAR(C1263),MONTH(C1263),1)</f>
        <v>43191</v>
      </c>
      <c r="M1263" s="21" t="n">
        <f aca="false">D1263-C1263</f>
        <v>6</v>
      </c>
      <c r="N1263" s="21" t="n">
        <f aca="false">MAX(0,D1263-E1263)</f>
        <v>0</v>
      </c>
      <c r="O1263" s="21" t="n">
        <f aca="false">IF(D1263&lt;=E1263,1,0)</f>
        <v>1</v>
      </c>
      <c r="P1263" s="23" t="n">
        <f aca="false">G1263+H1263</f>
        <v>136.48</v>
      </c>
      <c r="Q1263" s="23" t="n">
        <f aca="false">G1263*INDEX(Assumptions!$B$8:$B$16,MATCH(F1263,Assumptions!$A$8:$A$16,0))</f>
        <v>71.202</v>
      </c>
      <c r="R1263" s="23" t="n">
        <f aca="false">H1263*Assumptions!$B$3</f>
        <v>10.686</v>
      </c>
      <c r="S1263" s="23" t="n">
        <f aca="false">G1263-Q1263-R1263</f>
        <v>36.782</v>
      </c>
      <c r="T1263" s="21" t="str">
        <f aca="false">IF(M1263&lt;=7,"0-7 days",IF(M1263&lt;=14,"8-14 days",IF(M1263&lt;=21,"15-21 days","22+ days")))</f>
        <v>0-7 days</v>
      </c>
    </row>
    <row r="1264" customFormat="false" ht="15" hidden="false" customHeight="false" outlineLevel="0" collapsed="false">
      <c r="A1264" s="21" t="s">
        <v>1330</v>
      </c>
      <c r="B1264" s="21" t="s">
        <v>19</v>
      </c>
      <c r="C1264" s="22" t="n">
        <v>43196</v>
      </c>
      <c r="D1264" s="22" t="n">
        <v>43207</v>
      </c>
      <c r="E1264" s="22" t="n">
        <v>43213</v>
      </c>
      <c r="F1264" s="21" t="s">
        <v>53</v>
      </c>
      <c r="G1264" s="23" t="n">
        <v>125.59</v>
      </c>
      <c r="H1264" s="23" t="n">
        <v>17.85</v>
      </c>
      <c r="I1264" s="21" t="s">
        <v>50</v>
      </c>
      <c r="J1264" s="21" t="n">
        <v>4</v>
      </c>
      <c r="K1264" s="21" t="s">
        <v>46</v>
      </c>
      <c r="L1264" s="24" t="n">
        <f aca="false">DATE(YEAR(C1264),MONTH(C1264),1)</f>
        <v>43191</v>
      </c>
      <c r="M1264" s="21" t="n">
        <f aca="false">D1264-C1264</f>
        <v>11</v>
      </c>
      <c r="N1264" s="21" t="n">
        <f aca="false">MAX(0,D1264-E1264)</f>
        <v>0</v>
      </c>
      <c r="O1264" s="21" t="n">
        <f aca="false">IF(D1264&lt;=E1264,1,0)</f>
        <v>1</v>
      </c>
      <c r="P1264" s="23" t="n">
        <f aca="false">G1264+H1264</f>
        <v>143.44</v>
      </c>
      <c r="Q1264" s="23" t="n">
        <f aca="false">G1264*INDEX(Assumptions!$B$8:$B$16,MATCH(F1264,Assumptions!$A$8:$A$16,0))</f>
        <v>92.9366</v>
      </c>
      <c r="R1264" s="23" t="n">
        <f aca="false">H1264*Assumptions!$B$3</f>
        <v>10.71</v>
      </c>
      <c r="S1264" s="23" t="n">
        <f aca="false">G1264-Q1264-R1264</f>
        <v>21.9434</v>
      </c>
      <c r="T1264" s="21" t="str">
        <f aca="false">IF(M1264&lt;=7,"0-7 days",IF(M1264&lt;=14,"8-14 days",IF(M1264&lt;=21,"15-21 days","22+ days")))</f>
        <v>8-14 days</v>
      </c>
    </row>
    <row r="1265" customFormat="false" ht="15" hidden="false" customHeight="false" outlineLevel="0" collapsed="false">
      <c r="A1265" s="21" t="s">
        <v>1331</v>
      </c>
      <c r="B1265" s="21" t="s">
        <v>77</v>
      </c>
      <c r="C1265" s="22" t="n">
        <v>43197</v>
      </c>
      <c r="D1265" s="22" t="n">
        <v>43222</v>
      </c>
      <c r="E1265" s="22" t="n">
        <v>43220</v>
      </c>
      <c r="F1265" s="21" t="s">
        <v>64</v>
      </c>
      <c r="G1265" s="23" t="n">
        <v>105.47</v>
      </c>
      <c r="H1265" s="23" t="n">
        <v>23.49</v>
      </c>
      <c r="I1265" s="21" t="s">
        <v>45</v>
      </c>
      <c r="J1265" s="21" t="n">
        <v>2</v>
      </c>
      <c r="K1265" s="21" t="s">
        <v>46</v>
      </c>
      <c r="L1265" s="24" t="n">
        <f aca="false">DATE(YEAR(C1265),MONTH(C1265),1)</f>
        <v>43191</v>
      </c>
      <c r="M1265" s="21" t="n">
        <f aca="false">D1265-C1265</f>
        <v>25</v>
      </c>
      <c r="N1265" s="21" t="n">
        <f aca="false">MAX(0,D1265-E1265)</f>
        <v>2</v>
      </c>
      <c r="O1265" s="21" t="n">
        <f aca="false">IF(D1265&lt;=E1265,1,0)</f>
        <v>0</v>
      </c>
      <c r="P1265" s="23" t="n">
        <f aca="false">G1265+H1265</f>
        <v>128.96</v>
      </c>
      <c r="Q1265" s="23" t="n">
        <f aca="false">G1265*INDEX(Assumptions!$B$8:$B$16,MATCH(F1265,Assumptions!$A$8:$A$16,0))</f>
        <v>69.6102</v>
      </c>
      <c r="R1265" s="23" t="n">
        <f aca="false">H1265*Assumptions!$B$3</f>
        <v>14.094</v>
      </c>
      <c r="S1265" s="23" t="n">
        <f aca="false">G1265-Q1265-R1265</f>
        <v>21.7658</v>
      </c>
      <c r="T1265" s="21" t="str">
        <f aca="false">IF(M1265&lt;=7,"0-7 days",IF(M1265&lt;=14,"8-14 days",IF(M1265&lt;=21,"15-21 days","22+ days")))</f>
        <v>22+ days</v>
      </c>
    </row>
    <row r="1266" customFormat="false" ht="15" hidden="false" customHeight="false" outlineLevel="0" collapsed="false">
      <c r="A1266" s="21" t="s">
        <v>1332</v>
      </c>
      <c r="B1266" s="21" t="s">
        <v>48</v>
      </c>
      <c r="C1266" s="22" t="n">
        <v>43197</v>
      </c>
      <c r="D1266" s="22" t="n">
        <v>43207</v>
      </c>
      <c r="E1266" s="22" t="n">
        <v>43219</v>
      </c>
      <c r="F1266" s="21" t="s">
        <v>59</v>
      </c>
      <c r="G1266" s="23" t="n">
        <v>237.22</v>
      </c>
      <c r="H1266" s="23" t="n">
        <v>31.84</v>
      </c>
      <c r="I1266" s="21" t="s">
        <v>45</v>
      </c>
      <c r="J1266" s="21" t="n">
        <v>4</v>
      </c>
      <c r="K1266" s="21" t="s">
        <v>46</v>
      </c>
      <c r="L1266" s="24" t="n">
        <f aca="false">DATE(YEAR(C1266),MONTH(C1266),1)</f>
        <v>43191</v>
      </c>
      <c r="M1266" s="21" t="n">
        <f aca="false">D1266-C1266</f>
        <v>10</v>
      </c>
      <c r="N1266" s="21" t="n">
        <f aca="false">MAX(0,D1266-E1266)</f>
        <v>0</v>
      </c>
      <c r="O1266" s="21" t="n">
        <f aca="false">IF(D1266&lt;=E1266,1,0)</f>
        <v>1</v>
      </c>
      <c r="P1266" s="23" t="n">
        <f aca="false">G1266+H1266</f>
        <v>269.06</v>
      </c>
      <c r="Q1266" s="23" t="n">
        <f aca="false">G1266*INDEX(Assumptions!$B$8:$B$16,MATCH(F1266,Assumptions!$A$8:$A$16,0))</f>
        <v>151.8208</v>
      </c>
      <c r="R1266" s="23" t="n">
        <f aca="false">H1266*Assumptions!$B$3</f>
        <v>19.104</v>
      </c>
      <c r="S1266" s="23" t="n">
        <f aca="false">G1266-Q1266-R1266</f>
        <v>66.2952</v>
      </c>
      <c r="T1266" s="21" t="str">
        <f aca="false">IF(M1266&lt;=7,"0-7 days",IF(M1266&lt;=14,"8-14 days",IF(M1266&lt;=21,"15-21 days","22+ days")))</f>
        <v>8-14 days</v>
      </c>
    </row>
    <row r="1267" customFormat="false" ht="15" hidden="false" customHeight="false" outlineLevel="0" collapsed="false">
      <c r="A1267" s="21" t="s">
        <v>1333</v>
      </c>
      <c r="B1267" s="21" t="s">
        <v>62</v>
      </c>
      <c r="C1267" s="22" t="n">
        <v>43197</v>
      </c>
      <c r="D1267" s="22" t="n">
        <v>43206</v>
      </c>
      <c r="E1267" s="22" t="n">
        <v>43218</v>
      </c>
      <c r="F1267" s="21" t="s">
        <v>49</v>
      </c>
      <c r="G1267" s="23" t="n">
        <v>163.47</v>
      </c>
      <c r="H1267" s="23" t="n">
        <v>19.84</v>
      </c>
      <c r="I1267" s="21" t="s">
        <v>45</v>
      </c>
      <c r="J1267" s="21" t="n">
        <v>5</v>
      </c>
      <c r="K1267" s="21" t="s">
        <v>46</v>
      </c>
      <c r="L1267" s="24" t="n">
        <f aca="false">DATE(YEAR(C1267),MONTH(C1267),1)</f>
        <v>43191</v>
      </c>
      <c r="M1267" s="21" t="n">
        <f aca="false">D1267-C1267</f>
        <v>9</v>
      </c>
      <c r="N1267" s="21" t="n">
        <f aca="false">MAX(0,D1267-E1267)</f>
        <v>0</v>
      </c>
      <c r="O1267" s="21" t="n">
        <f aca="false">IF(D1267&lt;=E1267,1,0)</f>
        <v>1</v>
      </c>
      <c r="P1267" s="23" t="n">
        <f aca="false">G1267+H1267</f>
        <v>183.31</v>
      </c>
      <c r="Q1267" s="23" t="n">
        <f aca="false">G1267*INDEX(Assumptions!$B$8:$B$16,MATCH(F1267,Assumptions!$A$8:$A$16,0))</f>
        <v>94.8126</v>
      </c>
      <c r="R1267" s="23" t="n">
        <f aca="false">H1267*Assumptions!$B$3</f>
        <v>11.904</v>
      </c>
      <c r="S1267" s="23" t="n">
        <f aca="false">G1267-Q1267-R1267</f>
        <v>56.7534</v>
      </c>
      <c r="T1267" s="21" t="str">
        <f aca="false">IF(M1267&lt;=7,"0-7 days",IF(M1267&lt;=14,"8-14 days",IF(M1267&lt;=21,"15-21 days","22+ days")))</f>
        <v>8-14 days</v>
      </c>
    </row>
    <row r="1268" customFormat="false" ht="15" hidden="false" customHeight="false" outlineLevel="0" collapsed="false">
      <c r="A1268" s="21" t="s">
        <v>1334</v>
      </c>
      <c r="B1268" s="21" t="s">
        <v>55</v>
      </c>
      <c r="C1268" s="22" t="n">
        <v>43198</v>
      </c>
      <c r="D1268" s="22" t="n">
        <v>43242</v>
      </c>
      <c r="E1268" s="22" t="n">
        <v>43226</v>
      </c>
      <c r="F1268" s="21" t="s">
        <v>79</v>
      </c>
      <c r="G1268" s="23" t="n">
        <v>32.53</v>
      </c>
      <c r="H1268" s="23" t="n">
        <v>28.18</v>
      </c>
      <c r="I1268" s="21" t="s">
        <v>60</v>
      </c>
      <c r="J1268" s="21" t="n">
        <v>2</v>
      </c>
      <c r="K1268" s="21" t="s">
        <v>46</v>
      </c>
      <c r="L1268" s="24" t="n">
        <f aca="false">DATE(YEAR(C1268),MONTH(C1268),1)</f>
        <v>43191</v>
      </c>
      <c r="M1268" s="21" t="n">
        <f aca="false">D1268-C1268</f>
        <v>44</v>
      </c>
      <c r="N1268" s="21" t="n">
        <f aca="false">MAX(0,D1268-E1268)</f>
        <v>16</v>
      </c>
      <c r="O1268" s="21" t="n">
        <f aca="false">IF(D1268&lt;=E1268,1,0)</f>
        <v>0</v>
      </c>
      <c r="P1268" s="23" t="n">
        <f aca="false">G1268+H1268</f>
        <v>60.71</v>
      </c>
      <c r="Q1268" s="23" t="n">
        <f aca="false">G1268*INDEX(Assumptions!$B$8:$B$16,MATCH(F1268,Assumptions!$A$8:$A$16,0))</f>
        <v>22.771</v>
      </c>
      <c r="R1268" s="23" t="n">
        <f aca="false">H1268*Assumptions!$B$3</f>
        <v>16.908</v>
      </c>
      <c r="S1268" s="23" t="n">
        <f aca="false">G1268-Q1268-R1268</f>
        <v>-7.149</v>
      </c>
      <c r="T1268" s="21" t="str">
        <f aca="false">IF(M1268&lt;=7,"0-7 days",IF(M1268&lt;=14,"8-14 days",IF(M1268&lt;=21,"15-21 days","22+ days")))</f>
        <v>22+ days</v>
      </c>
    </row>
    <row r="1269" customFormat="false" ht="15" hidden="false" customHeight="false" outlineLevel="0" collapsed="false">
      <c r="A1269" s="21" t="s">
        <v>1335</v>
      </c>
      <c r="B1269" s="21" t="s">
        <v>19</v>
      </c>
      <c r="C1269" s="22" t="n">
        <v>43198</v>
      </c>
      <c r="D1269" s="22" t="n">
        <v>43212</v>
      </c>
      <c r="E1269" s="22" t="n">
        <v>43208</v>
      </c>
      <c r="F1269" s="21" t="s">
        <v>59</v>
      </c>
      <c r="G1269" s="23" t="n">
        <v>306.84</v>
      </c>
      <c r="H1269" s="23" t="n">
        <v>25.31</v>
      </c>
      <c r="I1269" s="21" t="s">
        <v>45</v>
      </c>
      <c r="J1269" s="21" t="n">
        <v>4</v>
      </c>
      <c r="K1269" s="21" t="s">
        <v>46</v>
      </c>
      <c r="L1269" s="24" t="n">
        <f aca="false">DATE(YEAR(C1269),MONTH(C1269),1)</f>
        <v>43191</v>
      </c>
      <c r="M1269" s="21" t="n">
        <f aca="false">D1269-C1269</f>
        <v>14</v>
      </c>
      <c r="N1269" s="21" t="n">
        <f aca="false">MAX(0,D1269-E1269)</f>
        <v>4</v>
      </c>
      <c r="O1269" s="21" t="n">
        <f aca="false">IF(D1269&lt;=E1269,1,0)</f>
        <v>0</v>
      </c>
      <c r="P1269" s="23" t="n">
        <f aca="false">G1269+H1269</f>
        <v>332.15</v>
      </c>
      <c r="Q1269" s="23" t="n">
        <f aca="false">G1269*INDEX(Assumptions!$B$8:$B$16,MATCH(F1269,Assumptions!$A$8:$A$16,0))</f>
        <v>196.3776</v>
      </c>
      <c r="R1269" s="23" t="n">
        <f aca="false">H1269*Assumptions!$B$3</f>
        <v>15.186</v>
      </c>
      <c r="S1269" s="23" t="n">
        <f aca="false">G1269-Q1269-R1269</f>
        <v>95.2764</v>
      </c>
      <c r="T1269" s="21" t="str">
        <f aca="false">IF(M1269&lt;=7,"0-7 days",IF(M1269&lt;=14,"8-14 days",IF(M1269&lt;=21,"15-21 days","22+ days")))</f>
        <v>8-14 days</v>
      </c>
    </row>
    <row r="1270" customFormat="false" ht="15" hidden="false" customHeight="false" outlineLevel="0" collapsed="false">
      <c r="A1270" s="21" t="s">
        <v>1336</v>
      </c>
      <c r="B1270" s="21" t="s">
        <v>201</v>
      </c>
      <c r="C1270" s="22" t="n">
        <v>43198</v>
      </c>
      <c r="D1270" s="22" t="n">
        <v>43227</v>
      </c>
      <c r="E1270" s="22" t="n">
        <v>43229</v>
      </c>
      <c r="F1270" s="21" t="s">
        <v>64</v>
      </c>
      <c r="G1270" s="23" t="n">
        <v>108.5</v>
      </c>
      <c r="H1270" s="23" t="n">
        <v>35.46</v>
      </c>
      <c r="I1270" s="21" t="s">
        <v>45</v>
      </c>
      <c r="J1270" s="21" t="n">
        <v>5</v>
      </c>
      <c r="K1270" s="21" t="s">
        <v>46</v>
      </c>
      <c r="L1270" s="24" t="n">
        <f aca="false">DATE(YEAR(C1270),MONTH(C1270),1)</f>
        <v>43191</v>
      </c>
      <c r="M1270" s="21" t="n">
        <f aca="false">D1270-C1270</f>
        <v>29</v>
      </c>
      <c r="N1270" s="21" t="n">
        <f aca="false">MAX(0,D1270-E1270)</f>
        <v>0</v>
      </c>
      <c r="O1270" s="21" t="n">
        <f aca="false">IF(D1270&lt;=E1270,1,0)</f>
        <v>1</v>
      </c>
      <c r="P1270" s="23" t="n">
        <f aca="false">G1270+H1270</f>
        <v>143.96</v>
      </c>
      <c r="Q1270" s="23" t="n">
        <f aca="false">G1270*INDEX(Assumptions!$B$8:$B$16,MATCH(F1270,Assumptions!$A$8:$A$16,0))</f>
        <v>71.61</v>
      </c>
      <c r="R1270" s="23" t="n">
        <f aca="false">H1270*Assumptions!$B$3</f>
        <v>21.276</v>
      </c>
      <c r="S1270" s="23" t="n">
        <f aca="false">G1270-Q1270-R1270</f>
        <v>15.614</v>
      </c>
      <c r="T1270" s="21" t="str">
        <f aca="false">IF(M1270&lt;=7,"0-7 days",IF(M1270&lt;=14,"8-14 days",IF(M1270&lt;=21,"15-21 days","22+ days")))</f>
        <v>22+ days</v>
      </c>
    </row>
    <row r="1271" customFormat="false" ht="15" hidden="false" customHeight="false" outlineLevel="0" collapsed="false">
      <c r="A1271" s="21" t="s">
        <v>1337</v>
      </c>
      <c r="B1271" s="21" t="s">
        <v>19</v>
      </c>
      <c r="C1271" s="22" t="n">
        <v>43198</v>
      </c>
      <c r="D1271" s="22" t="n">
        <v>43204</v>
      </c>
      <c r="E1271" s="22" t="n">
        <v>43214</v>
      </c>
      <c r="F1271" s="21" t="s">
        <v>111</v>
      </c>
      <c r="G1271" s="23" t="n">
        <v>155.83</v>
      </c>
      <c r="H1271" s="23" t="n">
        <v>16.5</v>
      </c>
      <c r="I1271" s="21" t="s">
        <v>45</v>
      </c>
      <c r="J1271" s="21" t="n">
        <v>5</v>
      </c>
      <c r="K1271" s="21" t="s">
        <v>46</v>
      </c>
      <c r="L1271" s="24" t="n">
        <f aca="false">DATE(YEAR(C1271),MONTH(C1271),1)</f>
        <v>43191</v>
      </c>
      <c r="M1271" s="21" t="n">
        <f aca="false">D1271-C1271</f>
        <v>6</v>
      </c>
      <c r="N1271" s="21" t="n">
        <f aca="false">MAX(0,D1271-E1271)</f>
        <v>0</v>
      </c>
      <c r="O1271" s="21" t="n">
        <f aca="false">IF(D1271&lt;=E1271,1,0)</f>
        <v>1</v>
      </c>
      <c r="P1271" s="23" t="n">
        <f aca="false">G1271+H1271</f>
        <v>172.33</v>
      </c>
      <c r="Q1271" s="23" t="n">
        <f aca="false">G1271*INDEX(Assumptions!$B$8:$B$16,MATCH(F1271,Assumptions!$A$8:$A$16,0))</f>
        <v>98.1729</v>
      </c>
      <c r="R1271" s="23" t="n">
        <f aca="false">H1271*Assumptions!$B$3</f>
        <v>9.9</v>
      </c>
      <c r="S1271" s="23" t="n">
        <f aca="false">G1271-Q1271-R1271</f>
        <v>47.7571</v>
      </c>
      <c r="T1271" s="21" t="str">
        <f aca="false">IF(M1271&lt;=7,"0-7 days",IF(M1271&lt;=14,"8-14 days",IF(M1271&lt;=21,"15-21 days","22+ days")))</f>
        <v>0-7 days</v>
      </c>
    </row>
    <row r="1272" customFormat="false" ht="15" hidden="false" customHeight="false" outlineLevel="0" collapsed="false">
      <c r="A1272" s="21" t="s">
        <v>1338</v>
      </c>
      <c r="B1272" s="21" t="s">
        <v>19</v>
      </c>
      <c r="C1272" s="22" t="n">
        <v>43198</v>
      </c>
      <c r="D1272" s="22" t="n">
        <v>43204</v>
      </c>
      <c r="E1272" s="22" t="n">
        <v>43212</v>
      </c>
      <c r="F1272" s="21" t="s">
        <v>57</v>
      </c>
      <c r="G1272" s="23" t="n">
        <v>138.5</v>
      </c>
      <c r="H1272" s="23" t="n">
        <v>19.33</v>
      </c>
      <c r="I1272" s="21" t="s">
        <v>45</v>
      </c>
      <c r="J1272" s="21" t="n">
        <v>4</v>
      </c>
      <c r="K1272" s="21" t="s">
        <v>46</v>
      </c>
      <c r="L1272" s="24" t="n">
        <f aca="false">DATE(YEAR(C1272),MONTH(C1272),1)</f>
        <v>43191</v>
      </c>
      <c r="M1272" s="21" t="n">
        <f aca="false">D1272-C1272</f>
        <v>6</v>
      </c>
      <c r="N1272" s="21" t="n">
        <f aca="false">MAX(0,D1272-E1272)</f>
        <v>0</v>
      </c>
      <c r="O1272" s="21" t="n">
        <f aca="false">IF(D1272&lt;=E1272,1,0)</f>
        <v>1</v>
      </c>
      <c r="P1272" s="23" t="n">
        <f aca="false">G1272+H1272</f>
        <v>157.83</v>
      </c>
      <c r="Q1272" s="23" t="n">
        <f aca="false">G1272*INDEX(Assumptions!$B$8:$B$16,MATCH(F1272,Assumptions!$A$8:$A$16,0))</f>
        <v>94.18</v>
      </c>
      <c r="R1272" s="23" t="n">
        <f aca="false">H1272*Assumptions!$B$3</f>
        <v>11.598</v>
      </c>
      <c r="S1272" s="23" t="n">
        <f aca="false">G1272-Q1272-R1272</f>
        <v>32.722</v>
      </c>
      <c r="T1272" s="21" t="str">
        <f aca="false">IF(M1272&lt;=7,"0-7 days",IF(M1272&lt;=14,"8-14 days",IF(M1272&lt;=21,"15-21 days","22+ days")))</f>
        <v>0-7 days</v>
      </c>
    </row>
    <row r="1273" customFormat="false" ht="15" hidden="false" customHeight="false" outlineLevel="0" collapsed="false">
      <c r="A1273" s="21" t="s">
        <v>1339</v>
      </c>
      <c r="B1273" s="21" t="s">
        <v>55</v>
      </c>
      <c r="C1273" s="22" t="n">
        <v>43198</v>
      </c>
      <c r="D1273" s="22" t="n">
        <v>43220</v>
      </c>
      <c r="E1273" s="22" t="n">
        <v>43222</v>
      </c>
      <c r="F1273" s="21" t="s">
        <v>59</v>
      </c>
      <c r="G1273" s="23" t="n">
        <v>59.74</v>
      </c>
      <c r="H1273" s="23" t="n">
        <v>20.8</v>
      </c>
      <c r="I1273" s="21" t="s">
        <v>45</v>
      </c>
      <c r="J1273" s="21" t="n">
        <v>5</v>
      </c>
      <c r="K1273" s="21" t="s">
        <v>46</v>
      </c>
      <c r="L1273" s="24" t="n">
        <f aca="false">DATE(YEAR(C1273),MONTH(C1273),1)</f>
        <v>43191</v>
      </c>
      <c r="M1273" s="21" t="n">
        <f aca="false">D1273-C1273</f>
        <v>22</v>
      </c>
      <c r="N1273" s="21" t="n">
        <f aca="false">MAX(0,D1273-E1273)</f>
        <v>0</v>
      </c>
      <c r="O1273" s="21" t="n">
        <f aca="false">IF(D1273&lt;=E1273,1,0)</f>
        <v>1</v>
      </c>
      <c r="P1273" s="23" t="n">
        <f aca="false">G1273+H1273</f>
        <v>80.54</v>
      </c>
      <c r="Q1273" s="23" t="n">
        <f aca="false">G1273*INDEX(Assumptions!$B$8:$B$16,MATCH(F1273,Assumptions!$A$8:$A$16,0))</f>
        <v>38.2336</v>
      </c>
      <c r="R1273" s="23" t="n">
        <f aca="false">H1273*Assumptions!$B$3</f>
        <v>12.48</v>
      </c>
      <c r="S1273" s="23" t="n">
        <f aca="false">G1273-Q1273-R1273</f>
        <v>9.0264</v>
      </c>
      <c r="T1273" s="21" t="str">
        <f aca="false">IF(M1273&lt;=7,"0-7 days",IF(M1273&lt;=14,"8-14 days",IF(M1273&lt;=21,"15-21 days","22+ days")))</f>
        <v>22+ days</v>
      </c>
    </row>
    <row r="1274" customFormat="false" ht="15" hidden="false" customHeight="false" outlineLevel="0" collapsed="false">
      <c r="A1274" s="21" t="s">
        <v>1340</v>
      </c>
      <c r="B1274" s="21" t="s">
        <v>201</v>
      </c>
      <c r="C1274" s="22" t="n">
        <v>43198</v>
      </c>
      <c r="D1274" s="22" t="n">
        <v>43214</v>
      </c>
      <c r="E1274" s="22" t="n">
        <v>43231</v>
      </c>
      <c r="F1274" s="21" t="s">
        <v>67</v>
      </c>
      <c r="G1274" s="23" t="n">
        <v>63.13</v>
      </c>
      <c r="H1274" s="23" t="n">
        <v>42.53</v>
      </c>
      <c r="I1274" s="21" t="s">
        <v>60</v>
      </c>
      <c r="J1274" s="21" t="n">
        <v>5</v>
      </c>
      <c r="K1274" s="21" t="s">
        <v>46</v>
      </c>
      <c r="L1274" s="24" t="n">
        <f aca="false">DATE(YEAR(C1274),MONTH(C1274),1)</f>
        <v>43191</v>
      </c>
      <c r="M1274" s="21" t="n">
        <f aca="false">D1274-C1274</f>
        <v>16</v>
      </c>
      <c r="N1274" s="21" t="n">
        <f aca="false">MAX(0,D1274-E1274)</f>
        <v>0</v>
      </c>
      <c r="O1274" s="21" t="n">
        <f aca="false">IF(D1274&lt;=E1274,1,0)</f>
        <v>1</v>
      </c>
      <c r="P1274" s="23" t="n">
        <f aca="false">G1274+H1274</f>
        <v>105.66</v>
      </c>
      <c r="Q1274" s="23" t="n">
        <f aca="false">G1274*INDEX(Assumptions!$B$8:$B$16,MATCH(F1274,Assumptions!$A$8:$A$16,0))</f>
        <v>39.1406</v>
      </c>
      <c r="R1274" s="23" t="n">
        <f aca="false">H1274*Assumptions!$B$3</f>
        <v>25.518</v>
      </c>
      <c r="S1274" s="23" t="n">
        <f aca="false">G1274-Q1274-R1274</f>
        <v>-1.5286</v>
      </c>
      <c r="T1274" s="21" t="str">
        <f aca="false">IF(M1274&lt;=7,"0-7 days",IF(M1274&lt;=14,"8-14 days",IF(M1274&lt;=21,"15-21 days","22+ days")))</f>
        <v>15-21 days</v>
      </c>
    </row>
    <row r="1275" customFormat="false" ht="15" hidden="false" customHeight="false" outlineLevel="0" collapsed="false">
      <c r="A1275" s="21" t="s">
        <v>1341</v>
      </c>
      <c r="B1275" s="21" t="s">
        <v>62</v>
      </c>
      <c r="C1275" s="22" t="n">
        <v>43198</v>
      </c>
      <c r="D1275" s="22" t="n">
        <v>43211</v>
      </c>
      <c r="E1275" s="22" t="n">
        <v>43216</v>
      </c>
      <c r="F1275" s="21" t="s">
        <v>111</v>
      </c>
      <c r="G1275" s="23" t="n">
        <v>151.09</v>
      </c>
      <c r="H1275" s="23" t="n">
        <v>28.24</v>
      </c>
      <c r="I1275" s="21" t="s">
        <v>45</v>
      </c>
      <c r="J1275" s="21" t="n">
        <v>5</v>
      </c>
      <c r="K1275" s="21" t="s">
        <v>46</v>
      </c>
      <c r="L1275" s="24" t="n">
        <f aca="false">DATE(YEAR(C1275),MONTH(C1275),1)</f>
        <v>43191</v>
      </c>
      <c r="M1275" s="21" t="n">
        <f aca="false">D1275-C1275</f>
        <v>13</v>
      </c>
      <c r="N1275" s="21" t="n">
        <f aca="false">MAX(0,D1275-E1275)</f>
        <v>0</v>
      </c>
      <c r="O1275" s="21" t="n">
        <f aca="false">IF(D1275&lt;=E1275,1,0)</f>
        <v>1</v>
      </c>
      <c r="P1275" s="23" t="n">
        <f aca="false">G1275+H1275</f>
        <v>179.33</v>
      </c>
      <c r="Q1275" s="23" t="n">
        <f aca="false">G1275*INDEX(Assumptions!$B$8:$B$16,MATCH(F1275,Assumptions!$A$8:$A$16,0))</f>
        <v>95.1867</v>
      </c>
      <c r="R1275" s="23" t="n">
        <f aca="false">H1275*Assumptions!$B$3</f>
        <v>16.944</v>
      </c>
      <c r="S1275" s="23" t="n">
        <f aca="false">G1275-Q1275-R1275</f>
        <v>38.9593</v>
      </c>
      <c r="T1275" s="21" t="str">
        <f aca="false">IF(M1275&lt;=7,"0-7 days",IF(M1275&lt;=14,"8-14 days",IF(M1275&lt;=21,"15-21 days","22+ days")))</f>
        <v>8-14 days</v>
      </c>
    </row>
    <row r="1276" customFormat="false" ht="15" hidden="false" customHeight="false" outlineLevel="0" collapsed="false">
      <c r="A1276" s="21" t="s">
        <v>1342</v>
      </c>
      <c r="B1276" s="21" t="s">
        <v>19</v>
      </c>
      <c r="C1276" s="22" t="n">
        <v>43198</v>
      </c>
      <c r="D1276" s="22" t="n">
        <v>43204</v>
      </c>
      <c r="E1276" s="22" t="n">
        <v>43212</v>
      </c>
      <c r="F1276" s="21" t="s">
        <v>67</v>
      </c>
      <c r="G1276" s="23" t="n">
        <v>83.01</v>
      </c>
      <c r="H1276" s="23" t="n">
        <v>15.42</v>
      </c>
      <c r="I1276" s="21" t="s">
        <v>50</v>
      </c>
      <c r="J1276" s="21" t="n">
        <v>5</v>
      </c>
      <c r="K1276" s="21" t="s">
        <v>46</v>
      </c>
      <c r="L1276" s="24" t="n">
        <f aca="false">DATE(YEAR(C1276),MONTH(C1276),1)</f>
        <v>43191</v>
      </c>
      <c r="M1276" s="21" t="n">
        <f aca="false">D1276-C1276</f>
        <v>6</v>
      </c>
      <c r="N1276" s="21" t="n">
        <f aca="false">MAX(0,D1276-E1276)</f>
        <v>0</v>
      </c>
      <c r="O1276" s="21" t="n">
        <f aca="false">IF(D1276&lt;=E1276,1,0)</f>
        <v>1</v>
      </c>
      <c r="P1276" s="23" t="n">
        <f aca="false">G1276+H1276</f>
        <v>98.43</v>
      </c>
      <c r="Q1276" s="23" t="n">
        <f aca="false">G1276*INDEX(Assumptions!$B$8:$B$16,MATCH(F1276,Assumptions!$A$8:$A$16,0))</f>
        <v>51.4662</v>
      </c>
      <c r="R1276" s="23" t="n">
        <f aca="false">H1276*Assumptions!$B$3</f>
        <v>9.252</v>
      </c>
      <c r="S1276" s="23" t="n">
        <f aca="false">G1276-Q1276-R1276</f>
        <v>22.2918</v>
      </c>
      <c r="T1276" s="21" t="str">
        <f aca="false">IF(M1276&lt;=7,"0-7 days",IF(M1276&lt;=14,"8-14 days",IF(M1276&lt;=21,"15-21 days","22+ days")))</f>
        <v>0-7 days</v>
      </c>
    </row>
    <row r="1277" customFormat="false" ht="15" hidden="false" customHeight="false" outlineLevel="0" collapsed="false">
      <c r="A1277" s="21" t="s">
        <v>1343</v>
      </c>
      <c r="B1277" s="21" t="s">
        <v>93</v>
      </c>
      <c r="C1277" s="22" t="n">
        <v>43199</v>
      </c>
      <c r="D1277" s="22" t="n">
        <v>43221</v>
      </c>
      <c r="E1277" s="22" t="n">
        <v>43230</v>
      </c>
      <c r="F1277" s="21" t="s">
        <v>67</v>
      </c>
      <c r="G1277" s="23" t="n">
        <v>300.84</v>
      </c>
      <c r="H1277" s="23" t="n">
        <v>30.88</v>
      </c>
      <c r="I1277" s="21" t="s">
        <v>45</v>
      </c>
      <c r="J1277" s="21" t="n">
        <v>4</v>
      </c>
      <c r="K1277" s="21" t="s">
        <v>46</v>
      </c>
      <c r="L1277" s="24" t="n">
        <f aca="false">DATE(YEAR(C1277),MONTH(C1277),1)</f>
        <v>43191</v>
      </c>
      <c r="M1277" s="21" t="n">
        <f aca="false">D1277-C1277</f>
        <v>22</v>
      </c>
      <c r="N1277" s="21" t="n">
        <f aca="false">MAX(0,D1277-E1277)</f>
        <v>0</v>
      </c>
      <c r="O1277" s="21" t="n">
        <f aca="false">IF(D1277&lt;=E1277,1,0)</f>
        <v>1</v>
      </c>
      <c r="P1277" s="23" t="n">
        <f aca="false">G1277+H1277</f>
        <v>331.72</v>
      </c>
      <c r="Q1277" s="23" t="n">
        <f aca="false">G1277*INDEX(Assumptions!$B$8:$B$16,MATCH(F1277,Assumptions!$A$8:$A$16,0))</f>
        <v>186.5208</v>
      </c>
      <c r="R1277" s="23" t="n">
        <f aca="false">H1277*Assumptions!$B$3</f>
        <v>18.528</v>
      </c>
      <c r="S1277" s="23" t="n">
        <f aca="false">G1277-Q1277-R1277</f>
        <v>95.7912</v>
      </c>
      <c r="T1277" s="21" t="str">
        <f aca="false">IF(M1277&lt;=7,"0-7 days",IF(M1277&lt;=14,"8-14 days",IF(M1277&lt;=21,"15-21 days","22+ days")))</f>
        <v>22+ days</v>
      </c>
    </row>
    <row r="1278" customFormat="false" ht="15" hidden="false" customHeight="false" outlineLevel="0" collapsed="false">
      <c r="A1278" s="21" t="s">
        <v>1344</v>
      </c>
      <c r="B1278" s="21" t="s">
        <v>55</v>
      </c>
      <c r="C1278" s="22" t="n">
        <v>43199</v>
      </c>
      <c r="D1278" s="22" t="n">
        <v>43210</v>
      </c>
      <c r="E1278" s="22" t="n">
        <v>43226</v>
      </c>
      <c r="F1278" s="21" t="s">
        <v>44</v>
      </c>
      <c r="G1278" s="23" t="n">
        <v>191.58</v>
      </c>
      <c r="H1278" s="23" t="n">
        <v>20.19</v>
      </c>
      <c r="I1278" s="21" t="s">
        <v>45</v>
      </c>
      <c r="J1278" s="21" t="n">
        <v>4</v>
      </c>
      <c r="K1278" s="21" t="s">
        <v>46</v>
      </c>
      <c r="L1278" s="24" t="n">
        <f aca="false">DATE(YEAR(C1278),MONTH(C1278),1)</f>
        <v>43191</v>
      </c>
      <c r="M1278" s="21" t="n">
        <f aca="false">D1278-C1278</f>
        <v>11</v>
      </c>
      <c r="N1278" s="21" t="n">
        <f aca="false">MAX(0,D1278-E1278)</f>
        <v>0</v>
      </c>
      <c r="O1278" s="21" t="n">
        <f aca="false">IF(D1278&lt;=E1278,1,0)</f>
        <v>1</v>
      </c>
      <c r="P1278" s="23" t="n">
        <f aca="false">G1278+H1278</f>
        <v>211.77</v>
      </c>
      <c r="Q1278" s="23" t="n">
        <f aca="false">G1278*INDEX(Assumptions!$B$8:$B$16,MATCH(F1278,Assumptions!$A$8:$A$16,0))</f>
        <v>114.948</v>
      </c>
      <c r="R1278" s="23" t="n">
        <f aca="false">H1278*Assumptions!$B$3</f>
        <v>12.114</v>
      </c>
      <c r="S1278" s="23" t="n">
        <f aca="false">G1278-Q1278-R1278</f>
        <v>64.518</v>
      </c>
      <c r="T1278" s="21" t="str">
        <f aca="false">IF(M1278&lt;=7,"0-7 days",IF(M1278&lt;=14,"8-14 days",IF(M1278&lt;=21,"15-21 days","22+ days")))</f>
        <v>8-14 days</v>
      </c>
    </row>
    <row r="1279" customFormat="false" ht="15" hidden="false" customHeight="false" outlineLevel="0" collapsed="false">
      <c r="A1279" s="21" t="s">
        <v>1345</v>
      </c>
      <c r="B1279" s="21" t="s">
        <v>55</v>
      </c>
      <c r="C1279" s="22" t="n">
        <v>43199</v>
      </c>
      <c r="D1279" s="22" t="n">
        <v>43217</v>
      </c>
      <c r="E1279" s="22" t="n">
        <v>43225</v>
      </c>
      <c r="F1279" s="21" t="s">
        <v>111</v>
      </c>
      <c r="G1279" s="23" t="n">
        <v>42.13</v>
      </c>
      <c r="H1279" s="23" t="n">
        <v>29.72</v>
      </c>
      <c r="I1279" s="21" t="s">
        <v>45</v>
      </c>
      <c r="J1279" s="21" t="n">
        <v>4</v>
      </c>
      <c r="K1279" s="21" t="s">
        <v>46</v>
      </c>
      <c r="L1279" s="24" t="n">
        <f aca="false">DATE(YEAR(C1279),MONTH(C1279),1)</f>
        <v>43191</v>
      </c>
      <c r="M1279" s="21" t="n">
        <f aca="false">D1279-C1279</f>
        <v>18</v>
      </c>
      <c r="N1279" s="21" t="n">
        <f aca="false">MAX(0,D1279-E1279)</f>
        <v>0</v>
      </c>
      <c r="O1279" s="21" t="n">
        <f aca="false">IF(D1279&lt;=E1279,1,0)</f>
        <v>1</v>
      </c>
      <c r="P1279" s="23" t="n">
        <f aca="false">G1279+H1279</f>
        <v>71.85</v>
      </c>
      <c r="Q1279" s="23" t="n">
        <f aca="false">G1279*INDEX(Assumptions!$B$8:$B$16,MATCH(F1279,Assumptions!$A$8:$A$16,0))</f>
        <v>26.5419</v>
      </c>
      <c r="R1279" s="23" t="n">
        <f aca="false">H1279*Assumptions!$B$3</f>
        <v>17.832</v>
      </c>
      <c r="S1279" s="23" t="n">
        <f aca="false">G1279-Q1279-R1279</f>
        <v>-2.2439</v>
      </c>
      <c r="T1279" s="21" t="str">
        <f aca="false">IF(M1279&lt;=7,"0-7 days",IF(M1279&lt;=14,"8-14 days",IF(M1279&lt;=21,"15-21 days","22+ days")))</f>
        <v>15-21 days</v>
      </c>
    </row>
    <row r="1280" customFormat="false" ht="15" hidden="false" customHeight="false" outlineLevel="0" collapsed="false">
      <c r="A1280" s="21" t="s">
        <v>1346</v>
      </c>
      <c r="B1280" s="21" t="s">
        <v>19</v>
      </c>
      <c r="C1280" s="22" t="n">
        <v>43199</v>
      </c>
      <c r="D1280" s="22" t="n">
        <v>43207</v>
      </c>
      <c r="E1280" s="22" t="n">
        <v>43216</v>
      </c>
      <c r="F1280" s="21" t="s">
        <v>49</v>
      </c>
      <c r="G1280" s="23" t="n">
        <v>104.94</v>
      </c>
      <c r="H1280" s="23" t="n">
        <v>19.4</v>
      </c>
      <c r="I1280" s="21" t="s">
        <v>45</v>
      </c>
      <c r="J1280" s="21" t="n">
        <v>4</v>
      </c>
      <c r="K1280" s="21" t="s">
        <v>46</v>
      </c>
      <c r="L1280" s="24" t="n">
        <f aca="false">DATE(YEAR(C1280),MONTH(C1280),1)</f>
        <v>43191</v>
      </c>
      <c r="M1280" s="21" t="n">
        <f aca="false">D1280-C1280</f>
        <v>8</v>
      </c>
      <c r="N1280" s="21" t="n">
        <f aca="false">MAX(0,D1280-E1280)</f>
        <v>0</v>
      </c>
      <c r="O1280" s="21" t="n">
        <f aca="false">IF(D1280&lt;=E1280,1,0)</f>
        <v>1</v>
      </c>
      <c r="P1280" s="23" t="n">
        <f aca="false">G1280+H1280</f>
        <v>124.34</v>
      </c>
      <c r="Q1280" s="23" t="n">
        <f aca="false">G1280*INDEX(Assumptions!$B$8:$B$16,MATCH(F1280,Assumptions!$A$8:$A$16,0))</f>
        <v>60.8652</v>
      </c>
      <c r="R1280" s="23" t="n">
        <f aca="false">H1280*Assumptions!$B$3</f>
        <v>11.64</v>
      </c>
      <c r="S1280" s="23" t="n">
        <f aca="false">G1280-Q1280-R1280</f>
        <v>32.4348</v>
      </c>
      <c r="T1280" s="21" t="str">
        <f aca="false">IF(M1280&lt;=7,"0-7 days",IF(M1280&lt;=14,"8-14 days",IF(M1280&lt;=21,"15-21 days","22+ days")))</f>
        <v>8-14 days</v>
      </c>
    </row>
    <row r="1281" customFormat="false" ht="15" hidden="false" customHeight="false" outlineLevel="0" collapsed="false">
      <c r="A1281" s="21" t="s">
        <v>1347</v>
      </c>
      <c r="B1281" s="21" t="s">
        <v>19</v>
      </c>
      <c r="C1281" s="22" t="n">
        <v>43199</v>
      </c>
      <c r="D1281" s="22" t="n">
        <v>43213</v>
      </c>
      <c r="E1281" s="22" t="n">
        <v>43214</v>
      </c>
      <c r="F1281" s="21" t="s">
        <v>49</v>
      </c>
      <c r="G1281" s="23" t="n">
        <v>71.48</v>
      </c>
      <c r="H1281" s="23" t="n">
        <v>14.68</v>
      </c>
      <c r="I1281" s="21" t="s">
        <v>50</v>
      </c>
      <c r="J1281" s="21" t="n">
        <v>4</v>
      </c>
      <c r="K1281" s="21" t="s">
        <v>46</v>
      </c>
      <c r="L1281" s="24" t="n">
        <f aca="false">DATE(YEAR(C1281),MONTH(C1281),1)</f>
        <v>43191</v>
      </c>
      <c r="M1281" s="21" t="n">
        <f aca="false">D1281-C1281</f>
        <v>14</v>
      </c>
      <c r="N1281" s="21" t="n">
        <f aca="false">MAX(0,D1281-E1281)</f>
        <v>0</v>
      </c>
      <c r="O1281" s="21" t="n">
        <f aca="false">IF(D1281&lt;=E1281,1,0)</f>
        <v>1</v>
      </c>
      <c r="P1281" s="23" t="n">
        <f aca="false">G1281+H1281</f>
        <v>86.16</v>
      </c>
      <c r="Q1281" s="23" t="n">
        <f aca="false">G1281*INDEX(Assumptions!$B$8:$B$16,MATCH(F1281,Assumptions!$A$8:$A$16,0))</f>
        <v>41.4584</v>
      </c>
      <c r="R1281" s="23" t="n">
        <f aca="false">H1281*Assumptions!$B$3</f>
        <v>8.808</v>
      </c>
      <c r="S1281" s="23" t="n">
        <f aca="false">G1281-Q1281-R1281</f>
        <v>21.2136</v>
      </c>
      <c r="T1281" s="21" t="str">
        <f aca="false">IF(M1281&lt;=7,"0-7 days",IF(M1281&lt;=14,"8-14 days",IF(M1281&lt;=21,"15-21 days","22+ days")))</f>
        <v>8-14 days</v>
      </c>
    </row>
    <row r="1282" customFormat="false" ht="15" hidden="false" customHeight="false" outlineLevel="0" collapsed="false">
      <c r="A1282" s="21" t="s">
        <v>1348</v>
      </c>
      <c r="B1282" s="21" t="s">
        <v>55</v>
      </c>
      <c r="C1282" s="22" t="n">
        <v>43200</v>
      </c>
      <c r="D1282" s="22" t="n">
        <v>43214</v>
      </c>
      <c r="E1282" s="22" t="n">
        <v>43224</v>
      </c>
      <c r="F1282" s="21" t="s">
        <v>67</v>
      </c>
      <c r="G1282" s="23" t="n">
        <v>32.32</v>
      </c>
      <c r="H1282" s="23" t="n">
        <v>22.46</v>
      </c>
      <c r="I1282" s="21" t="s">
        <v>45</v>
      </c>
      <c r="J1282" s="21" t="n">
        <v>4</v>
      </c>
      <c r="K1282" s="21" t="s">
        <v>46</v>
      </c>
      <c r="L1282" s="24" t="n">
        <f aca="false">DATE(YEAR(C1282),MONTH(C1282),1)</f>
        <v>43191</v>
      </c>
      <c r="M1282" s="21" t="n">
        <f aca="false">D1282-C1282</f>
        <v>14</v>
      </c>
      <c r="N1282" s="21" t="n">
        <f aca="false">MAX(0,D1282-E1282)</f>
        <v>0</v>
      </c>
      <c r="O1282" s="21" t="n">
        <f aca="false">IF(D1282&lt;=E1282,1,0)</f>
        <v>1</v>
      </c>
      <c r="P1282" s="23" t="n">
        <f aca="false">G1282+H1282</f>
        <v>54.78</v>
      </c>
      <c r="Q1282" s="23" t="n">
        <f aca="false">G1282*INDEX(Assumptions!$B$8:$B$16,MATCH(F1282,Assumptions!$A$8:$A$16,0))</f>
        <v>20.0384</v>
      </c>
      <c r="R1282" s="23" t="n">
        <f aca="false">H1282*Assumptions!$B$3</f>
        <v>13.476</v>
      </c>
      <c r="S1282" s="23" t="n">
        <f aca="false">G1282-Q1282-R1282</f>
        <v>-1.1944</v>
      </c>
      <c r="T1282" s="21" t="str">
        <f aca="false">IF(M1282&lt;=7,"0-7 days",IF(M1282&lt;=14,"8-14 days",IF(M1282&lt;=21,"15-21 days","22+ days")))</f>
        <v>8-14 days</v>
      </c>
    </row>
    <row r="1283" customFormat="false" ht="15" hidden="false" customHeight="false" outlineLevel="0" collapsed="false">
      <c r="A1283" s="21" t="s">
        <v>1349</v>
      </c>
      <c r="B1283" s="21" t="s">
        <v>48</v>
      </c>
      <c r="C1283" s="22" t="n">
        <v>43200</v>
      </c>
      <c r="D1283" s="22" t="n">
        <v>43212</v>
      </c>
      <c r="E1283" s="22" t="n">
        <v>43224</v>
      </c>
      <c r="F1283" s="21" t="s">
        <v>49</v>
      </c>
      <c r="G1283" s="23" t="n">
        <v>106.07</v>
      </c>
      <c r="H1283" s="23" t="n">
        <v>19.72</v>
      </c>
      <c r="I1283" s="21" t="s">
        <v>60</v>
      </c>
      <c r="J1283" s="21" t="n">
        <v>5</v>
      </c>
      <c r="K1283" s="21" t="s">
        <v>46</v>
      </c>
      <c r="L1283" s="24" t="n">
        <f aca="false">DATE(YEAR(C1283),MONTH(C1283),1)</f>
        <v>43191</v>
      </c>
      <c r="M1283" s="21" t="n">
        <f aca="false">D1283-C1283</f>
        <v>12</v>
      </c>
      <c r="N1283" s="21" t="n">
        <f aca="false">MAX(0,D1283-E1283)</f>
        <v>0</v>
      </c>
      <c r="O1283" s="21" t="n">
        <f aca="false">IF(D1283&lt;=E1283,1,0)</f>
        <v>1</v>
      </c>
      <c r="P1283" s="23" t="n">
        <f aca="false">G1283+H1283</f>
        <v>125.79</v>
      </c>
      <c r="Q1283" s="23" t="n">
        <f aca="false">G1283*INDEX(Assumptions!$B$8:$B$16,MATCH(F1283,Assumptions!$A$8:$A$16,0))</f>
        <v>61.5206</v>
      </c>
      <c r="R1283" s="23" t="n">
        <f aca="false">H1283*Assumptions!$B$3</f>
        <v>11.832</v>
      </c>
      <c r="S1283" s="23" t="n">
        <f aca="false">G1283-Q1283-R1283</f>
        <v>32.7174</v>
      </c>
      <c r="T1283" s="21" t="str">
        <f aca="false">IF(M1283&lt;=7,"0-7 days",IF(M1283&lt;=14,"8-14 days",IF(M1283&lt;=21,"15-21 days","22+ days")))</f>
        <v>8-14 days</v>
      </c>
    </row>
    <row r="1284" customFormat="false" ht="15" hidden="false" customHeight="false" outlineLevel="0" collapsed="false">
      <c r="A1284" s="21" t="s">
        <v>1350</v>
      </c>
      <c r="B1284" s="21" t="s">
        <v>19</v>
      </c>
      <c r="C1284" s="22" t="n">
        <v>43200</v>
      </c>
      <c r="D1284" s="22" t="n">
        <v>43204</v>
      </c>
      <c r="E1284" s="22" t="n">
        <v>43216</v>
      </c>
      <c r="F1284" s="21" t="s">
        <v>44</v>
      </c>
      <c r="G1284" s="23" t="n">
        <v>74.19</v>
      </c>
      <c r="H1284" s="23" t="n">
        <v>20.92</v>
      </c>
      <c r="I1284" s="21" t="s">
        <v>45</v>
      </c>
      <c r="J1284" s="21" t="n">
        <v>4</v>
      </c>
      <c r="K1284" s="21" t="s">
        <v>46</v>
      </c>
      <c r="L1284" s="24" t="n">
        <f aca="false">DATE(YEAR(C1284),MONTH(C1284),1)</f>
        <v>43191</v>
      </c>
      <c r="M1284" s="21" t="n">
        <f aca="false">D1284-C1284</f>
        <v>4</v>
      </c>
      <c r="N1284" s="21" t="n">
        <f aca="false">MAX(0,D1284-E1284)</f>
        <v>0</v>
      </c>
      <c r="O1284" s="21" t="n">
        <f aca="false">IF(D1284&lt;=E1284,1,0)</f>
        <v>1</v>
      </c>
      <c r="P1284" s="23" t="n">
        <f aca="false">G1284+H1284</f>
        <v>95.11</v>
      </c>
      <c r="Q1284" s="23" t="n">
        <f aca="false">G1284*INDEX(Assumptions!$B$8:$B$16,MATCH(F1284,Assumptions!$A$8:$A$16,0))</f>
        <v>44.514</v>
      </c>
      <c r="R1284" s="23" t="n">
        <f aca="false">H1284*Assumptions!$B$3</f>
        <v>12.552</v>
      </c>
      <c r="S1284" s="23" t="n">
        <f aca="false">G1284-Q1284-R1284</f>
        <v>17.124</v>
      </c>
      <c r="T1284" s="21" t="str">
        <f aca="false">IF(M1284&lt;=7,"0-7 days",IF(M1284&lt;=14,"8-14 days",IF(M1284&lt;=21,"15-21 days","22+ days")))</f>
        <v>0-7 days</v>
      </c>
    </row>
    <row r="1285" customFormat="false" ht="15" hidden="false" customHeight="false" outlineLevel="0" collapsed="false">
      <c r="A1285" s="21" t="s">
        <v>1351</v>
      </c>
      <c r="B1285" s="21" t="s">
        <v>55</v>
      </c>
      <c r="C1285" s="22" t="n">
        <v>43200</v>
      </c>
      <c r="D1285" s="22" t="n">
        <v>43226</v>
      </c>
      <c r="E1285" s="22" t="n">
        <v>43226</v>
      </c>
      <c r="F1285" s="21" t="s">
        <v>57</v>
      </c>
      <c r="G1285" s="23" t="n">
        <v>73.86</v>
      </c>
      <c r="H1285" s="23" t="n">
        <v>27.32</v>
      </c>
      <c r="I1285" s="21" t="s">
        <v>45</v>
      </c>
      <c r="J1285" s="21" t="n">
        <v>2</v>
      </c>
      <c r="K1285" s="21" t="s">
        <v>46</v>
      </c>
      <c r="L1285" s="24" t="n">
        <f aca="false">DATE(YEAR(C1285),MONTH(C1285),1)</f>
        <v>43191</v>
      </c>
      <c r="M1285" s="21" t="n">
        <f aca="false">D1285-C1285</f>
        <v>26</v>
      </c>
      <c r="N1285" s="21" t="n">
        <f aca="false">MAX(0,D1285-E1285)</f>
        <v>0</v>
      </c>
      <c r="O1285" s="21" t="n">
        <f aca="false">IF(D1285&lt;=E1285,1,0)</f>
        <v>1</v>
      </c>
      <c r="P1285" s="23" t="n">
        <f aca="false">G1285+H1285</f>
        <v>101.18</v>
      </c>
      <c r="Q1285" s="23" t="n">
        <f aca="false">G1285*INDEX(Assumptions!$B$8:$B$16,MATCH(F1285,Assumptions!$A$8:$A$16,0))</f>
        <v>50.2248</v>
      </c>
      <c r="R1285" s="23" t="n">
        <f aca="false">H1285*Assumptions!$B$3</f>
        <v>16.392</v>
      </c>
      <c r="S1285" s="23" t="n">
        <f aca="false">G1285-Q1285-R1285</f>
        <v>7.2432</v>
      </c>
      <c r="T1285" s="21" t="str">
        <f aca="false">IF(M1285&lt;=7,"0-7 days",IF(M1285&lt;=14,"8-14 days",IF(M1285&lt;=21,"15-21 days","22+ days")))</f>
        <v>22+ days</v>
      </c>
    </row>
    <row r="1286" customFormat="false" ht="15" hidden="false" customHeight="false" outlineLevel="0" collapsed="false">
      <c r="A1286" s="21" t="s">
        <v>1352</v>
      </c>
      <c r="B1286" s="21" t="s">
        <v>19</v>
      </c>
      <c r="C1286" s="22" t="n">
        <v>43201</v>
      </c>
      <c r="D1286" s="22" t="n">
        <v>43208</v>
      </c>
      <c r="E1286" s="22" t="n">
        <v>43214</v>
      </c>
      <c r="F1286" s="21" t="s">
        <v>67</v>
      </c>
      <c r="G1286" s="23" t="n">
        <v>133.52</v>
      </c>
      <c r="H1286" s="23" t="n">
        <v>19.14</v>
      </c>
      <c r="I1286" s="21" t="s">
        <v>45</v>
      </c>
      <c r="J1286" s="21" t="n">
        <v>5</v>
      </c>
      <c r="K1286" s="21" t="s">
        <v>46</v>
      </c>
      <c r="L1286" s="24" t="n">
        <f aca="false">DATE(YEAR(C1286),MONTH(C1286),1)</f>
        <v>43191</v>
      </c>
      <c r="M1286" s="21" t="n">
        <f aca="false">D1286-C1286</f>
        <v>7</v>
      </c>
      <c r="N1286" s="21" t="n">
        <f aca="false">MAX(0,D1286-E1286)</f>
        <v>0</v>
      </c>
      <c r="O1286" s="21" t="n">
        <f aca="false">IF(D1286&lt;=E1286,1,0)</f>
        <v>1</v>
      </c>
      <c r="P1286" s="23" t="n">
        <f aca="false">G1286+H1286</f>
        <v>152.66</v>
      </c>
      <c r="Q1286" s="23" t="n">
        <f aca="false">G1286*INDEX(Assumptions!$B$8:$B$16,MATCH(F1286,Assumptions!$A$8:$A$16,0))</f>
        <v>82.7824</v>
      </c>
      <c r="R1286" s="23" t="n">
        <f aca="false">H1286*Assumptions!$B$3</f>
        <v>11.484</v>
      </c>
      <c r="S1286" s="23" t="n">
        <f aca="false">G1286-Q1286-R1286</f>
        <v>39.2536</v>
      </c>
      <c r="T1286" s="21" t="str">
        <f aca="false">IF(M1286&lt;=7,"0-7 days",IF(M1286&lt;=14,"8-14 days",IF(M1286&lt;=21,"15-21 days","22+ days")))</f>
        <v>0-7 days</v>
      </c>
    </row>
    <row r="1287" customFormat="false" ht="15" hidden="false" customHeight="false" outlineLevel="0" collapsed="false">
      <c r="A1287" s="21" t="s">
        <v>1353</v>
      </c>
      <c r="B1287" s="21" t="s">
        <v>62</v>
      </c>
      <c r="C1287" s="22" t="n">
        <v>43201</v>
      </c>
      <c r="D1287" s="22" t="n">
        <v>43208</v>
      </c>
      <c r="E1287" s="22" t="n">
        <v>43221</v>
      </c>
      <c r="F1287" s="21" t="s">
        <v>59</v>
      </c>
      <c r="G1287" s="23" t="n">
        <v>140.93</v>
      </c>
      <c r="H1287" s="23" t="n">
        <v>18.6</v>
      </c>
      <c r="I1287" s="21" t="s">
        <v>45</v>
      </c>
      <c r="J1287" s="21" t="n">
        <v>4</v>
      </c>
      <c r="K1287" s="21" t="s">
        <v>46</v>
      </c>
      <c r="L1287" s="24" t="n">
        <f aca="false">DATE(YEAR(C1287),MONTH(C1287),1)</f>
        <v>43191</v>
      </c>
      <c r="M1287" s="21" t="n">
        <f aca="false">D1287-C1287</f>
        <v>7</v>
      </c>
      <c r="N1287" s="21" t="n">
        <f aca="false">MAX(0,D1287-E1287)</f>
        <v>0</v>
      </c>
      <c r="O1287" s="21" t="n">
        <f aca="false">IF(D1287&lt;=E1287,1,0)</f>
        <v>1</v>
      </c>
      <c r="P1287" s="23" t="n">
        <f aca="false">G1287+H1287</f>
        <v>159.53</v>
      </c>
      <c r="Q1287" s="23" t="n">
        <f aca="false">G1287*INDEX(Assumptions!$B$8:$B$16,MATCH(F1287,Assumptions!$A$8:$A$16,0))</f>
        <v>90.1952</v>
      </c>
      <c r="R1287" s="23" t="n">
        <f aca="false">H1287*Assumptions!$B$3</f>
        <v>11.16</v>
      </c>
      <c r="S1287" s="23" t="n">
        <f aca="false">G1287-Q1287-R1287</f>
        <v>39.5748</v>
      </c>
      <c r="T1287" s="21" t="str">
        <f aca="false">IF(M1287&lt;=7,"0-7 days",IF(M1287&lt;=14,"8-14 days",IF(M1287&lt;=21,"15-21 days","22+ days")))</f>
        <v>0-7 days</v>
      </c>
    </row>
    <row r="1288" customFormat="false" ht="15" hidden="false" customHeight="false" outlineLevel="0" collapsed="false">
      <c r="A1288" s="21" t="s">
        <v>1354</v>
      </c>
      <c r="B1288" s="21" t="s">
        <v>55</v>
      </c>
      <c r="C1288" s="22" t="n">
        <v>43201</v>
      </c>
      <c r="D1288" s="22" t="n">
        <v>43227</v>
      </c>
      <c r="E1288" s="22" t="n">
        <v>43226</v>
      </c>
      <c r="F1288" s="21" t="s">
        <v>64</v>
      </c>
      <c r="G1288" s="23" t="n">
        <v>265.42</v>
      </c>
      <c r="H1288" s="23" t="n">
        <v>23.22</v>
      </c>
      <c r="I1288" s="21" t="s">
        <v>45</v>
      </c>
      <c r="J1288" s="21" t="n">
        <v>3</v>
      </c>
      <c r="K1288" s="21" t="s">
        <v>46</v>
      </c>
      <c r="L1288" s="24" t="n">
        <f aca="false">DATE(YEAR(C1288),MONTH(C1288),1)</f>
        <v>43191</v>
      </c>
      <c r="M1288" s="21" t="n">
        <f aca="false">D1288-C1288</f>
        <v>26</v>
      </c>
      <c r="N1288" s="21" t="n">
        <f aca="false">MAX(0,D1288-E1288)</f>
        <v>1</v>
      </c>
      <c r="O1288" s="21" t="n">
        <f aca="false">IF(D1288&lt;=E1288,1,0)</f>
        <v>0</v>
      </c>
      <c r="P1288" s="23" t="n">
        <f aca="false">G1288+H1288</f>
        <v>288.64</v>
      </c>
      <c r="Q1288" s="23" t="n">
        <f aca="false">G1288*INDEX(Assumptions!$B$8:$B$16,MATCH(F1288,Assumptions!$A$8:$A$16,0))</f>
        <v>175.1772</v>
      </c>
      <c r="R1288" s="23" t="n">
        <f aca="false">H1288*Assumptions!$B$3</f>
        <v>13.932</v>
      </c>
      <c r="S1288" s="23" t="n">
        <f aca="false">G1288-Q1288-R1288</f>
        <v>76.3108</v>
      </c>
      <c r="T1288" s="21" t="str">
        <f aca="false">IF(M1288&lt;=7,"0-7 days",IF(M1288&lt;=14,"8-14 days",IF(M1288&lt;=21,"15-21 days","22+ days")))</f>
        <v>22+ days</v>
      </c>
    </row>
    <row r="1289" customFormat="false" ht="15" hidden="false" customHeight="false" outlineLevel="0" collapsed="false">
      <c r="A1289" s="21" t="s">
        <v>1355</v>
      </c>
      <c r="B1289" s="21" t="s">
        <v>55</v>
      </c>
      <c r="C1289" s="22" t="n">
        <v>43202</v>
      </c>
      <c r="D1289" s="22" t="n">
        <v>43222</v>
      </c>
      <c r="E1289" s="22" t="n">
        <v>43226</v>
      </c>
      <c r="F1289" s="21" t="s">
        <v>111</v>
      </c>
      <c r="G1289" s="23" t="n">
        <v>94.54</v>
      </c>
      <c r="H1289" s="23" t="n">
        <v>17.24</v>
      </c>
      <c r="I1289" s="21" t="s">
        <v>45</v>
      </c>
      <c r="J1289" s="21" t="n">
        <v>3</v>
      </c>
      <c r="K1289" s="21" t="s">
        <v>46</v>
      </c>
      <c r="L1289" s="24" t="n">
        <f aca="false">DATE(YEAR(C1289),MONTH(C1289),1)</f>
        <v>43191</v>
      </c>
      <c r="M1289" s="21" t="n">
        <f aca="false">D1289-C1289</f>
        <v>20</v>
      </c>
      <c r="N1289" s="21" t="n">
        <f aca="false">MAX(0,D1289-E1289)</f>
        <v>0</v>
      </c>
      <c r="O1289" s="21" t="n">
        <f aca="false">IF(D1289&lt;=E1289,1,0)</f>
        <v>1</v>
      </c>
      <c r="P1289" s="23" t="n">
        <f aca="false">G1289+H1289</f>
        <v>111.78</v>
      </c>
      <c r="Q1289" s="23" t="n">
        <f aca="false">G1289*INDEX(Assumptions!$B$8:$B$16,MATCH(F1289,Assumptions!$A$8:$A$16,0))</f>
        <v>59.5602</v>
      </c>
      <c r="R1289" s="23" t="n">
        <f aca="false">H1289*Assumptions!$B$3</f>
        <v>10.344</v>
      </c>
      <c r="S1289" s="23" t="n">
        <f aca="false">G1289-Q1289-R1289</f>
        <v>24.6358</v>
      </c>
      <c r="T1289" s="21" t="str">
        <f aca="false">IF(M1289&lt;=7,"0-7 days",IF(M1289&lt;=14,"8-14 days",IF(M1289&lt;=21,"15-21 days","22+ days")))</f>
        <v>15-21 days</v>
      </c>
    </row>
    <row r="1290" customFormat="false" ht="15" hidden="false" customHeight="false" outlineLevel="0" collapsed="false">
      <c r="A1290" s="21" t="s">
        <v>1356</v>
      </c>
      <c r="B1290" s="21" t="s">
        <v>48</v>
      </c>
      <c r="C1290" s="22" t="n">
        <v>43202</v>
      </c>
      <c r="D1290" s="22" t="n">
        <v>43209</v>
      </c>
      <c r="E1290" s="22" t="n">
        <v>43220</v>
      </c>
      <c r="F1290" s="21" t="s">
        <v>64</v>
      </c>
      <c r="G1290" s="23" t="n">
        <v>321.27</v>
      </c>
      <c r="H1290" s="23" t="n">
        <v>31.57</v>
      </c>
      <c r="I1290" s="21" t="s">
        <v>45</v>
      </c>
      <c r="J1290" s="21" t="n">
        <v>4</v>
      </c>
      <c r="K1290" s="21" t="s">
        <v>46</v>
      </c>
      <c r="L1290" s="24" t="n">
        <f aca="false">DATE(YEAR(C1290),MONTH(C1290),1)</f>
        <v>43191</v>
      </c>
      <c r="M1290" s="21" t="n">
        <f aca="false">D1290-C1290</f>
        <v>7</v>
      </c>
      <c r="N1290" s="21" t="n">
        <f aca="false">MAX(0,D1290-E1290)</f>
        <v>0</v>
      </c>
      <c r="O1290" s="21" t="n">
        <f aca="false">IF(D1290&lt;=E1290,1,0)</f>
        <v>1</v>
      </c>
      <c r="P1290" s="23" t="n">
        <f aca="false">G1290+H1290</f>
        <v>352.84</v>
      </c>
      <c r="Q1290" s="23" t="n">
        <f aca="false">G1290*INDEX(Assumptions!$B$8:$B$16,MATCH(F1290,Assumptions!$A$8:$A$16,0))</f>
        <v>212.0382</v>
      </c>
      <c r="R1290" s="23" t="n">
        <f aca="false">H1290*Assumptions!$B$3</f>
        <v>18.942</v>
      </c>
      <c r="S1290" s="23" t="n">
        <f aca="false">G1290-Q1290-R1290</f>
        <v>90.2898</v>
      </c>
      <c r="T1290" s="21" t="str">
        <f aca="false">IF(M1290&lt;=7,"0-7 days",IF(M1290&lt;=14,"8-14 days",IF(M1290&lt;=21,"15-21 days","22+ days")))</f>
        <v>0-7 days</v>
      </c>
    </row>
    <row r="1291" customFormat="false" ht="15" hidden="false" customHeight="false" outlineLevel="0" collapsed="false">
      <c r="A1291" s="21" t="s">
        <v>1357</v>
      </c>
      <c r="B1291" s="21" t="s">
        <v>52</v>
      </c>
      <c r="C1291" s="22" t="n">
        <v>43202</v>
      </c>
      <c r="D1291" s="22" t="n">
        <v>43222</v>
      </c>
      <c r="E1291" s="22" t="n">
        <v>43226</v>
      </c>
      <c r="F1291" s="21" t="s">
        <v>111</v>
      </c>
      <c r="G1291" s="23" t="n">
        <v>136.33</v>
      </c>
      <c r="H1291" s="23" t="n">
        <v>19.43</v>
      </c>
      <c r="I1291" s="21" t="s">
        <v>45</v>
      </c>
      <c r="J1291" s="21" t="n">
        <v>3</v>
      </c>
      <c r="K1291" s="21" t="s">
        <v>46</v>
      </c>
      <c r="L1291" s="24" t="n">
        <f aca="false">DATE(YEAR(C1291),MONTH(C1291),1)</f>
        <v>43191</v>
      </c>
      <c r="M1291" s="21" t="n">
        <f aca="false">D1291-C1291</f>
        <v>20</v>
      </c>
      <c r="N1291" s="21" t="n">
        <f aca="false">MAX(0,D1291-E1291)</f>
        <v>0</v>
      </c>
      <c r="O1291" s="21" t="n">
        <f aca="false">IF(D1291&lt;=E1291,1,0)</f>
        <v>1</v>
      </c>
      <c r="P1291" s="23" t="n">
        <f aca="false">G1291+H1291</f>
        <v>155.76</v>
      </c>
      <c r="Q1291" s="23" t="n">
        <f aca="false">G1291*INDEX(Assumptions!$B$8:$B$16,MATCH(F1291,Assumptions!$A$8:$A$16,0))</f>
        <v>85.8879</v>
      </c>
      <c r="R1291" s="23" t="n">
        <f aca="false">H1291*Assumptions!$B$3</f>
        <v>11.658</v>
      </c>
      <c r="S1291" s="23" t="n">
        <f aca="false">G1291-Q1291-R1291</f>
        <v>38.7841</v>
      </c>
      <c r="T1291" s="21" t="str">
        <f aca="false">IF(M1291&lt;=7,"0-7 days",IF(M1291&lt;=14,"8-14 days",IF(M1291&lt;=21,"15-21 days","22+ days")))</f>
        <v>15-21 days</v>
      </c>
    </row>
    <row r="1292" customFormat="false" ht="15" hidden="false" customHeight="false" outlineLevel="0" collapsed="false">
      <c r="A1292" s="21" t="s">
        <v>1358</v>
      </c>
      <c r="B1292" s="21" t="s">
        <v>19</v>
      </c>
      <c r="C1292" s="22" t="n">
        <v>43202</v>
      </c>
      <c r="D1292" s="22" t="n">
        <v>43213</v>
      </c>
      <c r="E1292" s="22" t="n">
        <v>43218</v>
      </c>
      <c r="F1292" s="21" t="s">
        <v>49</v>
      </c>
      <c r="G1292" s="23" t="n">
        <v>84.32</v>
      </c>
      <c r="H1292" s="23" t="n">
        <v>13.13</v>
      </c>
      <c r="I1292" s="21" t="s">
        <v>45</v>
      </c>
      <c r="J1292" s="21" t="n">
        <v>4</v>
      </c>
      <c r="K1292" s="21" t="s">
        <v>46</v>
      </c>
      <c r="L1292" s="24" t="n">
        <f aca="false">DATE(YEAR(C1292),MONTH(C1292),1)</f>
        <v>43191</v>
      </c>
      <c r="M1292" s="21" t="n">
        <f aca="false">D1292-C1292</f>
        <v>11</v>
      </c>
      <c r="N1292" s="21" t="n">
        <f aca="false">MAX(0,D1292-E1292)</f>
        <v>0</v>
      </c>
      <c r="O1292" s="21" t="n">
        <f aca="false">IF(D1292&lt;=E1292,1,0)</f>
        <v>1</v>
      </c>
      <c r="P1292" s="23" t="n">
        <f aca="false">G1292+H1292</f>
        <v>97.45</v>
      </c>
      <c r="Q1292" s="23" t="n">
        <f aca="false">G1292*INDEX(Assumptions!$B$8:$B$16,MATCH(F1292,Assumptions!$A$8:$A$16,0))</f>
        <v>48.9056</v>
      </c>
      <c r="R1292" s="23" t="n">
        <f aca="false">H1292*Assumptions!$B$3</f>
        <v>7.878</v>
      </c>
      <c r="S1292" s="23" t="n">
        <f aca="false">G1292-Q1292-R1292</f>
        <v>27.5364</v>
      </c>
      <c r="T1292" s="21" t="str">
        <f aca="false">IF(M1292&lt;=7,"0-7 days",IF(M1292&lt;=14,"8-14 days",IF(M1292&lt;=21,"15-21 days","22+ days")))</f>
        <v>8-14 days</v>
      </c>
    </row>
    <row r="1293" customFormat="false" ht="15" hidden="false" customHeight="false" outlineLevel="0" collapsed="false">
      <c r="A1293" s="21" t="s">
        <v>1359</v>
      </c>
      <c r="B1293" s="21" t="s">
        <v>19</v>
      </c>
      <c r="C1293" s="22" t="n">
        <v>43202</v>
      </c>
      <c r="D1293" s="22" t="n">
        <v>43207</v>
      </c>
      <c r="E1293" s="22" t="n">
        <v>43219</v>
      </c>
      <c r="F1293" s="21" t="s">
        <v>67</v>
      </c>
      <c r="G1293" s="23" t="n">
        <v>79.16</v>
      </c>
      <c r="H1293" s="23" t="n">
        <v>13.58</v>
      </c>
      <c r="I1293" s="21" t="s">
        <v>45</v>
      </c>
      <c r="J1293" s="21" t="n">
        <v>4</v>
      </c>
      <c r="K1293" s="21" t="s">
        <v>46</v>
      </c>
      <c r="L1293" s="24" t="n">
        <f aca="false">DATE(YEAR(C1293),MONTH(C1293),1)</f>
        <v>43191</v>
      </c>
      <c r="M1293" s="21" t="n">
        <f aca="false">D1293-C1293</f>
        <v>5</v>
      </c>
      <c r="N1293" s="21" t="n">
        <f aca="false">MAX(0,D1293-E1293)</f>
        <v>0</v>
      </c>
      <c r="O1293" s="21" t="n">
        <f aca="false">IF(D1293&lt;=E1293,1,0)</f>
        <v>1</v>
      </c>
      <c r="P1293" s="23" t="n">
        <f aca="false">G1293+H1293</f>
        <v>92.74</v>
      </c>
      <c r="Q1293" s="23" t="n">
        <f aca="false">G1293*INDEX(Assumptions!$B$8:$B$16,MATCH(F1293,Assumptions!$A$8:$A$16,0))</f>
        <v>49.0792</v>
      </c>
      <c r="R1293" s="23" t="n">
        <f aca="false">H1293*Assumptions!$B$3</f>
        <v>8.148</v>
      </c>
      <c r="S1293" s="23" t="n">
        <f aca="false">G1293-Q1293-R1293</f>
        <v>21.9328</v>
      </c>
      <c r="T1293" s="21" t="str">
        <f aca="false">IF(M1293&lt;=7,"0-7 days",IF(M1293&lt;=14,"8-14 days",IF(M1293&lt;=21,"15-21 days","22+ days")))</f>
        <v>0-7 days</v>
      </c>
    </row>
    <row r="1294" customFormat="false" ht="15" hidden="false" customHeight="false" outlineLevel="0" collapsed="false">
      <c r="A1294" s="21" t="s">
        <v>1360</v>
      </c>
      <c r="B1294" s="21" t="s">
        <v>55</v>
      </c>
      <c r="C1294" s="22" t="n">
        <v>43203</v>
      </c>
      <c r="D1294" s="22" t="n">
        <v>43213</v>
      </c>
      <c r="E1294" s="22" t="n">
        <v>43224</v>
      </c>
      <c r="F1294" s="21" t="s">
        <v>67</v>
      </c>
      <c r="G1294" s="23" t="n">
        <v>53.75</v>
      </c>
      <c r="H1294" s="23" t="n">
        <v>21.5</v>
      </c>
      <c r="I1294" s="21" t="s">
        <v>45</v>
      </c>
      <c r="J1294" s="21" t="n">
        <v>5</v>
      </c>
      <c r="K1294" s="21" t="s">
        <v>46</v>
      </c>
      <c r="L1294" s="24" t="n">
        <f aca="false">DATE(YEAR(C1294),MONTH(C1294),1)</f>
        <v>43191</v>
      </c>
      <c r="M1294" s="21" t="n">
        <f aca="false">D1294-C1294</f>
        <v>10</v>
      </c>
      <c r="N1294" s="21" t="n">
        <f aca="false">MAX(0,D1294-E1294)</f>
        <v>0</v>
      </c>
      <c r="O1294" s="21" t="n">
        <f aca="false">IF(D1294&lt;=E1294,1,0)</f>
        <v>1</v>
      </c>
      <c r="P1294" s="23" t="n">
        <f aca="false">G1294+H1294</f>
        <v>75.25</v>
      </c>
      <c r="Q1294" s="23" t="n">
        <f aca="false">G1294*INDEX(Assumptions!$B$8:$B$16,MATCH(F1294,Assumptions!$A$8:$A$16,0))</f>
        <v>33.325</v>
      </c>
      <c r="R1294" s="23" t="n">
        <f aca="false">H1294*Assumptions!$B$3</f>
        <v>12.9</v>
      </c>
      <c r="S1294" s="23" t="n">
        <f aca="false">G1294-Q1294-R1294</f>
        <v>7.525</v>
      </c>
      <c r="T1294" s="21" t="str">
        <f aca="false">IF(M1294&lt;=7,"0-7 days",IF(M1294&lt;=14,"8-14 days",IF(M1294&lt;=21,"15-21 days","22+ days")))</f>
        <v>8-14 days</v>
      </c>
    </row>
    <row r="1295" customFormat="false" ht="15" hidden="false" customHeight="false" outlineLevel="0" collapsed="false">
      <c r="A1295" s="21" t="s">
        <v>1361</v>
      </c>
      <c r="B1295" s="21" t="s">
        <v>19</v>
      </c>
      <c r="C1295" s="22" t="n">
        <v>43203</v>
      </c>
      <c r="D1295" s="22" t="n">
        <v>43213</v>
      </c>
      <c r="E1295" s="22" t="n">
        <v>43217</v>
      </c>
      <c r="F1295" s="21" t="s">
        <v>44</v>
      </c>
      <c r="G1295" s="23" t="n">
        <v>103.61</v>
      </c>
      <c r="H1295" s="23" t="n">
        <v>21.75</v>
      </c>
      <c r="I1295" s="21" t="s">
        <v>45</v>
      </c>
      <c r="J1295" s="21" t="n">
        <v>4</v>
      </c>
      <c r="K1295" s="21" t="s">
        <v>46</v>
      </c>
      <c r="L1295" s="24" t="n">
        <f aca="false">DATE(YEAR(C1295),MONTH(C1295),1)</f>
        <v>43191</v>
      </c>
      <c r="M1295" s="21" t="n">
        <f aca="false">D1295-C1295</f>
        <v>10</v>
      </c>
      <c r="N1295" s="21" t="n">
        <f aca="false">MAX(0,D1295-E1295)</f>
        <v>0</v>
      </c>
      <c r="O1295" s="21" t="n">
        <f aca="false">IF(D1295&lt;=E1295,1,0)</f>
        <v>1</v>
      </c>
      <c r="P1295" s="23" t="n">
        <f aca="false">G1295+H1295</f>
        <v>125.36</v>
      </c>
      <c r="Q1295" s="23" t="n">
        <f aca="false">G1295*INDEX(Assumptions!$B$8:$B$16,MATCH(F1295,Assumptions!$A$8:$A$16,0))</f>
        <v>62.166</v>
      </c>
      <c r="R1295" s="23" t="n">
        <f aca="false">H1295*Assumptions!$B$3</f>
        <v>13.05</v>
      </c>
      <c r="S1295" s="23" t="n">
        <f aca="false">G1295-Q1295-R1295</f>
        <v>28.394</v>
      </c>
      <c r="T1295" s="21" t="str">
        <f aca="false">IF(M1295&lt;=7,"0-7 days",IF(M1295&lt;=14,"8-14 days",IF(M1295&lt;=21,"15-21 days","22+ days")))</f>
        <v>8-14 days</v>
      </c>
    </row>
    <row r="1296" customFormat="false" ht="15" hidden="false" customHeight="false" outlineLevel="0" collapsed="false">
      <c r="A1296" s="21" t="s">
        <v>1362</v>
      </c>
      <c r="B1296" s="21" t="s">
        <v>134</v>
      </c>
      <c r="C1296" s="22" t="n">
        <v>43203</v>
      </c>
      <c r="D1296" s="22" t="n">
        <v>43218</v>
      </c>
      <c r="E1296" s="22" t="n">
        <v>43226</v>
      </c>
      <c r="F1296" s="21" t="s">
        <v>64</v>
      </c>
      <c r="G1296" s="23" t="n">
        <v>76.61</v>
      </c>
      <c r="H1296" s="23" t="n">
        <v>25.64</v>
      </c>
      <c r="I1296" s="21" t="s">
        <v>60</v>
      </c>
      <c r="J1296" s="21" t="n">
        <v>3</v>
      </c>
      <c r="K1296" s="21" t="s">
        <v>46</v>
      </c>
      <c r="L1296" s="24" t="n">
        <f aca="false">DATE(YEAR(C1296),MONTH(C1296),1)</f>
        <v>43191</v>
      </c>
      <c r="M1296" s="21" t="n">
        <f aca="false">D1296-C1296</f>
        <v>15</v>
      </c>
      <c r="N1296" s="21" t="n">
        <f aca="false">MAX(0,D1296-E1296)</f>
        <v>0</v>
      </c>
      <c r="O1296" s="21" t="n">
        <f aca="false">IF(D1296&lt;=E1296,1,0)</f>
        <v>1</v>
      </c>
      <c r="P1296" s="23" t="n">
        <f aca="false">G1296+H1296</f>
        <v>102.25</v>
      </c>
      <c r="Q1296" s="23" t="n">
        <f aca="false">G1296*INDEX(Assumptions!$B$8:$B$16,MATCH(F1296,Assumptions!$A$8:$A$16,0))</f>
        <v>50.5626</v>
      </c>
      <c r="R1296" s="23" t="n">
        <f aca="false">H1296*Assumptions!$B$3</f>
        <v>15.384</v>
      </c>
      <c r="S1296" s="23" t="n">
        <f aca="false">G1296-Q1296-R1296</f>
        <v>10.6634</v>
      </c>
      <c r="T1296" s="21" t="str">
        <f aca="false">IF(M1296&lt;=7,"0-7 days",IF(M1296&lt;=14,"8-14 days",IF(M1296&lt;=21,"15-21 days","22+ days")))</f>
        <v>15-21 days</v>
      </c>
    </row>
    <row r="1297" customFormat="false" ht="15" hidden="false" customHeight="false" outlineLevel="0" collapsed="false">
      <c r="A1297" s="21" t="s">
        <v>1363</v>
      </c>
      <c r="B1297" s="21" t="s">
        <v>55</v>
      </c>
      <c r="C1297" s="22" t="n">
        <v>43204</v>
      </c>
      <c r="D1297" s="22" t="n">
        <v>43224</v>
      </c>
      <c r="E1297" s="22" t="n">
        <v>43230</v>
      </c>
      <c r="F1297" s="21" t="s">
        <v>64</v>
      </c>
      <c r="G1297" s="23" t="n">
        <v>181.05</v>
      </c>
      <c r="H1297" s="23" t="n">
        <v>26.87</v>
      </c>
      <c r="I1297" s="21" t="s">
        <v>45</v>
      </c>
      <c r="J1297" s="21" t="n">
        <v>4</v>
      </c>
      <c r="K1297" s="21" t="s">
        <v>46</v>
      </c>
      <c r="L1297" s="24" t="n">
        <f aca="false">DATE(YEAR(C1297),MONTH(C1297),1)</f>
        <v>43191</v>
      </c>
      <c r="M1297" s="21" t="n">
        <f aca="false">D1297-C1297</f>
        <v>20</v>
      </c>
      <c r="N1297" s="21" t="n">
        <f aca="false">MAX(0,D1297-E1297)</f>
        <v>0</v>
      </c>
      <c r="O1297" s="21" t="n">
        <f aca="false">IF(D1297&lt;=E1297,1,0)</f>
        <v>1</v>
      </c>
      <c r="P1297" s="23" t="n">
        <f aca="false">G1297+H1297</f>
        <v>207.92</v>
      </c>
      <c r="Q1297" s="23" t="n">
        <f aca="false">G1297*INDEX(Assumptions!$B$8:$B$16,MATCH(F1297,Assumptions!$A$8:$A$16,0))</f>
        <v>119.493</v>
      </c>
      <c r="R1297" s="23" t="n">
        <f aca="false">H1297*Assumptions!$B$3</f>
        <v>16.122</v>
      </c>
      <c r="S1297" s="23" t="n">
        <f aca="false">G1297-Q1297-R1297</f>
        <v>45.435</v>
      </c>
      <c r="T1297" s="21" t="str">
        <f aca="false">IF(M1297&lt;=7,"0-7 days",IF(M1297&lt;=14,"8-14 days",IF(M1297&lt;=21,"15-21 days","22+ days")))</f>
        <v>15-21 days</v>
      </c>
    </row>
    <row r="1298" customFormat="false" ht="15" hidden="false" customHeight="false" outlineLevel="0" collapsed="false">
      <c r="A1298" s="21" t="s">
        <v>1364</v>
      </c>
      <c r="B1298" s="21" t="s">
        <v>55</v>
      </c>
      <c r="C1298" s="22" t="n">
        <v>43204</v>
      </c>
      <c r="D1298" s="22" t="n">
        <v>43215</v>
      </c>
      <c r="E1298" s="22" t="n">
        <v>43227</v>
      </c>
      <c r="F1298" s="21" t="s">
        <v>79</v>
      </c>
      <c r="G1298" s="23" t="n">
        <v>241.19</v>
      </c>
      <c r="H1298" s="23" t="n">
        <v>20.78</v>
      </c>
      <c r="I1298" s="21" t="s">
        <v>45</v>
      </c>
      <c r="J1298" s="21" t="n">
        <v>3</v>
      </c>
      <c r="K1298" s="21" t="s">
        <v>46</v>
      </c>
      <c r="L1298" s="24" t="n">
        <f aca="false">DATE(YEAR(C1298),MONTH(C1298),1)</f>
        <v>43191</v>
      </c>
      <c r="M1298" s="21" t="n">
        <f aca="false">D1298-C1298</f>
        <v>11</v>
      </c>
      <c r="N1298" s="21" t="n">
        <f aca="false">MAX(0,D1298-E1298)</f>
        <v>0</v>
      </c>
      <c r="O1298" s="21" t="n">
        <f aca="false">IF(D1298&lt;=E1298,1,0)</f>
        <v>1</v>
      </c>
      <c r="P1298" s="23" t="n">
        <f aca="false">G1298+H1298</f>
        <v>261.97</v>
      </c>
      <c r="Q1298" s="23" t="n">
        <f aca="false">G1298*INDEX(Assumptions!$B$8:$B$16,MATCH(F1298,Assumptions!$A$8:$A$16,0))</f>
        <v>168.833</v>
      </c>
      <c r="R1298" s="23" t="n">
        <f aca="false">H1298*Assumptions!$B$3</f>
        <v>12.468</v>
      </c>
      <c r="S1298" s="23" t="n">
        <f aca="false">G1298-Q1298-R1298</f>
        <v>59.889</v>
      </c>
      <c r="T1298" s="21" t="str">
        <f aca="false">IF(M1298&lt;=7,"0-7 days",IF(M1298&lt;=14,"8-14 days",IF(M1298&lt;=21,"15-21 days","22+ days")))</f>
        <v>8-14 days</v>
      </c>
    </row>
    <row r="1299" customFormat="false" ht="15" hidden="false" customHeight="false" outlineLevel="0" collapsed="false">
      <c r="A1299" s="21" t="s">
        <v>1365</v>
      </c>
      <c r="B1299" s="21" t="s">
        <v>19</v>
      </c>
      <c r="C1299" s="22" t="n">
        <v>43204</v>
      </c>
      <c r="D1299" s="22" t="n">
        <v>43208</v>
      </c>
      <c r="E1299" s="22" t="n">
        <v>43218</v>
      </c>
      <c r="F1299" s="21" t="s">
        <v>59</v>
      </c>
      <c r="G1299" s="23" t="n">
        <v>63.95</v>
      </c>
      <c r="H1299" s="23" t="n">
        <v>20.38</v>
      </c>
      <c r="I1299" s="21" t="s">
        <v>60</v>
      </c>
      <c r="J1299" s="21" t="n">
        <v>3</v>
      </c>
      <c r="K1299" s="21" t="s">
        <v>46</v>
      </c>
      <c r="L1299" s="24" t="n">
        <f aca="false">DATE(YEAR(C1299),MONTH(C1299),1)</f>
        <v>43191</v>
      </c>
      <c r="M1299" s="21" t="n">
        <f aca="false">D1299-C1299</f>
        <v>4</v>
      </c>
      <c r="N1299" s="21" t="n">
        <f aca="false">MAX(0,D1299-E1299)</f>
        <v>0</v>
      </c>
      <c r="O1299" s="21" t="n">
        <f aca="false">IF(D1299&lt;=E1299,1,0)</f>
        <v>1</v>
      </c>
      <c r="P1299" s="23" t="n">
        <f aca="false">G1299+H1299</f>
        <v>84.33</v>
      </c>
      <c r="Q1299" s="23" t="n">
        <f aca="false">G1299*INDEX(Assumptions!$B$8:$B$16,MATCH(F1299,Assumptions!$A$8:$A$16,0))</f>
        <v>40.928</v>
      </c>
      <c r="R1299" s="23" t="n">
        <f aca="false">H1299*Assumptions!$B$3</f>
        <v>12.228</v>
      </c>
      <c r="S1299" s="23" t="n">
        <f aca="false">G1299-Q1299-R1299</f>
        <v>10.794</v>
      </c>
      <c r="T1299" s="21" t="str">
        <f aca="false">IF(M1299&lt;=7,"0-7 days",IF(M1299&lt;=14,"8-14 days",IF(M1299&lt;=21,"15-21 days","22+ days")))</f>
        <v>0-7 days</v>
      </c>
    </row>
    <row r="1300" customFormat="false" ht="15" hidden="false" customHeight="false" outlineLevel="0" collapsed="false">
      <c r="A1300" s="21" t="s">
        <v>1366</v>
      </c>
      <c r="B1300" s="21" t="s">
        <v>19</v>
      </c>
      <c r="C1300" s="22" t="n">
        <v>43205</v>
      </c>
      <c r="D1300" s="22" t="n">
        <v>43210</v>
      </c>
      <c r="E1300" s="22" t="n">
        <v>43222</v>
      </c>
      <c r="F1300" s="21" t="s">
        <v>57</v>
      </c>
      <c r="G1300" s="23" t="n">
        <v>68.83</v>
      </c>
      <c r="H1300" s="23" t="n">
        <v>21.68</v>
      </c>
      <c r="I1300" s="21" t="s">
        <v>45</v>
      </c>
      <c r="J1300" s="21" t="n">
        <v>5</v>
      </c>
      <c r="K1300" s="21" t="s">
        <v>46</v>
      </c>
      <c r="L1300" s="24" t="n">
        <f aca="false">DATE(YEAR(C1300),MONTH(C1300),1)</f>
        <v>43191</v>
      </c>
      <c r="M1300" s="21" t="n">
        <f aca="false">D1300-C1300</f>
        <v>5</v>
      </c>
      <c r="N1300" s="21" t="n">
        <f aca="false">MAX(0,D1300-E1300)</f>
        <v>0</v>
      </c>
      <c r="O1300" s="21" t="n">
        <f aca="false">IF(D1300&lt;=E1300,1,0)</f>
        <v>1</v>
      </c>
      <c r="P1300" s="23" t="n">
        <f aca="false">G1300+H1300</f>
        <v>90.51</v>
      </c>
      <c r="Q1300" s="23" t="n">
        <f aca="false">G1300*INDEX(Assumptions!$B$8:$B$16,MATCH(F1300,Assumptions!$A$8:$A$16,0))</f>
        <v>46.8044</v>
      </c>
      <c r="R1300" s="23" t="n">
        <f aca="false">H1300*Assumptions!$B$3</f>
        <v>13.008</v>
      </c>
      <c r="S1300" s="23" t="n">
        <f aca="false">G1300-Q1300-R1300</f>
        <v>9.0176</v>
      </c>
      <c r="T1300" s="21" t="str">
        <f aca="false">IF(M1300&lt;=7,"0-7 days",IF(M1300&lt;=14,"8-14 days",IF(M1300&lt;=21,"15-21 days","22+ days")))</f>
        <v>0-7 days</v>
      </c>
    </row>
    <row r="1301" customFormat="false" ht="15" hidden="false" customHeight="false" outlineLevel="0" collapsed="false">
      <c r="A1301" s="21" t="s">
        <v>1367</v>
      </c>
      <c r="B1301" s="21" t="s">
        <v>134</v>
      </c>
      <c r="C1301" s="22" t="n">
        <v>43205</v>
      </c>
      <c r="D1301" s="22" t="n">
        <v>43221</v>
      </c>
      <c r="E1301" s="22" t="n">
        <v>43227</v>
      </c>
      <c r="F1301" s="21" t="s">
        <v>67</v>
      </c>
      <c r="G1301" s="23" t="n">
        <v>100.13</v>
      </c>
      <c r="H1301" s="23" t="n">
        <v>30.63</v>
      </c>
      <c r="I1301" s="21" t="s">
        <v>60</v>
      </c>
      <c r="J1301" s="21" t="n">
        <v>4</v>
      </c>
      <c r="K1301" s="21" t="s">
        <v>46</v>
      </c>
      <c r="L1301" s="24" t="n">
        <f aca="false">DATE(YEAR(C1301),MONTH(C1301),1)</f>
        <v>43191</v>
      </c>
      <c r="M1301" s="21" t="n">
        <f aca="false">D1301-C1301</f>
        <v>16</v>
      </c>
      <c r="N1301" s="21" t="n">
        <f aca="false">MAX(0,D1301-E1301)</f>
        <v>0</v>
      </c>
      <c r="O1301" s="21" t="n">
        <f aca="false">IF(D1301&lt;=E1301,1,0)</f>
        <v>1</v>
      </c>
      <c r="P1301" s="23" t="n">
        <f aca="false">G1301+H1301</f>
        <v>130.76</v>
      </c>
      <c r="Q1301" s="23" t="n">
        <f aca="false">G1301*INDEX(Assumptions!$B$8:$B$16,MATCH(F1301,Assumptions!$A$8:$A$16,0))</f>
        <v>62.0806</v>
      </c>
      <c r="R1301" s="23" t="n">
        <f aca="false">H1301*Assumptions!$B$3</f>
        <v>18.378</v>
      </c>
      <c r="S1301" s="23" t="n">
        <f aca="false">G1301-Q1301-R1301</f>
        <v>19.6714</v>
      </c>
      <c r="T1301" s="21" t="str">
        <f aca="false">IF(M1301&lt;=7,"0-7 days",IF(M1301&lt;=14,"8-14 days",IF(M1301&lt;=21,"15-21 days","22+ days")))</f>
        <v>15-21 days</v>
      </c>
    </row>
    <row r="1302" customFormat="false" ht="15" hidden="false" customHeight="false" outlineLevel="0" collapsed="false">
      <c r="A1302" s="21" t="s">
        <v>1368</v>
      </c>
      <c r="B1302" s="21" t="s">
        <v>62</v>
      </c>
      <c r="C1302" s="22" t="n">
        <v>43205</v>
      </c>
      <c r="D1302" s="22" t="n">
        <v>43215</v>
      </c>
      <c r="E1302" s="22" t="n">
        <v>43223</v>
      </c>
      <c r="F1302" s="21" t="s">
        <v>57</v>
      </c>
      <c r="G1302" s="23" t="n">
        <v>55</v>
      </c>
      <c r="H1302" s="23" t="n">
        <v>19.88</v>
      </c>
      <c r="I1302" s="21" t="s">
        <v>45</v>
      </c>
      <c r="J1302" s="21" t="n">
        <v>4</v>
      </c>
      <c r="K1302" s="21" t="s">
        <v>46</v>
      </c>
      <c r="L1302" s="24" t="n">
        <f aca="false">DATE(YEAR(C1302),MONTH(C1302),1)</f>
        <v>43191</v>
      </c>
      <c r="M1302" s="21" t="n">
        <f aca="false">D1302-C1302</f>
        <v>10</v>
      </c>
      <c r="N1302" s="21" t="n">
        <f aca="false">MAX(0,D1302-E1302)</f>
        <v>0</v>
      </c>
      <c r="O1302" s="21" t="n">
        <f aca="false">IF(D1302&lt;=E1302,1,0)</f>
        <v>1</v>
      </c>
      <c r="P1302" s="23" t="n">
        <f aca="false">G1302+H1302</f>
        <v>74.88</v>
      </c>
      <c r="Q1302" s="23" t="n">
        <f aca="false">G1302*INDEX(Assumptions!$B$8:$B$16,MATCH(F1302,Assumptions!$A$8:$A$16,0))</f>
        <v>37.4</v>
      </c>
      <c r="R1302" s="23" t="n">
        <f aca="false">H1302*Assumptions!$B$3</f>
        <v>11.928</v>
      </c>
      <c r="S1302" s="23" t="n">
        <f aca="false">G1302-Q1302-R1302</f>
        <v>5.672</v>
      </c>
      <c r="T1302" s="21" t="str">
        <f aca="false">IF(M1302&lt;=7,"0-7 days",IF(M1302&lt;=14,"8-14 days",IF(M1302&lt;=21,"15-21 days","22+ days")))</f>
        <v>8-14 days</v>
      </c>
    </row>
    <row r="1303" customFormat="false" ht="15" hidden="false" customHeight="false" outlineLevel="0" collapsed="false">
      <c r="A1303" s="21" t="s">
        <v>1369</v>
      </c>
      <c r="B1303" s="21" t="s">
        <v>103</v>
      </c>
      <c r="C1303" s="22" t="n">
        <v>43205</v>
      </c>
      <c r="D1303" s="22" t="n">
        <v>43219</v>
      </c>
      <c r="E1303" s="22" t="n">
        <v>43225</v>
      </c>
      <c r="F1303" s="21" t="s">
        <v>79</v>
      </c>
      <c r="G1303" s="23" t="n">
        <v>90.18</v>
      </c>
      <c r="H1303" s="23" t="n">
        <v>23.71</v>
      </c>
      <c r="I1303" s="21" t="s">
        <v>45</v>
      </c>
      <c r="J1303" s="21" t="n">
        <v>5</v>
      </c>
      <c r="K1303" s="21" t="s">
        <v>46</v>
      </c>
      <c r="L1303" s="24" t="n">
        <f aca="false">DATE(YEAR(C1303),MONTH(C1303),1)</f>
        <v>43191</v>
      </c>
      <c r="M1303" s="21" t="n">
        <f aca="false">D1303-C1303</f>
        <v>14</v>
      </c>
      <c r="N1303" s="21" t="n">
        <f aca="false">MAX(0,D1303-E1303)</f>
        <v>0</v>
      </c>
      <c r="O1303" s="21" t="n">
        <f aca="false">IF(D1303&lt;=E1303,1,0)</f>
        <v>1</v>
      </c>
      <c r="P1303" s="23" t="n">
        <f aca="false">G1303+H1303</f>
        <v>113.89</v>
      </c>
      <c r="Q1303" s="23" t="n">
        <f aca="false">G1303*INDEX(Assumptions!$B$8:$B$16,MATCH(F1303,Assumptions!$A$8:$A$16,0))</f>
        <v>63.126</v>
      </c>
      <c r="R1303" s="23" t="n">
        <f aca="false">H1303*Assumptions!$B$3</f>
        <v>14.226</v>
      </c>
      <c r="S1303" s="23" t="n">
        <f aca="false">G1303-Q1303-R1303</f>
        <v>12.828</v>
      </c>
      <c r="T1303" s="21" t="str">
        <f aca="false">IF(M1303&lt;=7,"0-7 days",IF(M1303&lt;=14,"8-14 days",IF(M1303&lt;=21,"15-21 days","22+ days")))</f>
        <v>8-14 days</v>
      </c>
    </row>
    <row r="1304" customFormat="false" ht="15" hidden="false" customHeight="false" outlineLevel="0" collapsed="false">
      <c r="A1304" s="21" t="s">
        <v>1370</v>
      </c>
      <c r="B1304" s="21" t="s">
        <v>19</v>
      </c>
      <c r="C1304" s="22" t="n">
        <v>43206</v>
      </c>
      <c r="D1304" s="22" t="n">
        <v>43214</v>
      </c>
      <c r="E1304" s="22" t="n">
        <v>43220</v>
      </c>
      <c r="F1304" s="21" t="s">
        <v>79</v>
      </c>
      <c r="G1304" s="23" t="n">
        <v>66.59</v>
      </c>
      <c r="H1304" s="23" t="n">
        <v>15.86</v>
      </c>
      <c r="I1304" s="21" t="s">
        <v>50</v>
      </c>
      <c r="J1304" s="21" t="n">
        <v>3</v>
      </c>
      <c r="K1304" s="21" t="s">
        <v>46</v>
      </c>
      <c r="L1304" s="24" t="n">
        <f aca="false">DATE(YEAR(C1304),MONTH(C1304),1)</f>
        <v>43191</v>
      </c>
      <c r="M1304" s="21" t="n">
        <f aca="false">D1304-C1304</f>
        <v>8</v>
      </c>
      <c r="N1304" s="21" t="n">
        <f aca="false">MAX(0,D1304-E1304)</f>
        <v>0</v>
      </c>
      <c r="O1304" s="21" t="n">
        <f aca="false">IF(D1304&lt;=E1304,1,0)</f>
        <v>1</v>
      </c>
      <c r="P1304" s="23" t="n">
        <f aca="false">G1304+H1304</f>
        <v>82.45</v>
      </c>
      <c r="Q1304" s="23" t="n">
        <f aca="false">G1304*INDEX(Assumptions!$B$8:$B$16,MATCH(F1304,Assumptions!$A$8:$A$16,0))</f>
        <v>46.613</v>
      </c>
      <c r="R1304" s="23" t="n">
        <f aca="false">H1304*Assumptions!$B$3</f>
        <v>9.516</v>
      </c>
      <c r="S1304" s="23" t="n">
        <f aca="false">G1304-Q1304-R1304</f>
        <v>10.461</v>
      </c>
      <c r="T1304" s="21" t="str">
        <f aca="false">IF(M1304&lt;=7,"0-7 days",IF(M1304&lt;=14,"8-14 days",IF(M1304&lt;=21,"15-21 days","22+ days")))</f>
        <v>8-14 days</v>
      </c>
    </row>
    <row r="1305" customFormat="false" ht="15" hidden="false" customHeight="false" outlineLevel="0" collapsed="false">
      <c r="A1305" s="21" t="s">
        <v>1371</v>
      </c>
      <c r="B1305" s="21" t="s">
        <v>201</v>
      </c>
      <c r="C1305" s="22" t="n">
        <v>43206</v>
      </c>
      <c r="D1305" s="22" t="n">
        <v>43223</v>
      </c>
      <c r="E1305" s="22" t="n">
        <v>43241</v>
      </c>
      <c r="F1305" s="21" t="s">
        <v>64</v>
      </c>
      <c r="G1305" s="23" t="n">
        <v>158.91</v>
      </c>
      <c r="H1305" s="23" t="n">
        <v>30.45</v>
      </c>
      <c r="I1305" s="21" t="s">
        <v>45</v>
      </c>
      <c r="J1305" s="21" t="n">
        <v>3</v>
      </c>
      <c r="K1305" s="21" t="s">
        <v>46</v>
      </c>
      <c r="L1305" s="24" t="n">
        <f aca="false">DATE(YEAR(C1305),MONTH(C1305),1)</f>
        <v>43191</v>
      </c>
      <c r="M1305" s="21" t="n">
        <f aca="false">D1305-C1305</f>
        <v>17</v>
      </c>
      <c r="N1305" s="21" t="n">
        <f aca="false">MAX(0,D1305-E1305)</f>
        <v>0</v>
      </c>
      <c r="O1305" s="21" t="n">
        <f aca="false">IF(D1305&lt;=E1305,1,0)</f>
        <v>1</v>
      </c>
      <c r="P1305" s="23" t="n">
        <f aca="false">G1305+H1305</f>
        <v>189.36</v>
      </c>
      <c r="Q1305" s="23" t="n">
        <f aca="false">G1305*INDEX(Assumptions!$B$8:$B$16,MATCH(F1305,Assumptions!$A$8:$A$16,0))</f>
        <v>104.8806</v>
      </c>
      <c r="R1305" s="23" t="n">
        <f aca="false">H1305*Assumptions!$B$3</f>
        <v>18.27</v>
      </c>
      <c r="S1305" s="23" t="n">
        <f aca="false">G1305-Q1305-R1305</f>
        <v>35.7594</v>
      </c>
      <c r="T1305" s="21" t="str">
        <f aca="false">IF(M1305&lt;=7,"0-7 days",IF(M1305&lt;=14,"8-14 days",IF(M1305&lt;=21,"15-21 days","22+ days")))</f>
        <v>15-21 days</v>
      </c>
    </row>
    <row r="1306" customFormat="false" ht="15" hidden="false" customHeight="false" outlineLevel="0" collapsed="false">
      <c r="A1306" s="21" t="s">
        <v>1372</v>
      </c>
      <c r="B1306" s="21" t="s">
        <v>19</v>
      </c>
      <c r="C1306" s="22" t="n">
        <v>43207</v>
      </c>
      <c r="D1306" s="22" t="n">
        <v>43218</v>
      </c>
      <c r="E1306" s="22" t="n">
        <v>43224</v>
      </c>
      <c r="F1306" s="21" t="s">
        <v>59</v>
      </c>
      <c r="G1306" s="23" t="n">
        <v>271.42</v>
      </c>
      <c r="H1306" s="23" t="n">
        <v>25.68</v>
      </c>
      <c r="I1306" s="21" t="s">
        <v>45</v>
      </c>
      <c r="J1306" s="21" t="n">
        <v>4</v>
      </c>
      <c r="K1306" s="21" t="s">
        <v>46</v>
      </c>
      <c r="L1306" s="24" t="n">
        <f aca="false">DATE(YEAR(C1306),MONTH(C1306),1)</f>
        <v>43191</v>
      </c>
      <c r="M1306" s="21" t="n">
        <f aca="false">D1306-C1306</f>
        <v>11</v>
      </c>
      <c r="N1306" s="21" t="n">
        <f aca="false">MAX(0,D1306-E1306)</f>
        <v>0</v>
      </c>
      <c r="O1306" s="21" t="n">
        <f aca="false">IF(D1306&lt;=E1306,1,0)</f>
        <v>1</v>
      </c>
      <c r="P1306" s="23" t="n">
        <f aca="false">G1306+H1306</f>
        <v>297.1</v>
      </c>
      <c r="Q1306" s="23" t="n">
        <f aca="false">G1306*INDEX(Assumptions!$B$8:$B$16,MATCH(F1306,Assumptions!$A$8:$A$16,0))</f>
        <v>173.7088</v>
      </c>
      <c r="R1306" s="23" t="n">
        <f aca="false">H1306*Assumptions!$B$3</f>
        <v>15.408</v>
      </c>
      <c r="S1306" s="23" t="n">
        <f aca="false">G1306-Q1306-R1306</f>
        <v>82.3032</v>
      </c>
      <c r="T1306" s="21" t="str">
        <f aca="false">IF(M1306&lt;=7,"0-7 days",IF(M1306&lt;=14,"8-14 days",IF(M1306&lt;=21,"15-21 days","22+ days")))</f>
        <v>8-14 days</v>
      </c>
    </row>
    <row r="1307" customFormat="false" ht="15" hidden="false" customHeight="false" outlineLevel="0" collapsed="false">
      <c r="A1307" s="21" t="s">
        <v>1373</v>
      </c>
      <c r="B1307" s="21" t="s">
        <v>19</v>
      </c>
      <c r="C1307" s="22" t="n">
        <v>43207</v>
      </c>
      <c r="D1307" s="22" t="n">
        <v>43215</v>
      </c>
      <c r="E1307" s="22" t="n">
        <v>43223</v>
      </c>
      <c r="F1307" s="21" t="s">
        <v>49</v>
      </c>
      <c r="G1307" s="23" t="n">
        <v>123.06</v>
      </c>
      <c r="H1307" s="23" t="n">
        <v>16.23</v>
      </c>
      <c r="I1307" s="21" t="s">
        <v>45</v>
      </c>
      <c r="J1307" s="21" t="n">
        <v>4</v>
      </c>
      <c r="K1307" s="21" t="s">
        <v>46</v>
      </c>
      <c r="L1307" s="24" t="n">
        <f aca="false">DATE(YEAR(C1307),MONTH(C1307),1)</f>
        <v>43191</v>
      </c>
      <c r="M1307" s="21" t="n">
        <f aca="false">D1307-C1307</f>
        <v>8</v>
      </c>
      <c r="N1307" s="21" t="n">
        <f aca="false">MAX(0,D1307-E1307)</f>
        <v>0</v>
      </c>
      <c r="O1307" s="21" t="n">
        <f aca="false">IF(D1307&lt;=E1307,1,0)</f>
        <v>1</v>
      </c>
      <c r="P1307" s="23" t="n">
        <f aca="false">G1307+H1307</f>
        <v>139.29</v>
      </c>
      <c r="Q1307" s="23" t="n">
        <f aca="false">G1307*INDEX(Assumptions!$B$8:$B$16,MATCH(F1307,Assumptions!$A$8:$A$16,0))</f>
        <v>71.3748</v>
      </c>
      <c r="R1307" s="23" t="n">
        <f aca="false">H1307*Assumptions!$B$3</f>
        <v>9.738</v>
      </c>
      <c r="S1307" s="23" t="n">
        <f aca="false">G1307-Q1307-R1307</f>
        <v>41.9472</v>
      </c>
      <c r="T1307" s="21" t="str">
        <f aca="false">IF(M1307&lt;=7,"0-7 days",IF(M1307&lt;=14,"8-14 days",IF(M1307&lt;=21,"15-21 days","22+ days")))</f>
        <v>8-14 days</v>
      </c>
    </row>
    <row r="1308" customFormat="false" ht="15" hidden="false" customHeight="false" outlineLevel="0" collapsed="false">
      <c r="A1308" s="21" t="s">
        <v>1374</v>
      </c>
      <c r="B1308" s="21" t="s">
        <v>19</v>
      </c>
      <c r="C1308" s="22" t="n">
        <v>43208</v>
      </c>
      <c r="D1308" s="22" t="n">
        <v>43215</v>
      </c>
      <c r="E1308" s="22" t="n">
        <v>43226</v>
      </c>
      <c r="F1308" s="21" t="s">
        <v>111</v>
      </c>
      <c r="G1308" s="23" t="n">
        <v>54.98</v>
      </c>
      <c r="H1308" s="23" t="n">
        <v>13.17</v>
      </c>
      <c r="I1308" s="21" t="s">
        <v>45</v>
      </c>
      <c r="J1308" s="21" t="n">
        <v>4</v>
      </c>
      <c r="K1308" s="21" t="s">
        <v>46</v>
      </c>
      <c r="L1308" s="24" t="n">
        <f aca="false">DATE(YEAR(C1308),MONTH(C1308),1)</f>
        <v>43191</v>
      </c>
      <c r="M1308" s="21" t="n">
        <f aca="false">D1308-C1308</f>
        <v>7</v>
      </c>
      <c r="N1308" s="21" t="n">
        <f aca="false">MAX(0,D1308-E1308)</f>
        <v>0</v>
      </c>
      <c r="O1308" s="21" t="n">
        <f aca="false">IF(D1308&lt;=E1308,1,0)</f>
        <v>1</v>
      </c>
      <c r="P1308" s="23" t="n">
        <f aca="false">G1308+H1308</f>
        <v>68.15</v>
      </c>
      <c r="Q1308" s="23" t="n">
        <f aca="false">G1308*INDEX(Assumptions!$B$8:$B$16,MATCH(F1308,Assumptions!$A$8:$A$16,0))</f>
        <v>34.6374</v>
      </c>
      <c r="R1308" s="23" t="n">
        <f aca="false">H1308*Assumptions!$B$3</f>
        <v>7.902</v>
      </c>
      <c r="S1308" s="23" t="n">
        <f aca="false">G1308-Q1308-R1308</f>
        <v>12.4406</v>
      </c>
      <c r="T1308" s="21" t="str">
        <f aca="false">IF(M1308&lt;=7,"0-7 days",IF(M1308&lt;=14,"8-14 days",IF(M1308&lt;=21,"15-21 days","22+ days")))</f>
        <v>0-7 days</v>
      </c>
    </row>
    <row r="1309" customFormat="false" ht="15" hidden="false" customHeight="false" outlineLevel="0" collapsed="false">
      <c r="A1309" s="21" t="s">
        <v>1375</v>
      </c>
      <c r="B1309" s="21" t="s">
        <v>19</v>
      </c>
      <c r="C1309" s="22" t="n">
        <v>43208</v>
      </c>
      <c r="D1309" s="22" t="n">
        <v>43221</v>
      </c>
      <c r="E1309" s="22" t="n">
        <v>43226</v>
      </c>
      <c r="F1309" s="21" t="s">
        <v>49</v>
      </c>
      <c r="G1309" s="23" t="n">
        <v>368.14</v>
      </c>
      <c r="H1309" s="23" t="n">
        <v>21.97</v>
      </c>
      <c r="I1309" s="21" t="s">
        <v>45</v>
      </c>
      <c r="J1309" s="21" t="n">
        <v>4</v>
      </c>
      <c r="K1309" s="21" t="s">
        <v>46</v>
      </c>
      <c r="L1309" s="24" t="n">
        <f aca="false">DATE(YEAR(C1309),MONTH(C1309),1)</f>
        <v>43191</v>
      </c>
      <c r="M1309" s="21" t="n">
        <f aca="false">D1309-C1309</f>
        <v>13</v>
      </c>
      <c r="N1309" s="21" t="n">
        <f aca="false">MAX(0,D1309-E1309)</f>
        <v>0</v>
      </c>
      <c r="O1309" s="21" t="n">
        <f aca="false">IF(D1309&lt;=E1309,1,0)</f>
        <v>1</v>
      </c>
      <c r="P1309" s="23" t="n">
        <f aca="false">G1309+H1309</f>
        <v>390.11</v>
      </c>
      <c r="Q1309" s="23" t="n">
        <f aca="false">G1309*INDEX(Assumptions!$B$8:$B$16,MATCH(F1309,Assumptions!$A$8:$A$16,0))</f>
        <v>213.5212</v>
      </c>
      <c r="R1309" s="23" t="n">
        <f aca="false">H1309*Assumptions!$B$3</f>
        <v>13.182</v>
      </c>
      <c r="S1309" s="23" t="n">
        <f aca="false">G1309-Q1309-R1309</f>
        <v>141.4368</v>
      </c>
      <c r="T1309" s="21" t="str">
        <f aca="false">IF(M1309&lt;=7,"0-7 days",IF(M1309&lt;=14,"8-14 days",IF(M1309&lt;=21,"15-21 days","22+ days")))</f>
        <v>8-14 days</v>
      </c>
    </row>
    <row r="1310" customFormat="false" ht="15" hidden="false" customHeight="false" outlineLevel="0" collapsed="false">
      <c r="A1310" s="21" t="s">
        <v>1376</v>
      </c>
      <c r="B1310" s="21" t="s">
        <v>19</v>
      </c>
      <c r="C1310" s="22" t="n">
        <v>43209</v>
      </c>
      <c r="D1310" s="22" t="n">
        <v>43220</v>
      </c>
      <c r="E1310" s="22" t="n">
        <v>43224</v>
      </c>
      <c r="F1310" s="21" t="s">
        <v>59</v>
      </c>
      <c r="G1310" s="23" t="n">
        <v>82.96</v>
      </c>
      <c r="H1310" s="23" t="n">
        <v>13.6</v>
      </c>
      <c r="I1310" s="21" t="s">
        <v>45</v>
      </c>
      <c r="J1310" s="21" t="n">
        <v>5</v>
      </c>
      <c r="K1310" s="21" t="s">
        <v>46</v>
      </c>
      <c r="L1310" s="24" t="n">
        <f aca="false">DATE(YEAR(C1310),MONTH(C1310),1)</f>
        <v>43191</v>
      </c>
      <c r="M1310" s="21" t="n">
        <f aca="false">D1310-C1310</f>
        <v>11</v>
      </c>
      <c r="N1310" s="21" t="n">
        <f aca="false">MAX(0,D1310-E1310)</f>
        <v>0</v>
      </c>
      <c r="O1310" s="21" t="n">
        <f aca="false">IF(D1310&lt;=E1310,1,0)</f>
        <v>1</v>
      </c>
      <c r="P1310" s="23" t="n">
        <f aca="false">G1310+H1310</f>
        <v>96.56</v>
      </c>
      <c r="Q1310" s="23" t="n">
        <f aca="false">G1310*INDEX(Assumptions!$B$8:$B$16,MATCH(F1310,Assumptions!$A$8:$A$16,0))</f>
        <v>53.0944</v>
      </c>
      <c r="R1310" s="23" t="n">
        <f aca="false">H1310*Assumptions!$B$3</f>
        <v>8.16</v>
      </c>
      <c r="S1310" s="23" t="n">
        <f aca="false">G1310-Q1310-R1310</f>
        <v>21.7056</v>
      </c>
      <c r="T1310" s="21" t="str">
        <f aca="false">IF(M1310&lt;=7,"0-7 days",IF(M1310&lt;=14,"8-14 days",IF(M1310&lt;=21,"15-21 days","22+ days")))</f>
        <v>8-14 days</v>
      </c>
    </row>
    <row r="1311" customFormat="false" ht="15" hidden="false" customHeight="false" outlineLevel="0" collapsed="false">
      <c r="A1311" s="21" t="s">
        <v>1377</v>
      </c>
      <c r="B1311" s="21" t="s">
        <v>19</v>
      </c>
      <c r="C1311" s="22" t="n">
        <v>43209</v>
      </c>
      <c r="D1311" s="22" t="n">
        <v>43231</v>
      </c>
      <c r="E1311" s="22" t="n">
        <v>43224</v>
      </c>
      <c r="F1311" s="21" t="s">
        <v>53</v>
      </c>
      <c r="G1311" s="23" t="n">
        <v>166.53</v>
      </c>
      <c r="H1311" s="23" t="n">
        <v>18</v>
      </c>
      <c r="I1311" s="21" t="s">
        <v>60</v>
      </c>
      <c r="J1311" s="21" t="n">
        <v>1</v>
      </c>
      <c r="K1311" s="21" t="s">
        <v>46</v>
      </c>
      <c r="L1311" s="24" t="n">
        <f aca="false">DATE(YEAR(C1311),MONTH(C1311),1)</f>
        <v>43191</v>
      </c>
      <c r="M1311" s="21" t="n">
        <f aca="false">D1311-C1311</f>
        <v>22</v>
      </c>
      <c r="N1311" s="21" t="n">
        <f aca="false">MAX(0,D1311-E1311)</f>
        <v>7</v>
      </c>
      <c r="O1311" s="21" t="n">
        <f aca="false">IF(D1311&lt;=E1311,1,0)</f>
        <v>0</v>
      </c>
      <c r="P1311" s="23" t="n">
        <f aca="false">G1311+H1311</f>
        <v>184.53</v>
      </c>
      <c r="Q1311" s="23" t="n">
        <f aca="false">G1311*INDEX(Assumptions!$B$8:$B$16,MATCH(F1311,Assumptions!$A$8:$A$16,0))</f>
        <v>123.2322</v>
      </c>
      <c r="R1311" s="23" t="n">
        <f aca="false">H1311*Assumptions!$B$3</f>
        <v>10.8</v>
      </c>
      <c r="S1311" s="23" t="n">
        <f aca="false">G1311-Q1311-R1311</f>
        <v>32.4978</v>
      </c>
      <c r="T1311" s="21" t="str">
        <f aca="false">IF(M1311&lt;=7,"0-7 days",IF(M1311&lt;=14,"8-14 days",IF(M1311&lt;=21,"15-21 days","22+ days")))</f>
        <v>22+ days</v>
      </c>
    </row>
    <row r="1312" customFormat="false" ht="15" hidden="false" customHeight="false" outlineLevel="0" collapsed="false">
      <c r="A1312" s="21" t="s">
        <v>1378</v>
      </c>
      <c r="B1312" s="21" t="s">
        <v>19</v>
      </c>
      <c r="C1312" s="22" t="n">
        <v>43209</v>
      </c>
      <c r="D1312" s="22" t="n">
        <v>43218</v>
      </c>
      <c r="E1312" s="22" t="n">
        <v>43225</v>
      </c>
      <c r="F1312" s="21" t="s">
        <v>64</v>
      </c>
      <c r="G1312" s="23" t="n">
        <v>386.56</v>
      </c>
      <c r="H1312" s="23" t="n">
        <v>20.74</v>
      </c>
      <c r="I1312" s="21" t="s">
        <v>60</v>
      </c>
      <c r="J1312" s="21" t="n">
        <v>4</v>
      </c>
      <c r="K1312" s="21" t="s">
        <v>46</v>
      </c>
      <c r="L1312" s="24" t="n">
        <f aca="false">DATE(YEAR(C1312),MONTH(C1312),1)</f>
        <v>43191</v>
      </c>
      <c r="M1312" s="21" t="n">
        <f aca="false">D1312-C1312</f>
        <v>9</v>
      </c>
      <c r="N1312" s="21" t="n">
        <f aca="false">MAX(0,D1312-E1312)</f>
        <v>0</v>
      </c>
      <c r="O1312" s="21" t="n">
        <f aca="false">IF(D1312&lt;=E1312,1,0)</f>
        <v>1</v>
      </c>
      <c r="P1312" s="23" t="n">
        <f aca="false">G1312+H1312</f>
        <v>407.3</v>
      </c>
      <c r="Q1312" s="23" t="n">
        <f aca="false">G1312*INDEX(Assumptions!$B$8:$B$16,MATCH(F1312,Assumptions!$A$8:$A$16,0))</f>
        <v>255.1296</v>
      </c>
      <c r="R1312" s="23" t="n">
        <f aca="false">H1312*Assumptions!$B$3</f>
        <v>12.444</v>
      </c>
      <c r="S1312" s="23" t="n">
        <f aca="false">G1312-Q1312-R1312</f>
        <v>118.9864</v>
      </c>
      <c r="T1312" s="21" t="str">
        <f aca="false">IF(M1312&lt;=7,"0-7 days",IF(M1312&lt;=14,"8-14 days",IF(M1312&lt;=21,"15-21 days","22+ days")))</f>
        <v>8-14 days</v>
      </c>
    </row>
    <row r="1313" customFormat="false" ht="15" hidden="false" customHeight="false" outlineLevel="0" collapsed="false">
      <c r="A1313" s="21" t="s">
        <v>1379</v>
      </c>
      <c r="B1313" s="21" t="s">
        <v>19</v>
      </c>
      <c r="C1313" s="22" t="n">
        <v>43209</v>
      </c>
      <c r="D1313" s="22" t="n">
        <v>43216</v>
      </c>
      <c r="E1313" s="22" t="n">
        <v>43227</v>
      </c>
      <c r="F1313" s="21" t="s">
        <v>59</v>
      </c>
      <c r="G1313" s="23" t="n">
        <v>192.02</v>
      </c>
      <c r="H1313" s="23" t="n">
        <v>21.03</v>
      </c>
      <c r="I1313" s="21" t="s">
        <v>45</v>
      </c>
      <c r="J1313" s="21" t="n">
        <v>5</v>
      </c>
      <c r="K1313" s="21" t="s">
        <v>46</v>
      </c>
      <c r="L1313" s="24" t="n">
        <f aca="false">DATE(YEAR(C1313),MONTH(C1313),1)</f>
        <v>43191</v>
      </c>
      <c r="M1313" s="21" t="n">
        <f aca="false">D1313-C1313</f>
        <v>7</v>
      </c>
      <c r="N1313" s="21" t="n">
        <f aca="false">MAX(0,D1313-E1313)</f>
        <v>0</v>
      </c>
      <c r="O1313" s="21" t="n">
        <f aca="false">IF(D1313&lt;=E1313,1,0)</f>
        <v>1</v>
      </c>
      <c r="P1313" s="23" t="n">
        <f aca="false">G1313+H1313</f>
        <v>213.05</v>
      </c>
      <c r="Q1313" s="23" t="n">
        <f aca="false">G1313*INDEX(Assumptions!$B$8:$B$16,MATCH(F1313,Assumptions!$A$8:$A$16,0))</f>
        <v>122.8928</v>
      </c>
      <c r="R1313" s="23" t="n">
        <f aca="false">H1313*Assumptions!$B$3</f>
        <v>12.618</v>
      </c>
      <c r="S1313" s="23" t="n">
        <f aca="false">G1313-Q1313-R1313</f>
        <v>56.5092</v>
      </c>
      <c r="T1313" s="21" t="str">
        <f aca="false">IF(M1313&lt;=7,"0-7 days",IF(M1313&lt;=14,"8-14 days",IF(M1313&lt;=21,"15-21 days","22+ days")))</f>
        <v>0-7 days</v>
      </c>
    </row>
    <row r="1314" customFormat="false" ht="15" hidden="false" customHeight="false" outlineLevel="0" collapsed="false">
      <c r="A1314" s="21" t="s">
        <v>1380</v>
      </c>
      <c r="B1314" s="21" t="s">
        <v>134</v>
      </c>
      <c r="C1314" s="22" t="n">
        <v>43209</v>
      </c>
      <c r="D1314" s="22" t="n">
        <v>43219</v>
      </c>
      <c r="E1314" s="22" t="n">
        <v>43234</v>
      </c>
      <c r="F1314" s="21" t="s">
        <v>49</v>
      </c>
      <c r="G1314" s="23" t="n">
        <v>61.11</v>
      </c>
      <c r="H1314" s="23" t="n">
        <v>27.26</v>
      </c>
      <c r="I1314" s="21" t="s">
        <v>45</v>
      </c>
      <c r="J1314" s="21" t="n">
        <v>5</v>
      </c>
      <c r="K1314" s="21" t="s">
        <v>46</v>
      </c>
      <c r="L1314" s="24" t="n">
        <f aca="false">DATE(YEAR(C1314),MONTH(C1314),1)</f>
        <v>43191</v>
      </c>
      <c r="M1314" s="21" t="n">
        <f aca="false">D1314-C1314</f>
        <v>10</v>
      </c>
      <c r="N1314" s="21" t="n">
        <f aca="false">MAX(0,D1314-E1314)</f>
        <v>0</v>
      </c>
      <c r="O1314" s="21" t="n">
        <f aca="false">IF(D1314&lt;=E1314,1,0)</f>
        <v>1</v>
      </c>
      <c r="P1314" s="23" t="n">
        <f aca="false">G1314+H1314</f>
        <v>88.37</v>
      </c>
      <c r="Q1314" s="23" t="n">
        <f aca="false">G1314*INDEX(Assumptions!$B$8:$B$16,MATCH(F1314,Assumptions!$A$8:$A$16,0))</f>
        <v>35.4438</v>
      </c>
      <c r="R1314" s="23" t="n">
        <f aca="false">H1314*Assumptions!$B$3</f>
        <v>16.356</v>
      </c>
      <c r="S1314" s="23" t="n">
        <f aca="false">G1314-Q1314-R1314</f>
        <v>9.3102</v>
      </c>
      <c r="T1314" s="21" t="str">
        <f aca="false">IF(M1314&lt;=7,"0-7 days",IF(M1314&lt;=14,"8-14 days",IF(M1314&lt;=21,"15-21 days","22+ days")))</f>
        <v>8-14 days</v>
      </c>
    </row>
    <row r="1315" customFormat="false" ht="15" hidden="false" customHeight="false" outlineLevel="0" collapsed="false">
      <c r="A1315" s="21" t="s">
        <v>1381</v>
      </c>
      <c r="B1315" s="21" t="s">
        <v>19</v>
      </c>
      <c r="C1315" s="22" t="n">
        <v>43210</v>
      </c>
      <c r="D1315" s="22" t="n">
        <v>43215</v>
      </c>
      <c r="E1315" s="22" t="n">
        <v>43226</v>
      </c>
      <c r="F1315" s="21" t="s">
        <v>49</v>
      </c>
      <c r="G1315" s="23" t="n">
        <v>69.15</v>
      </c>
      <c r="H1315" s="23" t="n">
        <v>16.11</v>
      </c>
      <c r="I1315" s="21" t="s">
        <v>45</v>
      </c>
      <c r="J1315" s="21" t="n">
        <v>4</v>
      </c>
      <c r="K1315" s="21" t="s">
        <v>46</v>
      </c>
      <c r="L1315" s="24" t="n">
        <f aca="false">DATE(YEAR(C1315),MONTH(C1315),1)</f>
        <v>43191</v>
      </c>
      <c r="M1315" s="21" t="n">
        <f aca="false">D1315-C1315</f>
        <v>5</v>
      </c>
      <c r="N1315" s="21" t="n">
        <f aca="false">MAX(0,D1315-E1315)</f>
        <v>0</v>
      </c>
      <c r="O1315" s="21" t="n">
        <f aca="false">IF(D1315&lt;=E1315,1,0)</f>
        <v>1</v>
      </c>
      <c r="P1315" s="23" t="n">
        <f aca="false">G1315+H1315</f>
        <v>85.26</v>
      </c>
      <c r="Q1315" s="23" t="n">
        <f aca="false">G1315*INDEX(Assumptions!$B$8:$B$16,MATCH(F1315,Assumptions!$A$8:$A$16,0))</f>
        <v>40.107</v>
      </c>
      <c r="R1315" s="23" t="n">
        <f aca="false">H1315*Assumptions!$B$3</f>
        <v>9.666</v>
      </c>
      <c r="S1315" s="23" t="n">
        <f aca="false">G1315-Q1315-R1315</f>
        <v>19.377</v>
      </c>
      <c r="T1315" s="21" t="str">
        <f aca="false">IF(M1315&lt;=7,"0-7 days",IF(M1315&lt;=14,"8-14 days",IF(M1315&lt;=21,"15-21 days","22+ days")))</f>
        <v>0-7 days</v>
      </c>
    </row>
    <row r="1316" customFormat="false" ht="15" hidden="false" customHeight="false" outlineLevel="0" collapsed="false">
      <c r="A1316" s="21" t="s">
        <v>1382</v>
      </c>
      <c r="B1316" s="21" t="s">
        <v>134</v>
      </c>
      <c r="C1316" s="22" t="n">
        <v>43210</v>
      </c>
      <c r="D1316" s="22" t="n">
        <v>43221</v>
      </c>
      <c r="E1316" s="22" t="n">
        <v>43232</v>
      </c>
      <c r="F1316" s="21" t="s">
        <v>79</v>
      </c>
      <c r="G1316" s="23" t="n">
        <v>92.42</v>
      </c>
      <c r="H1316" s="23" t="n">
        <v>27.27</v>
      </c>
      <c r="I1316" s="21" t="s">
        <v>45</v>
      </c>
      <c r="J1316" s="21" t="n">
        <v>5</v>
      </c>
      <c r="K1316" s="21" t="s">
        <v>46</v>
      </c>
      <c r="L1316" s="24" t="n">
        <f aca="false">DATE(YEAR(C1316),MONTH(C1316),1)</f>
        <v>43191</v>
      </c>
      <c r="M1316" s="21" t="n">
        <f aca="false">D1316-C1316</f>
        <v>11</v>
      </c>
      <c r="N1316" s="21" t="n">
        <f aca="false">MAX(0,D1316-E1316)</f>
        <v>0</v>
      </c>
      <c r="O1316" s="21" t="n">
        <f aca="false">IF(D1316&lt;=E1316,1,0)</f>
        <v>1</v>
      </c>
      <c r="P1316" s="23" t="n">
        <f aca="false">G1316+H1316</f>
        <v>119.69</v>
      </c>
      <c r="Q1316" s="23" t="n">
        <f aca="false">G1316*INDEX(Assumptions!$B$8:$B$16,MATCH(F1316,Assumptions!$A$8:$A$16,0))</f>
        <v>64.694</v>
      </c>
      <c r="R1316" s="23" t="n">
        <f aca="false">H1316*Assumptions!$B$3</f>
        <v>16.362</v>
      </c>
      <c r="S1316" s="23" t="n">
        <f aca="false">G1316-Q1316-R1316</f>
        <v>11.364</v>
      </c>
      <c r="T1316" s="21" t="str">
        <f aca="false">IF(M1316&lt;=7,"0-7 days",IF(M1316&lt;=14,"8-14 days",IF(M1316&lt;=21,"15-21 days","22+ days")))</f>
        <v>8-14 days</v>
      </c>
    </row>
    <row r="1317" customFormat="false" ht="15" hidden="false" customHeight="false" outlineLevel="0" collapsed="false">
      <c r="A1317" s="21" t="s">
        <v>1383</v>
      </c>
      <c r="B1317" s="21" t="s">
        <v>19</v>
      </c>
      <c r="C1317" s="22" t="n">
        <v>43212</v>
      </c>
      <c r="D1317" s="22" t="n">
        <v>43218</v>
      </c>
      <c r="E1317" s="22" t="n">
        <v>43227</v>
      </c>
      <c r="F1317" s="21" t="s">
        <v>67</v>
      </c>
      <c r="G1317" s="23" t="n">
        <v>71.05</v>
      </c>
      <c r="H1317" s="23" t="n">
        <v>21.25</v>
      </c>
      <c r="I1317" s="21" t="s">
        <v>45</v>
      </c>
      <c r="J1317" s="21" t="n">
        <v>5</v>
      </c>
      <c r="K1317" s="21" t="s">
        <v>46</v>
      </c>
      <c r="L1317" s="24" t="n">
        <f aca="false">DATE(YEAR(C1317),MONTH(C1317),1)</f>
        <v>43191</v>
      </c>
      <c r="M1317" s="21" t="n">
        <f aca="false">D1317-C1317</f>
        <v>6</v>
      </c>
      <c r="N1317" s="21" t="n">
        <f aca="false">MAX(0,D1317-E1317)</f>
        <v>0</v>
      </c>
      <c r="O1317" s="21" t="n">
        <f aca="false">IF(D1317&lt;=E1317,1,0)</f>
        <v>1</v>
      </c>
      <c r="P1317" s="23" t="n">
        <f aca="false">G1317+H1317</f>
        <v>92.3</v>
      </c>
      <c r="Q1317" s="23" t="n">
        <f aca="false">G1317*INDEX(Assumptions!$B$8:$B$16,MATCH(F1317,Assumptions!$A$8:$A$16,0))</f>
        <v>44.051</v>
      </c>
      <c r="R1317" s="23" t="n">
        <f aca="false">H1317*Assumptions!$B$3</f>
        <v>12.75</v>
      </c>
      <c r="S1317" s="23" t="n">
        <f aca="false">G1317-Q1317-R1317</f>
        <v>14.249</v>
      </c>
      <c r="T1317" s="21" t="str">
        <f aca="false">IF(M1317&lt;=7,"0-7 days",IF(M1317&lt;=14,"8-14 days",IF(M1317&lt;=21,"15-21 days","22+ days")))</f>
        <v>0-7 days</v>
      </c>
    </row>
    <row r="1318" customFormat="false" ht="15" hidden="false" customHeight="false" outlineLevel="0" collapsed="false">
      <c r="A1318" s="21" t="s">
        <v>1384</v>
      </c>
      <c r="B1318" s="21" t="s">
        <v>19</v>
      </c>
      <c r="C1318" s="22" t="n">
        <v>43212</v>
      </c>
      <c r="D1318" s="22" t="n">
        <v>43226</v>
      </c>
      <c r="E1318" s="22" t="n">
        <v>43225</v>
      </c>
      <c r="F1318" s="21" t="s">
        <v>64</v>
      </c>
      <c r="G1318" s="23" t="n">
        <v>132.06</v>
      </c>
      <c r="H1318" s="23" t="n">
        <v>23.57</v>
      </c>
      <c r="I1318" s="21" t="s">
        <v>45</v>
      </c>
      <c r="J1318" s="21" t="n">
        <v>3</v>
      </c>
      <c r="K1318" s="21" t="s">
        <v>46</v>
      </c>
      <c r="L1318" s="24" t="n">
        <f aca="false">DATE(YEAR(C1318),MONTH(C1318),1)</f>
        <v>43191</v>
      </c>
      <c r="M1318" s="21" t="n">
        <f aca="false">D1318-C1318</f>
        <v>14</v>
      </c>
      <c r="N1318" s="21" t="n">
        <f aca="false">MAX(0,D1318-E1318)</f>
        <v>1</v>
      </c>
      <c r="O1318" s="21" t="n">
        <f aca="false">IF(D1318&lt;=E1318,1,0)</f>
        <v>0</v>
      </c>
      <c r="P1318" s="23" t="n">
        <f aca="false">G1318+H1318</f>
        <v>155.63</v>
      </c>
      <c r="Q1318" s="23" t="n">
        <f aca="false">G1318*INDEX(Assumptions!$B$8:$B$16,MATCH(F1318,Assumptions!$A$8:$A$16,0))</f>
        <v>87.1596</v>
      </c>
      <c r="R1318" s="23" t="n">
        <f aca="false">H1318*Assumptions!$B$3</f>
        <v>14.142</v>
      </c>
      <c r="S1318" s="23" t="n">
        <f aca="false">G1318-Q1318-R1318</f>
        <v>30.7584</v>
      </c>
      <c r="T1318" s="21" t="str">
        <f aca="false">IF(M1318&lt;=7,"0-7 days",IF(M1318&lt;=14,"8-14 days",IF(M1318&lt;=21,"15-21 days","22+ days")))</f>
        <v>8-14 days</v>
      </c>
    </row>
    <row r="1319" customFormat="false" ht="15" hidden="false" customHeight="false" outlineLevel="0" collapsed="false">
      <c r="A1319" s="21" t="s">
        <v>1385</v>
      </c>
      <c r="B1319" s="21" t="s">
        <v>55</v>
      </c>
      <c r="C1319" s="22" t="n">
        <v>43213</v>
      </c>
      <c r="D1319" s="22" t="n">
        <v>43230</v>
      </c>
      <c r="E1319" s="22" t="n">
        <v>43232</v>
      </c>
      <c r="F1319" s="21" t="s">
        <v>67</v>
      </c>
      <c r="G1319" s="23" t="n">
        <v>44.58</v>
      </c>
      <c r="H1319" s="23" t="n">
        <v>28.35</v>
      </c>
      <c r="I1319" s="21" t="s">
        <v>45</v>
      </c>
      <c r="J1319" s="21" t="n">
        <v>5</v>
      </c>
      <c r="K1319" s="21" t="s">
        <v>46</v>
      </c>
      <c r="L1319" s="24" t="n">
        <f aca="false">DATE(YEAR(C1319),MONTH(C1319),1)</f>
        <v>43191</v>
      </c>
      <c r="M1319" s="21" t="n">
        <f aca="false">D1319-C1319</f>
        <v>17</v>
      </c>
      <c r="N1319" s="21" t="n">
        <f aca="false">MAX(0,D1319-E1319)</f>
        <v>0</v>
      </c>
      <c r="O1319" s="21" t="n">
        <f aca="false">IF(D1319&lt;=E1319,1,0)</f>
        <v>1</v>
      </c>
      <c r="P1319" s="23" t="n">
        <f aca="false">G1319+H1319</f>
        <v>72.93</v>
      </c>
      <c r="Q1319" s="23" t="n">
        <f aca="false">G1319*INDEX(Assumptions!$B$8:$B$16,MATCH(F1319,Assumptions!$A$8:$A$16,0))</f>
        <v>27.6396</v>
      </c>
      <c r="R1319" s="23" t="n">
        <f aca="false">H1319*Assumptions!$B$3</f>
        <v>17.01</v>
      </c>
      <c r="S1319" s="23" t="n">
        <f aca="false">G1319-Q1319-R1319</f>
        <v>-0.0696000000000012</v>
      </c>
      <c r="T1319" s="21" t="str">
        <f aca="false">IF(M1319&lt;=7,"0-7 days",IF(M1319&lt;=14,"8-14 days",IF(M1319&lt;=21,"15-21 days","22+ days")))</f>
        <v>15-21 days</v>
      </c>
    </row>
    <row r="1320" customFormat="false" ht="15" hidden="false" customHeight="false" outlineLevel="0" collapsed="false">
      <c r="A1320" s="21" t="s">
        <v>1386</v>
      </c>
      <c r="B1320" s="21" t="s">
        <v>62</v>
      </c>
      <c r="C1320" s="22" t="n">
        <v>43213</v>
      </c>
      <c r="D1320" s="22" t="n">
        <v>43228</v>
      </c>
      <c r="E1320" s="22" t="n">
        <v>43235</v>
      </c>
      <c r="F1320" s="21" t="s">
        <v>53</v>
      </c>
      <c r="G1320" s="23" t="n">
        <v>103.18</v>
      </c>
      <c r="H1320" s="23" t="n">
        <v>24.94</v>
      </c>
      <c r="I1320" s="21" t="s">
        <v>45</v>
      </c>
      <c r="J1320" s="21" t="n">
        <v>4</v>
      </c>
      <c r="K1320" s="21" t="s">
        <v>46</v>
      </c>
      <c r="L1320" s="24" t="n">
        <f aca="false">DATE(YEAR(C1320),MONTH(C1320),1)</f>
        <v>43191</v>
      </c>
      <c r="M1320" s="21" t="n">
        <f aca="false">D1320-C1320</f>
        <v>15</v>
      </c>
      <c r="N1320" s="21" t="n">
        <f aca="false">MAX(0,D1320-E1320)</f>
        <v>0</v>
      </c>
      <c r="O1320" s="21" t="n">
        <f aca="false">IF(D1320&lt;=E1320,1,0)</f>
        <v>1</v>
      </c>
      <c r="P1320" s="23" t="n">
        <f aca="false">G1320+H1320</f>
        <v>128.12</v>
      </c>
      <c r="Q1320" s="23" t="n">
        <f aca="false">G1320*INDEX(Assumptions!$B$8:$B$16,MATCH(F1320,Assumptions!$A$8:$A$16,0))</f>
        <v>76.3532</v>
      </c>
      <c r="R1320" s="23" t="n">
        <f aca="false">H1320*Assumptions!$B$3</f>
        <v>14.964</v>
      </c>
      <c r="S1320" s="23" t="n">
        <f aca="false">G1320-Q1320-R1320</f>
        <v>11.8628</v>
      </c>
      <c r="T1320" s="21" t="str">
        <f aca="false">IF(M1320&lt;=7,"0-7 days",IF(M1320&lt;=14,"8-14 days",IF(M1320&lt;=21,"15-21 days","22+ days")))</f>
        <v>15-21 days</v>
      </c>
    </row>
    <row r="1321" customFormat="false" ht="15" hidden="false" customHeight="false" outlineLevel="0" collapsed="false">
      <c r="A1321" s="21" t="s">
        <v>1387</v>
      </c>
      <c r="B1321" s="21" t="s">
        <v>62</v>
      </c>
      <c r="C1321" s="22" t="n">
        <v>43213</v>
      </c>
      <c r="D1321" s="22" t="n">
        <v>43222</v>
      </c>
      <c r="E1321" s="22" t="n">
        <v>43236</v>
      </c>
      <c r="F1321" s="21" t="s">
        <v>53</v>
      </c>
      <c r="G1321" s="23" t="n">
        <v>95.56</v>
      </c>
      <c r="H1321" s="23" t="n">
        <v>28.69</v>
      </c>
      <c r="I1321" s="21" t="s">
        <v>60</v>
      </c>
      <c r="J1321" s="21" t="n">
        <v>5</v>
      </c>
      <c r="K1321" s="21" t="s">
        <v>46</v>
      </c>
      <c r="L1321" s="24" t="n">
        <f aca="false">DATE(YEAR(C1321),MONTH(C1321),1)</f>
        <v>43191</v>
      </c>
      <c r="M1321" s="21" t="n">
        <f aca="false">D1321-C1321</f>
        <v>9</v>
      </c>
      <c r="N1321" s="21" t="n">
        <f aca="false">MAX(0,D1321-E1321)</f>
        <v>0</v>
      </c>
      <c r="O1321" s="21" t="n">
        <f aca="false">IF(D1321&lt;=E1321,1,0)</f>
        <v>1</v>
      </c>
      <c r="P1321" s="23" t="n">
        <f aca="false">G1321+H1321</f>
        <v>124.25</v>
      </c>
      <c r="Q1321" s="23" t="n">
        <f aca="false">G1321*INDEX(Assumptions!$B$8:$B$16,MATCH(F1321,Assumptions!$A$8:$A$16,0))</f>
        <v>70.7144</v>
      </c>
      <c r="R1321" s="23" t="n">
        <f aca="false">H1321*Assumptions!$B$3</f>
        <v>17.214</v>
      </c>
      <c r="S1321" s="23" t="n">
        <f aca="false">G1321-Q1321-R1321</f>
        <v>7.63160000000001</v>
      </c>
      <c r="T1321" s="21" t="str">
        <f aca="false">IF(M1321&lt;=7,"0-7 days",IF(M1321&lt;=14,"8-14 days",IF(M1321&lt;=21,"15-21 days","22+ days")))</f>
        <v>8-14 days</v>
      </c>
    </row>
    <row r="1322" customFormat="false" ht="15" hidden="false" customHeight="false" outlineLevel="0" collapsed="false">
      <c r="A1322" s="21" t="s">
        <v>1388</v>
      </c>
      <c r="B1322" s="21" t="s">
        <v>93</v>
      </c>
      <c r="C1322" s="22" t="n">
        <v>43214</v>
      </c>
      <c r="D1322" s="22" t="n">
        <v>43222</v>
      </c>
      <c r="E1322" s="22" t="n">
        <v>43245</v>
      </c>
      <c r="F1322" s="21" t="s">
        <v>79</v>
      </c>
      <c r="G1322" s="23" t="n">
        <v>366.55</v>
      </c>
      <c r="H1322" s="23" t="n">
        <v>40.1</v>
      </c>
      <c r="I1322" s="21" t="s">
        <v>45</v>
      </c>
      <c r="J1322" s="21" t="n">
        <v>4</v>
      </c>
      <c r="K1322" s="21" t="s">
        <v>46</v>
      </c>
      <c r="L1322" s="24" t="n">
        <f aca="false">DATE(YEAR(C1322),MONTH(C1322),1)</f>
        <v>43191</v>
      </c>
      <c r="M1322" s="21" t="n">
        <f aca="false">D1322-C1322</f>
        <v>8</v>
      </c>
      <c r="N1322" s="21" t="n">
        <f aca="false">MAX(0,D1322-E1322)</f>
        <v>0</v>
      </c>
      <c r="O1322" s="21" t="n">
        <f aca="false">IF(D1322&lt;=E1322,1,0)</f>
        <v>1</v>
      </c>
      <c r="P1322" s="23" t="n">
        <f aca="false">G1322+H1322</f>
        <v>406.65</v>
      </c>
      <c r="Q1322" s="23" t="n">
        <f aca="false">G1322*INDEX(Assumptions!$B$8:$B$16,MATCH(F1322,Assumptions!$A$8:$A$16,0))</f>
        <v>256.585</v>
      </c>
      <c r="R1322" s="23" t="n">
        <f aca="false">H1322*Assumptions!$B$3</f>
        <v>24.06</v>
      </c>
      <c r="S1322" s="23" t="n">
        <f aca="false">G1322-Q1322-R1322</f>
        <v>85.905</v>
      </c>
      <c r="T1322" s="21" t="str">
        <f aca="false">IF(M1322&lt;=7,"0-7 days",IF(M1322&lt;=14,"8-14 days",IF(M1322&lt;=21,"15-21 days","22+ days")))</f>
        <v>8-14 days</v>
      </c>
    </row>
    <row r="1323" customFormat="false" ht="15" hidden="false" customHeight="false" outlineLevel="0" collapsed="false">
      <c r="A1323" s="21" t="s">
        <v>1389</v>
      </c>
      <c r="B1323" s="21" t="s">
        <v>134</v>
      </c>
      <c r="C1323" s="22" t="n">
        <v>43214</v>
      </c>
      <c r="D1323" s="22" t="n">
        <v>43226</v>
      </c>
      <c r="E1323" s="22" t="n">
        <v>43238</v>
      </c>
      <c r="F1323" s="21" t="s">
        <v>49</v>
      </c>
      <c r="G1323" s="23" t="n">
        <v>109.09</v>
      </c>
      <c r="H1323" s="23" t="n">
        <v>23.98</v>
      </c>
      <c r="I1323" s="21" t="s">
        <v>45</v>
      </c>
      <c r="J1323" s="21" t="n">
        <v>4</v>
      </c>
      <c r="K1323" s="21" t="s">
        <v>46</v>
      </c>
      <c r="L1323" s="24" t="n">
        <f aca="false">DATE(YEAR(C1323),MONTH(C1323),1)</f>
        <v>43191</v>
      </c>
      <c r="M1323" s="21" t="n">
        <f aca="false">D1323-C1323</f>
        <v>12</v>
      </c>
      <c r="N1323" s="21" t="n">
        <f aca="false">MAX(0,D1323-E1323)</f>
        <v>0</v>
      </c>
      <c r="O1323" s="21" t="n">
        <f aca="false">IF(D1323&lt;=E1323,1,0)</f>
        <v>1</v>
      </c>
      <c r="P1323" s="23" t="n">
        <f aca="false">G1323+H1323</f>
        <v>133.07</v>
      </c>
      <c r="Q1323" s="23" t="n">
        <f aca="false">G1323*INDEX(Assumptions!$B$8:$B$16,MATCH(F1323,Assumptions!$A$8:$A$16,0))</f>
        <v>63.2722</v>
      </c>
      <c r="R1323" s="23" t="n">
        <f aca="false">H1323*Assumptions!$B$3</f>
        <v>14.388</v>
      </c>
      <c r="S1323" s="23" t="n">
        <f aca="false">G1323-Q1323-R1323</f>
        <v>31.4298</v>
      </c>
      <c r="T1323" s="21" t="str">
        <f aca="false">IF(M1323&lt;=7,"0-7 days",IF(M1323&lt;=14,"8-14 days",IF(M1323&lt;=21,"15-21 days","22+ days")))</f>
        <v>8-14 days</v>
      </c>
    </row>
    <row r="1324" customFormat="false" ht="15" hidden="false" customHeight="false" outlineLevel="0" collapsed="false">
      <c r="A1324" s="21" t="s">
        <v>1390</v>
      </c>
      <c r="B1324" s="21" t="s">
        <v>19</v>
      </c>
      <c r="C1324" s="22" t="n">
        <v>43214</v>
      </c>
      <c r="D1324" s="22" t="n">
        <v>43225</v>
      </c>
      <c r="E1324" s="22" t="n">
        <v>43230</v>
      </c>
      <c r="F1324" s="21" t="s">
        <v>49</v>
      </c>
      <c r="G1324" s="23" t="n">
        <v>100.55</v>
      </c>
      <c r="H1324" s="23" t="n">
        <v>13.66</v>
      </c>
      <c r="I1324" s="21" t="s">
        <v>45</v>
      </c>
      <c r="J1324" s="21" t="n">
        <v>5</v>
      </c>
      <c r="K1324" s="21" t="s">
        <v>46</v>
      </c>
      <c r="L1324" s="24" t="n">
        <f aca="false">DATE(YEAR(C1324),MONTH(C1324),1)</f>
        <v>43191</v>
      </c>
      <c r="M1324" s="21" t="n">
        <f aca="false">D1324-C1324</f>
        <v>11</v>
      </c>
      <c r="N1324" s="21" t="n">
        <f aca="false">MAX(0,D1324-E1324)</f>
        <v>0</v>
      </c>
      <c r="O1324" s="21" t="n">
        <f aca="false">IF(D1324&lt;=E1324,1,0)</f>
        <v>1</v>
      </c>
      <c r="P1324" s="23" t="n">
        <f aca="false">G1324+H1324</f>
        <v>114.21</v>
      </c>
      <c r="Q1324" s="23" t="n">
        <f aca="false">G1324*INDEX(Assumptions!$B$8:$B$16,MATCH(F1324,Assumptions!$A$8:$A$16,0))</f>
        <v>58.319</v>
      </c>
      <c r="R1324" s="23" t="n">
        <f aca="false">H1324*Assumptions!$B$3</f>
        <v>8.196</v>
      </c>
      <c r="S1324" s="23" t="n">
        <f aca="false">G1324-Q1324-R1324</f>
        <v>34.035</v>
      </c>
      <c r="T1324" s="21" t="str">
        <f aca="false">IF(M1324&lt;=7,"0-7 days",IF(M1324&lt;=14,"8-14 days",IF(M1324&lt;=21,"15-21 days","22+ days")))</f>
        <v>8-14 days</v>
      </c>
    </row>
    <row r="1325" customFormat="false" ht="15" hidden="false" customHeight="false" outlineLevel="0" collapsed="false">
      <c r="A1325" s="21" t="s">
        <v>1391</v>
      </c>
      <c r="B1325" s="21" t="s">
        <v>19</v>
      </c>
      <c r="C1325" s="22" t="n">
        <v>43214</v>
      </c>
      <c r="D1325" s="22" t="n">
        <v>43220</v>
      </c>
      <c r="E1325" s="22" t="n">
        <v>43233</v>
      </c>
      <c r="F1325" s="21" t="s">
        <v>111</v>
      </c>
      <c r="G1325" s="23" t="n">
        <v>62.14</v>
      </c>
      <c r="H1325" s="23" t="n">
        <v>21.31</v>
      </c>
      <c r="I1325" s="21" t="s">
        <v>45</v>
      </c>
      <c r="J1325" s="21" t="n">
        <v>5</v>
      </c>
      <c r="K1325" s="21" t="s">
        <v>46</v>
      </c>
      <c r="L1325" s="24" t="n">
        <f aca="false">DATE(YEAR(C1325),MONTH(C1325),1)</f>
        <v>43191</v>
      </c>
      <c r="M1325" s="21" t="n">
        <f aca="false">D1325-C1325</f>
        <v>6</v>
      </c>
      <c r="N1325" s="21" t="n">
        <f aca="false">MAX(0,D1325-E1325)</f>
        <v>0</v>
      </c>
      <c r="O1325" s="21" t="n">
        <f aca="false">IF(D1325&lt;=E1325,1,0)</f>
        <v>1</v>
      </c>
      <c r="P1325" s="23" t="n">
        <f aca="false">G1325+H1325</f>
        <v>83.45</v>
      </c>
      <c r="Q1325" s="23" t="n">
        <f aca="false">G1325*INDEX(Assumptions!$B$8:$B$16,MATCH(F1325,Assumptions!$A$8:$A$16,0))</f>
        <v>39.1482</v>
      </c>
      <c r="R1325" s="23" t="n">
        <f aca="false">H1325*Assumptions!$B$3</f>
        <v>12.786</v>
      </c>
      <c r="S1325" s="23" t="n">
        <f aca="false">G1325-Q1325-R1325</f>
        <v>10.2058</v>
      </c>
      <c r="T1325" s="21" t="str">
        <f aca="false">IF(M1325&lt;=7,"0-7 days",IF(M1325&lt;=14,"8-14 days",IF(M1325&lt;=21,"15-21 days","22+ days")))</f>
        <v>0-7 days</v>
      </c>
    </row>
    <row r="1326" customFormat="false" ht="15" hidden="false" customHeight="false" outlineLevel="0" collapsed="false">
      <c r="A1326" s="21" t="s">
        <v>1392</v>
      </c>
      <c r="B1326" s="21" t="s">
        <v>55</v>
      </c>
      <c r="C1326" s="22" t="n">
        <v>43214</v>
      </c>
      <c r="D1326" s="22" t="n">
        <v>43240</v>
      </c>
      <c r="E1326" s="22" t="n">
        <v>43238</v>
      </c>
      <c r="F1326" s="21" t="s">
        <v>49</v>
      </c>
      <c r="G1326" s="23" t="n">
        <v>129.02</v>
      </c>
      <c r="H1326" s="23" t="n">
        <v>23.94</v>
      </c>
      <c r="I1326" s="21" t="s">
        <v>45</v>
      </c>
      <c r="J1326" s="21" t="n">
        <v>3</v>
      </c>
      <c r="K1326" s="21" t="s">
        <v>46</v>
      </c>
      <c r="L1326" s="24" t="n">
        <f aca="false">DATE(YEAR(C1326),MONTH(C1326),1)</f>
        <v>43191</v>
      </c>
      <c r="M1326" s="21" t="n">
        <f aca="false">D1326-C1326</f>
        <v>26</v>
      </c>
      <c r="N1326" s="21" t="n">
        <f aca="false">MAX(0,D1326-E1326)</f>
        <v>2</v>
      </c>
      <c r="O1326" s="21" t="n">
        <f aca="false">IF(D1326&lt;=E1326,1,0)</f>
        <v>0</v>
      </c>
      <c r="P1326" s="23" t="n">
        <f aca="false">G1326+H1326</f>
        <v>152.96</v>
      </c>
      <c r="Q1326" s="23" t="n">
        <f aca="false">G1326*INDEX(Assumptions!$B$8:$B$16,MATCH(F1326,Assumptions!$A$8:$A$16,0))</f>
        <v>74.8316</v>
      </c>
      <c r="R1326" s="23" t="n">
        <f aca="false">H1326*Assumptions!$B$3</f>
        <v>14.364</v>
      </c>
      <c r="S1326" s="23" t="n">
        <f aca="false">G1326-Q1326-R1326</f>
        <v>39.8244</v>
      </c>
      <c r="T1326" s="21" t="str">
        <f aca="false">IF(M1326&lt;=7,"0-7 days",IF(M1326&lt;=14,"8-14 days",IF(M1326&lt;=21,"15-21 days","22+ days")))</f>
        <v>22+ days</v>
      </c>
    </row>
    <row r="1327" customFormat="false" ht="15" hidden="false" customHeight="false" outlineLevel="0" collapsed="false">
      <c r="A1327" s="21" t="s">
        <v>1393</v>
      </c>
      <c r="B1327" s="21" t="s">
        <v>19</v>
      </c>
      <c r="C1327" s="22" t="n">
        <v>43215</v>
      </c>
      <c r="D1327" s="22" t="n">
        <v>43222</v>
      </c>
      <c r="E1327" s="22" t="n">
        <v>43231</v>
      </c>
      <c r="F1327" s="21" t="s">
        <v>79</v>
      </c>
      <c r="G1327" s="23" t="n">
        <v>87.18</v>
      </c>
      <c r="H1327" s="23" t="n">
        <v>16.91</v>
      </c>
      <c r="I1327" s="21" t="s">
        <v>45</v>
      </c>
      <c r="J1327" s="21" t="n">
        <v>2</v>
      </c>
      <c r="K1327" s="21" t="s">
        <v>46</v>
      </c>
      <c r="L1327" s="24" t="n">
        <f aca="false">DATE(YEAR(C1327),MONTH(C1327),1)</f>
        <v>43191</v>
      </c>
      <c r="M1327" s="21" t="n">
        <f aca="false">D1327-C1327</f>
        <v>7</v>
      </c>
      <c r="N1327" s="21" t="n">
        <f aca="false">MAX(0,D1327-E1327)</f>
        <v>0</v>
      </c>
      <c r="O1327" s="21" t="n">
        <f aca="false">IF(D1327&lt;=E1327,1,0)</f>
        <v>1</v>
      </c>
      <c r="P1327" s="23" t="n">
        <f aca="false">G1327+H1327</f>
        <v>104.09</v>
      </c>
      <c r="Q1327" s="23" t="n">
        <f aca="false">G1327*INDEX(Assumptions!$B$8:$B$16,MATCH(F1327,Assumptions!$A$8:$A$16,0))</f>
        <v>61.026</v>
      </c>
      <c r="R1327" s="23" t="n">
        <f aca="false">H1327*Assumptions!$B$3</f>
        <v>10.146</v>
      </c>
      <c r="S1327" s="23" t="n">
        <f aca="false">G1327-Q1327-R1327</f>
        <v>16.008</v>
      </c>
      <c r="T1327" s="21" t="str">
        <f aca="false">IF(M1327&lt;=7,"0-7 days",IF(M1327&lt;=14,"8-14 days",IF(M1327&lt;=21,"15-21 days","22+ days")))</f>
        <v>0-7 days</v>
      </c>
    </row>
    <row r="1328" customFormat="false" ht="15" hidden="false" customHeight="false" outlineLevel="0" collapsed="false">
      <c r="A1328" s="21" t="s">
        <v>1394</v>
      </c>
      <c r="B1328" s="21" t="s">
        <v>19</v>
      </c>
      <c r="C1328" s="22" t="n">
        <v>43215</v>
      </c>
      <c r="D1328" s="22" t="n">
        <v>43221</v>
      </c>
      <c r="E1328" s="22" t="n">
        <v>43228</v>
      </c>
      <c r="F1328" s="21" t="s">
        <v>111</v>
      </c>
      <c r="G1328" s="23" t="n">
        <v>87.66</v>
      </c>
      <c r="H1328" s="23" t="n">
        <v>21.59</v>
      </c>
      <c r="I1328" s="21" t="s">
        <v>45</v>
      </c>
      <c r="J1328" s="21" t="n">
        <v>4</v>
      </c>
      <c r="K1328" s="21" t="s">
        <v>46</v>
      </c>
      <c r="L1328" s="24" t="n">
        <f aca="false">DATE(YEAR(C1328),MONTH(C1328),1)</f>
        <v>43191</v>
      </c>
      <c r="M1328" s="21" t="n">
        <f aca="false">D1328-C1328</f>
        <v>6</v>
      </c>
      <c r="N1328" s="21" t="n">
        <f aca="false">MAX(0,D1328-E1328)</f>
        <v>0</v>
      </c>
      <c r="O1328" s="21" t="n">
        <f aca="false">IF(D1328&lt;=E1328,1,0)</f>
        <v>1</v>
      </c>
      <c r="P1328" s="23" t="n">
        <f aca="false">G1328+H1328</f>
        <v>109.25</v>
      </c>
      <c r="Q1328" s="23" t="n">
        <f aca="false">G1328*INDEX(Assumptions!$B$8:$B$16,MATCH(F1328,Assumptions!$A$8:$A$16,0))</f>
        <v>55.2258</v>
      </c>
      <c r="R1328" s="23" t="n">
        <f aca="false">H1328*Assumptions!$B$3</f>
        <v>12.954</v>
      </c>
      <c r="S1328" s="23" t="n">
        <f aca="false">G1328-Q1328-R1328</f>
        <v>19.4802</v>
      </c>
      <c r="T1328" s="21" t="str">
        <f aca="false">IF(M1328&lt;=7,"0-7 days",IF(M1328&lt;=14,"8-14 days",IF(M1328&lt;=21,"15-21 days","22+ days")))</f>
        <v>0-7 days</v>
      </c>
    </row>
    <row r="1329" customFormat="false" ht="15" hidden="false" customHeight="false" outlineLevel="0" collapsed="false">
      <c r="A1329" s="21" t="s">
        <v>1395</v>
      </c>
      <c r="B1329" s="21" t="s">
        <v>103</v>
      </c>
      <c r="C1329" s="22" t="n">
        <v>43215</v>
      </c>
      <c r="D1329" s="22" t="n">
        <v>43220</v>
      </c>
      <c r="E1329" s="22" t="n">
        <v>43236</v>
      </c>
      <c r="F1329" s="21" t="s">
        <v>59</v>
      </c>
      <c r="G1329" s="23" t="n">
        <v>51.03</v>
      </c>
      <c r="H1329" s="23" t="n">
        <v>20.4</v>
      </c>
      <c r="I1329" s="21" t="s">
        <v>45</v>
      </c>
      <c r="J1329" s="21" t="n">
        <v>5</v>
      </c>
      <c r="K1329" s="21" t="s">
        <v>46</v>
      </c>
      <c r="L1329" s="24" t="n">
        <f aca="false">DATE(YEAR(C1329),MONTH(C1329),1)</f>
        <v>43191</v>
      </c>
      <c r="M1329" s="21" t="n">
        <f aca="false">D1329-C1329</f>
        <v>5</v>
      </c>
      <c r="N1329" s="21" t="n">
        <f aca="false">MAX(0,D1329-E1329)</f>
        <v>0</v>
      </c>
      <c r="O1329" s="21" t="n">
        <f aca="false">IF(D1329&lt;=E1329,1,0)</f>
        <v>1</v>
      </c>
      <c r="P1329" s="23" t="n">
        <f aca="false">G1329+H1329</f>
        <v>71.43</v>
      </c>
      <c r="Q1329" s="23" t="n">
        <f aca="false">G1329*INDEX(Assumptions!$B$8:$B$16,MATCH(F1329,Assumptions!$A$8:$A$16,0))</f>
        <v>32.6592</v>
      </c>
      <c r="R1329" s="23" t="n">
        <f aca="false">H1329*Assumptions!$B$3</f>
        <v>12.24</v>
      </c>
      <c r="S1329" s="23" t="n">
        <f aca="false">G1329-Q1329-R1329</f>
        <v>6.1308</v>
      </c>
      <c r="T1329" s="21" t="str">
        <f aca="false">IF(M1329&lt;=7,"0-7 days",IF(M1329&lt;=14,"8-14 days",IF(M1329&lt;=21,"15-21 days","22+ days")))</f>
        <v>0-7 days</v>
      </c>
    </row>
    <row r="1330" customFormat="false" ht="15" hidden="false" customHeight="false" outlineLevel="0" collapsed="false">
      <c r="A1330" s="21" t="s">
        <v>1396</v>
      </c>
      <c r="B1330" s="21" t="s">
        <v>19</v>
      </c>
      <c r="C1330" s="22" t="n">
        <v>43215</v>
      </c>
      <c r="D1330" s="22" t="n">
        <v>43228</v>
      </c>
      <c r="E1330" s="22" t="n">
        <v>43230</v>
      </c>
      <c r="F1330" s="21" t="s">
        <v>49</v>
      </c>
      <c r="G1330" s="23" t="n">
        <v>185.86</v>
      </c>
      <c r="H1330" s="23" t="n">
        <v>24.03</v>
      </c>
      <c r="I1330" s="21" t="s">
        <v>45</v>
      </c>
      <c r="J1330" s="21" t="n">
        <v>4</v>
      </c>
      <c r="K1330" s="21" t="s">
        <v>46</v>
      </c>
      <c r="L1330" s="24" t="n">
        <f aca="false">DATE(YEAR(C1330),MONTH(C1330),1)</f>
        <v>43191</v>
      </c>
      <c r="M1330" s="21" t="n">
        <f aca="false">D1330-C1330</f>
        <v>13</v>
      </c>
      <c r="N1330" s="21" t="n">
        <f aca="false">MAX(0,D1330-E1330)</f>
        <v>0</v>
      </c>
      <c r="O1330" s="21" t="n">
        <f aca="false">IF(D1330&lt;=E1330,1,0)</f>
        <v>1</v>
      </c>
      <c r="P1330" s="23" t="n">
        <f aca="false">G1330+H1330</f>
        <v>209.89</v>
      </c>
      <c r="Q1330" s="23" t="n">
        <f aca="false">G1330*INDEX(Assumptions!$B$8:$B$16,MATCH(F1330,Assumptions!$A$8:$A$16,0))</f>
        <v>107.7988</v>
      </c>
      <c r="R1330" s="23" t="n">
        <f aca="false">H1330*Assumptions!$B$3</f>
        <v>14.418</v>
      </c>
      <c r="S1330" s="23" t="n">
        <f aca="false">G1330-Q1330-R1330</f>
        <v>63.6432</v>
      </c>
      <c r="T1330" s="21" t="str">
        <f aca="false">IF(M1330&lt;=7,"0-7 days",IF(M1330&lt;=14,"8-14 days",IF(M1330&lt;=21,"15-21 days","22+ days")))</f>
        <v>8-14 days</v>
      </c>
    </row>
    <row r="1331" customFormat="false" ht="15" hidden="false" customHeight="false" outlineLevel="0" collapsed="false">
      <c r="A1331" s="21" t="s">
        <v>1397</v>
      </c>
      <c r="B1331" s="21" t="s">
        <v>19</v>
      </c>
      <c r="C1331" s="22" t="n">
        <v>43216</v>
      </c>
      <c r="D1331" s="22" t="n">
        <v>43228</v>
      </c>
      <c r="E1331" s="22" t="n">
        <v>43228</v>
      </c>
      <c r="F1331" s="21" t="s">
        <v>64</v>
      </c>
      <c r="G1331" s="23" t="n">
        <v>168.56</v>
      </c>
      <c r="H1331" s="23" t="n">
        <v>20.2</v>
      </c>
      <c r="I1331" s="21" t="s">
        <v>45</v>
      </c>
      <c r="J1331" s="21" t="n">
        <v>5</v>
      </c>
      <c r="K1331" s="21" t="s">
        <v>46</v>
      </c>
      <c r="L1331" s="24" t="n">
        <f aca="false">DATE(YEAR(C1331),MONTH(C1331),1)</f>
        <v>43191</v>
      </c>
      <c r="M1331" s="21" t="n">
        <f aca="false">D1331-C1331</f>
        <v>12</v>
      </c>
      <c r="N1331" s="21" t="n">
        <f aca="false">MAX(0,D1331-E1331)</f>
        <v>0</v>
      </c>
      <c r="O1331" s="21" t="n">
        <f aca="false">IF(D1331&lt;=E1331,1,0)</f>
        <v>1</v>
      </c>
      <c r="P1331" s="23" t="n">
        <f aca="false">G1331+H1331</f>
        <v>188.76</v>
      </c>
      <c r="Q1331" s="23" t="n">
        <f aca="false">G1331*INDEX(Assumptions!$B$8:$B$16,MATCH(F1331,Assumptions!$A$8:$A$16,0))</f>
        <v>111.2496</v>
      </c>
      <c r="R1331" s="23" t="n">
        <f aca="false">H1331*Assumptions!$B$3</f>
        <v>12.12</v>
      </c>
      <c r="S1331" s="23" t="n">
        <f aca="false">G1331-Q1331-R1331</f>
        <v>45.1904</v>
      </c>
      <c r="T1331" s="21" t="str">
        <f aca="false">IF(M1331&lt;=7,"0-7 days",IF(M1331&lt;=14,"8-14 days",IF(M1331&lt;=21,"15-21 days","22+ days")))</f>
        <v>8-14 days</v>
      </c>
    </row>
    <row r="1332" customFormat="false" ht="15" hidden="false" customHeight="false" outlineLevel="0" collapsed="false">
      <c r="A1332" s="21" t="s">
        <v>1398</v>
      </c>
      <c r="B1332" s="21" t="s">
        <v>62</v>
      </c>
      <c r="C1332" s="22" t="n">
        <v>43216</v>
      </c>
      <c r="D1332" s="22" t="n">
        <v>43231</v>
      </c>
      <c r="E1332" s="22" t="n">
        <v>43238</v>
      </c>
      <c r="F1332" s="21" t="s">
        <v>53</v>
      </c>
      <c r="G1332" s="23" t="n">
        <v>76.77</v>
      </c>
      <c r="H1332" s="23" t="n">
        <v>20.73</v>
      </c>
      <c r="I1332" s="21" t="s">
        <v>45</v>
      </c>
      <c r="J1332" s="21" t="n">
        <v>4</v>
      </c>
      <c r="K1332" s="21" t="s">
        <v>46</v>
      </c>
      <c r="L1332" s="24" t="n">
        <f aca="false">DATE(YEAR(C1332),MONTH(C1332),1)</f>
        <v>43191</v>
      </c>
      <c r="M1332" s="21" t="n">
        <f aca="false">D1332-C1332</f>
        <v>15</v>
      </c>
      <c r="N1332" s="21" t="n">
        <f aca="false">MAX(0,D1332-E1332)</f>
        <v>0</v>
      </c>
      <c r="O1332" s="21" t="n">
        <f aca="false">IF(D1332&lt;=E1332,1,0)</f>
        <v>1</v>
      </c>
      <c r="P1332" s="23" t="n">
        <f aca="false">G1332+H1332</f>
        <v>97.5</v>
      </c>
      <c r="Q1332" s="23" t="n">
        <f aca="false">G1332*INDEX(Assumptions!$B$8:$B$16,MATCH(F1332,Assumptions!$A$8:$A$16,0))</f>
        <v>56.8098</v>
      </c>
      <c r="R1332" s="23" t="n">
        <f aca="false">H1332*Assumptions!$B$3</f>
        <v>12.438</v>
      </c>
      <c r="S1332" s="23" t="n">
        <f aca="false">G1332-Q1332-R1332</f>
        <v>7.5222</v>
      </c>
      <c r="T1332" s="21" t="str">
        <f aca="false">IF(M1332&lt;=7,"0-7 days",IF(M1332&lt;=14,"8-14 days",IF(M1332&lt;=21,"15-21 days","22+ days")))</f>
        <v>15-21 days</v>
      </c>
    </row>
    <row r="1333" customFormat="false" ht="15" hidden="false" customHeight="false" outlineLevel="0" collapsed="false">
      <c r="A1333" s="21" t="s">
        <v>1399</v>
      </c>
      <c r="B1333" s="21" t="s">
        <v>19</v>
      </c>
      <c r="C1333" s="22" t="n">
        <v>43216</v>
      </c>
      <c r="D1333" s="22" t="n">
        <v>43223</v>
      </c>
      <c r="E1333" s="22" t="n">
        <v>43233</v>
      </c>
      <c r="F1333" s="21" t="s">
        <v>44</v>
      </c>
      <c r="G1333" s="23" t="n">
        <v>122.3</v>
      </c>
      <c r="H1333" s="23" t="n">
        <v>15.73</v>
      </c>
      <c r="I1333" s="21" t="s">
        <v>60</v>
      </c>
      <c r="J1333" s="21" t="n">
        <v>4</v>
      </c>
      <c r="K1333" s="21" t="s">
        <v>46</v>
      </c>
      <c r="L1333" s="24" t="n">
        <f aca="false">DATE(YEAR(C1333),MONTH(C1333),1)</f>
        <v>43191</v>
      </c>
      <c r="M1333" s="21" t="n">
        <f aca="false">D1333-C1333</f>
        <v>7</v>
      </c>
      <c r="N1333" s="21" t="n">
        <f aca="false">MAX(0,D1333-E1333)</f>
        <v>0</v>
      </c>
      <c r="O1333" s="21" t="n">
        <f aca="false">IF(D1333&lt;=E1333,1,0)</f>
        <v>1</v>
      </c>
      <c r="P1333" s="23" t="n">
        <f aca="false">G1333+H1333</f>
        <v>138.03</v>
      </c>
      <c r="Q1333" s="23" t="n">
        <f aca="false">G1333*INDEX(Assumptions!$B$8:$B$16,MATCH(F1333,Assumptions!$A$8:$A$16,0))</f>
        <v>73.38</v>
      </c>
      <c r="R1333" s="23" t="n">
        <f aca="false">H1333*Assumptions!$B$3</f>
        <v>9.438</v>
      </c>
      <c r="S1333" s="23" t="n">
        <f aca="false">G1333-Q1333-R1333</f>
        <v>39.482</v>
      </c>
      <c r="T1333" s="21" t="str">
        <f aca="false">IF(M1333&lt;=7,"0-7 days",IF(M1333&lt;=14,"8-14 days",IF(M1333&lt;=21,"15-21 days","22+ days")))</f>
        <v>0-7 days</v>
      </c>
    </row>
    <row r="1334" customFormat="false" ht="15" hidden="false" customHeight="false" outlineLevel="0" collapsed="false">
      <c r="A1334" s="21" t="s">
        <v>1400</v>
      </c>
      <c r="B1334" s="21" t="s">
        <v>19</v>
      </c>
      <c r="C1334" s="22" t="n">
        <v>43216</v>
      </c>
      <c r="D1334" s="22" t="n">
        <v>43224</v>
      </c>
      <c r="E1334" s="22" t="n">
        <v>43234</v>
      </c>
      <c r="F1334" s="21" t="s">
        <v>53</v>
      </c>
      <c r="G1334" s="23" t="n">
        <v>101.75</v>
      </c>
      <c r="H1334" s="23" t="n">
        <v>16.79</v>
      </c>
      <c r="I1334" s="21" t="s">
        <v>45</v>
      </c>
      <c r="J1334" s="21" t="n">
        <v>5</v>
      </c>
      <c r="K1334" s="21" t="s">
        <v>46</v>
      </c>
      <c r="L1334" s="24" t="n">
        <f aca="false">DATE(YEAR(C1334),MONTH(C1334),1)</f>
        <v>43191</v>
      </c>
      <c r="M1334" s="21" t="n">
        <f aca="false">D1334-C1334</f>
        <v>8</v>
      </c>
      <c r="N1334" s="21" t="n">
        <f aca="false">MAX(0,D1334-E1334)</f>
        <v>0</v>
      </c>
      <c r="O1334" s="21" t="n">
        <f aca="false">IF(D1334&lt;=E1334,1,0)</f>
        <v>1</v>
      </c>
      <c r="P1334" s="23" t="n">
        <f aca="false">G1334+H1334</f>
        <v>118.54</v>
      </c>
      <c r="Q1334" s="23" t="n">
        <f aca="false">G1334*INDEX(Assumptions!$B$8:$B$16,MATCH(F1334,Assumptions!$A$8:$A$16,0))</f>
        <v>75.295</v>
      </c>
      <c r="R1334" s="23" t="n">
        <f aca="false">H1334*Assumptions!$B$3</f>
        <v>10.074</v>
      </c>
      <c r="S1334" s="23" t="n">
        <f aca="false">G1334-Q1334-R1334</f>
        <v>16.381</v>
      </c>
      <c r="T1334" s="21" t="str">
        <f aca="false">IF(M1334&lt;=7,"0-7 days",IF(M1334&lt;=14,"8-14 days",IF(M1334&lt;=21,"15-21 days","22+ days")))</f>
        <v>8-14 days</v>
      </c>
    </row>
    <row r="1335" customFormat="false" ht="15" hidden="false" customHeight="false" outlineLevel="0" collapsed="false">
      <c r="A1335" s="21" t="s">
        <v>1401</v>
      </c>
      <c r="B1335" s="21" t="s">
        <v>55</v>
      </c>
      <c r="C1335" s="22" t="n">
        <v>43216</v>
      </c>
      <c r="D1335" s="22" t="n">
        <v>43246</v>
      </c>
      <c r="E1335" s="22" t="n">
        <v>43237</v>
      </c>
      <c r="F1335" s="21" t="s">
        <v>53</v>
      </c>
      <c r="G1335" s="23" t="n">
        <v>195.02</v>
      </c>
      <c r="H1335" s="23" t="n">
        <v>25.03</v>
      </c>
      <c r="I1335" s="21" t="s">
        <v>60</v>
      </c>
      <c r="J1335" s="21" t="n">
        <v>2</v>
      </c>
      <c r="K1335" s="21" t="s">
        <v>46</v>
      </c>
      <c r="L1335" s="24" t="n">
        <f aca="false">DATE(YEAR(C1335),MONTH(C1335),1)</f>
        <v>43191</v>
      </c>
      <c r="M1335" s="21" t="n">
        <f aca="false">D1335-C1335</f>
        <v>30</v>
      </c>
      <c r="N1335" s="21" t="n">
        <f aca="false">MAX(0,D1335-E1335)</f>
        <v>9</v>
      </c>
      <c r="O1335" s="21" t="n">
        <f aca="false">IF(D1335&lt;=E1335,1,0)</f>
        <v>0</v>
      </c>
      <c r="P1335" s="23" t="n">
        <f aca="false">G1335+H1335</f>
        <v>220.05</v>
      </c>
      <c r="Q1335" s="23" t="n">
        <f aca="false">G1335*INDEX(Assumptions!$B$8:$B$16,MATCH(F1335,Assumptions!$A$8:$A$16,0))</f>
        <v>144.3148</v>
      </c>
      <c r="R1335" s="23" t="n">
        <f aca="false">H1335*Assumptions!$B$3</f>
        <v>15.018</v>
      </c>
      <c r="S1335" s="23" t="n">
        <f aca="false">G1335-Q1335-R1335</f>
        <v>35.6872</v>
      </c>
      <c r="T1335" s="21" t="str">
        <f aca="false">IF(M1335&lt;=7,"0-7 days",IF(M1335&lt;=14,"8-14 days",IF(M1335&lt;=21,"15-21 days","22+ days")))</f>
        <v>22+ days</v>
      </c>
    </row>
    <row r="1336" customFormat="false" ht="15" hidden="false" customHeight="false" outlineLevel="0" collapsed="false">
      <c r="A1336" s="21" t="s">
        <v>1402</v>
      </c>
      <c r="B1336" s="21" t="s">
        <v>19</v>
      </c>
      <c r="C1336" s="22" t="n">
        <v>43216</v>
      </c>
      <c r="D1336" s="22" t="n">
        <v>43228</v>
      </c>
      <c r="E1336" s="22" t="n">
        <v>43233</v>
      </c>
      <c r="F1336" s="21" t="s">
        <v>67</v>
      </c>
      <c r="G1336" s="23" t="n">
        <v>27.72</v>
      </c>
      <c r="H1336" s="23" t="n">
        <v>13.08</v>
      </c>
      <c r="I1336" s="21" t="s">
        <v>60</v>
      </c>
      <c r="J1336" s="21" t="n">
        <v>5</v>
      </c>
      <c r="K1336" s="21" t="s">
        <v>46</v>
      </c>
      <c r="L1336" s="24" t="n">
        <f aca="false">DATE(YEAR(C1336),MONTH(C1336),1)</f>
        <v>43191</v>
      </c>
      <c r="M1336" s="21" t="n">
        <f aca="false">D1336-C1336</f>
        <v>12</v>
      </c>
      <c r="N1336" s="21" t="n">
        <f aca="false">MAX(0,D1336-E1336)</f>
        <v>0</v>
      </c>
      <c r="O1336" s="21" t="n">
        <f aca="false">IF(D1336&lt;=E1336,1,0)</f>
        <v>1</v>
      </c>
      <c r="P1336" s="23" t="n">
        <f aca="false">G1336+H1336</f>
        <v>40.8</v>
      </c>
      <c r="Q1336" s="23" t="n">
        <f aca="false">G1336*INDEX(Assumptions!$B$8:$B$16,MATCH(F1336,Assumptions!$A$8:$A$16,0))</f>
        <v>17.1864</v>
      </c>
      <c r="R1336" s="23" t="n">
        <f aca="false">H1336*Assumptions!$B$3</f>
        <v>7.848</v>
      </c>
      <c r="S1336" s="23" t="n">
        <f aca="false">G1336-Q1336-R1336</f>
        <v>2.6856</v>
      </c>
      <c r="T1336" s="21" t="str">
        <f aca="false">IF(M1336&lt;=7,"0-7 days",IF(M1336&lt;=14,"8-14 days",IF(M1336&lt;=21,"15-21 days","22+ days")))</f>
        <v>8-14 days</v>
      </c>
    </row>
    <row r="1337" customFormat="false" ht="15" hidden="false" customHeight="false" outlineLevel="0" collapsed="false">
      <c r="A1337" s="21" t="s">
        <v>1403</v>
      </c>
      <c r="B1337" s="21" t="s">
        <v>55</v>
      </c>
      <c r="C1337" s="22" t="n">
        <v>43217</v>
      </c>
      <c r="D1337" s="22" t="n">
        <v>43226</v>
      </c>
      <c r="E1337" s="22" t="n">
        <v>43242</v>
      </c>
      <c r="F1337" s="21" t="s">
        <v>79</v>
      </c>
      <c r="G1337" s="23" t="n">
        <v>208.86</v>
      </c>
      <c r="H1337" s="23" t="n">
        <v>21.38</v>
      </c>
      <c r="I1337" s="21" t="s">
        <v>45</v>
      </c>
      <c r="J1337" s="21" t="n">
        <v>5</v>
      </c>
      <c r="K1337" s="21" t="s">
        <v>46</v>
      </c>
      <c r="L1337" s="24" t="n">
        <f aca="false">DATE(YEAR(C1337),MONTH(C1337),1)</f>
        <v>43191</v>
      </c>
      <c r="M1337" s="21" t="n">
        <f aca="false">D1337-C1337</f>
        <v>9</v>
      </c>
      <c r="N1337" s="21" t="n">
        <f aca="false">MAX(0,D1337-E1337)</f>
        <v>0</v>
      </c>
      <c r="O1337" s="21" t="n">
        <f aca="false">IF(D1337&lt;=E1337,1,0)</f>
        <v>1</v>
      </c>
      <c r="P1337" s="23" t="n">
        <f aca="false">G1337+H1337</f>
        <v>230.24</v>
      </c>
      <c r="Q1337" s="23" t="n">
        <f aca="false">G1337*INDEX(Assumptions!$B$8:$B$16,MATCH(F1337,Assumptions!$A$8:$A$16,0))</f>
        <v>146.202</v>
      </c>
      <c r="R1337" s="23" t="n">
        <f aca="false">H1337*Assumptions!$B$3</f>
        <v>12.828</v>
      </c>
      <c r="S1337" s="23" t="n">
        <f aca="false">G1337-Q1337-R1337</f>
        <v>49.83</v>
      </c>
      <c r="T1337" s="21" t="str">
        <f aca="false">IF(M1337&lt;=7,"0-7 days",IF(M1337&lt;=14,"8-14 days",IF(M1337&lt;=21,"15-21 days","22+ days")))</f>
        <v>8-14 days</v>
      </c>
    </row>
    <row r="1338" customFormat="false" ht="15" hidden="false" customHeight="false" outlineLevel="0" collapsed="false">
      <c r="A1338" s="21" t="s">
        <v>1404</v>
      </c>
      <c r="B1338" s="21" t="s">
        <v>19</v>
      </c>
      <c r="C1338" s="22" t="n">
        <v>43217</v>
      </c>
      <c r="D1338" s="22" t="n">
        <v>43224</v>
      </c>
      <c r="E1338" s="22" t="n">
        <v>43233</v>
      </c>
      <c r="F1338" s="21" t="s">
        <v>53</v>
      </c>
      <c r="G1338" s="23" t="n">
        <v>78.78</v>
      </c>
      <c r="H1338" s="23" t="n">
        <v>15.26</v>
      </c>
      <c r="I1338" s="21" t="s">
        <v>45</v>
      </c>
      <c r="J1338" s="21" t="n">
        <v>5</v>
      </c>
      <c r="K1338" s="21" t="s">
        <v>46</v>
      </c>
      <c r="L1338" s="24" t="n">
        <f aca="false">DATE(YEAR(C1338),MONTH(C1338),1)</f>
        <v>43191</v>
      </c>
      <c r="M1338" s="21" t="n">
        <f aca="false">D1338-C1338</f>
        <v>7</v>
      </c>
      <c r="N1338" s="21" t="n">
        <f aca="false">MAX(0,D1338-E1338)</f>
        <v>0</v>
      </c>
      <c r="O1338" s="21" t="n">
        <f aca="false">IF(D1338&lt;=E1338,1,0)</f>
        <v>1</v>
      </c>
      <c r="P1338" s="23" t="n">
        <f aca="false">G1338+H1338</f>
        <v>94.04</v>
      </c>
      <c r="Q1338" s="23" t="n">
        <f aca="false">G1338*INDEX(Assumptions!$B$8:$B$16,MATCH(F1338,Assumptions!$A$8:$A$16,0))</f>
        <v>58.2972</v>
      </c>
      <c r="R1338" s="23" t="n">
        <f aca="false">H1338*Assumptions!$B$3</f>
        <v>9.156</v>
      </c>
      <c r="S1338" s="23" t="n">
        <f aca="false">G1338-Q1338-R1338</f>
        <v>11.3268</v>
      </c>
      <c r="T1338" s="21" t="str">
        <f aca="false">IF(M1338&lt;=7,"0-7 days",IF(M1338&lt;=14,"8-14 days",IF(M1338&lt;=21,"15-21 days","22+ days")))</f>
        <v>0-7 days</v>
      </c>
    </row>
    <row r="1339" customFormat="false" ht="15" hidden="false" customHeight="false" outlineLevel="0" collapsed="false">
      <c r="A1339" s="21" t="s">
        <v>1405</v>
      </c>
      <c r="B1339" s="21" t="s">
        <v>19</v>
      </c>
      <c r="C1339" s="22" t="n">
        <v>43217</v>
      </c>
      <c r="D1339" s="22" t="n">
        <v>43230</v>
      </c>
      <c r="E1339" s="22" t="n">
        <v>43230</v>
      </c>
      <c r="F1339" s="21" t="s">
        <v>53</v>
      </c>
      <c r="G1339" s="23" t="n">
        <v>164.78</v>
      </c>
      <c r="H1339" s="23" t="n">
        <v>21.66</v>
      </c>
      <c r="I1339" s="21" t="s">
        <v>60</v>
      </c>
      <c r="J1339" s="21" t="n">
        <v>5</v>
      </c>
      <c r="K1339" s="21" t="s">
        <v>46</v>
      </c>
      <c r="L1339" s="24" t="n">
        <f aca="false">DATE(YEAR(C1339),MONTH(C1339),1)</f>
        <v>43191</v>
      </c>
      <c r="M1339" s="21" t="n">
        <f aca="false">D1339-C1339</f>
        <v>13</v>
      </c>
      <c r="N1339" s="21" t="n">
        <f aca="false">MAX(0,D1339-E1339)</f>
        <v>0</v>
      </c>
      <c r="O1339" s="21" t="n">
        <f aca="false">IF(D1339&lt;=E1339,1,0)</f>
        <v>1</v>
      </c>
      <c r="P1339" s="23" t="n">
        <f aca="false">G1339+H1339</f>
        <v>186.44</v>
      </c>
      <c r="Q1339" s="23" t="n">
        <f aca="false">G1339*INDEX(Assumptions!$B$8:$B$16,MATCH(F1339,Assumptions!$A$8:$A$16,0))</f>
        <v>121.9372</v>
      </c>
      <c r="R1339" s="23" t="n">
        <f aca="false">H1339*Assumptions!$B$3</f>
        <v>12.996</v>
      </c>
      <c r="S1339" s="23" t="n">
        <f aca="false">G1339-Q1339-R1339</f>
        <v>29.8468</v>
      </c>
      <c r="T1339" s="21" t="str">
        <f aca="false">IF(M1339&lt;=7,"0-7 days",IF(M1339&lt;=14,"8-14 days",IF(M1339&lt;=21,"15-21 days","22+ days")))</f>
        <v>8-14 days</v>
      </c>
    </row>
    <row r="1340" customFormat="false" ht="15" hidden="false" customHeight="false" outlineLevel="0" collapsed="false">
      <c r="A1340" s="21" t="s">
        <v>1406</v>
      </c>
      <c r="B1340" s="21" t="s">
        <v>19</v>
      </c>
      <c r="C1340" s="22" t="n">
        <v>43217</v>
      </c>
      <c r="D1340" s="22" t="n">
        <v>43227</v>
      </c>
      <c r="E1340" s="22" t="n">
        <v>43230</v>
      </c>
      <c r="F1340" s="21" t="s">
        <v>49</v>
      </c>
      <c r="G1340" s="23" t="n">
        <v>77.71</v>
      </c>
      <c r="H1340" s="23" t="n">
        <v>19.74</v>
      </c>
      <c r="I1340" s="21" t="s">
        <v>45</v>
      </c>
      <c r="J1340" s="21" t="n">
        <v>4</v>
      </c>
      <c r="K1340" s="21" t="s">
        <v>46</v>
      </c>
      <c r="L1340" s="24" t="n">
        <f aca="false">DATE(YEAR(C1340),MONTH(C1340),1)</f>
        <v>43191</v>
      </c>
      <c r="M1340" s="21" t="n">
        <f aca="false">D1340-C1340</f>
        <v>10</v>
      </c>
      <c r="N1340" s="21" t="n">
        <f aca="false">MAX(0,D1340-E1340)</f>
        <v>0</v>
      </c>
      <c r="O1340" s="21" t="n">
        <f aca="false">IF(D1340&lt;=E1340,1,0)</f>
        <v>1</v>
      </c>
      <c r="P1340" s="23" t="n">
        <f aca="false">G1340+H1340</f>
        <v>97.45</v>
      </c>
      <c r="Q1340" s="23" t="n">
        <f aca="false">G1340*INDEX(Assumptions!$B$8:$B$16,MATCH(F1340,Assumptions!$A$8:$A$16,0))</f>
        <v>45.0718</v>
      </c>
      <c r="R1340" s="23" t="n">
        <f aca="false">H1340*Assumptions!$B$3</f>
        <v>11.844</v>
      </c>
      <c r="S1340" s="23" t="n">
        <f aca="false">G1340-Q1340-R1340</f>
        <v>20.7942</v>
      </c>
      <c r="T1340" s="21" t="str">
        <f aca="false">IF(M1340&lt;=7,"0-7 days",IF(M1340&lt;=14,"8-14 days",IF(M1340&lt;=21,"15-21 days","22+ days")))</f>
        <v>8-14 days</v>
      </c>
    </row>
    <row r="1341" customFormat="false" ht="15" hidden="false" customHeight="false" outlineLevel="0" collapsed="false">
      <c r="A1341" s="21" t="s">
        <v>1407</v>
      </c>
      <c r="B1341" s="21" t="s">
        <v>48</v>
      </c>
      <c r="C1341" s="22" t="n">
        <v>43217</v>
      </c>
      <c r="D1341" s="22" t="n">
        <v>43229</v>
      </c>
      <c r="E1341" s="22" t="n">
        <v>43238</v>
      </c>
      <c r="F1341" s="21" t="s">
        <v>67</v>
      </c>
      <c r="G1341" s="23" t="n">
        <v>104.66</v>
      </c>
      <c r="H1341" s="23" t="n">
        <v>17.58</v>
      </c>
      <c r="I1341" s="21" t="s">
        <v>45</v>
      </c>
      <c r="J1341" s="21" t="n">
        <v>5</v>
      </c>
      <c r="K1341" s="21" t="s">
        <v>46</v>
      </c>
      <c r="L1341" s="24" t="n">
        <f aca="false">DATE(YEAR(C1341),MONTH(C1341),1)</f>
        <v>43191</v>
      </c>
      <c r="M1341" s="21" t="n">
        <f aca="false">D1341-C1341</f>
        <v>12</v>
      </c>
      <c r="N1341" s="21" t="n">
        <f aca="false">MAX(0,D1341-E1341)</f>
        <v>0</v>
      </c>
      <c r="O1341" s="21" t="n">
        <f aca="false">IF(D1341&lt;=E1341,1,0)</f>
        <v>1</v>
      </c>
      <c r="P1341" s="23" t="n">
        <f aca="false">G1341+H1341</f>
        <v>122.24</v>
      </c>
      <c r="Q1341" s="23" t="n">
        <f aca="false">G1341*INDEX(Assumptions!$B$8:$B$16,MATCH(F1341,Assumptions!$A$8:$A$16,0))</f>
        <v>64.8892</v>
      </c>
      <c r="R1341" s="23" t="n">
        <f aca="false">H1341*Assumptions!$B$3</f>
        <v>10.548</v>
      </c>
      <c r="S1341" s="23" t="n">
        <f aca="false">G1341-Q1341-R1341</f>
        <v>29.2228</v>
      </c>
      <c r="T1341" s="21" t="str">
        <f aca="false">IF(M1341&lt;=7,"0-7 days",IF(M1341&lt;=14,"8-14 days",IF(M1341&lt;=21,"15-21 days","22+ days")))</f>
        <v>8-14 days</v>
      </c>
    </row>
    <row r="1342" customFormat="false" ht="15" hidden="false" customHeight="false" outlineLevel="0" collapsed="false">
      <c r="A1342" s="21" t="s">
        <v>1408</v>
      </c>
      <c r="B1342" s="21" t="s">
        <v>19</v>
      </c>
      <c r="C1342" s="22" t="n">
        <v>43218</v>
      </c>
      <c r="D1342" s="22" t="n">
        <v>43229</v>
      </c>
      <c r="E1342" s="22" t="n">
        <v>43233</v>
      </c>
      <c r="F1342" s="21" t="s">
        <v>67</v>
      </c>
      <c r="G1342" s="23" t="n">
        <v>142.54</v>
      </c>
      <c r="H1342" s="23" t="n">
        <v>15.18</v>
      </c>
      <c r="I1342" s="21" t="s">
        <v>104</v>
      </c>
      <c r="J1342" s="21" t="n">
        <v>5</v>
      </c>
      <c r="K1342" s="21" t="s">
        <v>46</v>
      </c>
      <c r="L1342" s="24" t="n">
        <f aca="false">DATE(YEAR(C1342),MONTH(C1342),1)</f>
        <v>43191</v>
      </c>
      <c r="M1342" s="21" t="n">
        <f aca="false">D1342-C1342</f>
        <v>11</v>
      </c>
      <c r="N1342" s="21" t="n">
        <f aca="false">MAX(0,D1342-E1342)</f>
        <v>0</v>
      </c>
      <c r="O1342" s="21" t="n">
        <f aca="false">IF(D1342&lt;=E1342,1,0)</f>
        <v>1</v>
      </c>
      <c r="P1342" s="23" t="n">
        <f aca="false">G1342+H1342</f>
        <v>157.72</v>
      </c>
      <c r="Q1342" s="23" t="n">
        <f aca="false">G1342*INDEX(Assumptions!$B$8:$B$16,MATCH(F1342,Assumptions!$A$8:$A$16,0))</f>
        <v>88.3748</v>
      </c>
      <c r="R1342" s="23" t="n">
        <f aca="false">H1342*Assumptions!$B$3</f>
        <v>9.108</v>
      </c>
      <c r="S1342" s="23" t="n">
        <f aca="false">G1342-Q1342-R1342</f>
        <v>45.0572</v>
      </c>
      <c r="T1342" s="21" t="str">
        <f aca="false">IF(M1342&lt;=7,"0-7 days",IF(M1342&lt;=14,"8-14 days",IF(M1342&lt;=21,"15-21 days","22+ days")))</f>
        <v>8-14 days</v>
      </c>
    </row>
    <row r="1343" customFormat="false" ht="15" hidden="false" customHeight="false" outlineLevel="0" collapsed="false">
      <c r="A1343" s="21" t="s">
        <v>1409</v>
      </c>
      <c r="B1343" s="21" t="s">
        <v>103</v>
      </c>
      <c r="C1343" s="22" t="n">
        <v>43218</v>
      </c>
      <c r="D1343" s="22" t="n">
        <v>43226</v>
      </c>
      <c r="E1343" s="22" t="n">
        <v>43238</v>
      </c>
      <c r="F1343" s="21" t="s">
        <v>44</v>
      </c>
      <c r="G1343" s="23" t="n">
        <v>64.77</v>
      </c>
      <c r="H1343" s="23" t="n">
        <v>17.2</v>
      </c>
      <c r="I1343" s="21" t="s">
        <v>45</v>
      </c>
      <c r="J1343" s="21" t="n">
        <v>4</v>
      </c>
      <c r="K1343" s="21" t="s">
        <v>46</v>
      </c>
      <c r="L1343" s="24" t="n">
        <f aca="false">DATE(YEAR(C1343),MONTH(C1343),1)</f>
        <v>43191</v>
      </c>
      <c r="M1343" s="21" t="n">
        <f aca="false">D1343-C1343</f>
        <v>8</v>
      </c>
      <c r="N1343" s="21" t="n">
        <f aca="false">MAX(0,D1343-E1343)</f>
        <v>0</v>
      </c>
      <c r="O1343" s="21" t="n">
        <f aca="false">IF(D1343&lt;=E1343,1,0)</f>
        <v>1</v>
      </c>
      <c r="P1343" s="23" t="n">
        <f aca="false">G1343+H1343</f>
        <v>81.97</v>
      </c>
      <c r="Q1343" s="23" t="n">
        <f aca="false">G1343*INDEX(Assumptions!$B$8:$B$16,MATCH(F1343,Assumptions!$A$8:$A$16,0))</f>
        <v>38.862</v>
      </c>
      <c r="R1343" s="23" t="n">
        <f aca="false">H1343*Assumptions!$B$3</f>
        <v>10.32</v>
      </c>
      <c r="S1343" s="23" t="n">
        <f aca="false">G1343-Q1343-R1343</f>
        <v>15.588</v>
      </c>
      <c r="T1343" s="21" t="str">
        <f aca="false">IF(M1343&lt;=7,"0-7 days",IF(M1343&lt;=14,"8-14 days",IF(M1343&lt;=21,"15-21 days","22+ days")))</f>
        <v>8-14 days</v>
      </c>
    </row>
    <row r="1344" customFormat="false" ht="15" hidden="false" customHeight="false" outlineLevel="0" collapsed="false">
      <c r="A1344" s="21" t="s">
        <v>1410</v>
      </c>
      <c r="B1344" s="21" t="s">
        <v>134</v>
      </c>
      <c r="C1344" s="22" t="n">
        <v>43219</v>
      </c>
      <c r="D1344" s="22" t="n">
        <v>43239</v>
      </c>
      <c r="E1344" s="22" t="n">
        <v>43241</v>
      </c>
      <c r="F1344" s="21" t="s">
        <v>67</v>
      </c>
      <c r="G1344" s="23" t="n">
        <v>127.47</v>
      </c>
      <c r="H1344" s="23" t="n">
        <v>27.22</v>
      </c>
      <c r="I1344" s="21" t="s">
        <v>45</v>
      </c>
      <c r="J1344" s="21" t="n">
        <v>5</v>
      </c>
      <c r="K1344" s="21" t="s">
        <v>46</v>
      </c>
      <c r="L1344" s="24" t="n">
        <f aca="false">DATE(YEAR(C1344),MONTH(C1344),1)</f>
        <v>43191</v>
      </c>
      <c r="M1344" s="21" t="n">
        <f aca="false">D1344-C1344</f>
        <v>20</v>
      </c>
      <c r="N1344" s="21" t="n">
        <f aca="false">MAX(0,D1344-E1344)</f>
        <v>0</v>
      </c>
      <c r="O1344" s="21" t="n">
        <f aca="false">IF(D1344&lt;=E1344,1,0)</f>
        <v>1</v>
      </c>
      <c r="P1344" s="23" t="n">
        <f aca="false">G1344+H1344</f>
        <v>154.69</v>
      </c>
      <c r="Q1344" s="23" t="n">
        <f aca="false">G1344*INDEX(Assumptions!$B$8:$B$16,MATCH(F1344,Assumptions!$A$8:$A$16,0))</f>
        <v>79.0314</v>
      </c>
      <c r="R1344" s="23" t="n">
        <f aca="false">H1344*Assumptions!$B$3</f>
        <v>16.332</v>
      </c>
      <c r="S1344" s="23" t="n">
        <f aca="false">G1344-Q1344-R1344</f>
        <v>32.1066</v>
      </c>
      <c r="T1344" s="21" t="str">
        <f aca="false">IF(M1344&lt;=7,"0-7 days",IF(M1344&lt;=14,"8-14 days",IF(M1344&lt;=21,"15-21 days","22+ days")))</f>
        <v>15-21 days</v>
      </c>
    </row>
    <row r="1345" customFormat="false" ht="15" hidden="false" customHeight="false" outlineLevel="0" collapsed="false">
      <c r="A1345" s="21" t="s">
        <v>1411</v>
      </c>
      <c r="B1345" s="21" t="s">
        <v>62</v>
      </c>
      <c r="C1345" s="22" t="n">
        <v>43219</v>
      </c>
      <c r="D1345" s="22" t="n">
        <v>43227</v>
      </c>
      <c r="E1345" s="22" t="n">
        <v>43238</v>
      </c>
      <c r="F1345" s="21" t="s">
        <v>64</v>
      </c>
      <c r="G1345" s="23" t="n">
        <v>107.84</v>
      </c>
      <c r="H1345" s="23" t="n">
        <v>27.73</v>
      </c>
      <c r="I1345" s="21" t="s">
        <v>45</v>
      </c>
      <c r="J1345" s="21" t="n">
        <v>3</v>
      </c>
      <c r="K1345" s="21" t="s">
        <v>46</v>
      </c>
      <c r="L1345" s="24" t="n">
        <f aca="false">DATE(YEAR(C1345),MONTH(C1345),1)</f>
        <v>43191</v>
      </c>
      <c r="M1345" s="21" t="n">
        <f aca="false">D1345-C1345</f>
        <v>8</v>
      </c>
      <c r="N1345" s="21" t="n">
        <f aca="false">MAX(0,D1345-E1345)</f>
        <v>0</v>
      </c>
      <c r="O1345" s="21" t="n">
        <f aca="false">IF(D1345&lt;=E1345,1,0)</f>
        <v>1</v>
      </c>
      <c r="P1345" s="23" t="n">
        <f aca="false">G1345+H1345</f>
        <v>135.57</v>
      </c>
      <c r="Q1345" s="23" t="n">
        <f aca="false">G1345*INDEX(Assumptions!$B$8:$B$16,MATCH(F1345,Assumptions!$A$8:$A$16,0))</f>
        <v>71.1744</v>
      </c>
      <c r="R1345" s="23" t="n">
        <f aca="false">H1345*Assumptions!$B$3</f>
        <v>16.638</v>
      </c>
      <c r="S1345" s="23" t="n">
        <f aca="false">G1345-Q1345-R1345</f>
        <v>20.0276</v>
      </c>
      <c r="T1345" s="21" t="str">
        <f aca="false">IF(M1345&lt;=7,"0-7 days",IF(M1345&lt;=14,"8-14 days",IF(M1345&lt;=21,"15-21 days","22+ days")))</f>
        <v>8-14 days</v>
      </c>
    </row>
    <row r="1346" customFormat="false" ht="15" hidden="false" customHeight="false" outlineLevel="0" collapsed="false">
      <c r="A1346" s="21" t="s">
        <v>1412</v>
      </c>
      <c r="B1346" s="21" t="s">
        <v>19</v>
      </c>
      <c r="C1346" s="22" t="n">
        <v>43219</v>
      </c>
      <c r="D1346" s="22" t="n">
        <v>43228</v>
      </c>
      <c r="E1346" s="22" t="n">
        <v>43233</v>
      </c>
      <c r="F1346" s="21" t="s">
        <v>44</v>
      </c>
      <c r="G1346" s="23" t="n">
        <v>127.25</v>
      </c>
      <c r="H1346" s="23" t="n">
        <v>15.12</v>
      </c>
      <c r="I1346" s="21" t="s">
        <v>45</v>
      </c>
      <c r="J1346" s="21" t="n">
        <v>4</v>
      </c>
      <c r="K1346" s="21" t="s">
        <v>46</v>
      </c>
      <c r="L1346" s="24" t="n">
        <f aca="false">DATE(YEAR(C1346),MONTH(C1346),1)</f>
        <v>43191</v>
      </c>
      <c r="M1346" s="21" t="n">
        <f aca="false">D1346-C1346</f>
        <v>9</v>
      </c>
      <c r="N1346" s="21" t="n">
        <f aca="false">MAX(0,D1346-E1346)</f>
        <v>0</v>
      </c>
      <c r="O1346" s="21" t="n">
        <f aca="false">IF(D1346&lt;=E1346,1,0)</f>
        <v>1</v>
      </c>
      <c r="P1346" s="23" t="n">
        <f aca="false">G1346+H1346</f>
        <v>142.37</v>
      </c>
      <c r="Q1346" s="23" t="n">
        <f aca="false">G1346*INDEX(Assumptions!$B$8:$B$16,MATCH(F1346,Assumptions!$A$8:$A$16,0))</f>
        <v>76.35</v>
      </c>
      <c r="R1346" s="23" t="n">
        <f aca="false">H1346*Assumptions!$B$3</f>
        <v>9.072</v>
      </c>
      <c r="S1346" s="23" t="n">
        <f aca="false">G1346-Q1346-R1346</f>
        <v>41.828</v>
      </c>
      <c r="T1346" s="21" t="str">
        <f aca="false">IF(M1346&lt;=7,"0-7 days",IF(M1346&lt;=14,"8-14 days",IF(M1346&lt;=21,"15-21 days","22+ days")))</f>
        <v>8-14 days</v>
      </c>
    </row>
    <row r="1347" customFormat="false" ht="15" hidden="false" customHeight="false" outlineLevel="0" collapsed="false">
      <c r="A1347" s="21" t="s">
        <v>1413</v>
      </c>
      <c r="B1347" s="21" t="s">
        <v>156</v>
      </c>
      <c r="C1347" s="22" t="n">
        <v>43219</v>
      </c>
      <c r="D1347" s="22" t="n">
        <v>43228</v>
      </c>
      <c r="E1347" s="22" t="n">
        <v>43244</v>
      </c>
      <c r="F1347" s="21" t="s">
        <v>53</v>
      </c>
      <c r="G1347" s="23" t="n">
        <v>103.42</v>
      </c>
      <c r="H1347" s="23" t="n">
        <v>24.87</v>
      </c>
      <c r="I1347" s="21" t="s">
        <v>60</v>
      </c>
      <c r="J1347" s="21" t="n">
        <v>4</v>
      </c>
      <c r="K1347" s="21" t="s">
        <v>46</v>
      </c>
      <c r="L1347" s="24" t="n">
        <f aca="false">DATE(YEAR(C1347),MONTH(C1347),1)</f>
        <v>43191</v>
      </c>
      <c r="M1347" s="21" t="n">
        <f aca="false">D1347-C1347</f>
        <v>9</v>
      </c>
      <c r="N1347" s="21" t="n">
        <f aca="false">MAX(0,D1347-E1347)</f>
        <v>0</v>
      </c>
      <c r="O1347" s="21" t="n">
        <f aca="false">IF(D1347&lt;=E1347,1,0)</f>
        <v>1</v>
      </c>
      <c r="P1347" s="23" t="n">
        <f aca="false">G1347+H1347</f>
        <v>128.29</v>
      </c>
      <c r="Q1347" s="23" t="n">
        <f aca="false">G1347*INDEX(Assumptions!$B$8:$B$16,MATCH(F1347,Assumptions!$A$8:$A$16,0))</f>
        <v>76.5308</v>
      </c>
      <c r="R1347" s="23" t="n">
        <f aca="false">H1347*Assumptions!$B$3</f>
        <v>14.922</v>
      </c>
      <c r="S1347" s="23" t="n">
        <f aca="false">G1347-Q1347-R1347</f>
        <v>11.9672</v>
      </c>
      <c r="T1347" s="21" t="str">
        <f aca="false">IF(M1347&lt;=7,"0-7 days",IF(M1347&lt;=14,"8-14 days",IF(M1347&lt;=21,"15-21 days","22+ days")))</f>
        <v>8-14 days</v>
      </c>
    </row>
    <row r="1348" customFormat="false" ht="15" hidden="false" customHeight="false" outlineLevel="0" collapsed="false">
      <c r="A1348" s="21" t="s">
        <v>1414</v>
      </c>
      <c r="B1348" s="21" t="s">
        <v>19</v>
      </c>
      <c r="C1348" s="22" t="n">
        <v>43219</v>
      </c>
      <c r="D1348" s="22" t="n">
        <v>43231</v>
      </c>
      <c r="E1348" s="22" t="n">
        <v>43234</v>
      </c>
      <c r="F1348" s="21" t="s">
        <v>64</v>
      </c>
      <c r="G1348" s="23" t="n">
        <v>133.68</v>
      </c>
      <c r="H1348" s="23" t="n">
        <v>22.24</v>
      </c>
      <c r="I1348" s="21" t="s">
        <v>60</v>
      </c>
      <c r="J1348" s="21" t="n">
        <v>4</v>
      </c>
      <c r="K1348" s="21" t="s">
        <v>46</v>
      </c>
      <c r="L1348" s="24" t="n">
        <f aca="false">DATE(YEAR(C1348),MONTH(C1348),1)</f>
        <v>43191</v>
      </c>
      <c r="M1348" s="21" t="n">
        <f aca="false">D1348-C1348</f>
        <v>12</v>
      </c>
      <c r="N1348" s="21" t="n">
        <f aca="false">MAX(0,D1348-E1348)</f>
        <v>0</v>
      </c>
      <c r="O1348" s="21" t="n">
        <f aca="false">IF(D1348&lt;=E1348,1,0)</f>
        <v>1</v>
      </c>
      <c r="P1348" s="23" t="n">
        <f aca="false">G1348+H1348</f>
        <v>155.92</v>
      </c>
      <c r="Q1348" s="23" t="n">
        <f aca="false">G1348*INDEX(Assumptions!$B$8:$B$16,MATCH(F1348,Assumptions!$A$8:$A$16,0))</f>
        <v>88.2288</v>
      </c>
      <c r="R1348" s="23" t="n">
        <f aca="false">H1348*Assumptions!$B$3</f>
        <v>13.344</v>
      </c>
      <c r="S1348" s="23" t="n">
        <f aca="false">G1348-Q1348-R1348</f>
        <v>32.1072</v>
      </c>
      <c r="T1348" s="21" t="str">
        <f aca="false">IF(M1348&lt;=7,"0-7 days",IF(M1348&lt;=14,"8-14 days",IF(M1348&lt;=21,"15-21 days","22+ days")))</f>
        <v>8-14 days</v>
      </c>
    </row>
    <row r="1349" customFormat="false" ht="15" hidden="false" customHeight="false" outlineLevel="0" collapsed="false">
      <c r="A1349" s="21" t="s">
        <v>1415</v>
      </c>
      <c r="B1349" s="21" t="s">
        <v>19</v>
      </c>
      <c r="C1349" s="22" t="n">
        <v>43219</v>
      </c>
      <c r="D1349" s="22" t="n">
        <v>43224</v>
      </c>
      <c r="E1349" s="22" t="n">
        <v>43233</v>
      </c>
      <c r="F1349" s="21" t="s">
        <v>44</v>
      </c>
      <c r="G1349" s="23" t="n">
        <v>106.29</v>
      </c>
      <c r="H1349" s="23" t="n">
        <v>13.11</v>
      </c>
      <c r="I1349" s="21" t="s">
        <v>45</v>
      </c>
      <c r="J1349" s="21" t="n">
        <v>5</v>
      </c>
      <c r="K1349" s="21" t="s">
        <v>46</v>
      </c>
      <c r="L1349" s="24" t="n">
        <f aca="false">DATE(YEAR(C1349),MONTH(C1349),1)</f>
        <v>43191</v>
      </c>
      <c r="M1349" s="21" t="n">
        <f aca="false">D1349-C1349</f>
        <v>5</v>
      </c>
      <c r="N1349" s="21" t="n">
        <f aca="false">MAX(0,D1349-E1349)</f>
        <v>0</v>
      </c>
      <c r="O1349" s="21" t="n">
        <f aca="false">IF(D1349&lt;=E1349,1,0)</f>
        <v>1</v>
      </c>
      <c r="P1349" s="23" t="n">
        <f aca="false">G1349+H1349</f>
        <v>119.4</v>
      </c>
      <c r="Q1349" s="23" t="n">
        <f aca="false">G1349*INDEX(Assumptions!$B$8:$B$16,MATCH(F1349,Assumptions!$A$8:$A$16,0))</f>
        <v>63.774</v>
      </c>
      <c r="R1349" s="23" t="n">
        <f aca="false">H1349*Assumptions!$B$3</f>
        <v>7.866</v>
      </c>
      <c r="S1349" s="23" t="n">
        <f aca="false">G1349-Q1349-R1349</f>
        <v>34.65</v>
      </c>
      <c r="T1349" s="21" t="str">
        <f aca="false">IF(M1349&lt;=7,"0-7 days",IF(M1349&lt;=14,"8-14 days",IF(M1349&lt;=21,"15-21 days","22+ days")))</f>
        <v>0-7 days</v>
      </c>
    </row>
    <row r="1350" customFormat="false" ht="15" hidden="false" customHeight="false" outlineLevel="0" collapsed="false">
      <c r="A1350" s="21" t="s">
        <v>1416</v>
      </c>
      <c r="B1350" s="21" t="s">
        <v>55</v>
      </c>
      <c r="C1350" s="22" t="n">
        <v>43219</v>
      </c>
      <c r="D1350" s="22" t="n">
        <v>43246</v>
      </c>
      <c r="E1350" s="22" t="n">
        <v>43242</v>
      </c>
      <c r="F1350" s="21" t="s">
        <v>49</v>
      </c>
      <c r="G1350" s="23" t="n">
        <v>138.77</v>
      </c>
      <c r="H1350" s="23" t="n">
        <v>28.87</v>
      </c>
      <c r="I1350" s="21" t="s">
        <v>45</v>
      </c>
      <c r="J1350" s="21" t="n">
        <v>3</v>
      </c>
      <c r="K1350" s="21" t="s">
        <v>46</v>
      </c>
      <c r="L1350" s="24" t="n">
        <f aca="false">DATE(YEAR(C1350),MONTH(C1350),1)</f>
        <v>43191</v>
      </c>
      <c r="M1350" s="21" t="n">
        <f aca="false">D1350-C1350</f>
        <v>27</v>
      </c>
      <c r="N1350" s="21" t="n">
        <f aca="false">MAX(0,D1350-E1350)</f>
        <v>4</v>
      </c>
      <c r="O1350" s="21" t="n">
        <f aca="false">IF(D1350&lt;=E1350,1,0)</f>
        <v>0</v>
      </c>
      <c r="P1350" s="23" t="n">
        <f aca="false">G1350+H1350</f>
        <v>167.64</v>
      </c>
      <c r="Q1350" s="23" t="n">
        <f aca="false">G1350*INDEX(Assumptions!$B$8:$B$16,MATCH(F1350,Assumptions!$A$8:$A$16,0))</f>
        <v>80.4866</v>
      </c>
      <c r="R1350" s="23" t="n">
        <f aca="false">H1350*Assumptions!$B$3</f>
        <v>17.322</v>
      </c>
      <c r="S1350" s="23" t="n">
        <f aca="false">G1350-Q1350-R1350</f>
        <v>40.9614</v>
      </c>
      <c r="T1350" s="21" t="str">
        <f aca="false">IF(M1350&lt;=7,"0-7 days",IF(M1350&lt;=14,"8-14 days",IF(M1350&lt;=21,"15-21 days","22+ days")))</f>
        <v>22+ days</v>
      </c>
    </row>
    <row r="1351" customFormat="false" ht="15" hidden="false" customHeight="false" outlineLevel="0" collapsed="false">
      <c r="A1351" s="21" t="s">
        <v>1417</v>
      </c>
      <c r="B1351" s="21" t="s">
        <v>48</v>
      </c>
      <c r="C1351" s="22" t="n">
        <v>43219</v>
      </c>
      <c r="D1351" s="22" t="n">
        <v>43227</v>
      </c>
      <c r="E1351" s="22" t="n">
        <v>43242</v>
      </c>
      <c r="F1351" s="21" t="s">
        <v>44</v>
      </c>
      <c r="G1351" s="23" t="n">
        <v>95.49</v>
      </c>
      <c r="H1351" s="23" t="n">
        <v>24.17</v>
      </c>
      <c r="I1351" s="21" t="s">
        <v>45</v>
      </c>
      <c r="J1351" s="21" t="n">
        <v>4</v>
      </c>
      <c r="K1351" s="21" t="s">
        <v>46</v>
      </c>
      <c r="L1351" s="24" t="n">
        <f aca="false">DATE(YEAR(C1351),MONTH(C1351),1)</f>
        <v>43191</v>
      </c>
      <c r="M1351" s="21" t="n">
        <f aca="false">D1351-C1351</f>
        <v>8</v>
      </c>
      <c r="N1351" s="21" t="n">
        <f aca="false">MAX(0,D1351-E1351)</f>
        <v>0</v>
      </c>
      <c r="O1351" s="21" t="n">
        <f aca="false">IF(D1351&lt;=E1351,1,0)</f>
        <v>1</v>
      </c>
      <c r="P1351" s="23" t="n">
        <f aca="false">G1351+H1351</f>
        <v>119.66</v>
      </c>
      <c r="Q1351" s="23" t="n">
        <f aca="false">G1351*INDEX(Assumptions!$B$8:$B$16,MATCH(F1351,Assumptions!$A$8:$A$16,0))</f>
        <v>57.294</v>
      </c>
      <c r="R1351" s="23" t="n">
        <f aca="false">H1351*Assumptions!$B$3</f>
        <v>14.502</v>
      </c>
      <c r="S1351" s="23" t="n">
        <f aca="false">G1351-Q1351-R1351</f>
        <v>23.694</v>
      </c>
      <c r="T1351" s="21" t="str">
        <f aca="false">IF(M1351&lt;=7,"0-7 days",IF(M1351&lt;=14,"8-14 days",IF(M1351&lt;=21,"15-21 days","22+ days")))</f>
        <v>8-14 days</v>
      </c>
    </row>
    <row r="1352" customFormat="false" ht="15" hidden="false" customHeight="false" outlineLevel="0" collapsed="false">
      <c r="A1352" s="21" t="s">
        <v>1418</v>
      </c>
      <c r="B1352" s="21" t="s">
        <v>19</v>
      </c>
      <c r="C1352" s="22" t="n">
        <v>43219</v>
      </c>
      <c r="D1352" s="22" t="n">
        <v>43224</v>
      </c>
      <c r="E1352" s="22" t="n">
        <v>43233</v>
      </c>
      <c r="F1352" s="21" t="s">
        <v>49</v>
      </c>
      <c r="G1352" s="23" t="n">
        <v>86.7</v>
      </c>
      <c r="H1352" s="23" t="n">
        <v>17.85</v>
      </c>
      <c r="I1352" s="21" t="s">
        <v>45</v>
      </c>
      <c r="J1352" s="21" t="n">
        <v>5</v>
      </c>
      <c r="K1352" s="21" t="s">
        <v>46</v>
      </c>
      <c r="L1352" s="24" t="n">
        <f aca="false">DATE(YEAR(C1352),MONTH(C1352),1)</f>
        <v>43191</v>
      </c>
      <c r="M1352" s="21" t="n">
        <f aca="false">D1352-C1352</f>
        <v>5</v>
      </c>
      <c r="N1352" s="21" t="n">
        <f aca="false">MAX(0,D1352-E1352)</f>
        <v>0</v>
      </c>
      <c r="O1352" s="21" t="n">
        <f aca="false">IF(D1352&lt;=E1352,1,0)</f>
        <v>1</v>
      </c>
      <c r="P1352" s="23" t="n">
        <f aca="false">G1352+H1352</f>
        <v>104.55</v>
      </c>
      <c r="Q1352" s="23" t="n">
        <f aca="false">G1352*INDEX(Assumptions!$B$8:$B$16,MATCH(F1352,Assumptions!$A$8:$A$16,0))</f>
        <v>50.286</v>
      </c>
      <c r="R1352" s="23" t="n">
        <f aca="false">H1352*Assumptions!$B$3</f>
        <v>10.71</v>
      </c>
      <c r="S1352" s="23" t="n">
        <f aca="false">G1352-Q1352-R1352</f>
        <v>25.704</v>
      </c>
      <c r="T1352" s="21" t="str">
        <f aca="false">IF(M1352&lt;=7,"0-7 days",IF(M1352&lt;=14,"8-14 days",IF(M1352&lt;=21,"15-21 days","22+ days")))</f>
        <v>0-7 days</v>
      </c>
    </row>
    <row r="1353" customFormat="false" ht="15" hidden="false" customHeight="false" outlineLevel="0" collapsed="false">
      <c r="A1353" s="21" t="s">
        <v>1419</v>
      </c>
      <c r="B1353" s="21" t="s">
        <v>19</v>
      </c>
      <c r="C1353" s="22" t="n">
        <v>43220</v>
      </c>
      <c r="D1353" s="22" t="n">
        <v>43225</v>
      </c>
      <c r="E1353" s="22" t="n">
        <v>43237</v>
      </c>
      <c r="F1353" s="21" t="s">
        <v>67</v>
      </c>
      <c r="G1353" s="23" t="n">
        <v>72.47</v>
      </c>
      <c r="H1353" s="23" t="n">
        <v>17.81</v>
      </c>
      <c r="I1353" s="21" t="s">
        <v>60</v>
      </c>
      <c r="J1353" s="21" t="n">
        <v>5</v>
      </c>
      <c r="K1353" s="21" t="s">
        <v>46</v>
      </c>
      <c r="L1353" s="24" t="n">
        <f aca="false">DATE(YEAR(C1353),MONTH(C1353),1)</f>
        <v>43191</v>
      </c>
      <c r="M1353" s="21" t="n">
        <f aca="false">D1353-C1353</f>
        <v>5</v>
      </c>
      <c r="N1353" s="21" t="n">
        <f aca="false">MAX(0,D1353-E1353)</f>
        <v>0</v>
      </c>
      <c r="O1353" s="21" t="n">
        <f aca="false">IF(D1353&lt;=E1353,1,0)</f>
        <v>1</v>
      </c>
      <c r="P1353" s="23" t="n">
        <f aca="false">G1353+H1353</f>
        <v>90.28</v>
      </c>
      <c r="Q1353" s="23" t="n">
        <f aca="false">G1353*INDEX(Assumptions!$B$8:$B$16,MATCH(F1353,Assumptions!$A$8:$A$16,0))</f>
        <v>44.9314</v>
      </c>
      <c r="R1353" s="23" t="n">
        <f aca="false">H1353*Assumptions!$B$3</f>
        <v>10.686</v>
      </c>
      <c r="S1353" s="23" t="n">
        <f aca="false">G1353-Q1353-R1353</f>
        <v>16.8526</v>
      </c>
      <c r="T1353" s="21" t="str">
        <f aca="false">IF(M1353&lt;=7,"0-7 days",IF(M1353&lt;=14,"8-14 days",IF(M1353&lt;=21,"15-21 days","22+ days")))</f>
        <v>0-7 days</v>
      </c>
    </row>
    <row r="1354" customFormat="false" ht="15" hidden="false" customHeight="false" outlineLevel="0" collapsed="false">
      <c r="A1354" s="21" t="s">
        <v>1420</v>
      </c>
      <c r="B1354" s="21" t="s">
        <v>62</v>
      </c>
      <c r="C1354" s="22" t="n">
        <v>43220</v>
      </c>
      <c r="D1354" s="22" t="n">
        <v>43233</v>
      </c>
      <c r="E1354" s="22" t="n">
        <v>43243</v>
      </c>
      <c r="F1354" s="21" t="s">
        <v>44</v>
      </c>
      <c r="G1354" s="23" t="n">
        <v>101.04</v>
      </c>
      <c r="H1354" s="23" t="n">
        <v>21.3</v>
      </c>
      <c r="I1354" s="21" t="s">
        <v>45</v>
      </c>
      <c r="J1354" s="21" t="n">
        <v>5</v>
      </c>
      <c r="K1354" s="21" t="s">
        <v>46</v>
      </c>
      <c r="L1354" s="24" t="n">
        <f aca="false">DATE(YEAR(C1354),MONTH(C1354),1)</f>
        <v>43191</v>
      </c>
      <c r="M1354" s="21" t="n">
        <f aca="false">D1354-C1354</f>
        <v>13</v>
      </c>
      <c r="N1354" s="21" t="n">
        <f aca="false">MAX(0,D1354-E1354)</f>
        <v>0</v>
      </c>
      <c r="O1354" s="21" t="n">
        <f aca="false">IF(D1354&lt;=E1354,1,0)</f>
        <v>1</v>
      </c>
      <c r="P1354" s="23" t="n">
        <f aca="false">G1354+H1354</f>
        <v>122.34</v>
      </c>
      <c r="Q1354" s="23" t="n">
        <f aca="false">G1354*INDEX(Assumptions!$B$8:$B$16,MATCH(F1354,Assumptions!$A$8:$A$16,0))</f>
        <v>60.624</v>
      </c>
      <c r="R1354" s="23" t="n">
        <f aca="false">H1354*Assumptions!$B$3</f>
        <v>12.78</v>
      </c>
      <c r="S1354" s="23" t="n">
        <f aca="false">G1354-Q1354-R1354</f>
        <v>27.636</v>
      </c>
      <c r="T1354" s="21" t="str">
        <f aca="false">IF(M1354&lt;=7,"0-7 days",IF(M1354&lt;=14,"8-14 days",IF(M1354&lt;=21,"15-21 days","22+ days")))</f>
        <v>8-14 days</v>
      </c>
    </row>
    <row r="1355" customFormat="false" ht="15" hidden="false" customHeight="false" outlineLevel="0" collapsed="false">
      <c r="A1355" s="21" t="s">
        <v>1421</v>
      </c>
      <c r="B1355" s="21" t="s">
        <v>134</v>
      </c>
      <c r="C1355" s="22" t="n">
        <v>43220</v>
      </c>
      <c r="D1355" s="22" t="n">
        <v>43235</v>
      </c>
      <c r="E1355" s="22" t="n">
        <v>43242</v>
      </c>
      <c r="F1355" s="21" t="s">
        <v>57</v>
      </c>
      <c r="G1355" s="23" t="n">
        <v>103.86</v>
      </c>
      <c r="H1355" s="23" t="n">
        <v>16.9</v>
      </c>
      <c r="I1355" s="21" t="s">
        <v>45</v>
      </c>
      <c r="J1355" s="21" t="n">
        <v>5</v>
      </c>
      <c r="K1355" s="21" t="s">
        <v>46</v>
      </c>
      <c r="L1355" s="24" t="n">
        <f aca="false">DATE(YEAR(C1355),MONTH(C1355),1)</f>
        <v>43191</v>
      </c>
      <c r="M1355" s="21" t="n">
        <f aca="false">D1355-C1355</f>
        <v>15</v>
      </c>
      <c r="N1355" s="21" t="n">
        <f aca="false">MAX(0,D1355-E1355)</f>
        <v>0</v>
      </c>
      <c r="O1355" s="21" t="n">
        <f aca="false">IF(D1355&lt;=E1355,1,0)</f>
        <v>1</v>
      </c>
      <c r="P1355" s="23" t="n">
        <f aca="false">G1355+H1355</f>
        <v>120.76</v>
      </c>
      <c r="Q1355" s="23" t="n">
        <f aca="false">G1355*INDEX(Assumptions!$B$8:$B$16,MATCH(F1355,Assumptions!$A$8:$A$16,0))</f>
        <v>70.6248</v>
      </c>
      <c r="R1355" s="23" t="n">
        <f aca="false">H1355*Assumptions!$B$3</f>
        <v>10.14</v>
      </c>
      <c r="S1355" s="23" t="n">
        <f aca="false">G1355-Q1355-R1355</f>
        <v>23.0952</v>
      </c>
      <c r="T1355" s="21" t="str">
        <f aca="false">IF(M1355&lt;=7,"0-7 days",IF(M1355&lt;=14,"8-14 days",IF(M1355&lt;=21,"15-21 days","22+ days")))</f>
        <v>15-21 days</v>
      </c>
    </row>
    <row r="1356" customFormat="false" ht="15" hidden="false" customHeight="false" outlineLevel="0" collapsed="false">
      <c r="A1356" s="21" t="s">
        <v>1422</v>
      </c>
      <c r="B1356" s="21" t="s">
        <v>62</v>
      </c>
      <c r="C1356" s="22" t="n">
        <v>43221</v>
      </c>
      <c r="D1356" s="22" t="n">
        <v>43231</v>
      </c>
      <c r="E1356" s="22" t="n">
        <v>43240</v>
      </c>
      <c r="F1356" s="21" t="s">
        <v>64</v>
      </c>
      <c r="G1356" s="23" t="n">
        <v>99.67</v>
      </c>
      <c r="H1356" s="23" t="n">
        <v>21.13</v>
      </c>
      <c r="I1356" s="21" t="s">
        <v>45</v>
      </c>
      <c r="J1356" s="21" t="n">
        <v>5</v>
      </c>
      <c r="K1356" s="21" t="s">
        <v>46</v>
      </c>
      <c r="L1356" s="24" t="n">
        <f aca="false">DATE(YEAR(C1356),MONTH(C1356),1)</f>
        <v>43221</v>
      </c>
      <c r="M1356" s="21" t="n">
        <f aca="false">D1356-C1356</f>
        <v>10</v>
      </c>
      <c r="N1356" s="21" t="n">
        <f aca="false">MAX(0,D1356-E1356)</f>
        <v>0</v>
      </c>
      <c r="O1356" s="21" t="n">
        <f aca="false">IF(D1356&lt;=E1356,1,0)</f>
        <v>1</v>
      </c>
      <c r="P1356" s="23" t="n">
        <f aca="false">G1356+H1356</f>
        <v>120.8</v>
      </c>
      <c r="Q1356" s="23" t="n">
        <f aca="false">G1356*INDEX(Assumptions!$B$8:$B$16,MATCH(F1356,Assumptions!$A$8:$A$16,0))</f>
        <v>65.7822</v>
      </c>
      <c r="R1356" s="23" t="n">
        <f aca="false">H1356*Assumptions!$B$3</f>
        <v>12.678</v>
      </c>
      <c r="S1356" s="23" t="n">
        <f aca="false">G1356-Q1356-R1356</f>
        <v>21.2098</v>
      </c>
      <c r="T1356" s="21" t="str">
        <f aca="false">IF(M1356&lt;=7,"0-7 days",IF(M1356&lt;=14,"8-14 days",IF(M1356&lt;=21,"15-21 days","22+ days")))</f>
        <v>8-14 days</v>
      </c>
    </row>
    <row r="1357" customFormat="false" ht="15" hidden="false" customHeight="false" outlineLevel="0" collapsed="false">
      <c r="A1357" s="21" t="s">
        <v>1423</v>
      </c>
      <c r="B1357" s="21" t="s">
        <v>19</v>
      </c>
      <c r="C1357" s="22" t="n">
        <v>43221</v>
      </c>
      <c r="D1357" s="22" t="n">
        <v>43228</v>
      </c>
      <c r="E1357" s="22" t="n">
        <v>43234</v>
      </c>
      <c r="F1357" s="21" t="s">
        <v>49</v>
      </c>
      <c r="G1357" s="23" t="n">
        <v>42.46</v>
      </c>
      <c r="H1357" s="23" t="n">
        <v>14.92</v>
      </c>
      <c r="I1357" s="21" t="s">
        <v>45</v>
      </c>
      <c r="J1357" s="21" t="n">
        <v>5</v>
      </c>
      <c r="K1357" s="21" t="s">
        <v>46</v>
      </c>
      <c r="L1357" s="24" t="n">
        <f aca="false">DATE(YEAR(C1357),MONTH(C1357),1)</f>
        <v>43221</v>
      </c>
      <c r="M1357" s="21" t="n">
        <f aca="false">D1357-C1357</f>
        <v>7</v>
      </c>
      <c r="N1357" s="21" t="n">
        <f aca="false">MAX(0,D1357-E1357)</f>
        <v>0</v>
      </c>
      <c r="O1357" s="21" t="n">
        <f aca="false">IF(D1357&lt;=E1357,1,0)</f>
        <v>1</v>
      </c>
      <c r="P1357" s="23" t="n">
        <f aca="false">G1357+H1357</f>
        <v>57.38</v>
      </c>
      <c r="Q1357" s="23" t="n">
        <f aca="false">G1357*INDEX(Assumptions!$B$8:$B$16,MATCH(F1357,Assumptions!$A$8:$A$16,0))</f>
        <v>24.6268</v>
      </c>
      <c r="R1357" s="23" t="n">
        <f aca="false">H1357*Assumptions!$B$3</f>
        <v>8.952</v>
      </c>
      <c r="S1357" s="23" t="n">
        <f aca="false">G1357-Q1357-R1357</f>
        <v>8.8812</v>
      </c>
      <c r="T1357" s="21" t="str">
        <f aca="false">IF(M1357&lt;=7,"0-7 days",IF(M1357&lt;=14,"8-14 days",IF(M1357&lt;=21,"15-21 days","22+ days")))</f>
        <v>0-7 days</v>
      </c>
    </row>
    <row r="1358" customFormat="false" ht="15" hidden="false" customHeight="false" outlineLevel="0" collapsed="false">
      <c r="A1358" s="21" t="s">
        <v>1424</v>
      </c>
      <c r="B1358" s="21" t="s">
        <v>62</v>
      </c>
      <c r="C1358" s="22" t="n">
        <v>43222</v>
      </c>
      <c r="D1358" s="22" t="n">
        <v>43232</v>
      </c>
      <c r="E1358" s="22" t="n">
        <v>43242</v>
      </c>
      <c r="F1358" s="21" t="s">
        <v>67</v>
      </c>
      <c r="G1358" s="23" t="n">
        <v>29.41</v>
      </c>
      <c r="H1358" s="23" t="n">
        <v>23.9</v>
      </c>
      <c r="I1358" s="21" t="s">
        <v>45</v>
      </c>
      <c r="J1358" s="21" t="n">
        <v>5</v>
      </c>
      <c r="K1358" s="21" t="s">
        <v>46</v>
      </c>
      <c r="L1358" s="24" t="n">
        <f aca="false">DATE(YEAR(C1358),MONTH(C1358),1)</f>
        <v>43221</v>
      </c>
      <c r="M1358" s="21" t="n">
        <f aca="false">D1358-C1358</f>
        <v>10</v>
      </c>
      <c r="N1358" s="21" t="n">
        <f aca="false">MAX(0,D1358-E1358)</f>
        <v>0</v>
      </c>
      <c r="O1358" s="21" t="n">
        <f aca="false">IF(D1358&lt;=E1358,1,0)</f>
        <v>1</v>
      </c>
      <c r="P1358" s="23" t="n">
        <f aca="false">G1358+H1358</f>
        <v>53.31</v>
      </c>
      <c r="Q1358" s="23" t="n">
        <f aca="false">G1358*INDEX(Assumptions!$B$8:$B$16,MATCH(F1358,Assumptions!$A$8:$A$16,0))</f>
        <v>18.2342</v>
      </c>
      <c r="R1358" s="23" t="n">
        <f aca="false">H1358*Assumptions!$B$3</f>
        <v>14.34</v>
      </c>
      <c r="S1358" s="23" t="n">
        <f aca="false">G1358-Q1358-R1358</f>
        <v>-3.1642</v>
      </c>
      <c r="T1358" s="21" t="str">
        <f aca="false">IF(M1358&lt;=7,"0-7 days",IF(M1358&lt;=14,"8-14 days",IF(M1358&lt;=21,"15-21 days","22+ days")))</f>
        <v>8-14 days</v>
      </c>
    </row>
    <row r="1359" customFormat="false" ht="15" hidden="false" customHeight="false" outlineLevel="0" collapsed="false">
      <c r="A1359" s="21" t="s">
        <v>1425</v>
      </c>
      <c r="B1359" s="21" t="s">
        <v>19</v>
      </c>
      <c r="C1359" s="22" t="n">
        <v>43222</v>
      </c>
      <c r="D1359" s="22" t="n">
        <v>43228</v>
      </c>
      <c r="E1359" s="22" t="n">
        <v>43239</v>
      </c>
      <c r="F1359" s="21" t="s">
        <v>59</v>
      </c>
      <c r="G1359" s="23" t="n">
        <v>64.77</v>
      </c>
      <c r="H1359" s="23" t="n">
        <v>17.98</v>
      </c>
      <c r="I1359" s="21" t="s">
        <v>45</v>
      </c>
      <c r="J1359" s="21" t="n">
        <v>5</v>
      </c>
      <c r="K1359" s="21" t="s">
        <v>46</v>
      </c>
      <c r="L1359" s="24" t="n">
        <f aca="false">DATE(YEAR(C1359),MONTH(C1359),1)</f>
        <v>43221</v>
      </c>
      <c r="M1359" s="21" t="n">
        <f aca="false">D1359-C1359</f>
        <v>6</v>
      </c>
      <c r="N1359" s="21" t="n">
        <f aca="false">MAX(0,D1359-E1359)</f>
        <v>0</v>
      </c>
      <c r="O1359" s="21" t="n">
        <f aca="false">IF(D1359&lt;=E1359,1,0)</f>
        <v>1</v>
      </c>
      <c r="P1359" s="23" t="n">
        <f aca="false">G1359+H1359</f>
        <v>82.75</v>
      </c>
      <c r="Q1359" s="23" t="n">
        <f aca="false">G1359*INDEX(Assumptions!$B$8:$B$16,MATCH(F1359,Assumptions!$A$8:$A$16,0))</f>
        <v>41.4528</v>
      </c>
      <c r="R1359" s="23" t="n">
        <f aca="false">H1359*Assumptions!$B$3</f>
        <v>10.788</v>
      </c>
      <c r="S1359" s="23" t="n">
        <f aca="false">G1359-Q1359-R1359</f>
        <v>12.5292</v>
      </c>
      <c r="T1359" s="21" t="str">
        <f aca="false">IF(M1359&lt;=7,"0-7 days",IF(M1359&lt;=14,"8-14 days",IF(M1359&lt;=21,"15-21 days","22+ days")))</f>
        <v>0-7 days</v>
      </c>
    </row>
    <row r="1360" customFormat="false" ht="15" hidden="false" customHeight="false" outlineLevel="0" collapsed="false">
      <c r="A1360" s="21" t="s">
        <v>1426</v>
      </c>
      <c r="B1360" s="21" t="s">
        <v>19</v>
      </c>
      <c r="C1360" s="22" t="n">
        <v>43222</v>
      </c>
      <c r="D1360" s="22" t="n">
        <v>43227</v>
      </c>
      <c r="E1360" s="22" t="n">
        <v>43237</v>
      </c>
      <c r="F1360" s="21" t="s">
        <v>59</v>
      </c>
      <c r="G1360" s="23" t="n">
        <v>76.52</v>
      </c>
      <c r="H1360" s="23" t="n">
        <v>12.73</v>
      </c>
      <c r="I1360" s="21" t="s">
        <v>45</v>
      </c>
      <c r="J1360" s="21" t="n">
        <v>5</v>
      </c>
      <c r="K1360" s="21" t="s">
        <v>46</v>
      </c>
      <c r="L1360" s="24" t="n">
        <f aca="false">DATE(YEAR(C1360),MONTH(C1360),1)</f>
        <v>43221</v>
      </c>
      <c r="M1360" s="21" t="n">
        <f aca="false">D1360-C1360</f>
        <v>5</v>
      </c>
      <c r="N1360" s="21" t="n">
        <f aca="false">MAX(0,D1360-E1360)</f>
        <v>0</v>
      </c>
      <c r="O1360" s="21" t="n">
        <f aca="false">IF(D1360&lt;=E1360,1,0)</f>
        <v>1</v>
      </c>
      <c r="P1360" s="23" t="n">
        <f aca="false">G1360+H1360</f>
        <v>89.25</v>
      </c>
      <c r="Q1360" s="23" t="n">
        <f aca="false">G1360*INDEX(Assumptions!$B$8:$B$16,MATCH(F1360,Assumptions!$A$8:$A$16,0))</f>
        <v>48.9728</v>
      </c>
      <c r="R1360" s="23" t="n">
        <f aca="false">H1360*Assumptions!$B$3</f>
        <v>7.638</v>
      </c>
      <c r="S1360" s="23" t="n">
        <f aca="false">G1360-Q1360-R1360</f>
        <v>19.9092</v>
      </c>
      <c r="T1360" s="21" t="str">
        <f aca="false">IF(M1360&lt;=7,"0-7 days",IF(M1360&lt;=14,"8-14 days",IF(M1360&lt;=21,"15-21 days","22+ days")))</f>
        <v>0-7 days</v>
      </c>
    </row>
    <row r="1361" customFormat="false" ht="15" hidden="false" customHeight="false" outlineLevel="0" collapsed="false">
      <c r="A1361" s="21" t="s">
        <v>1427</v>
      </c>
      <c r="B1361" s="21" t="s">
        <v>19</v>
      </c>
      <c r="C1361" s="22" t="n">
        <v>43222</v>
      </c>
      <c r="D1361" s="22" t="n">
        <v>43228</v>
      </c>
      <c r="E1361" s="22" t="n">
        <v>43240</v>
      </c>
      <c r="F1361" s="21" t="s">
        <v>49</v>
      </c>
      <c r="G1361" s="23" t="n">
        <v>90.11</v>
      </c>
      <c r="H1361" s="23" t="n">
        <v>13.18</v>
      </c>
      <c r="I1361" s="21" t="s">
        <v>45</v>
      </c>
      <c r="J1361" s="21" t="n">
        <v>5</v>
      </c>
      <c r="K1361" s="21" t="s">
        <v>46</v>
      </c>
      <c r="L1361" s="24" t="n">
        <f aca="false">DATE(YEAR(C1361),MONTH(C1361),1)</f>
        <v>43221</v>
      </c>
      <c r="M1361" s="21" t="n">
        <f aca="false">D1361-C1361</f>
        <v>6</v>
      </c>
      <c r="N1361" s="21" t="n">
        <f aca="false">MAX(0,D1361-E1361)</f>
        <v>0</v>
      </c>
      <c r="O1361" s="21" t="n">
        <f aca="false">IF(D1361&lt;=E1361,1,0)</f>
        <v>1</v>
      </c>
      <c r="P1361" s="23" t="n">
        <f aca="false">G1361+H1361</f>
        <v>103.29</v>
      </c>
      <c r="Q1361" s="23" t="n">
        <f aca="false">G1361*INDEX(Assumptions!$B$8:$B$16,MATCH(F1361,Assumptions!$A$8:$A$16,0))</f>
        <v>52.2638</v>
      </c>
      <c r="R1361" s="23" t="n">
        <f aca="false">H1361*Assumptions!$B$3</f>
        <v>7.908</v>
      </c>
      <c r="S1361" s="23" t="n">
        <f aca="false">G1361-Q1361-R1361</f>
        <v>29.9382</v>
      </c>
      <c r="T1361" s="21" t="str">
        <f aca="false">IF(M1361&lt;=7,"0-7 days",IF(M1361&lt;=14,"8-14 days",IF(M1361&lt;=21,"15-21 days","22+ days")))</f>
        <v>0-7 days</v>
      </c>
    </row>
    <row r="1362" customFormat="false" ht="15" hidden="false" customHeight="false" outlineLevel="0" collapsed="false">
      <c r="A1362" s="21" t="s">
        <v>1428</v>
      </c>
      <c r="B1362" s="21" t="s">
        <v>62</v>
      </c>
      <c r="C1362" s="22" t="n">
        <v>43222</v>
      </c>
      <c r="D1362" s="22" t="n">
        <v>43239</v>
      </c>
      <c r="E1362" s="22" t="n">
        <v>43240</v>
      </c>
      <c r="F1362" s="21" t="s">
        <v>111</v>
      </c>
      <c r="G1362" s="23" t="n">
        <v>118.6</v>
      </c>
      <c r="H1362" s="23" t="n">
        <v>24.44</v>
      </c>
      <c r="I1362" s="21" t="s">
        <v>45</v>
      </c>
      <c r="J1362" s="21" t="n">
        <v>4</v>
      </c>
      <c r="K1362" s="21" t="s">
        <v>46</v>
      </c>
      <c r="L1362" s="24" t="n">
        <f aca="false">DATE(YEAR(C1362),MONTH(C1362),1)</f>
        <v>43221</v>
      </c>
      <c r="M1362" s="21" t="n">
        <f aca="false">D1362-C1362</f>
        <v>17</v>
      </c>
      <c r="N1362" s="21" t="n">
        <f aca="false">MAX(0,D1362-E1362)</f>
        <v>0</v>
      </c>
      <c r="O1362" s="21" t="n">
        <f aca="false">IF(D1362&lt;=E1362,1,0)</f>
        <v>1</v>
      </c>
      <c r="P1362" s="23" t="n">
        <f aca="false">G1362+H1362</f>
        <v>143.04</v>
      </c>
      <c r="Q1362" s="23" t="n">
        <f aca="false">G1362*INDEX(Assumptions!$B$8:$B$16,MATCH(F1362,Assumptions!$A$8:$A$16,0))</f>
        <v>74.718</v>
      </c>
      <c r="R1362" s="23" t="n">
        <f aca="false">H1362*Assumptions!$B$3</f>
        <v>14.664</v>
      </c>
      <c r="S1362" s="23" t="n">
        <f aca="false">G1362-Q1362-R1362</f>
        <v>29.218</v>
      </c>
      <c r="T1362" s="21" t="str">
        <f aca="false">IF(M1362&lt;=7,"0-7 days",IF(M1362&lt;=14,"8-14 days",IF(M1362&lt;=21,"15-21 days","22+ days")))</f>
        <v>15-21 days</v>
      </c>
    </row>
    <row r="1363" customFormat="false" ht="15" hidden="false" customHeight="false" outlineLevel="0" collapsed="false">
      <c r="A1363" s="21" t="s">
        <v>1429</v>
      </c>
      <c r="B1363" s="21" t="s">
        <v>48</v>
      </c>
      <c r="C1363" s="22" t="n">
        <v>43223</v>
      </c>
      <c r="D1363" s="22" t="n">
        <v>43232</v>
      </c>
      <c r="E1363" s="22" t="n">
        <v>43240</v>
      </c>
      <c r="F1363" s="21" t="s">
        <v>57</v>
      </c>
      <c r="G1363" s="23" t="n">
        <v>155.73</v>
      </c>
      <c r="H1363" s="23" t="n">
        <v>23.1</v>
      </c>
      <c r="I1363" s="21" t="s">
        <v>45</v>
      </c>
      <c r="J1363" s="21" t="n">
        <v>5</v>
      </c>
      <c r="K1363" s="21" t="s">
        <v>46</v>
      </c>
      <c r="L1363" s="24" t="n">
        <f aca="false">DATE(YEAR(C1363),MONTH(C1363),1)</f>
        <v>43221</v>
      </c>
      <c r="M1363" s="21" t="n">
        <f aca="false">D1363-C1363</f>
        <v>9</v>
      </c>
      <c r="N1363" s="21" t="n">
        <f aca="false">MAX(0,D1363-E1363)</f>
        <v>0</v>
      </c>
      <c r="O1363" s="21" t="n">
        <f aca="false">IF(D1363&lt;=E1363,1,0)</f>
        <v>1</v>
      </c>
      <c r="P1363" s="23" t="n">
        <f aca="false">G1363+H1363</f>
        <v>178.83</v>
      </c>
      <c r="Q1363" s="23" t="n">
        <f aca="false">G1363*INDEX(Assumptions!$B$8:$B$16,MATCH(F1363,Assumptions!$A$8:$A$16,0))</f>
        <v>105.8964</v>
      </c>
      <c r="R1363" s="23" t="n">
        <f aca="false">H1363*Assumptions!$B$3</f>
        <v>13.86</v>
      </c>
      <c r="S1363" s="23" t="n">
        <f aca="false">G1363-Q1363-R1363</f>
        <v>35.9736</v>
      </c>
      <c r="T1363" s="21" t="str">
        <f aca="false">IF(M1363&lt;=7,"0-7 days",IF(M1363&lt;=14,"8-14 days",IF(M1363&lt;=21,"15-21 days","22+ days")))</f>
        <v>8-14 days</v>
      </c>
    </row>
    <row r="1364" customFormat="false" ht="15" hidden="false" customHeight="false" outlineLevel="0" collapsed="false">
      <c r="A1364" s="21" t="s">
        <v>1430</v>
      </c>
      <c r="B1364" s="21" t="s">
        <v>19</v>
      </c>
      <c r="C1364" s="22" t="n">
        <v>43223</v>
      </c>
      <c r="D1364" s="22" t="n">
        <v>43228</v>
      </c>
      <c r="E1364" s="22" t="n">
        <v>43241</v>
      </c>
      <c r="F1364" s="21" t="s">
        <v>53</v>
      </c>
      <c r="G1364" s="23" t="n">
        <v>300.65</v>
      </c>
      <c r="H1364" s="23" t="n">
        <v>24.15</v>
      </c>
      <c r="I1364" s="21" t="s">
        <v>60</v>
      </c>
      <c r="J1364" s="21" t="n">
        <v>4</v>
      </c>
      <c r="K1364" s="21" t="s">
        <v>46</v>
      </c>
      <c r="L1364" s="24" t="n">
        <f aca="false">DATE(YEAR(C1364),MONTH(C1364),1)</f>
        <v>43221</v>
      </c>
      <c r="M1364" s="21" t="n">
        <f aca="false">D1364-C1364</f>
        <v>5</v>
      </c>
      <c r="N1364" s="21" t="n">
        <f aca="false">MAX(0,D1364-E1364)</f>
        <v>0</v>
      </c>
      <c r="O1364" s="21" t="n">
        <f aca="false">IF(D1364&lt;=E1364,1,0)</f>
        <v>1</v>
      </c>
      <c r="P1364" s="23" t="n">
        <f aca="false">G1364+H1364</f>
        <v>324.8</v>
      </c>
      <c r="Q1364" s="23" t="n">
        <f aca="false">G1364*INDEX(Assumptions!$B$8:$B$16,MATCH(F1364,Assumptions!$A$8:$A$16,0))</f>
        <v>222.481</v>
      </c>
      <c r="R1364" s="23" t="n">
        <f aca="false">H1364*Assumptions!$B$3</f>
        <v>14.49</v>
      </c>
      <c r="S1364" s="23" t="n">
        <f aca="false">G1364-Q1364-R1364</f>
        <v>63.679</v>
      </c>
      <c r="T1364" s="21" t="str">
        <f aca="false">IF(M1364&lt;=7,"0-7 days",IF(M1364&lt;=14,"8-14 days",IF(M1364&lt;=21,"15-21 days","22+ days")))</f>
        <v>0-7 days</v>
      </c>
    </row>
    <row r="1365" customFormat="false" ht="15" hidden="false" customHeight="false" outlineLevel="0" collapsed="false">
      <c r="A1365" s="21" t="s">
        <v>1431</v>
      </c>
      <c r="B1365" s="21" t="s">
        <v>19</v>
      </c>
      <c r="C1365" s="22" t="n">
        <v>43223</v>
      </c>
      <c r="D1365" s="22" t="n">
        <v>43233</v>
      </c>
      <c r="E1365" s="22" t="n">
        <v>43239</v>
      </c>
      <c r="F1365" s="21" t="s">
        <v>111</v>
      </c>
      <c r="G1365" s="23" t="n">
        <v>79.83</v>
      </c>
      <c r="H1365" s="23" t="n">
        <v>13.98</v>
      </c>
      <c r="I1365" s="21" t="s">
        <v>60</v>
      </c>
      <c r="J1365" s="21" t="n">
        <v>4</v>
      </c>
      <c r="K1365" s="21" t="s">
        <v>46</v>
      </c>
      <c r="L1365" s="24" t="n">
        <f aca="false">DATE(YEAR(C1365),MONTH(C1365),1)</f>
        <v>43221</v>
      </c>
      <c r="M1365" s="21" t="n">
        <f aca="false">D1365-C1365</f>
        <v>10</v>
      </c>
      <c r="N1365" s="21" t="n">
        <f aca="false">MAX(0,D1365-E1365)</f>
        <v>0</v>
      </c>
      <c r="O1365" s="21" t="n">
        <f aca="false">IF(D1365&lt;=E1365,1,0)</f>
        <v>1</v>
      </c>
      <c r="P1365" s="23" t="n">
        <f aca="false">G1365+H1365</f>
        <v>93.81</v>
      </c>
      <c r="Q1365" s="23" t="n">
        <f aca="false">G1365*INDEX(Assumptions!$B$8:$B$16,MATCH(F1365,Assumptions!$A$8:$A$16,0))</f>
        <v>50.2929</v>
      </c>
      <c r="R1365" s="23" t="n">
        <f aca="false">H1365*Assumptions!$B$3</f>
        <v>8.388</v>
      </c>
      <c r="S1365" s="23" t="n">
        <f aca="false">G1365-Q1365-R1365</f>
        <v>21.1491</v>
      </c>
      <c r="T1365" s="21" t="str">
        <f aca="false">IF(M1365&lt;=7,"0-7 days",IF(M1365&lt;=14,"8-14 days",IF(M1365&lt;=21,"15-21 days","22+ days")))</f>
        <v>8-14 days</v>
      </c>
    </row>
    <row r="1366" customFormat="false" ht="15" hidden="false" customHeight="false" outlineLevel="0" collapsed="false">
      <c r="A1366" s="21" t="s">
        <v>1432</v>
      </c>
      <c r="B1366" s="21" t="s">
        <v>19</v>
      </c>
      <c r="C1366" s="22" t="n">
        <v>43223</v>
      </c>
      <c r="D1366" s="22" t="n">
        <v>43237</v>
      </c>
      <c r="E1366" s="22" t="n">
        <v>43235</v>
      </c>
      <c r="F1366" s="21" t="s">
        <v>49</v>
      </c>
      <c r="G1366" s="23" t="n">
        <v>106.59</v>
      </c>
      <c r="H1366" s="23" t="n">
        <v>17.1</v>
      </c>
      <c r="I1366" s="21" t="s">
        <v>104</v>
      </c>
      <c r="J1366" s="21" t="n">
        <v>3</v>
      </c>
      <c r="K1366" s="21" t="s">
        <v>46</v>
      </c>
      <c r="L1366" s="24" t="n">
        <f aca="false">DATE(YEAR(C1366),MONTH(C1366),1)</f>
        <v>43221</v>
      </c>
      <c r="M1366" s="21" t="n">
        <f aca="false">D1366-C1366</f>
        <v>14</v>
      </c>
      <c r="N1366" s="21" t="n">
        <f aca="false">MAX(0,D1366-E1366)</f>
        <v>2</v>
      </c>
      <c r="O1366" s="21" t="n">
        <f aca="false">IF(D1366&lt;=E1366,1,0)</f>
        <v>0</v>
      </c>
      <c r="P1366" s="23" t="n">
        <f aca="false">G1366+H1366</f>
        <v>123.69</v>
      </c>
      <c r="Q1366" s="23" t="n">
        <f aca="false">G1366*INDEX(Assumptions!$B$8:$B$16,MATCH(F1366,Assumptions!$A$8:$A$16,0))</f>
        <v>61.8222</v>
      </c>
      <c r="R1366" s="23" t="n">
        <f aca="false">H1366*Assumptions!$B$3</f>
        <v>10.26</v>
      </c>
      <c r="S1366" s="23" t="n">
        <f aca="false">G1366-Q1366-R1366</f>
        <v>34.5078</v>
      </c>
      <c r="T1366" s="21" t="str">
        <f aca="false">IF(M1366&lt;=7,"0-7 days",IF(M1366&lt;=14,"8-14 days",IF(M1366&lt;=21,"15-21 days","22+ days")))</f>
        <v>8-14 days</v>
      </c>
    </row>
    <row r="1367" customFormat="false" ht="15" hidden="false" customHeight="false" outlineLevel="0" collapsed="false">
      <c r="A1367" s="21" t="s">
        <v>1433</v>
      </c>
      <c r="B1367" s="21" t="s">
        <v>52</v>
      </c>
      <c r="C1367" s="22" t="n">
        <v>43223</v>
      </c>
      <c r="D1367" s="22" t="n">
        <v>43255</v>
      </c>
      <c r="E1367" s="22" t="n">
        <v>43244</v>
      </c>
      <c r="F1367" s="21" t="s">
        <v>53</v>
      </c>
      <c r="G1367" s="23" t="n">
        <v>68.42</v>
      </c>
      <c r="H1367" s="23" t="n">
        <v>27.05</v>
      </c>
      <c r="I1367" s="21" t="s">
        <v>45</v>
      </c>
      <c r="J1367" s="21" t="n">
        <v>2</v>
      </c>
      <c r="K1367" s="21" t="s">
        <v>46</v>
      </c>
      <c r="L1367" s="24" t="n">
        <f aca="false">DATE(YEAR(C1367),MONTH(C1367),1)</f>
        <v>43221</v>
      </c>
      <c r="M1367" s="21" t="n">
        <f aca="false">D1367-C1367</f>
        <v>32</v>
      </c>
      <c r="N1367" s="21" t="n">
        <f aca="false">MAX(0,D1367-E1367)</f>
        <v>11</v>
      </c>
      <c r="O1367" s="21" t="n">
        <f aca="false">IF(D1367&lt;=E1367,1,0)</f>
        <v>0</v>
      </c>
      <c r="P1367" s="23" t="n">
        <f aca="false">G1367+H1367</f>
        <v>95.47</v>
      </c>
      <c r="Q1367" s="23" t="n">
        <f aca="false">G1367*INDEX(Assumptions!$B$8:$B$16,MATCH(F1367,Assumptions!$A$8:$A$16,0))</f>
        <v>50.6308</v>
      </c>
      <c r="R1367" s="23" t="n">
        <f aca="false">H1367*Assumptions!$B$3</f>
        <v>16.23</v>
      </c>
      <c r="S1367" s="23" t="n">
        <f aca="false">G1367-Q1367-R1367</f>
        <v>1.5592</v>
      </c>
      <c r="T1367" s="21" t="str">
        <f aca="false">IF(M1367&lt;=7,"0-7 days",IF(M1367&lt;=14,"8-14 days",IF(M1367&lt;=21,"15-21 days","22+ days")))</f>
        <v>22+ days</v>
      </c>
    </row>
    <row r="1368" customFormat="false" ht="15" hidden="false" customHeight="false" outlineLevel="0" collapsed="false">
      <c r="A1368" s="21" t="s">
        <v>1434</v>
      </c>
      <c r="B1368" s="21" t="s">
        <v>19</v>
      </c>
      <c r="C1368" s="22" t="n">
        <v>43224</v>
      </c>
      <c r="D1368" s="22" t="n">
        <v>43229</v>
      </c>
      <c r="E1368" s="22" t="n">
        <v>43239</v>
      </c>
      <c r="F1368" s="21" t="s">
        <v>111</v>
      </c>
      <c r="G1368" s="23" t="n">
        <v>197.52</v>
      </c>
      <c r="H1368" s="23" t="n">
        <v>21.56</v>
      </c>
      <c r="I1368" s="21" t="s">
        <v>45</v>
      </c>
      <c r="J1368" s="21" t="n">
        <v>5</v>
      </c>
      <c r="K1368" s="21" t="s">
        <v>46</v>
      </c>
      <c r="L1368" s="24" t="n">
        <f aca="false">DATE(YEAR(C1368),MONTH(C1368),1)</f>
        <v>43221</v>
      </c>
      <c r="M1368" s="21" t="n">
        <f aca="false">D1368-C1368</f>
        <v>5</v>
      </c>
      <c r="N1368" s="21" t="n">
        <f aca="false">MAX(0,D1368-E1368)</f>
        <v>0</v>
      </c>
      <c r="O1368" s="21" t="n">
        <f aca="false">IF(D1368&lt;=E1368,1,0)</f>
        <v>1</v>
      </c>
      <c r="P1368" s="23" t="n">
        <f aca="false">G1368+H1368</f>
        <v>219.08</v>
      </c>
      <c r="Q1368" s="23" t="n">
        <f aca="false">G1368*INDEX(Assumptions!$B$8:$B$16,MATCH(F1368,Assumptions!$A$8:$A$16,0))</f>
        <v>124.4376</v>
      </c>
      <c r="R1368" s="23" t="n">
        <f aca="false">H1368*Assumptions!$B$3</f>
        <v>12.936</v>
      </c>
      <c r="S1368" s="23" t="n">
        <f aca="false">G1368-Q1368-R1368</f>
        <v>60.1464</v>
      </c>
      <c r="T1368" s="21" t="str">
        <f aca="false">IF(M1368&lt;=7,"0-7 days",IF(M1368&lt;=14,"8-14 days",IF(M1368&lt;=21,"15-21 days","22+ days")))</f>
        <v>0-7 days</v>
      </c>
    </row>
    <row r="1369" customFormat="false" ht="15" hidden="false" customHeight="false" outlineLevel="0" collapsed="false">
      <c r="A1369" s="21" t="s">
        <v>1435</v>
      </c>
      <c r="B1369" s="21" t="s">
        <v>19</v>
      </c>
      <c r="C1369" s="22" t="n">
        <v>43224</v>
      </c>
      <c r="D1369" s="22" t="n">
        <v>43230</v>
      </c>
      <c r="E1369" s="22" t="n">
        <v>43240</v>
      </c>
      <c r="F1369" s="21" t="s">
        <v>111</v>
      </c>
      <c r="G1369" s="23" t="n">
        <v>65.52</v>
      </c>
      <c r="H1369" s="23" t="n">
        <v>16.27</v>
      </c>
      <c r="I1369" s="21" t="s">
        <v>60</v>
      </c>
      <c r="J1369" s="21" t="n">
        <v>5</v>
      </c>
      <c r="K1369" s="21" t="s">
        <v>46</v>
      </c>
      <c r="L1369" s="24" t="n">
        <f aca="false">DATE(YEAR(C1369),MONTH(C1369),1)</f>
        <v>43221</v>
      </c>
      <c r="M1369" s="21" t="n">
        <f aca="false">D1369-C1369</f>
        <v>6</v>
      </c>
      <c r="N1369" s="21" t="n">
        <f aca="false">MAX(0,D1369-E1369)</f>
        <v>0</v>
      </c>
      <c r="O1369" s="21" t="n">
        <f aca="false">IF(D1369&lt;=E1369,1,0)</f>
        <v>1</v>
      </c>
      <c r="P1369" s="23" t="n">
        <f aca="false">G1369+H1369</f>
        <v>81.79</v>
      </c>
      <c r="Q1369" s="23" t="n">
        <f aca="false">G1369*INDEX(Assumptions!$B$8:$B$16,MATCH(F1369,Assumptions!$A$8:$A$16,0))</f>
        <v>41.2776</v>
      </c>
      <c r="R1369" s="23" t="n">
        <f aca="false">H1369*Assumptions!$B$3</f>
        <v>9.762</v>
      </c>
      <c r="S1369" s="23" t="n">
        <f aca="false">G1369-Q1369-R1369</f>
        <v>14.4804</v>
      </c>
      <c r="T1369" s="21" t="str">
        <f aca="false">IF(M1369&lt;=7,"0-7 days",IF(M1369&lt;=14,"8-14 days",IF(M1369&lt;=21,"15-21 days","22+ days")))</f>
        <v>0-7 days</v>
      </c>
    </row>
    <row r="1370" customFormat="false" ht="15" hidden="false" customHeight="false" outlineLevel="0" collapsed="false">
      <c r="A1370" s="21" t="s">
        <v>1436</v>
      </c>
      <c r="B1370" s="21" t="s">
        <v>55</v>
      </c>
      <c r="C1370" s="22" t="n">
        <v>43224</v>
      </c>
      <c r="D1370" s="22" t="n">
        <v>43238</v>
      </c>
      <c r="E1370" s="22" t="n">
        <v>43248</v>
      </c>
      <c r="F1370" s="21" t="s">
        <v>67</v>
      </c>
      <c r="G1370" s="23" t="n">
        <v>230.71</v>
      </c>
      <c r="H1370" s="23" t="n">
        <v>32.44</v>
      </c>
      <c r="I1370" s="21" t="s">
        <v>45</v>
      </c>
      <c r="J1370" s="21" t="n">
        <v>4</v>
      </c>
      <c r="K1370" s="21" t="s">
        <v>46</v>
      </c>
      <c r="L1370" s="24" t="n">
        <f aca="false">DATE(YEAR(C1370),MONTH(C1370),1)</f>
        <v>43221</v>
      </c>
      <c r="M1370" s="21" t="n">
        <f aca="false">D1370-C1370</f>
        <v>14</v>
      </c>
      <c r="N1370" s="21" t="n">
        <f aca="false">MAX(0,D1370-E1370)</f>
        <v>0</v>
      </c>
      <c r="O1370" s="21" t="n">
        <f aca="false">IF(D1370&lt;=E1370,1,0)</f>
        <v>1</v>
      </c>
      <c r="P1370" s="23" t="n">
        <f aca="false">G1370+H1370</f>
        <v>263.15</v>
      </c>
      <c r="Q1370" s="23" t="n">
        <f aca="false">G1370*INDEX(Assumptions!$B$8:$B$16,MATCH(F1370,Assumptions!$A$8:$A$16,0))</f>
        <v>143.0402</v>
      </c>
      <c r="R1370" s="23" t="n">
        <f aca="false">H1370*Assumptions!$B$3</f>
        <v>19.464</v>
      </c>
      <c r="S1370" s="23" t="n">
        <f aca="false">G1370-Q1370-R1370</f>
        <v>68.2058</v>
      </c>
      <c r="T1370" s="21" t="str">
        <f aca="false">IF(M1370&lt;=7,"0-7 days",IF(M1370&lt;=14,"8-14 days",IF(M1370&lt;=21,"15-21 days","22+ days")))</f>
        <v>8-14 days</v>
      </c>
    </row>
    <row r="1371" customFormat="false" ht="15" hidden="false" customHeight="false" outlineLevel="0" collapsed="false">
      <c r="A1371" s="21" t="s">
        <v>1437</v>
      </c>
      <c r="B1371" s="21" t="s">
        <v>93</v>
      </c>
      <c r="C1371" s="22" t="n">
        <v>43224</v>
      </c>
      <c r="D1371" s="22" t="n">
        <v>43238</v>
      </c>
      <c r="E1371" s="22" t="n">
        <v>43254</v>
      </c>
      <c r="F1371" s="21" t="s">
        <v>49</v>
      </c>
      <c r="G1371" s="23" t="n">
        <v>54.8</v>
      </c>
      <c r="H1371" s="23" t="n">
        <v>29.53</v>
      </c>
      <c r="I1371" s="21" t="s">
        <v>60</v>
      </c>
      <c r="J1371" s="21" t="n">
        <v>4</v>
      </c>
      <c r="K1371" s="21" t="s">
        <v>46</v>
      </c>
      <c r="L1371" s="24" t="n">
        <f aca="false">DATE(YEAR(C1371),MONTH(C1371),1)</f>
        <v>43221</v>
      </c>
      <c r="M1371" s="21" t="n">
        <f aca="false">D1371-C1371</f>
        <v>14</v>
      </c>
      <c r="N1371" s="21" t="n">
        <f aca="false">MAX(0,D1371-E1371)</f>
        <v>0</v>
      </c>
      <c r="O1371" s="21" t="n">
        <f aca="false">IF(D1371&lt;=E1371,1,0)</f>
        <v>1</v>
      </c>
      <c r="P1371" s="23" t="n">
        <f aca="false">G1371+H1371</f>
        <v>84.33</v>
      </c>
      <c r="Q1371" s="23" t="n">
        <f aca="false">G1371*INDEX(Assumptions!$B$8:$B$16,MATCH(F1371,Assumptions!$A$8:$A$16,0))</f>
        <v>31.784</v>
      </c>
      <c r="R1371" s="23" t="n">
        <f aca="false">H1371*Assumptions!$B$3</f>
        <v>17.718</v>
      </c>
      <c r="S1371" s="23" t="n">
        <f aca="false">G1371-Q1371-R1371</f>
        <v>5.298</v>
      </c>
      <c r="T1371" s="21" t="str">
        <f aca="false">IF(M1371&lt;=7,"0-7 days",IF(M1371&lt;=14,"8-14 days",IF(M1371&lt;=21,"15-21 days","22+ days")))</f>
        <v>8-14 days</v>
      </c>
    </row>
    <row r="1372" customFormat="false" ht="15" hidden="false" customHeight="false" outlineLevel="0" collapsed="false">
      <c r="A1372" s="21" t="s">
        <v>1438</v>
      </c>
      <c r="B1372" s="21" t="s">
        <v>48</v>
      </c>
      <c r="C1372" s="22" t="n">
        <v>43224</v>
      </c>
      <c r="D1372" s="22" t="n">
        <v>43233</v>
      </c>
      <c r="E1372" s="22" t="n">
        <v>43244</v>
      </c>
      <c r="F1372" s="21" t="s">
        <v>57</v>
      </c>
      <c r="G1372" s="23" t="n">
        <v>68.29</v>
      </c>
      <c r="H1372" s="23" t="n">
        <v>27.75</v>
      </c>
      <c r="I1372" s="21" t="s">
        <v>45</v>
      </c>
      <c r="J1372" s="21" t="n">
        <v>5</v>
      </c>
      <c r="K1372" s="21" t="s">
        <v>46</v>
      </c>
      <c r="L1372" s="24" t="n">
        <f aca="false">DATE(YEAR(C1372),MONTH(C1372),1)</f>
        <v>43221</v>
      </c>
      <c r="M1372" s="21" t="n">
        <f aca="false">D1372-C1372</f>
        <v>9</v>
      </c>
      <c r="N1372" s="21" t="n">
        <f aca="false">MAX(0,D1372-E1372)</f>
        <v>0</v>
      </c>
      <c r="O1372" s="21" t="n">
        <f aca="false">IF(D1372&lt;=E1372,1,0)</f>
        <v>1</v>
      </c>
      <c r="P1372" s="23" t="n">
        <f aca="false">G1372+H1372</f>
        <v>96.04</v>
      </c>
      <c r="Q1372" s="23" t="n">
        <f aca="false">G1372*INDEX(Assumptions!$B$8:$B$16,MATCH(F1372,Assumptions!$A$8:$A$16,0))</f>
        <v>46.4372</v>
      </c>
      <c r="R1372" s="23" t="n">
        <f aca="false">H1372*Assumptions!$B$3</f>
        <v>16.65</v>
      </c>
      <c r="S1372" s="23" t="n">
        <f aca="false">G1372-Q1372-R1372</f>
        <v>5.2028</v>
      </c>
      <c r="T1372" s="21" t="str">
        <f aca="false">IF(M1372&lt;=7,"0-7 days",IF(M1372&lt;=14,"8-14 days",IF(M1372&lt;=21,"15-21 days","22+ days")))</f>
        <v>8-14 days</v>
      </c>
    </row>
    <row r="1373" customFormat="false" ht="15" hidden="false" customHeight="false" outlineLevel="0" collapsed="false">
      <c r="A1373" s="21" t="s">
        <v>1439</v>
      </c>
      <c r="B1373" s="21" t="s">
        <v>55</v>
      </c>
      <c r="C1373" s="22" t="n">
        <v>43225</v>
      </c>
      <c r="D1373" s="22" t="n">
        <v>43247</v>
      </c>
      <c r="E1373" s="22" t="n">
        <v>43250</v>
      </c>
      <c r="F1373" s="21" t="s">
        <v>49</v>
      </c>
      <c r="G1373" s="23" t="n">
        <v>72.69</v>
      </c>
      <c r="H1373" s="23" t="n">
        <v>30.35</v>
      </c>
      <c r="I1373" s="21" t="s">
        <v>45</v>
      </c>
      <c r="J1373" s="21" t="n">
        <v>4</v>
      </c>
      <c r="K1373" s="21" t="s">
        <v>46</v>
      </c>
      <c r="L1373" s="24" t="n">
        <f aca="false">DATE(YEAR(C1373),MONTH(C1373),1)</f>
        <v>43221</v>
      </c>
      <c r="M1373" s="21" t="n">
        <f aca="false">D1373-C1373</f>
        <v>22</v>
      </c>
      <c r="N1373" s="21" t="n">
        <f aca="false">MAX(0,D1373-E1373)</f>
        <v>0</v>
      </c>
      <c r="O1373" s="21" t="n">
        <f aca="false">IF(D1373&lt;=E1373,1,0)</f>
        <v>1</v>
      </c>
      <c r="P1373" s="23" t="n">
        <f aca="false">G1373+H1373</f>
        <v>103.04</v>
      </c>
      <c r="Q1373" s="23" t="n">
        <f aca="false">G1373*INDEX(Assumptions!$B$8:$B$16,MATCH(F1373,Assumptions!$A$8:$A$16,0))</f>
        <v>42.1602</v>
      </c>
      <c r="R1373" s="23" t="n">
        <f aca="false">H1373*Assumptions!$B$3</f>
        <v>18.21</v>
      </c>
      <c r="S1373" s="23" t="n">
        <f aca="false">G1373-Q1373-R1373</f>
        <v>12.3198</v>
      </c>
      <c r="T1373" s="21" t="str">
        <f aca="false">IF(M1373&lt;=7,"0-7 days",IF(M1373&lt;=14,"8-14 days",IF(M1373&lt;=21,"15-21 days","22+ days")))</f>
        <v>22+ days</v>
      </c>
    </row>
    <row r="1374" customFormat="false" ht="15" hidden="false" customHeight="false" outlineLevel="0" collapsed="false">
      <c r="A1374" s="21" t="s">
        <v>1440</v>
      </c>
      <c r="B1374" s="21" t="s">
        <v>52</v>
      </c>
      <c r="C1374" s="22" t="n">
        <v>43225</v>
      </c>
      <c r="D1374" s="22" t="n">
        <v>43240</v>
      </c>
      <c r="E1374" s="22" t="n">
        <v>43250</v>
      </c>
      <c r="F1374" s="21" t="s">
        <v>59</v>
      </c>
      <c r="G1374" s="23" t="n">
        <v>65.55</v>
      </c>
      <c r="H1374" s="23" t="n">
        <v>17.07</v>
      </c>
      <c r="I1374" s="21" t="s">
        <v>45</v>
      </c>
      <c r="J1374" s="21" t="n">
        <v>5</v>
      </c>
      <c r="K1374" s="21" t="s">
        <v>46</v>
      </c>
      <c r="L1374" s="24" t="n">
        <f aca="false">DATE(YEAR(C1374),MONTH(C1374),1)</f>
        <v>43221</v>
      </c>
      <c r="M1374" s="21" t="n">
        <f aca="false">D1374-C1374</f>
        <v>15</v>
      </c>
      <c r="N1374" s="21" t="n">
        <f aca="false">MAX(0,D1374-E1374)</f>
        <v>0</v>
      </c>
      <c r="O1374" s="21" t="n">
        <f aca="false">IF(D1374&lt;=E1374,1,0)</f>
        <v>1</v>
      </c>
      <c r="P1374" s="23" t="n">
        <f aca="false">G1374+H1374</f>
        <v>82.62</v>
      </c>
      <c r="Q1374" s="23" t="n">
        <f aca="false">G1374*INDEX(Assumptions!$B$8:$B$16,MATCH(F1374,Assumptions!$A$8:$A$16,0))</f>
        <v>41.952</v>
      </c>
      <c r="R1374" s="23" t="n">
        <f aca="false">H1374*Assumptions!$B$3</f>
        <v>10.242</v>
      </c>
      <c r="S1374" s="23" t="n">
        <f aca="false">G1374-Q1374-R1374</f>
        <v>13.356</v>
      </c>
      <c r="T1374" s="21" t="str">
        <f aca="false">IF(M1374&lt;=7,"0-7 days",IF(M1374&lt;=14,"8-14 days",IF(M1374&lt;=21,"15-21 days","22+ days")))</f>
        <v>15-21 days</v>
      </c>
    </row>
    <row r="1375" customFormat="false" ht="15" hidden="false" customHeight="false" outlineLevel="0" collapsed="false">
      <c r="A1375" s="21" t="s">
        <v>1441</v>
      </c>
      <c r="B1375" s="21" t="s">
        <v>19</v>
      </c>
      <c r="C1375" s="22" t="n">
        <v>43225</v>
      </c>
      <c r="D1375" s="22" t="n">
        <v>43232</v>
      </c>
      <c r="E1375" s="22" t="n">
        <v>43238</v>
      </c>
      <c r="F1375" s="21" t="s">
        <v>79</v>
      </c>
      <c r="G1375" s="23" t="n">
        <v>104.58</v>
      </c>
      <c r="H1375" s="23" t="n">
        <v>14.16</v>
      </c>
      <c r="I1375" s="21" t="s">
        <v>60</v>
      </c>
      <c r="J1375" s="21" t="n">
        <v>4</v>
      </c>
      <c r="K1375" s="21" t="s">
        <v>46</v>
      </c>
      <c r="L1375" s="24" t="n">
        <f aca="false">DATE(YEAR(C1375),MONTH(C1375),1)</f>
        <v>43221</v>
      </c>
      <c r="M1375" s="21" t="n">
        <f aca="false">D1375-C1375</f>
        <v>7</v>
      </c>
      <c r="N1375" s="21" t="n">
        <f aca="false">MAX(0,D1375-E1375)</f>
        <v>0</v>
      </c>
      <c r="O1375" s="21" t="n">
        <f aca="false">IF(D1375&lt;=E1375,1,0)</f>
        <v>1</v>
      </c>
      <c r="P1375" s="23" t="n">
        <f aca="false">G1375+H1375</f>
        <v>118.74</v>
      </c>
      <c r="Q1375" s="23" t="n">
        <f aca="false">G1375*INDEX(Assumptions!$B$8:$B$16,MATCH(F1375,Assumptions!$A$8:$A$16,0))</f>
        <v>73.206</v>
      </c>
      <c r="R1375" s="23" t="n">
        <f aca="false">H1375*Assumptions!$B$3</f>
        <v>8.496</v>
      </c>
      <c r="S1375" s="23" t="n">
        <f aca="false">G1375-Q1375-R1375</f>
        <v>22.878</v>
      </c>
      <c r="T1375" s="21" t="str">
        <f aca="false">IF(M1375&lt;=7,"0-7 days",IF(M1375&lt;=14,"8-14 days",IF(M1375&lt;=21,"15-21 days","22+ days")))</f>
        <v>0-7 days</v>
      </c>
    </row>
    <row r="1376" customFormat="false" ht="15" hidden="false" customHeight="false" outlineLevel="0" collapsed="false">
      <c r="A1376" s="21" t="s">
        <v>1442</v>
      </c>
      <c r="B1376" s="21" t="s">
        <v>134</v>
      </c>
      <c r="C1376" s="22" t="n">
        <v>43225</v>
      </c>
      <c r="D1376" s="22" t="n">
        <v>43242</v>
      </c>
      <c r="E1376" s="22" t="n">
        <v>43249</v>
      </c>
      <c r="F1376" s="21" t="s">
        <v>59</v>
      </c>
      <c r="G1376" s="23" t="n">
        <v>63.6</v>
      </c>
      <c r="H1376" s="23" t="n">
        <v>18.68</v>
      </c>
      <c r="I1376" s="21" t="s">
        <v>45</v>
      </c>
      <c r="J1376" s="21" t="n">
        <v>3</v>
      </c>
      <c r="K1376" s="21" t="s">
        <v>46</v>
      </c>
      <c r="L1376" s="24" t="n">
        <f aca="false">DATE(YEAR(C1376),MONTH(C1376),1)</f>
        <v>43221</v>
      </c>
      <c r="M1376" s="21" t="n">
        <f aca="false">D1376-C1376</f>
        <v>17</v>
      </c>
      <c r="N1376" s="21" t="n">
        <f aca="false">MAX(0,D1376-E1376)</f>
        <v>0</v>
      </c>
      <c r="O1376" s="21" t="n">
        <f aca="false">IF(D1376&lt;=E1376,1,0)</f>
        <v>1</v>
      </c>
      <c r="P1376" s="23" t="n">
        <f aca="false">G1376+H1376</f>
        <v>82.28</v>
      </c>
      <c r="Q1376" s="23" t="n">
        <f aca="false">G1376*INDEX(Assumptions!$B$8:$B$16,MATCH(F1376,Assumptions!$A$8:$A$16,0))</f>
        <v>40.704</v>
      </c>
      <c r="R1376" s="23" t="n">
        <f aca="false">H1376*Assumptions!$B$3</f>
        <v>11.208</v>
      </c>
      <c r="S1376" s="23" t="n">
        <f aca="false">G1376-Q1376-R1376</f>
        <v>11.688</v>
      </c>
      <c r="T1376" s="21" t="str">
        <f aca="false">IF(M1376&lt;=7,"0-7 days",IF(M1376&lt;=14,"8-14 days",IF(M1376&lt;=21,"15-21 days","22+ days")))</f>
        <v>15-21 days</v>
      </c>
    </row>
    <row r="1377" customFormat="false" ht="15" hidden="false" customHeight="false" outlineLevel="0" collapsed="false">
      <c r="A1377" s="21" t="s">
        <v>1443</v>
      </c>
      <c r="B1377" s="21" t="s">
        <v>19</v>
      </c>
      <c r="C1377" s="22" t="n">
        <v>43225</v>
      </c>
      <c r="D1377" s="22" t="n">
        <v>43229</v>
      </c>
      <c r="E1377" s="22" t="n">
        <v>43241</v>
      </c>
      <c r="F1377" s="21" t="s">
        <v>53</v>
      </c>
      <c r="G1377" s="23" t="n">
        <v>83.54</v>
      </c>
      <c r="H1377" s="23" t="n">
        <v>18.05</v>
      </c>
      <c r="I1377" s="21" t="s">
        <v>45</v>
      </c>
      <c r="J1377" s="21" t="n">
        <v>5</v>
      </c>
      <c r="K1377" s="21" t="s">
        <v>46</v>
      </c>
      <c r="L1377" s="24" t="n">
        <f aca="false">DATE(YEAR(C1377),MONTH(C1377),1)</f>
        <v>43221</v>
      </c>
      <c r="M1377" s="21" t="n">
        <f aca="false">D1377-C1377</f>
        <v>4</v>
      </c>
      <c r="N1377" s="21" t="n">
        <f aca="false">MAX(0,D1377-E1377)</f>
        <v>0</v>
      </c>
      <c r="O1377" s="21" t="n">
        <f aca="false">IF(D1377&lt;=E1377,1,0)</f>
        <v>1</v>
      </c>
      <c r="P1377" s="23" t="n">
        <f aca="false">G1377+H1377</f>
        <v>101.59</v>
      </c>
      <c r="Q1377" s="23" t="n">
        <f aca="false">G1377*INDEX(Assumptions!$B$8:$B$16,MATCH(F1377,Assumptions!$A$8:$A$16,0))</f>
        <v>61.8196</v>
      </c>
      <c r="R1377" s="23" t="n">
        <f aca="false">H1377*Assumptions!$B$3</f>
        <v>10.83</v>
      </c>
      <c r="S1377" s="23" t="n">
        <f aca="false">G1377-Q1377-R1377</f>
        <v>10.8904</v>
      </c>
      <c r="T1377" s="21" t="str">
        <f aca="false">IF(M1377&lt;=7,"0-7 days",IF(M1377&lt;=14,"8-14 days",IF(M1377&lt;=21,"15-21 days","22+ days")))</f>
        <v>0-7 days</v>
      </c>
    </row>
    <row r="1378" customFormat="false" ht="15" hidden="false" customHeight="false" outlineLevel="0" collapsed="false">
      <c r="A1378" s="21" t="s">
        <v>1444</v>
      </c>
      <c r="B1378" s="21" t="s">
        <v>62</v>
      </c>
      <c r="C1378" s="22" t="n">
        <v>43225</v>
      </c>
      <c r="D1378" s="22" t="n">
        <v>43232</v>
      </c>
      <c r="E1378" s="22" t="n">
        <v>43242</v>
      </c>
      <c r="F1378" s="21" t="s">
        <v>44</v>
      </c>
      <c r="G1378" s="23" t="n">
        <v>68.64</v>
      </c>
      <c r="H1378" s="23" t="n">
        <v>24.81</v>
      </c>
      <c r="I1378" s="21" t="s">
        <v>45</v>
      </c>
      <c r="J1378" s="21" t="n">
        <v>5</v>
      </c>
      <c r="K1378" s="21" t="s">
        <v>46</v>
      </c>
      <c r="L1378" s="24" t="n">
        <f aca="false">DATE(YEAR(C1378),MONTH(C1378),1)</f>
        <v>43221</v>
      </c>
      <c r="M1378" s="21" t="n">
        <f aca="false">D1378-C1378</f>
        <v>7</v>
      </c>
      <c r="N1378" s="21" t="n">
        <f aca="false">MAX(0,D1378-E1378)</f>
        <v>0</v>
      </c>
      <c r="O1378" s="21" t="n">
        <f aca="false">IF(D1378&lt;=E1378,1,0)</f>
        <v>1</v>
      </c>
      <c r="P1378" s="23" t="n">
        <f aca="false">G1378+H1378</f>
        <v>93.45</v>
      </c>
      <c r="Q1378" s="23" t="n">
        <f aca="false">G1378*INDEX(Assumptions!$B$8:$B$16,MATCH(F1378,Assumptions!$A$8:$A$16,0))</f>
        <v>41.184</v>
      </c>
      <c r="R1378" s="23" t="n">
        <f aca="false">H1378*Assumptions!$B$3</f>
        <v>14.886</v>
      </c>
      <c r="S1378" s="23" t="n">
        <f aca="false">G1378-Q1378-R1378</f>
        <v>12.57</v>
      </c>
      <c r="T1378" s="21" t="str">
        <f aca="false">IF(M1378&lt;=7,"0-7 days",IF(M1378&lt;=14,"8-14 days",IF(M1378&lt;=21,"15-21 days","22+ days")))</f>
        <v>0-7 days</v>
      </c>
    </row>
    <row r="1379" customFormat="false" ht="15" hidden="false" customHeight="false" outlineLevel="0" collapsed="false">
      <c r="A1379" s="21" t="s">
        <v>1445</v>
      </c>
      <c r="B1379" s="21" t="s">
        <v>19</v>
      </c>
      <c r="C1379" s="22" t="n">
        <v>43225</v>
      </c>
      <c r="D1379" s="22" t="n">
        <v>43228</v>
      </c>
      <c r="E1379" s="22" t="n">
        <v>43239</v>
      </c>
      <c r="F1379" s="21" t="s">
        <v>49</v>
      </c>
      <c r="G1379" s="23" t="n">
        <v>70.82</v>
      </c>
      <c r="H1379" s="23" t="n">
        <v>12.21</v>
      </c>
      <c r="I1379" s="21" t="s">
        <v>60</v>
      </c>
      <c r="J1379" s="21" t="n">
        <v>4</v>
      </c>
      <c r="K1379" s="21" t="s">
        <v>46</v>
      </c>
      <c r="L1379" s="24" t="n">
        <f aca="false">DATE(YEAR(C1379),MONTH(C1379),1)</f>
        <v>43221</v>
      </c>
      <c r="M1379" s="21" t="n">
        <f aca="false">D1379-C1379</f>
        <v>3</v>
      </c>
      <c r="N1379" s="21" t="n">
        <f aca="false">MAX(0,D1379-E1379)</f>
        <v>0</v>
      </c>
      <c r="O1379" s="21" t="n">
        <f aca="false">IF(D1379&lt;=E1379,1,0)</f>
        <v>1</v>
      </c>
      <c r="P1379" s="23" t="n">
        <f aca="false">G1379+H1379</f>
        <v>83.03</v>
      </c>
      <c r="Q1379" s="23" t="n">
        <f aca="false">G1379*INDEX(Assumptions!$B$8:$B$16,MATCH(F1379,Assumptions!$A$8:$A$16,0))</f>
        <v>41.0756</v>
      </c>
      <c r="R1379" s="23" t="n">
        <f aca="false">H1379*Assumptions!$B$3</f>
        <v>7.326</v>
      </c>
      <c r="S1379" s="23" t="n">
        <f aca="false">G1379-Q1379-R1379</f>
        <v>22.4184</v>
      </c>
      <c r="T1379" s="21" t="str">
        <f aca="false">IF(M1379&lt;=7,"0-7 days",IF(M1379&lt;=14,"8-14 days",IF(M1379&lt;=21,"15-21 days","22+ days")))</f>
        <v>0-7 days</v>
      </c>
    </row>
    <row r="1380" customFormat="false" ht="15" hidden="false" customHeight="false" outlineLevel="0" collapsed="false">
      <c r="A1380" s="21" t="s">
        <v>1446</v>
      </c>
      <c r="B1380" s="21" t="s">
        <v>19</v>
      </c>
      <c r="C1380" s="22" t="n">
        <v>43225</v>
      </c>
      <c r="D1380" s="22" t="n">
        <v>43234</v>
      </c>
      <c r="E1380" s="22" t="n">
        <v>43246</v>
      </c>
      <c r="F1380" s="21" t="s">
        <v>67</v>
      </c>
      <c r="G1380" s="23" t="n">
        <v>52.24</v>
      </c>
      <c r="H1380" s="23" t="n">
        <v>12.25</v>
      </c>
      <c r="I1380" s="21" t="s">
        <v>45</v>
      </c>
      <c r="J1380" s="21" t="n">
        <v>5</v>
      </c>
      <c r="K1380" s="21" t="s">
        <v>46</v>
      </c>
      <c r="L1380" s="24" t="n">
        <f aca="false">DATE(YEAR(C1380),MONTH(C1380),1)</f>
        <v>43221</v>
      </c>
      <c r="M1380" s="21" t="n">
        <f aca="false">D1380-C1380</f>
        <v>9</v>
      </c>
      <c r="N1380" s="21" t="n">
        <f aca="false">MAX(0,D1380-E1380)</f>
        <v>0</v>
      </c>
      <c r="O1380" s="21" t="n">
        <f aca="false">IF(D1380&lt;=E1380,1,0)</f>
        <v>1</v>
      </c>
      <c r="P1380" s="23" t="n">
        <f aca="false">G1380+H1380</f>
        <v>64.49</v>
      </c>
      <c r="Q1380" s="23" t="n">
        <f aca="false">G1380*INDEX(Assumptions!$B$8:$B$16,MATCH(F1380,Assumptions!$A$8:$A$16,0))</f>
        <v>32.3888</v>
      </c>
      <c r="R1380" s="23" t="n">
        <f aca="false">H1380*Assumptions!$B$3</f>
        <v>7.35</v>
      </c>
      <c r="S1380" s="23" t="n">
        <f aca="false">G1380-Q1380-R1380</f>
        <v>12.5012</v>
      </c>
      <c r="T1380" s="21" t="str">
        <f aca="false">IF(M1380&lt;=7,"0-7 days",IF(M1380&lt;=14,"8-14 days",IF(M1380&lt;=21,"15-21 days","22+ days")))</f>
        <v>8-14 days</v>
      </c>
    </row>
    <row r="1381" customFormat="false" ht="15" hidden="false" customHeight="false" outlineLevel="0" collapsed="false">
      <c r="A1381" s="21" t="s">
        <v>1447</v>
      </c>
      <c r="B1381" s="21" t="s">
        <v>174</v>
      </c>
      <c r="C1381" s="22" t="n">
        <v>43225</v>
      </c>
      <c r="D1381" s="22" t="n">
        <v>43245</v>
      </c>
      <c r="E1381" s="22" t="n">
        <v>43258</v>
      </c>
      <c r="F1381" s="21" t="s">
        <v>67</v>
      </c>
      <c r="G1381" s="23" t="n">
        <v>124.81</v>
      </c>
      <c r="H1381" s="23" t="n">
        <v>40.98</v>
      </c>
      <c r="I1381" s="21" t="s">
        <v>45</v>
      </c>
      <c r="J1381" s="21" t="n">
        <v>3</v>
      </c>
      <c r="K1381" s="21" t="s">
        <v>46</v>
      </c>
      <c r="L1381" s="24" t="n">
        <f aca="false">DATE(YEAR(C1381),MONTH(C1381),1)</f>
        <v>43221</v>
      </c>
      <c r="M1381" s="21" t="n">
        <f aca="false">D1381-C1381</f>
        <v>20</v>
      </c>
      <c r="N1381" s="21" t="n">
        <f aca="false">MAX(0,D1381-E1381)</f>
        <v>0</v>
      </c>
      <c r="O1381" s="21" t="n">
        <f aca="false">IF(D1381&lt;=E1381,1,0)</f>
        <v>1</v>
      </c>
      <c r="P1381" s="23" t="n">
        <f aca="false">G1381+H1381</f>
        <v>165.79</v>
      </c>
      <c r="Q1381" s="23" t="n">
        <f aca="false">G1381*INDEX(Assumptions!$B$8:$B$16,MATCH(F1381,Assumptions!$A$8:$A$16,0))</f>
        <v>77.3822</v>
      </c>
      <c r="R1381" s="23" t="n">
        <f aca="false">H1381*Assumptions!$B$3</f>
        <v>24.588</v>
      </c>
      <c r="S1381" s="23" t="n">
        <f aca="false">G1381-Q1381-R1381</f>
        <v>22.8398</v>
      </c>
      <c r="T1381" s="21" t="str">
        <f aca="false">IF(M1381&lt;=7,"0-7 days",IF(M1381&lt;=14,"8-14 days",IF(M1381&lt;=21,"15-21 days","22+ days")))</f>
        <v>15-21 days</v>
      </c>
    </row>
    <row r="1382" customFormat="false" ht="15" hidden="false" customHeight="false" outlineLevel="0" collapsed="false">
      <c r="A1382" s="21" t="s">
        <v>1448</v>
      </c>
      <c r="B1382" s="21" t="s">
        <v>19</v>
      </c>
      <c r="C1382" s="22" t="n">
        <v>43226</v>
      </c>
      <c r="D1382" s="22" t="n">
        <v>43234</v>
      </c>
      <c r="E1382" s="22" t="n">
        <v>43244</v>
      </c>
      <c r="F1382" s="21" t="s">
        <v>49</v>
      </c>
      <c r="G1382" s="23" t="n">
        <v>39.82</v>
      </c>
      <c r="H1382" s="23" t="n">
        <v>11.88</v>
      </c>
      <c r="I1382" s="21" t="s">
        <v>45</v>
      </c>
      <c r="J1382" s="21" t="n">
        <v>4</v>
      </c>
      <c r="K1382" s="21" t="s">
        <v>46</v>
      </c>
      <c r="L1382" s="24" t="n">
        <f aca="false">DATE(YEAR(C1382),MONTH(C1382),1)</f>
        <v>43221</v>
      </c>
      <c r="M1382" s="21" t="n">
        <f aca="false">D1382-C1382</f>
        <v>8</v>
      </c>
      <c r="N1382" s="21" t="n">
        <f aca="false">MAX(0,D1382-E1382)</f>
        <v>0</v>
      </c>
      <c r="O1382" s="21" t="n">
        <f aca="false">IF(D1382&lt;=E1382,1,0)</f>
        <v>1</v>
      </c>
      <c r="P1382" s="23" t="n">
        <f aca="false">G1382+H1382</f>
        <v>51.7</v>
      </c>
      <c r="Q1382" s="23" t="n">
        <f aca="false">G1382*INDEX(Assumptions!$B$8:$B$16,MATCH(F1382,Assumptions!$A$8:$A$16,0))</f>
        <v>23.0956</v>
      </c>
      <c r="R1382" s="23" t="n">
        <f aca="false">H1382*Assumptions!$B$3</f>
        <v>7.128</v>
      </c>
      <c r="S1382" s="23" t="n">
        <f aca="false">G1382-Q1382-R1382</f>
        <v>9.5964</v>
      </c>
      <c r="T1382" s="21" t="str">
        <f aca="false">IF(M1382&lt;=7,"0-7 days",IF(M1382&lt;=14,"8-14 days",IF(M1382&lt;=21,"15-21 days","22+ days")))</f>
        <v>8-14 days</v>
      </c>
    </row>
    <row r="1383" customFormat="false" ht="15" hidden="false" customHeight="false" outlineLevel="0" collapsed="false">
      <c r="A1383" s="21" t="s">
        <v>1449</v>
      </c>
      <c r="B1383" s="21" t="s">
        <v>62</v>
      </c>
      <c r="C1383" s="22" t="n">
        <v>43226</v>
      </c>
      <c r="D1383" s="22" t="n">
        <v>43236</v>
      </c>
      <c r="E1383" s="22" t="n">
        <v>43247</v>
      </c>
      <c r="F1383" s="21" t="s">
        <v>49</v>
      </c>
      <c r="G1383" s="23" t="n">
        <v>43.91</v>
      </c>
      <c r="H1383" s="23" t="n">
        <v>27.31</v>
      </c>
      <c r="I1383" s="21" t="s">
        <v>50</v>
      </c>
      <c r="J1383" s="21" t="n">
        <v>5</v>
      </c>
      <c r="K1383" s="21" t="s">
        <v>46</v>
      </c>
      <c r="L1383" s="24" t="n">
        <f aca="false">DATE(YEAR(C1383),MONTH(C1383),1)</f>
        <v>43221</v>
      </c>
      <c r="M1383" s="21" t="n">
        <f aca="false">D1383-C1383</f>
        <v>10</v>
      </c>
      <c r="N1383" s="21" t="n">
        <f aca="false">MAX(0,D1383-E1383)</f>
        <v>0</v>
      </c>
      <c r="O1383" s="21" t="n">
        <f aca="false">IF(D1383&lt;=E1383,1,0)</f>
        <v>1</v>
      </c>
      <c r="P1383" s="23" t="n">
        <f aca="false">G1383+H1383</f>
        <v>71.22</v>
      </c>
      <c r="Q1383" s="23" t="n">
        <f aca="false">G1383*INDEX(Assumptions!$B$8:$B$16,MATCH(F1383,Assumptions!$A$8:$A$16,0))</f>
        <v>25.4678</v>
      </c>
      <c r="R1383" s="23" t="n">
        <f aca="false">H1383*Assumptions!$B$3</f>
        <v>16.386</v>
      </c>
      <c r="S1383" s="23" t="n">
        <f aca="false">G1383-Q1383-R1383</f>
        <v>2.0562</v>
      </c>
      <c r="T1383" s="21" t="str">
        <f aca="false">IF(M1383&lt;=7,"0-7 days",IF(M1383&lt;=14,"8-14 days",IF(M1383&lt;=21,"15-21 days","22+ days")))</f>
        <v>8-14 days</v>
      </c>
    </row>
    <row r="1384" customFormat="false" ht="15" hidden="false" customHeight="false" outlineLevel="0" collapsed="false">
      <c r="A1384" s="21" t="s">
        <v>1450</v>
      </c>
      <c r="B1384" s="21" t="s">
        <v>19</v>
      </c>
      <c r="C1384" s="22" t="n">
        <v>43226</v>
      </c>
      <c r="D1384" s="22" t="n">
        <v>43234</v>
      </c>
      <c r="E1384" s="22" t="n">
        <v>43243</v>
      </c>
      <c r="F1384" s="21" t="s">
        <v>67</v>
      </c>
      <c r="G1384" s="23" t="n">
        <v>163.48</v>
      </c>
      <c r="H1384" s="23" t="n">
        <v>14.41</v>
      </c>
      <c r="I1384" s="21" t="s">
        <v>45</v>
      </c>
      <c r="J1384" s="21" t="n">
        <v>5</v>
      </c>
      <c r="K1384" s="21" t="s">
        <v>46</v>
      </c>
      <c r="L1384" s="24" t="n">
        <f aca="false">DATE(YEAR(C1384),MONTH(C1384),1)</f>
        <v>43221</v>
      </c>
      <c r="M1384" s="21" t="n">
        <f aca="false">D1384-C1384</f>
        <v>8</v>
      </c>
      <c r="N1384" s="21" t="n">
        <f aca="false">MAX(0,D1384-E1384)</f>
        <v>0</v>
      </c>
      <c r="O1384" s="21" t="n">
        <f aca="false">IF(D1384&lt;=E1384,1,0)</f>
        <v>1</v>
      </c>
      <c r="P1384" s="23" t="n">
        <f aca="false">G1384+H1384</f>
        <v>177.89</v>
      </c>
      <c r="Q1384" s="23" t="n">
        <f aca="false">G1384*INDEX(Assumptions!$B$8:$B$16,MATCH(F1384,Assumptions!$A$8:$A$16,0))</f>
        <v>101.3576</v>
      </c>
      <c r="R1384" s="23" t="n">
        <f aca="false">H1384*Assumptions!$B$3</f>
        <v>8.646</v>
      </c>
      <c r="S1384" s="23" t="n">
        <f aca="false">G1384-Q1384-R1384</f>
        <v>53.4764</v>
      </c>
      <c r="T1384" s="21" t="str">
        <f aca="false">IF(M1384&lt;=7,"0-7 days",IF(M1384&lt;=14,"8-14 days",IF(M1384&lt;=21,"15-21 days","22+ days")))</f>
        <v>8-14 days</v>
      </c>
    </row>
    <row r="1385" customFormat="false" ht="15" hidden="false" customHeight="false" outlineLevel="0" collapsed="false">
      <c r="A1385" s="21" t="s">
        <v>1451</v>
      </c>
      <c r="B1385" s="21" t="s">
        <v>19</v>
      </c>
      <c r="C1385" s="22" t="n">
        <v>43226</v>
      </c>
      <c r="D1385" s="22" t="n">
        <v>43234</v>
      </c>
      <c r="E1385" s="22" t="n">
        <v>43241</v>
      </c>
      <c r="F1385" s="21" t="s">
        <v>64</v>
      </c>
      <c r="G1385" s="23" t="n">
        <v>76.24</v>
      </c>
      <c r="H1385" s="23" t="n">
        <v>19.08</v>
      </c>
      <c r="I1385" s="21" t="s">
        <v>45</v>
      </c>
      <c r="J1385" s="21" t="n">
        <v>4</v>
      </c>
      <c r="K1385" s="21" t="s">
        <v>46</v>
      </c>
      <c r="L1385" s="24" t="n">
        <f aca="false">DATE(YEAR(C1385),MONTH(C1385),1)</f>
        <v>43221</v>
      </c>
      <c r="M1385" s="21" t="n">
        <f aca="false">D1385-C1385</f>
        <v>8</v>
      </c>
      <c r="N1385" s="21" t="n">
        <f aca="false">MAX(0,D1385-E1385)</f>
        <v>0</v>
      </c>
      <c r="O1385" s="21" t="n">
        <f aca="false">IF(D1385&lt;=E1385,1,0)</f>
        <v>1</v>
      </c>
      <c r="P1385" s="23" t="n">
        <f aca="false">G1385+H1385</f>
        <v>95.32</v>
      </c>
      <c r="Q1385" s="23" t="n">
        <f aca="false">G1385*INDEX(Assumptions!$B$8:$B$16,MATCH(F1385,Assumptions!$A$8:$A$16,0))</f>
        <v>50.3184</v>
      </c>
      <c r="R1385" s="23" t="n">
        <f aca="false">H1385*Assumptions!$B$3</f>
        <v>11.448</v>
      </c>
      <c r="S1385" s="23" t="n">
        <f aca="false">G1385-Q1385-R1385</f>
        <v>14.4736</v>
      </c>
      <c r="T1385" s="21" t="str">
        <f aca="false">IF(M1385&lt;=7,"0-7 days",IF(M1385&lt;=14,"8-14 days",IF(M1385&lt;=21,"15-21 days","22+ days")))</f>
        <v>8-14 days</v>
      </c>
    </row>
    <row r="1386" customFormat="false" ht="15" hidden="false" customHeight="false" outlineLevel="0" collapsed="false">
      <c r="A1386" s="21" t="s">
        <v>1452</v>
      </c>
      <c r="B1386" s="21" t="s">
        <v>62</v>
      </c>
      <c r="C1386" s="22" t="n">
        <v>43226</v>
      </c>
      <c r="D1386" s="22" t="n">
        <v>43234</v>
      </c>
      <c r="E1386" s="22" t="n">
        <v>43247</v>
      </c>
      <c r="F1386" s="21" t="s">
        <v>111</v>
      </c>
      <c r="G1386" s="23" t="n">
        <v>108.92</v>
      </c>
      <c r="H1386" s="23" t="n">
        <v>16.86</v>
      </c>
      <c r="I1386" s="21" t="s">
        <v>45</v>
      </c>
      <c r="J1386" s="21" t="n">
        <v>4</v>
      </c>
      <c r="K1386" s="21" t="s">
        <v>46</v>
      </c>
      <c r="L1386" s="24" t="n">
        <f aca="false">DATE(YEAR(C1386),MONTH(C1386),1)</f>
        <v>43221</v>
      </c>
      <c r="M1386" s="21" t="n">
        <f aca="false">D1386-C1386</f>
        <v>8</v>
      </c>
      <c r="N1386" s="21" t="n">
        <f aca="false">MAX(0,D1386-E1386)</f>
        <v>0</v>
      </c>
      <c r="O1386" s="21" t="n">
        <f aca="false">IF(D1386&lt;=E1386,1,0)</f>
        <v>1</v>
      </c>
      <c r="P1386" s="23" t="n">
        <f aca="false">G1386+H1386</f>
        <v>125.78</v>
      </c>
      <c r="Q1386" s="23" t="n">
        <f aca="false">G1386*INDEX(Assumptions!$B$8:$B$16,MATCH(F1386,Assumptions!$A$8:$A$16,0))</f>
        <v>68.6196</v>
      </c>
      <c r="R1386" s="23" t="n">
        <f aca="false">H1386*Assumptions!$B$3</f>
        <v>10.116</v>
      </c>
      <c r="S1386" s="23" t="n">
        <f aca="false">G1386-Q1386-R1386</f>
        <v>30.1844</v>
      </c>
      <c r="T1386" s="21" t="str">
        <f aca="false">IF(M1386&lt;=7,"0-7 days",IF(M1386&lt;=14,"8-14 days",IF(M1386&lt;=21,"15-21 days","22+ days")))</f>
        <v>8-14 days</v>
      </c>
    </row>
    <row r="1387" customFormat="false" ht="15" hidden="false" customHeight="false" outlineLevel="0" collapsed="false">
      <c r="A1387" s="21" t="s">
        <v>1453</v>
      </c>
      <c r="B1387" s="21" t="s">
        <v>19</v>
      </c>
      <c r="C1387" s="22" t="n">
        <v>43226</v>
      </c>
      <c r="D1387" s="22" t="n">
        <v>43236</v>
      </c>
      <c r="E1387" s="22" t="n">
        <v>43240</v>
      </c>
      <c r="F1387" s="21" t="s">
        <v>49</v>
      </c>
      <c r="G1387" s="23" t="n">
        <v>56.38</v>
      </c>
      <c r="H1387" s="23" t="n">
        <v>13.44</v>
      </c>
      <c r="I1387" s="21" t="s">
        <v>45</v>
      </c>
      <c r="J1387" s="21" t="n">
        <v>3</v>
      </c>
      <c r="K1387" s="21" t="s">
        <v>46</v>
      </c>
      <c r="L1387" s="24" t="n">
        <f aca="false">DATE(YEAR(C1387),MONTH(C1387),1)</f>
        <v>43221</v>
      </c>
      <c r="M1387" s="21" t="n">
        <f aca="false">D1387-C1387</f>
        <v>10</v>
      </c>
      <c r="N1387" s="21" t="n">
        <f aca="false">MAX(0,D1387-E1387)</f>
        <v>0</v>
      </c>
      <c r="O1387" s="21" t="n">
        <f aca="false">IF(D1387&lt;=E1387,1,0)</f>
        <v>1</v>
      </c>
      <c r="P1387" s="23" t="n">
        <f aca="false">G1387+H1387</f>
        <v>69.82</v>
      </c>
      <c r="Q1387" s="23" t="n">
        <f aca="false">G1387*INDEX(Assumptions!$B$8:$B$16,MATCH(F1387,Assumptions!$A$8:$A$16,0))</f>
        <v>32.7004</v>
      </c>
      <c r="R1387" s="23" t="n">
        <f aca="false">H1387*Assumptions!$B$3</f>
        <v>8.064</v>
      </c>
      <c r="S1387" s="23" t="n">
        <f aca="false">G1387-Q1387-R1387</f>
        <v>15.6156</v>
      </c>
      <c r="T1387" s="21" t="str">
        <f aca="false">IF(M1387&lt;=7,"0-7 days",IF(M1387&lt;=14,"8-14 days",IF(M1387&lt;=21,"15-21 days","22+ days")))</f>
        <v>8-14 days</v>
      </c>
    </row>
    <row r="1388" customFormat="false" ht="15" hidden="false" customHeight="false" outlineLevel="0" collapsed="false">
      <c r="A1388" s="21" t="s">
        <v>1454</v>
      </c>
      <c r="B1388" s="21" t="s">
        <v>55</v>
      </c>
      <c r="C1388" s="22" t="n">
        <v>43226</v>
      </c>
      <c r="D1388" s="22" t="n">
        <v>43265</v>
      </c>
      <c r="E1388" s="22" t="n">
        <v>43249</v>
      </c>
      <c r="F1388" s="21" t="s">
        <v>53</v>
      </c>
      <c r="G1388" s="23" t="n">
        <v>287.09</v>
      </c>
      <c r="H1388" s="23" t="n">
        <v>27.12</v>
      </c>
      <c r="I1388" s="21" t="s">
        <v>45</v>
      </c>
      <c r="J1388" s="21" t="n">
        <v>1</v>
      </c>
      <c r="K1388" s="21" t="s">
        <v>46</v>
      </c>
      <c r="L1388" s="24" t="n">
        <f aca="false">DATE(YEAR(C1388),MONTH(C1388),1)</f>
        <v>43221</v>
      </c>
      <c r="M1388" s="21" t="n">
        <f aca="false">D1388-C1388</f>
        <v>39</v>
      </c>
      <c r="N1388" s="21" t="n">
        <f aca="false">MAX(0,D1388-E1388)</f>
        <v>16</v>
      </c>
      <c r="O1388" s="21" t="n">
        <f aca="false">IF(D1388&lt;=E1388,1,0)</f>
        <v>0</v>
      </c>
      <c r="P1388" s="23" t="n">
        <f aca="false">G1388+H1388</f>
        <v>314.21</v>
      </c>
      <c r="Q1388" s="23" t="n">
        <f aca="false">G1388*INDEX(Assumptions!$B$8:$B$16,MATCH(F1388,Assumptions!$A$8:$A$16,0))</f>
        <v>212.4466</v>
      </c>
      <c r="R1388" s="23" t="n">
        <f aca="false">H1388*Assumptions!$B$3</f>
        <v>16.272</v>
      </c>
      <c r="S1388" s="23" t="n">
        <f aca="false">G1388-Q1388-R1388</f>
        <v>58.3714</v>
      </c>
      <c r="T1388" s="21" t="str">
        <f aca="false">IF(M1388&lt;=7,"0-7 days",IF(M1388&lt;=14,"8-14 days",IF(M1388&lt;=21,"15-21 days","22+ days")))</f>
        <v>22+ days</v>
      </c>
    </row>
    <row r="1389" customFormat="false" ht="15" hidden="false" customHeight="false" outlineLevel="0" collapsed="false">
      <c r="A1389" s="21" t="s">
        <v>1455</v>
      </c>
      <c r="B1389" s="21" t="s">
        <v>19</v>
      </c>
      <c r="C1389" s="22" t="n">
        <v>43227</v>
      </c>
      <c r="D1389" s="22" t="n">
        <v>43237</v>
      </c>
      <c r="E1389" s="22" t="n">
        <v>43248</v>
      </c>
      <c r="F1389" s="21" t="s">
        <v>44</v>
      </c>
      <c r="G1389" s="23" t="n">
        <v>80.31</v>
      </c>
      <c r="H1389" s="23" t="n">
        <v>16.91</v>
      </c>
      <c r="I1389" s="21" t="s">
        <v>45</v>
      </c>
      <c r="J1389" s="21" t="n">
        <v>3</v>
      </c>
      <c r="K1389" s="21" t="s">
        <v>46</v>
      </c>
      <c r="L1389" s="24" t="n">
        <f aca="false">DATE(YEAR(C1389),MONTH(C1389),1)</f>
        <v>43221</v>
      </c>
      <c r="M1389" s="21" t="n">
        <f aca="false">D1389-C1389</f>
        <v>10</v>
      </c>
      <c r="N1389" s="21" t="n">
        <f aca="false">MAX(0,D1389-E1389)</f>
        <v>0</v>
      </c>
      <c r="O1389" s="21" t="n">
        <f aca="false">IF(D1389&lt;=E1389,1,0)</f>
        <v>1</v>
      </c>
      <c r="P1389" s="23" t="n">
        <f aca="false">G1389+H1389</f>
        <v>97.22</v>
      </c>
      <c r="Q1389" s="23" t="n">
        <f aca="false">G1389*INDEX(Assumptions!$B$8:$B$16,MATCH(F1389,Assumptions!$A$8:$A$16,0))</f>
        <v>48.186</v>
      </c>
      <c r="R1389" s="23" t="n">
        <f aca="false">H1389*Assumptions!$B$3</f>
        <v>10.146</v>
      </c>
      <c r="S1389" s="23" t="n">
        <f aca="false">G1389-Q1389-R1389</f>
        <v>21.978</v>
      </c>
      <c r="T1389" s="21" t="str">
        <f aca="false">IF(M1389&lt;=7,"0-7 days",IF(M1389&lt;=14,"8-14 days",IF(M1389&lt;=21,"15-21 days","22+ days")))</f>
        <v>8-14 days</v>
      </c>
    </row>
    <row r="1390" customFormat="false" ht="15" hidden="false" customHeight="false" outlineLevel="0" collapsed="false">
      <c r="A1390" s="21" t="s">
        <v>1456</v>
      </c>
      <c r="B1390" s="21" t="s">
        <v>201</v>
      </c>
      <c r="C1390" s="22" t="n">
        <v>43227</v>
      </c>
      <c r="D1390" s="22" t="n">
        <v>43256</v>
      </c>
      <c r="E1390" s="22" t="n">
        <v>43258</v>
      </c>
      <c r="F1390" s="21" t="s">
        <v>49</v>
      </c>
      <c r="G1390" s="23" t="n">
        <v>126.95</v>
      </c>
      <c r="H1390" s="23" t="n">
        <v>45.09</v>
      </c>
      <c r="I1390" s="21" t="s">
        <v>45</v>
      </c>
      <c r="J1390" s="21" t="n">
        <v>3</v>
      </c>
      <c r="K1390" s="21" t="s">
        <v>46</v>
      </c>
      <c r="L1390" s="24" t="n">
        <f aca="false">DATE(YEAR(C1390),MONTH(C1390),1)</f>
        <v>43221</v>
      </c>
      <c r="M1390" s="21" t="n">
        <f aca="false">D1390-C1390</f>
        <v>29</v>
      </c>
      <c r="N1390" s="21" t="n">
        <f aca="false">MAX(0,D1390-E1390)</f>
        <v>0</v>
      </c>
      <c r="O1390" s="21" t="n">
        <f aca="false">IF(D1390&lt;=E1390,1,0)</f>
        <v>1</v>
      </c>
      <c r="P1390" s="23" t="n">
        <f aca="false">G1390+H1390</f>
        <v>172.04</v>
      </c>
      <c r="Q1390" s="23" t="n">
        <f aca="false">G1390*INDEX(Assumptions!$B$8:$B$16,MATCH(F1390,Assumptions!$A$8:$A$16,0))</f>
        <v>73.631</v>
      </c>
      <c r="R1390" s="23" t="n">
        <f aca="false">H1390*Assumptions!$B$3</f>
        <v>27.054</v>
      </c>
      <c r="S1390" s="23" t="n">
        <f aca="false">G1390-Q1390-R1390</f>
        <v>26.265</v>
      </c>
      <c r="T1390" s="21" t="str">
        <f aca="false">IF(M1390&lt;=7,"0-7 days",IF(M1390&lt;=14,"8-14 days",IF(M1390&lt;=21,"15-21 days","22+ days")))</f>
        <v>22+ days</v>
      </c>
    </row>
    <row r="1391" customFormat="false" ht="15" hidden="false" customHeight="false" outlineLevel="0" collapsed="false">
      <c r="A1391" s="21" t="s">
        <v>1457</v>
      </c>
      <c r="B1391" s="21" t="s">
        <v>19</v>
      </c>
      <c r="C1391" s="22" t="n">
        <v>43227</v>
      </c>
      <c r="D1391" s="22" t="n">
        <v>43233</v>
      </c>
      <c r="E1391" s="22" t="n">
        <v>43243</v>
      </c>
      <c r="F1391" s="21" t="s">
        <v>67</v>
      </c>
      <c r="G1391" s="23" t="n">
        <v>113.85</v>
      </c>
      <c r="H1391" s="23" t="n">
        <v>18.95</v>
      </c>
      <c r="I1391" s="21" t="s">
        <v>45</v>
      </c>
      <c r="J1391" s="21" t="n">
        <v>3</v>
      </c>
      <c r="K1391" s="21" t="s">
        <v>46</v>
      </c>
      <c r="L1391" s="24" t="n">
        <f aca="false">DATE(YEAR(C1391),MONTH(C1391),1)</f>
        <v>43221</v>
      </c>
      <c r="M1391" s="21" t="n">
        <f aca="false">D1391-C1391</f>
        <v>6</v>
      </c>
      <c r="N1391" s="21" t="n">
        <f aca="false">MAX(0,D1391-E1391)</f>
        <v>0</v>
      </c>
      <c r="O1391" s="21" t="n">
        <f aca="false">IF(D1391&lt;=E1391,1,0)</f>
        <v>1</v>
      </c>
      <c r="P1391" s="23" t="n">
        <f aca="false">G1391+H1391</f>
        <v>132.8</v>
      </c>
      <c r="Q1391" s="23" t="n">
        <f aca="false">G1391*INDEX(Assumptions!$B$8:$B$16,MATCH(F1391,Assumptions!$A$8:$A$16,0))</f>
        <v>70.587</v>
      </c>
      <c r="R1391" s="23" t="n">
        <f aca="false">H1391*Assumptions!$B$3</f>
        <v>11.37</v>
      </c>
      <c r="S1391" s="23" t="n">
        <f aca="false">G1391-Q1391-R1391</f>
        <v>31.893</v>
      </c>
      <c r="T1391" s="21" t="str">
        <f aca="false">IF(M1391&lt;=7,"0-7 days",IF(M1391&lt;=14,"8-14 days",IF(M1391&lt;=21,"15-21 days","22+ days")))</f>
        <v>0-7 days</v>
      </c>
    </row>
    <row r="1392" customFormat="false" ht="15" hidden="false" customHeight="false" outlineLevel="0" collapsed="false">
      <c r="A1392" s="21" t="s">
        <v>1458</v>
      </c>
      <c r="B1392" s="21" t="s">
        <v>19</v>
      </c>
      <c r="C1392" s="22" t="n">
        <v>43227</v>
      </c>
      <c r="D1392" s="22" t="n">
        <v>43241</v>
      </c>
      <c r="E1392" s="22" t="n">
        <v>43244</v>
      </c>
      <c r="F1392" s="21" t="s">
        <v>67</v>
      </c>
      <c r="G1392" s="23" t="n">
        <v>53.13</v>
      </c>
      <c r="H1392" s="23" t="n">
        <v>20.69</v>
      </c>
      <c r="I1392" s="21" t="s">
        <v>45</v>
      </c>
      <c r="J1392" s="21" t="n">
        <v>4</v>
      </c>
      <c r="K1392" s="21" t="s">
        <v>46</v>
      </c>
      <c r="L1392" s="24" t="n">
        <f aca="false">DATE(YEAR(C1392),MONTH(C1392),1)</f>
        <v>43221</v>
      </c>
      <c r="M1392" s="21" t="n">
        <f aca="false">D1392-C1392</f>
        <v>14</v>
      </c>
      <c r="N1392" s="21" t="n">
        <f aca="false">MAX(0,D1392-E1392)</f>
        <v>0</v>
      </c>
      <c r="O1392" s="21" t="n">
        <f aca="false">IF(D1392&lt;=E1392,1,0)</f>
        <v>1</v>
      </c>
      <c r="P1392" s="23" t="n">
        <f aca="false">G1392+H1392</f>
        <v>73.82</v>
      </c>
      <c r="Q1392" s="23" t="n">
        <f aca="false">G1392*INDEX(Assumptions!$B$8:$B$16,MATCH(F1392,Assumptions!$A$8:$A$16,0))</f>
        <v>32.9406</v>
      </c>
      <c r="R1392" s="23" t="n">
        <f aca="false">H1392*Assumptions!$B$3</f>
        <v>12.414</v>
      </c>
      <c r="S1392" s="23" t="n">
        <f aca="false">G1392-Q1392-R1392</f>
        <v>7.7754</v>
      </c>
      <c r="T1392" s="21" t="str">
        <f aca="false">IF(M1392&lt;=7,"0-7 days",IF(M1392&lt;=14,"8-14 days",IF(M1392&lt;=21,"15-21 days","22+ days")))</f>
        <v>8-14 days</v>
      </c>
    </row>
    <row r="1393" customFormat="false" ht="15" hidden="false" customHeight="false" outlineLevel="0" collapsed="false">
      <c r="A1393" s="21" t="s">
        <v>1459</v>
      </c>
      <c r="B1393" s="21" t="s">
        <v>19</v>
      </c>
      <c r="C1393" s="22" t="n">
        <v>43227</v>
      </c>
      <c r="D1393" s="22" t="n">
        <v>43235</v>
      </c>
      <c r="E1393" s="22" t="n">
        <v>43242</v>
      </c>
      <c r="F1393" s="21" t="s">
        <v>44</v>
      </c>
      <c r="G1393" s="23" t="n">
        <v>26.84</v>
      </c>
      <c r="H1393" s="23" t="n">
        <v>16.55</v>
      </c>
      <c r="I1393" s="21" t="s">
        <v>50</v>
      </c>
      <c r="J1393" s="21" t="n">
        <v>4</v>
      </c>
      <c r="K1393" s="21" t="s">
        <v>46</v>
      </c>
      <c r="L1393" s="24" t="n">
        <f aca="false">DATE(YEAR(C1393),MONTH(C1393),1)</f>
        <v>43221</v>
      </c>
      <c r="M1393" s="21" t="n">
        <f aca="false">D1393-C1393</f>
        <v>8</v>
      </c>
      <c r="N1393" s="21" t="n">
        <f aca="false">MAX(0,D1393-E1393)</f>
        <v>0</v>
      </c>
      <c r="O1393" s="21" t="n">
        <f aca="false">IF(D1393&lt;=E1393,1,0)</f>
        <v>1</v>
      </c>
      <c r="P1393" s="23" t="n">
        <f aca="false">G1393+H1393</f>
        <v>43.39</v>
      </c>
      <c r="Q1393" s="23" t="n">
        <f aca="false">G1393*INDEX(Assumptions!$B$8:$B$16,MATCH(F1393,Assumptions!$A$8:$A$16,0))</f>
        <v>16.104</v>
      </c>
      <c r="R1393" s="23" t="n">
        <f aca="false">H1393*Assumptions!$B$3</f>
        <v>9.93</v>
      </c>
      <c r="S1393" s="23" t="n">
        <f aca="false">G1393-Q1393-R1393</f>
        <v>0.806000000000001</v>
      </c>
      <c r="T1393" s="21" t="str">
        <f aca="false">IF(M1393&lt;=7,"0-7 days",IF(M1393&lt;=14,"8-14 days",IF(M1393&lt;=21,"15-21 days","22+ days")))</f>
        <v>8-14 days</v>
      </c>
    </row>
    <row r="1394" customFormat="false" ht="15" hidden="false" customHeight="false" outlineLevel="0" collapsed="false">
      <c r="A1394" s="21" t="s">
        <v>1460</v>
      </c>
      <c r="B1394" s="21" t="s">
        <v>48</v>
      </c>
      <c r="C1394" s="22" t="n">
        <v>43227</v>
      </c>
      <c r="D1394" s="22" t="n">
        <v>43236</v>
      </c>
      <c r="E1394" s="22" t="n">
        <v>43247</v>
      </c>
      <c r="F1394" s="21" t="s">
        <v>57</v>
      </c>
      <c r="G1394" s="23" t="n">
        <v>42.8</v>
      </c>
      <c r="H1394" s="23" t="n">
        <v>20.04</v>
      </c>
      <c r="I1394" s="21" t="s">
        <v>50</v>
      </c>
      <c r="J1394" s="21" t="n">
        <v>5</v>
      </c>
      <c r="K1394" s="21" t="s">
        <v>46</v>
      </c>
      <c r="L1394" s="24" t="n">
        <f aca="false">DATE(YEAR(C1394),MONTH(C1394),1)</f>
        <v>43221</v>
      </c>
      <c r="M1394" s="21" t="n">
        <f aca="false">D1394-C1394</f>
        <v>9</v>
      </c>
      <c r="N1394" s="21" t="n">
        <f aca="false">MAX(0,D1394-E1394)</f>
        <v>0</v>
      </c>
      <c r="O1394" s="21" t="n">
        <f aca="false">IF(D1394&lt;=E1394,1,0)</f>
        <v>1</v>
      </c>
      <c r="P1394" s="23" t="n">
        <f aca="false">G1394+H1394</f>
        <v>62.84</v>
      </c>
      <c r="Q1394" s="23" t="n">
        <f aca="false">G1394*INDEX(Assumptions!$B$8:$B$16,MATCH(F1394,Assumptions!$A$8:$A$16,0))</f>
        <v>29.104</v>
      </c>
      <c r="R1394" s="23" t="n">
        <f aca="false">H1394*Assumptions!$B$3</f>
        <v>12.024</v>
      </c>
      <c r="S1394" s="23" t="n">
        <f aca="false">G1394-Q1394-R1394</f>
        <v>1.672</v>
      </c>
      <c r="T1394" s="21" t="str">
        <f aca="false">IF(M1394&lt;=7,"0-7 days",IF(M1394&lt;=14,"8-14 days",IF(M1394&lt;=21,"15-21 days","22+ days")))</f>
        <v>8-14 days</v>
      </c>
    </row>
    <row r="1395" customFormat="false" ht="15" hidden="false" customHeight="false" outlineLevel="0" collapsed="false">
      <c r="A1395" s="21" t="s">
        <v>1461</v>
      </c>
      <c r="B1395" s="21" t="s">
        <v>19</v>
      </c>
      <c r="C1395" s="22" t="n">
        <v>43228</v>
      </c>
      <c r="D1395" s="22" t="n">
        <v>43235</v>
      </c>
      <c r="E1395" s="22" t="n">
        <v>43240</v>
      </c>
      <c r="F1395" s="21" t="s">
        <v>111</v>
      </c>
      <c r="G1395" s="23" t="n">
        <v>133.3</v>
      </c>
      <c r="H1395" s="23" t="n">
        <v>16.69</v>
      </c>
      <c r="I1395" s="21" t="s">
        <v>45</v>
      </c>
      <c r="J1395" s="21" t="n">
        <v>3</v>
      </c>
      <c r="K1395" s="21" t="s">
        <v>46</v>
      </c>
      <c r="L1395" s="24" t="n">
        <f aca="false">DATE(YEAR(C1395),MONTH(C1395),1)</f>
        <v>43221</v>
      </c>
      <c r="M1395" s="21" t="n">
        <f aca="false">D1395-C1395</f>
        <v>7</v>
      </c>
      <c r="N1395" s="21" t="n">
        <f aca="false">MAX(0,D1395-E1395)</f>
        <v>0</v>
      </c>
      <c r="O1395" s="21" t="n">
        <f aca="false">IF(D1395&lt;=E1395,1,0)</f>
        <v>1</v>
      </c>
      <c r="P1395" s="23" t="n">
        <f aca="false">G1395+H1395</f>
        <v>149.99</v>
      </c>
      <c r="Q1395" s="23" t="n">
        <f aca="false">G1395*INDEX(Assumptions!$B$8:$B$16,MATCH(F1395,Assumptions!$A$8:$A$16,0))</f>
        <v>83.979</v>
      </c>
      <c r="R1395" s="23" t="n">
        <f aca="false">H1395*Assumptions!$B$3</f>
        <v>10.014</v>
      </c>
      <c r="S1395" s="23" t="n">
        <f aca="false">G1395-Q1395-R1395</f>
        <v>39.307</v>
      </c>
      <c r="T1395" s="21" t="str">
        <f aca="false">IF(M1395&lt;=7,"0-7 days",IF(M1395&lt;=14,"8-14 days",IF(M1395&lt;=21,"15-21 days","22+ days")))</f>
        <v>0-7 days</v>
      </c>
    </row>
    <row r="1396" customFormat="false" ht="15" hidden="false" customHeight="false" outlineLevel="0" collapsed="false">
      <c r="A1396" s="21" t="s">
        <v>1462</v>
      </c>
      <c r="B1396" s="21" t="s">
        <v>19</v>
      </c>
      <c r="C1396" s="22" t="n">
        <v>43228</v>
      </c>
      <c r="D1396" s="22" t="n">
        <v>43239</v>
      </c>
      <c r="E1396" s="22" t="n">
        <v>43239</v>
      </c>
      <c r="F1396" s="21" t="s">
        <v>59</v>
      </c>
      <c r="G1396" s="23" t="n">
        <v>71.73</v>
      </c>
      <c r="H1396" s="23" t="n">
        <v>18.84</v>
      </c>
      <c r="I1396" s="21" t="s">
        <v>45</v>
      </c>
      <c r="J1396" s="21" t="n">
        <v>5</v>
      </c>
      <c r="K1396" s="21" t="s">
        <v>46</v>
      </c>
      <c r="L1396" s="24" t="n">
        <f aca="false">DATE(YEAR(C1396),MONTH(C1396),1)</f>
        <v>43221</v>
      </c>
      <c r="M1396" s="21" t="n">
        <f aca="false">D1396-C1396</f>
        <v>11</v>
      </c>
      <c r="N1396" s="21" t="n">
        <f aca="false">MAX(0,D1396-E1396)</f>
        <v>0</v>
      </c>
      <c r="O1396" s="21" t="n">
        <f aca="false">IF(D1396&lt;=E1396,1,0)</f>
        <v>1</v>
      </c>
      <c r="P1396" s="23" t="n">
        <f aca="false">G1396+H1396</f>
        <v>90.57</v>
      </c>
      <c r="Q1396" s="23" t="n">
        <f aca="false">G1396*INDEX(Assumptions!$B$8:$B$16,MATCH(F1396,Assumptions!$A$8:$A$16,0))</f>
        <v>45.9072</v>
      </c>
      <c r="R1396" s="23" t="n">
        <f aca="false">H1396*Assumptions!$B$3</f>
        <v>11.304</v>
      </c>
      <c r="S1396" s="23" t="n">
        <f aca="false">G1396-Q1396-R1396</f>
        <v>14.5188</v>
      </c>
      <c r="T1396" s="21" t="str">
        <f aca="false">IF(M1396&lt;=7,"0-7 days",IF(M1396&lt;=14,"8-14 days",IF(M1396&lt;=21,"15-21 days","22+ days")))</f>
        <v>8-14 days</v>
      </c>
    </row>
    <row r="1397" customFormat="false" ht="15" hidden="false" customHeight="false" outlineLevel="0" collapsed="false">
      <c r="A1397" s="21" t="s">
        <v>1463</v>
      </c>
      <c r="B1397" s="21" t="s">
        <v>19</v>
      </c>
      <c r="C1397" s="22" t="n">
        <v>43228</v>
      </c>
      <c r="D1397" s="22" t="n">
        <v>43231</v>
      </c>
      <c r="E1397" s="22" t="n">
        <v>43241</v>
      </c>
      <c r="F1397" s="21" t="s">
        <v>67</v>
      </c>
      <c r="G1397" s="23" t="n">
        <v>59.2</v>
      </c>
      <c r="H1397" s="23" t="n">
        <v>16.95</v>
      </c>
      <c r="I1397" s="21" t="s">
        <v>45</v>
      </c>
      <c r="J1397" s="21" t="n">
        <v>5</v>
      </c>
      <c r="K1397" s="21" t="s">
        <v>46</v>
      </c>
      <c r="L1397" s="24" t="n">
        <f aca="false">DATE(YEAR(C1397),MONTH(C1397),1)</f>
        <v>43221</v>
      </c>
      <c r="M1397" s="21" t="n">
        <f aca="false">D1397-C1397</f>
        <v>3</v>
      </c>
      <c r="N1397" s="21" t="n">
        <f aca="false">MAX(0,D1397-E1397)</f>
        <v>0</v>
      </c>
      <c r="O1397" s="21" t="n">
        <f aca="false">IF(D1397&lt;=E1397,1,0)</f>
        <v>1</v>
      </c>
      <c r="P1397" s="23" t="n">
        <f aca="false">G1397+H1397</f>
        <v>76.15</v>
      </c>
      <c r="Q1397" s="23" t="n">
        <f aca="false">G1397*INDEX(Assumptions!$B$8:$B$16,MATCH(F1397,Assumptions!$A$8:$A$16,0))</f>
        <v>36.704</v>
      </c>
      <c r="R1397" s="23" t="n">
        <f aca="false">H1397*Assumptions!$B$3</f>
        <v>10.17</v>
      </c>
      <c r="S1397" s="23" t="n">
        <f aca="false">G1397-Q1397-R1397</f>
        <v>12.326</v>
      </c>
      <c r="T1397" s="21" t="str">
        <f aca="false">IF(M1397&lt;=7,"0-7 days",IF(M1397&lt;=14,"8-14 days",IF(M1397&lt;=21,"15-21 days","22+ days")))</f>
        <v>0-7 days</v>
      </c>
    </row>
    <row r="1398" customFormat="false" ht="15" hidden="false" customHeight="false" outlineLevel="0" collapsed="false">
      <c r="A1398" s="21" t="s">
        <v>1464</v>
      </c>
      <c r="B1398" s="21" t="s">
        <v>77</v>
      </c>
      <c r="C1398" s="22" t="n">
        <v>43228</v>
      </c>
      <c r="D1398" s="22" t="n">
        <v>43240</v>
      </c>
      <c r="E1398" s="22" t="n">
        <v>43251</v>
      </c>
      <c r="F1398" s="21" t="s">
        <v>59</v>
      </c>
      <c r="G1398" s="23" t="n">
        <v>46.34</v>
      </c>
      <c r="H1398" s="23" t="n">
        <v>17.03</v>
      </c>
      <c r="I1398" s="21" t="s">
        <v>45</v>
      </c>
      <c r="J1398" s="21" t="n">
        <v>4</v>
      </c>
      <c r="K1398" s="21" t="s">
        <v>46</v>
      </c>
      <c r="L1398" s="24" t="n">
        <f aca="false">DATE(YEAR(C1398),MONTH(C1398),1)</f>
        <v>43221</v>
      </c>
      <c r="M1398" s="21" t="n">
        <f aca="false">D1398-C1398</f>
        <v>12</v>
      </c>
      <c r="N1398" s="21" t="n">
        <f aca="false">MAX(0,D1398-E1398)</f>
        <v>0</v>
      </c>
      <c r="O1398" s="21" t="n">
        <f aca="false">IF(D1398&lt;=E1398,1,0)</f>
        <v>1</v>
      </c>
      <c r="P1398" s="23" t="n">
        <f aca="false">G1398+H1398</f>
        <v>63.37</v>
      </c>
      <c r="Q1398" s="23" t="n">
        <f aca="false">G1398*INDEX(Assumptions!$B$8:$B$16,MATCH(F1398,Assumptions!$A$8:$A$16,0))</f>
        <v>29.6576</v>
      </c>
      <c r="R1398" s="23" t="n">
        <f aca="false">H1398*Assumptions!$B$3</f>
        <v>10.218</v>
      </c>
      <c r="S1398" s="23" t="n">
        <f aca="false">G1398-Q1398-R1398</f>
        <v>6.4644</v>
      </c>
      <c r="T1398" s="21" t="str">
        <f aca="false">IF(M1398&lt;=7,"0-7 days",IF(M1398&lt;=14,"8-14 days",IF(M1398&lt;=21,"15-21 days","22+ days")))</f>
        <v>8-14 days</v>
      </c>
    </row>
    <row r="1399" customFormat="false" ht="15" hidden="false" customHeight="false" outlineLevel="0" collapsed="false">
      <c r="A1399" s="21" t="s">
        <v>1465</v>
      </c>
      <c r="B1399" s="21" t="s">
        <v>174</v>
      </c>
      <c r="C1399" s="22" t="n">
        <v>43228</v>
      </c>
      <c r="D1399" s="22" t="n">
        <v>43254</v>
      </c>
      <c r="E1399" s="22" t="n">
        <v>43258</v>
      </c>
      <c r="F1399" s="21" t="s">
        <v>59</v>
      </c>
      <c r="G1399" s="23" t="n">
        <v>99.32</v>
      </c>
      <c r="H1399" s="23" t="n">
        <v>47.09</v>
      </c>
      <c r="I1399" s="21" t="s">
        <v>60</v>
      </c>
      <c r="J1399" s="21" t="n">
        <v>4</v>
      </c>
      <c r="K1399" s="21" t="s">
        <v>46</v>
      </c>
      <c r="L1399" s="24" t="n">
        <f aca="false">DATE(YEAR(C1399),MONTH(C1399),1)</f>
        <v>43221</v>
      </c>
      <c r="M1399" s="21" t="n">
        <f aca="false">D1399-C1399</f>
        <v>26</v>
      </c>
      <c r="N1399" s="21" t="n">
        <f aca="false">MAX(0,D1399-E1399)</f>
        <v>0</v>
      </c>
      <c r="O1399" s="21" t="n">
        <f aca="false">IF(D1399&lt;=E1399,1,0)</f>
        <v>1</v>
      </c>
      <c r="P1399" s="23" t="n">
        <f aca="false">G1399+H1399</f>
        <v>146.41</v>
      </c>
      <c r="Q1399" s="23" t="n">
        <f aca="false">G1399*INDEX(Assumptions!$B$8:$B$16,MATCH(F1399,Assumptions!$A$8:$A$16,0))</f>
        <v>63.5648</v>
      </c>
      <c r="R1399" s="23" t="n">
        <f aca="false">H1399*Assumptions!$B$3</f>
        <v>28.254</v>
      </c>
      <c r="S1399" s="23" t="n">
        <f aca="false">G1399-Q1399-R1399</f>
        <v>7.50119999999999</v>
      </c>
      <c r="T1399" s="21" t="str">
        <f aca="false">IF(M1399&lt;=7,"0-7 days",IF(M1399&lt;=14,"8-14 days",IF(M1399&lt;=21,"15-21 days","22+ days")))</f>
        <v>22+ days</v>
      </c>
    </row>
    <row r="1400" customFormat="false" ht="15" hidden="false" customHeight="false" outlineLevel="0" collapsed="false">
      <c r="A1400" s="21" t="s">
        <v>1466</v>
      </c>
      <c r="B1400" s="21" t="s">
        <v>55</v>
      </c>
      <c r="C1400" s="22" t="n">
        <v>43228</v>
      </c>
      <c r="D1400" s="22" t="n">
        <v>43239</v>
      </c>
      <c r="E1400" s="22" t="n">
        <v>43254</v>
      </c>
      <c r="F1400" s="21" t="s">
        <v>67</v>
      </c>
      <c r="G1400" s="23" t="n">
        <v>38.03</v>
      </c>
      <c r="H1400" s="23" t="n">
        <v>29.32</v>
      </c>
      <c r="I1400" s="21" t="s">
        <v>60</v>
      </c>
      <c r="J1400" s="21" t="n">
        <v>5</v>
      </c>
      <c r="K1400" s="21" t="s">
        <v>46</v>
      </c>
      <c r="L1400" s="24" t="n">
        <f aca="false">DATE(YEAR(C1400),MONTH(C1400),1)</f>
        <v>43221</v>
      </c>
      <c r="M1400" s="21" t="n">
        <f aca="false">D1400-C1400</f>
        <v>11</v>
      </c>
      <c r="N1400" s="21" t="n">
        <f aca="false">MAX(0,D1400-E1400)</f>
        <v>0</v>
      </c>
      <c r="O1400" s="21" t="n">
        <f aca="false">IF(D1400&lt;=E1400,1,0)</f>
        <v>1</v>
      </c>
      <c r="P1400" s="23" t="n">
        <f aca="false">G1400+H1400</f>
        <v>67.35</v>
      </c>
      <c r="Q1400" s="23" t="n">
        <f aca="false">G1400*INDEX(Assumptions!$B$8:$B$16,MATCH(F1400,Assumptions!$A$8:$A$16,0))</f>
        <v>23.5786</v>
      </c>
      <c r="R1400" s="23" t="n">
        <f aca="false">H1400*Assumptions!$B$3</f>
        <v>17.592</v>
      </c>
      <c r="S1400" s="23" t="n">
        <f aca="false">G1400-Q1400-R1400</f>
        <v>-3.1406</v>
      </c>
      <c r="T1400" s="21" t="str">
        <f aca="false">IF(M1400&lt;=7,"0-7 days",IF(M1400&lt;=14,"8-14 days",IF(M1400&lt;=21,"15-21 days","22+ days")))</f>
        <v>8-14 days</v>
      </c>
    </row>
    <row r="1401" customFormat="false" ht="15" hidden="false" customHeight="false" outlineLevel="0" collapsed="false">
      <c r="A1401" s="21" t="s">
        <v>1467</v>
      </c>
      <c r="B1401" s="21" t="s">
        <v>19</v>
      </c>
      <c r="C1401" s="22" t="n">
        <v>43228</v>
      </c>
      <c r="D1401" s="22" t="n">
        <v>43241</v>
      </c>
      <c r="E1401" s="22" t="n">
        <v>43244</v>
      </c>
      <c r="F1401" s="21" t="s">
        <v>57</v>
      </c>
      <c r="G1401" s="23" t="n">
        <v>121.77</v>
      </c>
      <c r="H1401" s="23" t="n">
        <v>20.47</v>
      </c>
      <c r="I1401" s="21" t="s">
        <v>45</v>
      </c>
      <c r="J1401" s="21" t="n">
        <v>5</v>
      </c>
      <c r="K1401" s="21" t="s">
        <v>46</v>
      </c>
      <c r="L1401" s="24" t="n">
        <f aca="false">DATE(YEAR(C1401),MONTH(C1401),1)</f>
        <v>43221</v>
      </c>
      <c r="M1401" s="21" t="n">
        <f aca="false">D1401-C1401</f>
        <v>13</v>
      </c>
      <c r="N1401" s="21" t="n">
        <f aca="false">MAX(0,D1401-E1401)</f>
        <v>0</v>
      </c>
      <c r="O1401" s="21" t="n">
        <f aca="false">IF(D1401&lt;=E1401,1,0)</f>
        <v>1</v>
      </c>
      <c r="P1401" s="23" t="n">
        <f aca="false">G1401+H1401</f>
        <v>142.24</v>
      </c>
      <c r="Q1401" s="23" t="n">
        <f aca="false">G1401*INDEX(Assumptions!$B$8:$B$16,MATCH(F1401,Assumptions!$A$8:$A$16,0))</f>
        <v>82.8036</v>
      </c>
      <c r="R1401" s="23" t="n">
        <f aca="false">H1401*Assumptions!$B$3</f>
        <v>12.282</v>
      </c>
      <c r="S1401" s="23" t="n">
        <f aca="false">G1401-Q1401-R1401</f>
        <v>26.6844</v>
      </c>
      <c r="T1401" s="21" t="str">
        <f aca="false">IF(M1401&lt;=7,"0-7 days",IF(M1401&lt;=14,"8-14 days",IF(M1401&lt;=21,"15-21 days","22+ days")))</f>
        <v>8-14 days</v>
      </c>
    </row>
    <row r="1402" customFormat="false" ht="15" hidden="false" customHeight="false" outlineLevel="0" collapsed="false">
      <c r="A1402" s="21" t="s">
        <v>1468</v>
      </c>
      <c r="B1402" s="21" t="s">
        <v>103</v>
      </c>
      <c r="C1402" s="22" t="n">
        <v>43228</v>
      </c>
      <c r="D1402" s="22" t="n">
        <v>43249</v>
      </c>
      <c r="E1402" s="22" t="n">
        <v>43249</v>
      </c>
      <c r="F1402" s="21" t="s">
        <v>49</v>
      </c>
      <c r="G1402" s="23" t="n">
        <v>142.7</v>
      </c>
      <c r="H1402" s="23" t="n">
        <v>26.89</v>
      </c>
      <c r="I1402" s="21" t="s">
        <v>60</v>
      </c>
      <c r="J1402" s="21" t="n">
        <v>3</v>
      </c>
      <c r="K1402" s="21" t="s">
        <v>46</v>
      </c>
      <c r="L1402" s="24" t="n">
        <f aca="false">DATE(YEAR(C1402),MONTH(C1402),1)</f>
        <v>43221</v>
      </c>
      <c r="M1402" s="21" t="n">
        <f aca="false">D1402-C1402</f>
        <v>21</v>
      </c>
      <c r="N1402" s="21" t="n">
        <f aca="false">MAX(0,D1402-E1402)</f>
        <v>0</v>
      </c>
      <c r="O1402" s="21" t="n">
        <f aca="false">IF(D1402&lt;=E1402,1,0)</f>
        <v>1</v>
      </c>
      <c r="P1402" s="23" t="n">
        <f aca="false">G1402+H1402</f>
        <v>169.59</v>
      </c>
      <c r="Q1402" s="23" t="n">
        <f aca="false">G1402*INDEX(Assumptions!$B$8:$B$16,MATCH(F1402,Assumptions!$A$8:$A$16,0))</f>
        <v>82.766</v>
      </c>
      <c r="R1402" s="23" t="n">
        <f aca="false">H1402*Assumptions!$B$3</f>
        <v>16.134</v>
      </c>
      <c r="S1402" s="23" t="n">
        <f aca="false">G1402-Q1402-R1402</f>
        <v>43.8</v>
      </c>
      <c r="T1402" s="21" t="str">
        <f aca="false">IF(M1402&lt;=7,"0-7 days",IF(M1402&lt;=14,"8-14 days",IF(M1402&lt;=21,"15-21 days","22+ days")))</f>
        <v>15-21 days</v>
      </c>
    </row>
    <row r="1403" customFormat="false" ht="15" hidden="false" customHeight="false" outlineLevel="0" collapsed="false">
      <c r="A1403" s="21" t="s">
        <v>1469</v>
      </c>
      <c r="B1403" s="21" t="s">
        <v>55</v>
      </c>
      <c r="C1403" s="22" t="n">
        <v>43229</v>
      </c>
      <c r="D1403" s="22" t="n">
        <v>43243</v>
      </c>
      <c r="E1403" s="22" t="n">
        <v>43250</v>
      </c>
      <c r="F1403" s="21" t="s">
        <v>59</v>
      </c>
      <c r="G1403" s="23" t="n">
        <v>163.59</v>
      </c>
      <c r="H1403" s="23" t="n">
        <v>30.14</v>
      </c>
      <c r="I1403" s="21" t="s">
        <v>60</v>
      </c>
      <c r="J1403" s="21" t="n">
        <v>4</v>
      </c>
      <c r="K1403" s="21" t="s">
        <v>46</v>
      </c>
      <c r="L1403" s="24" t="n">
        <f aca="false">DATE(YEAR(C1403),MONTH(C1403),1)</f>
        <v>43221</v>
      </c>
      <c r="M1403" s="21" t="n">
        <f aca="false">D1403-C1403</f>
        <v>14</v>
      </c>
      <c r="N1403" s="21" t="n">
        <f aca="false">MAX(0,D1403-E1403)</f>
        <v>0</v>
      </c>
      <c r="O1403" s="21" t="n">
        <f aca="false">IF(D1403&lt;=E1403,1,0)</f>
        <v>1</v>
      </c>
      <c r="P1403" s="23" t="n">
        <f aca="false">G1403+H1403</f>
        <v>193.73</v>
      </c>
      <c r="Q1403" s="23" t="n">
        <f aca="false">G1403*INDEX(Assumptions!$B$8:$B$16,MATCH(F1403,Assumptions!$A$8:$A$16,0))</f>
        <v>104.6976</v>
      </c>
      <c r="R1403" s="23" t="n">
        <f aca="false">H1403*Assumptions!$B$3</f>
        <v>18.084</v>
      </c>
      <c r="S1403" s="23" t="n">
        <f aca="false">G1403-Q1403-R1403</f>
        <v>40.8084</v>
      </c>
      <c r="T1403" s="21" t="str">
        <f aca="false">IF(M1403&lt;=7,"0-7 days",IF(M1403&lt;=14,"8-14 days",IF(M1403&lt;=21,"15-21 days","22+ days")))</f>
        <v>8-14 days</v>
      </c>
    </row>
    <row r="1404" customFormat="false" ht="15" hidden="false" customHeight="false" outlineLevel="0" collapsed="false">
      <c r="A1404" s="21" t="s">
        <v>1470</v>
      </c>
      <c r="B1404" s="21" t="s">
        <v>55</v>
      </c>
      <c r="C1404" s="22" t="n">
        <v>43229</v>
      </c>
      <c r="D1404" s="22" t="n">
        <v>43249</v>
      </c>
      <c r="E1404" s="22" t="n">
        <v>43252</v>
      </c>
      <c r="F1404" s="21" t="s">
        <v>67</v>
      </c>
      <c r="G1404" s="23" t="n">
        <v>53.48</v>
      </c>
      <c r="H1404" s="23" t="n">
        <v>25.62</v>
      </c>
      <c r="I1404" s="21" t="s">
        <v>45</v>
      </c>
      <c r="J1404" s="21" t="n">
        <v>4</v>
      </c>
      <c r="K1404" s="21" t="s">
        <v>46</v>
      </c>
      <c r="L1404" s="24" t="n">
        <f aca="false">DATE(YEAR(C1404),MONTH(C1404),1)</f>
        <v>43221</v>
      </c>
      <c r="M1404" s="21" t="n">
        <f aca="false">D1404-C1404</f>
        <v>20</v>
      </c>
      <c r="N1404" s="21" t="n">
        <f aca="false">MAX(0,D1404-E1404)</f>
        <v>0</v>
      </c>
      <c r="O1404" s="21" t="n">
        <f aca="false">IF(D1404&lt;=E1404,1,0)</f>
        <v>1</v>
      </c>
      <c r="P1404" s="23" t="n">
        <f aca="false">G1404+H1404</f>
        <v>79.1</v>
      </c>
      <c r="Q1404" s="23" t="n">
        <f aca="false">G1404*INDEX(Assumptions!$B$8:$B$16,MATCH(F1404,Assumptions!$A$8:$A$16,0))</f>
        <v>33.1576</v>
      </c>
      <c r="R1404" s="23" t="n">
        <f aca="false">H1404*Assumptions!$B$3</f>
        <v>15.372</v>
      </c>
      <c r="S1404" s="23" t="n">
        <f aca="false">G1404-Q1404-R1404</f>
        <v>4.9504</v>
      </c>
      <c r="T1404" s="21" t="str">
        <f aca="false">IF(M1404&lt;=7,"0-7 days",IF(M1404&lt;=14,"8-14 days",IF(M1404&lt;=21,"15-21 days","22+ days")))</f>
        <v>15-21 days</v>
      </c>
    </row>
    <row r="1405" customFormat="false" ht="15" hidden="false" customHeight="false" outlineLevel="0" collapsed="false">
      <c r="A1405" s="21" t="s">
        <v>1471</v>
      </c>
      <c r="B1405" s="21" t="s">
        <v>62</v>
      </c>
      <c r="C1405" s="22" t="n">
        <v>43229</v>
      </c>
      <c r="D1405" s="22" t="n">
        <v>43262</v>
      </c>
      <c r="E1405" s="22" t="n">
        <v>43251</v>
      </c>
      <c r="F1405" s="21" t="s">
        <v>79</v>
      </c>
      <c r="G1405" s="23" t="n">
        <v>197.57</v>
      </c>
      <c r="H1405" s="23" t="n">
        <v>25.87</v>
      </c>
      <c r="I1405" s="21" t="s">
        <v>60</v>
      </c>
      <c r="J1405" s="21" t="n">
        <v>3</v>
      </c>
      <c r="K1405" s="21" t="s">
        <v>46</v>
      </c>
      <c r="L1405" s="24" t="n">
        <f aca="false">DATE(YEAR(C1405),MONTH(C1405),1)</f>
        <v>43221</v>
      </c>
      <c r="M1405" s="21" t="n">
        <f aca="false">D1405-C1405</f>
        <v>33</v>
      </c>
      <c r="N1405" s="21" t="n">
        <f aca="false">MAX(0,D1405-E1405)</f>
        <v>11</v>
      </c>
      <c r="O1405" s="21" t="n">
        <f aca="false">IF(D1405&lt;=E1405,1,0)</f>
        <v>0</v>
      </c>
      <c r="P1405" s="23" t="n">
        <f aca="false">G1405+H1405</f>
        <v>223.44</v>
      </c>
      <c r="Q1405" s="23" t="n">
        <f aca="false">G1405*INDEX(Assumptions!$B$8:$B$16,MATCH(F1405,Assumptions!$A$8:$A$16,0))</f>
        <v>138.299</v>
      </c>
      <c r="R1405" s="23" t="n">
        <f aca="false">H1405*Assumptions!$B$3</f>
        <v>15.522</v>
      </c>
      <c r="S1405" s="23" t="n">
        <f aca="false">G1405-Q1405-R1405</f>
        <v>43.749</v>
      </c>
      <c r="T1405" s="21" t="str">
        <f aca="false">IF(M1405&lt;=7,"0-7 days",IF(M1405&lt;=14,"8-14 days",IF(M1405&lt;=21,"15-21 days","22+ days")))</f>
        <v>22+ days</v>
      </c>
    </row>
    <row r="1406" customFormat="false" ht="15" hidden="false" customHeight="false" outlineLevel="0" collapsed="false">
      <c r="A1406" s="21" t="s">
        <v>1472</v>
      </c>
      <c r="B1406" s="21" t="s">
        <v>134</v>
      </c>
      <c r="C1406" s="22" t="n">
        <v>43229</v>
      </c>
      <c r="D1406" s="22" t="n">
        <v>43239</v>
      </c>
      <c r="E1406" s="22" t="n">
        <v>43252</v>
      </c>
      <c r="F1406" s="21" t="s">
        <v>64</v>
      </c>
      <c r="G1406" s="23" t="n">
        <v>149.55</v>
      </c>
      <c r="H1406" s="23" t="n">
        <v>27.43</v>
      </c>
      <c r="I1406" s="21" t="s">
        <v>45</v>
      </c>
      <c r="J1406" s="21" t="n">
        <v>5</v>
      </c>
      <c r="K1406" s="21" t="s">
        <v>46</v>
      </c>
      <c r="L1406" s="24" t="n">
        <f aca="false">DATE(YEAR(C1406),MONTH(C1406),1)</f>
        <v>43221</v>
      </c>
      <c r="M1406" s="21" t="n">
        <f aca="false">D1406-C1406</f>
        <v>10</v>
      </c>
      <c r="N1406" s="21" t="n">
        <f aca="false">MAX(0,D1406-E1406)</f>
        <v>0</v>
      </c>
      <c r="O1406" s="21" t="n">
        <f aca="false">IF(D1406&lt;=E1406,1,0)</f>
        <v>1</v>
      </c>
      <c r="P1406" s="23" t="n">
        <f aca="false">G1406+H1406</f>
        <v>176.98</v>
      </c>
      <c r="Q1406" s="23" t="n">
        <f aca="false">G1406*INDEX(Assumptions!$B$8:$B$16,MATCH(F1406,Assumptions!$A$8:$A$16,0))</f>
        <v>98.703</v>
      </c>
      <c r="R1406" s="23" t="n">
        <f aca="false">H1406*Assumptions!$B$3</f>
        <v>16.458</v>
      </c>
      <c r="S1406" s="23" t="n">
        <f aca="false">G1406-Q1406-R1406</f>
        <v>34.389</v>
      </c>
      <c r="T1406" s="21" t="str">
        <f aca="false">IF(M1406&lt;=7,"0-7 days",IF(M1406&lt;=14,"8-14 days",IF(M1406&lt;=21,"15-21 days","22+ days")))</f>
        <v>8-14 days</v>
      </c>
    </row>
    <row r="1407" customFormat="false" ht="15" hidden="false" customHeight="false" outlineLevel="0" collapsed="false">
      <c r="A1407" s="21" t="s">
        <v>1473</v>
      </c>
      <c r="B1407" s="21" t="s">
        <v>48</v>
      </c>
      <c r="C1407" s="22" t="n">
        <v>43229</v>
      </c>
      <c r="D1407" s="22" t="n">
        <v>43254</v>
      </c>
      <c r="E1407" s="22" t="n">
        <v>43250</v>
      </c>
      <c r="F1407" s="21" t="s">
        <v>59</v>
      </c>
      <c r="G1407" s="23" t="n">
        <v>97.33</v>
      </c>
      <c r="H1407" s="23" t="n">
        <v>25.9</v>
      </c>
      <c r="I1407" s="21" t="s">
        <v>45</v>
      </c>
      <c r="J1407" s="21" t="n">
        <v>3</v>
      </c>
      <c r="K1407" s="21" t="s">
        <v>46</v>
      </c>
      <c r="L1407" s="24" t="n">
        <f aca="false">DATE(YEAR(C1407),MONTH(C1407),1)</f>
        <v>43221</v>
      </c>
      <c r="M1407" s="21" t="n">
        <f aca="false">D1407-C1407</f>
        <v>25</v>
      </c>
      <c r="N1407" s="21" t="n">
        <f aca="false">MAX(0,D1407-E1407)</f>
        <v>4</v>
      </c>
      <c r="O1407" s="21" t="n">
        <f aca="false">IF(D1407&lt;=E1407,1,0)</f>
        <v>0</v>
      </c>
      <c r="P1407" s="23" t="n">
        <f aca="false">G1407+H1407</f>
        <v>123.23</v>
      </c>
      <c r="Q1407" s="23" t="n">
        <f aca="false">G1407*INDEX(Assumptions!$B$8:$B$16,MATCH(F1407,Assumptions!$A$8:$A$16,0))</f>
        <v>62.2912</v>
      </c>
      <c r="R1407" s="23" t="n">
        <f aca="false">H1407*Assumptions!$B$3</f>
        <v>15.54</v>
      </c>
      <c r="S1407" s="23" t="n">
        <f aca="false">G1407-Q1407-R1407</f>
        <v>19.4988</v>
      </c>
      <c r="T1407" s="21" t="str">
        <f aca="false">IF(M1407&lt;=7,"0-7 days",IF(M1407&lt;=14,"8-14 days",IF(M1407&lt;=21,"15-21 days","22+ days")))</f>
        <v>22+ days</v>
      </c>
    </row>
    <row r="1408" customFormat="false" ht="15" hidden="false" customHeight="false" outlineLevel="0" collapsed="false">
      <c r="A1408" s="21" t="s">
        <v>1474</v>
      </c>
      <c r="B1408" s="21" t="s">
        <v>55</v>
      </c>
      <c r="C1408" s="22" t="n">
        <v>43230</v>
      </c>
      <c r="D1408" s="22" t="n">
        <v>43239</v>
      </c>
      <c r="E1408" s="22" t="n">
        <v>43254</v>
      </c>
      <c r="F1408" s="21" t="s">
        <v>67</v>
      </c>
      <c r="G1408" s="23" t="n">
        <v>55.37</v>
      </c>
      <c r="H1408" s="23" t="n">
        <v>24.05</v>
      </c>
      <c r="I1408" s="21" t="s">
        <v>45</v>
      </c>
      <c r="J1408" s="21" t="n">
        <v>5</v>
      </c>
      <c r="K1408" s="21" t="s">
        <v>46</v>
      </c>
      <c r="L1408" s="24" t="n">
        <f aca="false">DATE(YEAR(C1408),MONTH(C1408),1)</f>
        <v>43221</v>
      </c>
      <c r="M1408" s="21" t="n">
        <f aca="false">D1408-C1408</f>
        <v>9</v>
      </c>
      <c r="N1408" s="21" t="n">
        <f aca="false">MAX(0,D1408-E1408)</f>
        <v>0</v>
      </c>
      <c r="O1408" s="21" t="n">
        <f aca="false">IF(D1408&lt;=E1408,1,0)</f>
        <v>1</v>
      </c>
      <c r="P1408" s="23" t="n">
        <f aca="false">G1408+H1408</f>
        <v>79.42</v>
      </c>
      <c r="Q1408" s="23" t="n">
        <f aca="false">G1408*INDEX(Assumptions!$B$8:$B$16,MATCH(F1408,Assumptions!$A$8:$A$16,0))</f>
        <v>34.3294</v>
      </c>
      <c r="R1408" s="23" t="n">
        <f aca="false">H1408*Assumptions!$B$3</f>
        <v>14.43</v>
      </c>
      <c r="S1408" s="23" t="n">
        <f aca="false">G1408-Q1408-R1408</f>
        <v>6.6106</v>
      </c>
      <c r="T1408" s="21" t="str">
        <f aca="false">IF(M1408&lt;=7,"0-7 days",IF(M1408&lt;=14,"8-14 days",IF(M1408&lt;=21,"15-21 days","22+ days")))</f>
        <v>8-14 days</v>
      </c>
    </row>
    <row r="1409" customFormat="false" ht="15" hidden="false" customHeight="false" outlineLevel="0" collapsed="false">
      <c r="A1409" s="21" t="s">
        <v>1475</v>
      </c>
      <c r="B1409" s="21" t="s">
        <v>52</v>
      </c>
      <c r="C1409" s="22" t="n">
        <v>43230</v>
      </c>
      <c r="D1409" s="22" t="n">
        <v>43240</v>
      </c>
      <c r="E1409" s="22" t="n">
        <v>43256</v>
      </c>
      <c r="F1409" s="21" t="s">
        <v>49</v>
      </c>
      <c r="G1409" s="23" t="n">
        <v>108.95</v>
      </c>
      <c r="H1409" s="23" t="n">
        <v>23.5</v>
      </c>
      <c r="I1409" s="21" t="s">
        <v>45</v>
      </c>
      <c r="J1409" s="21" t="n">
        <v>4</v>
      </c>
      <c r="K1409" s="21" t="s">
        <v>46</v>
      </c>
      <c r="L1409" s="24" t="n">
        <f aca="false">DATE(YEAR(C1409),MONTH(C1409),1)</f>
        <v>43221</v>
      </c>
      <c r="M1409" s="21" t="n">
        <f aca="false">D1409-C1409</f>
        <v>10</v>
      </c>
      <c r="N1409" s="21" t="n">
        <f aca="false">MAX(0,D1409-E1409)</f>
        <v>0</v>
      </c>
      <c r="O1409" s="21" t="n">
        <f aca="false">IF(D1409&lt;=E1409,1,0)</f>
        <v>1</v>
      </c>
      <c r="P1409" s="23" t="n">
        <f aca="false">G1409+H1409</f>
        <v>132.45</v>
      </c>
      <c r="Q1409" s="23" t="n">
        <f aca="false">G1409*INDEX(Assumptions!$B$8:$B$16,MATCH(F1409,Assumptions!$A$8:$A$16,0))</f>
        <v>63.191</v>
      </c>
      <c r="R1409" s="23" t="n">
        <f aca="false">H1409*Assumptions!$B$3</f>
        <v>14.1</v>
      </c>
      <c r="S1409" s="23" t="n">
        <f aca="false">G1409-Q1409-R1409</f>
        <v>31.659</v>
      </c>
      <c r="T1409" s="21" t="str">
        <f aca="false">IF(M1409&lt;=7,"0-7 days",IF(M1409&lt;=14,"8-14 days",IF(M1409&lt;=21,"15-21 days","22+ days")))</f>
        <v>8-14 days</v>
      </c>
    </row>
    <row r="1410" customFormat="false" ht="15" hidden="false" customHeight="false" outlineLevel="0" collapsed="false">
      <c r="A1410" s="21" t="s">
        <v>1476</v>
      </c>
      <c r="B1410" s="21" t="s">
        <v>19</v>
      </c>
      <c r="C1410" s="22" t="n">
        <v>43230</v>
      </c>
      <c r="D1410" s="22" t="n">
        <v>43239</v>
      </c>
      <c r="E1410" s="22" t="n">
        <v>43247</v>
      </c>
      <c r="F1410" s="21" t="s">
        <v>67</v>
      </c>
      <c r="G1410" s="23" t="n">
        <v>129.96</v>
      </c>
      <c r="H1410" s="23" t="n">
        <v>21.55</v>
      </c>
      <c r="I1410" s="21" t="s">
        <v>45</v>
      </c>
      <c r="J1410" s="21" t="n">
        <v>4</v>
      </c>
      <c r="K1410" s="21" t="s">
        <v>46</v>
      </c>
      <c r="L1410" s="24" t="n">
        <f aca="false">DATE(YEAR(C1410),MONTH(C1410),1)</f>
        <v>43221</v>
      </c>
      <c r="M1410" s="21" t="n">
        <f aca="false">D1410-C1410</f>
        <v>9</v>
      </c>
      <c r="N1410" s="21" t="n">
        <f aca="false">MAX(0,D1410-E1410)</f>
        <v>0</v>
      </c>
      <c r="O1410" s="21" t="n">
        <f aca="false">IF(D1410&lt;=E1410,1,0)</f>
        <v>1</v>
      </c>
      <c r="P1410" s="23" t="n">
        <f aca="false">G1410+H1410</f>
        <v>151.51</v>
      </c>
      <c r="Q1410" s="23" t="n">
        <f aca="false">G1410*INDEX(Assumptions!$B$8:$B$16,MATCH(F1410,Assumptions!$A$8:$A$16,0))</f>
        <v>80.5752</v>
      </c>
      <c r="R1410" s="23" t="n">
        <f aca="false">H1410*Assumptions!$B$3</f>
        <v>12.93</v>
      </c>
      <c r="S1410" s="23" t="n">
        <f aca="false">G1410-Q1410-R1410</f>
        <v>36.4548</v>
      </c>
      <c r="T1410" s="21" t="str">
        <f aca="false">IF(M1410&lt;=7,"0-7 days",IF(M1410&lt;=14,"8-14 days",IF(M1410&lt;=21,"15-21 days","22+ days")))</f>
        <v>8-14 days</v>
      </c>
    </row>
    <row r="1411" customFormat="false" ht="15" hidden="false" customHeight="false" outlineLevel="0" collapsed="false">
      <c r="A1411" s="21" t="s">
        <v>1477</v>
      </c>
      <c r="B1411" s="21" t="s">
        <v>19</v>
      </c>
      <c r="C1411" s="22" t="n">
        <v>43230</v>
      </c>
      <c r="D1411" s="22" t="n">
        <v>43236</v>
      </c>
      <c r="E1411" s="22" t="n">
        <v>43249</v>
      </c>
      <c r="F1411" s="21" t="s">
        <v>67</v>
      </c>
      <c r="G1411" s="23" t="n">
        <v>82.87</v>
      </c>
      <c r="H1411" s="23" t="n">
        <v>15.46</v>
      </c>
      <c r="I1411" s="21" t="s">
        <v>45</v>
      </c>
      <c r="J1411" s="21" t="n">
        <v>3</v>
      </c>
      <c r="K1411" s="21" t="s">
        <v>46</v>
      </c>
      <c r="L1411" s="24" t="n">
        <f aca="false">DATE(YEAR(C1411),MONTH(C1411),1)</f>
        <v>43221</v>
      </c>
      <c r="M1411" s="21" t="n">
        <f aca="false">D1411-C1411</f>
        <v>6</v>
      </c>
      <c r="N1411" s="21" t="n">
        <f aca="false">MAX(0,D1411-E1411)</f>
        <v>0</v>
      </c>
      <c r="O1411" s="21" t="n">
        <f aca="false">IF(D1411&lt;=E1411,1,0)</f>
        <v>1</v>
      </c>
      <c r="P1411" s="23" t="n">
        <f aca="false">G1411+H1411</f>
        <v>98.33</v>
      </c>
      <c r="Q1411" s="23" t="n">
        <f aca="false">G1411*INDEX(Assumptions!$B$8:$B$16,MATCH(F1411,Assumptions!$A$8:$A$16,0))</f>
        <v>51.3794</v>
      </c>
      <c r="R1411" s="23" t="n">
        <f aca="false">H1411*Assumptions!$B$3</f>
        <v>9.276</v>
      </c>
      <c r="S1411" s="23" t="n">
        <f aca="false">G1411-Q1411-R1411</f>
        <v>22.2146</v>
      </c>
      <c r="T1411" s="21" t="str">
        <f aca="false">IF(M1411&lt;=7,"0-7 days",IF(M1411&lt;=14,"8-14 days",IF(M1411&lt;=21,"15-21 days","22+ days")))</f>
        <v>0-7 days</v>
      </c>
    </row>
    <row r="1412" customFormat="false" ht="15" hidden="false" customHeight="false" outlineLevel="0" collapsed="false">
      <c r="A1412" s="21" t="s">
        <v>1478</v>
      </c>
      <c r="B1412" s="21" t="s">
        <v>93</v>
      </c>
      <c r="C1412" s="22" t="n">
        <v>43230</v>
      </c>
      <c r="D1412" s="22" t="n">
        <v>43270</v>
      </c>
      <c r="E1412" s="22" t="n">
        <v>43261</v>
      </c>
      <c r="F1412" s="21" t="s">
        <v>59</v>
      </c>
      <c r="G1412" s="23" t="n">
        <v>99.08</v>
      </c>
      <c r="H1412" s="23" t="n">
        <v>22.45</v>
      </c>
      <c r="I1412" s="21" t="s">
        <v>45</v>
      </c>
      <c r="J1412" s="21" t="n">
        <v>3</v>
      </c>
      <c r="K1412" s="21" t="s">
        <v>46</v>
      </c>
      <c r="L1412" s="24" t="n">
        <f aca="false">DATE(YEAR(C1412),MONTH(C1412),1)</f>
        <v>43221</v>
      </c>
      <c r="M1412" s="21" t="n">
        <f aca="false">D1412-C1412</f>
        <v>40</v>
      </c>
      <c r="N1412" s="21" t="n">
        <f aca="false">MAX(0,D1412-E1412)</f>
        <v>9</v>
      </c>
      <c r="O1412" s="21" t="n">
        <f aca="false">IF(D1412&lt;=E1412,1,0)</f>
        <v>0</v>
      </c>
      <c r="P1412" s="23" t="n">
        <f aca="false">G1412+H1412</f>
        <v>121.53</v>
      </c>
      <c r="Q1412" s="23" t="n">
        <f aca="false">G1412*INDEX(Assumptions!$B$8:$B$16,MATCH(F1412,Assumptions!$A$8:$A$16,0))</f>
        <v>63.4112</v>
      </c>
      <c r="R1412" s="23" t="n">
        <f aca="false">H1412*Assumptions!$B$3</f>
        <v>13.47</v>
      </c>
      <c r="S1412" s="23" t="n">
        <f aca="false">G1412-Q1412-R1412</f>
        <v>22.1988</v>
      </c>
      <c r="T1412" s="21" t="str">
        <f aca="false">IF(M1412&lt;=7,"0-7 days",IF(M1412&lt;=14,"8-14 days",IF(M1412&lt;=21,"15-21 days","22+ days")))</f>
        <v>22+ days</v>
      </c>
    </row>
    <row r="1413" customFormat="false" ht="15" hidden="false" customHeight="false" outlineLevel="0" collapsed="false">
      <c r="A1413" s="21" t="s">
        <v>1479</v>
      </c>
      <c r="B1413" s="21" t="s">
        <v>19</v>
      </c>
      <c r="C1413" s="22" t="n">
        <v>43231</v>
      </c>
      <c r="D1413" s="22" t="n">
        <v>43243</v>
      </c>
      <c r="E1413" s="22" t="n">
        <v>43245</v>
      </c>
      <c r="F1413" s="21" t="s">
        <v>49</v>
      </c>
      <c r="G1413" s="23" t="n">
        <v>114.92</v>
      </c>
      <c r="H1413" s="23" t="n">
        <v>20.19</v>
      </c>
      <c r="I1413" s="21" t="s">
        <v>45</v>
      </c>
      <c r="J1413" s="21" t="n">
        <v>4</v>
      </c>
      <c r="K1413" s="21" t="s">
        <v>46</v>
      </c>
      <c r="L1413" s="24" t="n">
        <f aca="false">DATE(YEAR(C1413),MONTH(C1413),1)</f>
        <v>43221</v>
      </c>
      <c r="M1413" s="21" t="n">
        <f aca="false">D1413-C1413</f>
        <v>12</v>
      </c>
      <c r="N1413" s="21" t="n">
        <f aca="false">MAX(0,D1413-E1413)</f>
        <v>0</v>
      </c>
      <c r="O1413" s="21" t="n">
        <f aca="false">IF(D1413&lt;=E1413,1,0)</f>
        <v>1</v>
      </c>
      <c r="P1413" s="23" t="n">
        <f aca="false">G1413+H1413</f>
        <v>135.11</v>
      </c>
      <c r="Q1413" s="23" t="n">
        <f aca="false">G1413*INDEX(Assumptions!$B$8:$B$16,MATCH(F1413,Assumptions!$A$8:$A$16,0))</f>
        <v>66.6536</v>
      </c>
      <c r="R1413" s="23" t="n">
        <f aca="false">H1413*Assumptions!$B$3</f>
        <v>12.114</v>
      </c>
      <c r="S1413" s="23" t="n">
        <f aca="false">G1413-Q1413-R1413</f>
        <v>36.1524</v>
      </c>
      <c r="T1413" s="21" t="str">
        <f aca="false">IF(M1413&lt;=7,"0-7 days",IF(M1413&lt;=14,"8-14 days",IF(M1413&lt;=21,"15-21 days","22+ days")))</f>
        <v>8-14 days</v>
      </c>
    </row>
    <row r="1414" customFormat="false" ht="15" hidden="false" customHeight="false" outlineLevel="0" collapsed="false">
      <c r="A1414" s="21" t="s">
        <v>1480</v>
      </c>
      <c r="B1414" s="21" t="s">
        <v>55</v>
      </c>
      <c r="C1414" s="22" t="n">
        <v>43231</v>
      </c>
      <c r="D1414" s="22" t="n">
        <v>43246</v>
      </c>
      <c r="E1414" s="22" t="n">
        <v>43258</v>
      </c>
      <c r="F1414" s="21" t="s">
        <v>44</v>
      </c>
      <c r="G1414" s="23" t="n">
        <v>59.91</v>
      </c>
      <c r="H1414" s="23" t="n">
        <v>22.08</v>
      </c>
      <c r="I1414" s="21" t="s">
        <v>45</v>
      </c>
      <c r="J1414" s="21" t="n">
        <v>4</v>
      </c>
      <c r="K1414" s="21" t="s">
        <v>46</v>
      </c>
      <c r="L1414" s="24" t="n">
        <f aca="false">DATE(YEAR(C1414),MONTH(C1414),1)</f>
        <v>43221</v>
      </c>
      <c r="M1414" s="21" t="n">
        <f aca="false">D1414-C1414</f>
        <v>15</v>
      </c>
      <c r="N1414" s="21" t="n">
        <f aca="false">MAX(0,D1414-E1414)</f>
        <v>0</v>
      </c>
      <c r="O1414" s="21" t="n">
        <f aca="false">IF(D1414&lt;=E1414,1,0)</f>
        <v>1</v>
      </c>
      <c r="P1414" s="23" t="n">
        <f aca="false">G1414+H1414</f>
        <v>81.99</v>
      </c>
      <c r="Q1414" s="23" t="n">
        <f aca="false">G1414*INDEX(Assumptions!$B$8:$B$16,MATCH(F1414,Assumptions!$A$8:$A$16,0))</f>
        <v>35.946</v>
      </c>
      <c r="R1414" s="23" t="n">
        <f aca="false">H1414*Assumptions!$B$3</f>
        <v>13.248</v>
      </c>
      <c r="S1414" s="23" t="n">
        <f aca="false">G1414-Q1414-R1414</f>
        <v>10.716</v>
      </c>
      <c r="T1414" s="21" t="str">
        <f aca="false">IF(M1414&lt;=7,"0-7 days",IF(M1414&lt;=14,"8-14 days",IF(M1414&lt;=21,"15-21 days","22+ days")))</f>
        <v>15-21 days</v>
      </c>
    </row>
    <row r="1415" customFormat="false" ht="15" hidden="false" customHeight="false" outlineLevel="0" collapsed="false">
      <c r="A1415" s="21" t="s">
        <v>1481</v>
      </c>
      <c r="B1415" s="21" t="s">
        <v>19</v>
      </c>
      <c r="C1415" s="22" t="n">
        <v>43231</v>
      </c>
      <c r="D1415" s="22" t="n">
        <v>43239</v>
      </c>
      <c r="E1415" s="22" t="n">
        <v>43248</v>
      </c>
      <c r="F1415" s="21" t="s">
        <v>49</v>
      </c>
      <c r="G1415" s="23" t="n">
        <v>75.55</v>
      </c>
      <c r="H1415" s="23" t="n">
        <v>12.07</v>
      </c>
      <c r="I1415" s="21" t="s">
        <v>45</v>
      </c>
      <c r="J1415" s="21" t="n">
        <v>5</v>
      </c>
      <c r="K1415" s="21" t="s">
        <v>46</v>
      </c>
      <c r="L1415" s="24" t="n">
        <f aca="false">DATE(YEAR(C1415),MONTH(C1415),1)</f>
        <v>43221</v>
      </c>
      <c r="M1415" s="21" t="n">
        <f aca="false">D1415-C1415</f>
        <v>8</v>
      </c>
      <c r="N1415" s="21" t="n">
        <f aca="false">MAX(0,D1415-E1415)</f>
        <v>0</v>
      </c>
      <c r="O1415" s="21" t="n">
        <f aca="false">IF(D1415&lt;=E1415,1,0)</f>
        <v>1</v>
      </c>
      <c r="P1415" s="23" t="n">
        <f aca="false">G1415+H1415</f>
        <v>87.62</v>
      </c>
      <c r="Q1415" s="23" t="n">
        <f aca="false">G1415*INDEX(Assumptions!$B$8:$B$16,MATCH(F1415,Assumptions!$A$8:$A$16,0))</f>
        <v>43.819</v>
      </c>
      <c r="R1415" s="23" t="n">
        <f aca="false">H1415*Assumptions!$B$3</f>
        <v>7.242</v>
      </c>
      <c r="S1415" s="23" t="n">
        <f aca="false">G1415-Q1415-R1415</f>
        <v>24.489</v>
      </c>
      <c r="T1415" s="21" t="str">
        <f aca="false">IF(M1415&lt;=7,"0-7 days",IF(M1415&lt;=14,"8-14 days",IF(M1415&lt;=21,"15-21 days","22+ days")))</f>
        <v>8-14 days</v>
      </c>
    </row>
    <row r="1416" customFormat="false" ht="15" hidden="false" customHeight="false" outlineLevel="0" collapsed="false">
      <c r="A1416" s="21" t="s">
        <v>1482</v>
      </c>
      <c r="B1416" s="21" t="s">
        <v>48</v>
      </c>
      <c r="C1416" s="22" t="n">
        <v>43232</v>
      </c>
      <c r="D1416" s="22" t="n">
        <v>43248</v>
      </c>
      <c r="E1416" s="22" t="n">
        <v>43255</v>
      </c>
      <c r="F1416" s="21" t="s">
        <v>59</v>
      </c>
      <c r="G1416" s="23" t="n">
        <v>105.88</v>
      </c>
      <c r="H1416" s="23" t="n">
        <v>19.06</v>
      </c>
      <c r="I1416" s="21" t="s">
        <v>45</v>
      </c>
      <c r="J1416" s="21" t="n">
        <v>5</v>
      </c>
      <c r="K1416" s="21" t="s">
        <v>46</v>
      </c>
      <c r="L1416" s="24" t="n">
        <f aca="false">DATE(YEAR(C1416),MONTH(C1416),1)</f>
        <v>43221</v>
      </c>
      <c r="M1416" s="21" t="n">
        <f aca="false">D1416-C1416</f>
        <v>16</v>
      </c>
      <c r="N1416" s="21" t="n">
        <f aca="false">MAX(0,D1416-E1416)</f>
        <v>0</v>
      </c>
      <c r="O1416" s="21" t="n">
        <f aca="false">IF(D1416&lt;=E1416,1,0)</f>
        <v>1</v>
      </c>
      <c r="P1416" s="23" t="n">
        <f aca="false">G1416+H1416</f>
        <v>124.94</v>
      </c>
      <c r="Q1416" s="23" t="n">
        <f aca="false">G1416*INDEX(Assumptions!$B$8:$B$16,MATCH(F1416,Assumptions!$A$8:$A$16,0))</f>
        <v>67.7632</v>
      </c>
      <c r="R1416" s="23" t="n">
        <f aca="false">H1416*Assumptions!$B$3</f>
        <v>11.436</v>
      </c>
      <c r="S1416" s="23" t="n">
        <f aca="false">G1416-Q1416-R1416</f>
        <v>26.6808</v>
      </c>
      <c r="T1416" s="21" t="str">
        <f aca="false">IF(M1416&lt;=7,"0-7 days",IF(M1416&lt;=14,"8-14 days",IF(M1416&lt;=21,"15-21 days","22+ days")))</f>
        <v>15-21 days</v>
      </c>
    </row>
    <row r="1417" customFormat="false" ht="15" hidden="false" customHeight="false" outlineLevel="0" collapsed="false">
      <c r="A1417" s="21" t="s">
        <v>1483</v>
      </c>
      <c r="B1417" s="21" t="s">
        <v>19</v>
      </c>
      <c r="C1417" s="22" t="n">
        <v>43232</v>
      </c>
      <c r="D1417" s="22" t="n">
        <v>43244</v>
      </c>
      <c r="E1417" s="22" t="n">
        <v>43246</v>
      </c>
      <c r="F1417" s="21" t="s">
        <v>49</v>
      </c>
      <c r="G1417" s="23" t="n">
        <v>88.87</v>
      </c>
      <c r="H1417" s="23" t="n">
        <v>13.39</v>
      </c>
      <c r="I1417" s="21" t="s">
        <v>45</v>
      </c>
      <c r="J1417" s="21" t="n">
        <v>4</v>
      </c>
      <c r="K1417" s="21" t="s">
        <v>46</v>
      </c>
      <c r="L1417" s="24" t="n">
        <f aca="false">DATE(YEAR(C1417),MONTH(C1417),1)</f>
        <v>43221</v>
      </c>
      <c r="M1417" s="21" t="n">
        <f aca="false">D1417-C1417</f>
        <v>12</v>
      </c>
      <c r="N1417" s="21" t="n">
        <f aca="false">MAX(0,D1417-E1417)</f>
        <v>0</v>
      </c>
      <c r="O1417" s="21" t="n">
        <f aca="false">IF(D1417&lt;=E1417,1,0)</f>
        <v>1</v>
      </c>
      <c r="P1417" s="23" t="n">
        <f aca="false">G1417+H1417</f>
        <v>102.26</v>
      </c>
      <c r="Q1417" s="23" t="n">
        <f aca="false">G1417*INDEX(Assumptions!$B$8:$B$16,MATCH(F1417,Assumptions!$A$8:$A$16,0))</f>
        <v>51.5446</v>
      </c>
      <c r="R1417" s="23" t="n">
        <f aca="false">H1417*Assumptions!$B$3</f>
        <v>8.034</v>
      </c>
      <c r="S1417" s="23" t="n">
        <f aca="false">G1417-Q1417-R1417</f>
        <v>29.2914</v>
      </c>
      <c r="T1417" s="21" t="str">
        <f aca="false">IF(M1417&lt;=7,"0-7 days",IF(M1417&lt;=14,"8-14 days",IF(M1417&lt;=21,"15-21 days","22+ days")))</f>
        <v>8-14 days</v>
      </c>
    </row>
    <row r="1418" customFormat="false" ht="15" hidden="false" customHeight="false" outlineLevel="0" collapsed="false">
      <c r="A1418" s="21" t="s">
        <v>1484</v>
      </c>
      <c r="B1418" s="21" t="s">
        <v>55</v>
      </c>
      <c r="C1418" s="22" t="n">
        <v>43232</v>
      </c>
      <c r="D1418" s="22" t="n">
        <v>43249</v>
      </c>
      <c r="E1418" s="22" t="n">
        <v>43256</v>
      </c>
      <c r="F1418" s="21" t="s">
        <v>64</v>
      </c>
      <c r="G1418" s="23" t="n">
        <v>184.73</v>
      </c>
      <c r="H1418" s="23" t="n">
        <v>22.26</v>
      </c>
      <c r="I1418" s="21" t="s">
        <v>45</v>
      </c>
      <c r="J1418" s="21" t="n">
        <v>5</v>
      </c>
      <c r="K1418" s="21" t="s">
        <v>46</v>
      </c>
      <c r="L1418" s="24" t="n">
        <f aca="false">DATE(YEAR(C1418),MONTH(C1418),1)</f>
        <v>43221</v>
      </c>
      <c r="M1418" s="21" t="n">
        <f aca="false">D1418-C1418</f>
        <v>17</v>
      </c>
      <c r="N1418" s="21" t="n">
        <f aca="false">MAX(0,D1418-E1418)</f>
        <v>0</v>
      </c>
      <c r="O1418" s="21" t="n">
        <f aca="false">IF(D1418&lt;=E1418,1,0)</f>
        <v>1</v>
      </c>
      <c r="P1418" s="23" t="n">
        <f aca="false">G1418+H1418</f>
        <v>206.99</v>
      </c>
      <c r="Q1418" s="23" t="n">
        <f aca="false">G1418*INDEX(Assumptions!$B$8:$B$16,MATCH(F1418,Assumptions!$A$8:$A$16,0))</f>
        <v>121.9218</v>
      </c>
      <c r="R1418" s="23" t="n">
        <f aca="false">H1418*Assumptions!$B$3</f>
        <v>13.356</v>
      </c>
      <c r="S1418" s="23" t="n">
        <f aca="false">G1418-Q1418-R1418</f>
        <v>49.4522</v>
      </c>
      <c r="T1418" s="21" t="str">
        <f aca="false">IF(M1418&lt;=7,"0-7 days",IF(M1418&lt;=14,"8-14 days",IF(M1418&lt;=21,"15-21 days","22+ days")))</f>
        <v>15-21 days</v>
      </c>
    </row>
    <row r="1419" customFormat="false" ht="15" hidden="false" customHeight="false" outlineLevel="0" collapsed="false">
      <c r="A1419" s="21" t="s">
        <v>1485</v>
      </c>
      <c r="B1419" s="21" t="s">
        <v>156</v>
      </c>
      <c r="C1419" s="22" t="n">
        <v>43232</v>
      </c>
      <c r="D1419" s="22" t="n">
        <v>43251</v>
      </c>
      <c r="E1419" s="22" t="n">
        <v>43259</v>
      </c>
      <c r="F1419" s="21" t="s">
        <v>111</v>
      </c>
      <c r="G1419" s="23" t="n">
        <v>67.88</v>
      </c>
      <c r="H1419" s="23" t="n">
        <v>19.26</v>
      </c>
      <c r="I1419" s="21" t="s">
        <v>60</v>
      </c>
      <c r="J1419" s="21" t="n">
        <v>5</v>
      </c>
      <c r="K1419" s="21" t="s">
        <v>46</v>
      </c>
      <c r="L1419" s="24" t="n">
        <f aca="false">DATE(YEAR(C1419),MONTH(C1419),1)</f>
        <v>43221</v>
      </c>
      <c r="M1419" s="21" t="n">
        <f aca="false">D1419-C1419</f>
        <v>19</v>
      </c>
      <c r="N1419" s="21" t="n">
        <f aca="false">MAX(0,D1419-E1419)</f>
        <v>0</v>
      </c>
      <c r="O1419" s="21" t="n">
        <f aca="false">IF(D1419&lt;=E1419,1,0)</f>
        <v>1</v>
      </c>
      <c r="P1419" s="23" t="n">
        <f aca="false">G1419+H1419</f>
        <v>87.14</v>
      </c>
      <c r="Q1419" s="23" t="n">
        <f aca="false">G1419*INDEX(Assumptions!$B$8:$B$16,MATCH(F1419,Assumptions!$A$8:$A$16,0))</f>
        <v>42.7644</v>
      </c>
      <c r="R1419" s="23" t="n">
        <f aca="false">H1419*Assumptions!$B$3</f>
        <v>11.556</v>
      </c>
      <c r="S1419" s="23" t="n">
        <f aca="false">G1419-Q1419-R1419</f>
        <v>13.5596</v>
      </c>
      <c r="T1419" s="21" t="str">
        <f aca="false">IF(M1419&lt;=7,"0-7 days",IF(M1419&lt;=14,"8-14 days",IF(M1419&lt;=21,"15-21 days","22+ days")))</f>
        <v>15-21 days</v>
      </c>
    </row>
    <row r="1420" customFormat="false" ht="15" hidden="false" customHeight="false" outlineLevel="0" collapsed="false">
      <c r="A1420" s="21" t="s">
        <v>1486</v>
      </c>
      <c r="B1420" s="21" t="s">
        <v>19</v>
      </c>
      <c r="C1420" s="22" t="n">
        <v>43232</v>
      </c>
      <c r="D1420" s="22" t="n">
        <v>43239</v>
      </c>
      <c r="E1420" s="22" t="n">
        <v>43250</v>
      </c>
      <c r="F1420" s="21" t="s">
        <v>67</v>
      </c>
      <c r="G1420" s="23" t="n">
        <v>123.64</v>
      </c>
      <c r="H1420" s="23" t="n">
        <v>22.3</v>
      </c>
      <c r="I1420" s="21" t="s">
        <v>45</v>
      </c>
      <c r="J1420" s="21" t="n">
        <v>4</v>
      </c>
      <c r="K1420" s="21" t="s">
        <v>46</v>
      </c>
      <c r="L1420" s="24" t="n">
        <f aca="false">DATE(YEAR(C1420),MONTH(C1420),1)</f>
        <v>43221</v>
      </c>
      <c r="M1420" s="21" t="n">
        <f aca="false">D1420-C1420</f>
        <v>7</v>
      </c>
      <c r="N1420" s="21" t="n">
        <f aca="false">MAX(0,D1420-E1420)</f>
        <v>0</v>
      </c>
      <c r="O1420" s="21" t="n">
        <f aca="false">IF(D1420&lt;=E1420,1,0)</f>
        <v>1</v>
      </c>
      <c r="P1420" s="23" t="n">
        <f aca="false">G1420+H1420</f>
        <v>145.94</v>
      </c>
      <c r="Q1420" s="23" t="n">
        <f aca="false">G1420*INDEX(Assumptions!$B$8:$B$16,MATCH(F1420,Assumptions!$A$8:$A$16,0))</f>
        <v>76.6568</v>
      </c>
      <c r="R1420" s="23" t="n">
        <f aca="false">H1420*Assumptions!$B$3</f>
        <v>13.38</v>
      </c>
      <c r="S1420" s="23" t="n">
        <f aca="false">G1420-Q1420-R1420</f>
        <v>33.6032</v>
      </c>
      <c r="T1420" s="21" t="str">
        <f aca="false">IF(M1420&lt;=7,"0-7 days",IF(M1420&lt;=14,"8-14 days",IF(M1420&lt;=21,"15-21 days","22+ days")))</f>
        <v>0-7 days</v>
      </c>
    </row>
    <row r="1421" customFormat="false" ht="15" hidden="false" customHeight="false" outlineLevel="0" collapsed="false">
      <c r="A1421" s="21" t="s">
        <v>1487</v>
      </c>
      <c r="B1421" s="21" t="s">
        <v>19</v>
      </c>
      <c r="C1421" s="22" t="n">
        <v>43232</v>
      </c>
      <c r="D1421" s="22" t="n">
        <v>43241</v>
      </c>
      <c r="E1421" s="22" t="n">
        <v>43245</v>
      </c>
      <c r="F1421" s="21" t="s">
        <v>57</v>
      </c>
      <c r="G1421" s="23" t="n">
        <v>92.5</v>
      </c>
      <c r="H1421" s="23" t="n">
        <v>12.52</v>
      </c>
      <c r="I1421" s="21" t="s">
        <v>45</v>
      </c>
      <c r="J1421" s="21" t="n">
        <v>5</v>
      </c>
      <c r="K1421" s="21" t="s">
        <v>46</v>
      </c>
      <c r="L1421" s="24" t="n">
        <f aca="false">DATE(YEAR(C1421),MONTH(C1421),1)</f>
        <v>43221</v>
      </c>
      <c r="M1421" s="21" t="n">
        <f aca="false">D1421-C1421</f>
        <v>9</v>
      </c>
      <c r="N1421" s="21" t="n">
        <f aca="false">MAX(0,D1421-E1421)</f>
        <v>0</v>
      </c>
      <c r="O1421" s="21" t="n">
        <f aca="false">IF(D1421&lt;=E1421,1,0)</f>
        <v>1</v>
      </c>
      <c r="P1421" s="23" t="n">
        <f aca="false">G1421+H1421</f>
        <v>105.02</v>
      </c>
      <c r="Q1421" s="23" t="n">
        <f aca="false">G1421*INDEX(Assumptions!$B$8:$B$16,MATCH(F1421,Assumptions!$A$8:$A$16,0))</f>
        <v>62.9</v>
      </c>
      <c r="R1421" s="23" t="n">
        <f aca="false">H1421*Assumptions!$B$3</f>
        <v>7.512</v>
      </c>
      <c r="S1421" s="23" t="n">
        <f aca="false">G1421-Q1421-R1421</f>
        <v>22.088</v>
      </c>
      <c r="T1421" s="21" t="str">
        <f aca="false">IF(M1421&lt;=7,"0-7 days",IF(M1421&lt;=14,"8-14 days",IF(M1421&lt;=21,"15-21 days","22+ days")))</f>
        <v>8-14 days</v>
      </c>
    </row>
    <row r="1422" customFormat="false" ht="15" hidden="false" customHeight="false" outlineLevel="0" collapsed="false">
      <c r="A1422" s="21" t="s">
        <v>1488</v>
      </c>
      <c r="B1422" s="21" t="s">
        <v>19</v>
      </c>
      <c r="C1422" s="22" t="n">
        <v>43233</v>
      </c>
      <c r="D1422" s="22" t="n">
        <v>43239</v>
      </c>
      <c r="E1422" s="22" t="n">
        <v>43246</v>
      </c>
      <c r="F1422" s="21" t="s">
        <v>79</v>
      </c>
      <c r="G1422" s="23" t="n">
        <v>125.64</v>
      </c>
      <c r="H1422" s="23" t="n">
        <v>19.77</v>
      </c>
      <c r="I1422" s="21" t="s">
        <v>60</v>
      </c>
      <c r="J1422" s="21" t="n">
        <v>5</v>
      </c>
      <c r="K1422" s="21" t="s">
        <v>46</v>
      </c>
      <c r="L1422" s="24" t="n">
        <f aca="false">DATE(YEAR(C1422),MONTH(C1422),1)</f>
        <v>43221</v>
      </c>
      <c r="M1422" s="21" t="n">
        <f aca="false">D1422-C1422</f>
        <v>6</v>
      </c>
      <c r="N1422" s="21" t="n">
        <f aca="false">MAX(0,D1422-E1422)</f>
        <v>0</v>
      </c>
      <c r="O1422" s="21" t="n">
        <f aca="false">IF(D1422&lt;=E1422,1,0)</f>
        <v>1</v>
      </c>
      <c r="P1422" s="23" t="n">
        <f aca="false">G1422+H1422</f>
        <v>145.41</v>
      </c>
      <c r="Q1422" s="23" t="n">
        <f aca="false">G1422*INDEX(Assumptions!$B$8:$B$16,MATCH(F1422,Assumptions!$A$8:$A$16,0))</f>
        <v>87.948</v>
      </c>
      <c r="R1422" s="23" t="n">
        <f aca="false">H1422*Assumptions!$B$3</f>
        <v>11.862</v>
      </c>
      <c r="S1422" s="23" t="n">
        <f aca="false">G1422-Q1422-R1422</f>
        <v>25.83</v>
      </c>
      <c r="T1422" s="21" t="str">
        <f aca="false">IF(M1422&lt;=7,"0-7 days",IF(M1422&lt;=14,"8-14 days",IF(M1422&lt;=21,"15-21 days","22+ days")))</f>
        <v>0-7 days</v>
      </c>
    </row>
    <row r="1423" customFormat="false" ht="15" hidden="false" customHeight="false" outlineLevel="0" collapsed="false">
      <c r="A1423" s="21" t="s">
        <v>1489</v>
      </c>
      <c r="B1423" s="21" t="s">
        <v>201</v>
      </c>
      <c r="C1423" s="22" t="n">
        <v>43233</v>
      </c>
      <c r="D1423" s="22" t="n">
        <v>43259</v>
      </c>
      <c r="E1423" s="22" t="n">
        <v>43264</v>
      </c>
      <c r="F1423" s="21" t="s">
        <v>53</v>
      </c>
      <c r="G1423" s="23" t="n">
        <v>94.78</v>
      </c>
      <c r="H1423" s="23" t="n">
        <v>30.64</v>
      </c>
      <c r="I1423" s="21" t="s">
        <v>45</v>
      </c>
      <c r="J1423" s="21" t="n">
        <v>4</v>
      </c>
      <c r="K1423" s="21" t="s">
        <v>46</v>
      </c>
      <c r="L1423" s="24" t="n">
        <f aca="false">DATE(YEAR(C1423),MONTH(C1423),1)</f>
        <v>43221</v>
      </c>
      <c r="M1423" s="21" t="n">
        <f aca="false">D1423-C1423</f>
        <v>26</v>
      </c>
      <c r="N1423" s="21" t="n">
        <f aca="false">MAX(0,D1423-E1423)</f>
        <v>0</v>
      </c>
      <c r="O1423" s="21" t="n">
        <f aca="false">IF(D1423&lt;=E1423,1,0)</f>
        <v>1</v>
      </c>
      <c r="P1423" s="23" t="n">
        <f aca="false">G1423+H1423</f>
        <v>125.42</v>
      </c>
      <c r="Q1423" s="23" t="n">
        <f aca="false">G1423*INDEX(Assumptions!$B$8:$B$16,MATCH(F1423,Assumptions!$A$8:$A$16,0))</f>
        <v>70.1372</v>
      </c>
      <c r="R1423" s="23" t="n">
        <f aca="false">H1423*Assumptions!$B$3</f>
        <v>18.384</v>
      </c>
      <c r="S1423" s="23" t="n">
        <f aca="false">G1423-Q1423-R1423</f>
        <v>6.25879999999999</v>
      </c>
      <c r="T1423" s="21" t="str">
        <f aca="false">IF(M1423&lt;=7,"0-7 days",IF(M1423&lt;=14,"8-14 days",IF(M1423&lt;=21,"15-21 days","22+ days")))</f>
        <v>22+ days</v>
      </c>
    </row>
    <row r="1424" customFormat="false" ht="15" hidden="false" customHeight="false" outlineLevel="0" collapsed="false">
      <c r="A1424" s="21" t="s">
        <v>1490</v>
      </c>
      <c r="B1424" s="21" t="s">
        <v>52</v>
      </c>
      <c r="C1424" s="22" t="n">
        <v>43234</v>
      </c>
      <c r="D1424" s="22" t="n">
        <v>43244</v>
      </c>
      <c r="E1424" s="22" t="n">
        <v>43259</v>
      </c>
      <c r="F1424" s="21" t="s">
        <v>111</v>
      </c>
      <c r="G1424" s="23" t="n">
        <v>107.63</v>
      </c>
      <c r="H1424" s="23" t="n">
        <v>19.95</v>
      </c>
      <c r="I1424" s="21" t="s">
        <v>45</v>
      </c>
      <c r="J1424" s="21" t="n">
        <v>4</v>
      </c>
      <c r="K1424" s="21" t="s">
        <v>46</v>
      </c>
      <c r="L1424" s="24" t="n">
        <f aca="false">DATE(YEAR(C1424),MONTH(C1424),1)</f>
        <v>43221</v>
      </c>
      <c r="M1424" s="21" t="n">
        <f aca="false">D1424-C1424</f>
        <v>10</v>
      </c>
      <c r="N1424" s="21" t="n">
        <f aca="false">MAX(0,D1424-E1424)</f>
        <v>0</v>
      </c>
      <c r="O1424" s="21" t="n">
        <f aca="false">IF(D1424&lt;=E1424,1,0)</f>
        <v>1</v>
      </c>
      <c r="P1424" s="23" t="n">
        <f aca="false">G1424+H1424</f>
        <v>127.58</v>
      </c>
      <c r="Q1424" s="23" t="n">
        <f aca="false">G1424*INDEX(Assumptions!$B$8:$B$16,MATCH(F1424,Assumptions!$A$8:$A$16,0))</f>
        <v>67.8069</v>
      </c>
      <c r="R1424" s="23" t="n">
        <f aca="false">H1424*Assumptions!$B$3</f>
        <v>11.97</v>
      </c>
      <c r="S1424" s="23" t="n">
        <f aca="false">G1424-Q1424-R1424</f>
        <v>27.8531</v>
      </c>
      <c r="T1424" s="21" t="str">
        <f aca="false">IF(M1424&lt;=7,"0-7 days",IF(M1424&lt;=14,"8-14 days",IF(M1424&lt;=21,"15-21 days","22+ days")))</f>
        <v>8-14 days</v>
      </c>
    </row>
    <row r="1425" customFormat="false" ht="15" hidden="false" customHeight="false" outlineLevel="0" collapsed="false">
      <c r="A1425" s="21" t="s">
        <v>1491</v>
      </c>
      <c r="B1425" s="21" t="s">
        <v>19</v>
      </c>
      <c r="C1425" s="22" t="n">
        <v>43234</v>
      </c>
      <c r="D1425" s="22" t="n">
        <v>43240</v>
      </c>
      <c r="E1425" s="22" t="n">
        <v>43246</v>
      </c>
      <c r="F1425" s="21" t="s">
        <v>79</v>
      </c>
      <c r="G1425" s="23" t="n">
        <v>36.4</v>
      </c>
      <c r="H1425" s="23" t="n">
        <v>15.58</v>
      </c>
      <c r="I1425" s="21" t="s">
        <v>60</v>
      </c>
      <c r="J1425" s="21" t="n">
        <v>5</v>
      </c>
      <c r="K1425" s="21" t="s">
        <v>46</v>
      </c>
      <c r="L1425" s="24" t="n">
        <f aca="false">DATE(YEAR(C1425),MONTH(C1425),1)</f>
        <v>43221</v>
      </c>
      <c r="M1425" s="21" t="n">
        <f aca="false">D1425-C1425</f>
        <v>6</v>
      </c>
      <c r="N1425" s="21" t="n">
        <f aca="false">MAX(0,D1425-E1425)</f>
        <v>0</v>
      </c>
      <c r="O1425" s="21" t="n">
        <f aca="false">IF(D1425&lt;=E1425,1,0)</f>
        <v>1</v>
      </c>
      <c r="P1425" s="23" t="n">
        <f aca="false">G1425+H1425</f>
        <v>51.98</v>
      </c>
      <c r="Q1425" s="23" t="n">
        <f aca="false">G1425*INDEX(Assumptions!$B$8:$B$16,MATCH(F1425,Assumptions!$A$8:$A$16,0))</f>
        <v>25.48</v>
      </c>
      <c r="R1425" s="23" t="n">
        <f aca="false">H1425*Assumptions!$B$3</f>
        <v>9.348</v>
      </c>
      <c r="S1425" s="23" t="n">
        <f aca="false">G1425-Q1425-R1425</f>
        <v>1.572</v>
      </c>
      <c r="T1425" s="21" t="str">
        <f aca="false">IF(M1425&lt;=7,"0-7 days",IF(M1425&lt;=14,"8-14 days",IF(M1425&lt;=21,"15-21 days","22+ days")))</f>
        <v>0-7 days</v>
      </c>
    </row>
    <row r="1426" customFormat="false" ht="15" hidden="false" customHeight="false" outlineLevel="0" collapsed="false">
      <c r="A1426" s="21" t="s">
        <v>1492</v>
      </c>
      <c r="B1426" s="21" t="s">
        <v>19</v>
      </c>
      <c r="C1426" s="22" t="n">
        <v>43234</v>
      </c>
      <c r="D1426" s="22" t="n">
        <v>43248</v>
      </c>
      <c r="E1426" s="22" t="n">
        <v>43247</v>
      </c>
      <c r="F1426" s="21" t="s">
        <v>59</v>
      </c>
      <c r="G1426" s="23" t="n">
        <v>39.17</v>
      </c>
      <c r="H1426" s="23" t="n">
        <v>17.77</v>
      </c>
      <c r="I1426" s="21" t="s">
        <v>45</v>
      </c>
      <c r="J1426" s="21" t="n">
        <v>3</v>
      </c>
      <c r="K1426" s="21" t="s">
        <v>46</v>
      </c>
      <c r="L1426" s="24" t="n">
        <f aca="false">DATE(YEAR(C1426),MONTH(C1426),1)</f>
        <v>43221</v>
      </c>
      <c r="M1426" s="21" t="n">
        <f aca="false">D1426-C1426</f>
        <v>14</v>
      </c>
      <c r="N1426" s="21" t="n">
        <f aca="false">MAX(0,D1426-E1426)</f>
        <v>1</v>
      </c>
      <c r="O1426" s="21" t="n">
        <f aca="false">IF(D1426&lt;=E1426,1,0)</f>
        <v>0</v>
      </c>
      <c r="P1426" s="23" t="n">
        <f aca="false">G1426+H1426</f>
        <v>56.94</v>
      </c>
      <c r="Q1426" s="23" t="n">
        <f aca="false">G1426*INDEX(Assumptions!$B$8:$B$16,MATCH(F1426,Assumptions!$A$8:$A$16,0))</f>
        <v>25.0688</v>
      </c>
      <c r="R1426" s="23" t="n">
        <f aca="false">H1426*Assumptions!$B$3</f>
        <v>10.662</v>
      </c>
      <c r="S1426" s="23" t="n">
        <f aca="false">G1426-Q1426-R1426</f>
        <v>3.4392</v>
      </c>
      <c r="T1426" s="21" t="str">
        <f aca="false">IF(M1426&lt;=7,"0-7 days",IF(M1426&lt;=14,"8-14 days",IF(M1426&lt;=21,"15-21 days","22+ days")))</f>
        <v>8-14 days</v>
      </c>
    </row>
    <row r="1427" customFormat="false" ht="15" hidden="false" customHeight="false" outlineLevel="0" collapsed="false">
      <c r="A1427" s="21" t="s">
        <v>1493</v>
      </c>
      <c r="B1427" s="21" t="s">
        <v>19</v>
      </c>
      <c r="C1427" s="22" t="n">
        <v>43234</v>
      </c>
      <c r="D1427" s="22" t="n">
        <v>43242</v>
      </c>
      <c r="E1427" s="22" t="n">
        <v>43249</v>
      </c>
      <c r="F1427" s="21" t="s">
        <v>49</v>
      </c>
      <c r="G1427" s="23" t="n">
        <v>74.96</v>
      </c>
      <c r="H1427" s="23" t="n">
        <v>17.46</v>
      </c>
      <c r="I1427" s="21" t="s">
        <v>45</v>
      </c>
      <c r="J1427" s="21" t="n">
        <v>5</v>
      </c>
      <c r="K1427" s="21" t="s">
        <v>46</v>
      </c>
      <c r="L1427" s="24" t="n">
        <f aca="false">DATE(YEAR(C1427),MONTH(C1427),1)</f>
        <v>43221</v>
      </c>
      <c r="M1427" s="21" t="n">
        <f aca="false">D1427-C1427</f>
        <v>8</v>
      </c>
      <c r="N1427" s="21" t="n">
        <f aca="false">MAX(0,D1427-E1427)</f>
        <v>0</v>
      </c>
      <c r="O1427" s="21" t="n">
        <f aca="false">IF(D1427&lt;=E1427,1,0)</f>
        <v>1</v>
      </c>
      <c r="P1427" s="23" t="n">
        <f aca="false">G1427+H1427</f>
        <v>92.42</v>
      </c>
      <c r="Q1427" s="23" t="n">
        <f aca="false">G1427*INDEX(Assumptions!$B$8:$B$16,MATCH(F1427,Assumptions!$A$8:$A$16,0))</f>
        <v>43.4768</v>
      </c>
      <c r="R1427" s="23" t="n">
        <f aca="false">H1427*Assumptions!$B$3</f>
        <v>10.476</v>
      </c>
      <c r="S1427" s="23" t="n">
        <f aca="false">G1427-Q1427-R1427</f>
        <v>21.0072</v>
      </c>
      <c r="T1427" s="21" t="str">
        <f aca="false">IF(M1427&lt;=7,"0-7 days",IF(M1427&lt;=14,"8-14 days",IF(M1427&lt;=21,"15-21 days","22+ days")))</f>
        <v>8-14 days</v>
      </c>
    </row>
    <row r="1428" customFormat="false" ht="15" hidden="false" customHeight="false" outlineLevel="0" collapsed="false">
      <c r="A1428" s="21" t="s">
        <v>1494</v>
      </c>
      <c r="B1428" s="21" t="s">
        <v>134</v>
      </c>
      <c r="C1428" s="22" t="n">
        <v>43234</v>
      </c>
      <c r="D1428" s="22" t="n">
        <v>43243</v>
      </c>
      <c r="E1428" s="22" t="n">
        <v>43259</v>
      </c>
      <c r="F1428" s="21" t="s">
        <v>59</v>
      </c>
      <c r="G1428" s="23" t="n">
        <v>86.8</v>
      </c>
      <c r="H1428" s="23" t="n">
        <v>24.16</v>
      </c>
      <c r="I1428" s="21" t="s">
        <v>45</v>
      </c>
      <c r="J1428" s="21" t="n">
        <v>5</v>
      </c>
      <c r="K1428" s="21" t="s">
        <v>46</v>
      </c>
      <c r="L1428" s="24" t="n">
        <f aca="false">DATE(YEAR(C1428),MONTH(C1428),1)</f>
        <v>43221</v>
      </c>
      <c r="M1428" s="21" t="n">
        <f aca="false">D1428-C1428</f>
        <v>9</v>
      </c>
      <c r="N1428" s="21" t="n">
        <f aca="false">MAX(0,D1428-E1428)</f>
        <v>0</v>
      </c>
      <c r="O1428" s="21" t="n">
        <f aca="false">IF(D1428&lt;=E1428,1,0)</f>
        <v>1</v>
      </c>
      <c r="P1428" s="23" t="n">
        <f aca="false">G1428+H1428</f>
        <v>110.96</v>
      </c>
      <c r="Q1428" s="23" t="n">
        <f aca="false">G1428*INDEX(Assumptions!$B$8:$B$16,MATCH(F1428,Assumptions!$A$8:$A$16,0))</f>
        <v>55.552</v>
      </c>
      <c r="R1428" s="23" t="n">
        <f aca="false">H1428*Assumptions!$B$3</f>
        <v>14.496</v>
      </c>
      <c r="S1428" s="23" t="n">
        <f aca="false">G1428-Q1428-R1428</f>
        <v>16.752</v>
      </c>
      <c r="T1428" s="21" t="str">
        <f aca="false">IF(M1428&lt;=7,"0-7 days",IF(M1428&lt;=14,"8-14 days",IF(M1428&lt;=21,"15-21 days","22+ days")))</f>
        <v>8-14 days</v>
      </c>
    </row>
    <row r="1429" customFormat="false" ht="15" hidden="false" customHeight="false" outlineLevel="0" collapsed="false">
      <c r="A1429" s="21" t="s">
        <v>1495</v>
      </c>
      <c r="B1429" s="21" t="s">
        <v>156</v>
      </c>
      <c r="C1429" s="22" t="n">
        <v>43234</v>
      </c>
      <c r="D1429" s="22" t="n">
        <v>43251</v>
      </c>
      <c r="E1429" s="22" t="n">
        <v>43256</v>
      </c>
      <c r="F1429" s="21" t="s">
        <v>79</v>
      </c>
      <c r="G1429" s="23" t="n">
        <v>168.13</v>
      </c>
      <c r="H1429" s="23" t="n">
        <v>26.79</v>
      </c>
      <c r="I1429" s="21" t="s">
        <v>45</v>
      </c>
      <c r="J1429" s="21" t="n">
        <v>5</v>
      </c>
      <c r="K1429" s="21" t="s">
        <v>46</v>
      </c>
      <c r="L1429" s="24" t="n">
        <f aca="false">DATE(YEAR(C1429),MONTH(C1429),1)</f>
        <v>43221</v>
      </c>
      <c r="M1429" s="21" t="n">
        <f aca="false">D1429-C1429</f>
        <v>17</v>
      </c>
      <c r="N1429" s="21" t="n">
        <f aca="false">MAX(0,D1429-E1429)</f>
        <v>0</v>
      </c>
      <c r="O1429" s="21" t="n">
        <f aca="false">IF(D1429&lt;=E1429,1,0)</f>
        <v>1</v>
      </c>
      <c r="P1429" s="23" t="n">
        <f aca="false">G1429+H1429</f>
        <v>194.92</v>
      </c>
      <c r="Q1429" s="23" t="n">
        <f aca="false">G1429*INDEX(Assumptions!$B$8:$B$16,MATCH(F1429,Assumptions!$A$8:$A$16,0))</f>
        <v>117.691</v>
      </c>
      <c r="R1429" s="23" t="n">
        <f aca="false">H1429*Assumptions!$B$3</f>
        <v>16.074</v>
      </c>
      <c r="S1429" s="23" t="n">
        <f aca="false">G1429-Q1429-R1429</f>
        <v>34.365</v>
      </c>
      <c r="T1429" s="21" t="str">
        <f aca="false">IF(M1429&lt;=7,"0-7 days",IF(M1429&lt;=14,"8-14 days",IF(M1429&lt;=21,"15-21 days","22+ days")))</f>
        <v>15-21 days</v>
      </c>
    </row>
    <row r="1430" customFormat="false" ht="15" hidden="false" customHeight="false" outlineLevel="0" collapsed="false">
      <c r="A1430" s="21" t="s">
        <v>1496</v>
      </c>
      <c r="B1430" s="21" t="s">
        <v>19</v>
      </c>
      <c r="C1430" s="22" t="n">
        <v>43234</v>
      </c>
      <c r="D1430" s="22" t="n">
        <v>43243</v>
      </c>
      <c r="E1430" s="22" t="n">
        <v>43252</v>
      </c>
      <c r="F1430" s="21" t="s">
        <v>111</v>
      </c>
      <c r="G1430" s="23" t="n">
        <v>68.42</v>
      </c>
      <c r="H1430" s="23" t="n">
        <v>22.04</v>
      </c>
      <c r="I1430" s="21" t="s">
        <v>45</v>
      </c>
      <c r="J1430" s="21" t="n">
        <v>3</v>
      </c>
      <c r="K1430" s="21" t="s">
        <v>46</v>
      </c>
      <c r="L1430" s="24" t="n">
        <f aca="false">DATE(YEAR(C1430),MONTH(C1430),1)</f>
        <v>43221</v>
      </c>
      <c r="M1430" s="21" t="n">
        <f aca="false">D1430-C1430</f>
        <v>9</v>
      </c>
      <c r="N1430" s="21" t="n">
        <f aca="false">MAX(0,D1430-E1430)</f>
        <v>0</v>
      </c>
      <c r="O1430" s="21" t="n">
        <f aca="false">IF(D1430&lt;=E1430,1,0)</f>
        <v>1</v>
      </c>
      <c r="P1430" s="23" t="n">
        <f aca="false">G1430+H1430</f>
        <v>90.46</v>
      </c>
      <c r="Q1430" s="23" t="n">
        <f aca="false">G1430*INDEX(Assumptions!$B$8:$B$16,MATCH(F1430,Assumptions!$A$8:$A$16,0))</f>
        <v>43.1046</v>
      </c>
      <c r="R1430" s="23" t="n">
        <f aca="false">H1430*Assumptions!$B$3</f>
        <v>13.224</v>
      </c>
      <c r="S1430" s="23" t="n">
        <f aca="false">G1430-Q1430-R1430</f>
        <v>12.0914</v>
      </c>
      <c r="T1430" s="21" t="str">
        <f aca="false">IF(M1430&lt;=7,"0-7 days",IF(M1430&lt;=14,"8-14 days",IF(M1430&lt;=21,"15-21 days","22+ days")))</f>
        <v>8-14 days</v>
      </c>
    </row>
    <row r="1431" customFormat="false" ht="15" hidden="false" customHeight="false" outlineLevel="0" collapsed="false">
      <c r="A1431" s="21" t="s">
        <v>1497</v>
      </c>
      <c r="B1431" s="21" t="s">
        <v>19</v>
      </c>
      <c r="C1431" s="22" t="n">
        <v>43234</v>
      </c>
      <c r="D1431" s="22" t="n">
        <v>43242</v>
      </c>
      <c r="E1431" s="22" t="n">
        <v>43247</v>
      </c>
      <c r="F1431" s="21" t="s">
        <v>64</v>
      </c>
      <c r="G1431" s="23" t="n">
        <v>175.44</v>
      </c>
      <c r="H1431" s="23" t="n">
        <v>22.96</v>
      </c>
      <c r="I1431" s="21" t="s">
        <v>45</v>
      </c>
      <c r="J1431" s="21" t="n">
        <v>5</v>
      </c>
      <c r="K1431" s="21" t="s">
        <v>46</v>
      </c>
      <c r="L1431" s="24" t="n">
        <f aca="false">DATE(YEAR(C1431),MONTH(C1431),1)</f>
        <v>43221</v>
      </c>
      <c r="M1431" s="21" t="n">
        <f aca="false">D1431-C1431</f>
        <v>8</v>
      </c>
      <c r="N1431" s="21" t="n">
        <f aca="false">MAX(0,D1431-E1431)</f>
        <v>0</v>
      </c>
      <c r="O1431" s="21" t="n">
        <f aca="false">IF(D1431&lt;=E1431,1,0)</f>
        <v>1</v>
      </c>
      <c r="P1431" s="23" t="n">
        <f aca="false">G1431+H1431</f>
        <v>198.4</v>
      </c>
      <c r="Q1431" s="23" t="n">
        <f aca="false">G1431*INDEX(Assumptions!$B$8:$B$16,MATCH(F1431,Assumptions!$A$8:$A$16,0))</f>
        <v>115.7904</v>
      </c>
      <c r="R1431" s="23" t="n">
        <f aca="false">H1431*Assumptions!$B$3</f>
        <v>13.776</v>
      </c>
      <c r="S1431" s="23" t="n">
        <f aca="false">G1431-Q1431-R1431</f>
        <v>45.8736</v>
      </c>
      <c r="T1431" s="21" t="str">
        <f aca="false">IF(M1431&lt;=7,"0-7 days",IF(M1431&lt;=14,"8-14 days",IF(M1431&lt;=21,"15-21 days","22+ days")))</f>
        <v>8-14 days</v>
      </c>
    </row>
    <row r="1432" customFormat="false" ht="15" hidden="false" customHeight="false" outlineLevel="0" collapsed="false">
      <c r="A1432" s="21" t="s">
        <v>1498</v>
      </c>
      <c r="B1432" s="21" t="s">
        <v>19</v>
      </c>
      <c r="C1432" s="22" t="n">
        <v>43235</v>
      </c>
      <c r="D1432" s="22" t="n">
        <v>43243</v>
      </c>
      <c r="E1432" s="22" t="n">
        <v>43247</v>
      </c>
      <c r="F1432" s="21" t="s">
        <v>59</v>
      </c>
      <c r="G1432" s="23" t="n">
        <v>201.64</v>
      </c>
      <c r="H1432" s="23" t="n">
        <v>15.08</v>
      </c>
      <c r="I1432" s="21" t="s">
        <v>45</v>
      </c>
      <c r="J1432" s="21" t="n">
        <v>5</v>
      </c>
      <c r="K1432" s="21" t="s">
        <v>46</v>
      </c>
      <c r="L1432" s="24" t="n">
        <f aca="false">DATE(YEAR(C1432),MONTH(C1432),1)</f>
        <v>43221</v>
      </c>
      <c r="M1432" s="21" t="n">
        <f aca="false">D1432-C1432</f>
        <v>8</v>
      </c>
      <c r="N1432" s="21" t="n">
        <f aca="false">MAX(0,D1432-E1432)</f>
        <v>0</v>
      </c>
      <c r="O1432" s="21" t="n">
        <f aca="false">IF(D1432&lt;=E1432,1,0)</f>
        <v>1</v>
      </c>
      <c r="P1432" s="23" t="n">
        <f aca="false">G1432+H1432</f>
        <v>216.72</v>
      </c>
      <c r="Q1432" s="23" t="n">
        <f aca="false">G1432*INDEX(Assumptions!$B$8:$B$16,MATCH(F1432,Assumptions!$A$8:$A$16,0))</f>
        <v>129.0496</v>
      </c>
      <c r="R1432" s="23" t="n">
        <f aca="false">H1432*Assumptions!$B$3</f>
        <v>9.048</v>
      </c>
      <c r="S1432" s="23" t="n">
        <f aca="false">G1432-Q1432-R1432</f>
        <v>63.5424</v>
      </c>
      <c r="T1432" s="21" t="str">
        <f aca="false">IF(M1432&lt;=7,"0-7 days",IF(M1432&lt;=14,"8-14 days",IF(M1432&lt;=21,"15-21 days","22+ days")))</f>
        <v>8-14 days</v>
      </c>
    </row>
    <row r="1433" customFormat="false" ht="15" hidden="false" customHeight="false" outlineLevel="0" collapsed="false">
      <c r="A1433" s="21" t="s">
        <v>1499</v>
      </c>
      <c r="B1433" s="21" t="s">
        <v>174</v>
      </c>
      <c r="C1433" s="22" t="n">
        <v>43235</v>
      </c>
      <c r="D1433" s="22" t="n">
        <v>43260</v>
      </c>
      <c r="E1433" s="22" t="n">
        <v>43269</v>
      </c>
      <c r="F1433" s="21" t="s">
        <v>44</v>
      </c>
      <c r="G1433" s="23" t="n">
        <v>62.76</v>
      </c>
      <c r="H1433" s="23" t="n">
        <v>30.58</v>
      </c>
      <c r="I1433" s="21" t="s">
        <v>45</v>
      </c>
      <c r="J1433" s="21" t="n">
        <v>4</v>
      </c>
      <c r="K1433" s="21" t="s">
        <v>46</v>
      </c>
      <c r="L1433" s="24" t="n">
        <f aca="false">DATE(YEAR(C1433),MONTH(C1433),1)</f>
        <v>43221</v>
      </c>
      <c r="M1433" s="21" t="n">
        <f aca="false">D1433-C1433</f>
        <v>25</v>
      </c>
      <c r="N1433" s="21" t="n">
        <f aca="false">MAX(0,D1433-E1433)</f>
        <v>0</v>
      </c>
      <c r="O1433" s="21" t="n">
        <f aca="false">IF(D1433&lt;=E1433,1,0)</f>
        <v>1</v>
      </c>
      <c r="P1433" s="23" t="n">
        <f aca="false">G1433+H1433</f>
        <v>93.34</v>
      </c>
      <c r="Q1433" s="23" t="n">
        <f aca="false">G1433*INDEX(Assumptions!$B$8:$B$16,MATCH(F1433,Assumptions!$A$8:$A$16,0))</f>
        <v>37.656</v>
      </c>
      <c r="R1433" s="23" t="n">
        <f aca="false">H1433*Assumptions!$B$3</f>
        <v>18.348</v>
      </c>
      <c r="S1433" s="23" t="n">
        <f aca="false">G1433-Q1433-R1433</f>
        <v>6.756</v>
      </c>
      <c r="T1433" s="21" t="str">
        <f aca="false">IF(M1433&lt;=7,"0-7 days",IF(M1433&lt;=14,"8-14 days",IF(M1433&lt;=21,"15-21 days","22+ days")))</f>
        <v>22+ days</v>
      </c>
    </row>
    <row r="1434" customFormat="false" ht="15" hidden="false" customHeight="false" outlineLevel="0" collapsed="false">
      <c r="A1434" s="21" t="s">
        <v>1500</v>
      </c>
      <c r="B1434" s="21" t="s">
        <v>19</v>
      </c>
      <c r="C1434" s="22" t="n">
        <v>43235</v>
      </c>
      <c r="D1434" s="22" t="n">
        <v>43241</v>
      </c>
      <c r="E1434" s="22" t="n">
        <v>43246</v>
      </c>
      <c r="F1434" s="21" t="s">
        <v>44</v>
      </c>
      <c r="G1434" s="23" t="n">
        <v>74.55</v>
      </c>
      <c r="H1434" s="23" t="n">
        <v>19.73</v>
      </c>
      <c r="I1434" s="21" t="s">
        <v>45</v>
      </c>
      <c r="J1434" s="21" t="n">
        <v>4</v>
      </c>
      <c r="K1434" s="21" t="s">
        <v>46</v>
      </c>
      <c r="L1434" s="24" t="n">
        <f aca="false">DATE(YEAR(C1434),MONTH(C1434),1)</f>
        <v>43221</v>
      </c>
      <c r="M1434" s="21" t="n">
        <f aca="false">D1434-C1434</f>
        <v>6</v>
      </c>
      <c r="N1434" s="21" t="n">
        <f aca="false">MAX(0,D1434-E1434)</f>
        <v>0</v>
      </c>
      <c r="O1434" s="21" t="n">
        <f aca="false">IF(D1434&lt;=E1434,1,0)</f>
        <v>1</v>
      </c>
      <c r="P1434" s="23" t="n">
        <f aca="false">G1434+H1434</f>
        <v>94.28</v>
      </c>
      <c r="Q1434" s="23" t="n">
        <f aca="false">G1434*INDEX(Assumptions!$B$8:$B$16,MATCH(F1434,Assumptions!$A$8:$A$16,0))</f>
        <v>44.73</v>
      </c>
      <c r="R1434" s="23" t="n">
        <f aca="false">H1434*Assumptions!$B$3</f>
        <v>11.838</v>
      </c>
      <c r="S1434" s="23" t="n">
        <f aca="false">G1434-Q1434-R1434</f>
        <v>17.982</v>
      </c>
      <c r="T1434" s="21" t="str">
        <f aca="false">IF(M1434&lt;=7,"0-7 days",IF(M1434&lt;=14,"8-14 days",IF(M1434&lt;=21,"15-21 days","22+ days")))</f>
        <v>0-7 days</v>
      </c>
    </row>
    <row r="1435" customFormat="false" ht="15" hidden="false" customHeight="false" outlineLevel="0" collapsed="false">
      <c r="A1435" s="21" t="s">
        <v>1501</v>
      </c>
      <c r="B1435" s="21" t="s">
        <v>19</v>
      </c>
      <c r="C1435" s="22" t="n">
        <v>43235</v>
      </c>
      <c r="D1435" s="22" t="n">
        <v>43244</v>
      </c>
      <c r="E1435" s="22" t="n">
        <v>43254</v>
      </c>
      <c r="F1435" s="21" t="s">
        <v>49</v>
      </c>
      <c r="G1435" s="23" t="n">
        <v>54.57</v>
      </c>
      <c r="H1435" s="23" t="n">
        <v>17.56</v>
      </c>
      <c r="I1435" s="21" t="s">
        <v>50</v>
      </c>
      <c r="J1435" s="21" t="n">
        <v>4</v>
      </c>
      <c r="K1435" s="21" t="s">
        <v>46</v>
      </c>
      <c r="L1435" s="24" t="n">
        <f aca="false">DATE(YEAR(C1435),MONTH(C1435),1)</f>
        <v>43221</v>
      </c>
      <c r="M1435" s="21" t="n">
        <f aca="false">D1435-C1435</f>
        <v>9</v>
      </c>
      <c r="N1435" s="21" t="n">
        <f aca="false">MAX(0,D1435-E1435)</f>
        <v>0</v>
      </c>
      <c r="O1435" s="21" t="n">
        <f aca="false">IF(D1435&lt;=E1435,1,0)</f>
        <v>1</v>
      </c>
      <c r="P1435" s="23" t="n">
        <f aca="false">G1435+H1435</f>
        <v>72.13</v>
      </c>
      <c r="Q1435" s="23" t="n">
        <f aca="false">G1435*INDEX(Assumptions!$B$8:$B$16,MATCH(F1435,Assumptions!$A$8:$A$16,0))</f>
        <v>31.6506</v>
      </c>
      <c r="R1435" s="23" t="n">
        <f aca="false">H1435*Assumptions!$B$3</f>
        <v>10.536</v>
      </c>
      <c r="S1435" s="23" t="n">
        <f aca="false">G1435-Q1435-R1435</f>
        <v>12.3834</v>
      </c>
      <c r="T1435" s="21" t="str">
        <f aca="false">IF(M1435&lt;=7,"0-7 days",IF(M1435&lt;=14,"8-14 days",IF(M1435&lt;=21,"15-21 days","22+ days")))</f>
        <v>8-14 days</v>
      </c>
    </row>
    <row r="1436" customFormat="false" ht="15" hidden="false" customHeight="false" outlineLevel="0" collapsed="false">
      <c r="A1436" s="21" t="s">
        <v>1502</v>
      </c>
      <c r="B1436" s="21" t="s">
        <v>52</v>
      </c>
      <c r="C1436" s="22" t="n">
        <v>43235</v>
      </c>
      <c r="D1436" s="22" t="n">
        <v>43256</v>
      </c>
      <c r="E1436" s="22" t="n">
        <v>43261</v>
      </c>
      <c r="F1436" s="21" t="s">
        <v>111</v>
      </c>
      <c r="G1436" s="23" t="n">
        <v>34.94</v>
      </c>
      <c r="H1436" s="23" t="n">
        <v>28.22</v>
      </c>
      <c r="I1436" s="21" t="s">
        <v>60</v>
      </c>
      <c r="J1436" s="21" t="n">
        <v>5</v>
      </c>
      <c r="K1436" s="21" t="s">
        <v>46</v>
      </c>
      <c r="L1436" s="24" t="n">
        <f aca="false">DATE(YEAR(C1436),MONTH(C1436),1)</f>
        <v>43221</v>
      </c>
      <c r="M1436" s="21" t="n">
        <f aca="false">D1436-C1436</f>
        <v>21</v>
      </c>
      <c r="N1436" s="21" t="n">
        <f aca="false">MAX(0,D1436-E1436)</f>
        <v>0</v>
      </c>
      <c r="O1436" s="21" t="n">
        <f aca="false">IF(D1436&lt;=E1436,1,0)</f>
        <v>1</v>
      </c>
      <c r="P1436" s="23" t="n">
        <f aca="false">G1436+H1436</f>
        <v>63.16</v>
      </c>
      <c r="Q1436" s="23" t="n">
        <f aca="false">G1436*INDEX(Assumptions!$B$8:$B$16,MATCH(F1436,Assumptions!$A$8:$A$16,0))</f>
        <v>22.0122</v>
      </c>
      <c r="R1436" s="23" t="n">
        <f aca="false">H1436*Assumptions!$B$3</f>
        <v>16.932</v>
      </c>
      <c r="S1436" s="23" t="n">
        <f aca="false">G1436-Q1436-R1436</f>
        <v>-4.0042</v>
      </c>
      <c r="T1436" s="21" t="str">
        <f aca="false">IF(M1436&lt;=7,"0-7 days",IF(M1436&lt;=14,"8-14 days",IF(M1436&lt;=21,"15-21 days","22+ days")))</f>
        <v>15-21 days</v>
      </c>
    </row>
    <row r="1437" customFormat="false" ht="15" hidden="false" customHeight="false" outlineLevel="0" collapsed="false">
      <c r="A1437" s="21" t="s">
        <v>1503</v>
      </c>
      <c r="B1437" s="21" t="s">
        <v>55</v>
      </c>
      <c r="C1437" s="22" t="n">
        <v>43235</v>
      </c>
      <c r="D1437" s="22" t="n">
        <v>43247</v>
      </c>
      <c r="E1437" s="22" t="n">
        <v>43261</v>
      </c>
      <c r="F1437" s="21" t="s">
        <v>59</v>
      </c>
      <c r="G1437" s="23" t="n">
        <v>214.24</v>
      </c>
      <c r="H1437" s="23" t="n">
        <v>30.88</v>
      </c>
      <c r="I1437" s="21" t="s">
        <v>45</v>
      </c>
      <c r="J1437" s="21" t="n">
        <v>4</v>
      </c>
      <c r="K1437" s="21" t="s">
        <v>46</v>
      </c>
      <c r="L1437" s="24" t="n">
        <f aca="false">DATE(YEAR(C1437),MONTH(C1437),1)</f>
        <v>43221</v>
      </c>
      <c r="M1437" s="21" t="n">
        <f aca="false">D1437-C1437</f>
        <v>12</v>
      </c>
      <c r="N1437" s="21" t="n">
        <f aca="false">MAX(0,D1437-E1437)</f>
        <v>0</v>
      </c>
      <c r="O1437" s="21" t="n">
        <f aca="false">IF(D1437&lt;=E1437,1,0)</f>
        <v>1</v>
      </c>
      <c r="P1437" s="23" t="n">
        <f aca="false">G1437+H1437</f>
        <v>245.12</v>
      </c>
      <c r="Q1437" s="23" t="n">
        <f aca="false">G1437*INDEX(Assumptions!$B$8:$B$16,MATCH(F1437,Assumptions!$A$8:$A$16,0))</f>
        <v>137.1136</v>
      </c>
      <c r="R1437" s="23" t="n">
        <f aca="false">H1437*Assumptions!$B$3</f>
        <v>18.528</v>
      </c>
      <c r="S1437" s="23" t="n">
        <f aca="false">G1437-Q1437-R1437</f>
        <v>58.5984</v>
      </c>
      <c r="T1437" s="21" t="str">
        <f aca="false">IF(M1437&lt;=7,"0-7 days",IF(M1437&lt;=14,"8-14 days",IF(M1437&lt;=21,"15-21 days","22+ days")))</f>
        <v>8-14 days</v>
      </c>
    </row>
    <row r="1438" customFormat="false" ht="15" hidden="false" customHeight="false" outlineLevel="0" collapsed="false">
      <c r="A1438" s="21" t="s">
        <v>1504</v>
      </c>
      <c r="B1438" s="21" t="s">
        <v>134</v>
      </c>
      <c r="C1438" s="22" t="n">
        <v>43235</v>
      </c>
      <c r="D1438" s="22" t="n">
        <v>43246</v>
      </c>
      <c r="E1438" s="22" t="n">
        <v>43257</v>
      </c>
      <c r="F1438" s="21" t="s">
        <v>53</v>
      </c>
      <c r="G1438" s="23" t="n">
        <v>157.2</v>
      </c>
      <c r="H1438" s="23" t="n">
        <v>26.25</v>
      </c>
      <c r="I1438" s="21" t="s">
        <v>45</v>
      </c>
      <c r="J1438" s="21" t="n">
        <v>4</v>
      </c>
      <c r="K1438" s="21" t="s">
        <v>46</v>
      </c>
      <c r="L1438" s="24" t="n">
        <f aca="false">DATE(YEAR(C1438),MONTH(C1438),1)</f>
        <v>43221</v>
      </c>
      <c r="M1438" s="21" t="n">
        <f aca="false">D1438-C1438</f>
        <v>11</v>
      </c>
      <c r="N1438" s="21" t="n">
        <f aca="false">MAX(0,D1438-E1438)</f>
        <v>0</v>
      </c>
      <c r="O1438" s="21" t="n">
        <f aca="false">IF(D1438&lt;=E1438,1,0)</f>
        <v>1</v>
      </c>
      <c r="P1438" s="23" t="n">
        <f aca="false">G1438+H1438</f>
        <v>183.45</v>
      </c>
      <c r="Q1438" s="23" t="n">
        <f aca="false">G1438*INDEX(Assumptions!$B$8:$B$16,MATCH(F1438,Assumptions!$A$8:$A$16,0))</f>
        <v>116.328</v>
      </c>
      <c r="R1438" s="23" t="n">
        <f aca="false">H1438*Assumptions!$B$3</f>
        <v>15.75</v>
      </c>
      <c r="S1438" s="23" t="n">
        <f aca="false">G1438-Q1438-R1438</f>
        <v>25.122</v>
      </c>
      <c r="T1438" s="21" t="str">
        <f aca="false">IF(M1438&lt;=7,"0-7 days",IF(M1438&lt;=14,"8-14 days",IF(M1438&lt;=21,"15-21 days","22+ days")))</f>
        <v>8-14 days</v>
      </c>
    </row>
    <row r="1439" customFormat="false" ht="15" hidden="false" customHeight="false" outlineLevel="0" collapsed="false">
      <c r="A1439" s="21" t="s">
        <v>1505</v>
      </c>
      <c r="B1439" s="21" t="s">
        <v>19</v>
      </c>
      <c r="C1439" s="22" t="n">
        <v>43236</v>
      </c>
      <c r="D1439" s="22" t="n">
        <v>43242</v>
      </c>
      <c r="E1439" s="22" t="n">
        <v>43252</v>
      </c>
      <c r="F1439" s="21" t="s">
        <v>59</v>
      </c>
      <c r="G1439" s="23" t="n">
        <v>86.27</v>
      </c>
      <c r="H1439" s="23" t="n">
        <v>19.97</v>
      </c>
      <c r="I1439" s="21" t="s">
        <v>45</v>
      </c>
      <c r="J1439" s="21" t="n">
        <v>5</v>
      </c>
      <c r="K1439" s="21" t="s">
        <v>46</v>
      </c>
      <c r="L1439" s="24" t="n">
        <f aca="false">DATE(YEAR(C1439),MONTH(C1439),1)</f>
        <v>43221</v>
      </c>
      <c r="M1439" s="21" t="n">
        <f aca="false">D1439-C1439</f>
        <v>6</v>
      </c>
      <c r="N1439" s="21" t="n">
        <f aca="false">MAX(0,D1439-E1439)</f>
        <v>0</v>
      </c>
      <c r="O1439" s="21" t="n">
        <f aca="false">IF(D1439&lt;=E1439,1,0)</f>
        <v>1</v>
      </c>
      <c r="P1439" s="23" t="n">
        <f aca="false">G1439+H1439</f>
        <v>106.24</v>
      </c>
      <c r="Q1439" s="23" t="n">
        <f aca="false">G1439*INDEX(Assumptions!$B$8:$B$16,MATCH(F1439,Assumptions!$A$8:$A$16,0))</f>
        <v>55.2128</v>
      </c>
      <c r="R1439" s="23" t="n">
        <f aca="false">H1439*Assumptions!$B$3</f>
        <v>11.982</v>
      </c>
      <c r="S1439" s="23" t="n">
        <f aca="false">G1439-Q1439-R1439</f>
        <v>19.0752</v>
      </c>
      <c r="T1439" s="21" t="str">
        <f aca="false">IF(M1439&lt;=7,"0-7 days",IF(M1439&lt;=14,"8-14 days",IF(M1439&lt;=21,"15-21 days","22+ days")))</f>
        <v>0-7 days</v>
      </c>
    </row>
    <row r="1440" customFormat="false" ht="15" hidden="false" customHeight="false" outlineLevel="0" collapsed="false">
      <c r="A1440" s="21" t="s">
        <v>1506</v>
      </c>
      <c r="B1440" s="21" t="s">
        <v>55</v>
      </c>
      <c r="C1440" s="22" t="n">
        <v>43236</v>
      </c>
      <c r="D1440" s="22" t="n">
        <v>43251</v>
      </c>
      <c r="E1440" s="22" t="n">
        <v>43259</v>
      </c>
      <c r="F1440" s="21" t="s">
        <v>67</v>
      </c>
      <c r="G1440" s="23" t="n">
        <v>58.24</v>
      </c>
      <c r="H1440" s="23" t="n">
        <v>20.94</v>
      </c>
      <c r="I1440" s="21" t="s">
        <v>60</v>
      </c>
      <c r="J1440" s="21" t="n">
        <v>3</v>
      </c>
      <c r="K1440" s="21" t="s">
        <v>46</v>
      </c>
      <c r="L1440" s="24" t="n">
        <f aca="false">DATE(YEAR(C1440),MONTH(C1440),1)</f>
        <v>43221</v>
      </c>
      <c r="M1440" s="21" t="n">
        <f aca="false">D1440-C1440</f>
        <v>15</v>
      </c>
      <c r="N1440" s="21" t="n">
        <f aca="false">MAX(0,D1440-E1440)</f>
        <v>0</v>
      </c>
      <c r="O1440" s="21" t="n">
        <f aca="false">IF(D1440&lt;=E1440,1,0)</f>
        <v>1</v>
      </c>
      <c r="P1440" s="23" t="n">
        <f aca="false">G1440+H1440</f>
        <v>79.18</v>
      </c>
      <c r="Q1440" s="23" t="n">
        <f aca="false">G1440*INDEX(Assumptions!$B$8:$B$16,MATCH(F1440,Assumptions!$A$8:$A$16,0))</f>
        <v>36.1088</v>
      </c>
      <c r="R1440" s="23" t="n">
        <f aca="false">H1440*Assumptions!$B$3</f>
        <v>12.564</v>
      </c>
      <c r="S1440" s="23" t="n">
        <f aca="false">G1440-Q1440-R1440</f>
        <v>9.5672</v>
      </c>
      <c r="T1440" s="21" t="str">
        <f aca="false">IF(M1440&lt;=7,"0-7 days",IF(M1440&lt;=14,"8-14 days",IF(M1440&lt;=21,"15-21 days","22+ days")))</f>
        <v>15-21 days</v>
      </c>
    </row>
    <row r="1441" customFormat="false" ht="15" hidden="false" customHeight="false" outlineLevel="0" collapsed="false">
      <c r="A1441" s="21" t="s">
        <v>1507</v>
      </c>
      <c r="B1441" s="21" t="s">
        <v>134</v>
      </c>
      <c r="C1441" s="22" t="n">
        <v>43236</v>
      </c>
      <c r="D1441" s="22" t="n">
        <v>43253</v>
      </c>
      <c r="E1441" s="22" t="n">
        <v>43260</v>
      </c>
      <c r="F1441" s="21" t="s">
        <v>49</v>
      </c>
      <c r="G1441" s="23" t="n">
        <v>115.03</v>
      </c>
      <c r="H1441" s="23" t="n">
        <v>24.93</v>
      </c>
      <c r="I1441" s="21" t="s">
        <v>45</v>
      </c>
      <c r="J1441" s="21" t="n">
        <v>4</v>
      </c>
      <c r="K1441" s="21" t="s">
        <v>46</v>
      </c>
      <c r="L1441" s="24" t="n">
        <f aca="false">DATE(YEAR(C1441),MONTH(C1441),1)</f>
        <v>43221</v>
      </c>
      <c r="M1441" s="21" t="n">
        <f aca="false">D1441-C1441</f>
        <v>17</v>
      </c>
      <c r="N1441" s="21" t="n">
        <f aca="false">MAX(0,D1441-E1441)</f>
        <v>0</v>
      </c>
      <c r="O1441" s="21" t="n">
        <f aca="false">IF(D1441&lt;=E1441,1,0)</f>
        <v>1</v>
      </c>
      <c r="P1441" s="23" t="n">
        <f aca="false">G1441+H1441</f>
        <v>139.96</v>
      </c>
      <c r="Q1441" s="23" t="n">
        <f aca="false">G1441*INDEX(Assumptions!$B$8:$B$16,MATCH(F1441,Assumptions!$A$8:$A$16,0))</f>
        <v>66.7174</v>
      </c>
      <c r="R1441" s="23" t="n">
        <f aca="false">H1441*Assumptions!$B$3</f>
        <v>14.958</v>
      </c>
      <c r="S1441" s="23" t="n">
        <f aca="false">G1441-Q1441-R1441</f>
        <v>33.3546</v>
      </c>
      <c r="T1441" s="21" t="str">
        <f aca="false">IF(M1441&lt;=7,"0-7 days",IF(M1441&lt;=14,"8-14 days",IF(M1441&lt;=21,"15-21 days","22+ days")))</f>
        <v>15-21 days</v>
      </c>
    </row>
    <row r="1442" customFormat="false" ht="15" hidden="false" customHeight="false" outlineLevel="0" collapsed="false">
      <c r="A1442" s="21" t="s">
        <v>1508</v>
      </c>
      <c r="B1442" s="21" t="s">
        <v>55</v>
      </c>
      <c r="C1442" s="22" t="n">
        <v>43236</v>
      </c>
      <c r="D1442" s="22" t="n">
        <v>43255</v>
      </c>
      <c r="E1442" s="22" t="n">
        <v>43258</v>
      </c>
      <c r="F1442" s="21" t="s">
        <v>49</v>
      </c>
      <c r="G1442" s="23" t="n">
        <v>43.09</v>
      </c>
      <c r="H1442" s="23" t="n">
        <v>20.15</v>
      </c>
      <c r="I1442" s="21" t="s">
        <v>60</v>
      </c>
      <c r="J1442" s="21" t="n">
        <v>3</v>
      </c>
      <c r="K1442" s="21" t="s">
        <v>46</v>
      </c>
      <c r="L1442" s="24" t="n">
        <f aca="false">DATE(YEAR(C1442),MONTH(C1442),1)</f>
        <v>43221</v>
      </c>
      <c r="M1442" s="21" t="n">
        <f aca="false">D1442-C1442</f>
        <v>19</v>
      </c>
      <c r="N1442" s="21" t="n">
        <f aca="false">MAX(0,D1442-E1442)</f>
        <v>0</v>
      </c>
      <c r="O1442" s="21" t="n">
        <f aca="false">IF(D1442&lt;=E1442,1,0)</f>
        <v>1</v>
      </c>
      <c r="P1442" s="23" t="n">
        <f aca="false">G1442+H1442</f>
        <v>63.24</v>
      </c>
      <c r="Q1442" s="23" t="n">
        <f aca="false">G1442*INDEX(Assumptions!$B$8:$B$16,MATCH(F1442,Assumptions!$A$8:$A$16,0))</f>
        <v>24.9922</v>
      </c>
      <c r="R1442" s="23" t="n">
        <f aca="false">H1442*Assumptions!$B$3</f>
        <v>12.09</v>
      </c>
      <c r="S1442" s="23" t="n">
        <f aca="false">G1442-Q1442-R1442</f>
        <v>6.00780000000001</v>
      </c>
      <c r="T1442" s="21" t="str">
        <f aca="false">IF(M1442&lt;=7,"0-7 days",IF(M1442&lt;=14,"8-14 days",IF(M1442&lt;=21,"15-21 days","22+ days")))</f>
        <v>15-21 days</v>
      </c>
    </row>
    <row r="1443" customFormat="false" ht="15" hidden="false" customHeight="false" outlineLevel="0" collapsed="false">
      <c r="A1443" s="21" t="s">
        <v>1509</v>
      </c>
      <c r="B1443" s="21" t="s">
        <v>55</v>
      </c>
      <c r="C1443" s="22" t="n">
        <v>43237</v>
      </c>
      <c r="D1443" s="22" t="n">
        <v>43251</v>
      </c>
      <c r="E1443" s="22" t="n">
        <v>43260</v>
      </c>
      <c r="F1443" s="21" t="s">
        <v>67</v>
      </c>
      <c r="G1443" s="23" t="n">
        <v>250.69</v>
      </c>
      <c r="H1443" s="23" t="n">
        <v>25.9</v>
      </c>
      <c r="I1443" s="21" t="s">
        <v>45</v>
      </c>
      <c r="J1443" s="21" t="n">
        <v>5</v>
      </c>
      <c r="K1443" s="21" t="s">
        <v>46</v>
      </c>
      <c r="L1443" s="24" t="n">
        <f aca="false">DATE(YEAR(C1443),MONTH(C1443),1)</f>
        <v>43221</v>
      </c>
      <c r="M1443" s="21" t="n">
        <f aca="false">D1443-C1443</f>
        <v>14</v>
      </c>
      <c r="N1443" s="21" t="n">
        <f aca="false">MAX(0,D1443-E1443)</f>
        <v>0</v>
      </c>
      <c r="O1443" s="21" t="n">
        <f aca="false">IF(D1443&lt;=E1443,1,0)</f>
        <v>1</v>
      </c>
      <c r="P1443" s="23" t="n">
        <f aca="false">G1443+H1443</f>
        <v>276.59</v>
      </c>
      <c r="Q1443" s="23" t="n">
        <f aca="false">G1443*INDEX(Assumptions!$B$8:$B$16,MATCH(F1443,Assumptions!$A$8:$A$16,0))</f>
        <v>155.4278</v>
      </c>
      <c r="R1443" s="23" t="n">
        <f aca="false">H1443*Assumptions!$B$3</f>
        <v>15.54</v>
      </c>
      <c r="S1443" s="23" t="n">
        <f aca="false">G1443-Q1443-R1443</f>
        <v>79.7222</v>
      </c>
      <c r="T1443" s="21" t="str">
        <f aca="false">IF(M1443&lt;=7,"0-7 days",IF(M1443&lt;=14,"8-14 days",IF(M1443&lt;=21,"15-21 days","22+ days")))</f>
        <v>8-14 days</v>
      </c>
    </row>
    <row r="1444" customFormat="false" ht="15" hidden="false" customHeight="false" outlineLevel="0" collapsed="false">
      <c r="A1444" s="21" t="s">
        <v>1510</v>
      </c>
      <c r="B1444" s="21" t="s">
        <v>19</v>
      </c>
      <c r="C1444" s="22" t="n">
        <v>43237</v>
      </c>
      <c r="D1444" s="22" t="n">
        <v>43243</v>
      </c>
      <c r="E1444" s="22" t="n">
        <v>43252</v>
      </c>
      <c r="F1444" s="21" t="s">
        <v>64</v>
      </c>
      <c r="G1444" s="23" t="n">
        <v>194.52</v>
      </c>
      <c r="H1444" s="23" t="n">
        <v>14.95</v>
      </c>
      <c r="I1444" s="21" t="s">
        <v>104</v>
      </c>
      <c r="J1444" s="21" t="n">
        <v>5</v>
      </c>
      <c r="K1444" s="21" t="s">
        <v>46</v>
      </c>
      <c r="L1444" s="24" t="n">
        <f aca="false">DATE(YEAR(C1444),MONTH(C1444),1)</f>
        <v>43221</v>
      </c>
      <c r="M1444" s="21" t="n">
        <f aca="false">D1444-C1444</f>
        <v>6</v>
      </c>
      <c r="N1444" s="21" t="n">
        <f aca="false">MAX(0,D1444-E1444)</f>
        <v>0</v>
      </c>
      <c r="O1444" s="21" t="n">
        <f aca="false">IF(D1444&lt;=E1444,1,0)</f>
        <v>1</v>
      </c>
      <c r="P1444" s="23" t="n">
        <f aca="false">G1444+H1444</f>
        <v>209.47</v>
      </c>
      <c r="Q1444" s="23" t="n">
        <f aca="false">G1444*INDEX(Assumptions!$B$8:$B$16,MATCH(F1444,Assumptions!$A$8:$A$16,0))</f>
        <v>128.3832</v>
      </c>
      <c r="R1444" s="23" t="n">
        <f aca="false">H1444*Assumptions!$B$3</f>
        <v>8.97</v>
      </c>
      <c r="S1444" s="23" t="n">
        <f aca="false">G1444-Q1444-R1444</f>
        <v>57.1668</v>
      </c>
      <c r="T1444" s="21" t="str">
        <f aca="false">IF(M1444&lt;=7,"0-7 days",IF(M1444&lt;=14,"8-14 days",IF(M1444&lt;=21,"15-21 days","22+ days")))</f>
        <v>0-7 days</v>
      </c>
    </row>
    <row r="1445" customFormat="false" ht="15" hidden="false" customHeight="false" outlineLevel="0" collapsed="false">
      <c r="A1445" s="21" t="s">
        <v>1511</v>
      </c>
      <c r="B1445" s="21" t="s">
        <v>19</v>
      </c>
      <c r="C1445" s="22" t="n">
        <v>43237</v>
      </c>
      <c r="D1445" s="22" t="n">
        <v>43243</v>
      </c>
      <c r="E1445" s="22" t="n">
        <v>43250</v>
      </c>
      <c r="F1445" s="21" t="s">
        <v>67</v>
      </c>
      <c r="G1445" s="23" t="n">
        <v>61.93</v>
      </c>
      <c r="H1445" s="23" t="n">
        <v>21.92</v>
      </c>
      <c r="I1445" s="21" t="s">
        <v>45</v>
      </c>
      <c r="J1445" s="21" t="n">
        <v>5</v>
      </c>
      <c r="K1445" s="21" t="s">
        <v>46</v>
      </c>
      <c r="L1445" s="24" t="n">
        <f aca="false">DATE(YEAR(C1445),MONTH(C1445),1)</f>
        <v>43221</v>
      </c>
      <c r="M1445" s="21" t="n">
        <f aca="false">D1445-C1445</f>
        <v>6</v>
      </c>
      <c r="N1445" s="21" t="n">
        <f aca="false">MAX(0,D1445-E1445)</f>
        <v>0</v>
      </c>
      <c r="O1445" s="21" t="n">
        <f aca="false">IF(D1445&lt;=E1445,1,0)</f>
        <v>1</v>
      </c>
      <c r="P1445" s="23" t="n">
        <f aca="false">G1445+H1445</f>
        <v>83.85</v>
      </c>
      <c r="Q1445" s="23" t="n">
        <f aca="false">G1445*INDEX(Assumptions!$B$8:$B$16,MATCH(F1445,Assumptions!$A$8:$A$16,0))</f>
        <v>38.3966</v>
      </c>
      <c r="R1445" s="23" t="n">
        <f aca="false">H1445*Assumptions!$B$3</f>
        <v>13.152</v>
      </c>
      <c r="S1445" s="23" t="n">
        <f aca="false">G1445-Q1445-R1445</f>
        <v>10.3814</v>
      </c>
      <c r="T1445" s="21" t="str">
        <f aca="false">IF(M1445&lt;=7,"0-7 days",IF(M1445&lt;=14,"8-14 days",IF(M1445&lt;=21,"15-21 days","22+ days")))</f>
        <v>0-7 days</v>
      </c>
    </row>
    <row r="1446" customFormat="false" ht="15" hidden="false" customHeight="false" outlineLevel="0" collapsed="false">
      <c r="A1446" s="21" t="s">
        <v>1512</v>
      </c>
      <c r="B1446" s="21" t="s">
        <v>52</v>
      </c>
      <c r="C1446" s="22" t="n">
        <v>43238</v>
      </c>
      <c r="D1446" s="22" t="n">
        <v>43257</v>
      </c>
      <c r="E1446" s="22" t="n">
        <v>43262</v>
      </c>
      <c r="F1446" s="21" t="s">
        <v>67</v>
      </c>
      <c r="G1446" s="23" t="n">
        <v>47.54</v>
      </c>
      <c r="H1446" s="23" t="n">
        <v>21.08</v>
      </c>
      <c r="I1446" s="21" t="s">
        <v>45</v>
      </c>
      <c r="J1446" s="21" t="n">
        <v>4</v>
      </c>
      <c r="K1446" s="21" t="s">
        <v>46</v>
      </c>
      <c r="L1446" s="24" t="n">
        <f aca="false">DATE(YEAR(C1446),MONTH(C1446),1)</f>
        <v>43221</v>
      </c>
      <c r="M1446" s="21" t="n">
        <f aca="false">D1446-C1446</f>
        <v>19</v>
      </c>
      <c r="N1446" s="21" t="n">
        <f aca="false">MAX(0,D1446-E1446)</f>
        <v>0</v>
      </c>
      <c r="O1446" s="21" t="n">
        <f aca="false">IF(D1446&lt;=E1446,1,0)</f>
        <v>1</v>
      </c>
      <c r="P1446" s="23" t="n">
        <f aca="false">G1446+H1446</f>
        <v>68.62</v>
      </c>
      <c r="Q1446" s="23" t="n">
        <f aca="false">G1446*INDEX(Assumptions!$B$8:$B$16,MATCH(F1446,Assumptions!$A$8:$A$16,0))</f>
        <v>29.4748</v>
      </c>
      <c r="R1446" s="23" t="n">
        <f aca="false">H1446*Assumptions!$B$3</f>
        <v>12.648</v>
      </c>
      <c r="S1446" s="23" t="n">
        <f aca="false">G1446-Q1446-R1446</f>
        <v>5.4172</v>
      </c>
      <c r="T1446" s="21" t="str">
        <f aca="false">IF(M1446&lt;=7,"0-7 days",IF(M1446&lt;=14,"8-14 days",IF(M1446&lt;=21,"15-21 days","22+ days")))</f>
        <v>15-21 days</v>
      </c>
    </row>
    <row r="1447" customFormat="false" ht="15" hidden="false" customHeight="false" outlineLevel="0" collapsed="false">
      <c r="A1447" s="21" t="s">
        <v>1513</v>
      </c>
      <c r="B1447" s="21" t="s">
        <v>19</v>
      </c>
      <c r="C1447" s="22" t="n">
        <v>43238</v>
      </c>
      <c r="D1447" s="22" t="n">
        <v>43245</v>
      </c>
      <c r="E1447" s="22" t="n">
        <v>43255</v>
      </c>
      <c r="F1447" s="21" t="s">
        <v>57</v>
      </c>
      <c r="G1447" s="23" t="n">
        <v>59.98</v>
      </c>
      <c r="H1447" s="23" t="n">
        <v>14.64</v>
      </c>
      <c r="I1447" s="21" t="s">
        <v>45</v>
      </c>
      <c r="J1447" s="21" t="n">
        <v>4</v>
      </c>
      <c r="K1447" s="21" t="s">
        <v>46</v>
      </c>
      <c r="L1447" s="24" t="n">
        <f aca="false">DATE(YEAR(C1447),MONTH(C1447),1)</f>
        <v>43221</v>
      </c>
      <c r="M1447" s="21" t="n">
        <f aca="false">D1447-C1447</f>
        <v>7</v>
      </c>
      <c r="N1447" s="21" t="n">
        <f aca="false">MAX(0,D1447-E1447)</f>
        <v>0</v>
      </c>
      <c r="O1447" s="21" t="n">
        <f aca="false">IF(D1447&lt;=E1447,1,0)</f>
        <v>1</v>
      </c>
      <c r="P1447" s="23" t="n">
        <f aca="false">G1447+H1447</f>
        <v>74.62</v>
      </c>
      <c r="Q1447" s="23" t="n">
        <f aca="false">G1447*INDEX(Assumptions!$B$8:$B$16,MATCH(F1447,Assumptions!$A$8:$A$16,0))</f>
        <v>40.7864</v>
      </c>
      <c r="R1447" s="23" t="n">
        <f aca="false">H1447*Assumptions!$B$3</f>
        <v>8.784</v>
      </c>
      <c r="S1447" s="23" t="n">
        <f aca="false">G1447-Q1447-R1447</f>
        <v>10.4096</v>
      </c>
      <c r="T1447" s="21" t="str">
        <f aca="false">IF(M1447&lt;=7,"0-7 days",IF(M1447&lt;=14,"8-14 days",IF(M1447&lt;=21,"15-21 days","22+ days")))</f>
        <v>0-7 days</v>
      </c>
    </row>
    <row r="1448" customFormat="false" ht="15" hidden="false" customHeight="false" outlineLevel="0" collapsed="false">
      <c r="A1448" s="21" t="s">
        <v>1514</v>
      </c>
      <c r="B1448" s="21" t="s">
        <v>55</v>
      </c>
      <c r="C1448" s="22" t="n">
        <v>43238</v>
      </c>
      <c r="D1448" s="22" t="n">
        <v>43257</v>
      </c>
      <c r="E1448" s="22" t="n">
        <v>43260</v>
      </c>
      <c r="F1448" s="21" t="s">
        <v>79</v>
      </c>
      <c r="G1448" s="23" t="n">
        <v>125.55</v>
      </c>
      <c r="H1448" s="23" t="n">
        <v>31</v>
      </c>
      <c r="I1448" s="21" t="s">
        <v>60</v>
      </c>
      <c r="J1448" s="21" t="n">
        <v>2</v>
      </c>
      <c r="K1448" s="21" t="s">
        <v>46</v>
      </c>
      <c r="L1448" s="24" t="n">
        <f aca="false">DATE(YEAR(C1448),MONTH(C1448),1)</f>
        <v>43221</v>
      </c>
      <c r="M1448" s="21" t="n">
        <f aca="false">D1448-C1448</f>
        <v>19</v>
      </c>
      <c r="N1448" s="21" t="n">
        <f aca="false">MAX(0,D1448-E1448)</f>
        <v>0</v>
      </c>
      <c r="O1448" s="21" t="n">
        <f aca="false">IF(D1448&lt;=E1448,1,0)</f>
        <v>1</v>
      </c>
      <c r="P1448" s="23" t="n">
        <f aca="false">G1448+H1448</f>
        <v>156.55</v>
      </c>
      <c r="Q1448" s="23" t="n">
        <f aca="false">G1448*INDEX(Assumptions!$B$8:$B$16,MATCH(F1448,Assumptions!$A$8:$A$16,0))</f>
        <v>87.885</v>
      </c>
      <c r="R1448" s="23" t="n">
        <f aca="false">H1448*Assumptions!$B$3</f>
        <v>18.6</v>
      </c>
      <c r="S1448" s="23" t="n">
        <f aca="false">G1448-Q1448-R1448</f>
        <v>19.065</v>
      </c>
      <c r="T1448" s="21" t="str">
        <f aca="false">IF(M1448&lt;=7,"0-7 days",IF(M1448&lt;=14,"8-14 days",IF(M1448&lt;=21,"15-21 days","22+ days")))</f>
        <v>15-21 days</v>
      </c>
    </row>
    <row r="1449" customFormat="false" ht="15" hidden="false" customHeight="false" outlineLevel="0" collapsed="false">
      <c r="A1449" s="21" t="s">
        <v>1515</v>
      </c>
      <c r="B1449" s="21" t="s">
        <v>77</v>
      </c>
      <c r="C1449" s="22" t="n">
        <v>43238</v>
      </c>
      <c r="D1449" s="22" t="n">
        <v>43261</v>
      </c>
      <c r="E1449" s="22" t="n">
        <v>43263</v>
      </c>
      <c r="F1449" s="21" t="s">
        <v>59</v>
      </c>
      <c r="G1449" s="23" t="n">
        <v>49.6</v>
      </c>
      <c r="H1449" s="23" t="n">
        <v>20.19</v>
      </c>
      <c r="I1449" s="21" t="s">
        <v>45</v>
      </c>
      <c r="J1449" s="21" t="n">
        <v>5</v>
      </c>
      <c r="K1449" s="21" t="s">
        <v>46</v>
      </c>
      <c r="L1449" s="24" t="n">
        <f aca="false">DATE(YEAR(C1449),MONTH(C1449),1)</f>
        <v>43221</v>
      </c>
      <c r="M1449" s="21" t="n">
        <f aca="false">D1449-C1449</f>
        <v>23</v>
      </c>
      <c r="N1449" s="21" t="n">
        <f aca="false">MAX(0,D1449-E1449)</f>
        <v>0</v>
      </c>
      <c r="O1449" s="21" t="n">
        <f aca="false">IF(D1449&lt;=E1449,1,0)</f>
        <v>1</v>
      </c>
      <c r="P1449" s="23" t="n">
        <f aca="false">G1449+H1449</f>
        <v>69.79</v>
      </c>
      <c r="Q1449" s="23" t="n">
        <f aca="false">G1449*INDEX(Assumptions!$B$8:$B$16,MATCH(F1449,Assumptions!$A$8:$A$16,0))</f>
        <v>31.744</v>
      </c>
      <c r="R1449" s="23" t="n">
        <f aca="false">H1449*Assumptions!$B$3</f>
        <v>12.114</v>
      </c>
      <c r="S1449" s="23" t="n">
        <f aca="false">G1449-Q1449-R1449</f>
        <v>5.742</v>
      </c>
      <c r="T1449" s="21" t="str">
        <f aca="false">IF(M1449&lt;=7,"0-7 days",IF(M1449&lt;=14,"8-14 days",IF(M1449&lt;=21,"15-21 days","22+ days")))</f>
        <v>22+ days</v>
      </c>
    </row>
    <row r="1450" customFormat="false" ht="15" hidden="false" customHeight="false" outlineLevel="0" collapsed="false">
      <c r="A1450" s="21" t="s">
        <v>1516</v>
      </c>
      <c r="B1450" s="21" t="s">
        <v>55</v>
      </c>
      <c r="C1450" s="22" t="n">
        <v>43238</v>
      </c>
      <c r="D1450" s="22" t="n">
        <v>43252</v>
      </c>
      <c r="E1450" s="22" t="n">
        <v>43263</v>
      </c>
      <c r="F1450" s="21" t="s">
        <v>59</v>
      </c>
      <c r="G1450" s="23" t="n">
        <v>77.1</v>
      </c>
      <c r="H1450" s="23" t="n">
        <v>26.64</v>
      </c>
      <c r="I1450" s="21" t="s">
        <v>45</v>
      </c>
      <c r="J1450" s="21" t="n">
        <v>4</v>
      </c>
      <c r="K1450" s="21" t="s">
        <v>46</v>
      </c>
      <c r="L1450" s="24" t="n">
        <f aca="false">DATE(YEAR(C1450),MONTH(C1450),1)</f>
        <v>43221</v>
      </c>
      <c r="M1450" s="21" t="n">
        <f aca="false">D1450-C1450</f>
        <v>14</v>
      </c>
      <c r="N1450" s="21" t="n">
        <f aca="false">MAX(0,D1450-E1450)</f>
        <v>0</v>
      </c>
      <c r="O1450" s="21" t="n">
        <f aca="false">IF(D1450&lt;=E1450,1,0)</f>
        <v>1</v>
      </c>
      <c r="P1450" s="23" t="n">
        <f aca="false">G1450+H1450</f>
        <v>103.74</v>
      </c>
      <c r="Q1450" s="23" t="n">
        <f aca="false">G1450*INDEX(Assumptions!$B$8:$B$16,MATCH(F1450,Assumptions!$A$8:$A$16,0))</f>
        <v>49.344</v>
      </c>
      <c r="R1450" s="23" t="n">
        <f aca="false">H1450*Assumptions!$B$3</f>
        <v>15.984</v>
      </c>
      <c r="S1450" s="23" t="n">
        <f aca="false">G1450-Q1450-R1450</f>
        <v>11.772</v>
      </c>
      <c r="T1450" s="21" t="str">
        <f aca="false">IF(M1450&lt;=7,"0-7 days",IF(M1450&lt;=14,"8-14 days",IF(M1450&lt;=21,"15-21 days","22+ days")))</f>
        <v>8-14 days</v>
      </c>
    </row>
    <row r="1451" customFormat="false" ht="15" hidden="false" customHeight="false" outlineLevel="0" collapsed="false">
      <c r="A1451" s="21" t="s">
        <v>1517</v>
      </c>
      <c r="B1451" s="21" t="s">
        <v>174</v>
      </c>
      <c r="C1451" s="22" t="n">
        <v>43239</v>
      </c>
      <c r="D1451" s="22" t="n">
        <v>43260</v>
      </c>
      <c r="E1451" s="22" t="n">
        <v>43271</v>
      </c>
      <c r="F1451" s="21" t="s">
        <v>67</v>
      </c>
      <c r="G1451" s="23" t="n">
        <v>33.81</v>
      </c>
      <c r="H1451" s="23" t="n">
        <v>24.92</v>
      </c>
      <c r="I1451" s="21" t="s">
        <v>45</v>
      </c>
      <c r="J1451" s="21" t="n">
        <v>5</v>
      </c>
      <c r="K1451" s="21" t="s">
        <v>46</v>
      </c>
      <c r="L1451" s="24" t="n">
        <f aca="false">DATE(YEAR(C1451),MONTH(C1451),1)</f>
        <v>43221</v>
      </c>
      <c r="M1451" s="21" t="n">
        <f aca="false">D1451-C1451</f>
        <v>21</v>
      </c>
      <c r="N1451" s="21" t="n">
        <f aca="false">MAX(0,D1451-E1451)</f>
        <v>0</v>
      </c>
      <c r="O1451" s="21" t="n">
        <f aca="false">IF(D1451&lt;=E1451,1,0)</f>
        <v>1</v>
      </c>
      <c r="P1451" s="23" t="n">
        <f aca="false">G1451+H1451</f>
        <v>58.73</v>
      </c>
      <c r="Q1451" s="23" t="n">
        <f aca="false">G1451*INDEX(Assumptions!$B$8:$B$16,MATCH(F1451,Assumptions!$A$8:$A$16,0))</f>
        <v>20.9622</v>
      </c>
      <c r="R1451" s="23" t="n">
        <f aca="false">H1451*Assumptions!$B$3</f>
        <v>14.952</v>
      </c>
      <c r="S1451" s="23" t="n">
        <f aca="false">G1451-Q1451-R1451</f>
        <v>-2.1042</v>
      </c>
      <c r="T1451" s="21" t="str">
        <f aca="false">IF(M1451&lt;=7,"0-7 days",IF(M1451&lt;=14,"8-14 days",IF(M1451&lt;=21,"15-21 days","22+ days")))</f>
        <v>15-21 days</v>
      </c>
    </row>
    <row r="1452" customFormat="false" ht="15" hidden="false" customHeight="false" outlineLevel="0" collapsed="false">
      <c r="A1452" s="21" t="s">
        <v>1518</v>
      </c>
      <c r="B1452" s="21" t="s">
        <v>19</v>
      </c>
      <c r="C1452" s="22" t="n">
        <v>43239</v>
      </c>
      <c r="D1452" s="22" t="n">
        <v>43244</v>
      </c>
      <c r="E1452" s="22" t="n">
        <v>43253</v>
      </c>
      <c r="F1452" s="21" t="s">
        <v>67</v>
      </c>
      <c r="G1452" s="23" t="n">
        <v>71.13</v>
      </c>
      <c r="H1452" s="23" t="n">
        <v>14.08</v>
      </c>
      <c r="I1452" s="21" t="s">
        <v>45</v>
      </c>
      <c r="J1452" s="21" t="n">
        <v>4</v>
      </c>
      <c r="K1452" s="21" t="s">
        <v>46</v>
      </c>
      <c r="L1452" s="24" t="n">
        <f aca="false">DATE(YEAR(C1452),MONTH(C1452),1)</f>
        <v>43221</v>
      </c>
      <c r="M1452" s="21" t="n">
        <f aca="false">D1452-C1452</f>
        <v>5</v>
      </c>
      <c r="N1452" s="21" t="n">
        <f aca="false">MAX(0,D1452-E1452)</f>
        <v>0</v>
      </c>
      <c r="O1452" s="21" t="n">
        <f aca="false">IF(D1452&lt;=E1452,1,0)</f>
        <v>1</v>
      </c>
      <c r="P1452" s="23" t="n">
        <f aca="false">G1452+H1452</f>
        <v>85.21</v>
      </c>
      <c r="Q1452" s="23" t="n">
        <f aca="false">G1452*INDEX(Assumptions!$B$8:$B$16,MATCH(F1452,Assumptions!$A$8:$A$16,0))</f>
        <v>44.1006</v>
      </c>
      <c r="R1452" s="23" t="n">
        <f aca="false">H1452*Assumptions!$B$3</f>
        <v>8.448</v>
      </c>
      <c r="S1452" s="23" t="n">
        <f aca="false">G1452-Q1452-R1452</f>
        <v>18.5814</v>
      </c>
      <c r="T1452" s="21" t="str">
        <f aca="false">IF(M1452&lt;=7,"0-7 days",IF(M1452&lt;=14,"8-14 days",IF(M1452&lt;=21,"15-21 days","22+ days")))</f>
        <v>0-7 days</v>
      </c>
    </row>
    <row r="1453" customFormat="false" ht="15" hidden="false" customHeight="false" outlineLevel="0" collapsed="false">
      <c r="A1453" s="21" t="s">
        <v>1519</v>
      </c>
      <c r="B1453" s="21" t="s">
        <v>77</v>
      </c>
      <c r="C1453" s="22" t="n">
        <v>43239</v>
      </c>
      <c r="D1453" s="22" t="n">
        <v>43249</v>
      </c>
      <c r="E1453" s="22" t="n">
        <v>43267</v>
      </c>
      <c r="F1453" s="21" t="s">
        <v>79</v>
      </c>
      <c r="G1453" s="23" t="n">
        <v>27.35</v>
      </c>
      <c r="H1453" s="23" t="n">
        <v>25.98</v>
      </c>
      <c r="I1453" s="21" t="s">
        <v>45</v>
      </c>
      <c r="J1453" s="21" t="n">
        <v>5</v>
      </c>
      <c r="K1453" s="21" t="s">
        <v>46</v>
      </c>
      <c r="L1453" s="24" t="n">
        <f aca="false">DATE(YEAR(C1453),MONTH(C1453),1)</f>
        <v>43221</v>
      </c>
      <c r="M1453" s="21" t="n">
        <f aca="false">D1453-C1453</f>
        <v>10</v>
      </c>
      <c r="N1453" s="21" t="n">
        <f aca="false">MAX(0,D1453-E1453)</f>
        <v>0</v>
      </c>
      <c r="O1453" s="21" t="n">
        <f aca="false">IF(D1453&lt;=E1453,1,0)</f>
        <v>1</v>
      </c>
      <c r="P1453" s="23" t="n">
        <f aca="false">G1453+H1453</f>
        <v>53.33</v>
      </c>
      <c r="Q1453" s="23" t="n">
        <f aca="false">G1453*INDEX(Assumptions!$B$8:$B$16,MATCH(F1453,Assumptions!$A$8:$A$16,0))</f>
        <v>19.145</v>
      </c>
      <c r="R1453" s="23" t="n">
        <f aca="false">H1453*Assumptions!$B$3</f>
        <v>15.588</v>
      </c>
      <c r="S1453" s="23" t="n">
        <f aca="false">G1453-Q1453-R1453</f>
        <v>-7.383</v>
      </c>
      <c r="T1453" s="21" t="str">
        <f aca="false">IF(M1453&lt;=7,"0-7 days",IF(M1453&lt;=14,"8-14 days",IF(M1453&lt;=21,"15-21 days","22+ days")))</f>
        <v>8-14 days</v>
      </c>
    </row>
    <row r="1454" customFormat="false" ht="15" hidden="false" customHeight="false" outlineLevel="0" collapsed="false">
      <c r="A1454" s="21" t="s">
        <v>1520</v>
      </c>
      <c r="B1454" s="21" t="s">
        <v>156</v>
      </c>
      <c r="C1454" s="22" t="n">
        <v>43239</v>
      </c>
      <c r="D1454" s="22" t="n">
        <v>43260</v>
      </c>
      <c r="E1454" s="22" t="n">
        <v>43266</v>
      </c>
      <c r="F1454" s="21" t="s">
        <v>111</v>
      </c>
      <c r="G1454" s="23" t="n">
        <v>43.58</v>
      </c>
      <c r="H1454" s="23" t="n">
        <v>20.45</v>
      </c>
      <c r="I1454" s="21" t="s">
        <v>45</v>
      </c>
      <c r="J1454" s="21" t="n">
        <v>3</v>
      </c>
      <c r="K1454" s="21" t="s">
        <v>46</v>
      </c>
      <c r="L1454" s="24" t="n">
        <f aca="false">DATE(YEAR(C1454),MONTH(C1454),1)</f>
        <v>43221</v>
      </c>
      <c r="M1454" s="21" t="n">
        <f aca="false">D1454-C1454</f>
        <v>21</v>
      </c>
      <c r="N1454" s="21" t="n">
        <f aca="false">MAX(0,D1454-E1454)</f>
        <v>0</v>
      </c>
      <c r="O1454" s="21" t="n">
        <f aca="false">IF(D1454&lt;=E1454,1,0)</f>
        <v>1</v>
      </c>
      <c r="P1454" s="23" t="n">
        <f aca="false">G1454+H1454</f>
        <v>64.03</v>
      </c>
      <c r="Q1454" s="23" t="n">
        <f aca="false">G1454*INDEX(Assumptions!$B$8:$B$16,MATCH(F1454,Assumptions!$A$8:$A$16,0))</f>
        <v>27.4554</v>
      </c>
      <c r="R1454" s="23" t="n">
        <f aca="false">H1454*Assumptions!$B$3</f>
        <v>12.27</v>
      </c>
      <c r="S1454" s="23" t="n">
        <f aca="false">G1454-Q1454-R1454</f>
        <v>3.8546</v>
      </c>
      <c r="T1454" s="21" t="str">
        <f aca="false">IF(M1454&lt;=7,"0-7 days",IF(M1454&lt;=14,"8-14 days",IF(M1454&lt;=21,"15-21 days","22+ days")))</f>
        <v>15-21 days</v>
      </c>
    </row>
    <row r="1455" customFormat="false" ht="15" hidden="false" customHeight="false" outlineLevel="0" collapsed="false">
      <c r="A1455" s="21" t="s">
        <v>1521</v>
      </c>
      <c r="B1455" s="21" t="s">
        <v>19</v>
      </c>
      <c r="C1455" s="22" t="n">
        <v>43239</v>
      </c>
      <c r="D1455" s="22" t="n">
        <v>43245</v>
      </c>
      <c r="E1455" s="22" t="n">
        <v>43256</v>
      </c>
      <c r="F1455" s="21" t="s">
        <v>44</v>
      </c>
      <c r="G1455" s="23" t="n">
        <v>21.49</v>
      </c>
      <c r="H1455" s="23" t="n">
        <v>17.53</v>
      </c>
      <c r="I1455" s="21" t="s">
        <v>60</v>
      </c>
      <c r="J1455" s="21" t="n">
        <v>3</v>
      </c>
      <c r="K1455" s="21" t="s">
        <v>46</v>
      </c>
      <c r="L1455" s="24" t="n">
        <f aca="false">DATE(YEAR(C1455),MONTH(C1455),1)</f>
        <v>43221</v>
      </c>
      <c r="M1455" s="21" t="n">
        <f aca="false">D1455-C1455</f>
        <v>6</v>
      </c>
      <c r="N1455" s="21" t="n">
        <f aca="false">MAX(0,D1455-E1455)</f>
        <v>0</v>
      </c>
      <c r="O1455" s="21" t="n">
        <f aca="false">IF(D1455&lt;=E1455,1,0)</f>
        <v>1</v>
      </c>
      <c r="P1455" s="23" t="n">
        <f aca="false">G1455+H1455</f>
        <v>39.02</v>
      </c>
      <c r="Q1455" s="23" t="n">
        <f aca="false">G1455*INDEX(Assumptions!$B$8:$B$16,MATCH(F1455,Assumptions!$A$8:$A$16,0))</f>
        <v>12.894</v>
      </c>
      <c r="R1455" s="23" t="n">
        <f aca="false">H1455*Assumptions!$B$3</f>
        <v>10.518</v>
      </c>
      <c r="S1455" s="23" t="n">
        <f aca="false">G1455-Q1455-R1455</f>
        <v>-1.922</v>
      </c>
      <c r="T1455" s="21" t="str">
        <f aca="false">IF(M1455&lt;=7,"0-7 days",IF(M1455&lt;=14,"8-14 days",IF(M1455&lt;=21,"15-21 days","22+ days")))</f>
        <v>0-7 days</v>
      </c>
    </row>
    <row r="1456" customFormat="false" ht="15" hidden="false" customHeight="false" outlineLevel="0" collapsed="false">
      <c r="A1456" s="21" t="s">
        <v>1522</v>
      </c>
      <c r="B1456" s="21" t="s">
        <v>19</v>
      </c>
      <c r="C1456" s="22" t="n">
        <v>43240</v>
      </c>
      <c r="D1456" s="22" t="n">
        <v>43248</v>
      </c>
      <c r="E1456" s="22" t="n">
        <v>43255</v>
      </c>
      <c r="F1456" s="21" t="s">
        <v>57</v>
      </c>
      <c r="G1456" s="23" t="n">
        <v>95.86</v>
      </c>
      <c r="H1456" s="23" t="n">
        <v>14.15</v>
      </c>
      <c r="I1456" s="21" t="s">
        <v>45</v>
      </c>
      <c r="J1456" s="21" t="n">
        <v>4</v>
      </c>
      <c r="K1456" s="21" t="s">
        <v>46</v>
      </c>
      <c r="L1456" s="24" t="n">
        <f aca="false">DATE(YEAR(C1456),MONTH(C1456),1)</f>
        <v>43221</v>
      </c>
      <c r="M1456" s="21" t="n">
        <f aca="false">D1456-C1456</f>
        <v>8</v>
      </c>
      <c r="N1456" s="21" t="n">
        <f aca="false">MAX(0,D1456-E1456)</f>
        <v>0</v>
      </c>
      <c r="O1456" s="21" t="n">
        <f aca="false">IF(D1456&lt;=E1456,1,0)</f>
        <v>1</v>
      </c>
      <c r="P1456" s="23" t="n">
        <f aca="false">G1456+H1456</f>
        <v>110.01</v>
      </c>
      <c r="Q1456" s="23" t="n">
        <f aca="false">G1456*INDEX(Assumptions!$B$8:$B$16,MATCH(F1456,Assumptions!$A$8:$A$16,0))</f>
        <v>65.1848</v>
      </c>
      <c r="R1456" s="23" t="n">
        <f aca="false">H1456*Assumptions!$B$3</f>
        <v>8.49</v>
      </c>
      <c r="S1456" s="23" t="n">
        <f aca="false">G1456-Q1456-R1456</f>
        <v>22.1852</v>
      </c>
      <c r="T1456" s="21" t="str">
        <f aca="false">IF(M1456&lt;=7,"0-7 days",IF(M1456&lt;=14,"8-14 days",IF(M1456&lt;=21,"15-21 days","22+ days")))</f>
        <v>8-14 days</v>
      </c>
    </row>
    <row r="1457" customFormat="false" ht="15" hidden="false" customHeight="false" outlineLevel="0" collapsed="false">
      <c r="A1457" s="21" t="s">
        <v>1523</v>
      </c>
      <c r="B1457" s="21" t="s">
        <v>55</v>
      </c>
      <c r="C1457" s="22" t="n">
        <v>43240</v>
      </c>
      <c r="D1457" s="22" t="n">
        <v>43247</v>
      </c>
      <c r="E1457" s="22" t="n">
        <v>43265</v>
      </c>
      <c r="F1457" s="21" t="s">
        <v>64</v>
      </c>
      <c r="G1457" s="23" t="n">
        <v>69.53</v>
      </c>
      <c r="H1457" s="23" t="n">
        <v>24.3</v>
      </c>
      <c r="I1457" s="21" t="s">
        <v>45</v>
      </c>
      <c r="J1457" s="21" t="n">
        <v>5</v>
      </c>
      <c r="K1457" s="21" t="s">
        <v>46</v>
      </c>
      <c r="L1457" s="24" t="n">
        <f aca="false">DATE(YEAR(C1457),MONTH(C1457),1)</f>
        <v>43221</v>
      </c>
      <c r="M1457" s="21" t="n">
        <f aca="false">D1457-C1457</f>
        <v>7</v>
      </c>
      <c r="N1457" s="21" t="n">
        <f aca="false">MAX(0,D1457-E1457)</f>
        <v>0</v>
      </c>
      <c r="O1457" s="21" t="n">
        <f aca="false">IF(D1457&lt;=E1457,1,0)</f>
        <v>1</v>
      </c>
      <c r="P1457" s="23" t="n">
        <f aca="false">G1457+H1457</f>
        <v>93.83</v>
      </c>
      <c r="Q1457" s="23" t="n">
        <f aca="false">G1457*INDEX(Assumptions!$B$8:$B$16,MATCH(F1457,Assumptions!$A$8:$A$16,0))</f>
        <v>45.8898</v>
      </c>
      <c r="R1457" s="23" t="n">
        <f aca="false">H1457*Assumptions!$B$3</f>
        <v>14.58</v>
      </c>
      <c r="S1457" s="23" t="n">
        <f aca="false">G1457-Q1457-R1457</f>
        <v>9.0602</v>
      </c>
      <c r="T1457" s="21" t="str">
        <f aca="false">IF(M1457&lt;=7,"0-7 days",IF(M1457&lt;=14,"8-14 days",IF(M1457&lt;=21,"15-21 days","22+ days")))</f>
        <v>0-7 days</v>
      </c>
    </row>
    <row r="1458" customFormat="false" ht="15" hidden="false" customHeight="false" outlineLevel="0" collapsed="false">
      <c r="A1458" s="21" t="s">
        <v>1524</v>
      </c>
      <c r="B1458" s="21" t="s">
        <v>19</v>
      </c>
      <c r="C1458" s="22" t="n">
        <v>43240</v>
      </c>
      <c r="D1458" s="22" t="n">
        <v>43250</v>
      </c>
      <c r="E1458" s="22" t="n">
        <v>43254</v>
      </c>
      <c r="F1458" s="21" t="s">
        <v>49</v>
      </c>
      <c r="G1458" s="23" t="n">
        <v>46.5</v>
      </c>
      <c r="H1458" s="23" t="n">
        <v>17.89</v>
      </c>
      <c r="I1458" s="21" t="s">
        <v>45</v>
      </c>
      <c r="J1458" s="21" t="n">
        <v>4</v>
      </c>
      <c r="K1458" s="21" t="s">
        <v>46</v>
      </c>
      <c r="L1458" s="24" t="n">
        <f aca="false">DATE(YEAR(C1458),MONTH(C1458),1)</f>
        <v>43221</v>
      </c>
      <c r="M1458" s="21" t="n">
        <f aca="false">D1458-C1458</f>
        <v>10</v>
      </c>
      <c r="N1458" s="21" t="n">
        <f aca="false">MAX(0,D1458-E1458)</f>
        <v>0</v>
      </c>
      <c r="O1458" s="21" t="n">
        <f aca="false">IF(D1458&lt;=E1458,1,0)</f>
        <v>1</v>
      </c>
      <c r="P1458" s="23" t="n">
        <f aca="false">G1458+H1458</f>
        <v>64.39</v>
      </c>
      <c r="Q1458" s="23" t="n">
        <f aca="false">G1458*INDEX(Assumptions!$B$8:$B$16,MATCH(F1458,Assumptions!$A$8:$A$16,0))</f>
        <v>26.97</v>
      </c>
      <c r="R1458" s="23" t="n">
        <f aca="false">H1458*Assumptions!$B$3</f>
        <v>10.734</v>
      </c>
      <c r="S1458" s="23" t="n">
        <f aca="false">G1458-Q1458-R1458</f>
        <v>8.796</v>
      </c>
      <c r="T1458" s="21" t="str">
        <f aca="false">IF(M1458&lt;=7,"0-7 days",IF(M1458&lt;=14,"8-14 days",IF(M1458&lt;=21,"15-21 days","22+ days")))</f>
        <v>8-14 days</v>
      </c>
    </row>
    <row r="1459" customFormat="false" ht="15" hidden="false" customHeight="false" outlineLevel="0" collapsed="false">
      <c r="A1459" s="21" t="s">
        <v>1525</v>
      </c>
      <c r="B1459" s="21" t="s">
        <v>19</v>
      </c>
      <c r="C1459" s="22" t="n">
        <v>43241</v>
      </c>
      <c r="D1459" s="22" t="n">
        <v>43249</v>
      </c>
      <c r="E1459" s="22" t="n">
        <v>43256</v>
      </c>
      <c r="F1459" s="21" t="s">
        <v>111</v>
      </c>
      <c r="G1459" s="23" t="n">
        <v>103.6</v>
      </c>
      <c r="H1459" s="23" t="n">
        <v>21.47</v>
      </c>
      <c r="I1459" s="21" t="s">
        <v>45</v>
      </c>
      <c r="J1459" s="21" t="n">
        <v>4</v>
      </c>
      <c r="K1459" s="21" t="s">
        <v>46</v>
      </c>
      <c r="L1459" s="24" t="n">
        <f aca="false">DATE(YEAR(C1459),MONTH(C1459),1)</f>
        <v>43221</v>
      </c>
      <c r="M1459" s="21" t="n">
        <f aca="false">D1459-C1459</f>
        <v>8</v>
      </c>
      <c r="N1459" s="21" t="n">
        <f aca="false">MAX(0,D1459-E1459)</f>
        <v>0</v>
      </c>
      <c r="O1459" s="21" t="n">
        <f aca="false">IF(D1459&lt;=E1459,1,0)</f>
        <v>1</v>
      </c>
      <c r="P1459" s="23" t="n">
        <f aca="false">G1459+H1459</f>
        <v>125.07</v>
      </c>
      <c r="Q1459" s="23" t="n">
        <f aca="false">G1459*INDEX(Assumptions!$B$8:$B$16,MATCH(F1459,Assumptions!$A$8:$A$16,0))</f>
        <v>65.268</v>
      </c>
      <c r="R1459" s="23" t="n">
        <f aca="false">H1459*Assumptions!$B$3</f>
        <v>12.882</v>
      </c>
      <c r="S1459" s="23" t="n">
        <f aca="false">G1459-Q1459-R1459</f>
        <v>25.45</v>
      </c>
      <c r="T1459" s="21" t="str">
        <f aca="false">IF(M1459&lt;=7,"0-7 days",IF(M1459&lt;=14,"8-14 days",IF(M1459&lt;=21,"15-21 days","22+ days")))</f>
        <v>8-14 days</v>
      </c>
    </row>
    <row r="1460" customFormat="false" ht="15" hidden="false" customHeight="false" outlineLevel="0" collapsed="false">
      <c r="A1460" s="21" t="s">
        <v>1526</v>
      </c>
      <c r="B1460" s="21" t="s">
        <v>19</v>
      </c>
      <c r="C1460" s="22" t="n">
        <v>43241</v>
      </c>
      <c r="D1460" s="22" t="n">
        <v>43257</v>
      </c>
      <c r="E1460" s="22" t="n">
        <v>43257</v>
      </c>
      <c r="F1460" s="21" t="s">
        <v>49</v>
      </c>
      <c r="G1460" s="23" t="n">
        <v>96.88</v>
      </c>
      <c r="H1460" s="23" t="n">
        <v>17.57</v>
      </c>
      <c r="I1460" s="21" t="s">
        <v>60</v>
      </c>
      <c r="J1460" s="21" t="n">
        <v>4</v>
      </c>
      <c r="K1460" s="21" t="s">
        <v>46</v>
      </c>
      <c r="L1460" s="24" t="n">
        <f aca="false">DATE(YEAR(C1460),MONTH(C1460),1)</f>
        <v>43221</v>
      </c>
      <c r="M1460" s="21" t="n">
        <f aca="false">D1460-C1460</f>
        <v>16</v>
      </c>
      <c r="N1460" s="21" t="n">
        <f aca="false">MAX(0,D1460-E1460)</f>
        <v>0</v>
      </c>
      <c r="O1460" s="21" t="n">
        <f aca="false">IF(D1460&lt;=E1460,1,0)</f>
        <v>1</v>
      </c>
      <c r="P1460" s="23" t="n">
        <f aca="false">G1460+H1460</f>
        <v>114.45</v>
      </c>
      <c r="Q1460" s="23" t="n">
        <f aca="false">G1460*INDEX(Assumptions!$B$8:$B$16,MATCH(F1460,Assumptions!$A$8:$A$16,0))</f>
        <v>56.1904</v>
      </c>
      <c r="R1460" s="23" t="n">
        <f aca="false">H1460*Assumptions!$B$3</f>
        <v>10.542</v>
      </c>
      <c r="S1460" s="23" t="n">
        <f aca="false">G1460-Q1460-R1460</f>
        <v>30.1476</v>
      </c>
      <c r="T1460" s="21" t="str">
        <f aca="false">IF(M1460&lt;=7,"0-7 days",IF(M1460&lt;=14,"8-14 days",IF(M1460&lt;=21,"15-21 days","22+ days")))</f>
        <v>15-21 days</v>
      </c>
    </row>
    <row r="1461" customFormat="false" ht="15" hidden="false" customHeight="false" outlineLevel="0" collapsed="false">
      <c r="A1461" s="21" t="s">
        <v>1527</v>
      </c>
      <c r="B1461" s="21" t="s">
        <v>55</v>
      </c>
      <c r="C1461" s="22" t="n">
        <v>43241</v>
      </c>
      <c r="D1461" s="22" t="n">
        <v>43260</v>
      </c>
      <c r="E1461" s="22" t="n">
        <v>43264</v>
      </c>
      <c r="F1461" s="21" t="s">
        <v>64</v>
      </c>
      <c r="G1461" s="23" t="n">
        <v>143.04</v>
      </c>
      <c r="H1461" s="23" t="n">
        <v>31.61</v>
      </c>
      <c r="I1461" s="21" t="s">
        <v>45</v>
      </c>
      <c r="J1461" s="21" t="n">
        <v>4</v>
      </c>
      <c r="K1461" s="21" t="s">
        <v>46</v>
      </c>
      <c r="L1461" s="24" t="n">
        <f aca="false">DATE(YEAR(C1461),MONTH(C1461),1)</f>
        <v>43221</v>
      </c>
      <c r="M1461" s="21" t="n">
        <f aca="false">D1461-C1461</f>
        <v>19</v>
      </c>
      <c r="N1461" s="21" t="n">
        <f aca="false">MAX(0,D1461-E1461)</f>
        <v>0</v>
      </c>
      <c r="O1461" s="21" t="n">
        <f aca="false">IF(D1461&lt;=E1461,1,0)</f>
        <v>1</v>
      </c>
      <c r="P1461" s="23" t="n">
        <f aca="false">G1461+H1461</f>
        <v>174.65</v>
      </c>
      <c r="Q1461" s="23" t="n">
        <f aca="false">G1461*INDEX(Assumptions!$B$8:$B$16,MATCH(F1461,Assumptions!$A$8:$A$16,0))</f>
        <v>94.4064</v>
      </c>
      <c r="R1461" s="23" t="n">
        <f aca="false">H1461*Assumptions!$B$3</f>
        <v>18.966</v>
      </c>
      <c r="S1461" s="23" t="n">
        <f aca="false">G1461-Q1461-R1461</f>
        <v>29.6676</v>
      </c>
      <c r="T1461" s="21" t="str">
        <f aca="false">IF(M1461&lt;=7,"0-7 days",IF(M1461&lt;=14,"8-14 days",IF(M1461&lt;=21,"15-21 days","22+ days")))</f>
        <v>15-21 days</v>
      </c>
    </row>
    <row r="1462" customFormat="false" ht="15" hidden="false" customHeight="false" outlineLevel="0" collapsed="false">
      <c r="A1462" s="21" t="s">
        <v>1528</v>
      </c>
      <c r="B1462" s="21" t="s">
        <v>55</v>
      </c>
      <c r="C1462" s="22" t="n">
        <v>43241</v>
      </c>
      <c r="D1462" s="22" t="n">
        <v>43257</v>
      </c>
      <c r="E1462" s="22" t="n">
        <v>43268</v>
      </c>
      <c r="F1462" s="21" t="s">
        <v>64</v>
      </c>
      <c r="G1462" s="23" t="n">
        <v>395.33</v>
      </c>
      <c r="H1462" s="23" t="n">
        <v>29.58</v>
      </c>
      <c r="I1462" s="21" t="s">
        <v>60</v>
      </c>
      <c r="J1462" s="21" t="n">
        <v>4</v>
      </c>
      <c r="K1462" s="21" t="s">
        <v>46</v>
      </c>
      <c r="L1462" s="24" t="n">
        <f aca="false">DATE(YEAR(C1462),MONTH(C1462),1)</f>
        <v>43221</v>
      </c>
      <c r="M1462" s="21" t="n">
        <f aca="false">D1462-C1462</f>
        <v>16</v>
      </c>
      <c r="N1462" s="21" t="n">
        <f aca="false">MAX(0,D1462-E1462)</f>
        <v>0</v>
      </c>
      <c r="O1462" s="21" t="n">
        <f aca="false">IF(D1462&lt;=E1462,1,0)</f>
        <v>1</v>
      </c>
      <c r="P1462" s="23" t="n">
        <f aca="false">G1462+H1462</f>
        <v>424.91</v>
      </c>
      <c r="Q1462" s="23" t="n">
        <f aca="false">G1462*INDEX(Assumptions!$B$8:$B$16,MATCH(F1462,Assumptions!$A$8:$A$16,0))</f>
        <v>260.9178</v>
      </c>
      <c r="R1462" s="23" t="n">
        <f aca="false">H1462*Assumptions!$B$3</f>
        <v>17.748</v>
      </c>
      <c r="S1462" s="23" t="n">
        <f aca="false">G1462-Q1462-R1462</f>
        <v>116.6642</v>
      </c>
      <c r="T1462" s="21" t="str">
        <f aca="false">IF(M1462&lt;=7,"0-7 days",IF(M1462&lt;=14,"8-14 days",IF(M1462&lt;=21,"15-21 days","22+ days")))</f>
        <v>15-21 days</v>
      </c>
    </row>
    <row r="1463" customFormat="false" ht="15" hidden="false" customHeight="false" outlineLevel="0" collapsed="false">
      <c r="A1463" s="21" t="s">
        <v>1529</v>
      </c>
      <c r="B1463" s="21" t="s">
        <v>55</v>
      </c>
      <c r="C1463" s="22" t="n">
        <v>43241</v>
      </c>
      <c r="D1463" s="22" t="n">
        <v>43248</v>
      </c>
      <c r="E1463" s="22" t="n">
        <v>43265</v>
      </c>
      <c r="F1463" s="21" t="s">
        <v>57</v>
      </c>
      <c r="G1463" s="23" t="n">
        <v>95.18</v>
      </c>
      <c r="H1463" s="23" t="n">
        <v>21.28</v>
      </c>
      <c r="I1463" s="21" t="s">
        <v>60</v>
      </c>
      <c r="J1463" s="21" t="n">
        <v>5</v>
      </c>
      <c r="K1463" s="21" t="s">
        <v>46</v>
      </c>
      <c r="L1463" s="24" t="n">
        <f aca="false">DATE(YEAR(C1463),MONTH(C1463),1)</f>
        <v>43221</v>
      </c>
      <c r="M1463" s="21" t="n">
        <f aca="false">D1463-C1463</f>
        <v>7</v>
      </c>
      <c r="N1463" s="21" t="n">
        <f aca="false">MAX(0,D1463-E1463)</f>
        <v>0</v>
      </c>
      <c r="O1463" s="21" t="n">
        <f aca="false">IF(D1463&lt;=E1463,1,0)</f>
        <v>1</v>
      </c>
      <c r="P1463" s="23" t="n">
        <f aca="false">G1463+H1463</f>
        <v>116.46</v>
      </c>
      <c r="Q1463" s="23" t="n">
        <f aca="false">G1463*INDEX(Assumptions!$B$8:$B$16,MATCH(F1463,Assumptions!$A$8:$A$16,0))</f>
        <v>64.7224</v>
      </c>
      <c r="R1463" s="23" t="n">
        <f aca="false">H1463*Assumptions!$B$3</f>
        <v>12.768</v>
      </c>
      <c r="S1463" s="23" t="n">
        <f aca="false">G1463-Q1463-R1463</f>
        <v>17.6896</v>
      </c>
      <c r="T1463" s="21" t="str">
        <f aca="false">IF(M1463&lt;=7,"0-7 days",IF(M1463&lt;=14,"8-14 days",IF(M1463&lt;=21,"15-21 days","22+ days")))</f>
        <v>0-7 days</v>
      </c>
    </row>
    <row r="1464" customFormat="false" ht="15" hidden="false" customHeight="false" outlineLevel="0" collapsed="false">
      <c r="A1464" s="21" t="s">
        <v>1530</v>
      </c>
      <c r="B1464" s="21" t="s">
        <v>62</v>
      </c>
      <c r="C1464" s="22" t="n">
        <v>43241</v>
      </c>
      <c r="D1464" s="22" t="n">
        <v>43254</v>
      </c>
      <c r="E1464" s="22" t="n">
        <v>43261</v>
      </c>
      <c r="F1464" s="21" t="s">
        <v>44</v>
      </c>
      <c r="G1464" s="23" t="n">
        <v>18.68</v>
      </c>
      <c r="H1464" s="23" t="n">
        <v>15.56</v>
      </c>
      <c r="I1464" s="21" t="s">
        <v>45</v>
      </c>
      <c r="J1464" s="21" t="n">
        <v>4</v>
      </c>
      <c r="K1464" s="21" t="s">
        <v>46</v>
      </c>
      <c r="L1464" s="24" t="n">
        <f aca="false">DATE(YEAR(C1464),MONTH(C1464),1)</f>
        <v>43221</v>
      </c>
      <c r="M1464" s="21" t="n">
        <f aca="false">D1464-C1464</f>
        <v>13</v>
      </c>
      <c r="N1464" s="21" t="n">
        <f aca="false">MAX(0,D1464-E1464)</f>
        <v>0</v>
      </c>
      <c r="O1464" s="21" t="n">
        <f aca="false">IF(D1464&lt;=E1464,1,0)</f>
        <v>1</v>
      </c>
      <c r="P1464" s="23" t="n">
        <f aca="false">G1464+H1464</f>
        <v>34.24</v>
      </c>
      <c r="Q1464" s="23" t="n">
        <f aca="false">G1464*INDEX(Assumptions!$B$8:$B$16,MATCH(F1464,Assumptions!$A$8:$A$16,0))</f>
        <v>11.208</v>
      </c>
      <c r="R1464" s="23" t="n">
        <f aca="false">H1464*Assumptions!$B$3</f>
        <v>9.336</v>
      </c>
      <c r="S1464" s="23" t="n">
        <f aca="false">G1464-Q1464-R1464</f>
        <v>-1.864</v>
      </c>
      <c r="T1464" s="21" t="str">
        <f aca="false">IF(M1464&lt;=7,"0-7 days",IF(M1464&lt;=14,"8-14 days",IF(M1464&lt;=21,"15-21 days","22+ days")))</f>
        <v>8-14 days</v>
      </c>
    </row>
    <row r="1465" customFormat="false" ht="15" hidden="false" customHeight="false" outlineLevel="0" collapsed="false">
      <c r="A1465" s="21" t="s">
        <v>1531</v>
      </c>
      <c r="B1465" s="21" t="s">
        <v>156</v>
      </c>
      <c r="C1465" s="22" t="n">
        <v>43242</v>
      </c>
      <c r="D1465" s="22" t="n">
        <v>43284</v>
      </c>
      <c r="E1465" s="22" t="n">
        <v>43266</v>
      </c>
      <c r="F1465" s="21" t="s">
        <v>111</v>
      </c>
      <c r="G1465" s="23" t="n">
        <v>82.87</v>
      </c>
      <c r="H1465" s="23" t="n">
        <v>20.1</v>
      </c>
      <c r="I1465" s="21" t="s">
        <v>60</v>
      </c>
      <c r="J1465" s="21" t="n">
        <v>3</v>
      </c>
      <c r="K1465" s="21" t="s">
        <v>46</v>
      </c>
      <c r="L1465" s="24" t="n">
        <f aca="false">DATE(YEAR(C1465),MONTH(C1465),1)</f>
        <v>43221</v>
      </c>
      <c r="M1465" s="21" t="n">
        <f aca="false">D1465-C1465</f>
        <v>42</v>
      </c>
      <c r="N1465" s="21" t="n">
        <f aca="false">MAX(0,D1465-E1465)</f>
        <v>18</v>
      </c>
      <c r="O1465" s="21" t="n">
        <f aca="false">IF(D1465&lt;=E1465,1,0)</f>
        <v>0</v>
      </c>
      <c r="P1465" s="23" t="n">
        <f aca="false">G1465+H1465</f>
        <v>102.97</v>
      </c>
      <c r="Q1465" s="23" t="n">
        <f aca="false">G1465*INDEX(Assumptions!$B$8:$B$16,MATCH(F1465,Assumptions!$A$8:$A$16,0))</f>
        <v>52.2081</v>
      </c>
      <c r="R1465" s="23" t="n">
        <f aca="false">H1465*Assumptions!$B$3</f>
        <v>12.06</v>
      </c>
      <c r="S1465" s="23" t="n">
        <f aca="false">G1465-Q1465-R1465</f>
        <v>18.6019</v>
      </c>
      <c r="T1465" s="21" t="str">
        <f aca="false">IF(M1465&lt;=7,"0-7 days",IF(M1465&lt;=14,"8-14 days",IF(M1465&lt;=21,"15-21 days","22+ days")))</f>
        <v>22+ days</v>
      </c>
    </row>
    <row r="1466" customFormat="false" ht="15" hidden="false" customHeight="false" outlineLevel="0" collapsed="false">
      <c r="A1466" s="21" t="s">
        <v>1532</v>
      </c>
      <c r="B1466" s="21" t="s">
        <v>134</v>
      </c>
      <c r="C1466" s="22" t="n">
        <v>43242</v>
      </c>
      <c r="D1466" s="22" t="n">
        <v>43259</v>
      </c>
      <c r="E1466" s="22" t="n">
        <v>43264</v>
      </c>
      <c r="F1466" s="21" t="s">
        <v>64</v>
      </c>
      <c r="G1466" s="23" t="n">
        <v>184.03</v>
      </c>
      <c r="H1466" s="23" t="n">
        <v>28.21</v>
      </c>
      <c r="I1466" s="21" t="s">
        <v>45</v>
      </c>
      <c r="J1466" s="21" t="n">
        <v>4</v>
      </c>
      <c r="K1466" s="21" t="s">
        <v>46</v>
      </c>
      <c r="L1466" s="24" t="n">
        <f aca="false">DATE(YEAR(C1466),MONTH(C1466),1)</f>
        <v>43221</v>
      </c>
      <c r="M1466" s="21" t="n">
        <f aca="false">D1466-C1466</f>
        <v>17</v>
      </c>
      <c r="N1466" s="21" t="n">
        <f aca="false">MAX(0,D1466-E1466)</f>
        <v>0</v>
      </c>
      <c r="O1466" s="21" t="n">
        <f aca="false">IF(D1466&lt;=E1466,1,0)</f>
        <v>1</v>
      </c>
      <c r="P1466" s="23" t="n">
        <f aca="false">G1466+H1466</f>
        <v>212.24</v>
      </c>
      <c r="Q1466" s="23" t="n">
        <f aca="false">G1466*INDEX(Assumptions!$B$8:$B$16,MATCH(F1466,Assumptions!$A$8:$A$16,0))</f>
        <v>121.4598</v>
      </c>
      <c r="R1466" s="23" t="n">
        <f aca="false">H1466*Assumptions!$B$3</f>
        <v>16.926</v>
      </c>
      <c r="S1466" s="23" t="n">
        <f aca="false">G1466-Q1466-R1466</f>
        <v>45.6442</v>
      </c>
      <c r="T1466" s="21" t="str">
        <f aca="false">IF(M1466&lt;=7,"0-7 days",IF(M1466&lt;=14,"8-14 days",IF(M1466&lt;=21,"15-21 days","22+ days")))</f>
        <v>15-21 days</v>
      </c>
    </row>
    <row r="1467" customFormat="false" ht="15" hidden="false" customHeight="false" outlineLevel="0" collapsed="false">
      <c r="A1467" s="21" t="s">
        <v>1533</v>
      </c>
      <c r="B1467" s="21" t="s">
        <v>19</v>
      </c>
      <c r="C1467" s="22" t="n">
        <v>43242</v>
      </c>
      <c r="D1467" s="22" t="n">
        <v>43254</v>
      </c>
      <c r="E1467" s="22" t="n">
        <v>43260</v>
      </c>
      <c r="F1467" s="21" t="s">
        <v>67</v>
      </c>
      <c r="G1467" s="23" t="n">
        <v>46.92</v>
      </c>
      <c r="H1467" s="23" t="n">
        <v>13.88</v>
      </c>
      <c r="I1467" s="21" t="s">
        <v>45</v>
      </c>
      <c r="J1467" s="21" t="n">
        <v>4</v>
      </c>
      <c r="K1467" s="21" t="s">
        <v>46</v>
      </c>
      <c r="L1467" s="24" t="n">
        <f aca="false">DATE(YEAR(C1467),MONTH(C1467),1)</f>
        <v>43221</v>
      </c>
      <c r="M1467" s="21" t="n">
        <f aca="false">D1467-C1467</f>
        <v>12</v>
      </c>
      <c r="N1467" s="21" t="n">
        <f aca="false">MAX(0,D1467-E1467)</f>
        <v>0</v>
      </c>
      <c r="O1467" s="21" t="n">
        <f aca="false">IF(D1467&lt;=E1467,1,0)</f>
        <v>1</v>
      </c>
      <c r="P1467" s="23" t="n">
        <f aca="false">G1467+H1467</f>
        <v>60.8</v>
      </c>
      <c r="Q1467" s="23" t="n">
        <f aca="false">G1467*INDEX(Assumptions!$B$8:$B$16,MATCH(F1467,Assumptions!$A$8:$A$16,0))</f>
        <v>29.0904</v>
      </c>
      <c r="R1467" s="23" t="n">
        <f aca="false">H1467*Assumptions!$B$3</f>
        <v>8.328</v>
      </c>
      <c r="S1467" s="23" t="n">
        <f aca="false">G1467-Q1467-R1467</f>
        <v>9.5016</v>
      </c>
      <c r="T1467" s="21" t="str">
        <f aca="false">IF(M1467&lt;=7,"0-7 days",IF(M1467&lt;=14,"8-14 days",IF(M1467&lt;=21,"15-21 days","22+ days")))</f>
        <v>8-14 days</v>
      </c>
    </row>
    <row r="1468" customFormat="false" ht="15" hidden="false" customHeight="false" outlineLevel="0" collapsed="false">
      <c r="A1468" s="21" t="s">
        <v>1534</v>
      </c>
      <c r="B1468" s="21" t="s">
        <v>201</v>
      </c>
      <c r="C1468" s="22" t="n">
        <v>43242</v>
      </c>
      <c r="D1468" s="22" t="n">
        <v>43277</v>
      </c>
      <c r="E1468" s="22" t="n">
        <v>43276</v>
      </c>
      <c r="F1468" s="21" t="s">
        <v>79</v>
      </c>
      <c r="G1468" s="23" t="n">
        <v>116.99</v>
      </c>
      <c r="H1468" s="23" t="n">
        <v>38.28</v>
      </c>
      <c r="I1468" s="21" t="s">
        <v>45</v>
      </c>
      <c r="J1468" s="21" t="n">
        <v>1</v>
      </c>
      <c r="K1468" s="21" t="s">
        <v>46</v>
      </c>
      <c r="L1468" s="24" t="n">
        <f aca="false">DATE(YEAR(C1468),MONTH(C1468),1)</f>
        <v>43221</v>
      </c>
      <c r="M1468" s="21" t="n">
        <f aca="false">D1468-C1468</f>
        <v>35</v>
      </c>
      <c r="N1468" s="21" t="n">
        <f aca="false">MAX(0,D1468-E1468)</f>
        <v>1</v>
      </c>
      <c r="O1468" s="21" t="n">
        <f aca="false">IF(D1468&lt;=E1468,1,0)</f>
        <v>0</v>
      </c>
      <c r="P1468" s="23" t="n">
        <f aca="false">G1468+H1468</f>
        <v>155.27</v>
      </c>
      <c r="Q1468" s="23" t="n">
        <f aca="false">G1468*INDEX(Assumptions!$B$8:$B$16,MATCH(F1468,Assumptions!$A$8:$A$16,0))</f>
        <v>81.893</v>
      </c>
      <c r="R1468" s="23" t="n">
        <f aca="false">H1468*Assumptions!$B$3</f>
        <v>22.968</v>
      </c>
      <c r="S1468" s="23" t="n">
        <f aca="false">G1468-Q1468-R1468</f>
        <v>12.129</v>
      </c>
      <c r="T1468" s="21" t="str">
        <f aca="false">IF(M1468&lt;=7,"0-7 days",IF(M1468&lt;=14,"8-14 days",IF(M1468&lt;=21,"15-21 days","22+ days")))</f>
        <v>22+ days</v>
      </c>
    </row>
    <row r="1469" customFormat="false" ht="15" hidden="false" customHeight="false" outlineLevel="0" collapsed="false">
      <c r="A1469" s="21" t="s">
        <v>1535</v>
      </c>
      <c r="B1469" s="21" t="s">
        <v>62</v>
      </c>
      <c r="C1469" s="22" t="n">
        <v>43242</v>
      </c>
      <c r="D1469" s="22" t="n">
        <v>43254</v>
      </c>
      <c r="E1469" s="22" t="n">
        <v>43260</v>
      </c>
      <c r="F1469" s="21" t="s">
        <v>67</v>
      </c>
      <c r="G1469" s="23" t="n">
        <v>141.78</v>
      </c>
      <c r="H1469" s="23" t="n">
        <v>17.16</v>
      </c>
      <c r="I1469" s="21" t="s">
        <v>45</v>
      </c>
      <c r="J1469" s="21" t="n">
        <v>5</v>
      </c>
      <c r="K1469" s="21" t="s">
        <v>46</v>
      </c>
      <c r="L1469" s="24" t="n">
        <f aca="false">DATE(YEAR(C1469),MONTH(C1469),1)</f>
        <v>43221</v>
      </c>
      <c r="M1469" s="21" t="n">
        <f aca="false">D1469-C1469</f>
        <v>12</v>
      </c>
      <c r="N1469" s="21" t="n">
        <f aca="false">MAX(0,D1469-E1469)</f>
        <v>0</v>
      </c>
      <c r="O1469" s="21" t="n">
        <f aca="false">IF(D1469&lt;=E1469,1,0)</f>
        <v>1</v>
      </c>
      <c r="P1469" s="23" t="n">
        <f aca="false">G1469+H1469</f>
        <v>158.94</v>
      </c>
      <c r="Q1469" s="23" t="n">
        <f aca="false">G1469*INDEX(Assumptions!$B$8:$B$16,MATCH(F1469,Assumptions!$A$8:$A$16,0))</f>
        <v>87.9036</v>
      </c>
      <c r="R1469" s="23" t="n">
        <f aca="false">H1469*Assumptions!$B$3</f>
        <v>10.296</v>
      </c>
      <c r="S1469" s="23" t="n">
        <f aca="false">G1469-Q1469-R1469</f>
        <v>43.5804</v>
      </c>
      <c r="T1469" s="21" t="str">
        <f aca="false">IF(M1469&lt;=7,"0-7 days",IF(M1469&lt;=14,"8-14 days",IF(M1469&lt;=21,"15-21 days","22+ days")))</f>
        <v>8-14 days</v>
      </c>
    </row>
    <row r="1470" customFormat="false" ht="15" hidden="false" customHeight="false" outlineLevel="0" collapsed="false">
      <c r="A1470" s="21" t="s">
        <v>1536</v>
      </c>
      <c r="B1470" s="21" t="s">
        <v>103</v>
      </c>
      <c r="C1470" s="22" t="n">
        <v>43243</v>
      </c>
      <c r="D1470" s="22" t="n">
        <v>43259</v>
      </c>
      <c r="E1470" s="22" t="n">
        <v>43265</v>
      </c>
      <c r="F1470" s="21" t="s">
        <v>49</v>
      </c>
      <c r="G1470" s="23" t="n">
        <v>136.59</v>
      </c>
      <c r="H1470" s="23" t="n">
        <v>30.14</v>
      </c>
      <c r="I1470" s="21" t="s">
        <v>45</v>
      </c>
      <c r="J1470" s="21" t="n">
        <v>5</v>
      </c>
      <c r="K1470" s="21" t="s">
        <v>46</v>
      </c>
      <c r="L1470" s="24" t="n">
        <f aca="false">DATE(YEAR(C1470),MONTH(C1470),1)</f>
        <v>43221</v>
      </c>
      <c r="M1470" s="21" t="n">
        <f aca="false">D1470-C1470</f>
        <v>16</v>
      </c>
      <c r="N1470" s="21" t="n">
        <f aca="false">MAX(0,D1470-E1470)</f>
        <v>0</v>
      </c>
      <c r="O1470" s="21" t="n">
        <f aca="false">IF(D1470&lt;=E1470,1,0)</f>
        <v>1</v>
      </c>
      <c r="P1470" s="23" t="n">
        <f aca="false">G1470+H1470</f>
        <v>166.73</v>
      </c>
      <c r="Q1470" s="23" t="n">
        <f aca="false">G1470*INDEX(Assumptions!$B$8:$B$16,MATCH(F1470,Assumptions!$A$8:$A$16,0))</f>
        <v>79.2222</v>
      </c>
      <c r="R1470" s="23" t="n">
        <f aca="false">H1470*Assumptions!$B$3</f>
        <v>18.084</v>
      </c>
      <c r="S1470" s="23" t="n">
        <f aca="false">G1470-Q1470-R1470</f>
        <v>39.2838</v>
      </c>
      <c r="T1470" s="21" t="str">
        <f aca="false">IF(M1470&lt;=7,"0-7 days",IF(M1470&lt;=14,"8-14 days",IF(M1470&lt;=21,"15-21 days","22+ days")))</f>
        <v>15-21 days</v>
      </c>
    </row>
    <row r="1471" customFormat="false" ht="15" hidden="false" customHeight="false" outlineLevel="0" collapsed="false">
      <c r="A1471" s="21" t="s">
        <v>1537</v>
      </c>
      <c r="B1471" s="21" t="s">
        <v>52</v>
      </c>
      <c r="C1471" s="22" t="n">
        <v>43243</v>
      </c>
      <c r="D1471" s="22" t="n">
        <v>43257</v>
      </c>
      <c r="E1471" s="22" t="n">
        <v>43268</v>
      </c>
      <c r="F1471" s="21" t="s">
        <v>44</v>
      </c>
      <c r="G1471" s="23" t="n">
        <v>47.38</v>
      </c>
      <c r="H1471" s="23" t="n">
        <v>26.25</v>
      </c>
      <c r="I1471" s="21" t="s">
        <v>45</v>
      </c>
      <c r="J1471" s="21" t="n">
        <v>3</v>
      </c>
      <c r="K1471" s="21" t="s">
        <v>46</v>
      </c>
      <c r="L1471" s="24" t="n">
        <f aca="false">DATE(YEAR(C1471),MONTH(C1471),1)</f>
        <v>43221</v>
      </c>
      <c r="M1471" s="21" t="n">
        <f aca="false">D1471-C1471</f>
        <v>14</v>
      </c>
      <c r="N1471" s="21" t="n">
        <f aca="false">MAX(0,D1471-E1471)</f>
        <v>0</v>
      </c>
      <c r="O1471" s="21" t="n">
        <f aca="false">IF(D1471&lt;=E1471,1,0)</f>
        <v>1</v>
      </c>
      <c r="P1471" s="23" t="n">
        <f aca="false">G1471+H1471</f>
        <v>73.63</v>
      </c>
      <c r="Q1471" s="23" t="n">
        <f aca="false">G1471*INDEX(Assumptions!$B$8:$B$16,MATCH(F1471,Assumptions!$A$8:$A$16,0))</f>
        <v>28.428</v>
      </c>
      <c r="R1471" s="23" t="n">
        <f aca="false">H1471*Assumptions!$B$3</f>
        <v>15.75</v>
      </c>
      <c r="S1471" s="23" t="n">
        <f aca="false">G1471-Q1471-R1471</f>
        <v>3.202</v>
      </c>
      <c r="T1471" s="21" t="str">
        <f aca="false">IF(M1471&lt;=7,"0-7 days",IF(M1471&lt;=14,"8-14 days",IF(M1471&lt;=21,"15-21 days","22+ days")))</f>
        <v>8-14 days</v>
      </c>
    </row>
    <row r="1472" customFormat="false" ht="15" hidden="false" customHeight="false" outlineLevel="0" collapsed="false">
      <c r="A1472" s="21" t="s">
        <v>1538</v>
      </c>
      <c r="B1472" s="21" t="s">
        <v>19</v>
      </c>
      <c r="C1472" s="22" t="n">
        <v>43244</v>
      </c>
      <c r="D1472" s="22" t="n">
        <v>43252</v>
      </c>
      <c r="E1472" s="22" t="n">
        <v>43259</v>
      </c>
      <c r="F1472" s="21" t="s">
        <v>111</v>
      </c>
      <c r="G1472" s="23" t="n">
        <v>125.2</v>
      </c>
      <c r="H1472" s="23" t="n">
        <v>18.29</v>
      </c>
      <c r="I1472" s="21" t="s">
        <v>45</v>
      </c>
      <c r="J1472" s="21" t="n">
        <v>5</v>
      </c>
      <c r="K1472" s="21" t="s">
        <v>46</v>
      </c>
      <c r="L1472" s="24" t="n">
        <f aca="false">DATE(YEAR(C1472),MONTH(C1472),1)</f>
        <v>43221</v>
      </c>
      <c r="M1472" s="21" t="n">
        <f aca="false">D1472-C1472</f>
        <v>8</v>
      </c>
      <c r="N1472" s="21" t="n">
        <f aca="false">MAX(0,D1472-E1472)</f>
        <v>0</v>
      </c>
      <c r="O1472" s="21" t="n">
        <f aca="false">IF(D1472&lt;=E1472,1,0)</f>
        <v>1</v>
      </c>
      <c r="P1472" s="23" t="n">
        <f aca="false">G1472+H1472</f>
        <v>143.49</v>
      </c>
      <c r="Q1472" s="23" t="n">
        <f aca="false">G1472*INDEX(Assumptions!$B$8:$B$16,MATCH(F1472,Assumptions!$A$8:$A$16,0))</f>
        <v>78.876</v>
      </c>
      <c r="R1472" s="23" t="n">
        <f aca="false">H1472*Assumptions!$B$3</f>
        <v>10.974</v>
      </c>
      <c r="S1472" s="23" t="n">
        <f aca="false">G1472-Q1472-R1472</f>
        <v>35.35</v>
      </c>
      <c r="T1472" s="21" t="str">
        <f aca="false">IF(M1472&lt;=7,"0-7 days",IF(M1472&lt;=14,"8-14 days",IF(M1472&lt;=21,"15-21 days","22+ days")))</f>
        <v>8-14 days</v>
      </c>
    </row>
    <row r="1473" customFormat="false" ht="15" hidden="false" customHeight="false" outlineLevel="0" collapsed="false">
      <c r="A1473" s="21" t="s">
        <v>1539</v>
      </c>
      <c r="B1473" s="21" t="s">
        <v>55</v>
      </c>
      <c r="C1473" s="22" t="n">
        <v>43244</v>
      </c>
      <c r="D1473" s="22" t="n">
        <v>43258</v>
      </c>
      <c r="E1473" s="22" t="n">
        <v>43270</v>
      </c>
      <c r="F1473" s="21" t="s">
        <v>67</v>
      </c>
      <c r="G1473" s="23" t="n">
        <v>198.3</v>
      </c>
      <c r="H1473" s="23" t="n">
        <v>21.52</v>
      </c>
      <c r="I1473" s="21" t="s">
        <v>45</v>
      </c>
      <c r="J1473" s="21" t="n">
        <v>3</v>
      </c>
      <c r="K1473" s="21" t="s">
        <v>46</v>
      </c>
      <c r="L1473" s="24" t="n">
        <f aca="false">DATE(YEAR(C1473),MONTH(C1473),1)</f>
        <v>43221</v>
      </c>
      <c r="M1473" s="21" t="n">
        <f aca="false">D1473-C1473</f>
        <v>14</v>
      </c>
      <c r="N1473" s="21" t="n">
        <f aca="false">MAX(0,D1473-E1473)</f>
        <v>0</v>
      </c>
      <c r="O1473" s="21" t="n">
        <f aca="false">IF(D1473&lt;=E1473,1,0)</f>
        <v>1</v>
      </c>
      <c r="P1473" s="23" t="n">
        <f aca="false">G1473+H1473</f>
        <v>219.82</v>
      </c>
      <c r="Q1473" s="23" t="n">
        <f aca="false">G1473*INDEX(Assumptions!$B$8:$B$16,MATCH(F1473,Assumptions!$A$8:$A$16,0))</f>
        <v>122.946</v>
      </c>
      <c r="R1473" s="23" t="n">
        <f aca="false">H1473*Assumptions!$B$3</f>
        <v>12.912</v>
      </c>
      <c r="S1473" s="23" t="n">
        <f aca="false">G1473-Q1473-R1473</f>
        <v>62.442</v>
      </c>
      <c r="T1473" s="21" t="str">
        <f aca="false">IF(M1473&lt;=7,"0-7 days",IF(M1473&lt;=14,"8-14 days",IF(M1473&lt;=21,"15-21 days","22+ days")))</f>
        <v>8-14 days</v>
      </c>
    </row>
    <row r="1474" customFormat="false" ht="15" hidden="false" customHeight="false" outlineLevel="0" collapsed="false">
      <c r="A1474" s="21" t="s">
        <v>1540</v>
      </c>
      <c r="B1474" s="21" t="s">
        <v>19</v>
      </c>
      <c r="C1474" s="22" t="n">
        <v>43244</v>
      </c>
      <c r="D1474" s="22" t="n">
        <v>43255</v>
      </c>
      <c r="E1474" s="22" t="n">
        <v>43260</v>
      </c>
      <c r="F1474" s="21" t="s">
        <v>44</v>
      </c>
      <c r="G1474" s="23" t="n">
        <v>66.73</v>
      </c>
      <c r="H1474" s="23" t="n">
        <v>14.4</v>
      </c>
      <c r="I1474" s="21" t="s">
        <v>45</v>
      </c>
      <c r="J1474" s="21" t="n">
        <v>5</v>
      </c>
      <c r="K1474" s="21" t="s">
        <v>46</v>
      </c>
      <c r="L1474" s="24" t="n">
        <f aca="false">DATE(YEAR(C1474),MONTH(C1474),1)</f>
        <v>43221</v>
      </c>
      <c r="M1474" s="21" t="n">
        <f aca="false">D1474-C1474</f>
        <v>11</v>
      </c>
      <c r="N1474" s="21" t="n">
        <f aca="false">MAX(0,D1474-E1474)</f>
        <v>0</v>
      </c>
      <c r="O1474" s="21" t="n">
        <f aca="false">IF(D1474&lt;=E1474,1,0)</f>
        <v>1</v>
      </c>
      <c r="P1474" s="23" t="n">
        <f aca="false">G1474+H1474</f>
        <v>81.13</v>
      </c>
      <c r="Q1474" s="23" t="n">
        <f aca="false">G1474*INDEX(Assumptions!$B$8:$B$16,MATCH(F1474,Assumptions!$A$8:$A$16,0))</f>
        <v>40.038</v>
      </c>
      <c r="R1474" s="23" t="n">
        <f aca="false">H1474*Assumptions!$B$3</f>
        <v>8.64</v>
      </c>
      <c r="S1474" s="23" t="n">
        <f aca="false">G1474-Q1474-R1474</f>
        <v>18.052</v>
      </c>
      <c r="T1474" s="21" t="str">
        <f aca="false">IF(M1474&lt;=7,"0-7 days",IF(M1474&lt;=14,"8-14 days",IF(M1474&lt;=21,"15-21 days","22+ days")))</f>
        <v>8-14 days</v>
      </c>
    </row>
    <row r="1475" customFormat="false" ht="15" hidden="false" customHeight="false" outlineLevel="0" collapsed="false">
      <c r="A1475" s="21" t="s">
        <v>1541</v>
      </c>
      <c r="B1475" s="21" t="s">
        <v>48</v>
      </c>
      <c r="C1475" s="22" t="n">
        <v>43244</v>
      </c>
      <c r="D1475" s="22" t="n">
        <v>43258</v>
      </c>
      <c r="E1475" s="22" t="n">
        <v>43268</v>
      </c>
      <c r="F1475" s="21" t="s">
        <v>59</v>
      </c>
      <c r="G1475" s="23" t="n">
        <v>130.73</v>
      </c>
      <c r="H1475" s="23" t="n">
        <v>17.77</v>
      </c>
      <c r="I1475" s="21" t="s">
        <v>45</v>
      </c>
      <c r="J1475" s="21" t="n">
        <v>4</v>
      </c>
      <c r="K1475" s="21" t="s">
        <v>46</v>
      </c>
      <c r="L1475" s="24" t="n">
        <f aca="false">DATE(YEAR(C1475),MONTH(C1475),1)</f>
        <v>43221</v>
      </c>
      <c r="M1475" s="21" t="n">
        <f aca="false">D1475-C1475</f>
        <v>14</v>
      </c>
      <c r="N1475" s="21" t="n">
        <f aca="false">MAX(0,D1475-E1475)</f>
        <v>0</v>
      </c>
      <c r="O1475" s="21" t="n">
        <f aca="false">IF(D1475&lt;=E1475,1,0)</f>
        <v>1</v>
      </c>
      <c r="P1475" s="23" t="n">
        <f aca="false">G1475+H1475</f>
        <v>148.5</v>
      </c>
      <c r="Q1475" s="23" t="n">
        <f aca="false">G1475*INDEX(Assumptions!$B$8:$B$16,MATCH(F1475,Assumptions!$A$8:$A$16,0))</f>
        <v>83.6672</v>
      </c>
      <c r="R1475" s="23" t="n">
        <f aca="false">H1475*Assumptions!$B$3</f>
        <v>10.662</v>
      </c>
      <c r="S1475" s="23" t="n">
        <f aca="false">G1475-Q1475-R1475</f>
        <v>36.4008</v>
      </c>
      <c r="T1475" s="21" t="str">
        <f aca="false">IF(M1475&lt;=7,"0-7 days",IF(M1475&lt;=14,"8-14 days",IF(M1475&lt;=21,"15-21 days","22+ days")))</f>
        <v>8-14 days</v>
      </c>
    </row>
    <row r="1476" customFormat="false" ht="15" hidden="false" customHeight="false" outlineLevel="0" collapsed="false">
      <c r="A1476" s="21" t="s">
        <v>1542</v>
      </c>
      <c r="B1476" s="21" t="s">
        <v>19</v>
      </c>
      <c r="C1476" s="22" t="n">
        <v>43244</v>
      </c>
      <c r="D1476" s="22" t="n">
        <v>43249</v>
      </c>
      <c r="E1476" s="22" t="n">
        <v>43257</v>
      </c>
      <c r="F1476" s="21" t="s">
        <v>79</v>
      </c>
      <c r="G1476" s="23" t="n">
        <v>117.53</v>
      </c>
      <c r="H1476" s="23" t="n">
        <v>21.05</v>
      </c>
      <c r="I1476" s="21" t="s">
        <v>45</v>
      </c>
      <c r="J1476" s="21" t="n">
        <v>4</v>
      </c>
      <c r="K1476" s="21" t="s">
        <v>46</v>
      </c>
      <c r="L1476" s="24" t="n">
        <f aca="false">DATE(YEAR(C1476),MONTH(C1476),1)</f>
        <v>43221</v>
      </c>
      <c r="M1476" s="21" t="n">
        <f aca="false">D1476-C1476</f>
        <v>5</v>
      </c>
      <c r="N1476" s="21" t="n">
        <f aca="false">MAX(0,D1476-E1476)</f>
        <v>0</v>
      </c>
      <c r="O1476" s="21" t="n">
        <f aca="false">IF(D1476&lt;=E1476,1,0)</f>
        <v>1</v>
      </c>
      <c r="P1476" s="23" t="n">
        <f aca="false">G1476+H1476</f>
        <v>138.58</v>
      </c>
      <c r="Q1476" s="23" t="n">
        <f aca="false">G1476*INDEX(Assumptions!$B$8:$B$16,MATCH(F1476,Assumptions!$A$8:$A$16,0))</f>
        <v>82.271</v>
      </c>
      <c r="R1476" s="23" t="n">
        <f aca="false">H1476*Assumptions!$B$3</f>
        <v>12.63</v>
      </c>
      <c r="S1476" s="23" t="n">
        <f aca="false">G1476-Q1476-R1476</f>
        <v>22.629</v>
      </c>
      <c r="T1476" s="21" t="str">
        <f aca="false">IF(M1476&lt;=7,"0-7 days",IF(M1476&lt;=14,"8-14 days",IF(M1476&lt;=21,"15-21 days","22+ days")))</f>
        <v>0-7 days</v>
      </c>
    </row>
    <row r="1477" customFormat="false" ht="15" hidden="false" customHeight="false" outlineLevel="0" collapsed="false">
      <c r="A1477" s="21" t="s">
        <v>1543</v>
      </c>
      <c r="B1477" s="21" t="s">
        <v>19</v>
      </c>
      <c r="C1477" s="22" t="n">
        <v>43244</v>
      </c>
      <c r="D1477" s="22" t="n">
        <v>43252</v>
      </c>
      <c r="E1477" s="22" t="n">
        <v>43261</v>
      </c>
      <c r="F1477" s="21" t="s">
        <v>57</v>
      </c>
      <c r="G1477" s="23" t="n">
        <v>49.31</v>
      </c>
      <c r="H1477" s="23" t="n">
        <v>15.75</v>
      </c>
      <c r="I1477" s="21" t="s">
        <v>45</v>
      </c>
      <c r="J1477" s="21" t="n">
        <v>5</v>
      </c>
      <c r="K1477" s="21" t="s">
        <v>46</v>
      </c>
      <c r="L1477" s="24" t="n">
        <f aca="false">DATE(YEAR(C1477),MONTH(C1477),1)</f>
        <v>43221</v>
      </c>
      <c r="M1477" s="21" t="n">
        <f aca="false">D1477-C1477</f>
        <v>8</v>
      </c>
      <c r="N1477" s="21" t="n">
        <f aca="false">MAX(0,D1477-E1477)</f>
        <v>0</v>
      </c>
      <c r="O1477" s="21" t="n">
        <f aca="false">IF(D1477&lt;=E1477,1,0)</f>
        <v>1</v>
      </c>
      <c r="P1477" s="23" t="n">
        <f aca="false">G1477+H1477</f>
        <v>65.06</v>
      </c>
      <c r="Q1477" s="23" t="n">
        <f aca="false">G1477*INDEX(Assumptions!$B$8:$B$16,MATCH(F1477,Assumptions!$A$8:$A$16,0))</f>
        <v>33.5308</v>
      </c>
      <c r="R1477" s="23" t="n">
        <f aca="false">H1477*Assumptions!$B$3</f>
        <v>9.45</v>
      </c>
      <c r="S1477" s="23" t="n">
        <f aca="false">G1477-Q1477-R1477</f>
        <v>6.3292</v>
      </c>
      <c r="T1477" s="21" t="str">
        <f aca="false">IF(M1477&lt;=7,"0-7 days",IF(M1477&lt;=14,"8-14 days",IF(M1477&lt;=21,"15-21 days","22+ days")))</f>
        <v>8-14 days</v>
      </c>
    </row>
    <row r="1478" customFormat="false" ht="15" hidden="false" customHeight="false" outlineLevel="0" collapsed="false">
      <c r="A1478" s="21" t="s">
        <v>1544</v>
      </c>
      <c r="B1478" s="21" t="s">
        <v>52</v>
      </c>
      <c r="C1478" s="22" t="n">
        <v>43245</v>
      </c>
      <c r="D1478" s="22" t="n">
        <v>43272</v>
      </c>
      <c r="E1478" s="22" t="n">
        <v>43269</v>
      </c>
      <c r="F1478" s="21" t="s">
        <v>49</v>
      </c>
      <c r="G1478" s="23" t="n">
        <v>73.64</v>
      </c>
      <c r="H1478" s="23" t="n">
        <v>21.85</v>
      </c>
      <c r="I1478" s="21" t="s">
        <v>60</v>
      </c>
      <c r="J1478" s="21" t="n">
        <v>2</v>
      </c>
      <c r="K1478" s="21" t="s">
        <v>46</v>
      </c>
      <c r="L1478" s="24" t="n">
        <f aca="false">DATE(YEAR(C1478),MONTH(C1478),1)</f>
        <v>43221</v>
      </c>
      <c r="M1478" s="21" t="n">
        <f aca="false">D1478-C1478</f>
        <v>27</v>
      </c>
      <c r="N1478" s="21" t="n">
        <f aca="false">MAX(0,D1478-E1478)</f>
        <v>3</v>
      </c>
      <c r="O1478" s="21" t="n">
        <f aca="false">IF(D1478&lt;=E1478,1,0)</f>
        <v>0</v>
      </c>
      <c r="P1478" s="23" t="n">
        <f aca="false">G1478+H1478</f>
        <v>95.49</v>
      </c>
      <c r="Q1478" s="23" t="n">
        <f aca="false">G1478*INDEX(Assumptions!$B$8:$B$16,MATCH(F1478,Assumptions!$A$8:$A$16,0))</f>
        <v>42.7112</v>
      </c>
      <c r="R1478" s="23" t="n">
        <f aca="false">H1478*Assumptions!$B$3</f>
        <v>13.11</v>
      </c>
      <c r="S1478" s="23" t="n">
        <f aca="false">G1478-Q1478-R1478</f>
        <v>17.8188</v>
      </c>
      <c r="T1478" s="21" t="str">
        <f aca="false">IF(M1478&lt;=7,"0-7 days",IF(M1478&lt;=14,"8-14 days",IF(M1478&lt;=21,"15-21 days","22+ days")))</f>
        <v>22+ days</v>
      </c>
    </row>
    <row r="1479" customFormat="false" ht="15" hidden="false" customHeight="false" outlineLevel="0" collapsed="false">
      <c r="A1479" s="21" t="s">
        <v>1545</v>
      </c>
      <c r="B1479" s="21" t="s">
        <v>62</v>
      </c>
      <c r="C1479" s="22" t="n">
        <v>43245</v>
      </c>
      <c r="D1479" s="22" t="n">
        <v>43259</v>
      </c>
      <c r="E1479" s="22" t="n">
        <v>43265</v>
      </c>
      <c r="F1479" s="21" t="s">
        <v>67</v>
      </c>
      <c r="G1479" s="23" t="n">
        <v>86.83</v>
      </c>
      <c r="H1479" s="23" t="n">
        <v>21.03</v>
      </c>
      <c r="I1479" s="21" t="s">
        <v>45</v>
      </c>
      <c r="J1479" s="21" t="n">
        <v>3</v>
      </c>
      <c r="K1479" s="21" t="s">
        <v>46</v>
      </c>
      <c r="L1479" s="24" t="n">
        <f aca="false">DATE(YEAR(C1479),MONTH(C1479),1)</f>
        <v>43221</v>
      </c>
      <c r="M1479" s="21" t="n">
        <f aca="false">D1479-C1479</f>
        <v>14</v>
      </c>
      <c r="N1479" s="21" t="n">
        <f aca="false">MAX(0,D1479-E1479)</f>
        <v>0</v>
      </c>
      <c r="O1479" s="21" t="n">
        <f aca="false">IF(D1479&lt;=E1479,1,0)</f>
        <v>1</v>
      </c>
      <c r="P1479" s="23" t="n">
        <f aca="false">G1479+H1479</f>
        <v>107.86</v>
      </c>
      <c r="Q1479" s="23" t="n">
        <f aca="false">G1479*INDEX(Assumptions!$B$8:$B$16,MATCH(F1479,Assumptions!$A$8:$A$16,0))</f>
        <v>53.8346</v>
      </c>
      <c r="R1479" s="23" t="n">
        <f aca="false">H1479*Assumptions!$B$3</f>
        <v>12.618</v>
      </c>
      <c r="S1479" s="23" t="n">
        <f aca="false">G1479-Q1479-R1479</f>
        <v>20.3774</v>
      </c>
      <c r="T1479" s="21" t="str">
        <f aca="false">IF(M1479&lt;=7,"0-7 days",IF(M1479&lt;=14,"8-14 days",IF(M1479&lt;=21,"15-21 days","22+ days")))</f>
        <v>8-14 days</v>
      </c>
    </row>
    <row r="1480" customFormat="false" ht="15" hidden="false" customHeight="false" outlineLevel="0" collapsed="false">
      <c r="A1480" s="21" t="s">
        <v>1546</v>
      </c>
      <c r="B1480" s="21" t="s">
        <v>19</v>
      </c>
      <c r="C1480" s="22" t="n">
        <v>43246</v>
      </c>
      <c r="D1480" s="22" t="n">
        <v>43254</v>
      </c>
      <c r="E1480" s="22" t="n">
        <v>43262</v>
      </c>
      <c r="F1480" s="21" t="s">
        <v>59</v>
      </c>
      <c r="G1480" s="23" t="n">
        <v>47.14</v>
      </c>
      <c r="H1480" s="23" t="n">
        <v>17.59</v>
      </c>
      <c r="I1480" s="21" t="s">
        <v>45</v>
      </c>
      <c r="J1480" s="21" t="n">
        <v>5</v>
      </c>
      <c r="K1480" s="21" t="s">
        <v>46</v>
      </c>
      <c r="L1480" s="24" t="n">
        <f aca="false">DATE(YEAR(C1480),MONTH(C1480),1)</f>
        <v>43221</v>
      </c>
      <c r="M1480" s="21" t="n">
        <f aca="false">D1480-C1480</f>
        <v>8</v>
      </c>
      <c r="N1480" s="21" t="n">
        <f aca="false">MAX(0,D1480-E1480)</f>
        <v>0</v>
      </c>
      <c r="O1480" s="21" t="n">
        <f aca="false">IF(D1480&lt;=E1480,1,0)</f>
        <v>1</v>
      </c>
      <c r="P1480" s="23" t="n">
        <f aca="false">G1480+H1480</f>
        <v>64.73</v>
      </c>
      <c r="Q1480" s="23" t="n">
        <f aca="false">G1480*INDEX(Assumptions!$B$8:$B$16,MATCH(F1480,Assumptions!$A$8:$A$16,0))</f>
        <v>30.1696</v>
      </c>
      <c r="R1480" s="23" t="n">
        <f aca="false">H1480*Assumptions!$B$3</f>
        <v>10.554</v>
      </c>
      <c r="S1480" s="23" t="n">
        <f aca="false">G1480-Q1480-R1480</f>
        <v>6.4164</v>
      </c>
      <c r="T1480" s="21" t="str">
        <f aca="false">IF(M1480&lt;=7,"0-7 days",IF(M1480&lt;=14,"8-14 days",IF(M1480&lt;=21,"15-21 days","22+ days")))</f>
        <v>8-14 days</v>
      </c>
    </row>
    <row r="1481" customFormat="false" ht="15" hidden="false" customHeight="false" outlineLevel="0" collapsed="false">
      <c r="A1481" s="21" t="s">
        <v>1547</v>
      </c>
      <c r="B1481" s="21" t="s">
        <v>62</v>
      </c>
      <c r="C1481" s="22" t="n">
        <v>43246</v>
      </c>
      <c r="D1481" s="22" t="n">
        <v>43260</v>
      </c>
      <c r="E1481" s="22" t="n">
        <v>43264</v>
      </c>
      <c r="F1481" s="21" t="s">
        <v>59</v>
      </c>
      <c r="G1481" s="23" t="n">
        <v>83.8</v>
      </c>
      <c r="H1481" s="23" t="n">
        <v>26.43</v>
      </c>
      <c r="I1481" s="21" t="s">
        <v>45</v>
      </c>
      <c r="J1481" s="21" t="n">
        <v>5</v>
      </c>
      <c r="K1481" s="21" t="s">
        <v>46</v>
      </c>
      <c r="L1481" s="24" t="n">
        <f aca="false">DATE(YEAR(C1481),MONTH(C1481),1)</f>
        <v>43221</v>
      </c>
      <c r="M1481" s="21" t="n">
        <f aca="false">D1481-C1481</f>
        <v>14</v>
      </c>
      <c r="N1481" s="21" t="n">
        <f aca="false">MAX(0,D1481-E1481)</f>
        <v>0</v>
      </c>
      <c r="O1481" s="21" t="n">
        <f aca="false">IF(D1481&lt;=E1481,1,0)</f>
        <v>1</v>
      </c>
      <c r="P1481" s="23" t="n">
        <f aca="false">G1481+H1481</f>
        <v>110.23</v>
      </c>
      <c r="Q1481" s="23" t="n">
        <f aca="false">G1481*INDEX(Assumptions!$B$8:$B$16,MATCH(F1481,Assumptions!$A$8:$A$16,0))</f>
        <v>53.632</v>
      </c>
      <c r="R1481" s="23" t="n">
        <f aca="false">H1481*Assumptions!$B$3</f>
        <v>15.858</v>
      </c>
      <c r="S1481" s="23" t="n">
        <f aca="false">G1481-Q1481-R1481</f>
        <v>14.31</v>
      </c>
      <c r="T1481" s="21" t="str">
        <f aca="false">IF(M1481&lt;=7,"0-7 days",IF(M1481&lt;=14,"8-14 days",IF(M1481&lt;=21,"15-21 days","22+ days")))</f>
        <v>8-14 days</v>
      </c>
    </row>
    <row r="1482" customFormat="false" ht="15" hidden="false" customHeight="false" outlineLevel="0" collapsed="false">
      <c r="A1482" s="21" t="s">
        <v>1548</v>
      </c>
      <c r="B1482" s="21" t="s">
        <v>55</v>
      </c>
      <c r="C1482" s="22" t="n">
        <v>43246</v>
      </c>
      <c r="D1482" s="22" t="n">
        <v>43257</v>
      </c>
      <c r="E1482" s="22" t="n">
        <v>43268</v>
      </c>
      <c r="F1482" s="21" t="s">
        <v>53</v>
      </c>
      <c r="G1482" s="23" t="n">
        <v>166.43</v>
      </c>
      <c r="H1482" s="23" t="n">
        <v>27.06</v>
      </c>
      <c r="I1482" s="21" t="s">
        <v>45</v>
      </c>
      <c r="J1482" s="21" t="n">
        <v>4</v>
      </c>
      <c r="K1482" s="21" t="s">
        <v>46</v>
      </c>
      <c r="L1482" s="24" t="n">
        <f aca="false">DATE(YEAR(C1482),MONTH(C1482),1)</f>
        <v>43221</v>
      </c>
      <c r="M1482" s="21" t="n">
        <f aca="false">D1482-C1482</f>
        <v>11</v>
      </c>
      <c r="N1482" s="21" t="n">
        <f aca="false">MAX(0,D1482-E1482)</f>
        <v>0</v>
      </c>
      <c r="O1482" s="21" t="n">
        <f aca="false">IF(D1482&lt;=E1482,1,0)</f>
        <v>1</v>
      </c>
      <c r="P1482" s="23" t="n">
        <f aca="false">G1482+H1482</f>
        <v>193.49</v>
      </c>
      <c r="Q1482" s="23" t="n">
        <f aca="false">G1482*INDEX(Assumptions!$B$8:$B$16,MATCH(F1482,Assumptions!$A$8:$A$16,0))</f>
        <v>123.1582</v>
      </c>
      <c r="R1482" s="23" t="n">
        <f aca="false">H1482*Assumptions!$B$3</f>
        <v>16.236</v>
      </c>
      <c r="S1482" s="23" t="n">
        <f aca="false">G1482-Q1482-R1482</f>
        <v>27.0358</v>
      </c>
      <c r="T1482" s="21" t="str">
        <f aca="false">IF(M1482&lt;=7,"0-7 days",IF(M1482&lt;=14,"8-14 days",IF(M1482&lt;=21,"15-21 days","22+ days")))</f>
        <v>8-14 days</v>
      </c>
    </row>
    <row r="1483" customFormat="false" ht="15" hidden="false" customHeight="false" outlineLevel="0" collapsed="false">
      <c r="A1483" s="21" t="s">
        <v>1549</v>
      </c>
      <c r="B1483" s="21" t="s">
        <v>103</v>
      </c>
      <c r="C1483" s="22" t="n">
        <v>43247</v>
      </c>
      <c r="D1483" s="22" t="n">
        <v>43266</v>
      </c>
      <c r="E1483" s="22" t="n">
        <v>43270</v>
      </c>
      <c r="F1483" s="21" t="s">
        <v>59</v>
      </c>
      <c r="G1483" s="23" t="n">
        <v>158.09</v>
      </c>
      <c r="H1483" s="23" t="n">
        <v>27.82</v>
      </c>
      <c r="I1483" s="21" t="s">
        <v>60</v>
      </c>
      <c r="J1483" s="21" t="n">
        <v>3</v>
      </c>
      <c r="K1483" s="21" t="s">
        <v>46</v>
      </c>
      <c r="L1483" s="24" t="n">
        <f aca="false">DATE(YEAR(C1483),MONTH(C1483),1)</f>
        <v>43221</v>
      </c>
      <c r="M1483" s="21" t="n">
        <f aca="false">D1483-C1483</f>
        <v>19</v>
      </c>
      <c r="N1483" s="21" t="n">
        <f aca="false">MAX(0,D1483-E1483)</f>
        <v>0</v>
      </c>
      <c r="O1483" s="21" t="n">
        <f aca="false">IF(D1483&lt;=E1483,1,0)</f>
        <v>1</v>
      </c>
      <c r="P1483" s="23" t="n">
        <f aca="false">G1483+H1483</f>
        <v>185.91</v>
      </c>
      <c r="Q1483" s="23" t="n">
        <f aca="false">G1483*INDEX(Assumptions!$B$8:$B$16,MATCH(F1483,Assumptions!$A$8:$A$16,0))</f>
        <v>101.1776</v>
      </c>
      <c r="R1483" s="23" t="n">
        <f aca="false">H1483*Assumptions!$B$3</f>
        <v>16.692</v>
      </c>
      <c r="S1483" s="23" t="n">
        <f aca="false">G1483-Q1483-R1483</f>
        <v>40.2204</v>
      </c>
      <c r="T1483" s="21" t="str">
        <f aca="false">IF(M1483&lt;=7,"0-7 days",IF(M1483&lt;=14,"8-14 days",IF(M1483&lt;=21,"15-21 days","22+ days")))</f>
        <v>15-21 days</v>
      </c>
    </row>
    <row r="1484" customFormat="false" ht="15" hidden="false" customHeight="false" outlineLevel="0" collapsed="false">
      <c r="A1484" s="21" t="s">
        <v>1550</v>
      </c>
      <c r="B1484" s="21" t="s">
        <v>134</v>
      </c>
      <c r="C1484" s="22" t="n">
        <v>43247</v>
      </c>
      <c r="D1484" s="22" t="n">
        <v>43265</v>
      </c>
      <c r="E1484" s="22" t="n">
        <v>43271</v>
      </c>
      <c r="F1484" s="21" t="s">
        <v>67</v>
      </c>
      <c r="G1484" s="23" t="n">
        <v>171.11</v>
      </c>
      <c r="H1484" s="23" t="n">
        <v>25.78</v>
      </c>
      <c r="I1484" s="21" t="s">
        <v>60</v>
      </c>
      <c r="J1484" s="21" t="n">
        <v>5</v>
      </c>
      <c r="K1484" s="21" t="s">
        <v>46</v>
      </c>
      <c r="L1484" s="24" t="n">
        <f aca="false">DATE(YEAR(C1484),MONTH(C1484),1)</f>
        <v>43221</v>
      </c>
      <c r="M1484" s="21" t="n">
        <f aca="false">D1484-C1484</f>
        <v>18</v>
      </c>
      <c r="N1484" s="21" t="n">
        <f aca="false">MAX(0,D1484-E1484)</f>
        <v>0</v>
      </c>
      <c r="O1484" s="21" t="n">
        <f aca="false">IF(D1484&lt;=E1484,1,0)</f>
        <v>1</v>
      </c>
      <c r="P1484" s="23" t="n">
        <f aca="false">G1484+H1484</f>
        <v>196.89</v>
      </c>
      <c r="Q1484" s="23" t="n">
        <f aca="false">G1484*INDEX(Assumptions!$B$8:$B$16,MATCH(F1484,Assumptions!$A$8:$A$16,0))</f>
        <v>106.0882</v>
      </c>
      <c r="R1484" s="23" t="n">
        <f aca="false">H1484*Assumptions!$B$3</f>
        <v>15.468</v>
      </c>
      <c r="S1484" s="23" t="n">
        <f aca="false">G1484-Q1484-R1484</f>
        <v>49.5538</v>
      </c>
      <c r="T1484" s="21" t="str">
        <f aca="false">IF(M1484&lt;=7,"0-7 days",IF(M1484&lt;=14,"8-14 days",IF(M1484&lt;=21,"15-21 days","22+ days")))</f>
        <v>15-21 days</v>
      </c>
    </row>
    <row r="1485" customFormat="false" ht="15" hidden="false" customHeight="false" outlineLevel="0" collapsed="false">
      <c r="A1485" s="21" t="s">
        <v>1551</v>
      </c>
      <c r="B1485" s="21" t="s">
        <v>62</v>
      </c>
      <c r="C1485" s="22" t="n">
        <v>43247</v>
      </c>
      <c r="D1485" s="22" t="n">
        <v>43255</v>
      </c>
      <c r="E1485" s="22" t="n">
        <v>43269</v>
      </c>
      <c r="F1485" s="21" t="s">
        <v>64</v>
      </c>
      <c r="G1485" s="23" t="n">
        <v>76.27</v>
      </c>
      <c r="H1485" s="23" t="n">
        <v>20.35</v>
      </c>
      <c r="I1485" s="21" t="s">
        <v>60</v>
      </c>
      <c r="J1485" s="21" t="n">
        <v>5</v>
      </c>
      <c r="K1485" s="21" t="s">
        <v>46</v>
      </c>
      <c r="L1485" s="24" t="n">
        <f aca="false">DATE(YEAR(C1485),MONTH(C1485),1)</f>
        <v>43221</v>
      </c>
      <c r="M1485" s="21" t="n">
        <f aca="false">D1485-C1485</f>
        <v>8</v>
      </c>
      <c r="N1485" s="21" t="n">
        <f aca="false">MAX(0,D1485-E1485)</f>
        <v>0</v>
      </c>
      <c r="O1485" s="21" t="n">
        <f aca="false">IF(D1485&lt;=E1485,1,0)</f>
        <v>1</v>
      </c>
      <c r="P1485" s="23" t="n">
        <f aca="false">G1485+H1485</f>
        <v>96.62</v>
      </c>
      <c r="Q1485" s="23" t="n">
        <f aca="false">G1485*INDEX(Assumptions!$B$8:$B$16,MATCH(F1485,Assumptions!$A$8:$A$16,0))</f>
        <v>50.3382</v>
      </c>
      <c r="R1485" s="23" t="n">
        <f aca="false">H1485*Assumptions!$B$3</f>
        <v>12.21</v>
      </c>
      <c r="S1485" s="23" t="n">
        <f aca="false">G1485-Q1485-R1485</f>
        <v>13.7218</v>
      </c>
      <c r="T1485" s="21" t="str">
        <f aca="false">IF(M1485&lt;=7,"0-7 days",IF(M1485&lt;=14,"8-14 days",IF(M1485&lt;=21,"15-21 days","22+ days")))</f>
        <v>8-14 days</v>
      </c>
    </row>
    <row r="1486" customFormat="false" ht="15" hidden="false" customHeight="false" outlineLevel="0" collapsed="false">
      <c r="A1486" s="21" t="s">
        <v>1552</v>
      </c>
      <c r="B1486" s="21" t="s">
        <v>52</v>
      </c>
      <c r="C1486" s="22" t="n">
        <v>43248</v>
      </c>
      <c r="D1486" s="22" t="n">
        <v>43261</v>
      </c>
      <c r="E1486" s="22" t="n">
        <v>43273</v>
      </c>
      <c r="F1486" s="21" t="s">
        <v>67</v>
      </c>
      <c r="G1486" s="23" t="n">
        <v>61.41</v>
      </c>
      <c r="H1486" s="23" t="n">
        <v>23.55</v>
      </c>
      <c r="I1486" s="21" t="s">
        <v>50</v>
      </c>
      <c r="J1486" s="21" t="n">
        <v>3</v>
      </c>
      <c r="K1486" s="21" t="s">
        <v>46</v>
      </c>
      <c r="L1486" s="24" t="n">
        <f aca="false">DATE(YEAR(C1486),MONTH(C1486),1)</f>
        <v>43221</v>
      </c>
      <c r="M1486" s="21" t="n">
        <f aca="false">D1486-C1486</f>
        <v>13</v>
      </c>
      <c r="N1486" s="21" t="n">
        <f aca="false">MAX(0,D1486-E1486)</f>
        <v>0</v>
      </c>
      <c r="O1486" s="21" t="n">
        <f aca="false">IF(D1486&lt;=E1486,1,0)</f>
        <v>1</v>
      </c>
      <c r="P1486" s="23" t="n">
        <f aca="false">G1486+H1486</f>
        <v>84.96</v>
      </c>
      <c r="Q1486" s="23" t="n">
        <f aca="false">G1486*INDEX(Assumptions!$B$8:$B$16,MATCH(F1486,Assumptions!$A$8:$A$16,0))</f>
        <v>38.0742</v>
      </c>
      <c r="R1486" s="23" t="n">
        <f aca="false">H1486*Assumptions!$B$3</f>
        <v>14.13</v>
      </c>
      <c r="S1486" s="23" t="n">
        <f aca="false">G1486-Q1486-R1486</f>
        <v>9.2058</v>
      </c>
      <c r="T1486" s="21" t="str">
        <f aca="false">IF(M1486&lt;=7,"0-7 days",IF(M1486&lt;=14,"8-14 days",IF(M1486&lt;=21,"15-21 days","22+ days")))</f>
        <v>8-14 days</v>
      </c>
    </row>
    <row r="1487" customFormat="false" ht="15" hidden="false" customHeight="false" outlineLevel="0" collapsed="false">
      <c r="A1487" s="21" t="s">
        <v>1553</v>
      </c>
      <c r="B1487" s="21" t="s">
        <v>156</v>
      </c>
      <c r="C1487" s="22" t="n">
        <v>43249</v>
      </c>
      <c r="D1487" s="22" t="n">
        <v>43262</v>
      </c>
      <c r="E1487" s="22" t="n">
        <v>43276</v>
      </c>
      <c r="F1487" s="21" t="s">
        <v>57</v>
      </c>
      <c r="G1487" s="23" t="n">
        <v>135.55</v>
      </c>
      <c r="H1487" s="23" t="n">
        <v>25.47</v>
      </c>
      <c r="I1487" s="21" t="s">
        <v>45</v>
      </c>
      <c r="J1487" s="21" t="n">
        <v>5</v>
      </c>
      <c r="K1487" s="21" t="s">
        <v>46</v>
      </c>
      <c r="L1487" s="24" t="n">
        <f aca="false">DATE(YEAR(C1487),MONTH(C1487),1)</f>
        <v>43221</v>
      </c>
      <c r="M1487" s="21" t="n">
        <f aca="false">D1487-C1487</f>
        <v>13</v>
      </c>
      <c r="N1487" s="21" t="n">
        <f aca="false">MAX(0,D1487-E1487)</f>
        <v>0</v>
      </c>
      <c r="O1487" s="21" t="n">
        <f aca="false">IF(D1487&lt;=E1487,1,0)</f>
        <v>1</v>
      </c>
      <c r="P1487" s="23" t="n">
        <f aca="false">G1487+H1487</f>
        <v>161.02</v>
      </c>
      <c r="Q1487" s="23" t="n">
        <f aca="false">G1487*INDEX(Assumptions!$B$8:$B$16,MATCH(F1487,Assumptions!$A$8:$A$16,0))</f>
        <v>92.174</v>
      </c>
      <c r="R1487" s="23" t="n">
        <f aca="false">H1487*Assumptions!$B$3</f>
        <v>15.282</v>
      </c>
      <c r="S1487" s="23" t="n">
        <f aca="false">G1487-Q1487-R1487</f>
        <v>28.094</v>
      </c>
      <c r="T1487" s="21" t="str">
        <f aca="false">IF(M1487&lt;=7,"0-7 days",IF(M1487&lt;=14,"8-14 days",IF(M1487&lt;=21,"15-21 days","22+ days")))</f>
        <v>8-14 days</v>
      </c>
    </row>
    <row r="1488" customFormat="false" ht="15" hidden="false" customHeight="false" outlineLevel="0" collapsed="false">
      <c r="A1488" s="21" t="s">
        <v>1554</v>
      </c>
      <c r="B1488" s="21" t="s">
        <v>19</v>
      </c>
      <c r="C1488" s="22" t="n">
        <v>43249</v>
      </c>
      <c r="D1488" s="22" t="n">
        <v>43263</v>
      </c>
      <c r="E1488" s="22" t="n">
        <v>43262</v>
      </c>
      <c r="F1488" s="21" t="s">
        <v>64</v>
      </c>
      <c r="G1488" s="23" t="n">
        <v>97.49</v>
      </c>
      <c r="H1488" s="23" t="n">
        <v>19.69</v>
      </c>
      <c r="I1488" s="21" t="s">
        <v>45</v>
      </c>
      <c r="J1488" s="21" t="n">
        <v>3</v>
      </c>
      <c r="K1488" s="21" t="s">
        <v>46</v>
      </c>
      <c r="L1488" s="24" t="n">
        <f aca="false">DATE(YEAR(C1488),MONTH(C1488),1)</f>
        <v>43221</v>
      </c>
      <c r="M1488" s="21" t="n">
        <f aca="false">D1488-C1488</f>
        <v>14</v>
      </c>
      <c r="N1488" s="21" t="n">
        <f aca="false">MAX(0,D1488-E1488)</f>
        <v>1</v>
      </c>
      <c r="O1488" s="21" t="n">
        <f aca="false">IF(D1488&lt;=E1488,1,0)</f>
        <v>0</v>
      </c>
      <c r="P1488" s="23" t="n">
        <f aca="false">G1488+H1488</f>
        <v>117.18</v>
      </c>
      <c r="Q1488" s="23" t="n">
        <f aca="false">G1488*INDEX(Assumptions!$B$8:$B$16,MATCH(F1488,Assumptions!$A$8:$A$16,0))</f>
        <v>64.3434</v>
      </c>
      <c r="R1488" s="23" t="n">
        <f aca="false">H1488*Assumptions!$B$3</f>
        <v>11.814</v>
      </c>
      <c r="S1488" s="23" t="n">
        <f aca="false">G1488-Q1488-R1488</f>
        <v>21.3326</v>
      </c>
      <c r="T1488" s="21" t="str">
        <f aca="false">IF(M1488&lt;=7,"0-7 days",IF(M1488&lt;=14,"8-14 days",IF(M1488&lt;=21,"15-21 days","22+ days")))</f>
        <v>8-14 days</v>
      </c>
    </row>
    <row r="1489" customFormat="false" ht="15" hidden="false" customHeight="false" outlineLevel="0" collapsed="false">
      <c r="A1489" s="21" t="s">
        <v>1555</v>
      </c>
      <c r="B1489" s="21" t="s">
        <v>19</v>
      </c>
      <c r="C1489" s="22" t="n">
        <v>43249</v>
      </c>
      <c r="D1489" s="22" t="n">
        <v>43256</v>
      </c>
      <c r="E1489" s="22" t="n">
        <v>43263</v>
      </c>
      <c r="F1489" s="21" t="s">
        <v>67</v>
      </c>
      <c r="G1489" s="23" t="n">
        <v>49.22</v>
      </c>
      <c r="H1489" s="23" t="n">
        <v>19.81</v>
      </c>
      <c r="I1489" s="21" t="s">
        <v>50</v>
      </c>
      <c r="J1489" s="21" t="n">
        <v>5</v>
      </c>
      <c r="K1489" s="21" t="s">
        <v>46</v>
      </c>
      <c r="L1489" s="24" t="n">
        <f aca="false">DATE(YEAR(C1489),MONTH(C1489),1)</f>
        <v>43221</v>
      </c>
      <c r="M1489" s="21" t="n">
        <f aca="false">D1489-C1489</f>
        <v>7</v>
      </c>
      <c r="N1489" s="21" t="n">
        <f aca="false">MAX(0,D1489-E1489)</f>
        <v>0</v>
      </c>
      <c r="O1489" s="21" t="n">
        <f aca="false">IF(D1489&lt;=E1489,1,0)</f>
        <v>1</v>
      </c>
      <c r="P1489" s="23" t="n">
        <f aca="false">G1489+H1489</f>
        <v>69.03</v>
      </c>
      <c r="Q1489" s="23" t="n">
        <f aca="false">G1489*INDEX(Assumptions!$B$8:$B$16,MATCH(F1489,Assumptions!$A$8:$A$16,0))</f>
        <v>30.5164</v>
      </c>
      <c r="R1489" s="23" t="n">
        <f aca="false">H1489*Assumptions!$B$3</f>
        <v>11.886</v>
      </c>
      <c r="S1489" s="23" t="n">
        <f aca="false">G1489-Q1489-R1489</f>
        <v>6.8176</v>
      </c>
      <c r="T1489" s="21" t="str">
        <f aca="false">IF(M1489&lt;=7,"0-7 days",IF(M1489&lt;=14,"8-14 days",IF(M1489&lt;=21,"15-21 days","22+ days")))</f>
        <v>0-7 days</v>
      </c>
    </row>
    <row r="1490" customFormat="false" ht="15" hidden="false" customHeight="false" outlineLevel="0" collapsed="false">
      <c r="A1490" s="21" t="s">
        <v>1556</v>
      </c>
      <c r="B1490" s="21" t="s">
        <v>77</v>
      </c>
      <c r="C1490" s="22" t="n">
        <v>43249</v>
      </c>
      <c r="D1490" s="22" t="n">
        <v>43262</v>
      </c>
      <c r="E1490" s="22" t="n">
        <v>43274</v>
      </c>
      <c r="F1490" s="21" t="s">
        <v>67</v>
      </c>
      <c r="G1490" s="23" t="n">
        <v>26.67</v>
      </c>
      <c r="H1490" s="23" t="n">
        <v>27.67</v>
      </c>
      <c r="I1490" s="21" t="s">
        <v>60</v>
      </c>
      <c r="J1490" s="21" t="n">
        <v>5</v>
      </c>
      <c r="K1490" s="21" t="s">
        <v>46</v>
      </c>
      <c r="L1490" s="24" t="n">
        <f aca="false">DATE(YEAR(C1490),MONTH(C1490),1)</f>
        <v>43221</v>
      </c>
      <c r="M1490" s="21" t="n">
        <f aca="false">D1490-C1490</f>
        <v>13</v>
      </c>
      <c r="N1490" s="21" t="n">
        <f aca="false">MAX(0,D1490-E1490)</f>
        <v>0</v>
      </c>
      <c r="O1490" s="21" t="n">
        <f aca="false">IF(D1490&lt;=E1490,1,0)</f>
        <v>1</v>
      </c>
      <c r="P1490" s="23" t="n">
        <f aca="false">G1490+H1490</f>
        <v>54.34</v>
      </c>
      <c r="Q1490" s="23" t="n">
        <f aca="false">G1490*INDEX(Assumptions!$B$8:$B$16,MATCH(F1490,Assumptions!$A$8:$A$16,0))</f>
        <v>16.5354</v>
      </c>
      <c r="R1490" s="23" t="n">
        <f aca="false">H1490*Assumptions!$B$3</f>
        <v>16.602</v>
      </c>
      <c r="S1490" s="23" t="n">
        <f aca="false">G1490-Q1490-R1490</f>
        <v>-6.4674</v>
      </c>
      <c r="T1490" s="21" t="str">
        <f aca="false">IF(M1490&lt;=7,"0-7 days",IF(M1490&lt;=14,"8-14 days",IF(M1490&lt;=21,"15-21 days","22+ days")))</f>
        <v>8-14 days</v>
      </c>
    </row>
    <row r="1491" customFormat="false" ht="15" hidden="false" customHeight="false" outlineLevel="0" collapsed="false">
      <c r="A1491" s="21" t="s">
        <v>1557</v>
      </c>
      <c r="B1491" s="21" t="s">
        <v>62</v>
      </c>
      <c r="C1491" s="22" t="n">
        <v>43249</v>
      </c>
      <c r="D1491" s="22" t="n">
        <v>43259</v>
      </c>
      <c r="E1491" s="22" t="n">
        <v>43274</v>
      </c>
      <c r="F1491" s="21" t="s">
        <v>64</v>
      </c>
      <c r="G1491" s="23" t="n">
        <v>129.93</v>
      </c>
      <c r="H1491" s="23" t="n">
        <v>23.12</v>
      </c>
      <c r="I1491" s="21" t="s">
        <v>45</v>
      </c>
      <c r="J1491" s="21" t="n">
        <v>5</v>
      </c>
      <c r="K1491" s="21" t="s">
        <v>46</v>
      </c>
      <c r="L1491" s="24" t="n">
        <f aca="false">DATE(YEAR(C1491),MONTH(C1491),1)</f>
        <v>43221</v>
      </c>
      <c r="M1491" s="21" t="n">
        <f aca="false">D1491-C1491</f>
        <v>10</v>
      </c>
      <c r="N1491" s="21" t="n">
        <f aca="false">MAX(0,D1491-E1491)</f>
        <v>0</v>
      </c>
      <c r="O1491" s="21" t="n">
        <f aca="false">IF(D1491&lt;=E1491,1,0)</f>
        <v>1</v>
      </c>
      <c r="P1491" s="23" t="n">
        <f aca="false">G1491+H1491</f>
        <v>153.05</v>
      </c>
      <c r="Q1491" s="23" t="n">
        <f aca="false">G1491*INDEX(Assumptions!$B$8:$B$16,MATCH(F1491,Assumptions!$A$8:$A$16,0))</f>
        <v>85.7538</v>
      </c>
      <c r="R1491" s="23" t="n">
        <f aca="false">H1491*Assumptions!$B$3</f>
        <v>13.872</v>
      </c>
      <c r="S1491" s="23" t="n">
        <f aca="false">G1491-Q1491-R1491</f>
        <v>30.3042</v>
      </c>
      <c r="T1491" s="21" t="str">
        <f aca="false">IF(M1491&lt;=7,"0-7 days",IF(M1491&lt;=14,"8-14 days",IF(M1491&lt;=21,"15-21 days","22+ days")))</f>
        <v>8-14 days</v>
      </c>
    </row>
    <row r="1492" customFormat="false" ht="15" hidden="false" customHeight="false" outlineLevel="0" collapsed="false">
      <c r="A1492" s="21" t="s">
        <v>1558</v>
      </c>
      <c r="B1492" s="21" t="s">
        <v>62</v>
      </c>
      <c r="C1492" s="22" t="n">
        <v>43249</v>
      </c>
      <c r="D1492" s="22" t="n">
        <v>43266</v>
      </c>
      <c r="E1492" s="22" t="n">
        <v>43270</v>
      </c>
      <c r="F1492" s="21" t="s">
        <v>79</v>
      </c>
      <c r="G1492" s="23" t="n">
        <v>82</v>
      </c>
      <c r="H1492" s="23" t="n">
        <v>18.72</v>
      </c>
      <c r="I1492" s="21" t="s">
        <v>45</v>
      </c>
      <c r="J1492" s="21" t="n">
        <v>5</v>
      </c>
      <c r="K1492" s="21" t="s">
        <v>46</v>
      </c>
      <c r="L1492" s="24" t="n">
        <f aca="false">DATE(YEAR(C1492),MONTH(C1492),1)</f>
        <v>43221</v>
      </c>
      <c r="M1492" s="21" t="n">
        <f aca="false">D1492-C1492</f>
        <v>17</v>
      </c>
      <c r="N1492" s="21" t="n">
        <f aca="false">MAX(0,D1492-E1492)</f>
        <v>0</v>
      </c>
      <c r="O1492" s="21" t="n">
        <f aca="false">IF(D1492&lt;=E1492,1,0)</f>
        <v>1</v>
      </c>
      <c r="P1492" s="23" t="n">
        <f aca="false">G1492+H1492</f>
        <v>100.72</v>
      </c>
      <c r="Q1492" s="23" t="n">
        <f aca="false">G1492*INDEX(Assumptions!$B$8:$B$16,MATCH(F1492,Assumptions!$A$8:$A$16,0))</f>
        <v>57.4</v>
      </c>
      <c r="R1492" s="23" t="n">
        <f aca="false">H1492*Assumptions!$B$3</f>
        <v>11.232</v>
      </c>
      <c r="S1492" s="23" t="n">
        <f aca="false">G1492-Q1492-R1492</f>
        <v>13.368</v>
      </c>
      <c r="T1492" s="21" t="str">
        <f aca="false">IF(M1492&lt;=7,"0-7 days",IF(M1492&lt;=14,"8-14 days",IF(M1492&lt;=21,"15-21 days","22+ days")))</f>
        <v>15-21 days</v>
      </c>
    </row>
    <row r="1493" customFormat="false" ht="15" hidden="false" customHeight="false" outlineLevel="0" collapsed="false">
      <c r="A1493" s="21" t="s">
        <v>1559</v>
      </c>
      <c r="B1493" s="21" t="s">
        <v>103</v>
      </c>
      <c r="C1493" s="22" t="n">
        <v>43249</v>
      </c>
      <c r="D1493" s="22" t="n">
        <v>43263</v>
      </c>
      <c r="E1493" s="22" t="n">
        <v>43271</v>
      </c>
      <c r="F1493" s="21" t="s">
        <v>67</v>
      </c>
      <c r="G1493" s="23" t="n">
        <v>119.27</v>
      </c>
      <c r="H1493" s="23" t="n">
        <v>30.01</v>
      </c>
      <c r="I1493" s="21" t="s">
        <v>45</v>
      </c>
      <c r="J1493" s="21" t="n">
        <v>4</v>
      </c>
      <c r="K1493" s="21" t="s">
        <v>46</v>
      </c>
      <c r="L1493" s="24" t="n">
        <f aca="false">DATE(YEAR(C1493),MONTH(C1493),1)</f>
        <v>43221</v>
      </c>
      <c r="M1493" s="21" t="n">
        <f aca="false">D1493-C1493</f>
        <v>14</v>
      </c>
      <c r="N1493" s="21" t="n">
        <f aca="false">MAX(0,D1493-E1493)</f>
        <v>0</v>
      </c>
      <c r="O1493" s="21" t="n">
        <f aca="false">IF(D1493&lt;=E1493,1,0)</f>
        <v>1</v>
      </c>
      <c r="P1493" s="23" t="n">
        <f aca="false">G1493+H1493</f>
        <v>149.28</v>
      </c>
      <c r="Q1493" s="23" t="n">
        <f aca="false">G1493*INDEX(Assumptions!$B$8:$B$16,MATCH(F1493,Assumptions!$A$8:$A$16,0))</f>
        <v>73.9474</v>
      </c>
      <c r="R1493" s="23" t="n">
        <f aca="false">H1493*Assumptions!$B$3</f>
        <v>18.006</v>
      </c>
      <c r="S1493" s="23" t="n">
        <f aca="false">G1493-Q1493-R1493</f>
        <v>27.3166</v>
      </c>
      <c r="T1493" s="21" t="str">
        <f aca="false">IF(M1493&lt;=7,"0-7 days",IF(M1493&lt;=14,"8-14 days",IF(M1493&lt;=21,"15-21 days","22+ days")))</f>
        <v>8-14 days</v>
      </c>
    </row>
    <row r="1494" customFormat="false" ht="15" hidden="false" customHeight="false" outlineLevel="0" collapsed="false">
      <c r="A1494" s="21" t="s">
        <v>1560</v>
      </c>
      <c r="B1494" s="21" t="s">
        <v>19</v>
      </c>
      <c r="C1494" s="22" t="n">
        <v>43250</v>
      </c>
      <c r="D1494" s="22" t="n">
        <v>43254</v>
      </c>
      <c r="E1494" s="22" t="n">
        <v>43262</v>
      </c>
      <c r="F1494" s="21" t="s">
        <v>79</v>
      </c>
      <c r="G1494" s="23" t="n">
        <v>99.12</v>
      </c>
      <c r="H1494" s="23" t="n">
        <v>18.78</v>
      </c>
      <c r="I1494" s="21" t="s">
        <v>60</v>
      </c>
      <c r="J1494" s="21" t="n">
        <v>4</v>
      </c>
      <c r="K1494" s="21" t="s">
        <v>46</v>
      </c>
      <c r="L1494" s="24" t="n">
        <f aca="false">DATE(YEAR(C1494),MONTH(C1494),1)</f>
        <v>43221</v>
      </c>
      <c r="M1494" s="21" t="n">
        <f aca="false">D1494-C1494</f>
        <v>4</v>
      </c>
      <c r="N1494" s="21" t="n">
        <f aca="false">MAX(0,D1494-E1494)</f>
        <v>0</v>
      </c>
      <c r="O1494" s="21" t="n">
        <f aca="false">IF(D1494&lt;=E1494,1,0)</f>
        <v>1</v>
      </c>
      <c r="P1494" s="23" t="n">
        <f aca="false">G1494+H1494</f>
        <v>117.9</v>
      </c>
      <c r="Q1494" s="23" t="n">
        <f aca="false">G1494*INDEX(Assumptions!$B$8:$B$16,MATCH(F1494,Assumptions!$A$8:$A$16,0))</f>
        <v>69.384</v>
      </c>
      <c r="R1494" s="23" t="n">
        <f aca="false">H1494*Assumptions!$B$3</f>
        <v>11.268</v>
      </c>
      <c r="S1494" s="23" t="n">
        <f aca="false">G1494-Q1494-R1494</f>
        <v>18.468</v>
      </c>
      <c r="T1494" s="21" t="str">
        <f aca="false">IF(M1494&lt;=7,"0-7 days",IF(M1494&lt;=14,"8-14 days",IF(M1494&lt;=21,"15-21 days","22+ days")))</f>
        <v>0-7 days</v>
      </c>
    </row>
    <row r="1495" customFormat="false" ht="15" hidden="false" customHeight="false" outlineLevel="0" collapsed="false">
      <c r="A1495" s="21" t="s">
        <v>1561</v>
      </c>
      <c r="B1495" s="21" t="s">
        <v>62</v>
      </c>
      <c r="C1495" s="22" t="n">
        <v>43250</v>
      </c>
      <c r="D1495" s="22" t="n">
        <v>43258</v>
      </c>
      <c r="E1495" s="22" t="n">
        <v>43272</v>
      </c>
      <c r="F1495" s="21" t="s">
        <v>67</v>
      </c>
      <c r="G1495" s="23" t="n">
        <v>40.57</v>
      </c>
      <c r="H1495" s="23" t="n">
        <v>15.45</v>
      </c>
      <c r="I1495" s="21" t="s">
        <v>45</v>
      </c>
      <c r="J1495" s="21" t="n">
        <v>3</v>
      </c>
      <c r="K1495" s="21" t="s">
        <v>46</v>
      </c>
      <c r="L1495" s="24" t="n">
        <f aca="false">DATE(YEAR(C1495),MONTH(C1495),1)</f>
        <v>43221</v>
      </c>
      <c r="M1495" s="21" t="n">
        <f aca="false">D1495-C1495</f>
        <v>8</v>
      </c>
      <c r="N1495" s="21" t="n">
        <f aca="false">MAX(0,D1495-E1495)</f>
        <v>0</v>
      </c>
      <c r="O1495" s="21" t="n">
        <f aca="false">IF(D1495&lt;=E1495,1,0)</f>
        <v>1</v>
      </c>
      <c r="P1495" s="23" t="n">
        <f aca="false">G1495+H1495</f>
        <v>56.02</v>
      </c>
      <c r="Q1495" s="23" t="n">
        <f aca="false">G1495*INDEX(Assumptions!$B$8:$B$16,MATCH(F1495,Assumptions!$A$8:$A$16,0))</f>
        <v>25.1534</v>
      </c>
      <c r="R1495" s="23" t="n">
        <f aca="false">H1495*Assumptions!$B$3</f>
        <v>9.27</v>
      </c>
      <c r="S1495" s="23" t="n">
        <f aca="false">G1495-Q1495-R1495</f>
        <v>6.1466</v>
      </c>
      <c r="T1495" s="21" t="str">
        <f aca="false">IF(M1495&lt;=7,"0-7 days",IF(M1495&lt;=14,"8-14 days",IF(M1495&lt;=21,"15-21 days","22+ days")))</f>
        <v>8-14 days</v>
      </c>
    </row>
    <row r="1496" customFormat="false" ht="15" hidden="false" customHeight="false" outlineLevel="0" collapsed="false">
      <c r="A1496" s="21" t="s">
        <v>1562</v>
      </c>
      <c r="B1496" s="21" t="s">
        <v>62</v>
      </c>
      <c r="C1496" s="22" t="n">
        <v>43250</v>
      </c>
      <c r="D1496" s="22" t="n">
        <v>43265</v>
      </c>
      <c r="E1496" s="22" t="n">
        <v>43272</v>
      </c>
      <c r="F1496" s="21" t="s">
        <v>59</v>
      </c>
      <c r="G1496" s="23" t="n">
        <v>51.46</v>
      </c>
      <c r="H1496" s="23" t="n">
        <v>20.42</v>
      </c>
      <c r="I1496" s="21" t="s">
        <v>45</v>
      </c>
      <c r="J1496" s="21" t="n">
        <v>5</v>
      </c>
      <c r="K1496" s="21" t="s">
        <v>46</v>
      </c>
      <c r="L1496" s="24" t="n">
        <f aca="false">DATE(YEAR(C1496),MONTH(C1496),1)</f>
        <v>43221</v>
      </c>
      <c r="M1496" s="21" t="n">
        <f aca="false">D1496-C1496</f>
        <v>15</v>
      </c>
      <c r="N1496" s="21" t="n">
        <f aca="false">MAX(0,D1496-E1496)</f>
        <v>0</v>
      </c>
      <c r="O1496" s="21" t="n">
        <f aca="false">IF(D1496&lt;=E1496,1,0)</f>
        <v>1</v>
      </c>
      <c r="P1496" s="23" t="n">
        <f aca="false">G1496+H1496</f>
        <v>71.88</v>
      </c>
      <c r="Q1496" s="23" t="n">
        <f aca="false">G1496*INDEX(Assumptions!$B$8:$B$16,MATCH(F1496,Assumptions!$A$8:$A$16,0))</f>
        <v>32.9344</v>
      </c>
      <c r="R1496" s="23" t="n">
        <f aca="false">H1496*Assumptions!$B$3</f>
        <v>12.252</v>
      </c>
      <c r="S1496" s="23" t="n">
        <f aca="false">G1496-Q1496-R1496</f>
        <v>6.2736</v>
      </c>
      <c r="T1496" s="21" t="str">
        <f aca="false">IF(M1496&lt;=7,"0-7 days",IF(M1496&lt;=14,"8-14 days",IF(M1496&lt;=21,"15-21 days","22+ days")))</f>
        <v>15-21 days</v>
      </c>
    </row>
    <row r="1497" customFormat="false" ht="15" hidden="false" customHeight="false" outlineLevel="0" collapsed="false">
      <c r="A1497" s="21" t="s">
        <v>1563</v>
      </c>
      <c r="B1497" s="21" t="s">
        <v>62</v>
      </c>
      <c r="C1497" s="22" t="n">
        <v>43251</v>
      </c>
      <c r="D1497" s="22" t="n">
        <v>43264</v>
      </c>
      <c r="E1497" s="22" t="n">
        <v>43271</v>
      </c>
      <c r="F1497" s="21" t="s">
        <v>64</v>
      </c>
      <c r="G1497" s="23" t="n">
        <v>319.86</v>
      </c>
      <c r="H1497" s="23" t="n">
        <v>33.54</v>
      </c>
      <c r="I1497" s="21" t="s">
        <v>45</v>
      </c>
      <c r="J1497" s="21" t="n">
        <v>3</v>
      </c>
      <c r="K1497" s="21" t="s">
        <v>46</v>
      </c>
      <c r="L1497" s="24" t="n">
        <f aca="false">DATE(YEAR(C1497),MONTH(C1497),1)</f>
        <v>43221</v>
      </c>
      <c r="M1497" s="21" t="n">
        <f aca="false">D1497-C1497</f>
        <v>13</v>
      </c>
      <c r="N1497" s="21" t="n">
        <f aca="false">MAX(0,D1497-E1497)</f>
        <v>0</v>
      </c>
      <c r="O1497" s="21" t="n">
        <f aca="false">IF(D1497&lt;=E1497,1,0)</f>
        <v>1</v>
      </c>
      <c r="P1497" s="23" t="n">
        <f aca="false">G1497+H1497</f>
        <v>353.4</v>
      </c>
      <c r="Q1497" s="23" t="n">
        <f aca="false">G1497*INDEX(Assumptions!$B$8:$B$16,MATCH(F1497,Assumptions!$A$8:$A$16,0))</f>
        <v>211.1076</v>
      </c>
      <c r="R1497" s="23" t="n">
        <f aca="false">H1497*Assumptions!$B$3</f>
        <v>20.124</v>
      </c>
      <c r="S1497" s="23" t="n">
        <f aca="false">G1497-Q1497-R1497</f>
        <v>88.6284</v>
      </c>
      <c r="T1497" s="21" t="str">
        <f aca="false">IF(M1497&lt;=7,"0-7 days",IF(M1497&lt;=14,"8-14 days",IF(M1497&lt;=21,"15-21 days","22+ days")))</f>
        <v>8-14 days</v>
      </c>
    </row>
    <row r="1498" customFormat="false" ht="15" hidden="false" customHeight="false" outlineLevel="0" collapsed="false">
      <c r="A1498" s="21" t="s">
        <v>1564</v>
      </c>
      <c r="B1498" s="21" t="s">
        <v>19</v>
      </c>
      <c r="C1498" s="22" t="n">
        <v>43251</v>
      </c>
      <c r="D1498" s="22" t="n">
        <v>43265</v>
      </c>
      <c r="E1498" s="22" t="n">
        <v>43264</v>
      </c>
      <c r="F1498" s="21" t="s">
        <v>64</v>
      </c>
      <c r="G1498" s="23" t="n">
        <v>215.16</v>
      </c>
      <c r="H1498" s="23" t="n">
        <v>15.34</v>
      </c>
      <c r="I1498" s="21" t="s">
        <v>45</v>
      </c>
      <c r="J1498" s="21" t="n">
        <v>4</v>
      </c>
      <c r="K1498" s="21" t="s">
        <v>46</v>
      </c>
      <c r="L1498" s="24" t="n">
        <f aca="false">DATE(YEAR(C1498),MONTH(C1498),1)</f>
        <v>43221</v>
      </c>
      <c r="M1498" s="21" t="n">
        <f aca="false">D1498-C1498</f>
        <v>14</v>
      </c>
      <c r="N1498" s="21" t="n">
        <f aca="false">MAX(0,D1498-E1498)</f>
        <v>1</v>
      </c>
      <c r="O1498" s="21" t="n">
        <f aca="false">IF(D1498&lt;=E1498,1,0)</f>
        <v>0</v>
      </c>
      <c r="P1498" s="23" t="n">
        <f aca="false">G1498+H1498</f>
        <v>230.5</v>
      </c>
      <c r="Q1498" s="23" t="n">
        <f aca="false">G1498*INDEX(Assumptions!$B$8:$B$16,MATCH(F1498,Assumptions!$A$8:$A$16,0))</f>
        <v>142.0056</v>
      </c>
      <c r="R1498" s="23" t="n">
        <f aca="false">H1498*Assumptions!$B$3</f>
        <v>9.204</v>
      </c>
      <c r="S1498" s="23" t="n">
        <f aca="false">G1498-Q1498-R1498</f>
        <v>63.9504</v>
      </c>
      <c r="T1498" s="21" t="str">
        <f aca="false">IF(M1498&lt;=7,"0-7 days",IF(M1498&lt;=14,"8-14 days",IF(M1498&lt;=21,"15-21 days","22+ days")))</f>
        <v>8-14 days</v>
      </c>
    </row>
    <row r="1499" customFormat="false" ht="15" hidden="false" customHeight="false" outlineLevel="0" collapsed="false">
      <c r="A1499" s="21" t="s">
        <v>1565</v>
      </c>
      <c r="B1499" s="21" t="s">
        <v>103</v>
      </c>
      <c r="C1499" s="22" t="n">
        <v>43251</v>
      </c>
      <c r="D1499" s="22" t="n">
        <v>43259</v>
      </c>
      <c r="E1499" s="22" t="n">
        <v>43271</v>
      </c>
      <c r="F1499" s="21" t="s">
        <v>67</v>
      </c>
      <c r="G1499" s="23" t="n">
        <v>114.74</v>
      </c>
      <c r="H1499" s="23" t="n">
        <v>21.39</v>
      </c>
      <c r="I1499" s="21" t="s">
        <v>45</v>
      </c>
      <c r="J1499" s="21" t="n">
        <v>5</v>
      </c>
      <c r="K1499" s="21" t="s">
        <v>46</v>
      </c>
      <c r="L1499" s="24" t="n">
        <f aca="false">DATE(YEAR(C1499),MONTH(C1499),1)</f>
        <v>43221</v>
      </c>
      <c r="M1499" s="21" t="n">
        <f aca="false">D1499-C1499</f>
        <v>8</v>
      </c>
      <c r="N1499" s="21" t="n">
        <f aca="false">MAX(0,D1499-E1499)</f>
        <v>0</v>
      </c>
      <c r="O1499" s="21" t="n">
        <f aca="false">IF(D1499&lt;=E1499,1,0)</f>
        <v>1</v>
      </c>
      <c r="P1499" s="23" t="n">
        <f aca="false">G1499+H1499</f>
        <v>136.13</v>
      </c>
      <c r="Q1499" s="23" t="n">
        <f aca="false">G1499*INDEX(Assumptions!$B$8:$B$16,MATCH(F1499,Assumptions!$A$8:$A$16,0))</f>
        <v>71.1388</v>
      </c>
      <c r="R1499" s="23" t="n">
        <f aca="false">H1499*Assumptions!$B$3</f>
        <v>12.834</v>
      </c>
      <c r="S1499" s="23" t="n">
        <f aca="false">G1499-Q1499-R1499</f>
        <v>30.7672</v>
      </c>
      <c r="T1499" s="21" t="str">
        <f aca="false">IF(M1499&lt;=7,"0-7 days",IF(M1499&lt;=14,"8-14 days",IF(M1499&lt;=21,"15-21 days","22+ days")))</f>
        <v>8-14 days</v>
      </c>
    </row>
    <row r="1500" customFormat="false" ht="15" hidden="false" customHeight="false" outlineLevel="0" collapsed="false">
      <c r="A1500" s="21" t="s">
        <v>1566</v>
      </c>
      <c r="B1500" s="21" t="s">
        <v>19</v>
      </c>
      <c r="C1500" s="22" t="n">
        <v>43252</v>
      </c>
      <c r="D1500" s="22" t="n">
        <v>43259</v>
      </c>
      <c r="E1500" s="22" t="n">
        <v>43268</v>
      </c>
      <c r="F1500" s="21" t="s">
        <v>79</v>
      </c>
      <c r="G1500" s="23" t="n">
        <v>222.21</v>
      </c>
      <c r="H1500" s="23" t="n">
        <v>18.64</v>
      </c>
      <c r="I1500" s="21" t="s">
        <v>50</v>
      </c>
      <c r="J1500" s="21" t="n">
        <v>4</v>
      </c>
      <c r="K1500" s="21" t="s">
        <v>46</v>
      </c>
      <c r="L1500" s="24" t="n">
        <f aca="false">DATE(YEAR(C1500),MONTH(C1500),1)</f>
        <v>43252</v>
      </c>
      <c r="M1500" s="21" t="n">
        <f aca="false">D1500-C1500</f>
        <v>7</v>
      </c>
      <c r="N1500" s="21" t="n">
        <f aca="false">MAX(0,D1500-E1500)</f>
        <v>0</v>
      </c>
      <c r="O1500" s="21" t="n">
        <f aca="false">IF(D1500&lt;=E1500,1,0)</f>
        <v>1</v>
      </c>
      <c r="P1500" s="23" t="n">
        <f aca="false">G1500+H1500</f>
        <v>240.85</v>
      </c>
      <c r="Q1500" s="23" t="n">
        <f aca="false">G1500*INDEX(Assumptions!$B$8:$B$16,MATCH(F1500,Assumptions!$A$8:$A$16,0))</f>
        <v>155.547</v>
      </c>
      <c r="R1500" s="23" t="n">
        <f aca="false">H1500*Assumptions!$B$3</f>
        <v>11.184</v>
      </c>
      <c r="S1500" s="23" t="n">
        <f aca="false">G1500-Q1500-R1500</f>
        <v>55.479</v>
      </c>
      <c r="T1500" s="21" t="str">
        <f aca="false">IF(M1500&lt;=7,"0-7 days",IF(M1500&lt;=14,"8-14 days",IF(M1500&lt;=21,"15-21 days","22+ days")))</f>
        <v>0-7 days</v>
      </c>
    </row>
    <row r="1501" customFormat="false" ht="15" hidden="false" customHeight="false" outlineLevel="0" collapsed="false">
      <c r="A1501" s="21" t="s">
        <v>1567</v>
      </c>
      <c r="B1501" s="21" t="s">
        <v>62</v>
      </c>
      <c r="C1501" s="22" t="n">
        <v>43252</v>
      </c>
      <c r="D1501" s="22" t="n">
        <v>43259</v>
      </c>
      <c r="E1501" s="22" t="n">
        <v>43272</v>
      </c>
      <c r="F1501" s="21" t="s">
        <v>49</v>
      </c>
      <c r="G1501" s="23" t="n">
        <v>72.67</v>
      </c>
      <c r="H1501" s="23" t="n">
        <v>21.98</v>
      </c>
      <c r="I1501" s="21" t="s">
        <v>60</v>
      </c>
      <c r="J1501" s="21" t="n">
        <v>5</v>
      </c>
      <c r="K1501" s="21" t="s">
        <v>46</v>
      </c>
      <c r="L1501" s="24" t="n">
        <f aca="false">DATE(YEAR(C1501),MONTH(C1501),1)</f>
        <v>43252</v>
      </c>
      <c r="M1501" s="21" t="n">
        <f aca="false">D1501-C1501</f>
        <v>7</v>
      </c>
      <c r="N1501" s="21" t="n">
        <f aca="false">MAX(0,D1501-E1501)</f>
        <v>0</v>
      </c>
      <c r="O1501" s="21" t="n">
        <f aca="false">IF(D1501&lt;=E1501,1,0)</f>
        <v>1</v>
      </c>
      <c r="P1501" s="23" t="n">
        <f aca="false">G1501+H1501</f>
        <v>94.65</v>
      </c>
      <c r="Q1501" s="23" t="n">
        <f aca="false">G1501*INDEX(Assumptions!$B$8:$B$16,MATCH(F1501,Assumptions!$A$8:$A$16,0))</f>
        <v>42.1486</v>
      </c>
      <c r="R1501" s="23" t="n">
        <f aca="false">H1501*Assumptions!$B$3</f>
        <v>13.188</v>
      </c>
      <c r="S1501" s="23" t="n">
        <f aca="false">G1501-Q1501-R1501</f>
        <v>17.3334</v>
      </c>
      <c r="T1501" s="21" t="str">
        <f aca="false">IF(M1501&lt;=7,"0-7 days",IF(M1501&lt;=14,"8-14 days",IF(M1501&lt;=21,"15-21 days","22+ days")))</f>
        <v>0-7 days</v>
      </c>
    </row>
    <row r="1502" customFormat="false" ht="15" hidden="false" customHeight="false" outlineLevel="0" collapsed="false">
      <c r="A1502" s="21" t="s">
        <v>1568</v>
      </c>
      <c r="B1502" s="21" t="s">
        <v>19</v>
      </c>
      <c r="C1502" s="22" t="n">
        <v>43252</v>
      </c>
      <c r="D1502" s="22" t="n">
        <v>43262</v>
      </c>
      <c r="E1502" s="22" t="n">
        <v>43270</v>
      </c>
      <c r="F1502" s="21" t="s">
        <v>44</v>
      </c>
      <c r="G1502" s="23" t="n">
        <v>300.18</v>
      </c>
      <c r="H1502" s="23" t="n">
        <v>19.8</v>
      </c>
      <c r="I1502" s="21" t="s">
        <v>45</v>
      </c>
      <c r="J1502" s="21" t="n">
        <v>5</v>
      </c>
      <c r="K1502" s="21" t="s">
        <v>46</v>
      </c>
      <c r="L1502" s="24" t="n">
        <f aca="false">DATE(YEAR(C1502),MONTH(C1502),1)</f>
        <v>43252</v>
      </c>
      <c r="M1502" s="21" t="n">
        <f aca="false">D1502-C1502</f>
        <v>10</v>
      </c>
      <c r="N1502" s="21" t="n">
        <f aca="false">MAX(0,D1502-E1502)</f>
        <v>0</v>
      </c>
      <c r="O1502" s="21" t="n">
        <f aca="false">IF(D1502&lt;=E1502,1,0)</f>
        <v>1</v>
      </c>
      <c r="P1502" s="23" t="n">
        <f aca="false">G1502+H1502</f>
        <v>319.98</v>
      </c>
      <c r="Q1502" s="23" t="n">
        <f aca="false">G1502*INDEX(Assumptions!$B$8:$B$16,MATCH(F1502,Assumptions!$A$8:$A$16,0))</f>
        <v>180.108</v>
      </c>
      <c r="R1502" s="23" t="n">
        <f aca="false">H1502*Assumptions!$B$3</f>
        <v>11.88</v>
      </c>
      <c r="S1502" s="23" t="n">
        <f aca="false">G1502-Q1502-R1502</f>
        <v>108.192</v>
      </c>
      <c r="T1502" s="21" t="str">
        <f aca="false">IF(M1502&lt;=7,"0-7 days",IF(M1502&lt;=14,"8-14 days",IF(M1502&lt;=21,"15-21 days","22+ days")))</f>
        <v>8-14 days</v>
      </c>
    </row>
    <row r="1503" customFormat="false" ht="15" hidden="false" customHeight="false" outlineLevel="0" collapsed="false">
      <c r="A1503" s="21" t="s">
        <v>1569</v>
      </c>
      <c r="B1503" s="21" t="s">
        <v>134</v>
      </c>
      <c r="C1503" s="22" t="n">
        <v>43252</v>
      </c>
      <c r="D1503" s="22" t="n">
        <v>43267</v>
      </c>
      <c r="E1503" s="22" t="n">
        <v>43275</v>
      </c>
      <c r="F1503" s="21" t="s">
        <v>53</v>
      </c>
      <c r="G1503" s="23" t="n">
        <v>198.91</v>
      </c>
      <c r="H1503" s="23" t="n">
        <v>25.34</v>
      </c>
      <c r="I1503" s="21" t="s">
        <v>45</v>
      </c>
      <c r="J1503" s="21" t="n">
        <v>5</v>
      </c>
      <c r="K1503" s="21" t="s">
        <v>46</v>
      </c>
      <c r="L1503" s="24" t="n">
        <f aca="false">DATE(YEAR(C1503),MONTH(C1503),1)</f>
        <v>43252</v>
      </c>
      <c r="M1503" s="21" t="n">
        <f aca="false">D1503-C1503</f>
        <v>15</v>
      </c>
      <c r="N1503" s="21" t="n">
        <f aca="false">MAX(0,D1503-E1503)</f>
        <v>0</v>
      </c>
      <c r="O1503" s="21" t="n">
        <f aca="false">IF(D1503&lt;=E1503,1,0)</f>
        <v>1</v>
      </c>
      <c r="P1503" s="23" t="n">
        <f aca="false">G1503+H1503</f>
        <v>224.25</v>
      </c>
      <c r="Q1503" s="23" t="n">
        <f aca="false">G1503*INDEX(Assumptions!$B$8:$B$16,MATCH(F1503,Assumptions!$A$8:$A$16,0))</f>
        <v>147.1934</v>
      </c>
      <c r="R1503" s="23" t="n">
        <f aca="false">H1503*Assumptions!$B$3</f>
        <v>15.204</v>
      </c>
      <c r="S1503" s="23" t="n">
        <f aca="false">G1503-Q1503-R1503</f>
        <v>36.5126</v>
      </c>
      <c r="T1503" s="21" t="str">
        <f aca="false">IF(M1503&lt;=7,"0-7 days",IF(M1503&lt;=14,"8-14 days",IF(M1503&lt;=21,"15-21 days","22+ days")))</f>
        <v>15-21 days</v>
      </c>
    </row>
    <row r="1504" customFormat="false" ht="15" hidden="false" customHeight="false" outlineLevel="0" collapsed="false">
      <c r="A1504" s="21" t="s">
        <v>1570</v>
      </c>
      <c r="B1504" s="21" t="s">
        <v>62</v>
      </c>
      <c r="C1504" s="22" t="n">
        <v>43252</v>
      </c>
      <c r="D1504" s="22" t="n">
        <v>43267</v>
      </c>
      <c r="E1504" s="22" t="n">
        <v>43271</v>
      </c>
      <c r="F1504" s="21" t="s">
        <v>67</v>
      </c>
      <c r="G1504" s="23" t="n">
        <v>142.59</v>
      </c>
      <c r="H1504" s="23" t="n">
        <v>18.7</v>
      </c>
      <c r="I1504" s="21" t="s">
        <v>45</v>
      </c>
      <c r="J1504" s="21" t="n">
        <v>5</v>
      </c>
      <c r="K1504" s="21" t="s">
        <v>46</v>
      </c>
      <c r="L1504" s="24" t="n">
        <f aca="false">DATE(YEAR(C1504),MONTH(C1504),1)</f>
        <v>43252</v>
      </c>
      <c r="M1504" s="21" t="n">
        <f aca="false">D1504-C1504</f>
        <v>15</v>
      </c>
      <c r="N1504" s="21" t="n">
        <f aca="false">MAX(0,D1504-E1504)</f>
        <v>0</v>
      </c>
      <c r="O1504" s="21" t="n">
        <f aca="false">IF(D1504&lt;=E1504,1,0)</f>
        <v>1</v>
      </c>
      <c r="P1504" s="23" t="n">
        <f aca="false">G1504+H1504</f>
        <v>161.29</v>
      </c>
      <c r="Q1504" s="23" t="n">
        <f aca="false">G1504*INDEX(Assumptions!$B$8:$B$16,MATCH(F1504,Assumptions!$A$8:$A$16,0))</f>
        <v>88.4058</v>
      </c>
      <c r="R1504" s="23" t="n">
        <f aca="false">H1504*Assumptions!$B$3</f>
        <v>11.22</v>
      </c>
      <c r="S1504" s="23" t="n">
        <f aca="false">G1504-Q1504-R1504</f>
        <v>42.9642</v>
      </c>
      <c r="T1504" s="21" t="str">
        <f aca="false">IF(M1504&lt;=7,"0-7 days",IF(M1504&lt;=14,"8-14 days",IF(M1504&lt;=21,"15-21 days","22+ days")))</f>
        <v>15-21 days</v>
      </c>
    </row>
    <row r="1505" customFormat="false" ht="15" hidden="false" customHeight="false" outlineLevel="0" collapsed="false">
      <c r="A1505" s="21" t="s">
        <v>1571</v>
      </c>
      <c r="B1505" s="21" t="s">
        <v>174</v>
      </c>
      <c r="C1505" s="22" t="n">
        <v>43252</v>
      </c>
      <c r="D1505" s="22" t="n">
        <v>43282</v>
      </c>
      <c r="E1505" s="22" t="n">
        <v>43285</v>
      </c>
      <c r="F1505" s="21" t="s">
        <v>44</v>
      </c>
      <c r="G1505" s="23" t="n">
        <v>123.23</v>
      </c>
      <c r="H1505" s="23" t="n">
        <v>29.89</v>
      </c>
      <c r="I1505" s="21" t="s">
        <v>45</v>
      </c>
      <c r="J1505" s="21" t="n">
        <v>3</v>
      </c>
      <c r="K1505" s="21" t="s">
        <v>46</v>
      </c>
      <c r="L1505" s="24" t="n">
        <f aca="false">DATE(YEAR(C1505),MONTH(C1505),1)</f>
        <v>43252</v>
      </c>
      <c r="M1505" s="21" t="n">
        <f aca="false">D1505-C1505</f>
        <v>30</v>
      </c>
      <c r="N1505" s="21" t="n">
        <f aca="false">MAX(0,D1505-E1505)</f>
        <v>0</v>
      </c>
      <c r="O1505" s="21" t="n">
        <f aca="false">IF(D1505&lt;=E1505,1,0)</f>
        <v>1</v>
      </c>
      <c r="P1505" s="23" t="n">
        <f aca="false">G1505+H1505</f>
        <v>153.12</v>
      </c>
      <c r="Q1505" s="23" t="n">
        <f aca="false">G1505*INDEX(Assumptions!$B$8:$B$16,MATCH(F1505,Assumptions!$A$8:$A$16,0))</f>
        <v>73.938</v>
      </c>
      <c r="R1505" s="23" t="n">
        <f aca="false">H1505*Assumptions!$B$3</f>
        <v>17.934</v>
      </c>
      <c r="S1505" s="23" t="n">
        <f aca="false">G1505-Q1505-R1505</f>
        <v>31.358</v>
      </c>
      <c r="T1505" s="21" t="str">
        <f aca="false">IF(M1505&lt;=7,"0-7 days",IF(M1505&lt;=14,"8-14 days",IF(M1505&lt;=21,"15-21 days","22+ days")))</f>
        <v>22+ days</v>
      </c>
    </row>
    <row r="1506" customFormat="false" ht="15" hidden="false" customHeight="false" outlineLevel="0" collapsed="false">
      <c r="A1506" s="21" t="s">
        <v>1572</v>
      </c>
      <c r="B1506" s="21" t="s">
        <v>62</v>
      </c>
      <c r="C1506" s="22" t="n">
        <v>43253</v>
      </c>
      <c r="D1506" s="22" t="n">
        <v>43262</v>
      </c>
      <c r="E1506" s="22" t="n">
        <v>43272</v>
      </c>
      <c r="F1506" s="21" t="s">
        <v>57</v>
      </c>
      <c r="G1506" s="23" t="n">
        <v>87.67</v>
      </c>
      <c r="H1506" s="23" t="n">
        <v>21.97</v>
      </c>
      <c r="I1506" s="21" t="s">
        <v>45</v>
      </c>
      <c r="J1506" s="21" t="n">
        <v>4</v>
      </c>
      <c r="K1506" s="21" t="s">
        <v>46</v>
      </c>
      <c r="L1506" s="24" t="n">
        <f aca="false">DATE(YEAR(C1506),MONTH(C1506),1)</f>
        <v>43252</v>
      </c>
      <c r="M1506" s="21" t="n">
        <f aca="false">D1506-C1506</f>
        <v>9</v>
      </c>
      <c r="N1506" s="21" t="n">
        <f aca="false">MAX(0,D1506-E1506)</f>
        <v>0</v>
      </c>
      <c r="O1506" s="21" t="n">
        <f aca="false">IF(D1506&lt;=E1506,1,0)</f>
        <v>1</v>
      </c>
      <c r="P1506" s="23" t="n">
        <f aca="false">G1506+H1506</f>
        <v>109.64</v>
      </c>
      <c r="Q1506" s="23" t="n">
        <f aca="false">G1506*INDEX(Assumptions!$B$8:$B$16,MATCH(F1506,Assumptions!$A$8:$A$16,0))</f>
        <v>59.6156</v>
      </c>
      <c r="R1506" s="23" t="n">
        <f aca="false">H1506*Assumptions!$B$3</f>
        <v>13.182</v>
      </c>
      <c r="S1506" s="23" t="n">
        <f aca="false">G1506-Q1506-R1506</f>
        <v>14.8724</v>
      </c>
      <c r="T1506" s="21" t="str">
        <f aca="false">IF(M1506&lt;=7,"0-7 days",IF(M1506&lt;=14,"8-14 days",IF(M1506&lt;=21,"15-21 days","22+ days")))</f>
        <v>8-14 days</v>
      </c>
    </row>
    <row r="1507" customFormat="false" ht="15" hidden="false" customHeight="false" outlineLevel="0" collapsed="false">
      <c r="A1507" s="21" t="s">
        <v>1573</v>
      </c>
      <c r="B1507" s="21" t="s">
        <v>48</v>
      </c>
      <c r="C1507" s="22" t="n">
        <v>43253</v>
      </c>
      <c r="D1507" s="22" t="n">
        <v>43269</v>
      </c>
      <c r="E1507" s="22" t="n">
        <v>43269</v>
      </c>
      <c r="F1507" s="21" t="s">
        <v>67</v>
      </c>
      <c r="G1507" s="23" t="n">
        <v>104.19</v>
      </c>
      <c r="H1507" s="23" t="n">
        <v>18.88</v>
      </c>
      <c r="I1507" s="21" t="s">
        <v>45</v>
      </c>
      <c r="J1507" s="21" t="n">
        <v>5</v>
      </c>
      <c r="K1507" s="21" t="s">
        <v>46</v>
      </c>
      <c r="L1507" s="24" t="n">
        <f aca="false">DATE(YEAR(C1507),MONTH(C1507),1)</f>
        <v>43252</v>
      </c>
      <c r="M1507" s="21" t="n">
        <f aca="false">D1507-C1507</f>
        <v>16</v>
      </c>
      <c r="N1507" s="21" t="n">
        <f aca="false">MAX(0,D1507-E1507)</f>
        <v>0</v>
      </c>
      <c r="O1507" s="21" t="n">
        <f aca="false">IF(D1507&lt;=E1507,1,0)</f>
        <v>1</v>
      </c>
      <c r="P1507" s="23" t="n">
        <f aca="false">G1507+H1507</f>
        <v>123.07</v>
      </c>
      <c r="Q1507" s="23" t="n">
        <f aca="false">G1507*INDEX(Assumptions!$B$8:$B$16,MATCH(F1507,Assumptions!$A$8:$A$16,0))</f>
        <v>64.5978</v>
      </c>
      <c r="R1507" s="23" t="n">
        <f aca="false">H1507*Assumptions!$B$3</f>
        <v>11.328</v>
      </c>
      <c r="S1507" s="23" t="n">
        <f aca="false">G1507-Q1507-R1507</f>
        <v>28.2642</v>
      </c>
      <c r="T1507" s="21" t="str">
        <f aca="false">IF(M1507&lt;=7,"0-7 days",IF(M1507&lt;=14,"8-14 days",IF(M1507&lt;=21,"15-21 days","22+ days")))</f>
        <v>15-21 days</v>
      </c>
    </row>
    <row r="1508" customFormat="false" ht="15" hidden="false" customHeight="false" outlineLevel="0" collapsed="false">
      <c r="A1508" s="21" t="s">
        <v>1574</v>
      </c>
      <c r="B1508" s="21" t="s">
        <v>55</v>
      </c>
      <c r="C1508" s="22" t="n">
        <v>43253</v>
      </c>
      <c r="D1508" s="22" t="n">
        <v>43277</v>
      </c>
      <c r="E1508" s="22" t="n">
        <v>43276</v>
      </c>
      <c r="F1508" s="21" t="s">
        <v>59</v>
      </c>
      <c r="G1508" s="23" t="n">
        <v>137.98</v>
      </c>
      <c r="H1508" s="23" t="n">
        <v>23.36</v>
      </c>
      <c r="I1508" s="21" t="s">
        <v>45</v>
      </c>
      <c r="J1508" s="21" t="n">
        <v>4</v>
      </c>
      <c r="K1508" s="21" t="s">
        <v>46</v>
      </c>
      <c r="L1508" s="24" t="n">
        <f aca="false">DATE(YEAR(C1508),MONTH(C1508),1)</f>
        <v>43252</v>
      </c>
      <c r="M1508" s="21" t="n">
        <f aca="false">D1508-C1508</f>
        <v>24</v>
      </c>
      <c r="N1508" s="21" t="n">
        <f aca="false">MAX(0,D1508-E1508)</f>
        <v>1</v>
      </c>
      <c r="O1508" s="21" t="n">
        <f aca="false">IF(D1508&lt;=E1508,1,0)</f>
        <v>0</v>
      </c>
      <c r="P1508" s="23" t="n">
        <f aca="false">G1508+H1508</f>
        <v>161.34</v>
      </c>
      <c r="Q1508" s="23" t="n">
        <f aca="false">G1508*INDEX(Assumptions!$B$8:$B$16,MATCH(F1508,Assumptions!$A$8:$A$16,0))</f>
        <v>88.3072</v>
      </c>
      <c r="R1508" s="23" t="n">
        <f aca="false">H1508*Assumptions!$B$3</f>
        <v>14.016</v>
      </c>
      <c r="S1508" s="23" t="n">
        <f aca="false">G1508-Q1508-R1508</f>
        <v>35.6568</v>
      </c>
      <c r="T1508" s="21" t="str">
        <f aca="false">IF(M1508&lt;=7,"0-7 days",IF(M1508&lt;=14,"8-14 days",IF(M1508&lt;=21,"15-21 days","22+ days")))</f>
        <v>22+ days</v>
      </c>
    </row>
    <row r="1509" customFormat="false" ht="15" hidden="false" customHeight="false" outlineLevel="0" collapsed="false">
      <c r="A1509" s="21" t="s">
        <v>1575</v>
      </c>
      <c r="B1509" s="21" t="s">
        <v>19</v>
      </c>
      <c r="C1509" s="22" t="n">
        <v>43254</v>
      </c>
      <c r="D1509" s="22" t="n">
        <v>43261</v>
      </c>
      <c r="E1509" s="22" t="n">
        <v>43271</v>
      </c>
      <c r="F1509" s="21" t="s">
        <v>111</v>
      </c>
      <c r="G1509" s="23" t="n">
        <v>102.54</v>
      </c>
      <c r="H1509" s="23" t="n">
        <v>20.48</v>
      </c>
      <c r="I1509" s="21" t="s">
        <v>104</v>
      </c>
      <c r="J1509" s="21" t="n">
        <v>4</v>
      </c>
      <c r="K1509" s="21" t="s">
        <v>46</v>
      </c>
      <c r="L1509" s="24" t="n">
        <f aca="false">DATE(YEAR(C1509),MONTH(C1509),1)</f>
        <v>43252</v>
      </c>
      <c r="M1509" s="21" t="n">
        <f aca="false">D1509-C1509</f>
        <v>7</v>
      </c>
      <c r="N1509" s="21" t="n">
        <f aca="false">MAX(0,D1509-E1509)</f>
        <v>0</v>
      </c>
      <c r="O1509" s="21" t="n">
        <f aca="false">IF(D1509&lt;=E1509,1,0)</f>
        <v>1</v>
      </c>
      <c r="P1509" s="23" t="n">
        <f aca="false">G1509+H1509</f>
        <v>123.02</v>
      </c>
      <c r="Q1509" s="23" t="n">
        <f aca="false">G1509*INDEX(Assumptions!$B$8:$B$16,MATCH(F1509,Assumptions!$A$8:$A$16,0))</f>
        <v>64.6002</v>
      </c>
      <c r="R1509" s="23" t="n">
        <f aca="false">H1509*Assumptions!$B$3</f>
        <v>12.288</v>
      </c>
      <c r="S1509" s="23" t="n">
        <f aca="false">G1509-Q1509-R1509</f>
        <v>25.6518</v>
      </c>
      <c r="T1509" s="21" t="str">
        <f aca="false">IF(M1509&lt;=7,"0-7 days",IF(M1509&lt;=14,"8-14 days",IF(M1509&lt;=21,"15-21 days","22+ days")))</f>
        <v>0-7 days</v>
      </c>
    </row>
    <row r="1510" customFormat="false" ht="15" hidden="false" customHeight="false" outlineLevel="0" collapsed="false">
      <c r="A1510" s="21" t="s">
        <v>1576</v>
      </c>
      <c r="B1510" s="21" t="s">
        <v>19</v>
      </c>
      <c r="C1510" s="22" t="n">
        <v>43254</v>
      </c>
      <c r="D1510" s="22" t="n">
        <v>43260</v>
      </c>
      <c r="E1510" s="22" t="n">
        <v>43269</v>
      </c>
      <c r="F1510" s="21" t="s">
        <v>59</v>
      </c>
      <c r="G1510" s="23" t="n">
        <v>65.84</v>
      </c>
      <c r="H1510" s="23" t="n">
        <v>13.25</v>
      </c>
      <c r="I1510" s="21" t="s">
        <v>60</v>
      </c>
      <c r="J1510" s="21" t="n">
        <v>4</v>
      </c>
      <c r="K1510" s="21" t="s">
        <v>46</v>
      </c>
      <c r="L1510" s="24" t="n">
        <f aca="false">DATE(YEAR(C1510),MONTH(C1510),1)</f>
        <v>43252</v>
      </c>
      <c r="M1510" s="21" t="n">
        <f aca="false">D1510-C1510</f>
        <v>6</v>
      </c>
      <c r="N1510" s="21" t="n">
        <f aca="false">MAX(0,D1510-E1510)</f>
        <v>0</v>
      </c>
      <c r="O1510" s="21" t="n">
        <f aca="false">IF(D1510&lt;=E1510,1,0)</f>
        <v>1</v>
      </c>
      <c r="P1510" s="23" t="n">
        <f aca="false">G1510+H1510</f>
        <v>79.09</v>
      </c>
      <c r="Q1510" s="23" t="n">
        <f aca="false">G1510*INDEX(Assumptions!$B$8:$B$16,MATCH(F1510,Assumptions!$A$8:$A$16,0))</f>
        <v>42.1376</v>
      </c>
      <c r="R1510" s="23" t="n">
        <f aca="false">H1510*Assumptions!$B$3</f>
        <v>7.95</v>
      </c>
      <c r="S1510" s="23" t="n">
        <f aca="false">G1510-Q1510-R1510</f>
        <v>15.7524</v>
      </c>
      <c r="T1510" s="21" t="str">
        <f aca="false">IF(M1510&lt;=7,"0-7 days",IF(M1510&lt;=14,"8-14 days",IF(M1510&lt;=21,"15-21 days","22+ days")))</f>
        <v>0-7 days</v>
      </c>
    </row>
    <row r="1511" customFormat="false" ht="15" hidden="false" customHeight="false" outlineLevel="0" collapsed="false">
      <c r="A1511" s="21" t="s">
        <v>1577</v>
      </c>
      <c r="B1511" s="21" t="s">
        <v>201</v>
      </c>
      <c r="C1511" s="22" t="n">
        <v>43254</v>
      </c>
      <c r="D1511" s="22" t="n">
        <v>43274</v>
      </c>
      <c r="E1511" s="22" t="n">
        <v>43288</v>
      </c>
      <c r="F1511" s="21" t="s">
        <v>49</v>
      </c>
      <c r="G1511" s="23" t="n">
        <v>236.9</v>
      </c>
      <c r="H1511" s="23" t="n">
        <v>50.35</v>
      </c>
      <c r="I1511" s="21" t="s">
        <v>45</v>
      </c>
      <c r="J1511" s="21" t="n">
        <v>5</v>
      </c>
      <c r="K1511" s="21" t="s">
        <v>46</v>
      </c>
      <c r="L1511" s="24" t="n">
        <f aca="false">DATE(YEAR(C1511),MONTH(C1511),1)</f>
        <v>43252</v>
      </c>
      <c r="M1511" s="21" t="n">
        <f aca="false">D1511-C1511</f>
        <v>20</v>
      </c>
      <c r="N1511" s="21" t="n">
        <f aca="false">MAX(0,D1511-E1511)</f>
        <v>0</v>
      </c>
      <c r="O1511" s="21" t="n">
        <f aca="false">IF(D1511&lt;=E1511,1,0)</f>
        <v>1</v>
      </c>
      <c r="P1511" s="23" t="n">
        <f aca="false">G1511+H1511</f>
        <v>287.25</v>
      </c>
      <c r="Q1511" s="23" t="n">
        <f aca="false">G1511*INDEX(Assumptions!$B$8:$B$16,MATCH(F1511,Assumptions!$A$8:$A$16,0))</f>
        <v>137.402</v>
      </c>
      <c r="R1511" s="23" t="n">
        <f aca="false">H1511*Assumptions!$B$3</f>
        <v>30.21</v>
      </c>
      <c r="S1511" s="23" t="n">
        <f aca="false">G1511-Q1511-R1511</f>
        <v>69.288</v>
      </c>
      <c r="T1511" s="21" t="str">
        <f aca="false">IF(M1511&lt;=7,"0-7 days",IF(M1511&lt;=14,"8-14 days",IF(M1511&lt;=21,"15-21 days","22+ days")))</f>
        <v>15-21 days</v>
      </c>
    </row>
    <row r="1512" customFormat="false" ht="15" hidden="false" customHeight="false" outlineLevel="0" collapsed="false">
      <c r="A1512" s="21" t="s">
        <v>1578</v>
      </c>
      <c r="B1512" s="21" t="s">
        <v>103</v>
      </c>
      <c r="C1512" s="22" t="n">
        <v>43254</v>
      </c>
      <c r="D1512" s="22" t="n">
        <v>43276</v>
      </c>
      <c r="E1512" s="22" t="n">
        <v>43278</v>
      </c>
      <c r="F1512" s="21" t="s">
        <v>67</v>
      </c>
      <c r="G1512" s="23" t="n">
        <v>187.84</v>
      </c>
      <c r="H1512" s="23" t="n">
        <v>19.12</v>
      </c>
      <c r="I1512" s="21" t="s">
        <v>45</v>
      </c>
      <c r="J1512" s="21" t="n">
        <v>4</v>
      </c>
      <c r="K1512" s="21" t="s">
        <v>46</v>
      </c>
      <c r="L1512" s="24" t="n">
        <f aca="false">DATE(YEAR(C1512),MONTH(C1512),1)</f>
        <v>43252</v>
      </c>
      <c r="M1512" s="21" t="n">
        <f aca="false">D1512-C1512</f>
        <v>22</v>
      </c>
      <c r="N1512" s="21" t="n">
        <f aca="false">MAX(0,D1512-E1512)</f>
        <v>0</v>
      </c>
      <c r="O1512" s="21" t="n">
        <f aca="false">IF(D1512&lt;=E1512,1,0)</f>
        <v>1</v>
      </c>
      <c r="P1512" s="23" t="n">
        <f aca="false">G1512+H1512</f>
        <v>206.96</v>
      </c>
      <c r="Q1512" s="23" t="n">
        <f aca="false">G1512*INDEX(Assumptions!$B$8:$B$16,MATCH(F1512,Assumptions!$A$8:$A$16,0))</f>
        <v>116.4608</v>
      </c>
      <c r="R1512" s="23" t="n">
        <f aca="false">H1512*Assumptions!$B$3</f>
        <v>11.472</v>
      </c>
      <c r="S1512" s="23" t="n">
        <f aca="false">G1512-Q1512-R1512</f>
        <v>59.9072</v>
      </c>
      <c r="T1512" s="21" t="str">
        <f aca="false">IF(M1512&lt;=7,"0-7 days",IF(M1512&lt;=14,"8-14 days",IF(M1512&lt;=21,"15-21 days","22+ days")))</f>
        <v>22+ days</v>
      </c>
    </row>
    <row r="1513" customFormat="false" ht="15" hidden="false" customHeight="false" outlineLevel="0" collapsed="false">
      <c r="A1513" s="21" t="s">
        <v>1579</v>
      </c>
      <c r="B1513" s="21" t="s">
        <v>62</v>
      </c>
      <c r="C1513" s="22" t="n">
        <v>43254</v>
      </c>
      <c r="D1513" s="22" t="n">
        <v>43259</v>
      </c>
      <c r="E1513" s="22" t="n">
        <v>43273</v>
      </c>
      <c r="F1513" s="21" t="s">
        <v>49</v>
      </c>
      <c r="G1513" s="23" t="n">
        <v>134.22</v>
      </c>
      <c r="H1513" s="23" t="n">
        <v>26.41</v>
      </c>
      <c r="I1513" s="21" t="s">
        <v>60</v>
      </c>
      <c r="J1513" s="21" t="n">
        <v>5</v>
      </c>
      <c r="K1513" s="21" t="s">
        <v>46</v>
      </c>
      <c r="L1513" s="24" t="n">
        <f aca="false">DATE(YEAR(C1513),MONTH(C1513),1)</f>
        <v>43252</v>
      </c>
      <c r="M1513" s="21" t="n">
        <f aca="false">D1513-C1513</f>
        <v>5</v>
      </c>
      <c r="N1513" s="21" t="n">
        <f aca="false">MAX(0,D1513-E1513)</f>
        <v>0</v>
      </c>
      <c r="O1513" s="21" t="n">
        <f aca="false">IF(D1513&lt;=E1513,1,0)</f>
        <v>1</v>
      </c>
      <c r="P1513" s="23" t="n">
        <f aca="false">G1513+H1513</f>
        <v>160.63</v>
      </c>
      <c r="Q1513" s="23" t="n">
        <f aca="false">G1513*INDEX(Assumptions!$B$8:$B$16,MATCH(F1513,Assumptions!$A$8:$A$16,0))</f>
        <v>77.8476</v>
      </c>
      <c r="R1513" s="23" t="n">
        <f aca="false">H1513*Assumptions!$B$3</f>
        <v>15.846</v>
      </c>
      <c r="S1513" s="23" t="n">
        <f aca="false">G1513-Q1513-R1513</f>
        <v>40.5264</v>
      </c>
      <c r="T1513" s="21" t="str">
        <f aca="false">IF(M1513&lt;=7,"0-7 days",IF(M1513&lt;=14,"8-14 days",IF(M1513&lt;=21,"15-21 days","22+ days")))</f>
        <v>0-7 days</v>
      </c>
    </row>
    <row r="1514" customFormat="false" ht="15" hidden="false" customHeight="false" outlineLevel="0" collapsed="false">
      <c r="A1514" s="21" t="s">
        <v>1580</v>
      </c>
      <c r="B1514" s="21" t="s">
        <v>52</v>
      </c>
      <c r="C1514" s="22" t="n">
        <v>43255</v>
      </c>
      <c r="D1514" s="22" t="n">
        <v>43271</v>
      </c>
      <c r="E1514" s="22" t="n">
        <v>43279</v>
      </c>
      <c r="F1514" s="21" t="s">
        <v>67</v>
      </c>
      <c r="G1514" s="23" t="n">
        <v>36.99</v>
      </c>
      <c r="H1514" s="23" t="n">
        <v>22.55</v>
      </c>
      <c r="I1514" s="21" t="s">
        <v>45</v>
      </c>
      <c r="J1514" s="21" t="n">
        <v>3</v>
      </c>
      <c r="K1514" s="21" t="s">
        <v>46</v>
      </c>
      <c r="L1514" s="24" t="n">
        <f aca="false">DATE(YEAR(C1514),MONTH(C1514),1)</f>
        <v>43252</v>
      </c>
      <c r="M1514" s="21" t="n">
        <f aca="false">D1514-C1514</f>
        <v>16</v>
      </c>
      <c r="N1514" s="21" t="n">
        <f aca="false">MAX(0,D1514-E1514)</f>
        <v>0</v>
      </c>
      <c r="O1514" s="21" t="n">
        <f aca="false">IF(D1514&lt;=E1514,1,0)</f>
        <v>1</v>
      </c>
      <c r="P1514" s="23" t="n">
        <f aca="false">G1514+H1514</f>
        <v>59.54</v>
      </c>
      <c r="Q1514" s="23" t="n">
        <f aca="false">G1514*INDEX(Assumptions!$B$8:$B$16,MATCH(F1514,Assumptions!$A$8:$A$16,0))</f>
        <v>22.9338</v>
      </c>
      <c r="R1514" s="23" t="n">
        <f aca="false">H1514*Assumptions!$B$3</f>
        <v>13.53</v>
      </c>
      <c r="S1514" s="23" t="n">
        <f aca="false">G1514-Q1514-R1514</f>
        <v>0.526200000000001</v>
      </c>
      <c r="T1514" s="21" t="str">
        <f aca="false">IF(M1514&lt;=7,"0-7 days",IF(M1514&lt;=14,"8-14 days",IF(M1514&lt;=21,"15-21 days","22+ days")))</f>
        <v>15-21 days</v>
      </c>
    </row>
    <row r="1515" customFormat="false" ht="15" hidden="false" customHeight="false" outlineLevel="0" collapsed="false">
      <c r="A1515" s="21" t="s">
        <v>1581</v>
      </c>
      <c r="B1515" s="21" t="s">
        <v>93</v>
      </c>
      <c r="C1515" s="22" t="n">
        <v>43255</v>
      </c>
      <c r="D1515" s="22" t="n">
        <v>43266</v>
      </c>
      <c r="E1515" s="22" t="n">
        <v>43285</v>
      </c>
      <c r="F1515" s="21" t="s">
        <v>49</v>
      </c>
      <c r="G1515" s="23" t="n">
        <v>42.46</v>
      </c>
      <c r="H1515" s="23" t="n">
        <v>28.47</v>
      </c>
      <c r="I1515" s="21" t="s">
        <v>45</v>
      </c>
      <c r="J1515" s="21" t="n">
        <v>5</v>
      </c>
      <c r="K1515" s="21" t="s">
        <v>46</v>
      </c>
      <c r="L1515" s="24" t="n">
        <f aca="false">DATE(YEAR(C1515),MONTH(C1515),1)</f>
        <v>43252</v>
      </c>
      <c r="M1515" s="21" t="n">
        <f aca="false">D1515-C1515</f>
        <v>11</v>
      </c>
      <c r="N1515" s="21" t="n">
        <f aca="false">MAX(0,D1515-E1515)</f>
        <v>0</v>
      </c>
      <c r="O1515" s="21" t="n">
        <f aca="false">IF(D1515&lt;=E1515,1,0)</f>
        <v>1</v>
      </c>
      <c r="P1515" s="23" t="n">
        <f aca="false">G1515+H1515</f>
        <v>70.93</v>
      </c>
      <c r="Q1515" s="23" t="n">
        <f aca="false">G1515*INDEX(Assumptions!$B$8:$B$16,MATCH(F1515,Assumptions!$A$8:$A$16,0))</f>
        <v>24.6268</v>
      </c>
      <c r="R1515" s="23" t="n">
        <f aca="false">H1515*Assumptions!$B$3</f>
        <v>17.082</v>
      </c>
      <c r="S1515" s="23" t="n">
        <f aca="false">G1515-Q1515-R1515</f>
        <v>0.751200000000004</v>
      </c>
      <c r="T1515" s="21" t="str">
        <f aca="false">IF(M1515&lt;=7,"0-7 days",IF(M1515&lt;=14,"8-14 days",IF(M1515&lt;=21,"15-21 days","22+ days")))</f>
        <v>8-14 days</v>
      </c>
    </row>
    <row r="1516" customFormat="false" ht="15" hidden="false" customHeight="false" outlineLevel="0" collapsed="false">
      <c r="A1516" s="21" t="s">
        <v>1582</v>
      </c>
      <c r="B1516" s="21" t="s">
        <v>174</v>
      </c>
      <c r="C1516" s="22" t="n">
        <v>43255</v>
      </c>
      <c r="D1516" s="22" t="n">
        <v>43270</v>
      </c>
      <c r="E1516" s="22" t="n">
        <v>43288</v>
      </c>
      <c r="F1516" s="21" t="s">
        <v>49</v>
      </c>
      <c r="G1516" s="23" t="n">
        <v>57.58</v>
      </c>
      <c r="H1516" s="23" t="n">
        <v>31.38</v>
      </c>
      <c r="I1516" s="21" t="s">
        <v>45</v>
      </c>
      <c r="J1516" s="21" t="n">
        <v>5</v>
      </c>
      <c r="K1516" s="21" t="s">
        <v>46</v>
      </c>
      <c r="L1516" s="24" t="n">
        <f aca="false">DATE(YEAR(C1516),MONTH(C1516),1)</f>
        <v>43252</v>
      </c>
      <c r="M1516" s="21" t="n">
        <f aca="false">D1516-C1516</f>
        <v>15</v>
      </c>
      <c r="N1516" s="21" t="n">
        <f aca="false">MAX(0,D1516-E1516)</f>
        <v>0</v>
      </c>
      <c r="O1516" s="21" t="n">
        <f aca="false">IF(D1516&lt;=E1516,1,0)</f>
        <v>1</v>
      </c>
      <c r="P1516" s="23" t="n">
        <f aca="false">G1516+H1516</f>
        <v>88.96</v>
      </c>
      <c r="Q1516" s="23" t="n">
        <f aca="false">G1516*INDEX(Assumptions!$B$8:$B$16,MATCH(F1516,Assumptions!$A$8:$A$16,0))</f>
        <v>33.3964</v>
      </c>
      <c r="R1516" s="23" t="n">
        <f aca="false">H1516*Assumptions!$B$3</f>
        <v>18.828</v>
      </c>
      <c r="S1516" s="23" t="n">
        <f aca="false">G1516-Q1516-R1516</f>
        <v>5.3556</v>
      </c>
      <c r="T1516" s="21" t="str">
        <f aca="false">IF(M1516&lt;=7,"0-7 days",IF(M1516&lt;=14,"8-14 days",IF(M1516&lt;=21,"15-21 days","22+ days")))</f>
        <v>15-21 days</v>
      </c>
    </row>
    <row r="1517" customFormat="false" ht="15" hidden="false" customHeight="false" outlineLevel="0" collapsed="false">
      <c r="A1517" s="21" t="s">
        <v>1583</v>
      </c>
      <c r="B1517" s="21" t="s">
        <v>52</v>
      </c>
      <c r="C1517" s="22" t="n">
        <v>43255</v>
      </c>
      <c r="D1517" s="22" t="n">
        <v>43274</v>
      </c>
      <c r="E1517" s="22" t="n">
        <v>43280</v>
      </c>
      <c r="F1517" s="21" t="s">
        <v>67</v>
      </c>
      <c r="G1517" s="23" t="n">
        <v>115.59</v>
      </c>
      <c r="H1517" s="23" t="n">
        <v>20.69</v>
      </c>
      <c r="I1517" s="21" t="s">
        <v>45</v>
      </c>
      <c r="J1517" s="21" t="n">
        <v>5</v>
      </c>
      <c r="K1517" s="21" t="s">
        <v>46</v>
      </c>
      <c r="L1517" s="24" t="n">
        <f aca="false">DATE(YEAR(C1517),MONTH(C1517),1)</f>
        <v>43252</v>
      </c>
      <c r="M1517" s="21" t="n">
        <f aca="false">D1517-C1517</f>
        <v>19</v>
      </c>
      <c r="N1517" s="21" t="n">
        <f aca="false">MAX(0,D1517-E1517)</f>
        <v>0</v>
      </c>
      <c r="O1517" s="21" t="n">
        <f aca="false">IF(D1517&lt;=E1517,1,0)</f>
        <v>1</v>
      </c>
      <c r="P1517" s="23" t="n">
        <f aca="false">G1517+H1517</f>
        <v>136.28</v>
      </c>
      <c r="Q1517" s="23" t="n">
        <f aca="false">G1517*INDEX(Assumptions!$B$8:$B$16,MATCH(F1517,Assumptions!$A$8:$A$16,0))</f>
        <v>71.6658</v>
      </c>
      <c r="R1517" s="23" t="n">
        <f aca="false">H1517*Assumptions!$B$3</f>
        <v>12.414</v>
      </c>
      <c r="S1517" s="23" t="n">
        <f aca="false">G1517-Q1517-R1517</f>
        <v>31.5102</v>
      </c>
      <c r="T1517" s="21" t="str">
        <f aca="false">IF(M1517&lt;=7,"0-7 days",IF(M1517&lt;=14,"8-14 days",IF(M1517&lt;=21,"15-21 days","22+ days")))</f>
        <v>15-21 days</v>
      </c>
    </row>
    <row r="1518" customFormat="false" ht="15" hidden="false" customHeight="false" outlineLevel="0" collapsed="false">
      <c r="A1518" s="21" t="s">
        <v>1584</v>
      </c>
      <c r="B1518" s="21" t="s">
        <v>48</v>
      </c>
      <c r="C1518" s="22" t="n">
        <v>43255</v>
      </c>
      <c r="D1518" s="22" t="n">
        <v>43268</v>
      </c>
      <c r="E1518" s="22" t="n">
        <v>43276</v>
      </c>
      <c r="F1518" s="21" t="s">
        <v>67</v>
      </c>
      <c r="G1518" s="23" t="n">
        <v>113.64</v>
      </c>
      <c r="H1518" s="23" t="n">
        <v>26.56</v>
      </c>
      <c r="I1518" s="21" t="s">
        <v>45</v>
      </c>
      <c r="J1518" s="21" t="n">
        <v>4</v>
      </c>
      <c r="K1518" s="21" t="s">
        <v>46</v>
      </c>
      <c r="L1518" s="24" t="n">
        <f aca="false">DATE(YEAR(C1518),MONTH(C1518),1)</f>
        <v>43252</v>
      </c>
      <c r="M1518" s="21" t="n">
        <f aca="false">D1518-C1518</f>
        <v>13</v>
      </c>
      <c r="N1518" s="21" t="n">
        <f aca="false">MAX(0,D1518-E1518)</f>
        <v>0</v>
      </c>
      <c r="O1518" s="21" t="n">
        <f aca="false">IF(D1518&lt;=E1518,1,0)</f>
        <v>1</v>
      </c>
      <c r="P1518" s="23" t="n">
        <f aca="false">G1518+H1518</f>
        <v>140.2</v>
      </c>
      <c r="Q1518" s="23" t="n">
        <f aca="false">G1518*INDEX(Assumptions!$B$8:$B$16,MATCH(F1518,Assumptions!$A$8:$A$16,0))</f>
        <v>70.4568</v>
      </c>
      <c r="R1518" s="23" t="n">
        <f aca="false">H1518*Assumptions!$B$3</f>
        <v>15.936</v>
      </c>
      <c r="S1518" s="23" t="n">
        <f aca="false">G1518-Q1518-R1518</f>
        <v>27.2472</v>
      </c>
      <c r="T1518" s="21" t="str">
        <f aca="false">IF(M1518&lt;=7,"0-7 days",IF(M1518&lt;=14,"8-14 days",IF(M1518&lt;=21,"15-21 days","22+ days")))</f>
        <v>8-14 days</v>
      </c>
    </row>
    <row r="1519" customFormat="false" ht="15" hidden="false" customHeight="false" outlineLevel="0" collapsed="false">
      <c r="A1519" s="21" t="s">
        <v>1585</v>
      </c>
      <c r="B1519" s="21" t="s">
        <v>19</v>
      </c>
      <c r="C1519" s="22" t="n">
        <v>43256</v>
      </c>
      <c r="D1519" s="22" t="n">
        <v>43262</v>
      </c>
      <c r="E1519" s="22" t="n">
        <v>43273</v>
      </c>
      <c r="F1519" s="21" t="s">
        <v>59</v>
      </c>
      <c r="G1519" s="23" t="n">
        <v>77.27</v>
      </c>
      <c r="H1519" s="23" t="n">
        <v>16.38</v>
      </c>
      <c r="I1519" s="21" t="s">
        <v>60</v>
      </c>
      <c r="J1519" s="21" t="n">
        <v>5</v>
      </c>
      <c r="K1519" s="21" t="s">
        <v>46</v>
      </c>
      <c r="L1519" s="24" t="n">
        <f aca="false">DATE(YEAR(C1519),MONTH(C1519),1)</f>
        <v>43252</v>
      </c>
      <c r="M1519" s="21" t="n">
        <f aca="false">D1519-C1519</f>
        <v>6</v>
      </c>
      <c r="N1519" s="21" t="n">
        <f aca="false">MAX(0,D1519-E1519)</f>
        <v>0</v>
      </c>
      <c r="O1519" s="21" t="n">
        <f aca="false">IF(D1519&lt;=E1519,1,0)</f>
        <v>1</v>
      </c>
      <c r="P1519" s="23" t="n">
        <f aca="false">G1519+H1519</f>
        <v>93.65</v>
      </c>
      <c r="Q1519" s="23" t="n">
        <f aca="false">G1519*INDEX(Assumptions!$B$8:$B$16,MATCH(F1519,Assumptions!$A$8:$A$16,0))</f>
        <v>49.4528</v>
      </c>
      <c r="R1519" s="23" t="n">
        <f aca="false">H1519*Assumptions!$B$3</f>
        <v>9.828</v>
      </c>
      <c r="S1519" s="23" t="n">
        <f aca="false">G1519-Q1519-R1519</f>
        <v>17.9892</v>
      </c>
      <c r="T1519" s="21" t="str">
        <f aca="false">IF(M1519&lt;=7,"0-7 days",IF(M1519&lt;=14,"8-14 days",IF(M1519&lt;=21,"15-21 days","22+ days")))</f>
        <v>0-7 days</v>
      </c>
    </row>
    <row r="1520" customFormat="false" ht="15" hidden="false" customHeight="false" outlineLevel="0" collapsed="false">
      <c r="A1520" s="21" t="s">
        <v>1586</v>
      </c>
      <c r="B1520" s="21" t="s">
        <v>19</v>
      </c>
      <c r="C1520" s="22" t="n">
        <v>43256</v>
      </c>
      <c r="D1520" s="22" t="n">
        <v>43268</v>
      </c>
      <c r="E1520" s="22" t="n">
        <v>43274</v>
      </c>
      <c r="F1520" s="21" t="s">
        <v>64</v>
      </c>
      <c r="G1520" s="23" t="n">
        <v>241.73</v>
      </c>
      <c r="H1520" s="23" t="n">
        <v>18.92</v>
      </c>
      <c r="I1520" s="21" t="s">
        <v>45</v>
      </c>
      <c r="J1520" s="21" t="n">
        <v>4</v>
      </c>
      <c r="K1520" s="21" t="s">
        <v>46</v>
      </c>
      <c r="L1520" s="24" t="n">
        <f aca="false">DATE(YEAR(C1520),MONTH(C1520),1)</f>
        <v>43252</v>
      </c>
      <c r="M1520" s="21" t="n">
        <f aca="false">D1520-C1520</f>
        <v>12</v>
      </c>
      <c r="N1520" s="21" t="n">
        <f aca="false">MAX(0,D1520-E1520)</f>
        <v>0</v>
      </c>
      <c r="O1520" s="21" t="n">
        <f aca="false">IF(D1520&lt;=E1520,1,0)</f>
        <v>1</v>
      </c>
      <c r="P1520" s="23" t="n">
        <f aca="false">G1520+H1520</f>
        <v>260.65</v>
      </c>
      <c r="Q1520" s="23" t="n">
        <f aca="false">G1520*INDEX(Assumptions!$B$8:$B$16,MATCH(F1520,Assumptions!$A$8:$A$16,0))</f>
        <v>159.5418</v>
      </c>
      <c r="R1520" s="23" t="n">
        <f aca="false">H1520*Assumptions!$B$3</f>
        <v>11.352</v>
      </c>
      <c r="S1520" s="23" t="n">
        <f aca="false">G1520-Q1520-R1520</f>
        <v>70.8362</v>
      </c>
      <c r="T1520" s="21" t="str">
        <f aca="false">IF(M1520&lt;=7,"0-7 days",IF(M1520&lt;=14,"8-14 days",IF(M1520&lt;=21,"15-21 days","22+ days")))</f>
        <v>8-14 days</v>
      </c>
    </row>
    <row r="1521" customFormat="false" ht="15" hidden="false" customHeight="false" outlineLevel="0" collapsed="false">
      <c r="A1521" s="21" t="s">
        <v>1587</v>
      </c>
      <c r="B1521" s="21" t="s">
        <v>52</v>
      </c>
      <c r="C1521" s="22" t="n">
        <v>43256</v>
      </c>
      <c r="D1521" s="22" t="n">
        <v>43277</v>
      </c>
      <c r="E1521" s="22" t="n">
        <v>43278</v>
      </c>
      <c r="F1521" s="21" t="s">
        <v>67</v>
      </c>
      <c r="G1521" s="23" t="n">
        <v>123.25</v>
      </c>
      <c r="H1521" s="23" t="n">
        <v>17.91</v>
      </c>
      <c r="I1521" s="21" t="s">
        <v>45</v>
      </c>
      <c r="J1521" s="21" t="n">
        <v>4</v>
      </c>
      <c r="K1521" s="21" t="s">
        <v>46</v>
      </c>
      <c r="L1521" s="24" t="n">
        <f aca="false">DATE(YEAR(C1521),MONTH(C1521),1)</f>
        <v>43252</v>
      </c>
      <c r="M1521" s="21" t="n">
        <f aca="false">D1521-C1521</f>
        <v>21</v>
      </c>
      <c r="N1521" s="21" t="n">
        <f aca="false">MAX(0,D1521-E1521)</f>
        <v>0</v>
      </c>
      <c r="O1521" s="21" t="n">
        <f aca="false">IF(D1521&lt;=E1521,1,0)</f>
        <v>1</v>
      </c>
      <c r="P1521" s="23" t="n">
        <f aca="false">G1521+H1521</f>
        <v>141.16</v>
      </c>
      <c r="Q1521" s="23" t="n">
        <f aca="false">G1521*INDEX(Assumptions!$B$8:$B$16,MATCH(F1521,Assumptions!$A$8:$A$16,0))</f>
        <v>76.415</v>
      </c>
      <c r="R1521" s="23" t="n">
        <f aca="false">H1521*Assumptions!$B$3</f>
        <v>10.746</v>
      </c>
      <c r="S1521" s="23" t="n">
        <f aca="false">G1521-Q1521-R1521</f>
        <v>36.089</v>
      </c>
      <c r="T1521" s="21" t="str">
        <f aca="false">IF(M1521&lt;=7,"0-7 days",IF(M1521&lt;=14,"8-14 days",IF(M1521&lt;=21,"15-21 days","22+ days")))</f>
        <v>15-21 days</v>
      </c>
    </row>
    <row r="1522" customFormat="false" ht="15" hidden="false" customHeight="false" outlineLevel="0" collapsed="false">
      <c r="A1522" s="21" t="s">
        <v>1588</v>
      </c>
      <c r="B1522" s="21" t="s">
        <v>62</v>
      </c>
      <c r="C1522" s="22" t="n">
        <v>43256</v>
      </c>
      <c r="D1522" s="22" t="n">
        <v>43266</v>
      </c>
      <c r="E1522" s="22" t="n">
        <v>43275</v>
      </c>
      <c r="F1522" s="21" t="s">
        <v>59</v>
      </c>
      <c r="G1522" s="23" t="n">
        <v>67.2</v>
      </c>
      <c r="H1522" s="23" t="n">
        <v>24.83</v>
      </c>
      <c r="I1522" s="21" t="s">
        <v>50</v>
      </c>
      <c r="J1522" s="21" t="n">
        <v>5</v>
      </c>
      <c r="K1522" s="21" t="s">
        <v>46</v>
      </c>
      <c r="L1522" s="24" t="n">
        <f aca="false">DATE(YEAR(C1522),MONTH(C1522),1)</f>
        <v>43252</v>
      </c>
      <c r="M1522" s="21" t="n">
        <f aca="false">D1522-C1522</f>
        <v>10</v>
      </c>
      <c r="N1522" s="21" t="n">
        <f aca="false">MAX(0,D1522-E1522)</f>
        <v>0</v>
      </c>
      <c r="O1522" s="21" t="n">
        <f aca="false">IF(D1522&lt;=E1522,1,0)</f>
        <v>1</v>
      </c>
      <c r="P1522" s="23" t="n">
        <f aca="false">G1522+H1522</f>
        <v>92.03</v>
      </c>
      <c r="Q1522" s="23" t="n">
        <f aca="false">G1522*INDEX(Assumptions!$B$8:$B$16,MATCH(F1522,Assumptions!$A$8:$A$16,0))</f>
        <v>43.008</v>
      </c>
      <c r="R1522" s="23" t="n">
        <f aca="false">H1522*Assumptions!$B$3</f>
        <v>14.898</v>
      </c>
      <c r="S1522" s="23" t="n">
        <f aca="false">G1522-Q1522-R1522</f>
        <v>9.294</v>
      </c>
      <c r="T1522" s="21" t="str">
        <f aca="false">IF(M1522&lt;=7,"0-7 days",IF(M1522&lt;=14,"8-14 days",IF(M1522&lt;=21,"15-21 days","22+ days")))</f>
        <v>8-14 days</v>
      </c>
    </row>
    <row r="1523" customFormat="false" ht="15" hidden="false" customHeight="false" outlineLevel="0" collapsed="false">
      <c r="A1523" s="21" t="s">
        <v>1589</v>
      </c>
      <c r="B1523" s="21" t="s">
        <v>19</v>
      </c>
      <c r="C1523" s="22" t="n">
        <v>43256</v>
      </c>
      <c r="D1523" s="22" t="n">
        <v>43263</v>
      </c>
      <c r="E1523" s="22" t="n">
        <v>43274</v>
      </c>
      <c r="F1523" s="21" t="s">
        <v>67</v>
      </c>
      <c r="G1523" s="23" t="n">
        <v>117.97</v>
      </c>
      <c r="H1523" s="23" t="n">
        <v>21.89</v>
      </c>
      <c r="I1523" s="21" t="s">
        <v>45</v>
      </c>
      <c r="J1523" s="21" t="n">
        <v>5</v>
      </c>
      <c r="K1523" s="21" t="s">
        <v>46</v>
      </c>
      <c r="L1523" s="24" t="n">
        <f aca="false">DATE(YEAR(C1523),MONTH(C1523),1)</f>
        <v>43252</v>
      </c>
      <c r="M1523" s="21" t="n">
        <f aca="false">D1523-C1523</f>
        <v>7</v>
      </c>
      <c r="N1523" s="21" t="n">
        <f aca="false">MAX(0,D1523-E1523)</f>
        <v>0</v>
      </c>
      <c r="O1523" s="21" t="n">
        <f aca="false">IF(D1523&lt;=E1523,1,0)</f>
        <v>1</v>
      </c>
      <c r="P1523" s="23" t="n">
        <f aca="false">G1523+H1523</f>
        <v>139.86</v>
      </c>
      <c r="Q1523" s="23" t="n">
        <f aca="false">G1523*INDEX(Assumptions!$B$8:$B$16,MATCH(F1523,Assumptions!$A$8:$A$16,0))</f>
        <v>73.1414</v>
      </c>
      <c r="R1523" s="23" t="n">
        <f aca="false">H1523*Assumptions!$B$3</f>
        <v>13.134</v>
      </c>
      <c r="S1523" s="23" t="n">
        <f aca="false">G1523-Q1523-R1523</f>
        <v>31.6946</v>
      </c>
      <c r="T1523" s="21" t="str">
        <f aca="false">IF(M1523&lt;=7,"0-7 days",IF(M1523&lt;=14,"8-14 days",IF(M1523&lt;=21,"15-21 days","22+ days")))</f>
        <v>0-7 days</v>
      </c>
    </row>
    <row r="1524" customFormat="false" ht="15" hidden="false" customHeight="false" outlineLevel="0" collapsed="false">
      <c r="A1524" s="21" t="s">
        <v>1590</v>
      </c>
      <c r="B1524" s="21" t="s">
        <v>103</v>
      </c>
      <c r="C1524" s="22" t="n">
        <v>43257</v>
      </c>
      <c r="D1524" s="22" t="n">
        <v>43268</v>
      </c>
      <c r="E1524" s="22" t="n">
        <v>43279</v>
      </c>
      <c r="F1524" s="21" t="s">
        <v>53</v>
      </c>
      <c r="G1524" s="23" t="n">
        <v>72.27</v>
      </c>
      <c r="H1524" s="23" t="n">
        <v>21.2</v>
      </c>
      <c r="I1524" s="21" t="s">
        <v>45</v>
      </c>
      <c r="J1524" s="21" t="n">
        <v>5</v>
      </c>
      <c r="K1524" s="21" t="s">
        <v>46</v>
      </c>
      <c r="L1524" s="24" t="n">
        <f aca="false">DATE(YEAR(C1524),MONTH(C1524),1)</f>
        <v>43252</v>
      </c>
      <c r="M1524" s="21" t="n">
        <f aca="false">D1524-C1524</f>
        <v>11</v>
      </c>
      <c r="N1524" s="21" t="n">
        <f aca="false">MAX(0,D1524-E1524)</f>
        <v>0</v>
      </c>
      <c r="O1524" s="21" t="n">
        <f aca="false">IF(D1524&lt;=E1524,1,0)</f>
        <v>1</v>
      </c>
      <c r="P1524" s="23" t="n">
        <f aca="false">G1524+H1524</f>
        <v>93.47</v>
      </c>
      <c r="Q1524" s="23" t="n">
        <f aca="false">G1524*INDEX(Assumptions!$B$8:$B$16,MATCH(F1524,Assumptions!$A$8:$A$16,0))</f>
        <v>53.4798</v>
      </c>
      <c r="R1524" s="23" t="n">
        <f aca="false">H1524*Assumptions!$B$3</f>
        <v>12.72</v>
      </c>
      <c r="S1524" s="23" t="n">
        <f aca="false">G1524-Q1524-R1524</f>
        <v>6.0702</v>
      </c>
      <c r="T1524" s="21" t="str">
        <f aca="false">IF(M1524&lt;=7,"0-7 days",IF(M1524&lt;=14,"8-14 days",IF(M1524&lt;=21,"15-21 days","22+ days")))</f>
        <v>8-14 days</v>
      </c>
    </row>
    <row r="1525" customFormat="false" ht="15" hidden="false" customHeight="false" outlineLevel="0" collapsed="false">
      <c r="A1525" s="21" t="s">
        <v>1591</v>
      </c>
      <c r="B1525" s="21" t="s">
        <v>55</v>
      </c>
      <c r="C1525" s="22" t="n">
        <v>43257</v>
      </c>
      <c r="D1525" s="22" t="n">
        <v>43280</v>
      </c>
      <c r="E1525" s="22" t="n">
        <v>43282</v>
      </c>
      <c r="F1525" s="21" t="s">
        <v>59</v>
      </c>
      <c r="G1525" s="23" t="n">
        <v>40.56</v>
      </c>
      <c r="H1525" s="23" t="n">
        <v>20.84</v>
      </c>
      <c r="I1525" s="21" t="s">
        <v>45</v>
      </c>
      <c r="J1525" s="21" t="n">
        <v>5</v>
      </c>
      <c r="K1525" s="21" t="s">
        <v>46</v>
      </c>
      <c r="L1525" s="24" t="n">
        <f aca="false">DATE(YEAR(C1525),MONTH(C1525),1)</f>
        <v>43252</v>
      </c>
      <c r="M1525" s="21" t="n">
        <f aca="false">D1525-C1525</f>
        <v>23</v>
      </c>
      <c r="N1525" s="21" t="n">
        <f aca="false">MAX(0,D1525-E1525)</f>
        <v>0</v>
      </c>
      <c r="O1525" s="21" t="n">
        <f aca="false">IF(D1525&lt;=E1525,1,0)</f>
        <v>1</v>
      </c>
      <c r="P1525" s="23" t="n">
        <f aca="false">G1525+H1525</f>
        <v>61.4</v>
      </c>
      <c r="Q1525" s="23" t="n">
        <f aca="false">G1525*INDEX(Assumptions!$B$8:$B$16,MATCH(F1525,Assumptions!$A$8:$A$16,0))</f>
        <v>25.9584</v>
      </c>
      <c r="R1525" s="23" t="n">
        <f aca="false">H1525*Assumptions!$B$3</f>
        <v>12.504</v>
      </c>
      <c r="S1525" s="23" t="n">
        <f aca="false">G1525-Q1525-R1525</f>
        <v>2.0976</v>
      </c>
      <c r="T1525" s="21" t="str">
        <f aca="false">IF(M1525&lt;=7,"0-7 days",IF(M1525&lt;=14,"8-14 days",IF(M1525&lt;=21,"15-21 days","22+ days")))</f>
        <v>22+ days</v>
      </c>
    </row>
    <row r="1526" customFormat="false" ht="15" hidden="false" customHeight="false" outlineLevel="0" collapsed="false">
      <c r="A1526" s="21" t="s">
        <v>1592</v>
      </c>
      <c r="B1526" s="21" t="s">
        <v>19</v>
      </c>
      <c r="C1526" s="22" t="n">
        <v>43257</v>
      </c>
      <c r="D1526" s="22" t="n">
        <v>43263</v>
      </c>
      <c r="E1526" s="22" t="n">
        <v>43273</v>
      </c>
      <c r="F1526" s="21" t="s">
        <v>67</v>
      </c>
      <c r="G1526" s="23" t="n">
        <v>60.73</v>
      </c>
      <c r="H1526" s="23" t="n">
        <v>13.74</v>
      </c>
      <c r="I1526" s="21" t="s">
        <v>45</v>
      </c>
      <c r="J1526" s="21" t="n">
        <v>5</v>
      </c>
      <c r="K1526" s="21" t="s">
        <v>46</v>
      </c>
      <c r="L1526" s="24" t="n">
        <f aca="false">DATE(YEAR(C1526),MONTH(C1526),1)</f>
        <v>43252</v>
      </c>
      <c r="M1526" s="21" t="n">
        <f aca="false">D1526-C1526</f>
        <v>6</v>
      </c>
      <c r="N1526" s="21" t="n">
        <f aca="false">MAX(0,D1526-E1526)</f>
        <v>0</v>
      </c>
      <c r="O1526" s="21" t="n">
        <f aca="false">IF(D1526&lt;=E1526,1,0)</f>
        <v>1</v>
      </c>
      <c r="P1526" s="23" t="n">
        <f aca="false">G1526+H1526</f>
        <v>74.47</v>
      </c>
      <c r="Q1526" s="23" t="n">
        <f aca="false">G1526*INDEX(Assumptions!$B$8:$B$16,MATCH(F1526,Assumptions!$A$8:$A$16,0))</f>
        <v>37.6526</v>
      </c>
      <c r="R1526" s="23" t="n">
        <f aca="false">H1526*Assumptions!$B$3</f>
        <v>8.244</v>
      </c>
      <c r="S1526" s="23" t="n">
        <f aca="false">G1526-Q1526-R1526</f>
        <v>14.8334</v>
      </c>
      <c r="T1526" s="21" t="str">
        <f aca="false">IF(M1526&lt;=7,"0-7 days",IF(M1526&lt;=14,"8-14 days",IF(M1526&lt;=21,"15-21 days","22+ days")))</f>
        <v>0-7 days</v>
      </c>
    </row>
    <row r="1527" customFormat="false" ht="15" hidden="false" customHeight="false" outlineLevel="0" collapsed="false">
      <c r="A1527" s="21" t="s">
        <v>1593</v>
      </c>
      <c r="B1527" s="21" t="s">
        <v>62</v>
      </c>
      <c r="C1527" s="22" t="n">
        <v>43257</v>
      </c>
      <c r="D1527" s="22" t="n">
        <v>43278</v>
      </c>
      <c r="E1527" s="22" t="n">
        <v>43279</v>
      </c>
      <c r="F1527" s="21" t="s">
        <v>67</v>
      </c>
      <c r="G1527" s="23" t="n">
        <v>95.8</v>
      </c>
      <c r="H1527" s="23" t="n">
        <v>18.35</v>
      </c>
      <c r="I1527" s="21" t="s">
        <v>45</v>
      </c>
      <c r="J1527" s="21" t="n">
        <v>5</v>
      </c>
      <c r="K1527" s="21" t="s">
        <v>46</v>
      </c>
      <c r="L1527" s="24" t="n">
        <f aca="false">DATE(YEAR(C1527),MONTH(C1527),1)</f>
        <v>43252</v>
      </c>
      <c r="M1527" s="21" t="n">
        <f aca="false">D1527-C1527</f>
        <v>21</v>
      </c>
      <c r="N1527" s="21" t="n">
        <f aca="false">MAX(0,D1527-E1527)</f>
        <v>0</v>
      </c>
      <c r="O1527" s="21" t="n">
        <f aca="false">IF(D1527&lt;=E1527,1,0)</f>
        <v>1</v>
      </c>
      <c r="P1527" s="23" t="n">
        <f aca="false">G1527+H1527</f>
        <v>114.15</v>
      </c>
      <c r="Q1527" s="23" t="n">
        <f aca="false">G1527*INDEX(Assumptions!$B$8:$B$16,MATCH(F1527,Assumptions!$A$8:$A$16,0))</f>
        <v>59.396</v>
      </c>
      <c r="R1527" s="23" t="n">
        <f aca="false">H1527*Assumptions!$B$3</f>
        <v>11.01</v>
      </c>
      <c r="S1527" s="23" t="n">
        <f aca="false">G1527-Q1527-R1527</f>
        <v>25.394</v>
      </c>
      <c r="T1527" s="21" t="str">
        <f aca="false">IF(M1527&lt;=7,"0-7 days",IF(M1527&lt;=14,"8-14 days",IF(M1527&lt;=21,"15-21 days","22+ days")))</f>
        <v>15-21 days</v>
      </c>
    </row>
    <row r="1528" customFormat="false" ht="15" hidden="false" customHeight="false" outlineLevel="0" collapsed="false">
      <c r="A1528" s="21" t="s">
        <v>1594</v>
      </c>
      <c r="B1528" s="21" t="s">
        <v>19</v>
      </c>
      <c r="C1528" s="22" t="n">
        <v>43258</v>
      </c>
      <c r="D1528" s="22" t="n">
        <v>43264</v>
      </c>
      <c r="E1528" s="22" t="n">
        <v>43273</v>
      </c>
      <c r="F1528" s="21" t="s">
        <v>111</v>
      </c>
      <c r="G1528" s="23" t="n">
        <v>71.36</v>
      </c>
      <c r="H1528" s="23" t="n">
        <v>19.94</v>
      </c>
      <c r="I1528" s="21" t="s">
        <v>45</v>
      </c>
      <c r="J1528" s="21" t="n">
        <v>5</v>
      </c>
      <c r="K1528" s="21" t="s">
        <v>46</v>
      </c>
      <c r="L1528" s="24" t="n">
        <f aca="false">DATE(YEAR(C1528),MONTH(C1528),1)</f>
        <v>43252</v>
      </c>
      <c r="M1528" s="21" t="n">
        <f aca="false">D1528-C1528</f>
        <v>6</v>
      </c>
      <c r="N1528" s="21" t="n">
        <f aca="false">MAX(0,D1528-E1528)</f>
        <v>0</v>
      </c>
      <c r="O1528" s="21" t="n">
        <f aca="false">IF(D1528&lt;=E1528,1,0)</f>
        <v>1</v>
      </c>
      <c r="P1528" s="23" t="n">
        <f aca="false">G1528+H1528</f>
        <v>91.3</v>
      </c>
      <c r="Q1528" s="23" t="n">
        <f aca="false">G1528*INDEX(Assumptions!$B$8:$B$16,MATCH(F1528,Assumptions!$A$8:$A$16,0))</f>
        <v>44.9568</v>
      </c>
      <c r="R1528" s="23" t="n">
        <f aca="false">H1528*Assumptions!$B$3</f>
        <v>11.964</v>
      </c>
      <c r="S1528" s="23" t="n">
        <f aca="false">G1528-Q1528-R1528</f>
        <v>14.4392</v>
      </c>
      <c r="T1528" s="21" t="str">
        <f aca="false">IF(M1528&lt;=7,"0-7 days",IF(M1528&lt;=14,"8-14 days",IF(M1528&lt;=21,"15-21 days","22+ days")))</f>
        <v>0-7 days</v>
      </c>
    </row>
    <row r="1529" customFormat="false" ht="15" hidden="false" customHeight="false" outlineLevel="0" collapsed="false">
      <c r="A1529" s="21" t="s">
        <v>1595</v>
      </c>
      <c r="B1529" s="21" t="s">
        <v>19</v>
      </c>
      <c r="C1529" s="22" t="n">
        <v>43258</v>
      </c>
      <c r="D1529" s="22" t="n">
        <v>43264</v>
      </c>
      <c r="E1529" s="22" t="n">
        <v>43274</v>
      </c>
      <c r="F1529" s="21" t="s">
        <v>67</v>
      </c>
      <c r="G1529" s="23" t="n">
        <v>58.81</v>
      </c>
      <c r="H1529" s="23" t="n">
        <v>16.59</v>
      </c>
      <c r="I1529" s="21" t="s">
        <v>45</v>
      </c>
      <c r="J1529" s="21" t="n">
        <v>5</v>
      </c>
      <c r="K1529" s="21" t="s">
        <v>46</v>
      </c>
      <c r="L1529" s="24" t="n">
        <f aca="false">DATE(YEAR(C1529),MONTH(C1529),1)</f>
        <v>43252</v>
      </c>
      <c r="M1529" s="21" t="n">
        <f aca="false">D1529-C1529</f>
        <v>6</v>
      </c>
      <c r="N1529" s="21" t="n">
        <f aca="false">MAX(0,D1529-E1529)</f>
        <v>0</v>
      </c>
      <c r="O1529" s="21" t="n">
        <f aca="false">IF(D1529&lt;=E1529,1,0)</f>
        <v>1</v>
      </c>
      <c r="P1529" s="23" t="n">
        <f aca="false">G1529+H1529</f>
        <v>75.4</v>
      </c>
      <c r="Q1529" s="23" t="n">
        <f aca="false">G1529*INDEX(Assumptions!$B$8:$B$16,MATCH(F1529,Assumptions!$A$8:$A$16,0))</f>
        <v>36.4622</v>
      </c>
      <c r="R1529" s="23" t="n">
        <f aca="false">H1529*Assumptions!$B$3</f>
        <v>9.954</v>
      </c>
      <c r="S1529" s="23" t="n">
        <f aca="false">G1529-Q1529-R1529</f>
        <v>12.3938</v>
      </c>
      <c r="T1529" s="21" t="str">
        <f aca="false">IF(M1529&lt;=7,"0-7 days",IF(M1529&lt;=14,"8-14 days",IF(M1529&lt;=21,"15-21 days","22+ days")))</f>
        <v>0-7 days</v>
      </c>
    </row>
    <row r="1530" customFormat="false" ht="15" hidden="false" customHeight="false" outlineLevel="0" collapsed="false">
      <c r="A1530" s="21" t="s">
        <v>1596</v>
      </c>
      <c r="B1530" s="21" t="s">
        <v>93</v>
      </c>
      <c r="C1530" s="22" t="n">
        <v>43258</v>
      </c>
      <c r="D1530" s="22" t="n">
        <v>43269</v>
      </c>
      <c r="E1530" s="22" t="n">
        <v>43288</v>
      </c>
      <c r="F1530" s="21" t="s">
        <v>79</v>
      </c>
      <c r="G1530" s="23" t="n">
        <v>43.4</v>
      </c>
      <c r="H1530" s="23" t="n">
        <v>40.99</v>
      </c>
      <c r="I1530" s="21" t="s">
        <v>60</v>
      </c>
      <c r="J1530" s="21" t="n">
        <v>4</v>
      </c>
      <c r="K1530" s="21" t="s">
        <v>46</v>
      </c>
      <c r="L1530" s="24" t="n">
        <f aca="false">DATE(YEAR(C1530),MONTH(C1530),1)</f>
        <v>43252</v>
      </c>
      <c r="M1530" s="21" t="n">
        <f aca="false">D1530-C1530</f>
        <v>11</v>
      </c>
      <c r="N1530" s="21" t="n">
        <f aca="false">MAX(0,D1530-E1530)</f>
        <v>0</v>
      </c>
      <c r="O1530" s="21" t="n">
        <f aca="false">IF(D1530&lt;=E1530,1,0)</f>
        <v>1</v>
      </c>
      <c r="P1530" s="23" t="n">
        <f aca="false">G1530+H1530</f>
        <v>84.39</v>
      </c>
      <c r="Q1530" s="23" t="n">
        <f aca="false">G1530*INDEX(Assumptions!$B$8:$B$16,MATCH(F1530,Assumptions!$A$8:$A$16,0))</f>
        <v>30.38</v>
      </c>
      <c r="R1530" s="23" t="n">
        <f aca="false">H1530*Assumptions!$B$3</f>
        <v>24.594</v>
      </c>
      <c r="S1530" s="23" t="n">
        <f aca="false">G1530-Q1530-R1530</f>
        <v>-11.574</v>
      </c>
      <c r="T1530" s="21" t="str">
        <f aca="false">IF(M1530&lt;=7,"0-7 days",IF(M1530&lt;=14,"8-14 days",IF(M1530&lt;=21,"15-21 days","22+ days")))</f>
        <v>8-14 days</v>
      </c>
    </row>
    <row r="1531" customFormat="false" ht="15" hidden="false" customHeight="false" outlineLevel="0" collapsed="false">
      <c r="A1531" s="21" t="s">
        <v>1597</v>
      </c>
      <c r="B1531" s="21" t="s">
        <v>19</v>
      </c>
      <c r="C1531" s="22" t="n">
        <v>43258</v>
      </c>
      <c r="D1531" s="22" t="n">
        <v>43269</v>
      </c>
      <c r="E1531" s="22" t="n">
        <v>43272</v>
      </c>
      <c r="F1531" s="21" t="s">
        <v>59</v>
      </c>
      <c r="G1531" s="23" t="n">
        <v>71.17</v>
      </c>
      <c r="H1531" s="23" t="n">
        <v>13.49</v>
      </c>
      <c r="I1531" s="21" t="s">
        <v>45</v>
      </c>
      <c r="J1531" s="21" t="n">
        <v>5</v>
      </c>
      <c r="K1531" s="21" t="s">
        <v>46</v>
      </c>
      <c r="L1531" s="24" t="n">
        <f aca="false">DATE(YEAR(C1531),MONTH(C1531),1)</f>
        <v>43252</v>
      </c>
      <c r="M1531" s="21" t="n">
        <f aca="false">D1531-C1531</f>
        <v>11</v>
      </c>
      <c r="N1531" s="21" t="n">
        <f aca="false">MAX(0,D1531-E1531)</f>
        <v>0</v>
      </c>
      <c r="O1531" s="21" t="n">
        <f aca="false">IF(D1531&lt;=E1531,1,0)</f>
        <v>1</v>
      </c>
      <c r="P1531" s="23" t="n">
        <f aca="false">G1531+H1531</f>
        <v>84.66</v>
      </c>
      <c r="Q1531" s="23" t="n">
        <f aca="false">G1531*INDEX(Assumptions!$B$8:$B$16,MATCH(F1531,Assumptions!$A$8:$A$16,0))</f>
        <v>45.5488</v>
      </c>
      <c r="R1531" s="23" t="n">
        <f aca="false">H1531*Assumptions!$B$3</f>
        <v>8.094</v>
      </c>
      <c r="S1531" s="23" t="n">
        <f aca="false">G1531-Q1531-R1531</f>
        <v>17.5272</v>
      </c>
      <c r="T1531" s="21" t="str">
        <f aca="false">IF(M1531&lt;=7,"0-7 days",IF(M1531&lt;=14,"8-14 days",IF(M1531&lt;=21,"15-21 days","22+ days")))</f>
        <v>8-14 days</v>
      </c>
    </row>
    <row r="1532" customFormat="false" ht="15" hidden="false" customHeight="false" outlineLevel="0" collapsed="false">
      <c r="A1532" s="21" t="s">
        <v>1598</v>
      </c>
      <c r="B1532" s="21" t="s">
        <v>174</v>
      </c>
      <c r="C1532" s="22" t="n">
        <v>43259</v>
      </c>
      <c r="D1532" s="22" t="n">
        <v>43279</v>
      </c>
      <c r="E1532" s="22" t="n">
        <v>43294</v>
      </c>
      <c r="F1532" s="21" t="s">
        <v>79</v>
      </c>
      <c r="G1532" s="23" t="n">
        <v>31.63</v>
      </c>
      <c r="H1532" s="23" t="n">
        <v>27.69</v>
      </c>
      <c r="I1532" s="21" t="s">
        <v>45</v>
      </c>
      <c r="J1532" s="21" t="n">
        <v>4</v>
      </c>
      <c r="K1532" s="21" t="s">
        <v>46</v>
      </c>
      <c r="L1532" s="24" t="n">
        <f aca="false">DATE(YEAR(C1532),MONTH(C1532),1)</f>
        <v>43252</v>
      </c>
      <c r="M1532" s="21" t="n">
        <f aca="false">D1532-C1532</f>
        <v>20</v>
      </c>
      <c r="N1532" s="21" t="n">
        <f aca="false">MAX(0,D1532-E1532)</f>
        <v>0</v>
      </c>
      <c r="O1532" s="21" t="n">
        <f aca="false">IF(D1532&lt;=E1532,1,0)</f>
        <v>1</v>
      </c>
      <c r="P1532" s="23" t="n">
        <f aca="false">G1532+H1532</f>
        <v>59.32</v>
      </c>
      <c r="Q1532" s="23" t="n">
        <f aca="false">G1532*INDEX(Assumptions!$B$8:$B$16,MATCH(F1532,Assumptions!$A$8:$A$16,0))</f>
        <v>22.141</v>
      </c>
      <c r="R1532" s="23" t="n">
        <f aca="false">H1532*Assumptions!$B$3</f>
        <v>16.614</v>
      </c>
      <c r="S1532" s="23" t="n">
        <f aca="false">G1532-Q1532-R1532</f>
        <v>-7.125</v>
      </c>
      <c r="T1532" s="21" t="str">
        <f aca="false">IF(M1532&lt;=7,"0-7 days",IF(M1532&lt;=14,"8-14 days",IF(M1532&lt;=21,"15-21 days","22+ days")))</f>
        <v>15-21 days</v>
      </c>
    </row>
    <row r="1533" customFormat="false" ht="15" hidden="false" customHeight="false" outlineLevel="0" collapsed="false">
      <c r="A1533" s="21" t="s">
        <v>1599</v>
      </c>
      <c r="B1533" s="21" t="s">
        <v>55</v>
      </c>
      <c r="C1533" s="22" t="n">
        <v>43259</v>
      </c>
      <c r="D1533" s="22" t="n">
        <v>43277</v>
      </c>
      <c r="E1533" s="22" t="n">
        <v>43281</v>
      </c>
      <c r="F1533" s="21" t="s">
        <v>49</v>
      </c>
      <c r="G1533" s="23" t="n">
        <v>88.01</v>
      </c>
      <c r="H1533" s="23" t="n">
        <v>26.66</v>
      </c>
      <c r="I1533" s="21" t="s">
        <v>60</v>
      </c>
      <c r="J1533" s="21" t="n">
        <v>2</v>
      </c>
      <c r="K1533" s="21" t="s">
        <v>46</v>
      </c>
      <c r="L1533" s="24" t="n">
        <f aca="false">DATE(YEAR(C1533),MONTH(C1533),1)</f>
        <v>43252</v>
      </c>
      <c r="M1533" s="21" t="n">
        <f aca="false">D1533-C1533</f>
        <v>18</v>
      </c>
      <c r="N1533" s="21" t="n">
        <f aca="false">MAX(0,D1533-E1533)</f>
        <v>0</v>
      </c>
      <c r="O1533" s="21" t="n">
        <f aca="false">IF(D1533&lt;=E1533,1,0)</f>
        <v>1</v>
      </c>
      <c r="P1533" s="23" t="n">
        <f aca="false">G1533+H1533</f>
        <v>114.67</v>
      </c>
      <c r="Q1533" s="23" t="n">
        <f aca="false">G1533*INDEX(Assumptions!$B$8:$B$16,MATCH(F1533,Assumptions!$A$8:$A$16,0))</f>
        <v>51.0458</v>
      </c>
      <c r="R1533" s="23" t="n">
        <f aca="false">H1533*Assumptions!$B$3</f>
        <v>15.996</v>
      </c>
      <c r="S1533" s="23" t="n">
        <f aca="false">G1533-Q1533-R1533</f>
        <v>20.9682</v>
      </c>
      <c r="T1533" s="21" t="str">
        <f aca="false">IF(M1533&lt;=7,"0-7 days",IF(M1533&lt;=14,"8-14 days",IF(M1533&lt;=21,"15-21 days","22+ days")))</f>
        <v>15-21 days</v>
      </c>
    </row>
    <row r="1534" customFormat="false" ht="15" hidden="false" customHeight="false" outlineLevel="0" collapsed="false">
      <c r="A1534" s="21" t="s">
        <v>1600</v>
      </c>
      <c r="B1534" s="21" t="s">
        <v>19</v>
      </c>
      <c r="C1534" s="22" t="n">
        <v>43259</v>
      </c>
      <c r="D1534" s="22" t="n">
        <v>43272</v>
      </c>
      <c r="E1534" s="22" t="n">
        <v>43272</v>
      </c>
      <c r="F1534" s="21" t="s">
        <v>53</v>
      </c>
      <c r="G1534" s="23" t="n">
        <v>125.86</v>
      </c>
      <c r="H1534" s="23" t="n">
        <v>21.08</v>
      </c>
      <c r="I1534" s="21" t="s">
        <v>104</v>
      </c>
      <c r="J1534" s="21" t="n">
        <v>5</v>
      </c>
      <c r="K1534" s="21" t="s">
        <v>46</v>
      </c>
      <c r="L1534" s="24" t="n">
        <f aca="false">DATE(YEAR(C1534),MONTH(C1534),1)</f>
        <v>43252</v>
      </c>
      <c r="M1534" s="21" t="n">
        <f aca="false">D1534-C1534</f>
        <v>13</v>
      </c>
      <c r="N1534" s="21" t="n">
        <f aca="false">MAX(0,D1534-E1534)</f>
        <v>0</v>
      </c>
      <c r="O1534" s="21" t="n">
        <f aca="false">IF(D1534&lt;=E1534,1,0)</f>
        <v>1</v>
      </c>
      <c r="P1534" s="23" t="n">
        <f aca="false">G1534+H1534</f>
        <v>146.94</v>
      </c>
      <c r="Q1534" s="23" t="n">
        <f aca="false">G1534*INDEX(Assumptions!$B$8:$B$16,MATCH(F1534,Assumptions!$A$8:$A$16,0))</f>
        <v>93.1364</v>
      </c>
      <c r="R1534" s="23" t="n">
        <f aca="false">H1534*Assumptions!$B$3</f>
        <v>12.648</v>
      </c>
      <c r="S1534" s="23" t="n">
        <f aca="false">G1534-Q1534-R1534</f>
        <v>20.0756</v>
      </c>
      <c r="T1534" s="21" t="str">
        <f aca="false">IF(M1534&lt;=7,"0-7 days",IF(M1534&lt;=14,"8-14 days",IF(M1534&lt;=21,"15-21 days","22+ days")))</f>
        <v>8-14 days</v>
      </c>
    </row>
    <row r="1535" customFormat="false" ht="15" hidden="false" customHeight="false" outlineLevel="0" collapsed="false">
      <c r="A1535" s="21" t="s">
        <v>1601</v>
      </c>
      <c r="B1535" s="21" t="s">
        <v>19</v>
      </c>
      <c r="C1535" s="22" t="n">
        <v>43259</v>
      </c>
      <c r="D1535" s="22" t="n">
        <v>43270</v>
      </c>
      <c r="E1535" s="22" t="n">
        <v>43272</v>
      </c>
      <c r="F1535" s="21" t="s">
        <v>59</v>
      </c>
      <c r="G1535" s="23" t="n">
        <v>49.38</v>
      </c>
      <c r="H1535" s="23" t="n">
        <v>17.34</v>
      </c>
      <c r="I1535" s="21" t="s">
        <v>60</v>
      </c>
      <c r="J1535" s="21" t="n">
        <v>5</v>
      </c>
      <c r="K1535" s="21" t="s">
        <v>46</v>
      </c>
      <c r="L1535" s="24" t="n">
        <f aca="false">DATE(YEAR(C1535),MONTH(C1535),1)</f>
        <v>43252</v>
      </c>
      <c r="M1535" s="21" t="n">
        <f aca="false">D1535-C1535</f>
        <v>11</v>
      </c>
      <c r="N1535" s="21" t="n">
        <f aca="false">MAX(0,D1535-E1535)</f>
        <v>0</v>
      </c>
      <c r="O1535" s="21" t="n">
        <f aca="false">IF(D1535&lt;=E1535,1,0)</f>
        <v>1</v>
      </c>
      <c r="P1535" s="23" t="n">
        <f aca="false">G1535+H1535</f>
        <v>66.72</v>
      </c>
      <c r="Q1535" s="23" t="n">
        <f aca="false">G1535*INDEX(Assumptions!$B$8:$B$16,MATCH(F1535,Assumptions!$A$8:$A$16,0))</f>
        <v>31.6032</v>
      </c>
      <c r="R1535" s="23" t="n">
        <f aca="false">H1535*Assumptions!$B$3</f>
        <v>10.404</v>
      </c>
      <c r="S1535" s="23" t="n">
        <f aca="false">G1535-Q1535-R1535</f>
        <v>7.3728</v>
      </c>
      <c r="T1535" s="21" t="str">
        <f aca="false">IF(M1535&lt;=7,"0-7 days",IF(M1535&lt;=14,"8-14 days",IF(M1535&lt;=21,"15-21 days","22+ days")))</f>
        <v>8-14 days</v>
      </c>
    </row>
    <row r="1536" customFormat="false" ht="15" hidden="false" customHeight="false" outlineLevel="0" collapsed="false">
      <c r="A1536" s="21" t="s">
        <v>1602</v>
      </c>
      <c r="B1536" s="21" t="s">
        <v>55</v>
      </c>
      <c r="C1536" s="22" t="n">
        <v>43259</v>
      </c>
      <c r="D1536" s="22" t="n">
        <v>43269</v>
      </c>
      <c r="E1536" s="22" t="n">
        <v>43286</v>
      </c>
      <c r="F1536" s="21" t="s">
        <v>67</v>
      </c>
      <c r="G1536" s="23" t="n">
        <v>52.35</v>
      </c>
      <c r="H1536" s="23" t="n">
        <v>18.94</v>
      </c>
      <c r="I1536" s="21" t="s">
        <v>45</v>
      </c>
      <c r="J1536" s="21" t="n">
        <v>3</v>
      </c>
      <c r="K1536" s="21" t="s">
        <v>46</v>
      </c>
      <c r="L1536" s="24" t="n">
        <f aca="false">DATE(YEAR(C1536),MONTH(C1536),1)</f>
        <v>43252</v>
      </c>
      <c r="M1536" s="21" t="n">
        <f aca="false">D1536-C1536</f>
        <v>10</v>
      </c>
      <c r="N1536" s="21" t="n">
        <f aca="false">MAX(0,D1536-E1536)</f>
        <v>0</v>
      </c>
      <c r="O1536" s="21" t="n">
        <f aca="false">IF(D1536&lt;=E1536,1,0)</f>
        <v>1</v>
      </c>
      <c r="P1536" s="23" t="n">
        <f aca="false">G1536+H1536</f>
        <v>71.29</v>
      </c>
      <c r="Q1536" s="23" t="n">
        <f aca="false">G1536*INDEX(Assumptions!$B$8:$B$16,MATCH(F1536,Assumptions!$A$8:$A$16,0))</f>
        <v>32.457</v>
      </c>
      <c r="R1536" s="23" t="n">
        <f aca="false">H1536*Assumptions!$B$3</f>
        <v>11.364</v>
      </c>
      <c r="S1536" s="23" t="n">
        <f aca="false">G1536-Q1536-R1536</f>
        <v>8.529</v>
      </c>
      <c r="T1536" s="21" t="str">
        <f aca="false">IF(M1536&lt;=7,"0-7 days",IF(M1536&lt;=14,"8-14 days",IF(M1536&lt;=21,"15-21 days","22+ days")))</f>
        <v>8-14 days</v>
      </c>
    </row>
    <row r="1537" customFormat="false" ht="15" hidden="false" customHeight="false" outlineLevel="0" collapsed="false">
      <c r="A1537" s="21" t="s">
        <v>1603</v>
      </c>
      <c r="B1537" s="21" t="s">
        <v>55</v>
      </c>
      <c r="C1537" s="22" t="n">
        <v>43260</v>
      </c>
      <c r="D1537" s="22" t="n">
        <v>43278</v>
      </c>
      <c r="E1537" s="22" t="n">
        <v>43285</v>
      </c>
      <c r="F1537" s="21" t="s">
        <v>79</v>
      </c>
      <c r="G1537" s="23" t="n">
        <v>83.67</v>
      </c>
      <c r="H1537" s="23" t="n">
        <v>16.78</v>
      </c>
      <c r="I1537" s="21" t="s">
        <v>45</v>
      </c>
      <c r="J1537" s="21" t="n">
        <v>2</v>
      </c>
      <c r="K1537" s="21" t="s">
        <v>46</v>
      </c>
      <c r="L1537" s="24" t="n">
        <f aca="false">DATE(YEAR(C1537),MONTH(C1537),1)</f>
        <v>43252</v>
      </c>
      <c r="M1537" s="21" t="n">
        <f aca="false">D1537-C1537</f>
        <v>18</v>
      </c>
      <c r="N1537" s="21" t="n">
        <f aca="false">MAX(0,D1537-E1537)</f>
        <v>0</v>
      </c>
      <c r="O1537" s="21" t="n">
        <f aca="false">IF(D1537&lt;=E1537,1,0)</f>
        <v>1</v>
      </c>
      <c r="P1537" s="23" t="n">
        <f aca="false">G1537+H1537</f>
        <v>100.45</v>
      </c>
      <c r="Q1537" s="23" t="n">
        <f aca="false">G1537*INDEX(Assumptions!$B$8:$B$16,MATCH(F1537,Assumptions!$A$8:$A$16,0))</f>
        <v>58.569</v>
      </c>
      <c r="R1537" s="23" t="n">
        <f aca="false">H1537*Assumptions!$B$3</f>
        <v>10.068</v>
      </c>
      <c r="S1537" s="23" t="n">
        <f aca="false">G1537-Q1537-R1537</f>
        <v>15.033</v>
      </c>
      <c r="T1537" s="21" t="str">
        <f aca="false">IF(M1537&lt;=7,"0-7 days",IF(M1537&lt;=14,"8-14 days",IF(M1537&lt;=21,"15-21 days","22+ days")))</f>
        <v>15-21 days</v>
      </c>
    </row>
    <row r="1538" customFormat="false" ht="15" hidden="false" customHeight="false" outlineLevel="0" collapsed="false">
      <c r="A1538" s="21" t="s">
        <v>1604</v>
      </c>
      <c r="B1538" s="21" t="s">
        <v>62</v>
      </c>
      <c r="C1538" s="22" t="n">
        <v>43260</v>
      </c>
      <c r="D1538" s="22" t="n">
        <v>43268</v>
      </c>
      <c r="E1538" s="22" t="n">
        <v>43277</v>
      </c>
      <c r="F1538" s="21" t="s">
        <v>44</v>
      </c>
      <c r="G1538" s="23" t="n">
        <v>97.87</v>
      </c>
      <c r="H1538" s="23" t="n">
        <v>27.74</v>
      </c>
      <c r="I1538" s="21" t="s">
        <v>45</v>
      </c>
      <c r="J1538" s="21" t="n">
        <v>4</v>
      </c>
      <c r="K1538" s="21" t="s">
        <v>46</v>
      </c>
      <c r="L1538" s="24" t="n">
        <f aca="false">DATE(YEAR(C1538),MONTH(C1538),1)</f>
        <v>43252</v>
      </c>
      <c r="M1538" s="21" t="n">
        <f aca="false">D1538-C1538</f>
        <v>8</v>
      </c>
      <c r="N1538" s="21" t="n">
        <f aca="false">MAX(0,D1538-E1538)</f>
        <v>0</v>
      </c>
      <c r="O1538" s="21" t="n">
        <f aca="false">IF(D1538&lt;=E1538,1,0)</f>
        <v>1</v>
      </c>
      <c r="P1538" s="23" t="n">
        <f aca="false">G1538+H1538</f>
        <v>125.61</v>
      </c>
      <c r="Q1538" s="23" t="n">
        <f aca="false">G1538*INDEX(Assumptions!$B$8:$B$16,MATCH(F1538,Assumptions!$A$8:$A$16,0))</f>
        <v>58.722</v>
      </c>
      <c r="R1538" s="23" t="n">
        <f aca="false">H1538*Assumptions!$B$3</f>
        <v>16.644</v>
      </c>
      <c r="S1538" s="23" t="n">
        <f aca="false">G1538-Q1538-R1538</f>
        <v>22.504</v>
      </c>
      <c r="T1538" s="21" t="str">
        <f aca="false">IF(M1538&lt;=7,"0-7 days",IF(M1538&lt;=14,"8-14 days",IF(M1538&lt;=21,"15-21 days","22+ days")))</f>
        <v>8-14 days</v>
      </c>
    </row>
    <row r="1539" customFormat="false" ht="15" hidden="false" customHeight="false" outlineLevel="0" collapsed="false">
      <c r="A1539" s="21" t="s">
        <v>1605</v>
      </c>
      <c r="B1539" s="21" t="s">
        <v>19</v>
      </c>
      <c r="C1539" s="22" t="n">
        <v>43260</v>
      </c>
      <c r="D1539" s="22" t="n">
        <v>43268</v>
      </c>
      <c r="E1539" s="22" t="n">
        <v>43277</v>
      </c>
      <c r="F1539" s="21" t="s">
        <v>59</v>
      </c>
      <c r="G1539" s="23" t="n">
        <v>104.62</v>
      </c>
      <c r="H1539" s="23" t="n">
        <v>16.47</v>
      </c>
      <c r="I1539" s="21" t="s">
        <v>45</v>
      </c>
      <c r="J1539" s="21" t="n">
        <v>4</v>
      </c>
      <c r="K1539" s="21" t="s">
        <v>46</v>
      </c>
      <c r="L1539" s="24" t="n">
        <f aca="false">DATE(YEAR(C1539),MONTH(C1539),1)</f>
        <v>43252</v>
      </c>
      <c r="M1539" s="21" t="n">
        <f aca="false">D1539-C1539</f>
        <v>8</v>
      </c>
      <c r="N1539" s="21" t="n">
        <f aca="false">MAX(0,D1539-E1539)</f>
        <v>0</v>
      </c>
      <c r="O1539" s="21" t="n">
        <f aca="false">IF(D1539&lt;=E1539,1,0)</f>
        <v>1</v>
      </c>
      <c r="P1539" s="23" t="n">
        <f aca="false">G1539+H1539</f>
        <v>121.09</v>
      </c>
      <c r="Q1539" s="23" t="n">
        <f aca="false">G1539*INDEX(Assumptions!$B$8:$B$16,MATCH(F1539,Assumptions!$A$8:$A$16,0))</f>
        <v>66.9568</v>
      </c>
      <c r="R1539" s="23" t="n">
        <f aca="false">H1539*Assumptions!$B$3</f>
        <v>9.882</v>
      </c>
      <c r="S1539" s="23" t="n">
        <f aca="false">G1539-Q1539-R1539</f>
        <v>27.7812</v>
      </c>
      <c r="T1539" s="21" t="str">
        <f aca="false">IF(M1539&lt;=7,"0-7 days",IF(M1539&lt;=14,"8-14 days",IF(M1539&lt;=21,"15-21 days","22+ days")))</f>
        <v>8-14 days</v>
      </c>
    </row>
    <row r="1540" customFormat="false" ht="15" hidden="false" customHeight="false" outlineLevel="0" collapsed="false">
      <c r="A1540" s="21" t="s">
        <v>1606</v>
      </c>
      <c r="B1540" s="21" t="s">
        <v>19</v>
      </c>
      <c r="C1540" s="22" t="n">
        <v>43261</v>
      </c>
      <c r="D1540" s="22" t="n">
        <v>43268</v>
      </c>
      <c r="E1540" s="22" t="n">
        <v>43276</v>
      </c>
      <c r="F1540" s="21" t="s">
        <v>64</v>
      </c>
      <c r="G1540" s="23" t="n">
        <v>102.93</v>
      </c>
      <c r="H1540" s="23" t="n">
        <v>18.96</v>
      </c>
      <c r="I1540" s="21" t="s">
        <v>45</v>
      </c>
      <c r="J1540" s="21" t="n">
        <v>5</v>
      </c>
      <c r="K1540" s="21" t="s">
        <v>46</v>
      </c>
      <c r="L1540" s="24" t="n">
        <f aca="false">DATE(YEAR(C1540),MONTH(C1540),1)</f>
        <v>43252</v>
      </c>
      <c r="M1540" s="21" t="n">
        <f aca="false">D1540-C1540</f>
        <v>7</v>
      </c>
      <c r="N1540" s="21" t="n">
        <f aca="false">MAX(0,D1540-E1540)</f>
        <v>0</v>
      </c>
      <c r="O1540" s="21" t="n">
        <f aca="false">IF(D1540&lt;=E1540,1,0)</f>
        <v>1</v>
      </c>
      <c r="P1540" s="23" t="n">
        <f aca="false">G1540+H1540</f>
        <v>121.89</v>
      </c>
      <c r="Q1540" s="23" t="n">
        <f aca="false">G1540*INDEX(Assumptions!$B$8:$B$16,MATCH(F1540,Assumptions!$A$8:$A$16,0))</f>
        <v>67.9338</v>
      </c>
      <c r="R1540" s="23" t="n">
        <f aca="false">H1540*Assumptions!$B$3</f>
        <v>11.376</v>
      </c>
      <c r="S1540" s="23" t="n">
        <f aca="false">G1540-Q1540-R1540</f>
        <v>23.6202</v>
      </c>
      <c r="T1540" s="21" t="str">
        <f aca="false">IF(M1540&lt;=7,"0-7 days",IF(M1540&lt;=14,"8-14 days",IF(M1540&lt;=21,"15-21 days","22+ days")))</f>
        <v>0-7 days</v>
      </c>
    </row>
    <row r="1541" customFormat="false" ht="15" hidden="false" customHeight="false" outlineLevel="0" collapsed="false">
      <c r="A1541" s="21" t="s">
        <v>1607</v>
      </c>
      <c r="B1541" s="21" t="s">
        <v>19</v>
      </c>
      <c r="C1541" s="22" t="n">
        <v>43261</v>
      </c>
      <c r="D1541" s="22" t="n">
        <v>43268</v>
      </c>
      <c r="E1541" s="22" t="n">
        <v>43279</v>
      </c>
      <c r="F1541" s="21" t="s">
        <v>44</v>
      </c>
      <c r="G1541" s="23" t="n">
        <v>82.18</v>
      </c>
      <c r="H1541" s="23" t="n">
        <v>19.62</v>
      </c>
      <c r="I1541" s="21" t="s">
        <v>45</v>
      </c>
      <c r="J1541" s="21" t="n">
        <v>5</v>
      </c>
      <c r="K1541" s="21" t="s">
        <v>46</v>
      </c>
      <c r="L1541" s="24" t="n">
        <f aca="false">DATE(YEAR(C1541),MONTH(C1541),1)</f>
        <v>43252</v>
      </c>
      <c r="M1541" s="21" t="n">
        <f aca="false">D1541-C1541</f>
        <v>7</v>
      </c>
      <c r="N1541" s="21" t="n">
        <f aca="false">MAX(0,D1541-E1541)</f>
        <v>0</v>
      </c>
      <c r="O1541" s="21" t="n">
        <f aca="false">IF(D1541&lt;=E1541,1,0)</f>
        <v>1</v>
      </c>
      <c r="P1541" s="23" t="n">
        <f aca="false">G1541+H1541</f>
        <v>101.8</v>
      </c>
      <c r="Q1541" s="23" t="n">
        <f aca="false">G1541*INDEX(Assumptions!$B$8:$B$16,MATCH(F1541,Assumptions!$A$8:$A$16,0))</f>
        <v>49.308</v>
      </c>
      <c r="R1541" s="23" t="n">
        <f aca="false">H1541*Assumptions!$B$3</f>
        <v>11.772</v>
      </c>
      <c r="S1541" s="23" t="n">
        <f aca="false">G1541-Q1541-R1541</f>
        <v>21.1</v>
      </c>
      <c r="T1541" s="21" t="str">
        <f aca="false">IF(M1541&lt;=7,"0-7 days",IF(M1541&lt;=14,"8-14 days",IF(M1541&lt;=21,"15-21 days","22+ days")))</f>
        <v>0-7 days</v>
      </c>
    </row>
    <row r="1542" customFormat="false" ht="15" hidden="false" customHeight="false" outlineLevel="0" collapsed="false">
      <c r="A1542" s="21" t="s">
        <v>1608</v>
      </c>
      <c r="B1542" s="21" t="s">
        <v>93</v>
      </c>
      <c r="C1542" s="22" t="n">
        <v>43261</v>
      </c>
      <c r="D1542" s="22" t="n">
        <v>43273</v>
      </c>
      <c r="E1542" s="22" t="n">
        <v>43288</v>
      </c>
      <c r="F1542" s="21" t="s">
        <v>57</v>
      </c>
      <c r="G1542" s="23" t="n">
        <v>39.45</v>
      </c>
      <c r="H1542" s="23" t="n">
        <v>30.69</v>
      </c>
      <c r="I1542" s="21" t="s">
        <v>45</v>
      </c>
      <c r="J1542" s="21" t="n">
        <v>5</v>
      </c>
      <c r="K1542" s="21" t="s">
        <v>46</v>
      </c>
      <c r="L1542" s="24" t="n">
        <f aca="false">DATE(YEAR(C1542),MONTH(C1542),1)</f>
        <v>43252</v>
      </c>
      <c r="M1542" s="21" t="n">
        <f aca="false">D1542-C1542</f>
        <v>12</v>
      </c>
      <c r="N1542" s="21" t="n">
        <f aca="false">MAX(0,D1542-E1542)</f>
        <v>0</v>
      </c>
      <c r="O1542" s="21" t="n">
        <f aca="false">IF(D1542&lt;=E1542,1,0)</f>
        <v>1</v>
      </c>
      <c r="P1542" s="23" t="n">
        <f aca="false">G1542+H1542</f>
        <v>70.14</v>
      </c>
      <c r="Q1542" s="23" t="n">
        <f aca="false">G1542*INDEX(Assumptions!$B$8:$B$16,MATCH(F1542,Assumptions!$A$8:$A$16,0))</f>
        <v>26.826</v>
      </c>
      <c r="R1542" s="23" t="n">
        <f aca="false">H1542*Assumptions!$B$3</f>
        <v>18.414</v>
      </c>
      <c r="S1542" s="23" t="n">
        <f aca="false">G1542-Q1542-R1542</f>
        <v>-5.79</v>
      </c>
      <c r="T1542" s="21" t="str">
        <f aca="false">IF(M1542&lt;=7,"0-7 days",IF(M1542&lt;=14,"8-14 days",IF(M1542&lt;=21,"15-21 days","22+ days")))</f>
        <v>8-14 days</v>
      </c>
    </row>
    <row r="1543" customFormat="false" ht="15" hidden="false" customHeight="false" outlineLevel="0" collapsed="false">
      <c r="A1543" s="21" t="s">
        <v>1609</v>
      </c>
      <c r="B1543" s="21" t="s">
        <v>52</v>
      </c>
      <c r="C1543" s="22" t="n">
        <v>43262</v>
      </c>
      <c r="D1543" s="22" t="n">
        <v>43281</v>
      </c>
      <c r="E1543" s="22" t="n">
        <v>43288</v>
      </c>
      <c r="F1543" s="21" t="s">
        <v>67</v>
      </c>
      <c r="G1543" s="23" t="n">
        <v>60.49</v>
      </c>
      <c r="H1543" s="23" t="n">
        <v>26.7</v>
      </c>
      <c r="I1543" s="21" t="s">
        <v>60</v>
      </c>
      <c r="J1543" s="21" t="n">
        <v>3</v>
      </c>
      <c r="K1543" s="21" t="s">
        <v>46</v>
      </c>
      <c r="L1543" s="24" t="n">
        <f aca="false">DATE(YEAR(C1543),MONTH(C1543),1)</f>
        <v>43252</v>
      </c>
      <c r="M1543" s="21" t="n">
        <f aca="false">D1543-C1543</f>
        <v>19</v>
      </c>
      <c r="N1543" s="21" t="n">
        <f aca="false">MAX(0,D1543-E1543)</f>
        <v>0</v>
      </c>
      <c r="O1543" s="21" t="n">
        <f aca="false">IF(D1543&lt;=E1543,1,0)</f>
        <v>1</v>
      </c>
      <c r="P1543" s="23" t="n">
        <f aca="false">G1543+H1543</f>
        <v>87.19</v>
      </c>
      <c r="Q1543" s="23" t="n">
        <f aca="false">G1543*INDEX(Assumptions!$B$8:$B$16,MATCH(F1543,Assumptions!$A$8:$A$16,0))</f>
        <v>37.5038</v>
      </c>
      <c r="R1543" s="23" t="n">
        <f aca="false">H1543*Assumptions!$B$3</f>
        <v>16.02</v>
      </c>
      <c r="S1543" s="23" t="n">
        <f aca="false">G1543-Q1543-R1543</f>
        <v>6.9662</v>
      </c>
      <c r="T1543" s="21" t="str">
        <f aca="false">IF(M1543&lt;=7,"0-7 days",IF(M1543&lt;=14,"8-14 days",IF(M1543&lt;=21,"15-21 days","22+ days")))</f>
        <v>15-21 days</v>
      </c>
    </row>
    <row r="1544" customFormat="false" ht="15" hidden="false" customHeight="false" outlineLevel="0" collapsed="false">
      <c r="A1544" s="21" t="s">
        <v>1610</v>
      </c>
      <c r="B1544" s="21" t="s">
        <v>52</v>
      </c>
      <c r="C1544" s="22" t="n">
        <v>43263</v>
      </c>
      <c r="D1544" s="22" t="n">
        <v>43279</v>
      </c>
      <c r="E1544" s="22" t="n">
        <v>43287</v>
      </c>
      <c r="F1544" s="21" t="s">
        <v>79</v>
      </c>
      <c r="G1544" s="23" t="n">
        <v>143.25</v>
      </c>
      <c r="H1544" s="23" t="n">
        <v>27.86</v>
      </c>
      <c r="I1544" s="21" t="s">
        <v>45</v>
      </c>
      <c r="J1544" s="21" t="n">
        <v>5</v>
      </c>
      <c r="K1544" s="21" t="s">
        <v>46</v>
      </c>
      <c r="L1544" s="24" t="n">
        <f aca="false">DATE(YEAR(C1544),MONTH(C1544),1)</f>
        <v>43252</v>
      </c>
      <c r="M1544" s="21" t="n">
        <f aca="false">D1544-C1544</f>
        <v>16</v>
      </c>
      <c r="N1544" s="21" t="n">
        <f aca="false">MAX(0,D1544-E1544)</f>
        <v>0</v>
      </c>
      <c r="O1544" s="21" t="n">
        <f aca="false">IF(D1544&lt;=E1544,1,0)</f>
        <v>1</v>
      </c>
      <c r="P1544" s="23" t="n">
        <f aca="false">G1544+H1544</f>
        <v>171.11</v>
      </c>
      <c r="Q1544" s="23" t="n">
        <f aca="false">G1544*INDEX(Assumptions!$B$8:$B$16,MATCH(F1544,Assumptions!$A$8:$A$16,0))</f>
        <v>100.275</v>
      </c>
      <c r="R1544" s="23" t="n">
        <f aca="false">H1544*Assumptions!$B$3</f>
        <v>16.716</v>
      </c>
      <c r="S1544" s="23" t="n">
        <f aca="false">G1544-Q1544-R1544</f>
        <v>26.259</v>
      </c>
      <c r="T1544" s="21" t="str">
        <f aca="false">IF(M1544&lt;=7,"0-7 days",IF(M1544&lt;=14,"8-14 days",IF(M1544&lt;=21,"15-21 days","22+ days")))</f>
        <v>15-21 days</v>
      </c>
    </row>
    <row r="1545" customFormat="false" ht="15" hidden="false" customHeight="false" outlineLevel="0" collapsed="false">
      <c r="A1545" s="21" t="s">
        <v>1611</v>
      </c>
      <c r="B1545" s="21" t="s">
        <v>19</v>
      </c>
      <c r="C1545" s="22" t="n">
        <v>43263</v>
      </c>
      <c r="D1545" s="22" t="n">
        <v>43271</v>
      </c>
      <c r="E1545" s="22" t="n">
        <v>43277</v>
      </c>
      <c r="F1545" s="21" t="s">
        <v>67</v>
      </c>
      <c r="G1545" s="23" t="n">
        <v>87.5</v>
      </c>
      <c r="H1545" s="23" t="n">
        <v>14.21</v>
      </c>
      <c r="I1545" s="21" t="s">
        <v>45</v>
      </c>
      <c r="J1545" s="21" t="n">
        <v>4</v>
      </c>
      <c r="K1545" s="21" t="s">
        <v>46</v>
      </c>
      <c r="L1545" s="24" t="n">
        <f aca="false">DATE(YEAR(C1545),MONTH(C1545),1)</f>
        <v>43252</v>
      </c>
      <c r="M1545" s="21" t="n">
        <f aca="false">D1545-C1545</f>
        <v>8</v>
      </c>
      <c r="N1545" s="21" t="n">
        <f aca="false">MAX(0,D1545-E1545)</f>
        <v>0</v>
      </c>
      <c r="O1545" s="21" t="n">
        <f aca="false">IF(D1545&lt;=E1545,1,0)</f>
        <v>1</v>
      </c>
      <c r="P1545" s="23" t="n">
        <f aca="false">G1545+H1545</f>
        <v>101.71</v>
      </c>
      <c r="Q1545" s="23" t="n">
        <f aca="false">G1545*INDEX(Assumptions!$B$8:$B$16,MATCH(F1545,Assumptions!$A$8:$A$16,0))</f>
        <v>54.25</v>
      </c>
      <c r="R1545" s="23" t="n">
        <f aca="false">H1545*Assumptions!$B$3</f>
        <v>8.526</v>
      </c>
      <c r="S1545" s="23" t="n">
        <f aca="false">G1545-Q1545-R1545</f>
        <v>24.724</v>
      </c>
      <c r="T1545" s="21" t="str">
        <f aca="false">IF(M1545&lt;=7,"0-7 days",IF(M1545&lt;=14,"8-14 days",IF(M1545&lt;=21,"15-21 days","22+ days")))</f>
        <v>8-14 days</v>
      </c>
    </row>
    <row r="1546" customFormat="false" ht="15" hidden="false" customHeight="false" outlineLevel="0" collapsed="false">
      <c r="A1546" s="21" t="s">
        <v>1612</v>
      </c>
      <c r="B1546" s="21" t="s">
        <v>19</v>
      </c>
      <c r="C1546" s="22" t="n">
        <v>43263</v>
      </c>
      <c r="D1546" s="22" t="n">
        <v>43270</v>
      </c>
      <c r="E1546" s="22" t="n">
        <v>43278</v>
      </c>
      <c r="F1546" s="21" t="s">
        <v>111</v>
      </c>
      <c r="G1546" s="23" t="n">
        <v>33.31</v>
      </c>
      <c r="H1546" s="23" t="n">
        <v>18.03</v>
      </c>
      <c r="I1546" s="21" t="s">
        <v>45</v>
      </c>
      <c r="J1546" s="21" t="n">
        <v>4</v>
      </c>
      <c r="K1546" s="21" t="s">
        <v>46</v>
      </c>
      <c r="L1546" s="24" t="n">
        <f aca="false">DATE(YEAR(C1546),MONTH(C1546),1)</f>
        <v>43252</v>
      </c>
      <c r="M1546" s="21" t="n">
        <f aca="false">D1546-C1546</f>
        <v>7</v>
      </c>
      <c r="N1546" s="21" t="n">
        <f aca="false">MAX(0,D1546-E1546)</f>
        <v>0</v>
      </c>
      <c r="O1546" s="21" t="n">
        <f aca="false">IF(D1546&lt;=E1546,1,0)</f>
        <v>1</v>
      </c>
      <c r="P1546" s="23" t="n">
        <f aca="false">G1546+H1546</f>
        <v>51.34</v>
      </c>
      <c r="Q1546" s="23" t="n">
        <f aca="false">G1546*INDEX(Assumptions!$B$8:$B$16,MATCH(F1546,Assumptions!$A$8:$A$16,0))</f>
        <v>20.9853</v>
      </c>
      <c r="R1546" s="23" t="n">
        <f aca="false">H1546*Assumptions!$B$3</f>
        <v>10.818</v>
      </c>
      <c r="S1546" s="23" t="n">
        <f aca="false">G1546-Q1546-R1546</f>
        <v>1.5067</v>
      </c>
      <c r="T1546" s="21" t="str">
        <f aca="false">IF(M1546&lt;=7,"0-7 days",IF(M1546&lt;=14,"8-14 days",IF(M1546&lt;=21,"15-21 days","22+ days")))</f>
        <v>0-7 days</v>
      </c>
    </row>
    <row r="1547" customFormat="false" ht="15" hidden="false" customHeight="false" outlineLevel="0" collapsed="false">
      <c r="A1547" s="21" t="s">
        <v>1613</v>
      </c>
      <c r="B1547" s="21" t="s">
        <v>19</v>
      </c>
      <c r="C1547" s="22" t="n">
        <v>43263</v>
      </c>
      <c r="D1547" s="22" t="n">
        <v>43274</v>
      </c>
      <c r="E1547" s="22" t="n">
        <v>43278</v>
      </c>
      <c r="F1547" s="21" t="s">
        <v>49</v>
      </c>
      <c r="G1547" s="23" t="n">
        <v>225.47</v>
      </c>
      <c r="H1547" s="23" t="n">
        <v>22.77</v>
      </c>
      <c r="I1547" s="21" t="s">
        <v>45</v>
      </c>
      <c r="J1547" s="21" t="n">
        <v>5</v>
      </c>
      <c r="K1547" s="21" t="s">
        <v>46</v>
      </c>
      <c r="L1547" s="24" t="n">
        <f aca="false">DATE(YEAR(C1547),MONTH(C1547),1)</f>
        <v>43252</v>
      </c>
      <c r="M1547" s="21" t="n">
        <f aca="false">D1547-C1547</f>
        <v>11</v>
      </c>
      <c r="N1547" s="21" t="n">
        <f aca="false">MAX(0,D1547-E1547)</f>
        <v>0</v>
      </c>
      <c r="O1547" s="21" t="n">
        <f aca="false">IF(D1547&lt;=E1547,1,0)</f>
        <v>1</v>
      </c>
      <c r="P1547" s="23" t="n">
        <f aca="false">G1547+H1547</f>
        <v>248.24</v>
      </c>
      <c r="Q1547" s="23" t="n">
        <f aca="false">G1547*INDEX(Assumptions!$B$8:$B$16,MATCH(F1547,Assumptions!$A$8:$A$16,0))</f>
        <v>130.7726</v>
      </c>
      <c r="R1547" s="23" t="n">
        <f aca="false">H1547*Assumptions!$B$3</f>
        <v>13.662</v>
      </c>
      <c r="S1547" s="23" t="n">
        <f aca="false">G1547-Q1547-R1547</f>
        <v>81.0354</v>
      </c>
      <c r="T1547" s="21" t="str">
        <f aca="false">IF(M1547&lt;=7,"0-7 days",IF(M1547&lt;=14,"8-14 days",IF(M1547&lt;=21,"15-21 days","22+ days")))</f>
        <v>8-14 days</v>
      </c>
    </row>
    <row r="1548" customFormat="false" ht="15" hidden="false" customHeight="false" outlineLevel="0" collapsed="false">
      <c r="A1548" s="21" t="s">
        <v>1614</v>
      </c>
      <c r="B1548" s="21" t="s">
        <v>19</v>
      </c>
      <c r="C1548" s="22" t="n">
        <v>43263</v>
      </c>
      <c r="D1548" s="22" t="n">
        <v>43272</v>
      </c>
      <c r="E1548" s="22" t="n">
        <v>43280</v>
      </c>
      <c r="F1548" s="21" t="s">
        <v>64</v>
      </c>
      <c r="G1548" s="23" t="n">
        <v>81.86</v>
      </c>
      <c r="H1548" s="23" t="n">
        <v>12.62</v>
      </c>
      <c r="I1548" s="21" t="s">
        <v>45</v>
      </c>
      <c r="J1548" s="21" t="n">
        <v>4</v>
      </c>
      <c r="K1548" s="21" t="s">
        <v>46</v>
      </c>
      <c r="L1548" s="24" t="n">
        <f aca="false">DATE(YEAR(C1548),MONTH(C1548),1)</f>
        <v>43252</v>
      </c>
      <c r="M1548" s="21" t="n">
        <f aca="false">D1548-C1548</f>
        <v>9</v>
      </c>
      <c r="N1548" s="21" t="n">
        <f aca="false">MAX(0,D1548-E1548)</f>
        <v>0</v>
      </c>
      <c r="O1548" s="21" t="n">
        <f aca="false">IF(D1548&lt;=E1548,1,0)</f>
        <v>1</v>
      </c>
      <c r="P1548" s="23" t="n">
        <f aca="false">G1548+H1548</f>
        <v>94.48</v>
      </c>
      <c r="Q1548" s="23" t="n">
        <f aca="false">G1548*INDEX(Assumptions!$B$8:$B$16,MATCH(F1548,Assumptions!$A$8:$A$16,0))</f>
        <v>54.0276</v>
      </c>
      <c r="R1548" s="23" t="n">
        <f aca="false">H1548*Assumptions!$B$3</f>
        <v>7.572</v>
      </c>
      <c r="S1548" s="23" t="n">
        <f aca="false">G1548-Q1548-R1548</f>
        <v>20.2604</v>
      </c>
      <c r="T1548" s="21" t="str">
        <f aca="false">IF(M1548&lt;=7,"0-7 days",IF(M1548&lt;=14,"8-14 days",IF(M1548&lt;=21,"15-21 days","22+ days")))</f>
        <v>8-14 days</v>
      </c>
    </row>
    <row r="1549" customFormat="false" ht="15" hidden="false" customHeight="false" outlineLevel="0" collapsed="false">
      <c r="A1549" s="21" t="s">
        <v>1615</v>
      </c>
      <c r="B1549" s="21" t="s">
        <v>19</v>
      </c>
      <c r="C1549" s="22" t="n">
        <v>43263</v>
      </c>
      <c r="D1549" s="22" t="n">
        <v>43274</v>
      </c>
      <c r="E1549" s="22" t="n">
        <v>43280</v>
      </c>
      <c r="F1549" s="21" t="s">
        <v>49</v>
      </c>
      <c r="G1549" s="23" t="n">
        <v>54.58</v>
      </c>
      <c r="H1549" s="23" t="n">
        <v>18.67</v>
      </c>
      <c r="I1549" s="21" t="s">
        <v>60</v>
      </c>
      <c r="J1549" s="21" t="n">
        <v>5</v>
      </c>
      <c r="K1549" s="21" t="s">
        <v>46</v>
      </c>
      <c r="L1549" s="24" t="n">
        <f aca="false">DATE(YEAR(C1549),MONTH(C1549),1)</f>
        <v>43252</v>
      </c>
      <c r="M1549" s="21" t="n">
        <f aca="false">D1549-C1549</f>
        <v>11</v>
      </c>
      <c r="N1549" s="21" t="n">
        <f aca="false">MAX(0,D1549-E1549)</f>
        <v>0</v>
      </c>
      <c r="O1549" s="21" t="n">
        <f aca="false">IF(D1549&lt;=E1549,1,0)</f>
        <v>1</v>
      </c>
      <c r="P1549" s="23" t="n">
        <f aca="false">G1549+H1549</f>
        <v>73.25</v>
      </c>
      <c r="Q1549" s="23" t="n">
        <f aca="false">G1549*INDEX(Assumptions!$B$8:$B$16,MATCH(F1549,Assumptions!$A$8:$A$16,0))</f>
        <v>31.6564</v>
      </c>
      <c r="R1549" s="23" t="n">
        <f aca="false">H1549*Assumptions!$B$3</f>
        <v>11.202</v>
      </c>
      <c r="S1549" s="23" t="n">
        <f aca="false">G1549-Q1549-R1549</f>
        <v>11.7216</v>
      </c>
      <c r="T1549" s="21" t="str">
        <f aca="false">IF(M1549&lt;=7,"0-7 days",IF(M1549&lt;=14,"8-14 days",IF(M1549&lt;=21,"15-21 days","22+ days")))</f>
        <v>8-14 days</v>
      </c>
    </row>
    <row r="1550" customFormat="false" ht="15" hidden="false" customHeight="false" outlineLevel="0" collapsed="false">
      <c r="A1550" s="21" t="s">
        <v>1616</v>
      </c>
      <c r="B1550" s="21" t="s">
        <v>19</v>
      </c>
      <c r="C1550" s="22" t="n">
        <v>43264</v>
      </c>
      <c r="D1550" s="22" t="n">
        <v>43267</v>
      </c>
      <c r="E1550" s="22" t="n">
        <v>43280</v>
      </c>
      <c r="F1550" s="21" t="s">
        <v>57</v>
      </c>
      <c r="G1550" s="23" t="n">
        <v>62.49</v>
      </c>
      <c r="H1550" s="23" t="n">
        <v>18.53</v>
      </c>
      <c r="I1550" s="21" t="s">
        <v>45</v>
      </c>
      <c r="J1550" s="21" t="n">
        <v>5</v>
      </c>
      <c r="K1550" s="21" t="s">
        <v>46</v>
      </c>
      <c r="L1550" s="24" t="n">
        <f aca="false">DATE(YEAR(C1550),MONTH(C1550),1)</f>
        <v>43252</v>
      </c>
      <c r="M1550" s="21" t="n">
        <f aca="false">D1550-C1550</f>
        <v>3</v>
      </c>
      <c r="N1550" s="21" t="n">
        <f aca="false">MAX(0,D1550-E1550)</f>
        <v>0</v>
      </c>
      <c r="O1550" s="21" t="n">
        <f aca="false">IF(D1550&lt;=E1550,1,0)</f>
        <v>1</v>
      </c>
      <c r="P1550" s="23" t="n">
        <f aca="false">G1550+H1550</f>
        <v>81.02</v>
      </c>
      <c r="Q1550" s="23" t="n">
        <f aca="false">G1550*INDEX(Assumptions!$B$8:$B$16,MATCH(F1550,Assumptions!$A$8:$A$16,0))</f>
        <v>42.4932</v>
      </c>
      <c r="R1550" s="23" t="n">
        <f aca="false">H1550*Assumptions!$B$3</f>
        <v>11.118</v>
      </c>
      <c r="S1550" s="23" t="n">
        <f aca="false">G1550-Q1550-R1550</f>
        <v>8.8788</v>
      </c>
      <c r="T1550" s="21" t="str">
        <f aca="false">IF(M1550&lt;=7,"0-7 days",IF(M1550&lt;=14,"8-14 days",IF(M1550&lt;=21,"15-21 days","22+ days")))</f>
        <v>0-7 days</v>
      </c>
    </row>
    <row r="1551" customFormat="false" ht="15" hidden="false" customHeight="false" outlineLevel="0" collapsed="false">
      <c r="A1551" s="21" t="s">
        <v>1617</v>
      </c>
      <c r="B1551" s="21" t="s">
        <v>48</v>
      </c>
      <c r="C1551" s="22" t="n">
        <v>43264</v>
      </c>
      <c r="D1551" s="22" t="n">
        <v>43274</v>
      </c>
      <c r="E1551" s="22" t="n">
        <v>43282</v>
      </c>
      <c r="F1551" s="21" t="s">
        <v>111</v>
      </c>
      <c r="G1551" s="23" t="n">
        <v>38.92</v>
      </c>
      <c r="H1551" s="23" t="n">
        <v>27.56</v>
      </c>
      <c r="I1551" s="21" t="s">
        <v>45</v>
      </c>
      <c r="J1551" s="21" t="n">
        <v>3</v>
      </c>
      <c r="K1551" s="21" t="s">
        <v>46</v>
      </c>
      <c r="L1551" s="24" t="n">
        <f aca="false">DATE(YEAR(C1551),MONTH(C1551),1)</f>
        <v>43252</v>
      </c>
      <c r="M1551" s="21" t="n">
        <f aca="false">D1551-C1551</f>
        <v>10</v>
      </c>
      <c r="N1551" s="21" t="n">
        <f aca="false">MAX(0,D1551-E1551)</f>
        <v>0</v>
      </c>
      <c r="O1551" s="21" t="n">
        <f aca="false">IF(D1551&lt;=E1551,1,0)</f>
        <v>1</v>
      </c>
      <c r="P1551" s="23" t="n">
        <f aca="false">G1551+H1551</f>
        <v>66.48</v>
      </c>
      <c r="Q1551" s="23" t="n">
        <f aca="false">G1551*INDEX(Assumptions!$B$8:$B$16,MATCH(F1551,Assumptions!$A$8:$A$16,0))</f>
        <v>24.5196</v>
      </c>
      <c r="R1551" s="23" t="n">
        <f aca="false">H1551*Assumptions!$B$3</f>
        <v>16.536</v>
      </c>
      <c r="S1551" s="23" t="n">
        <f aca="false">G1551-Q1551-R1551</f>
        <v>-2.1356</v>
      </c>
      <c r="T1551" s="21" t="str">
        <f aca="false">IF(M1551&lt;=7,"0-7 days",IF(M1551&lt;=14,"8-14 days",IF(M1551&lt;=21,"15-21 days","22+ days")))</f>
        <v>8-14 days</v>
      </c>
    </row>
    <row r="1552" customFormat="false" ht="15" hidden="false" customHeight="false" outlineLevel="0" collapsed="false">
      <c r="A1552" s="21" t="s">
        <v>1618</v>
      </c>
      <c r="B1552" s="21" t="s">
        <v>134</v>
      </c>
      <c r="C1552" s="22" t="n">
        <v>43264</v>
      </c>
      <c r="D1552" s="22" t="n">
        <v>43279</v>
      </c>
      <c r="E1552" s="22" t="n">
        <v>43288</v>
      </c>
      <c r="F1552" s="21" t="s">
        <v>79</v>
      </c>
      <c r="G1552" s="23" t="n">
        <v>123.87</v>
      </c>
      <c r="H1552" s="23" t="n">
        <v>17.61</v>
      </c>
      <c r="I1552" s="21" t="s">
        <v>45</v>
      </c>
      <c r="J1552" s="21" t="n">
        <v>4</v>
      </c>
      <c r="K1552" s="21" t="s">
        <v>46</v>
      </c>
      <c r="L1552" s="24" t="n">
        <f aca="false">DATE(YEAR(C1552),MONTH(C1552),1)</f>
        <v>43252</v>
      </c>
      <c r="M1552" s="21" t="n">
        <f aca="false">D1552-C1552</f>
        <v>15</v>
      </c>
      <c r="N1552" s="21" t="n">
        <f aca="false">MAX(0,D1552-E1552)</f>
        <v>0</v>
      </c>
      <c r="O1552" s="21" t="n">
        <f aca="false">IF(D1552&lt;=E1552,1,0)</f>
        <v>1</v>
      </c>
      <c r="P1552" s="23" t="n">
        <f aca="false">G1552+H1552</f>
        <v>141.48</v>
      </c>
      <c r="Q1552" s="23" t="n">
        <f aca="false">G1552*INDEX(Assumptions!$B$8:$B$16,MATCH(F1552,Assumptions!$A$8:$A$16,0))</f>
        <v>86.709</v>
      </c>
      <c r="R1552" s="23" t="n">
        <f aca="false">H1552*Assumptions!$B$3</f>
        <v>10.566</v>
      </c>
      <c r="S1552" s="23" t="n">
        <f aca="false">G1552-Q1552-R1552</f>
        <v>26.595</v>
      </c>
      <c r="T1552" s="21" t="str">
        <f aca="false">IF(M1552&lt;=7,"0-7 days",IF(M1552&lt;=14,"8-14 days",IF(M1552&lt;=21,"15-21 days","22+ days")))</f>
        <v>15-21 days</v>
      </c>
    </row>
    <row r="1553" customFormat="false" ht="15" hidden="false" customHeight="false" outlineLevel="0" collapsed="false">
      <c r="A1553" s="21" t="s">
        <v>1619</v>
      </c>
      <c r="B1553" s="21" t="s">
        <v>19</v>
      </c>
      <c r="C1553" s="22" t="n">
        <v>43264</v>
      </c>
      <c r="D1553" s="22" t="n">
        <v>43278</v>
      </c>
      <c r="E1553" s="22" t="n">
        <v>43278</v>
      </c>
      <c r="F1553" s="21" t="s">
        <v>67</v>
      </c>
      <c r="G1553" s="23" t="n">
        <v>55.56</v>
      </c>
      <c r="H1553" s="23" t="n">
        <v>16.28</v>
      </c>
      <c r="I1553" s="21" t="s">
        <v>45</v>
      </c>
      <c r="J1553" s="21" t="n">
        <v>5</v>
      </c>
      <c r="K1553" s="21" t="s">
        <v>46</v>
      </c>
      <c r="L1553" s="24" t="n">
        <f aca="false">DATE(YEAR(C1553),MONTH(C1553),1)</f>
        <v>43252</v>
      </c>
      <c r="M1553" s="21" t="n">
        <f aca="false">D1553-C1553</f>
        <v>14</v>
      </c>
      <c r="N1553" s="21" t="n">
        <f aca="false">MAX(0,D1553-E1553)</f>
        <v>0</v>
      </c>
      <c r="O1553" s="21" t="n">
        <f aca="false">IF(D1553&lt;=E1553,1,0)</f>
        <v>1</v>
      </c>
      <c r="P1553" s="23" t="n">
        <f aca="false">G1553+H1553</f>
        <v>71.84</v>
      </c>
      <c r="Q1553" s="23" t="n">
        <f aca="false">G1553*INDEX(Assumptions!$B$8:$B$16,MATCH(F1553,Assumptions!$A$8:$A$16,0))</f>
        <v>34.4472</v>
      </c>
      <c r="R1553" s="23" t="n">
        <f aca="false">H1553*Assumptions!$B$3</f>
        <v>9.768</v>
      </c>
      <c r="S1553" s="23" t="n">
        <f aca="false">G1553-Q1553-R1553</f>
        <v>11.3448</v>
      </c>
      <c r="T1553" s="21" t="str">
        <f aca="false">IF(M1553&lt;=7,"0-7 days",IF(M1553&lt;=14,"8-14 days",IF(M1553&lt;=21,"15-21 days","22+ days")))</f>
        <v>8-14 days</v>
      </c>
    </row>
    <row r="1554" customFormat="false" ht="15" hidden="false" customHeight="false" outlineLevel="0" collapsed="false">
      <c r="A1554" s="21" t="s">
        <v>1620</v>
      </c>
      <c r="B1554" s="21" t="s">
        <v>62</v>
      </c>
      <c r="C1554" s="22" t="n">
        <v>43264</v>
      </c>
      <c r="D1554" s="22" t="n">
        <v>43276</v>
      </c>
      <c r="E1554" s="22" t="n">
        <v>43282</v>
      </c>
      <c r="F1554" s="21" t="s">
        <v>64</v>
      </c>
      <c r="G1554" s="23" t="n">
        <v>116.79</v>
      </c>
      <c r="H1554" s="23" t="n">
        <v>24.74</v>
      </c>
      <c r="I1554" s="21" t="s">
        <v>45</v>
      </c>
      <c r="J1554" s="21" t="n">
        <v>4</v>
      </c>
      <c r="K1554" s="21" t="s">
        <v>46</v>
      </c>
      <c r="L1554" s="24" t="n">
        <f aca="false">DATE(YEAR(C1554),MONTH(C1554),1)</f>
        <v>43252</v>
      </c>
      <c r="M1554" s="21" t="n">
        <f aca="false">D1554-C1554</f>
        <v>12</v>
      </c>
      <c r="N1554" s="21" t="n">
        <f aca="false">MAX(0,D1554-E1554)</f>
        <v>0</v>
      </c>
      <c r="O1554" s="21" t="n">
        <f aca="false">IF(D1554&lt;=E1554,1,0)</f>
        <v>1</v>
      </c>
      <c r="P1554" s="23" t="n">
        <f aca="false">G1554+H1554</f>
        <v>141.53</v>
      </c>
      <c r="Q1554" s="23" t="n">
        <f aca="false">G1554*INDEX(Assumptions!$B$8:$B$16,MATCH(F1554,Assumptions!$A$8:$A$16,0))</f>
        <v>77.0814</v>
      </c>
      <c r="R1554" s="23" t="n">
        <f aca="false">H1554*Assumptions!$B$3</f>
        <v>14.844</v>
      </c>
      <c r="S1554" s="23" t="n">
        <f aca="false">G1554-Q1554-R1554</f>
        <v>24.8646</v>
      </c>
      <c r="T1554" s="21" t="str">
        <f aca="false">IF(M1554&lt;=7,"0-7 days",IF(M1554&lt;=14,"8-14 days",IF(M1554&lt;=21,"15-21 days","22+ days")))</f>
        <v>8-14 days</v>
      </c>
    </row>
    <row r="1555" customFormat="false" ht="15" hidden="false" customHeight="false" outlineLevel="0" collapsed="false">
      <c r="A1555" s="21" t="s">
        <v>1621</v>
      </c>
      <c r="B1555" s="21" t="s">
        <v>62</v>
      </c>
      <c r="C1555" s="22" t="n">
        <v>43265</v>
      </c>
      <c r="D1555" s="22" t="n">
        <v>43271</v>
      </c>
      <c r="E1555" s="22" t="n">
        <v>43287</v>
      </c>
      <c r="F1555" s="21" t="s">
        <v>49</v>
      </c>
      <c r="G1555" s="23" t="n">
        <v>74.03</v>
      </c>
      <c r="H1555" s="23" t="n">
        <v>24.41</v>
      </c>
      <c r="I1555" s="21" t="s">
        <v>45</v>
      </c>
      <c r="J1555" s="21" t="n">
        <v>5</v>
      </c>
      <c r="K1555" s="21" t="s">
        <v>46</v>
      </c>
      <c r="L1555" s="24" t="n">
        <f aca="false">DATE(YEAR(C1555),MONTH(C1555),1)</f>
        <v>43252</v>
      </c>
      <c r="M1555" s="21" t="n">
        <f aca="false">D1555-C1555</f>
        <v>6</v>
      </c>
      <c r="N1555" s="21" t="n">
        <f aca="false">MAX(0,D1555-E1555)</f>
        <v>0</v>
      </c>
      <c r="O1555" s="21" t="n">
        <f aca="false">IF(D1555&lt;=E1555,1,0)</f>
        <v>1</v>
      </c>
      <c r="P1555" s="23" t="n">
        <f aca="false">G1555+H1555</f>
        <v>98.44</v>
      </c>
      <c r="Q1555" s="23" t="n">
        <f aca="false">G1555*INDEX(Assumptions!$B$8:$B$16,MATCH(F1555,Assumptions!$A$8:$A$16,0))</f>
        <v>42.9374</v>
      </c>
      <c r="R1555" s="23" t="n">
        <f aca="false">H1555*Assumptions!$B$3</f>
        <v>14.646</v>
      </c>
      <c r="S1555" s="23" t="n">
        <f aca="false">G1555-Q1555-R1555</f>
        <v>16.4466</v>
      </c>
      <c r="T1555" s="21" t="str">
        <f aca="false">IF(M1555&lt;=7,"0-7 days",IF(M1555&lt;=14,"8-14 days",IF(M1555&lt;=21,"15-21 days","22+ days")))</f>
        <v>0-7 days</v>
      </c>
    </row>
    <row r="1556" customFormat="false" ht="15" hidden="false" customHeight="false" outlineLevel="0" collapsed="false">
      <c r="A1556" s="21" t="s">
        <v>1622</v>
      </c>
      <c r="B1556" s="21" t="s">
        <v>19</v>
      </c>
      <c r="C1556" s="22" t="n">
        <v>43265</v>
      </c>
      <c r="D1556" s="22" t="n">
        <v>43273</v>
      </c>
      <c r="E1556" s="22" t="n">
        <v>43279</v>
      </c>
      <c r="F1556" s="21" t="s">
        <v>67</v>
      </c>
      <c r="G1556" s="23" t="n">
        <v>82.21</v>
      </c>
      <c r="H1556" s="23" t="n">
        <v>21.76</v>
      </c>
      <c r="I1556" s="21" t="s">
        <v>45</v>
      </c>
      <c r="J1556" s="21" t="n">
        <v>4</v>
      </c>
      <c r="K1556" s="21" t="s">
        <v>46</v>
      </c>
      <c r="L1556" s="24" t="n">
        <f aca="false">DATE(YEAR(C1556),MONTH(C1556),1)</f>
        <v>43252</v>
      </c>
      <c r="M1556" s="21" t="n">
        <f aca="false">D1556-C1556</f>
        <v>8</v>
      </c>
      <c r="N1556" s="21" t="n">
        <f aca="false">MAX(0,D1556-E1556)</f>
        <v>0</v>
      </c>
      <c r="O1556" s="21" t="n">
        <f aca="false">IF(D1556&lt;=E1556,1,0)</f>
        <v>1</v>
      </c>
      <c r="P1556" s="23" t="n">
        <f aca="false">G1556+H1556</f>
        <v>103.97</v>
      </c>
      <c r="Q1556" s="23" t="n">
        <f aca="false">G1556*INDEX(Assumptions!$B$8:$B$16,MATCH(F1556,Assumptions!$A$8:$A$16,0))</f>
        <v>50.9702</v>
      </c>
      <c r="R1556" s="23" t="n">
        <f aca="false">H1556*Assumptions!$B$3</f>
        <v>13.056</v>
      </c>
      <c r="S1556" s="23" t="n">
        <f aca="false">G1556-Q1556-R1556</f>
        <v>18.1838</v>
      </c>
      <c r="T1556" s="21" t="str">
        <f aca="false">IF(M1556&lt;=7,"0-7 days",IF(M1556&lt;=14,"8-14 days",IF(M1556&lt;=21,"15-21 days","22+ days")))</f>
        <v>8-14 days</v>
      </c>
    </row>
    <row r="1557" customFormat="false" ht="15" hidden="false" customHeight="false" outlineLevel="0" collapsed="false">
      <c r="A1557" s="21" t="s">
        <v>1623</v>
      </c>
      <c r="B1557" s="21" t="s">
        <v>55</v>
      </c>
      <c r="C1557" s="22" t="n">
        <v>43265</v>
      </c>
      <c r="D1557" s="22" t="n">
        <v>43278</v>
      </c>
      <c r="E1557" s="22" t="n">
        <v>43288</v>
      </c>
      <c r="F1557" s="21" t="s">
        <v>53</v>
      </c>
      <c r="G1557" s="23" t="n">
        <v>63.1</v>
      </c>
      <c r="H1557" s="23" t="n">
        <v>30.01</v>
      </c>
      <c r="I1557" s="21" t="s">
        <v>45</v>
      </c>
      <c r="J1557" s="21" t="n">
        <v>5</v>
      </c>
      <c r="K1557" s="21" t="s">
        <v>46</v>
      </c>
      <c r="L1557" s="24" t="n">
        <f aca="false">DATE(YEAR(C1557),MONTH(C1557),1)</f>
        <v>43252</v>
      </c>
      <c r="M1557" s="21" t="n">
        <f aca="false">D1557-C1557</f>
        <v>13</v>
      </c>
      <c r="N1557" s="21" t="n">
        <f aca="false">MAX(0,D1557-E1557)</f>
        <v>0</v>
      </c>
      <c r="O1557" s="21" t="n">
        <f aca="false">IF(D1557&lt;=E1557,1,0)</f>
        <v>1</v>
      </c>
      <c r="P1557" s="23" t="n">
        <f aca="false">G1557+H1557</f>
        <v>93.11</v>
      </c>
      <c r="Q1557" s="23" t="n">
        <f aca="false">G1557*INDEX(Assumptions!$B$8:$B$16,MATCH(F1557,Assumptions!$A$8:$A$16,0))</f>
        <v>46.694</v>
      </c>
      <c r="R1557" s="23" t="n">
        <f aca="false">H1557*Assumptions!$B$3</f>
        <v>18.006</v>
      </c>
      <c r="S1557" s="23" t="n">
        <f aca="false">G1557-Q1557-R1557</f>
        <v>-1.6</v>
      </c>
      <c r="T1557" s="21" t="str">
        <f aca="false">IF(M1557&lt;=7,"0-7 days",IF(M1557&lt;=14,"8-14 days",IF(M1557&lt;=21,"15-21 days","22+ days")))</f>
        <v>8-14 days</v>
      </c>
    </row>
    <row r="1558" customFormat="false" ht="15" hidden="false" customHeight="false" outlineLevel="0" collapsed="false">
      <c r="A1558" s="21" t="s">
        <v>1624</v>
      </c>
      <c r="B1558" s="21" t="s">
        <v>48</v>
      </c>
      <c r="C1558" s="22" t="n">
        <v>43265</v>
      </c>
      <c r="D1558" s="22" t="n">
        <v>43276</v>
      </c>
      <c r="E1558" s="22" t="n">
        <v>43284</v>
      </c>
      <c r="F1558" s="21" t="s">
        <v>64</v>
      </c>
      <c r="G1558" s="23" t="n">
        <v>184.16</v>
      </c>
      <c r="H1558" s="23" t="n">
        <v>23.12</v>
      </c>
      <c r="I1558" s="21" t="s">
        <v>45</v>
      </c>
      <c r="J1558" s="21" t="n">
        <v>4</v>
      </c>
      <c r="K1558" s="21" t="s">
        <v>46</v>
      </c>
      <c r="L1558" s="24" t="n">
        <f aca="false">DATE(YEAR(C1558),MONTH(C1558),1)</f>
        <v>43252</v>
      </c>
      <c r="M1558" s="21" t="n">
        <f aca="false">D1558-C1558</f>
        <v>11</v>
      </c>
      <c r="N1558" s="21" t="n">
        <f aca="false">MAX(0,D1558-E1558)</f>
        <v>0</v>
      </c>
      <c r="O1558" s="21" t="n">
        <f aca="false">IF(D1558&lt;=E1558,1,0)</f>
        <v>1</v>
      </c>
      <c r="P1558" s="23" t="n">
        <f aca="false">G1558+H1558</f>
        <v>207.28</v>
      </c>
      <c r="Q1558" s="23" t="n">
        <f aca="false">G1558*INDEX(Assumptions!$B$8:$B$16,MATCH(F1558,Assumptions!$A$8:$A$16,0))</f>
        <v>121.5456</v>
      </c>
      <c r="R1558" s="23" t="n">
        <f aca="false">H1558*Assumptions!$B$3</f>
        <v>13.872</v>
      </c>
      <c r="S1558" s="23" t="n">
        <f aca="false">G1558-Q1558-R1558</f>
        <v>48.7424</v>
      </c>
      <c r="T1558" s="21" t="str">
        <f aca="false">IF(M1558&lt;=7,"0-7 days",IF(M1558&lt;=14,"8-14 days",IF(M1558&lt;=21,"15-21 days","22+ days")))</f>
        <v>8-14 days</v>
      </c>
    </row>
    <row r="1559" customFormat="false" ht="15" hidden="false" customHeight="false" outlineLevel="0" collapsed="false">
      <c r="A1559" s="21" t="s">
        <v>1625</v>
      </c>
      <c r="B1559" s="21" t="s">
        <v>103</v>
      </c>
      <c r="C1559" s="22" t="n">
        <v>43265</v>
      </c>
      <c r="D1559" s="22" t="n">
        <v>43278</v>
      </c>
      <c r="E1559" s="22" t="n">
        <v>43286</v>
      </c>
      <c r="F1559" s="21" t="s">
        <v>49</v>
      </c>
      <c r="G1559" s="23" t="n">
        <v>212.37</v>
      </c>
      <c r="H1559" s="23" t="n">
        <v>31.76</v>
      </c>
      <c r="I1559" s="21" t="s">
        <v>45</v>
      </c>
      <c r="J1559" s="21" t="n">
        <v>5</v>
      </c>
      <c r="K1559" s="21" t="s">
        <v>46</v>
      </c>
      <c r="L1559" s="24" t="n">
        <f aca="false">DATE(YEAR(C1559),MONTH(C1559),1)</f>
        <v>43252</v>
      </c>
      <c r="M1559" s="21" t="n">
        <f aca="false">D1559-C1559</f>
        <v>13</v>
      </c>
      <c r="N1559" s="21" t="n">
        <f aca="false">MAX(0,D1559-E1559)</f>
        <v>0</v>
      </c>
      <c r="O1559" s="21" t="n">
        <f aca="false">IF(D1559&lt;=E1559,1,0)</f>
        <v>1</v>
      </c>
      <c r="P1559" s="23" t="n">
        <f aca="false">G1559+H1559</f>
        <v>244.13</v>
      </c>
      <c r="Q1559" s="23" t="n">
        <f aca="false">G1559*INDEX(Assumptions!$B$8:$B$16,MATCH(F1559,Assumptions!$A$8:$A$16,0))</f>
        <v>123.1746</v>
      </c>
      <c r="R1559" s="23" t="n">
        <f aca="false">H1559*Assumptions!$B$3</f>
        <v>19.056</v>
      </c>
      <c r="S1559" s="23" t="n">
        <f aca="false">G1559-Q1559-R1559</f>
        <v>70.1394</v>
      </c>
      <c r="T1559" s="21" t="str">
        <f aca="false">IF(M1559&lt;=7,"0-7 days",IF(M1559&lt;=14,"8-14 days",IF(M1559&lt;=21,"15-21 days","22+ days")))</f>
        <v>8-14 days</v>
      </c>
    </row>
    <row r="1560" customFormat="false" ht="15" hidden="false" customHeight="false" outlineLevel="0" collapsed="false">
      <c r="A1560" s="21" t="s">
        <v>1626</v>
      </c>
      <c r="B1560" s="21" t="s">
        <v>19</v>
      </c>
      <c r="C1560" s="22" t="n">
        <v>43265</v>
      </c>
      <c r="D1560" s="22" t="n">
        <v>43280</v>
      </c>
      <c r="E1560" s="22" t="n">
        <v>43278</v>
      </c>
      <c r="F1560" s="21" t="s">
        <v>49</v>
      </c>
      <c r="G1560" s="23" t="n">
        <v>50.28</v>
      </c>
      <c r="H1560" s="23" t="n">
        <v>20.68</v>
      </c>
      <c r="I1560" s="21" t="s">
        <v>50</v>
      </c>
      <c r="J1560" s="21" t="n">
        <v>4</v>
      </c>
      <c r="K1560" s="21" t="s">
        <v>46</v>
      </c>
      <c r="L1560" s="24" t="n">
        <f aca="false">DATE(YEAR(C1560),MONTH(C1560),1)</f>
        <v>43252</v>
      </c>
      <c r="M1560" s="21" t="n">
        <f aca="false">D1560-C1560</f>
        <v>15</v>
      </c>
      <c r="N1560" s="21" t="n">
        <f aca="false">MAX(0,D1560-E1560)</f>
        <v>2</v>
      </c>
      <c r="O1560" s="21" t="n">
        <f aca="false">IF(D1560&lt;=E1560,1,0)</f>
        <v>0</v>
      </c>
      <c r="P1560" s="23" t="n">
        <f aca="false">G1560+H1560</f>
        <v>70.96</v>
      </c>
      <c r="Q1560" s="23" t="n">
        <f aca="false">G1560*INDEX(Assumptions!$B$8:$B$16,MATCH(F1560,Assumptions!$A$8:$A$16,0))</f>
        <v>29.1624</v>
      </c>
      <c r="R1560" s="23" t="n">
        <f aca="false">H1560*Assumptions!$B$3</f>
        <v>12.408</v>
      </c>
      <c r="S1560" s="23" t="n">
        <f aca="false">G1560-Q1560-R1560</f>
        <v>8.7096</v>
      </c>
      <c r="T1560" s="21" t="str">
        <f aca="false">IF(M1560&lt;=7,"0-7 days",IF(M1560&lt;=14,"8-14 days",IF(M1560&lt;=21,"15-21 days","22+ days")))</f>
        <v>15-21 days</v>
      </c>
    </row>
    <row r="1561" customFormat="false" ht="15" hidden="false" customHeight="false" outlineLevel="0" collapsed="false">
      <c r="A1561" s="21" t="s">
        <v>1627</v>
      </c>
      <c r="B1561" s="21" t="s">
        <v>48</v>
      </c>
      <c r="C1561" s="22" t="n">
        <v>43266</v>
      </c>
      <c r="D1561" s="22" t="n">
        <v>43278</v>
      </c>
      <c r="E1561" s="22" t="n">
        <v>43287</v>
      </c>
      <c r="F1561" s="21" t="s">
        <v>59</v>
      </c>
      <c r="G1561" s="23" t="n">
        <v>66.59</v>
      </c>
      <c r="H1561" s="23" t="n">
        <v>18.68</v>
      </c>
      <c r="I1561" s="21" t="s">
        <v>45</v>
      </c>
      <c r="J1561" s="21" t="n">
        <v>3</v>
      </c>
      <c r="K1561" s="21" t="s">
        <v>46</v>
      </c>
      <c r="L1561" s="24" t="n">
        <f aca="false">DATE(YEAR(C1561),MONTH(C1561),1)</f>
        <v>43252</v>
      </c>
      <c r="M1561" s="21" t="n">
        <f aca="false">D1561-C1561</f>
        <v>12</v>
      </c>
      <c r="N1561" s="21" t="n">
        <f aca="false">MAX(0,D1561-E1561)</f>
        <v>0</v>
      </c>
      <c r="O1561" s="21" t="n">
        <f aca="false">IF(D1561&lt;=E1561,1,0)</f>
        <v>1</v>
      </c>
      <c r="P1561" s="23" t="n">
        <f aca="false">G1561+H1561</f>
        <v>85.27</v>
      </c>
      <c r="Q1561" s="23" t="n">
        <f aca="false">G1561*INDEX(Assumptions!$B$8:$B$16,MATCH(F1561,Assumptions!$A$8:$A$16,0))</f>
        <v>42.6176</v>
      </c>
      <c r="R1561" s="23" t="n">
        <f aca="false">H1561*Assumptions!$B$3</f>
        <v>11.208</v>
      </c>
      <c r="S1561" s="23" t="n">
        <f aca="false">G1561-Q1561-R1561</f>
        <v>12.7644</v>
      </c>
      <c r="T1561" s="21" t="str">
        <f aca="false">IF(M1561&lt;=7,"0-7 days",IF(M1561&lt;=14,"8-14 days",IF(M1561&lt;=21,"15-21 days","22+ days")))</f>
        <v>8-14 days</v>
      </c>
    </row>
    <row r="1562" customFormat="false" ht="15" hidden="false" customHeight="false" outlineLevel="0" collapsed="false">
      <c r="A1562" s="21" t="s">
        <v>1628</v>
      </c>
      <c r="B1562" s="21" t="s">
        <v>19</v>
      </c>
      <c r="C1562" s="22" t="n">
        <v>43266</v>
      </c>
      <c r="D1562" s="22" t="n">
        <v>43279</v>
      </c>
      <c r="E1562" s="22" t="n">
        <v>43283</v>
      </c>
      <c r="F1562" s="21" t="s">
        <v>67</v>
      </c>
      <c r="G1562" s="23" t="n">
        <v>55.47</v>
      </c>
      <c r="H1562" s="23" t="n">
        <v>20.57</v>
      </c>
      <c r="I1562" s="21" t="s">
        <v>45</v>
      </c>
      <c r="J1562" s="21" t="n">
        <v>5</v>
      </c>
      <c r="K1562" s="21" t="s">
        <v>46</v>
      </c>
      <c r="L1562" s="24" t="n">
        <f aca="false">DATE(YEAR(C1562),MONTH(C1562),1)</f>
        <v>43252</v>
      </c>
      <c r="M1562" s="21" t="n">
        <f aca="false">D1562-C1562</f>
        <v>13</v>
      </c>
      <c r="N1562" s="21" t="n">
        <f aca="false">MAX(0,D1562-E1562)</f>
        <v>0</v>
      </c>
      <c r="O1562" s="21" t="n">
        <f aca="false">IF(D1562&lt;=E1562,1,0)</f>
        <v>1</v>
      </c>
      <c r="P1562" s="23" t="n">
        <f aca="false">G1562+H1562</f>
        <v>76.04</v>
      </c>
      <c r="Q1562" s="23" t="n">
        <f aca="false">G1562*INDEX(Assumptions!$B$8:$B$16,MATCH(F1562,Assumptions!$A$8:$A$16,0))</f>
        <v>34.3914</v>
      </c>
      <c r="R1562" s="23" t="n">
        <f aca="false">H1562*Assumptions!$B$3</f>
        <v>12.342</v>
      </c>
      <c r="S1562" s="23" t="n">
        <f aca="false">G1562-Q1562-R1562</f>
        <v>8.7366</v>
      </c>
      <c r="T1562" s="21" t="str">
        <f aca="false">IF(M1562&lt;=7,"0-7 days",IF(M1562&lt;=14,"8-14 days",IF(M1562&lt;=21,"15-21 days","22+ days")))</f>
        <v>8-14 days</v>
      </c>
    </row>
    <row r="1563" customFormat="false" ht="15" hidden="false" customHeight="false" outlineLevel="0" collapsed="false">
      <c r="A1563" s="21" t="s">
        <v>1629</v>
      </c>
      <c r="B1563" s="21" t="s">
        <v>19</v>
      </c>
      <c r="C1563" s="22" t="n">
        <v>43266</v>
      </c>
      <c r="D1563" s="22" t="n">
        <v>43269</v>
      </c>
      <c r="E1563" s="22" t="n">
        <v>43282</v>
      </c>
      <c r="F1563" s="21" t="s">
        <v>53</v>
      </c>
      <c r="G1563" s="23" t="n">
        <v>101.19</v>
      </c>
      <c r="H1563" s="23" t="n">
        <v>13.69</v>
      </c>
      <c r="I1563" s="21" t="s">
        <v>45</v>
      </c>
      <c r="J1563" s="21" t="n">
        <v>3</v>
      </c>
      <c r="K1563" s="21" t="s">
        <v>46</v>
      </c>
      <c r="L1563" s="24" t="n">
        <f aca="false">DATE(YEAR(C1563),MONTH(C1563),1)</f>
        <v>43252</v>
      </c>
      <c r="M1563" s="21" t="n">
        <f aca="false">D1563-C1563</f>
        <v>3</v>
      </c>
      <c r="N1563" s="21" t="n">
        <f aca="false">MAX(0,D1563-E1563)</f>
        <v>0</v>
      </c>
      <c r="O1563" s="21" t="n">
        <f aca="false">IF(D1563&lt;=E1563,1,0)</f>
        <v>1</v>
      </c>
      <c r="P1563" s="23" t="n">
        <f aca="false">G1563+H1563</f>
        <v>114.88</v>
      </c>
      <c r="Q1563" s="23" t="n">
        <f aca="false">G1563*INDEX(Assumptions!$B$8:$B$16,MATCH(F1563,Assumptions!$A$8:$A$16,0))</f>
        <v>74.8806</v>
      </c>
      <c r="R1563" s="23" t="n">
        <f aca="false">H1563*Assumptions!$B$3</f>
        <v>8.214</v>
      </c>
      <c r="S1563" s="23" t="n">
        <f aca="false">G1563-Q1563-R1563</f>
        <v>18.0954</v>
      </c>
      <c r="T1563" s="21" t="str">
        <f aca="false">IF(M1563&lt;=7,"0-7 days",IF(M1563&lt;=14,"8-14 days",IF(M1563&lt;=21,"15-21 days","22+ days")))</f>
        <v>0-7 days</v>
      </c>
    </row>
    <row r="1564" customFormat="false" ht="15" hidden="false" customHeight="false" outlineLevel="0" collapsed="false">
      <c r="A1564" s="21" t="s">
        <v>1630</v>
      </c>
      <c r="B1564" s="21" t="s">
        <v>19</v>
      </c>
      <c r="C1564" s="22" t="n">
        <v>43266</v>
      </c>
      <c r="D1564" s="22" t="n">
        <v>43276</v>
      </c>
      <c r="E1564" s="22" t="n">
        <v>43279</v>
      </c>
      <c r="F1564" s="21" t="s">
        <v>111</v>
      </c>
      <c r="G1564" s="23" t="n">
        <v>41.29</v>
      </c>
      <c r="H1564" s="23" t="n">
        <v>15.21</v>
      </c>
      <c r="I1564" s="21" t="s">
        <v>45</v>
      </c>
      <c r="J1564" s="21" t="n">
        <v>5</v>
      </c>
      <c r="K1564" s="21" t="s">
        <v>46</v>
      </c>
      <c r="L1564" s="24" t="n">
        <f aca="false">DATE(YEAR(C1564),MONTH(C1564),1)</f>
        <v>43252</v>
      </c>
      <c r="M1564" s="21" t="n">
        <f aca="false">D1564-C1564</f>
        <v>10</v>
      </c>
      <c r="N1564" s="21" t="n">
        <f aca="false">MAX(0,D1564-E1564)</f>
        <v>0</v>
      </c>
      <c r="O1564" s="21" t="n">
        <f aca="false">IF(D1564&lt;=E1564,1,0)</f>
        <v>1</v>
      </c>
      <c r="P1564" s="23" t="n">
        <f aca="false">G1564+H1564</f>
        <v>56.5</v>
      </c>
      <c r="Q1564" s="23" t="n">
        <f aca="false">G1564*INDEX(Assumptions!$B$8:$B$16,MATCH(F1564,Assumptions!$A$8:$A$16,0))</f>
        <v>26.0127</v>
      </c>
      <c r="R1564" s="23" t="n">
        <f aca="false">H1564*Assumptions!$B$3</f>
        <v>9.126</v>
      </c>
      <c r="S1564" s="23" t="n">
        <f aca="false">G1564-Q1564-R1564</f>
        <v>6.1513</v>
      </c>
      <c r="T1564" s="21" t="str">
        <f aca="false">IF(M1564&lt;=7,"0-7 days",IF(M1564&lt;=14,"8-14 days",IF(M1564&lt;=21,"15-21 days","22+ days")))</f>
        <v>8-14 days</v>
      </c>
    </row>
    <row r="1565" customFormat="false" ht="15" hidden="false" customHeight="false" outlineLevel="0" collapsed="false">
      <c r="A1565" s="21" t="s">
        <v>1631</v>
      </c>
      <c r="B1565" s="21" t="s">
        <v>48</v>
      </c>
      <c r="C1565" s="22" t="n">
        <v>43266</v>
      </c>
      <c r="D1565" s="22" t="n">
        <v>43277</v>
      </c>
      <c r="E1565" s="22" t="n">
        <v>43286</v>
      </c>
      <c r="F1565" s="21" t="s">
        <v>53</v>
      </c>
      <c r="G1565" s="23" t="n">
        <v>179.02</v>
      </c>
      <c r="H1565" s="23" t="n">
        <v>29.37</v>
      </c>
      <c r="I1565" s="21" t="s">
        <v>45</v>
      </c>
      <c r="J1565" s="21" t="n">
        <v>5</v>
      </c>
      <c r="K1565" s="21" t="s">
        <v>46</v>
      </c>
      <c r="L1565" s="24" t="n">
        <f aca="false">DATE(YEAR(C1565),MONTH(C1565),1)</f>
        <v>43252</v>
      </c>
      <c r="M1565" s="21" t="n">
        <f aca="false">D1565-C1565</f>
        <v>11</v>
      </c>
      <c r="N1565" s="21" t="n">
        <f aca="false">MAX(0,D1565-E1565)</f>
        <v>0</v>
      </c>
      <c r="O1565" s="21" t="n">
        <f aca="false">IF(D1565&lt;=E1565,1,0)</f>
        <v>1</v>
      </c>
      <c r="P1565" s="23" t="n">
        <f aca="false">G1565+H1565</f>
        <v>208.39</v>
      </c>
      <c r="Q1565" s="23" t="n">
        <f aca="false">G1565*INDEX(Assumptions!$B$8:$B$16,MATCH(F1565,Assumptions!$A$8:$A$16,0))</f>
        <v>132.4748</v>
      </c>
      <c r="R1565" s="23" t="n">
        <f aca="false">H1565*Assumptions!$B$3</f>
        <v>17.622</v>
      </c>
      <c r="S1565" s="23" t="n">
        <f aca="false">G1565-Q1565-R1565</f>
        <v>28.9232</v>
      </c>
      <c r="T1565" s="21" t="str">
        <f aca="false">IF(M1565&lt;=7,"0-7 days",IF(M1565&lt;=14,"8-14 days",IF(M1565&lt;=21,"15-21 days","22+ days")))</f>
        <v>8-14 days</v>
      </c>
    </row>
    <row r="1566" customFormat="false" ht="15" hidden="false" customHeight="false" outlineLevel="0" collapsed="false">
      <c r="A1566" s="21" t="s">
        <v>1632</v>
      </c>
      <c r="B1566" s="21" t="s">
        <v>93</v>
      </c>
      <c r="C1566" s="22" t="n">
        <v>43266</v>
      </c>
      <c r="D1566" s="22" t="n">
        <v>43287</v>
      </c>
      <c r="E1566" s="22" t="n">
        <v>43295</v>
      </c>
      <c r="F1566" s="21" t="s">
        <v>59</v>
      </c>
      <c r="G1566" s="23" t="n">
        <v>50.11</v>
      </c>
      <c r="H1566" s="23" t="n">
        <v>32.62</v>
      </c>
      <c r="I1566" s="21" t="s">
        <v>60</v>
      </c>
      <c r="J1566" s="21" t="n">
        <v>3</v>
      </c>
      <c r="K1566" s="21" t="s">
        <v>46</v>
      </c>
      <c r="L1566" s="24" t="n">
        <f aca="false">DATE(YEAR(C1566),MONTH(C1566),1)</f>
        <v>43252</v>
      </c>
      <c r="M1566" s="21" t="n">
        <f aca="false">D1566-C1566</f>
        <v>21</v>
      </c>
      <c r="N1566" s="21" t="n">
        <f aca="false">MAX(0,D1566-E1566)</f>
        <v>0</v>
      </c>
      <c r="O1566" s="21" t="n">
        <f aca="false">IF(D1566&lt;=E1566,1,0)</f>
        <v>1</v>
      </c>
      <c r="P1566" s="23" t="n">
        <f aca="false">G1566+H1566</f>
        <v>82.73</v>
      </c>
      <c r="Q1566" s="23" t="n">
        <f aca="false">G1566*INDEX(Assumptions!$B$8:$B$16,MATCH(F1566,Assumptions!$A$8:$A$16,0))</f>
        <v>32.0704</v>
      </c>
      <c r="R1566" s="23" t="n">
        <f aca="false">H1566*Assumptions!$B$3</f>
        <v>19.572</v>
      </c>
      <c r="S1566" s="23" t="n">
        <f aca="false">G1566-Q1566-R1566</f>
        <v>-1.5324</v>
      </c>
      <c r="T1566" s="21" t="str">
        <f aca="false">IF(M1566&lt;=7,"0-7 days",IF(M1566&lt;=14,"8-14 days",IF(M1566&lt;=21,"15-21 days","22+ days")))</f>
        <v>15-21 days</v>
      </c>
    </row>
    <row r="1567" customFormat="false" ht="15" hidden="false" customHeight="false" outlineLevel="0" collapsed="false">
      <c r="A1567" s="21" t="s">
        <v>1633</v>
      </c>
      <c r="B1567" s="21" t="s">
        <v>52</v>
      </c>
      <c r="C1567" s="22" t="n">
        <v>43267</v>
      </c>
      <c r="D1567" s="22" t="n">
        <v>43285</v>
      </c>
      <c r="E1567" s="22" t="n">
        <v>43290</v>
      </c>
      <c r="F1567" s="21" t="s">
        <v>67</v>
      </c>
      <c r="G1567" s="23" t="n">
        <v>145.73</v>
      </c>
      <c r="H1567" s="23" t="n">
        <v>24.72</v>
      </c>
      <c r="I1567" s="21" t="s">
        <v>60</v>
      </c>
      <c r="J1567" s="21" t="n">
        <v>4</v>
      </c>
      <c r="K1567" s="21" t="s">
        <v>46</v>
      </c>
      <c r="L1567" s="24" t="n">
        <f aca="false">DATE(YEAR(C1567),MONTH(C1567),1)</f>
        <v>43252</v>
      </c>
      <c r="M1567" s="21" t="n">
        <f aca="false">D1567-C1567</f>
        <v>18</v>
      </c>
      <c r="N1567" s="21" t="n">
        <f aca="false">MAX(0,D1567-E1567)</f>
        <v>0</v>
      </c>
      <c r="O1567" s="21" t="n">
        <f aca="false">IF(D1567&lt;=E1567,1,0)</f>
        <v>1</v>
      </c>
      <c r="P1567" s="23" t="n">
        <f aca="false">G1567+H1567</f>
        <v>170.45</v>
      </c>
      <c r="Q1567" s="23" t="n">
        <f aca="false">G1567*INDEX(Assumptions!$B$8:$B$16,MATCH(F1567,Assumptions!$A$8:$A$16,0))</f>
        <v>90.3526</v>
      </c>
      <c r="R1567" s="23" t="n">
        <f aca="false">H1567*Assumptions!$B$3</f>
        <v>14.832</v>
      </c>
      <c r="S1567" s="23" t="n">
        <f aca="false">G1567-Q1567-R1567</f>
        <v>40.5454</v>
      </c>
      <c r="T1567" s="21" t="str">
        <f aca="false">IF(M1567&lt;=7,"0-7 days",IF(M1567&lt;=14,"8-14 days",IF(M1567&lt;=21,"15-21 days","22+ days")))</f>
        <v>15-21 days</v>
      </c>
    </row>
    <row r="1568" customFormat="false" ht="15" hidden="false" customHeight="false" outlineLevel="0" collapsed="false">
      <c r="A1568" s="21" t="s">
        <v>1634</v>
      </c>
      <c r="B1568" s="21" t="s">
        <v>174</v>
      </c>
      <c r="C1568" s="22" t="n">
        <v>43267</v>
      </c>
      <c r="D1568" s="22" t="n">
        <v>43298</v>
      </c>
      <c r="E1568" s="22" t="n">
        <v>43296</v>
      </c>
      <c r="F1568" s="21" t="s">
        <v>53</v>
      </c>
      <c r="G1568" s="23" t="n">
        <v>81.51</v>
      </c>
      <c r="H1568" s="23" t="n">
        <v>42.66</v>
      </c>
      <c r="I1568" s="21" t="s">
        <v>50</v>
      </c>
      <c r="J1568" s="21" t="n">
        <v>3</v>
      </c>
      <c r="K1568" s="21" t="s">
        <v>46</v>
      </c>
      <c r="L1568" s="24" t="n">
        <f aca="false">DATE(YEAR(C1568),MONTH(C1568),1)</f>
        <v>43252</v>
      </c>
      <c r="M1568" s="21" t="n">
        <f aca="false">D1568-C1568</f>
        <v>31</v>
      </c>
      <c r="N1568" s="21" t="n">
        <f aca="false">MAX(0,D1568-E1568)</f>
        <v>2</v>
      </c>
      <c r="O1568" s="21" t="n">
        <f aca="false">IF(D1568&lt;=E1568,1,0)</f>
        <v>0</v>
      </c>
      <c r="P1568" s="23" t="n">
        <f aca="false">G1568+H1568</f>
        <v>124.17</v>
      </c>
      <c r="Q1568" s="23" t="n">
        <f aca="false">G1568*INDEX(Assumptions!$B$8:$B$16,MATCH(F1568,Assumptions!$A$8:$A$16,0))</f>
        <v>60.3174</v>
      </c>
      <c r="R1568" s="23" t="n">
        <f aca="false">H1568*Assumptions!$B$3</f>
        <v>25.596</v>
      </c>
      <c r="S1568" s="23" t="n">
        <f aca="false">G1568-Q1568-R1568</f>
        <v>-4.4034</v>
      </c>
      <c r="T1568" s="21" t="str">
        <f aca="false">IF(M1568&lt;=7,"0-7 days",IF(M1568&lt;=14,"8-14 days",IF(M1568&lt;=21,"15-21 days","22+ days")))</f>
        <v>22+ days</v>
      </c>
    </row>
    <row r="1569" customFormat="false" ht="15" hidden="false" customHeight="false" outlineLevel="0" collapsed="false">
      <c r="A1569" s="21" t="s">
        <v>1635</v>
      </c>
      <c r="B1569" s="21" t="s">
        <v>19</v>
      </c>
      <c r="C1569" s="22" t="n">
        <v>43267</v>
      </c>
      <c r="D1569" s="22" t="n">
        <v>43273</v>
      </c>
      <c r="E1569" s="22" t="n">
        <v>43279</v>
      </c>
      <c r="F1569" s="21" t="s">
        <v>67</v>
      </c>
      <c r="G1569" s="23" t="n">
        <v>46.71</v>
      </c>
      <c r="H1569" s="23" t="n">
        <v>17.79</v>
      </c>
      <c r="I1569" s="21" t="s">
        <v>45</v>
      </c>
      <c r="J1569" s="21" t="n">
        <v>3</v>
      </c>
      <c r="K1569" s="21" t="s">
        <v>46</v>
      </c>
      <c r="L1569" s="24" t="n">
        <f aca="false">DATE(YEAR(C1569),MONTH(C1569),1)</f>
        <v>43252</v>
      </c>
      <c r="M1569" s="21" t="n">
        <f aca="false">D1569-C1569</f>
        <v>6</v>
      </c>
      <c r="N1569" s="21" t="n">
        <f aca="false">MAX(0,D1569-E1569)</f>
        <v>0</v>
      </c>
      <c r="O1569" s="21" t="n">
        <f aca="false">IF(D1569&lt;=E1569,1,0)</f>
        <v>1</v>
      </c>
      <c r="P1569" s="23" t="n">
        <f aca="false">G1569+H1569</f>
        <v>64.5</v>
      </c>
      <c r="Q1569" s="23" t="n">
        <f aca="false">G1569*INDEX(Assumptions!$B$8:$B$16,MATCH(F1569,Assumptions!$A$8:$A$16,0))</f>
        <v>28.9602</v>
      </c>
      <c r="R1569" s="23" t="n">
        <f aca="false">H1569*Assumptions!$B$3</f>
        <v>10.674</v>
      </c>
      <c r="S1569" s="23" t="n">
        <f aca="false">G1569-Q1569-R1569</f>
        <v>7.0758</v>
      </c>
      <c r="T1569" s="21" t="str">
        <f aca="false">IF(M1569&lt;=7,"0-7 days",IF(M1569&lt;=14,"8-14 days",IF(M1569&lt;=21,"15-21 days","22+ days")))</f>
        <v>0-7 days</v>
      </c>
    </row>
    <row r="1570" customFormat="false" ht="15" hidden="false" customHeight="false" outlineLevel="0" collapsed="false">
      <c r="A1570" s="21" t="s">
        <v>1636</v>
      </c>
      <c r="B1570" s="21" t="s">
        <v>19</v>
      </c>
      <c r="C1570" s="22" t="n">
        <v>43268</v>
      </c>
      <c r="D1570" s="22" t="n">
        <v>43275</v>
      </c>
      <c r="E1570" s="22" t="n">
        <v>43283</v>
      </c>
      <c r="F1570" s="21" t="s">
        <v>111</v>
      </c>
      <c r="G1570" s="23" t="n">
        <v>70.49</v>
      </c>
      <c r="H1570" s="23" t="n">
        <v>17.19</v>
      </c>
      <c r="I1570" s="21" t="s">
        <v>45</v>
      </c>
      <c r="J1570" s="21" t="n">
        <v>4</v>
      </c>
      <c r="K1570" s="21" t="s">
        <v>46</v>
      </c>
      <c r="L1570" s="24" t="n">
        <f aca="false">DATE(YEAR(C1570),MONTH(C1570),1)</f>
        <v>43252</v>
      </c>
      <c r="M1570" s="21" t="n">
        <f aca="false">D1570-C1570</f>
        <v>7</v>
      </c>
      <c r="N1570" s="21" t="n">
        <f aca="false">MAX(0,D1570-E1570)</f>
        <v>0</v>
      </c>
      <c r="O1570" s="21" t="n">
        <f aca="false">IF(D1570&lt;=E1570,1,0)</f>
        <v>1</v>
      </c>
      <c r="P1570" s="23" t="n">
        <f aca="false">G1570+H1570</f>
        <v>87.68</v>
      </c>
      <c r="Q1570" s="23" t="n">
        <f aca="false">G1570*INDEX(Assumptions!$B$8:$B$16,MATCH(F1570,Assumptions!$A$8:$A$16,0))</f>
        <v>44.4087</v>
      </c>
      <c r="R1570" s="23" t="n">
        <f aca="false">H1570*Assumptions!$B$3</f>
        <v>10.314</v>
      </c>
      <c r="S1570" s="23" t="n">
        <f aca="false">G1570-Q1570-R1570</f>
        <v>15.7673</v>
      </c>
      <c r="T1570" s="21" t="str">
        <f aca="false">IF(M1570&lt;=7,"0-7 days",IF(M1570&lt;=14,"8-14 days",IF(M1570&lt;=21,"15-21 days","22+ days")))</f>
        <v>0-7 days</v>
      </c>
    </row>
    <row r="1571" customFormat="false" ht="15" hidden="false" customHeight="false" outlineLevel="0" collapsed="false">
      <c r="A1571" s="21" t="s">
        <v>1637</v>
      </c>
      <c r="B1571" s="21" t="s">
        <v>19</v>
      </c>
      <c r="C1571" s="22" t="n">
        <v>43268</v>
      </c>
      <c r="D1571" s="22" t="n">
        <v>43274</v>
      </c>
      <c r="E1571" s="22" t="n">
        <v>43282</v>
      </c>
      <c r="F1571" s="21" t="s">
        <v>49</v>
      </c>
      <c r="G1571" s="23" t="n">
        <v>234.26</v>
      </c>
      <c r="H1571" s="23" t="n">
        <v>17.24</v>
      </c>
      <c r="I1571" s="21" t="s">
        <v>45</v>
      </c>
      <c r="J1571" s="21" t="n">
        <v>5</v>
      </c>
      <c r="K1571" s="21" t="s">
        <v>46</v>
      </c>
      <c r="L1571" s="24" t="n">
        <f aca="false">DATE(YEAR(C1571),MONTH(C1571),1)</f>
        <v>43252</v>
      </c>
      <c r="M1571" s="21" t="n">
        <f aca="false">D1571-C1571</f>
        <v>6</v>
      </c>
      <c r="N1571" s="21" t="n">
        <f aca="false">MAX(0,D1571-E1571)</f>
        <v>0</v>
      </c>
      <c r="O1571" s="21" t="n">
        <f aca="false">IF(D1571&lt;=E1571,1,0)</f>
        <v>1</v>
      </c>
      <c r="P1571" s="23" t="n">
        <f aca="false">G1571+H1571</f>
        <v>251.5</v>
      </c>
      <c r="Q1571" s="23" t="n">
        <f aca="false">G1571*INDEX(Assumptions!$B$8:$B$16,MATCH(F1571,Assumptions!$A$8:$A$16,0))</f>
        <v>135.8708</v>
      </c>
      <c r="R1571" s="23" t="n">
        <f aca="false">H1571*Assumptions!$B$3</f>
        <v>10.344</v>
      </c>
      <c r="S1571" s="23" t="n">
        <f aca="false">G1571-Q1571-R1571</f>
        <v>88.0452</v>
      </c>
      <c r="T1571" s="21" t="str">
        <f aca="false">IF(M1571&lt;=7,"0-7 days",IF(M1571&lt;=14,"8-14 days",IF(M1571&lt;=21,"15-21 days","22+ days")))</f>
        <v>0-7 days</v>
      </c>
    </row>
    <row r="1572" customFormat="false" ht="15" hidden="false" customHeight="false" outlineLevel="0" collapsed="false">
      <c r="A1572" s="21" t="s">
        <v>1638</v>
      </c>
      <c r="B1572" s="21" t="s">
        <v>19</v>
      </c>
      <c r="C1572" s="22" t="n">
        <v>43268</v>
      </c>
      <c r="D1572" s="22" t="n">
        <v>43274</v>
      </c>
      <c r="E1572" s="22" t="n">
        <v>43284</v>
      </c>
      <c r="F1572" s="21" t="s">
        <v>79</v>
      </c>
      <c r="G1572" s="23" t="n">
        <v>72.31</v>
      </c>
      <c r="H1572" s="23" t="n">
        <v>15.08</v>
      </c>
      <c r="I1572" s="21" t="s">
        <v>60</v>
      </c>
      <c r="J1572" s="21" t="n">
        <v>5</v>
      </c>
      <c r="K1572" s="21" t="s">
        <v>46</v>
      </c>
      <c r="L1572" s="24" t="n">
        <f aca="false">DATE(YEAR(C1572),MONTH(C1572),1)</f>
        <v>43252</v>
      </c>
      <c r="M1572" s="21" t="n">
        <f aca="false">D1572-C1572</f>
        <v>6</v>
      </c>
      <c r="N1572" s="21" t="n">
        <f aca="false">MAX(0,D1572-E1572)</f>
        <v>0</v>
      </c>
      <c r="O1572" s="21" t="n">
        <f aca="false">IF(D1572&lt;=E1572,1,0)</f>
        <v>1</v>
      </c>
      <c r="P1572" s="23" t="n">
        <f aca="false">G1572+H1572</f>
        <v>87.39</v>
      </c>
      <c r="Q1572" s="23" t="n">
        <f aca="false">G1572*INDEX(Assumptions!$B$8:$B$16,MATCH(F1572,Assumptions!$A$8:$A$16,0))</f>
        <v>50.617</v>
      </c>
      <c r="R1572" s="23" t="n">
        <f aca="false">H1572*Assumptions!$B$3</f>
        <v>9.048</v>
      </c>
      <c r="S1572" s="23" t="n">
        <f aca="false">G1572-Q1572-R1572</f>
        <v>12.645</v>
      </c>
      <c r="T1572" s="21" t="str">
        <f aca="false">IF(M1572&lt;=7,"0-7 days",IF(M1572&lt;=14,"8-14 days",IF(M1572&lt;=21,"15-21 days","22+ days")))</f>
        <v>0-7 days</v>
      </c>
    </row>
    <row r="1573" customFormat="false" ht="15" hidden="false" customHeight="false" outlineLevel="0" collapsed="false">
      <c r="A1573" s="21" t="s">
        <v>1639</v>
      </c>
      <c r="B1573" s="21" t="s">
        <v>19</v>
      </c>
      <c r="C1573" s="22" t="n">
        <v>43269</v>
      </c>
      <c r="D1573" s="22" t="n">
        <v>43279</v>
      </c>
      <c r="E1573" s="22" t="n">
        <v>43285</v>
      </c>
      <c r="F1573" s="21" t="s">
        <v>64</v>
      </c>
      <c r="G1573" s="23" t="n">
        <v>163.87</v>
      </c>
      <c r="H1573" s="23" t="n">
        <v>17.96</v>
      </c>
      <c r="I1573" s="21" t="s">
        <v>45</v>
      </c>
      <c r="J1573" s="21" t="n">
        <v>5</v>
      </c>
      <c r="K1573" s="21" t="s">
        <v>46</v>
      </c>
      <c r="L1573" s="24" t="n">
        <f aca="false">DATE(YEAR(C1573),MONTH(C1573),1)</f>
        <v>43252</v>
      </c>
      <c r="M1573" s="21" t="n">
        <f aca="false">D1573-C1573</f>
        <v>10</v>
      </c>
      <c r="N1573" s="21" t="n">
        <f aca="false">MAX(0,D1573-E1573)</f>
        <v>0</v>
      </c>
      <c r="O1573" s="21" t="n">
        <f aca="false">IF(D1573&lt;=E1573,1,0)</f>
        <v>1</v>
      </c>
      <c r="P1573" s="23" t="n">
        <f aca="false">G1573+H1573</f>
        <v>181.83</v>
      </c>
      <c r="Q1573" s="23" t="n">
        <f aca="false">G1573*INDEX(Assumptions!$B$8:$B$16,MATCH(F1573,Assumptions!$A$8:$A$16,0))</f>
        <v>108.1542</v>
      </c>
      <c r="R1573" s="23" t="n">
        <f aca="false">H1573*Assumptions!$B$3</f>
        <v>10.776</v>
      </c>
      <c r="S1573" s="23" t="n">
        <f aca="false">G1573-Q1573-R1573</f>
        <v>44.9398</v>
      </c>
      <c r="T1573" s="21" t="str">
        <f aca="false">IF(M1573&lt;=7,"0-7 days",IF(M1573&lt;=14,"8-14 days",IF(M1573&lt;=21,"15-21 days","22+ days")))</f>
        <v>8-14 days</v>
      </c>
    </row>
    <row r="1574" customFormat="false" ht="15" hidden="false" customHeight="false" outlineLevel="0" collapsed="false">
      <c r="A1574" s="21" t="s">
        <v>1640</v>
      </c>
      <c r="B1574" s="21" t="s">
        <v>19</v>
      </c>
      <c r="C1574" s="22" t="n">
        <v>43269</v>
      </c>
      <c r="D1574" s="22" t="n">
        <v>43278</v>
      </c>
      <c r="E1574" s="22" t="n">
        <v>43286</v>
      </c>
      <c r="F1574" s="21" t="s">
        <v>57</v>
      </c>
      <c r="G1574" s="23" t="n">
        <v>100.39</v>
      </c>
      <c r="H1574" s="23" t="n">
        <v>15.63</v>
      </c>
      <c r="I1574" s="21" t="s">
        <v>60</v>
      </c>
      <c r="J1574" s="21" t="n">
        <v>5</v>
      </c>
      <c r="K1574" s="21" t="s">
        <v>46</v>
      </c>
      <c r="L1574" s="24" t="n">
        <f aca="false">DATE(YEAR(C1574),MONTH(C1574),1)</f>
        <v>43252</v>
      </c>
      <c r="M1574" s="21" t="n">
        <f aca="false">D1574-C1574</f>
        <v>9</v>
      </c>
      <c r="N1574" s="21" t="n">
        <f aca="false">MAX(0,D1574-E1574)</f>
        <v>0</v>
      </c>
      <c r="O1574" s="21" t="n">
        <f aca="false">IF(D1574&lt;=E1574,1,0)</f>
        <v>1</v>
      </c>
      <c r="P1574" s="23" t="n">
        <f aca="false">G1574+H1574</f>
        <v>116.02</v>
      </c>
      <c r="Q1574" s="23" t="n">
        <f aca="false">G1574*INDEX(Assumptions!$B$8:$B$16,MATCH(F1574,Assumptions!$A$8:$A$16,0))</f>
        <v>68.2652</v>
      </c>
      <c r="R1574" s="23" t="n">
        <f aca="false">H1574*Assumptions!$B$3</f>
        <v>9.378</v>
      </c>
      <c r="S1574" s="23" t="n">
        <f aca="false">G1574-Q1574-R1574</f>
        <v>22.7468</v>
      </c>
      <c r="T1574" s="21" t="str">
        <f aca="false">IF(M1574&lt;=7,"0-7 days",IF(M1574&lt;=14,"8-14 days",IF(M1574&lt;=21,"15-21 days","22+ days")))</f>
        <v>8-14 days</v>
      </c>
    </row>
    <row r="1575" customFormat="false" ht="15" hidden="false" customHeight="false" outlineLevel="0" collapsed="false">
      <c r="A1575" s="21" t="s">
        <v>1641</v>
      </c>
      <c r="B1575" s="21" t="s">
        <v>55</v>
      </c>
      <c r="C1575" s="22" t="n">
        <v>43269</v>
      </c>
      <c r="D1575" s="22" t="n">
        <v>43288</v>
      </c>
      <c r="E1575" s="22" t="n">
        <v>43290</v>
      </c>
      <c r="F1575" s="21" t="s">
        <v>64</v>
      </c>
      <c r="G1575" s="23" t="n">
        <v>205.13</v>
      </c>
      <c r="H1575" s="23" t="n">
        <v>28.51</v>
      </c>
      <c r="I1575" s="21" t="s">
        <v>60</v>
      </c>
      <c r="J1575" s="21" t="n">
        <v>5</v>
      </c>
      <c r="K1575" s="21" t="s">
        <v>46</v>
      </c>
      <c r="L1575" s="24" t="n">
        <f aca="false">DATE(YEAR(C1575),MONTH(C1575),1)</f>
        <v>43252</v>
      </c>
      <c r="M1575" s="21" t="n">
        <f aca="false">D1575-C1575</f>
        <v>19</v>
      </c>
      <c r="N1575" s="21" t="n">
        <f aca="false">MAX(0,D1575-E1575)</f>
        <v>0</v>
      </c>
      <c r="O1575" s="21" t="n">
        <f aca="false">IF(D1575&lt;=E1575,1,0)</f>
        <v>1</v>
      </c>
      <c r="P1575" s="23" t="n">
        <f aca="false">G1575+H1575</f>
        <v>233.64</v>
      </c>
      <c r="Q1575" s="23" t="n">
        <f aca="false">G1575*INDEX(Assumptions!$B$8:$B$16,MATCH(F1575,Assumptions!$A$8:$A$16,0))</f>
        <v>135.3858</v>
      </c>
      <c r="R1575" s="23" t="n">
        <f aca="false">H1575*Assumptions!$B$3</f>
        <v>17.106</v>
      </c>
      <c r="S1575" s="23" t="n">
        <f aca="false">G1575-Q1575-R1575</f>
        <v>52.6382</v>
      </c>
      <c r="T1575" s="21" t="str">
        <f aca="false">IF(M1575&lt;=7,"0-7 days",IF(M1575&lt;=14,"8-14 days",IF(M1575&lt;=21,"15-21 days","22+ days")))</f>
        <v>15-21 days</v>
      </c>
    </row>
    <row r="1576" customFormat="false" ht="15" hidden="false" customHeight="false" outlineLevel="0" collapsed="false">
      <c r="A1576" s="21" t="s">
        <v>1642</v>
      </c>
      <c r="B1576" s="21" t="s">
        <v>93</v>
      </c>
      <c r="C1576" s="22" t="n">
        <v>43269</v>
      </c>
      <c r="D1576" s="22" t="n">
        <v>43288</v>
      </c>
      <c r="E1576" s="22" t="n">
        <v>43302</v>
      </c>
      <c r="F1576" s="21" t="s">
        <v>79</v>
      </c>
      <c r="G1576" s="23" t="n">
        <v>78.53</v>
      </c>
      <c r="H1576" s="23" t="n">
        <v>25.56</v>
      </c>
      <c r="I1576" s="21" t="s">
        <v>45</v>
      </c>
      <c r="J1576" s="21" t="n">
        <v>4</v>
      </c>
      <c r="K1576" s="21" t="s">
        <v>46</v>
      </c>
      <c r="L1576" s="24" t="n">
        <f aca="false">DATE(YEAR(C1576),MONTH(C1576),1)</f>
        <v>43252</v>
      </c>
      <c r="M1576" s="21" t="n">
        <f aca="false">D1576-C1576</f>
        <v>19</v>
      </c>
      <c r="N1576" s="21" t="n">
        <f aca="false">MAX(0,D1576-E1576)</f>
        <v>0</v>
      </c>
      <c r="O1576" s="21" t="n">
        <f aca="false">IF(D1576&lt;=E1576,1,0)</f>
        <v>1</v>
      </c>
      <c r="P1576" s="23" t="n">
        <f aca="false">G1576+H1576</f>
        <v>104.09</v>
      </c>
      <c r="Q1576" s="23" t="n">
        <f aca="false">G1576*INDEX(Assumptions!$B$8:$B$16,MATCH(F1576,Assumptions!$A$8:$A$16,0))</f>
        <v>54.971</v>
      </c>
      <c r="R1576" s="23" t="n">
        <f aca="false">H1576*Assumptions!$B$3</f>
        <v>15.336</v>
      </c>
      <c r="S1576" s="23" t="n">
        <f aca="false">G1576-Q1576-R1576</f>
        <v>8.22300000000001</v>
      </c>
      <c r="T1576" s="21" t="str">
        <f aca="false">IF(M1576&lt;=7,"0-7 days",IF(M1576&lt;=14,"8-14 days",IF(M1576&lt;=21,"15-21 days","22+ days")))</f>
        <v>15-21 days</v>
      </c>
    </row>
    <row r="1577" customFormat="false" ht="15" hidden="false" customHeight="false" outlineLevel="0" collapsed="false">
      <c r="A1577" s="21" t="s">
        <v>1643</v>
      </c>
      <c r="B1577" s="21" t="s">
        <v>19</v>
      </c>
      <c r="C1577" s="22" t="n">
        <v>43269</v>
      </c>
      <c r="D1577" s="22" t="n">
        <v>43271</v>
      </c>
      <c r="E1577" s="22" t="n">
        <v>43282</v>
      </c>
      <c r="F1577" s="21" t="s">
        <v>67</v>
      </c>
      <c r="G1577" s="23" t="n">
        <v>65.8</v>
      </c>
      <c r="H1577" s="23" t="n">
        <v>13.41</v>
      </c>
      <c r="I1577" s="21" t="s">
        <v>45</v>
      </c>
      <c r="J1577" s="21" t="n">
        <v>4</v>
      </c>
      <c r="K1577" s="21" t="s">
        <v>46</v>
      </c>
      <c r="L1577" s="24" t="n">
        <f aca="false">DATE(YEAR(C1577),MONTH(C1577),1)</f>
        <v>43252</v>
      </c>
      <c r="M1577" s="21" t="n">
        <f aca="false">D1577-C1577</f>
        <v>2</v>
      </c>
      <c r="N1577" s="21" t="n">
        <f aca="false">MAX(0,D1577-E1577)</f>
        <v>0</v>
      </c>
      <c r="O1577" s="21" t="n">
        <f aca="false">IF(D1577&lt;=E1577,1,0)</f>
        <v>1</v>
      </c>
      <c r="P1577" s="23" t="n">
        <f aca="false">G1577+H1577</f>
        <v>79.21</v>
      </c>
      <c r="Q1577" s="23" t="n">
        <f aca="false">G1577*INDEX(Assumptions!$B$8:$B$16,MATCH(F1577,Assumptions!$A$8:$A$16,0))</f>
        <v>40.796</v>
      </c>
      <c r="R1577" s="23" t="n">
        <f aca="false">H1577*Assumptions!$B$3</f>
        <v>8.046</v>
      </c>
      <c r="S1577" s="23" t="n">
        <f aca="false">G1577-Q1577-R1577</f>
        <v>16.958</v>
      </c>
      <c r="T1577" s="21" t="str">
        <f aca="false">IF(M1577&lt;=7,"0-7 days",IF(M1577&lt;=14,"8-14 days",IF(M1577&lt;=21,"15-21 days","22+ days")))</f>
        <v>0-7 days</v>
      </c>
    </row>
    <row r="1578" customFormat="false" ht="15" hidden="false" customHeight="false" outlineLevel="0" collapsed="false">
      <c r="A1578" s="21" t="s">
        <v>1644</v>
      </c>
      <c r="B1578" s="21" t="s">
        <v>52</v>
      </c>
      <c r="C1578" s="22" t="n">
        <v>43270</v>
      </c>
      <c r="D1578" s="22" t="n">
        <v>43283</v>
      </c>
      <c r="E1578" s="22" t="n">
        <v>43292</v>
      </c>
      <c r="F1578" s="21" t="s">
        <v>49</v>
      </c>
      <c r="G1578" s="23" t="n">
        <v>54.13</v>
      </c>
      <c r="H1578" s="23" t="n">
        <v>21.68</v>
      </c>
      <c r="I1578" s="21" t="s">
        <v>45</v>
      </c>
      <c r="J1578" s="21" t="n">
        <v>3</v>
      </c>
      <c r="K1578" s="21" t="s">
        <v>46</v>
      </c>
      <c r="L1578" s="24" t="n">
        <f aca="false">DATE(YEAR(C1578),MONTH(C1578),1)</f>
        <v>43252</v>
      </c>
      <c r="M1578" s="21" t="n">
        <f aca="false">D1578-C1578</f>
        <v>13</v>
      </c>
      <c r="N1578" s="21" t="n">
        <f aca="false">MAX(0,D1578-E1578)</f>
        <v>0</v>
      </c>
      <c r="O1578" s="21" t="n">
        <f aca="false">IF(D1578&lt;=E1578,1,0)</f>
        <v>1</v>
      </c>
      <c r="P1578" s="23" t="n">
        <f aca="false">G1578+H1578</f>
        <v>75.81</v>
      </c>
      <c r="Q1578" s="23" t="n">
        <f aca="false">G1578*INDEX(Assumptions!$B$8:$B$16,MATCH(F1578,Assumptions!$A$8:$A$16,0))</f>
        <v>31.3954</v>
      </c>
      <c r="R1578" s="23" t="n">
        <f aca="false">H1578*Assumptions!$B$3</f>
        <v>13.008</v>
      </c>
      <c r="S1578" s="23" t="n">
        <f aca="false">G1578-Q1578-R1578</f>
        <v>9.72660000000001</v>
      </c>
      <c r="T1578" s="21" t="str">
        <f aca="false">IF(M1578&lt;=7,"0-7 days",IF(M1578&lt;=14,"8-14 days",IF(M1578&lt;=21,"15-21 days","22+ days")))</f>
        <v>8-14 days</v>
      </c>
    </row>
    <row r="1579" customFormat="false" ht="15" hidden="false" customHeight="false" outlineLevel="0" collapsed="false">
      <c r="A1579" s="21" t="s">
        <v>1645</v>
      </c>
      <c r="B1579" s="21" t="s">
        <v>19</v>
      </c>
      <c r="C1579" s="22" t="n">
        <v>43270</v>
      </c>
      <c r="D1579" s="22" t="n">
        <v>43279</v>
      </c>
      <c r="E1579" s="22" t="n">
        <v>43286</v>
      </c>
      <c r="F1579" s="21" t="s">
        <v>111</v>
      </c>
      <c r="G1579" s="23" t="n">
        <v>98.35</v>
      </c>
      <c r="H1579" s="23" t="n">
        <v>20.91</v>
      </c>
      <c r="I1579" s="21" t="s">
        <v>45</v>
      </c>
      <c r="J1579" s="21" t="n">
        <v>5</v>
      </c>
      <c r="K1579" s="21" t="s">
        <v>46</v>
      </c>
      <c r="L1579" s="24" t="n">
        <f aca="false">DATE(YEAR(C1579),MONTH(C1579),1)</f>
        <v>43252</v>
      </c>
      <c r="M1579" s="21" t="n">
        <f aca="false">D1579-C1579</f>
        <v>9</v>
      </c>
      <c r="N1579" s="21" t="n">
        <f aca="false">MAX(0,D1579-E1579)</f>
        <v>0</v>
      </c>
      <c r="O1579" s="21" t="n">
        <f aca="false">IF(D1579&lt;=E1579,1,0)</f>
        <v>1</v>
      </c>
      <c r="P1579" s="23" t="n">
        <f aca="false">G1579+H1579</f>
        <v>119.26</v>
      </c>
      <c r="Q1579" s="23" t="n">
        <f aca="false">G1579*INDEX(Assumptions!$B$8:$B$16,MATCH(F1579,Assumptions!$A$8:$A$16,0))</f>
        <v>61.9605</v>
      </c>
      <c r="R1579" s="23" t="n">
        <f aca="false">H1579*Assumptions!$B$3</f>
        <v>12.546</v>
      </c>
      <c r="S1579" s="23" t="n">
        <f aca="false">G1579-Q1579-R1579</f>
        <v>23.8435</v>
      </c>
      <c r="T1579" s="21" t="str">
        <f aca="false">IF(M1579&lt;=7,"0-7 days",IF(M1579&lt;=14,"8-14 days",IF(M1579&lt;=21,"15-21 days","22+ days")))</f>
        <v>8-14 days</v>
      </c>
    </row>
    <row r="1580" customFormat="false" ht="15" hidden="false" customHeight="false" outlineLevel="0" collapsed="false">
      <c r="A1580" s="21" t="s">
        <v>1646</v>
      </c>
      <c r="B1580" s="21" t="s">
        <v>52</v>
      </c>
      <c r="C1580" s="22" t="n">
        <v>43270</v>
      </c>
      <c r="D1580" s="22" t="n">
        <v>43283</v>
      </c>
      <c r="E1580" s="22" t="n">
        <v>43292</v>
      </c>
      <c r="F1580" s="21" t="s">
        <v>53</v>
      </c>
      <c r="G1580" s="23" t="n">
        <v>97.27</v>
      </c>
      <c r="H1580" s="23" t="n">
        <v>30.01</v>
      </c>
      <c r="I1580" s="21" t="s">
        <v>45</v>
      </c>
      <c r="J1580" s="21" t="n">
        <v>4</v>
      </c>
      <c r="K1580" s="21" t="s">
        <v>46</v>
      </c>
      <c r="L1580" s="24" t="n">
        <f aca="false">DATE(YEAR(C1580),MONTH(C1580),1)</f>
        <v>43252</v>
      </c>
      <c r="M1580" s="21" t="n">
        <f aca="false">D1580-C1580</f>
        <v>13</v>
      </c>
      <c r="N1580" s="21" t="n">
        <f aca="false">MAX(0,D1580-E1580)</f>
        <v>0</v>
      </c>
      <c r="O1580" s="21" t="n">
        <f aca="false">IF(D1580&lt;=E1580,1,0)</f>
        <v>1</v>
      </c>
      <c r="P1580" s="23" t="n">
        <f aca="false">G1580+H1580</f>
        <v>127.28</v>
      </c>
      <c r="Q1580" s="23" t="n">
        <f aca="false">G1580*INDEX(Assumptions!$B$8:$B$16,MATCH(F1580,Assumptions!$A$8:$A$16,0))</f>
        <v>71.9798</v>
      </c>
      <c r="R1580" s="23" t="n">
        <f aca="false">H1580*Assumptions!$B$3</f>
        <v>18.006</v>
      </c>
      <c r="S1580" s="23" t="n">
        <f aca="false">G1580-Q1580-R1580</f>
        <v>7.2842</v>
      </c>
      <c r="T1580" s="21" t="str">
        <f aca="false">IF(M1580&lt;=7,"0-7 days",IF(M1580&lt;=14,"8-14 days",IF(M1580&lt;=21,"15-21 days","22+ days")))</f>
        <v>8-14 days</v>
      </c>
    </row>
    <row r="1581" customFormat="false" ht="15" hidden="false" customHeight="false" outlineLevel="0" collapsed="false">
      <c r="A1581" s="21" t="s">
        <v>1647</v>
      </c>
      <c r="B1581" s="21" t="s">
        <v>62</v>
      </c>
      <c r="C1581" s="22" t="n">
        <v>43270</v>
      </c>
      <c r="D1581" s="22" t="n">
        <v>43287</v>
      </c>
      <c r="E1581" s="22" t="n">
        <v>43291</v>
      </c>
      <c r="F1581" s="21" t="s">
        <v>59</v>
      </c>
      <c r="G1581" s="23" t="n">
        <v>38.15</v>
      </c>
      <c r="H1581" s="23" t="n">
        <v>27.99</v>
      </c>
      <c r="I1581" s="21" t="s">
        <v>45</v>
      </c>
      <c r="J1581" s="21" t="n">
        <v>5</v>
      </c>
      <c r="K1581" s="21" t="s">
        <v>46</v>
      </c>
      <c r="L1581" s="24" t="n">
        <f aca="false">DATE(YEAR(C1581),MONTH(C1581),1)</f>
        <v>43252</v>
      </c>
      <c r="M1581" s="21" t="n">
        <f aca="false">D1581-C1581</f>
        <v>17</v>
      </c>
      <c r="N1581" s="21" t="n">
        <f aca="false">MAX(0,D1581-E1581)</f>
        <v>0</v>
      </c>
      <c r="O1581" s="21" t="n">
        <f aca="false">IF(D1581&lt;=E1581,1,0)</f>
        <v>1</v>
      </c>
      <c r="P1581" s="23" t="n">
        <f aca="false">G1581+H1581</f>
        <v>66.14</v>
      </c>
      <c r="Q1581" s="23" t="n">
        <f aca="false">G1581*INDEX(Assumptions!$B$8:$B$16,MATCH(F1581,Assumptions!$A$8:$A$16,0))</f>
        <v>24.416</v>
      </c>
      <c r="R1581" s="23" t="n">
        <f aca="false">H1581*Assumptions!$B$3</f>
        <v>16.794</v>
      </c>
      <c r="S1581" s="23" t="n">
        <f aca="false">G1581-Q1581-R1581</f>
        <v>-3.06</v>
      </c>
      <c r="T1581" s="21" t="str">
        <f aca="false">IF(M1581&lt;=7,"0-7 days",IF(M1581&lt;=14,"8-14 days",IF(M1581&lt;=21,"15-21 days","22+ days")))</f>
        <v>15-21 days</v>
      </c>
    </row>
    <row r="1582" customFormat="false" ht="15" hidden="false" customHeight="false" outlineLevel="0" collapsed="false">
      <c r="A1582" s="21" t="s">
        <v>1648</v>
      </c>
      <c r="B1582" s="21" t="s">
        <v>55</v>
      </c>
      <c r="C1582" s="22" t="n">
        <v>43270</v>
      </c>
      <c r="D1582" s="22" t="n">
        <v>43295</v>
      </c>
      <c r="E1582" s="22" t="n">
        <v>43295</v>
      </c>
      <c r="F1582" s="21" t="s">
        <v>49</v>
      </c>
      <c r="G1582" s="23" t="n">
        <v>184.19</v>
      </c>
      <c r="H1582" s="23" t="n">
        <v>23.89</v>
      </c>
      <c r="I1582" s="21" t="s">
        <v>45</v>
      </c>
      <c r="J1582" s="21" t="n">
        <v>3</v>
      </c>
      <c r="K1582" s="21" t="s">
        <v>46</v>
      </c>
      <c r="L1582" s="24" t="n">
        <f aca="false">DATE(YEAR(C1582),MONTH(C1582),1)</f>
        <v>43252</v>
      </c>
      <c r="M1582" s="21" t="n">
        <f aca="false">D1582-C1582</f>
        <v>25</v>
      </c>
      <c r="N1582" s="21" t="n">
        <f aca="false">MAX(0,D1582-E1582)</f>
        <v>0</v>
      </c>
      <c r="O1582" s="21" t="n">
        <f aca="false">IF(D1582&lt;=E1582,1,0)</f>
        <v>1</v>
      </c>
      <c r="P1582" s="23" t="n">
        <f aca="false">G1582+H1582</f>
        <v>208.08</v>
      </c>
      <c r="Q1582" s="23" t="n">
        <f aca="false">G1582*INDEX(Assumptions!$B$8:$B$16,MATCH(F1582,Assumptions!$A$8:$A$16,0))</f>
        <v>106.8302</v>
      </c>
      <c r="R1582" s="23" t="n">
        <f aca="false">H1582*Assumptions!$B$3</f>
        <v>14.334</v>
      </c>
      <c r="S1582" s="23" t="n">
        <f aca="false">G1582-Q1582-R1582</f>
        <v>63.0258</v>
      </c>
      <c r="T1582" s="21" t="str">
        <f aca="false">IF(M1582&lt;=7,"0-7 days",IF(M1582&lt;=14,"8-14 days",IF(M1582&lt;=21,"15-21 days","22+ days")))</f>
        <v>22+ days</v>
      </c>
    </row>
    <row r="1583" customFormat="false" ht="15" hidden="false" customHeight="false" outlineLevel="0" collapsed="false">
      <c r="A1583" s="21" t="s">
        <v>1649</v>
      </c>
      <c r="B1583" s="21" t="s">
        <v>19</v>
      </c>
      <c r="C1583" s="22" t="n">
        <v>43270</v>
      </c>
      <c r="D1583" s="22" t="n">
        <v>43276</v>
      </c>
      <c r="E1583" s="22" t="n">
        <v>43286</v>
      </c>
      <c r="F1583" s="21" t="s">
        <v>79</v>
      </c>
      <c r="G1583" s="23" t="n">
        <v>62.1</v>
      </c>
      <c r="H1583" s="23" t="n">
        <v>21.98</v>
      </c>
      <c r="I1583" s="21" t="s">
        <v>45</v>
      </c>
      <c r="J1583" s="21" t="n">
        <v>5</v>
      </c>
      <c r="K1583" s="21" t="s">
        <v>46</v>
      </c>
      <c r="L1583" s="24" t="n">
        <f aca="false">DATE(YEAR(C1583),MONTH(C1583),1)</f>
        <v>43252</v>
      </c>
      <c r="M1583" s="21" t="n">
        <f aca="false">D1583-C1583</f>
        <v>6</v>
      </c>
      <c r="N1583" s="21" t="n">
        <f aca="false">MAX(0,D1583-E1583)</f>
        <v>0</v>
      </c>
      <c r="O1583" s="21" t="n">
        <f aca="false">IF(D1583&lt;=E1583,1,0)</f>
        <v>1</v>
      </c>
      <c r="P1583" s="23" t="n">
        <f aca="false">G1583+H1583</f>
        <v>84.08</v>
      </c>
      <c r="Q1583" s="23" t="n">
        <f aca="false">G1583*INDEX(Assumptions!$B$8:$B$16,MATCH(F1583,Assumptions!$A$8:$A$16,0))</f>
        <v>43.47</v>
      </c>
      <c r="R1583" s="23" t="n">
        <f aca="false">H1583*Assumptions!$B$3</f>
        <v>13.188</v>
      </c>
      <c r="S1583" s="23" t="n">
        <f aca="false">G1583-Q1583-R1583</f>
        <v>5.442</v>
      </c>
      <c r="T1583" s="21" t="str">
        <f aca="false">IF(M1583&lt;=7,"0-7 days",IF(M1583&lt;=14,"8-14 days",IF(M1583&lt;=21,"15-21 days","22+ days")))</f>
        <v>0-7 days</v>
      </c>
    </row>
    <row r="1584" customFormat="false" ht="15" hidden="false" customHeight="false" outlineLevel="0" collapsed="false">
      <c r="A1584" s="21" t="s">
        <v>1650</v>
      </c>
      <c r="B1584" s="21" t="s">
        <v>134</v>
      </c>
      <c r="C1584" s="22" t="n">
        <v>43270</v>
      </c>
      <c r="D1584" s="22" t="n">
        <v>43280</v>
      </c>
      <c r="E1584" s="22" t="n">
        <v>43293</v>
      </c>
      <c r="F1584" s="21" t="s">
        <v>59</v>
      </c>
      <c r="G1584" s="23" t="n">
        <v>67.84</v>
      </c>
      <c r="H1584" s="23" t="n">
        <v>26.71</v>
      </c>
      <c r="I1584" s="21" t="s">
        <v>45</v>
      </c>
      <c r="J1584" s="21" t="n">
        <v>4</v>
      </c>
      <c r="K1584" s="21" t="s">
        <v>46</v>
      </c>
      <c r="L1584" s="24" t="n">
        <f aca="false">DATE(YEAR(C1584),MONTH(C1584),1)</f>
        <v>43252</v>
      </c>
      <c r="M1584" s="21" t="n">
        <f aca="false">D1584-C1584</f>
        <v>10</v>
      </c>
      <c r="N1584" s="21" t="n">
        <f aca="false">MAX(0,D1584-E1584)</f>
        <v>0</v>
      </c>
      <c r="O1584" s="21" t="n">
        <f aca="false">IF(D1584&lt;=E1584,1,0)</f>
        <v>1</v>
      </c>
      <c r="P1584" s="23" t="n">
        <f aca="false">G1584+H1584</f>
        <v>94.55</v>
      </c>
      <c r="Q1584" s="23" t="n">
        <f aca="false">G1584*INDEX(Assumptions!$B$8:$B$16,MATCH(F1584,Assumptions!$A$8:$A$16,0))</f>
        <v>43.4176</v>
      </c>
      <c r="R1584" s="23" t="n">
        <f aca="false">H1584*Assumptions!$B$3</f>
        <v>16.026</v>
      </c>
      <c r="S1584" s="23" t="n">
        <f aca="false">G1584-Q1584-R1584</f>
        <v>8.3964</v>
      </c>
      <c r="T1584" s="21" t="str">
        <f aca="false">IF(M1584&lt;=7,"0-7 days",IF(M1584&lt;=14,"8-14 days",IF(M1584&lt;=21,"15-21 days","22+ days")))</f>
        <v>8-14 days</v>
      </c>
    </row>
    <row r="1585" customFormat="false" ht="15" hidden="false" customHeight="false" outlineLevel="0" collapsed="false">
      <c r="A1585" s="21" t="s">
        <v>1651</v>
      </c>
      <c r="B1585" s="21" t="s">
        <v>93</v>
      </c>
      <c r="C1585" s="22" t="n">
        <v>43270</v>
      </c>
      <c r="D1585" s="22" t="n">
        <v>43286</v>
      </c>
      <c r="E1585" s="22" t="n">
        <v>43298</v>
      </c>
      <c r="F1585" s="21" t="s">
        <v>49</v>
      </c>
      <c r="G1585" s="23" t="n">
        <v>132.07</v>
      </c>
      <c r="H1585" s="23" t="n">
        <v>41</v>
      </c>
      <c r="I1585" s="21" t="s">
        <v>60</v>
      </c>
      <c r="J1585" s="21" t="n">
        <v>3</v>
      </c>
      <c r="K1585" s="21" t="s">
        <v>46</v>
      </c>
      <c r="L1585" s="24" t="n">
        <f aca="false">DATE(YEAR(C1585),MONTH(C1585),1)</f>
        <v>43252</v>
      </c>
      <c r="M1585" s="21" t="n">
        <f aca="false">D1585-C1585</f>
        <v>16</v>
      </c>
      <c r="N1585" s="21" t="n">
        <f aca="false">MAX(0,D1585-E1585)</f>
        <v>0</v>
      </c>
      <c r="O1585" s="21" t="n">
        <f aca="false">IF(D1585&lt;=E1585,1,0)</f>
        <v>1</v>
      </c>
      <c r="P1585" s="23" t="n">
        <f aca="false">G1585+H1585</f>
        <v>173.07</v>
      </c>
      <c r="Q1585" s="23" t="n">
        <f aca="false">G1585*INDEX(Assumptions!$B$8:$B$16,MATCH(F1585,Assumptions!$A$8:$A$16,0))</f>
        <v>76.6006</v>
      </c>
      <c r="R1585" s="23" t="n">
        <f aca="false">H1585*Assumptions!$B$3</f>
        <v>24.6</v>
      </c>
      <c r="S1585" s="23" t="n">
        <f aca="false">G1585-Q1585-R1585</f>
        <v>30.8694</v>
      </c>
      <c r="T1585" s="21" t="str">
        <f aca="false">IF(M1585&lt;=7,"0-7 days",IF(M1585&lt;=14,"8-14 days",IF(M1585&lt;=21,"15-21 days","22+ days")))</f>
        <v>15-21 days</v>
      </c>
    </row>
    <row r="1586" customFormat="false" ht="15" hidden="false" customHeight="false" outlineLevel="0" collapsed="false">
      <c r="A1586" s="21" t="s">
        <v>1652</v>
      </c>
      <c r="B1586" s="21" t="s">
        <v>134</v>
      </c>
      <c r="C1586" s="22" t="n">
        <v>43271</v>
      </c>
      <c r="D1586" s="22" t="n">
        <v>43294</v>
      </c>
      <c r="E1586" s="22" t="n">
        <v>43295</v>
      </c>
      <c r="F1586" s="21" t="s">
        <v>53</v>
      </c>
      <c r="G1586" s="23" t="n">
        <v>196.6</v>
      </c>
      <c r="H1586" s="23" t="n">
        <v>20.78</v>
      </c>
      <c r="I1586" s="21" t="s">
        <v>45</v>
      </c>
      <c r="J1586" s="21" t="n">
        <v>4</v>
      </c>
      <c r="K1586" s="21" t="s">
        <v>46</v>
      </c>
      <c r="L1586" s="24" t="n">
        <f aca="false">DATE(YEAR(C1586),MONTH(C1586),1)</f>
        <v>43252</v>
      </c>
      <c r="M1586" s="21" t="n">
        <f aca="false">D1586-C1586</f>
        <v>23</v>
      </c>
      <c r="N1586" s="21" t="n">
        <f aca="false">MAX(0,D1586-E1586)</f>
        <v>0</v>
      </c>
      <c r="O1586" s="21" t="n">
        <f aca="false">IF(D1586&lt;=E1586,1,0)</f>
        <v>1</v>
      </c>
      <c r="P1586" s="23" t="n">
        <f aca="false">G1586+H1586</f>
        <v>217.38</v>
      </c>
      <c r="Q1586" s="23" t="n">
        <f aca="false">G1586*INDEX(Assumptions!$B$8:$B$16,MATCH(F1586,Assumptions!$A$8:$A$16,0))</f>
        <v>145.484</v>
      </c>
      <c r="R1586" s="23" t="n">
        <f aca="false">H1586*Assumptions!$B$3</f>
        <v>12.468</v>
      </c>
      <c r="S1586" s="23" t="n">
        <f aca="false">G1586-Q1586-R1586</f>
        <v>38.648</v>
      </c>
      <c r="T1586" s="21" t="str">
        <f aca="false">IF(M1586&lt;=7,"0-7 days",IF(M1586&lt;=14,"8-14 days",IF(M1586&lt;=21,"15-21 days","22+ days")))</f>
        <v>22+ days</v>
      </c>
    </row>
    <row r="1587" customFormat="false" ht="15" hidden="false" customHeight="false" outlineLevel="0" collapsed="false">
      <c r="A1587" s="21" t="s">
        <v>1653</v>
      </c>
      <c r="B1587" s="21" t="s">
        <v>19</v>
      </c>
      <c r="C1587" s="22" t="n">
        <v>43271</v>
      </c>
      <c r="D1587" s="22" t="n">
        <v>43276</v>
      </c>
      <c r="E1587" s="22" t="n">
        <v>43287</v>
      </c>
      <c r="F1587" s="21" t="s">
        <v>79</v>
      </c>
      <c r="G1587" s="23" t="n">
        <v>36.7</v>
      </c>
      <c r="H1587" s="23" t="n">
        <v>20.92</v>
      </c>
      <c r="I1587" s="21" t="s">
        <v>45</v>
      </c>
      <c r="J1587" s="21" t="n">
        <v>3</v>
      </c>
      <c r="K1587" s="21" t="s">
        <v>46</v>
      </c>
      <c r="L1587" s="24" t="n">
        <f aca="false">DATE(YEAR(C1587),MONTH(C1587),1)</f>
        <v>43252</v>
      </c>
      <c r="M1587" s="21" t="n">
        <f aca="false">D1587-C1587</f>
        <v>5</v>
      </c>
      <c r="N1587" s="21" t="n">
        <f aca="false">MAX(0,D1587-E1587)</f>
        <v>0</v>
      </c>
      <c r="O1587" s="21" t="n">
        <f aca="false">IF(D1587&lt;=E1587,1,0)</f>
        <v>1</v>
      </c>
      <c r="P1587" s="23" t="n">
        <f aca="false">G1587+H1587</f>
        <v>57.62</v>
      </c>
      <c r="Q1587" s="23" t="n">
        <f aca="false">G1587*INDEX(Assumptions!$B$8:$B$16,MATCH(F1587,Assumptions!$A$8:$A$16,0))</f>
        <v>25.69</v>
      </c>
      <c r="R1587" s="23" t="n">
        <f aca="false">H1587*Assumptions!$B$3</f>
        <v>12.552</v>
      </c>
      <c r="S1587" s="23" t="n">
        <f aca="false">G1587-Q1587-R1587</f>
        <v>-1.542</v>
      </c>
      <c r="T1587" s="21" t="str">
        <f aca="false">IF(M1587&lt;=7,"0-7 days",IF(M1587&lt;=14,"8-14 days",IF(M1587&lt;=21,"15-21 days","22+ days")))</f>
        <v>0-7 days</v>
      </c>
    </row>
    <row r="1588" customFormat="false" ht="15" hidden="false" customHeight="false" outlineLevel="0" collapsed="false">
      <c r="A1588" s="21" t="s">
        <v>1654</v>
      </c>
      <c r="B1588" s="21" t="s">
        <v>19</v>
      </c>
      <c r="C1588" s="22" t="n">
        <v>43271</v>
      </c>
      <c r="D1588" s="22" t="n">
        <v>43280</v>
      </c>
      <c r="E1588" s="22" t="n">
        <v>43288</v>
      </c>
      <c r="F1588" s="21" t="s">
        <v>79</v>
      </c>
      <c r="G1588" s="23" t="n">
        <v>53.73</v>
      </c>
      <c r="H1588" s="23" t="n">
        <v>12.55</v>
      </c>
      <c r="I1588" s="21" t="s">
        <v>45</v>
      </c>
      <c r="J1588" s="21" t="n">
        <v>5</v>
      </c>
      <c r="K1588" s="21" t="s">
        <v>46</v>
      </c>
      <c r="L1588" s="24" t="n">
        <f aca="false">DATE(YEAR(C1588),MONTH(C1588),1)</f>
        <v>43252</v>
      </c>
      <c r="M1588" s="21" t="n">
        <f aca="false">D1588-C1588</f>
        <v>9</v>
      </c>
      <c r="N1588" s="21" t="n">
        <f aca="false">MAX(0,D1588-E1588)</f>
        <v>0</v>
      </c>
      <c r="O1588" s="21" t="n">
        <f aca="false">IF(D1588&lt;=E1588,1,0)</f>
        <v>1</v>
      </c>
      <c r="P1588" s="23" t="n">
        <f aca="false">G1588+H1588</f>
        <v>66.28</v>
      </c>
      <c r="Q1588" s="23" t="n">
        <f aca="false">G1588*INDEX(Assumptions!$B$8:$B$16,MATCH(F1588,Assumptions!$A$8:$A$16,0))</f>
        <v>37.611</v>
      </c>
      <c r="R1588" s="23" t="n">
        <f aca="false">H1588*Assumptions!$B$3</f>
        <v>7.53</v>
      </c>
      <c r="S1588" s="23" t="n">
        <f aca="false">G1588-Q1588-R1588</f>
        <v>8.589</v>
      </c>
      <c r="T1588" s="21" t="str">
        <f aca="false">IF(M1588&lt;=7,"0-7 days",IF(M1588&lt;=14,"8-14 days",IF(M1588&lt;=21,"15-21 days","22+ days")))</f>
        <v>8-14 days</v>
      </c>
    </row>
    <row r="1589" customFormat="false" ht="15" hidden="false" customHeight="false" outlineLevel="0" collapsed="false">
      <c r="A1589" s="21" t="s">
        <v>1655</v>
      </c>
      <c r="B1589" s="21" t="s">
        <v>19</v>
      </c>
      <c r="C1589" s="22" t="n">
        <v>43271</v>
      </c>
      <c r="D1589" s="22" t="n">
        <v>43278</v>
      </c>
      <c r="E1589" s="22" t="n">
        <v>43286</v>
      </c>
      <c r="F1589" s="21" t="s">
        <v>67</v>
      </c>
      <c r="G1589" s="23" t="n">
        <v>119.4</v>
      </c>
      <c r="H1589" s="23" t="n">
        <v>15.4</v>
      </c>
      <c r="I1589" s="21" t="s">
        <v>45</v>
      </c>
      <c r="J1589" s="21" t="n">
        <v>5</v>
      </c>
      <c r="K1589" s="21" t="s">
        <v>46</v>
      </c>
      <c r="L1589" s="24" t="n">
        <f aca="false">DATE(YEAR(C1589),MONTH(C1589),1)</f>
        <v>43252</v>
      </c>
      <c r="M1589" s="21" t="n">
        <f aca="false">D1589-C1589</f>
        <v>7</v>
      </c>
      <c r="N1589" s="21" t="n">
        <f aca="false">MAX(0,D1589-E1589)</f>
        <v>0</v>
      </c>
      <c r="O1589" s="21" t="n">
        <f aca="false">IF(D1589&lt;=E1589,1,0)</f>
        <v>1</v>
      </c>
      <c r="P1589" s="23" t="n">
        <f aca="false">G1589+H1589</f>
        <v>134.8</v>
      </c>
      <c r="Q1589" s="23" t="n">
        <f aca="false">G1589*INDEX(Assumptions!$B$8:$B$16,MATCH(F1589,Assumptions!$A$8:$A$16,0))</f>
        <v>74.028</v>
      </c>
      <c r="R1589" s="23" t="n">
        <f aca="false">H1589*Assumptions!$B$3</f>
        <v>9.24</v>
      </c>
      <c r="S1589" s="23" t="n">
        <f aca="false">G1589-Q1589-R1589</f>
        <v>36.132</v>
      </c>
      <c r="T1589" s="21" t="str">
        <f aca="false">IF(M1589&lt;=7,"0-7 days",IF(M1589&lt;=14,"8-14 days",IF(M1589&lt;=21,"15-21 days","22+ days")))</f>
        <v>0-7 days</v>
      </c>
    </row>
    <row r="1590" customFormat="false" ht="15" hidden="false" customHeight="false" outlineLevel="0" collapsed="false">
      <c r="A1590" s="21" t="s">
        <v>1656</v>
      </c>
      <c r="B1590" s="21" t="s">
        <v>62</v>
      </c>
      <c r="C1590" s="22" t="n">
        <v>43271</v>
      </c>
      <c r="D1590" s="22" t="n">
        <v>43294</v>
      </c>
      <c r="E1590" s="22" t="n">
        <v>43291</v>
      </c>
      <c r="F1590" s="21" t="s">
        <v>57</v>
      </c>
      <c r="G1590" s="23" t="n">
        <v>452.84</v>
      </c>
      <c r="H1590" s="23" t="n">
        <v>34.49</v>
      </c>
      <c r="I1590" s="21" t="s">
        <v>45</v>
      </c>
      <c r="J1590" s="21" t="n">
        <v>2</v>
      </c>
      <c r="K1590" s="21" t="s">
        <v>46</v>
      </c>
      <c r="L1590" s="24" t="n">
        <f aca="false">DATE(YEAR(C1590),MONTH(C1590),1)</f>
        <v>43252</v>
      </c>
      <c r="M1590" s="21" t="n">
        <f aca="false">D1590-C1590</f>
        <v>23</v>
      </c>
      <c r="N1590" s="21" t="n">
        <f aca="false">MAX(0,D1590-E1590)</f>
        <v>3</v>
      </c>
      <c r="O1590" s="21" t="n">
        <f aca="false">IF(D1590&lt;=E1590,1,0)</f>
        <v>0</v>
      </c>
      <c r="P1590" s="23" t="n">
        <f aca="false">G1590+H1590</f>
        <v>487.33</v>
      </c>
      <c r="Q1590" s="23" t="n">
        <f aca="false">G1590*INDEX(Assumptions!$B$8:$B$16,MATCH(F1590,Assumptions!$A$8:$A$16,0))</f>
        <v>307.9312</v>
      </c>
      <c r="R1590" s="23" t="n">
        <f aca="false">H1590*Assumptions!$B$3</f>
        <v>20.694</v>
      </c>
      <c r="S1590" s="23" t="n">
        <f aca="false">G1590-Q1590-R1590</f>
        <v>124.2148</v>
      </c>
      <c r="T1590" s="21" t="str">
        <f aca="false">IF(M1590&lt;=7,"0-7 days",IF(M1590&lt;=14,"8-14 days",IF(M1590&lt;=21,"15-21 days","22+ days")))</f>
        <v>22+ days</v>
      </c>
    </row>
    <row r="1591" customFormat="false" ht="15" hidden="false" customHeight="false" outlineLevel="0" collapsed="false">
      <c r="A1591" s="21" t="s">
        <v>1657</v>
      </c>
      <c r="B1591" s="21" t="s">
        <v>52</v>
      </c>
      <c r="C1591" s="22" t="n">
        <v>43272</v>
      </c>
      <c r="D1591" s="22" t="n">
        <v>43291</v>
      </c>
      <c r="E1591" s="22" t="n">
        <v>43297</v>
      </c>
      <c r="F1591" s="21" t="s">
        <v>59</v>
      </c>
      <c r="G1591" s="23" t="n">
        <v>118.12</v>
      </c>
      <c r="H1591" s="23" t="n">
        <v>19.03</v>
      </c>
      <c r="I1591" s="21" t="s">
        <v>50</v>
      </c>
      <c r="J1591" s="21" t="n">
        <v>4</v>
      </c>
      <c r="K1591" s="21" t="s">
        <v>46</v>
      </c>
      <c r="L1591" s="24" t="n">
        <f aca="false">DATE(YEAR(C1591),MONTH(C1591),1)</f>
        <v>43252</v>
      </c>
      <c r="M1591" s="21" t="n">
        <f aca="false">D1591-C1591</f>
        <v>19</v>
      </c>
      <c r="N1591" s="21" t="n">
        <f aca="false">MAX(0,D1591-E1591)</f>
        <v>0</v>
      </c>
      <c r="O1591" s="21" t="n">
        <f aca="false">IF(D1591&lt;=E1591,1,0)</f>
        <v>1</v>
      </c>
      <c r="P1591" s="23" t="n">
        <f aca="false">G1591+H1591</f>
        <v>137.15</v>
      </c>
      <c r="Q1591" s="23" t="n">
        <f aca="false">G1591*INDEX(Assumptions!$B$8:$B$16,MATCH(F1591,Assumptions!$A$8:$A$16,0))</f>
        <v>75.5968</v>
      </c>
      <c r="R1591" s="23" t="n">
        <f aca="false">H1591*Assumptions!$B$3</f>
        <v>11.418</v>
      </c>
      <c r="S1591" s="23" t="n">
        <f aca="false">G1591-Q1591-R1591</f>
        <v>31.1052</v>
      </c>
      <c r="T1591" s="21" t="str">
        <f aca="false">IF(M1591&lt;=7,"0-7 days",IF(M1591&lt;=14,"8-14 days",IF(M1591&lt;=21,"15-21 days","22+ days")))</f>
        <v>15-21 days</v>
      </c>
    </row>
    <row r="1592" customFormat="false" ht="15" hidden="false" customHeight="false" outlineLevel="0" collapsed="false">
      <c r="A1592" s="21" t="s">
        <v>1658</v>
      </c>
      <c r="B1592" s="21" t="s">
        <v>19</v>
      </c>
      <c r="C1592" s="22" t="n">
        <v>43272</v>
      </c>
      <c r="D1592" s="22" t="n">
        <v>43281</v>
      </c>
      <c r="E1592" s="22" t="n">
        <v>43289</v>
      </c>
      <c r="F1592" s="21" t="s">
        <v>111</v>
      </c>
      <c r="G1592" s="23" t="n">
        <v>70.67</v>
      </c>
      <c r="H1592" s="23" t="n">
        <v>19.39</v>
      </c>
      <c r="I1592" s="21" t="s">
        <v>45</v>
      </c>
      <c r="J1592" s="21" t="n">
        <v>4</v>
      </c>
      <c r="K1592" s="21" t="s">
        <v>46</v>
      </c>
      <c r="L1592" s="24" t="n">
        <f aca="false">DATE(YEAR(C1592),MONTH(C1592),1)</f>
        <v>43252</v>
      </c>
      <c r="M1592" s="21" t="n">
        <f aca="false">D1592-C1592</f>
        <v>9</v>
      </c>
      <c r="N1592" s="21" t="n">
        <f aca="false">MAX(0,D1592-E1592)</f>
        <v>0</v>
      </c>
      <c r="O1592" s="21" t="n">
        <f aca="false">IF(D1592&lt;=E1592,1,0)</f>
        <v>1</v>
      </c>
      <c r="P1592" s="23" t="n">
        <f aca="false">G1592+H1592</f>
        <v>90.06</v>
      </c>
      <c r="Q1592" s="23" t="n">
        <f aca="false">G1592*INDEX(Assumptions!$B$8:$B$16,MATCH(F1592,Assumptions!$A$8:$A$16,0))</f>
        <v>44.5221</v>
      </c>
      <c r="R1592" s="23" t="n">
        <f aca="false">H1592*Assumptions!$B$3</f>
        <v>11.634</v>
      </c>
      <c r="S1592" s="23" t="n">
        <f aca="false">G1592-Q1592-R1592</f>
        <v>14.5139</v>
      </c>
      <c r="T1592" s="21" t="str">
        <f aca="false">IF(M1592&lt;=7,"0-7 days",IF(M1592&lt;=14,"8-14 days",IF(M1592&lt;=21,"15-21 days","22+ days")))</f>
        <v>8-14 days</v>
      </c>
    </row>
    <row r="1593" customFormat="false" ht="15" hidden="false" customHeight="false" outlineLevel="0" collapsed="false">
      <c r="A1593" s="21" t="s">
        <v>1659</v>
      </c>
      <c r="B1593" s="21" t="s">
        <v>19</v>
      </c>
      <c r="C1593" s="22" t="n">
        <v>43272</v>
      </c>
      <c r="D1593" s="22" t="n">
        <v>43287</v>
      </c>
      <c r="E1593" s="22" t="n">
        <v>43287</v>
      </c>
      <c r="F1593" s="21" t="s">
        <v>111</v>
      </c>
      <c r="G1593" s="23" t="n">
        <v>67.91</v>
      </c>
      <c r="H1593" s="23" t="n">
        <v>14.43</v>
      </c>
      <c r="I1593" s="21" t="s">
        <v>45</v>
      </c>
      <c r="J1593" s="21" t="n">
        <v>5</v>
      </c>
      <c r="K1593" s="21" t="s">
        <v>46</v>
      </c>
      <c r="L1593" s="24" t="n">
        <f aca="false">DATE(YEAR(C1593),MONTH(C1593),1)</f>
        <v>43252</v>
      </c>
      <c r="M1593" s="21" t="n">
        <f aca="false">D1593-C1593</f>
        <v>15</v>
      </c>
      <c r="N1593" s="21" t="n">
        <f aca="false">MAX(0,D1593-E1593)</f>
        <v>0</v>
      </c>
      <c r="O1593" s="21" t="n">
        <f aca="false">IF(D1593&lt;=E1593,1,0)</f>
        <v>1</v>
      </c>
      <c r="P1593" s="23" t="n">
        <f aca="false">G1593+H1593</f>
        <v>82.34</v>
      </c>
      <c r="Q1593" s="23" t="n">
        <f aca="false">G1593*INDEX(Assumptions!$B$8:$B$16,MATCH(F1593,Assumptions!$A$8:$A$16,0))</f>
        <v>42.7833</v>
      </c>
      <c r="R1593" s="23" t="n">
        <f aca="false">H1593*Assumptions!$B$3</f>
        <v>8.658</v>
      </c>
      <c r="S1593" s="23" t="n">
        <f aca="false">G1593-Q1593-R1593</f>
        <v>16.4687</v>
      </c>
      <c r="T1593" s="21" t="str">
        <f aca="false">IF(M1593&lt;=7,"0-7 days",IF(M1593&lt;=14,"8-14 days",IF(M1593&lt;=21,"15-21 days","22+ days")))</f>
        <v>15-21 days</v>
      </c>
    </row>
    <row r="1594" customFormat="false" ht="15" hidden="false" customHeight="false" outlineLevel="0" collapsed="false">
      <c r="A1594" s="21" t="s">
        <v>1660</v>
      </c>
      <c r="B1594" s="21" t="s">
        <v>19</v>
      </c>
      <c r="C1594" s="22" t="n">
        <v>43272</v>
      </c>
      <c r="D1594" s="22" t="n">
        <v>43279</v>
      </c>
      <c r="E1594" s="22" t="n">
        <v>43287</v>
      </c>
      <c r="F1594" s="21" t="s">
        <v>49</v>
      </c>
      <c r="G1594" s="23" t="n">
        <v>58.01</v>
      </c>
      <c r="H1594" s="23" t="n">
        <v>17.81</v>
      </c>
      <c r="I1594" s="21" t="s">
        <v>45</v>
      </c>
      <c r="J1594" s="21" t="n">
        <v>5</v>
      </c>
      <c r="K1594" s="21" t="s">
        <v>46</v>
      </c>
      <c r="L1594" s="24" t="n">
        <f aca="false">DATE(YEAR(C1594),MONTH(C1594),1)</f>
        <v>43252</v>
      </c>
      <c r="M1594" s="21" t="n">
        <f aca="false">D1594-C1594</f>
        <v>7</v>
      </c>
      <c r="N1594" s="21" t="n">
        <f aca="false">MAX(0,D1594-E1594)</f>
        <v>0</v>
      </c>
      <c r="O1594" s="21" t="n">
        <f aca="false">IF(D1594&lt;=E1594,1,0)</f>
        <v>1</v>
      </c>
      <c r="P1594" s="23" t="n">
        <f aca="false">G1594+H1594</f>
        <v>75.82</v>
      </c>
      <c r="Q1594" s="23" t="n">
        <f aca="false">G1594*INDEX(Assumptions!$B$8:$B$16,MATCH(F1594,Assumptions!$A$8:$A$16,0))</f>
        <v>33.6458</v>
      </c>
      <c r="R1594" s="23" t="n">
        <f aca="false">H1594*Assumptions!$B$3</f>
        <v>10.686</v>
      </c>
      <c r="S1594" s="23" t="n">
        <f aca="false">G1594-Q1594-R1594</f>
        <v>13.6782</v>
      </c>
      <c r="T1594" s="21" t="str">
        <f aca="false">IF(M1594&lt;=7,"0-7 days",IF(M1594&lt;=14,"8-14 days",IF(M1594&lt;=21,"15-21 days","22+ days")))</f>
        <v>0-7 days</v>
      </c>
    </row>
    <row r="1595" customFormat="false" ht="15" hidden="false" customHeight="false" outlineLevel="0" collapsed="false">
      <c r="A1595" s="21" t="s">
        <v>1661</v>
      </c>
      <c r="B1595" s="21" t="s">
        <v>52</v>
      </c>
      <c r="C1595" s="22" t="n">
        <v>43272</v>
      </c>
      <c r="D1595" s="22" t="n">
        <v>43280</v>
      </c>
      <c r="E1595" s="22" t="n">
        <v>43298</v>
      </c>
      <c r="F1595" s="21" t="s">
        <v>64</v>
      </c>
      <c r="G1595" s="23" t="n">
        <v>430.02</v>
      </c>
      <c r="H1595" s="23" t="n">
        <v>35.44</v>
      </c>
      <c r="I1595" s="21" t="s">
        <v>45</v>
      </c>
      <c r="J1595" s="21" t="n">
        <v>4</v>
      </c>
      <c r="K1595" s="21" t="s">
        <v>46</v>
      </c>
      <c r="L1595" s="24" t="n">
        <f aca="false">DATE(YEAR(C1595),MONTH(C1595),1)</f>
        <v>43252</v>
      </c>
      <c r="M1595" s="21" t="n">
        <f aca="false">D1595-C1595</f>
        <v>8</v>
      </c>
      <c r="N1595" s="21" t="n">
        <f aca="false">MAX(0,D1595-E1595)</f>
        <v>0</v>
      </c>
      <c r="O1595" s="21" t="n">
        <f aca="false">IF(D1595&lt;=E1595,1,0)</f>
        <v>1</v>
      </c>
      <c r="P1595" s="23" t="n">
        <f aca="false">G1595+H1595</f>
        <v>465.46</v>
      </c>
      <c r="Q1595" s="23" t="n">
        <f aca="false">G1595*INDEX(Assumptions!$B$8:$B$16,MATCH(F1595,Assumptions!$A$8:$A$16,0))</f>
        <v>283.8132</v>
      </c>
      <c r="R1595" s="23" t="n">
        <f aca="false">H1595*Assumptions!$B$3</f>
        <v>21.264</v>
      </c>
      <c r="S1595" s="23" t="n">
        <f aca="false">G1595-Q1595-R1595</f>
        <v>124.9428</v>
      </c>
      <c r="T1595" s="21" t="str">
        <f aca="false">IF(M1595&lt;=7,"0-7 days",IF(M1595&lt;=14,"8-14 days",IF(M1595&lt;=21,"15-21 days","22+ days")))</f>
        <v>8-14 days</v>
      </c>
    </row>
    <row r="1596" customFormat="false" ht="15" hidden="false" customHeight="false" outlineLevel="0" collapsed="false">
      <c r="A1596" s="21" t="s">
        <v>1662</v>
      </c>
      <c r="B1596" s="21" t="s">
        <v>62</v>
      </c>
      <c r="C1596" s="22" t="n">
        <v>43272</v>
      </c>
      <c r="D1596" s="22" t="n">
        <v>43284</v>
      </c>
      <c r="E1596" s="22" t="n">
        <v>43293</v>
      </c>
      <c r="F1596" s="21" t="s">
        <v>49</v>
      </c>
      <c r="G1596" s="23" t="n">
        <v>71.04</v>
      </c>
      <c r="H1596" s="23" t="n">
        <v>27.51</v>
      </c>
      <c r="I1596" s="21" t="s">
        <v>60</v>
      </c>
      <c r="J1596" s="21" t="n">
        <v>5</v>
      </c>
      <c r="K1596" s="21" t="s">
        <v>46</v>
      </c>
      <c r="L1596" s="24" t="n">
        <f aca="false">DATE(YEAR(C1596),MONTH(C1596),1)</f>
        <v>43252</v>
      </c>
      <c r="M1596" s="21" t="n">
        <f aca="false">D1596-C1596</f>
        <v>12</v>
      </c>
      <c r="N1596" s="21" t="n">
        <f aca="false">MAX(0,D1596-E1596)</f>
        <v>0</v>
      </c>
      <c r="O1596" s="21" t="n">
        <f aca="false">IF(D1596&lt;=E1596,1,0)</f>
        <v>1</v>
      </c>
      <c r="P1596" s="23" t="n">
        <f aca="false">G1596+H1596</f>
        <v>98.55</v>
      </c>
      <c r="Q1596" s="23" t="n">
        <f aca="false">G1596*INDEX(Assumptions!$B$8:$B$16,MATCH(F1596,Assumptions!$A$8:$A$16,0))</f>
        <v>41.2032</v>
      </c>
      <c r="R1596" s="23" t="n">
        <f aca="false">H1596*Assumptions!$B$3</f>
        <v>16.506</v>
      </c>
      <c r="S1596" s="23" t="n">
        <f aca="false">G1596-Q1596-R1596</f>
        <v>13.3308</v>
      </c>
      <c r="T1596" s="21" t="str">
        <f aca="false">IF(M1596&lt;=7,"0-7 days",IF(M1596&lt;=14,"8-14 days",IF(M1596&lt;=21,"15-21 days","22+ days")))</f>
        <v>8-14 days</v>
      </c>
    </row>
    <row r="1597" customFormat="false" ht="15" hidden="false" customHeight="false" outlineLevel="0" collapsed="false">
      <c r="A1597" s="21" t="s">
        <v>1663</v>
      </c>
      <c r="B1597" s="21" t="s">
        <v>19</v>
      </c>
      <c r="C1597" s="22" t="n">
        <v>43272</v>
      </c>
      <c r="D1597" s="22" t="n">
        <v>43276</v>
      </c>
      <c r="E1597" s="22" t="n">
        <v>43284</v>
      </c>
      <c r="F1597" s="21" t="s">
        <v>111</v>
      </c>
      <c r="G1597" s="23" t="n">
        <v>60.4</v>
      </c>
      <c r="H1597" s="23" t="n">
        <v>13.98</v>
      </c>
      <c r="I1597" s="21" t="s">
        <v>60</v>
      </c>
      <c r="J1597" s="21" t="n">
        <v>5</v>
      </c>
      <c r="K1597" s="21" t="s">
        <v>46</v>
      </c>
      <c r="L1597" s="24" t="n">
        <f aca="false">DATE(YEAR(C1597),MONTH(C1597),1)</f>
        <v>43252</v>
      </c>
      <c r="M1597" s="21" t="n">
        <f aca="false">D1597-C1597</f>
        <v>4</v>
      </c>
      <c r="N1597" s="21" t="n">
        <f aca="false">MAX(0,D1597-E1597)</f>
        <v>0</v>
      </c>
      <c r="O1597" s="21" t="n">
        <f aca="false">IF(D1597&lt;=E1597,1,0)</f>
        <v>1</v>
      </c>
      <c r="P1597" s="23" t="n">
        <f aca="false">G1597+H1597</f>
        <v>74.38</v>
      </c>
      <c r="Q1597" s="23" t="n">
        <f aca="false">G1597*INDEX(Assumptions!$B$8:$B$16,MATCH(F1597,Assumptions!$A$8:$A$16,0))</f>
        <v>38.052</v>
      </c>
      <c r="R1597" s="23" t="n">
        <f aca="false">H1597*Assumptions!$B$3</f>
        <v>8.388</v>
      </c>
      <c r="S1597" s="23" t="n">
        <f aca="false">G1597-Q1597-R1597</f>
        <v>13.96</v>
      </c>
      <c r="T1597" s="21" t="str">
        <f aca="false">IF(M1597&lt;=7,"0-7 days",IF(M1597&lt;=14,"8-14 days",IF(M1597&lt;=21,"15-21 days","22+ days")))</f>
        <v>0-7 days</v>
      </c>
    </row>
    <row r="1598" customFormat="false" ht="15" hidden="false" customHeight="false" outlineLevel="0" collapsed="false">
      <c r="A1598" s="21" t="s">
        <v>1664</v>
      </c>
      <c r="B1598" s="21" t="s">
        <v>19</v>
      </c>
      <c r="C1598" s="22" t="n">
        <v>43272</v>
      </c>
      <c r="D1598" s="22" t="n">
        <v>43275</v>
      </c>
      <c r="E1598" s="22" t="n">
        <v>43286</v>
      </c>
      <c r="F1598" s="21" t="s">
        <v>53</v>
      </c>
      <c r="G1598" s="23" t="n">
        <v>77.99</v>
      </c>
      <c r="H1598" s="23" t="n">
        <v>20.67</v>
      </c>
      <c r="I1598" s="21" t="s">
        <v>60</v>
      </c>
      <c r="J1598" s="21" t="n">
        <v>5</v>
      </c>
      <c r="K1598" s="21" t="s">
        <v>46</v>
      </c>
      <c r="L1598" s="24" t="n">
        <f aca="false">DATE(YEAR(C1598),MONTH(C1598),1)</f>
        <v>43252</v>
      </c>
      <c r="M1598" s="21" t="n">
        <f aca="false">D1598-C1598</f>
        <v>3</v>
      </c>
      <c r="N1598" s="21" t="n">
        <f aca="false">MAX(0,D1598-E1598)</f>
        <v>0</v>
      </c>
      <c r="O1598" s="21" t="n">
        <f aca="false">IF(D1598&lt;=E1598,1,0)</f>
        <v>1</v>
      </c>
      <c r="P1598" s="23" t="n">
        <f aca="false">G1598+H1598</f>
        <v>98.66</v>
      </c>
      <c r="Q1598" s="23" t="n">
        <f aca="false">G1598*INDEX(Assumptions!$B$8:$B$16,MATCH(F1598,Assumptions!$A$8:$A$16,0))</f>
        <v>57.7126</v>
      </c>
      <c r="R1598" s="23" t="n">
        <f aca="false">H1598*Assumptions!$B$3</f>
        <v>12.402</v>
      </c>
      <c r="S1598" s="23" t="n">
        <f aca="false">G1598-Q1598-R1598</f>
        <v>7.8754</v>
      </c>
      <c r="T1598" s="21" t="str">
        <f aca="false">IF(M1598&lt;=7,"0-7 days",IF(M1598&lt;=14,"8-14 days",IF(M1598&lt;=21,"15-21 days","22+ days")))</f>
        <v>0-7 days</v>
      </c>
    </row>
    <row r="1599" customFormat="false" ht="15" hidden="false" customHeight="false" outlineLevel="0" collapsed="false">
      <c r="A1599" s="21" t="s">
        <v>1665</v>
      </c>
      <c r="B1599" s="21" t="s">
        <v>52</v>
      </c>
      <c r="C1599" s="22" t="n">
        <v>43273</v>
      </c>
      <c r="D1599" s="22" t="n">
        <v>43291</v>
      </c>
      <c r="E1599" s="22" t="n">
        <v>43296</v>
      </c>
      <c r="F1599" s="21" t="s">
        <v>53</v>
      </c>
      <c r="G1599" s="23" t="n">
        <v>141.64</v>
      </c>
      <c r="H1599" s="23" t="n">
        <v>19.11</v>
      </c>
      <c r="I1599" s="21" t="s">
        <v>60</v>
      </c>
      <c r="J1599" s="21" t="n">
        <v>5</v>
      </c>
      <c r="K1599" s="21" t="s">
        <v>46</v>
      </c>
      <c r="L1599" s="24" t="n">
        <f aca="false">DATE(YEAR(C1599),MONTH(C1599),1)</f>
        <v>43252</v>
      </c>
      <c r="M1599" s="21" t="n">
        <f aca="false">D1599-C1599</f>
        <v>18</v>
      </c>
      <c r="N1599" s="21" t="n">
        <f aca="false">MAX(0,D1599-E1599)</f>
        <v>0</v>
      </c>
      <c r="O1599" s="21" t="n">
        <f aca="false">IF(D1599&lt;=E1599,1,0)</f>
        <v>1</v>
      </c>
      <c r="P1599" s="23" t="n">
        <f aca="false">G1599+H1599</f>
        <v>160.75</v>
      </c>
      <c r="Q1599" s="23" t="n">
        <f aca="false">G1599*INDEX(Assumptions!$B$8:$B$16,MATCH(F1599,Assumptions!$A$8:$A$16,0))</f>
        <v>104.8136</v>
      </c>
      <c r="R1599" s="23" t="n">
        <f aca="false">H1599*Assumptions!$B$3</f>
        <v>11.466</v>
      </c>
      <c r="S1599" s="23" t="n">
        <f aca="false">G1599-Q1599-R1599</f>
        <v>25.3604</v>
      </c>
      <c r="T1599" s="21" t="str">
        <f aca="false">IF(M1599&lt;=7,"0-7 days",IF(M1599&lt;=14,"8-14 days",IF(M1599&lt;=21,"15-21 days","22+ days")))</f>
        <v>15-21 days</v>
      </c>
    </row>
    <row r="1600" customFormat="false" ht="15" hidden="false" customHeight="false" outlineLevel="0" collapsed="false">
      <c r="A1600" s="21" t="s">
        <v>1666</v>
      </c>
      <c r="B1600" s="21" t="s">
        <v>19</v>
      </c>
      <c r="C1600" s="22" t="n">
        <v>43273</v>
      </c>
      <c r="D1600" s="22" t="n">
        <v>43279</v>
      </c>
      <c r="E1600" s="22" t="n">
        <v>43291</v>
      </c>
      <c r="F1600" s="21" t="s">
        <v>79</v>
      </c>
      <c r="G1600" s="23" t="n">
        <v>51.32</v>
      </c>
      <c r="H1600" s="23" t="n">
        <v>13.73</v>
      </c>
      <c r="I1600" s="21" t="s">
        <v>60</v>
      </c>
      <c r="J1600" s="21" t="n">
        <v>3</v>
      </c>
      <c r="K1600" s="21" t="s">
        <v>46</v>
      </c>
      <c r="L1600" s="24" t="n">
        <f aca="false">DATE(YEAR(C1600),MONTH(C1600),1)</f>
        <v>43252</v>
      </c>
      <c r="M1600" s="21" t="n">
        <f aca="false">D1600-C1600</f>
        <v>6</v>
      </c>
      <c r="N1600" s="21" t="n">
        <f aca="false">MAX(0,D1600-E1600)</f>
        <v>0</v>
      </c>
      <c r="O1600" s="21" t="n">
        <f aca="false">IF(D1600&lt;=E1600,1,0)</f>
        <v>1</v>
      </c>
      <c r="P1600" s="23" t="n">
        <f aca="false">G1600+H1600</f>
        <v>65.05</v>
      </c>
      <c r="Q1600" s="23" t="n">
        <f aca="false">G1600*INDEX(Assumptions!$B$8:$B$16,MATCH(F1600,Assumptions!$A$8:$A$16,0))</f>
        <v>35.924</v>
      </c>
      <c r="R1600" s="23" t="n">
        <f aca="false">H1600*Assumptions!$B$3</f>
        <v>8.238</v>
      </c>
      <c r="S1600" s="23" t="n">
        <f aca="false">G1600-Q1600-R1600</f>
        <v>7.158</v>
      </c>
      <c r="T1600" s="21" t="str">
        <f aca="false">IF(M1600&lt;=7,"0-7 days",IF(M1600&lt;=14,"8-14 days",IF(M1600&lt;=21,"15-21 days","22+ days")))</f>
        <v>0-7 days</v>
      </c>
    </row>
    <row r="1601" customFormat="false" ht="15" hidden="false" customHeight="false" outlineLevel="0" collapsed="false">
      <c r="A1601" s="21" t="s">
        <v>1667</v>
      </c>
      <c r="B1601" s="21" t="s">
        <v>19</v>
      </c>
      <c r="C1601" s="22" t="n">
        <v>43273</v>
      </c>
      <c r="D1601" s="22" t="n">
        <v>43278</v>
      </c>
      <c r="E1601" s="22" t="n">
        <v>43289</v>
      </c>
      <c r="F1601" s="21" t="s">
        <v>79</v>
      </c>
      <c r="G1601" s="23" t="n">
        <v>124.68</v>
      </c>
      <c r="H1601" s="23" t="n">
        <v>22.26</v>
      </c>
      <c r="I1601" s="21" t="s">
        <v>45</v>
      </c>
      <c r="J1601" s="21" t="n">
        <v>4</v>
      </c>
      <c r="K1601" s="21" t="s">
        <v>46</v>
      </c>
      <c r="L1601" s="24" t="n">
        <f aca="false">DATE(YEAR(C1601),MONTH(C1601),1)</f>
        <v>43252</v>
      </c>
      <c r="M1601" s="21" t="n">
        <f aca="false">D1601-C1601</f>
        <v>5</v>
      </c>
      <c r="N1601" s="21" t="n">
        <f aca="false">MAX(0,D1601-E1601)</f>
        <v>0</v>
      </c>
      <c r="O1601" s="21" t="n">
        <f aca="false">IF(D1601&lt;=E1601,1,0)</f>
        <v>1</v>
      </c>
      <c r="P1601" s="23" t="n">
        <f aca="false">G1601+H1601</f>
        <v>146.94</v>
      </c>
      <c r="Q1601" s="23" t="n">
        <f aca="false">G1601*INDEX(Assumptions!$B$8:$B$16,MATCH(F1601,Assumptions!$A$8:$A$16,0))</f>
        <v>87.276</v>
      </c>
      <c r="R1601" s="23" t="n">
        <f aca="false">H1601*Assumptions!$B$3</f>
        <v>13.356</v>
      </c>
      <c r="S1601" s="23" t="n">
        <f aca="false">G1601-Q1601-R1601</f>
        <v>24.048</v>
      </c>
      <c r="T1601" s="21" t="str">
        <f aca="false">IF(M1601&lt;=7,"0-7 days",IF(M1601&lt;=14,"8-14 days",IF(M1601&lt;=21,"15-21 days","22+ days")))</f>
        <v>0-7 days</v>
      </c>
    </row>
    <row r="1602" customFormat="false" ht="15" hidden="false" customHeight="false" outlineLevel="0" collapsed="false">
      <c r="A1602" s="21" t="s">
        <v>1668</v>
      </c>
      <c r="B1602" s="21" t="s">
        <v>62</v>
      </c>
      <c r="C1602" s="22" t="n">
        <v>43273</v>
      </c>
      <c r="D1602" s="22" t="n">
        <v>43279</v>
      </c>
      <c r="E1602" s="22" t="n">
        <v>43293</v>
      </c>
      <c r="F1602" s="21" t="s">
        <v>53</v>
      </c>
      <c r="G1602" s="23" t="n">
        <v>127.33</v>
      </c>
      <c r="H1602" s="23" t="n">
        <v>17.42</v>
      </c>
      <c r="I1602" s="21" t="s">
        <v>45</v>
      </c>
      <c r="J1602" s="21" t="n">
        <v>5</v>
      </c>
      <c r="K1602" s="21" t="s">
        <v>46</v>
      </c>
      <c r="L1602" s="24" t="n">
        <f aca="false">DATE(YEAR(C1602),MONTH(C1602),1)</f>
        <v>43252</v>
      </c>
      <c r="M1602" s="21" t="n">
        <f aca="false">D1602-C1602</f>
        <v>6</v>
      </c>
      <c r="N1602" s="21" t="n">
        <f aca="false">MAX(0,D1602-E1602)</f>
        <v>0</v>
      </c>
      <c r="O1602" s="21" t="n">
        <f aca="false">IF(D1602&lt;=E1602,1,0)</f>
        <v>1</v>
      </c>
      <c r="P1602" s="23" t="n">
        <f aca="false">G1602+H1602</f>
        <v>144.75</v>
      </c>
      <c r="Q1602" s="23" t="n">
        <f aca="false">G1602*INDEX(Assumptions!$B$8:$B$16,MATCH(F1602,Assumptions!$A$8:$A$16,0))</f>
        <v>94.2242</v>
      </c>
      <c r="R1602" s="23" t="n">
        <f aca="false">H1602*Assumptions!$B$3</f>
        <v>10.452</v>
      </c>
      <c r="S1602" s="23" t="n">
        <f aca="false">G1602-Q1602-R1602</f>
        <v>22.6538</v>
      </c>
      <c r="T1602" s="21" t="str">
        <f aca="false">IF(M1602&lt;=7,"0-7 days",IF(M1602&lt;=14,"8-14 days",IF(M1602&lt;=21,"15-21 days","22+ days")))</f>
        <v>0-7 days</v>
      </c>
    </row>
    <row r="1603" customFormat="false" ht="15" hidden="false" customHeight="false" outlineLevel="0" collapsed="false">
      <c r="A1603" s="21" t="s">
        <v>1669</v>
      </c>
      <c r="B1603" s="21" t="s">
        <v>48</v>
      </c>
      <c r="C1603" s="22" t="n">
        <v>43273</v>
      </c>
      <c r="D1603" s="22" t="n">
        <v>43287</v>
      </c>
      <c r="E1603" s="22" t="n">
        <v>43293</v>
      </c>
      <c r="F1603" s="21" t="s">
        <v>79</v>
      </c>
      <c r="G1603" s="23" t="n">
        <v>337.19</v>
      </c>
      <c r="H1603" s="23" t="n">
        <v>26.41</v>
      </c>
      <c r="I1603" s="21" t="s">
        <v>45</v>
      </c>
      <c r="J1603" s="21" t="n">
        <v>5</v>
      </c>
      <c r="K1603" s="21" t="s">
        <v>46</v>
      </c>
      <c r="L1603" s="24" t="n">
        <f aca="false">DATE(YEAR(C1603),MONTH(C1603),1)</f>
        <v>43252</v>
      </c>
      <c r="M1603" s="21" t="n">
        <f aca="false">D1603-C1603</f>
        <v>14</v>
      </c>
      <c r="N1603" s="21" t="n">
        <f aca="false">MAX(0,D1603-E1603)</f>
        <v>0</v>
      </c>
      <c r="O1603" s="21" t="n">
        <f aca="false">IF(D1603&lt;=E1603,1,0)</f>
        <v>1</v>
      </c>
      <c r="P1603" s="23" t="n">
        <f aca="false">G1603+H1603</f>
        <v>363.6</v>
      </c>
      <c r="Q1603" s="23" t="n">
        <f aca="false">G1603*INDEX(Assumptions!$B$8:$B$16,MATCH(F1603,Assumptions!$A$8:$A$16,0))</f>
        <v>236.033</v>
      </c>
      <c r="R1603" s="23" t="n">
        <f aca="false">H1603*Assumptions!$B$3</f>
        <v>15.846</v>
      </c>
      <c r="S1603" s="23" t="n">
        <f aca="false">G1603-Q1603-R1603</f>
        <v>85.311</v>
      </c>
      <c r="T1603" s="21" t="str">
        <f aca="false">IF(M1603&lt;=7,"0-7 days",IF(M1603&lt;=14,"8-14 days",IF(M1603&lt;=21,"15-21 days","22+ days")))</f>
        <v>8-14 days</v>
      </c>
    </row>
    <row r="1604" customFormat="false" ht="15" hidden="false" customHeight="false" outlineLevel="0" collapsed="false">
      <c r="A1604" s="21" t="s">
        <v>1670</v>
      </c>
      <c r="B1604" s="21" t="s">
        <v>103</v>
      </c>
      <c r="C1604" s="22" t="n">
        <v>43273</v>
      </c>
      <c r="D1604" s="22" t="n">
        <v>43290</v>
      </c>
      <c r="E1604" s="22" t="n">
        <v>43295</v>
      </c>
      <c r="F1604" s="21" t="s">
        <v>59</v>
      </c>
      <c r="G1604" s="23" t="n">
        <v>111.24</v>
      </c>
      <c r="H1604" s="23" t="n">
        <v>20.92</v>
      </c>
      <c r="I1604" s="21" t="s">
        <v>45</v>
      </c>
      <c r="J1604" s="21" t="n">
        <v>4</v>
      </c>
      <c r="K1604" s="21" t="s">
        <v>46</v>
      </c>
      <c r="L1604" s="24" t="n">
        <f aca="false">DATE(YEAR(C1604),MONTH(C1604),1)</f>
        <v>43252</v>
      </c>
      <c r="M1604" s="21" t="n">
        <f aca="false">D1604-C1604</f>
        <v>17</v>
      </c>
      <c r="N1604" s="21" t="n">
        <f aca="false">MAX(0,D1604-E1604)</f>
        <v>0</v>
      </c>
      <c r="O1604" s="21" t="n">
        <f aca="false">IF(D1604&lt;=E1604,1,0)</f>
        <v>1</v>
      </c>
      <c r="P1604" s="23" t="n">
        <f aca="false">G1604+H1604</f>
        <v>132.16</v>
      </c>
      <c r="Q1604" s="23" t="n">
        <f aca="false">G1604*INDEX(Assumptions!$B$8:$B$16,MATCH(F1604,Assumptions!$A$8:$A$16,0))</f>
        <v>71.1936</v>
      </c>
      <c r="R1604" s="23" t="n">
        <f aca="false">H1604*Assumptions!$B$3</f>
        <v>12.552</v>
      </c>
      <c r="S1604" s="23" t="n">
        <f aca="false">G1604-Q1604-R1604</f>
        <v>27.4944</v>
      </c>
      <c r="T1604" s="21" t="str">
        <f aca="false">IF(M1604&lt;=7,"0-7 days",IF(M1604&lt;=14,"8-14 days",IF(M1604&lt;=21,"15-21 days","22+ days")))</f>
        <v>15-21 days</v>
      </c>
    </row>
    <row r="1605" customFormat="false" ht="15" hidden="false" customHeight="false" outlineLevel="0" collapsed="false">
      <c r="A1605" s="21" t="s">
        <v>1671</v>
      </c>
      <c r="B1605" s="21" t="s">
        <v>19</v>
      </c>
      <c r="C1605" s="22" t="n">
        <v>43274</v>
      </c>
      <c r="D1605" s="22" t="n">
        <v>43286</v>
      </c>
      <c r="E1605" s="22" t="n">
        <v>43288</v>
      </c>
      <c r="F1605" s="21" t="s">
        <v>44</v>
      </c>
      <c r="G1605" s="23" t="n">
        <v>106.79</v>
      </c>
      <c r="H1605" s="23" t="n">
        <v>15.59</v>
      </c>
      <c r="I1605" s="21" t="s">
        <v>45</v>
      </c>
      <c r="J1605" s="21" t="n">
        <v>4</v>
      </c>
      <c r="K1605" s="21" t="s">
        <v>46</v>
      </c>
      <c r="L1605" s="24" t="n">
        <f aca="false">DATE(YEAR(C1605),MONTH(C1605),1)</f>
        <v>43252</v>
      </c>
      <c r="M1605" s="21" t="n">
        <f aca="false">D1605-C1605</f>
        <v>12</v>
      </c>
      <c r="N1605" s="21" t="n">
        <f aca="false">MAX(0,D1605-E1605)</f>
        <v>0</v>
      </c>
      <c r="O1605" s="21" t="n">
        <f aca="false">IF(D1605&lt;=E1605,1,0)</f>
        <v>1</v>
      </c>
      <c r="P1605" s="23" t="n">
        <f aca="false">G1605+H1605</f>
        <v>122.38</v>
      </c>
      <c r="Q1605" s="23" t="n">
        <f aca="false">G1605*INDEX(Assumptions!$B$8:$B$16,MATCH(F1605,Assumptions!$A$8:$A$16,0))</f>
        <v>64.074</v>
      </c>
      <c r="R1605" s="23" t="n">
        <f aca="false">H1605*Assumptions!$B$3</f>
        <v>9.354</v>
      </c>
      <c r="S1605" s="23" t="n">
        <f aca="false">G1605-Q1605-R1605</f>
        <v>33.362</v>
      </c>
      <c r="T1605" s="21" t="str">
        <f aca="false">IF(M1605&lt;=7,"0-7 days",IF(M1605&lt;=14,"8-14 days",IF(M1605&lt;=21,"15-21 days","22+ days")))</f>
        <v>8-14 days</v>
      </c>
    </row>
    <row r="1606" customFormat="false" ht="15" hidden="false" customHeight="false" outlineLevel="0" collapsed="false">
      <c r="A1606" s="21" t="s">
        <v>1672</v>
      </c>
      <c r="B1606" s="21" t="s">
        <v>55</v>
      </c>
      <c r="C1606" s="22" t="n">
        <v>43274</v>
      </c>
      <c r="D1606" s="22" t="n">
        <v>43284</v>
      </c>
      <c r="E1606" s="22" t="n">
        <v>43300</v>
      </c>
      <c r="F1606" s="21" t="s">
        <v>57</v>
      </c>
      <c r="G1606" s="23" t="n">
        <v>175.88</v>
      </c>
      <c r="H1606" s="23" t="n">
        <v>26.33</v>
      </c>
      <c r="I1606" s="21" t="s">
        <v>45</v>
      </c>
      <c r="J1606" s="21" t="n">
        <v>4</v>
      </c>
      <c r="K1606" s="21" t="s">
        <v>46</v>
      </c>
      <c r="L1606" s="24" t="n">
        <f aca="false">DATE(YEAR(C1606),MONTH(C1606),1)</f>
        <v>43252</v>
      </c>
      <c r="M1606" s="21" t="n">
        <f aca="false">D1606-C1606</f>
        <v>10</v>
      </c>
      <c r="N1606" s="21" t="n">
        <f aca="false">MAX(0,D1606-E1606)</f>
        <v>0</v>
      </c>
      <c r="O1606" s="21" t="n">
        <f aca="false">IF(D1606&lt;=E1606,1,0)</f>
        <v>1</v>
      </c>
      <c r="P1606" s="23" t="n">
        <f aca="false">G1606+H1606</f>
        <v>202.21</v>
      </c>
      <c r="Q1606" s="23" t="n">
        <f aca="false">G1606*INDEX(Assumptions!$B$8:$B$16,MATCH(F1606,Assumptions!$A$8:$A$16,0))</f>
        <v>119.5984</v>
      </c>
      <c r="R1606" s="23" t="n">
        <f aca="false">H1606*Assumptions!$B$3</f>
        <v>15.798</v>
      </c>
      <c r="S1606" s="23" t="n">
        <f aca="false">G1606-Q1606-R1606</f>
        <v>40.4836</v>
      </c>
      <c r="T1606" s="21" t="str">
        <f aca="false">IF(M1606&lt;=7,"0-7 days",IF(M1606&lt;=14,"8-14 days",IF(M1606&lt;=21,"15-21 days","22+ days")))</f>
        <v>8-14 days</v>
      </c>
    </row>
    <row r="1607" customFormat="false" ht="15" hidden="false" customHeight="false" outlineLevel="0" collapsed="false">
      <c r="A1607" s="21" t="s">
        <v>1673</v>
      </c>
      <c r="B1607" s="21" t="s">
        <v>19</v>
      </c>
      <c r="C1607" s="22" t="n">
        <v>43274</v>
      </c>
      <c r="D1607" s="22" t="n">
        <v>43278</v>
      </c>
      <c r="E1607" s="22" t="n">
        <v>43288</v>
      </c>
      <c r="F1607" s="21" t="s">
        <v>67</v>
      </c>
      <c r="G1607" s="23" t="n">
        <v>228.47</v>
      </c>
      <c r="H1607" s="23" t="n">
        <v>18.76</v>
      </c>
      <c r="I1607" s="21" t="s">
        <v>45</v>
      </c>
      <c r="J1607" s="21" t="n">
        <v>4</v>
      </c>
      <c r="K1607" s="21" t="s">
        <v>46</v>
      </c>
      <c r="L1607" s="24" t="n">
        <f aca="false">DATE(YEAR(C1607),MONTH(C1607),1)</f>
        <v>43252</v>
      </c>
      <c r="M1607" s="21" t="n">
        <f aca="false">D1607-C1607</f>
        <v>4</v>
      </c>
      <c r="N1607" s="21" t="n">
        <f aca="false">MAX(0,D1607-E1607)</f>
        <v>0</v>
      </c>
      <c r="O1607" s="21" t="n">
        <f aca="false">IF(D1607&lt;=E1607,1,0)</f>
        <v>1</v>
      </c>
      <c r="P1607" s="23" t="n">
        <f aca="false">G1607+H1607</f>
        <v>247.23</v>
      </c>
      <c r="Q1607" s="23" t="n">
        <f aca="false">G1607*INDEX(Assumptions!$B$8:$B$16,MATCH(F1607,Assumptions!$A$8:$A$16,0))</f>
        <v>141.6514</v>
      </c>
      <c r="R1607" s="23" t="n">
        <f aca="false">H1607*Assumptions!$B$3</f>
        <v>11.256</v>
      </c>
      <c r="S1607" s="23" t="n">
        <f aca="false">G1607-Q1607-R1607</f>
        <v>75.5626</v>
      </c>
      <c r="T1607" s="21" t="str">
        <f aca="false">IF(M1607&lt;=7,"0-7 days",IF(M1607&lt;=14,"8-14 days",IF(M1607&lt;=21,"15-21 days","22+ days")))</f>
        <v>0-7 days</v>
      </c>
    </row>
    <row r="1608" customFormat="false" ht="15" hidden="false" customHeight="false" outlineLevel="0" collapsed="false">
      <c r="A1608" s="21" t="s">
        <v>1674</v>
      </c>
      <c r="B1608" s="21" t="s">
        <v>19</v>
      </c>
      <c r="C1608" s="22" t="n">
        <v>43274</v>
      </c>
      <c r="D1608" s="22" t="n">
        <v>43281</v>
      </c>
      <c r="E1608" s="22" t="n">
        <v>43287</v>
      </c>
      <c r="F1608" s="21" t="s">
        <v>44</v>
      </c>
      <c r="G1608" s="23" t="n">
        <v>132.1</v>
      </c>
      <c r="H1608" s="23" t="n">
        <v>20.8</v>
      </c>
      <c r="I1608" s="21" t="s">
        <v>60</v>
      </c>
      <c r="J1608" s="21" t="n">
        <v>5</v>
      </c>
      <c r="K1608" s="21" t="s">
        <v>46</v>
      </c>
      <c r="L1608" s="24" t="n">
        <f aca="false">DATE(YEAR(C1608),MONTH(C1608),1)</f>
        <v>43252</v>
      </c>
      <c r="M1608" s="21" t="n">
        <f aca="false">D1608-C1608</f>
        <v>7</v>
      </c>
      <c r="N1608" s="21" t="n">
        <f aca="false">MAX(0,D1608-E1608)</f>
        <v>0</v>
      </c>
      <c r="O1608" s="21" t="n">
        <f aca="false">IF(D1608&lt;=E1608,1,0)</f>
        <v>1</v>
      </c>
      <c r="P1608" s="23" t="n">
        <f aca="false">G1608+H1608</f>
        <v>152.9</v>
      </c>
      <c r="Q1608" s="23" t="n">
        <f aca="false">G1608*INDEX(Assumptions!$B$8:$B$16,MATCH(F1608,Assumptions!$A$8:$A$16,0))</f>
        <v>79.26</v>
      </c>
      <c r="R1608" s="23" t="n">
        <f aca="false">H1608*Assumptions!$B$3</f>
        <v>12.48</v>
      </c>
      <c r="S1608" s="23" t="n">
        <f aca="false">G1608-Q1608-R1608</f>
        <v>40.36</v>
      </c>
      <c r="T1608" s="21" t="str">
        <f aca="false">IF(M1608&lt;=7,"0-7 days",IF(M1608&lt;=14,"8-14 days",IF(M1608&lt;=21,"15-21 days","22+ days")))</f>
        <v>0-7 days</v>
      </c>
    </row>
    <row r="1609" customFormat="false" ht="15" hidden="false" customHeight="false" outlineLevel="0" collapsed="false">
      <c r="A1609" s="21" t="s">
        <v>1675</v>
      </c>
      <c r="B1609" s="21" t="s">
        <v>55</v>
      </c>
      <c r="C1609" s="22" t="n">
        <v>43274</v>
      </c>
      <c r="D1609" s="22" t="n">
        <v>43290</v>
      </c>
      <c r="E1609" s="22" t="n">
        <v>43297</v>
      </c>
      <c r="F1609" s="21" t="s">
        <v>57</v>
      </c>
      <c r="G1609" s="23" t="n">
        <v>93.3</v>
      </c>
      <c r="H1609" s="23" t="n">
        <v>29.78</v>
      </c>
      <c r="I1609" s="21" t="s">
        <v>50</v>
      </c>
      <c r="J1609" s="21" t="n">
        <v>4</v>
      </c>
      <c r="K1609" s="21" t="s">
        <v>46</v>
      </c>
      <c r="L1609" s="24" t="n">
        <f aca="false">DATE(YEAR(C1609),MONTH(C1609),1)</f>
        <v>43252</v>
      </c>
      <c r="M1609" s="21" t="n">
        <f aca="false">D1609-C1609</f>
        <v>16</v>
      </c>
      <c r="N1609" s="21" t="n">
        <f aca="false">MAX(0,D1609-E1609)</f>
        <v>0</v>
      </c>
      <c r="O1609" s="21" t="n">
        <f aca="false">IF(D1609&lt;=E1609,1,0)</f>
        <v>1</v>
      </c>
      <c r="P1609" s="23" t="n">
        <f aca="false">G1609+H1609</f>
        <v>123.08</v>
      </c>
      <c r="Q1609" s="23" t="n">
        <f aca="false">G1609*INDEX(Assumptions!$B$8:$B$16,MATCH(F1609,Assumptions!$A$8:$A$16,0))</f>
        <v>63.444</v>
      </c>
      <c r="R1609" s="23" t="n">
        <f aca="false">H1609*Assumptions!$B$3</f>
        <v>17.868</v>
      </c>
      <c r="S1609" s="23" t="n">
        <f aca="false">G1609-Q1609-R1609</f>
        <v>11.988</v>
      </c>
      <c r="T1609" s="21" t="str">
        <f aca="false">IF(M1609&lt;=7,"0-7 days",IF(M1609&lt;=14,"8-14 days",IF(M1609&lt;=21,"15-21 days","22+ days")))</f>
        <v>15-21 days</v>
      </c>
    </row>
    <row r="1610" customFormat="false" ht="15" hidden="false" customHeight="false" outlineLevel="0" collapsed="false">
      <c r="A1610" s="21" t="s">
        <v>1676</v>
      </c>
      <c r="B1610" s="21" t="s">
        <v>55</v>
      </c>
      <c r="C1610" s="22" t="n">
        <v>43274</v>
      </c>
      <c r="D1610" s="22" t="n">
        <v>43286</v>
      </c>
      <c r="E1610" s="22" t="n">
        <v>43297</v>
      </c>
      <c r="F1610" s="21" t="s">
        <v>53</v>
      </c>
      <c r="G1610" s="23" t="n">
        <v>106.47</v>
      </c>
      <c r="H1610" s="23" t="n">
        <v>23.74</v>
      </c>
      <c r="I1610" s="21" t="s">
        <v>45</v>
      </c>
      <c r="J1610" s="21" t="n">
        <v>5</v>
      </c>
      <c r="K1610" s="21" t="s">
        <v>46</v>
      </c>
      <c r="L1610" s="24" t="n">
        <f aca="false">DATE(YEAR(C1610),MONTH(C1610),1)</f>
        <v>43252</v>
      </c>
      <c r="M1610" s="21" t="n">
        <f aca="false">D1610-C1610</f>
        <v>12</v>
      </c>
      <c r="N1610" s="21" t="n">
        <f aca="false">MAX(0,D1610-E1610)</f>
        <v>0</v>
      </c>
      <c r="O1610" s="21" t="n">
        <f aca="false">IF(D1610&lt;=E1610,1,0)</f>
        <v>1</v>
      </c>
      <c r="P1610" s="23" t="n">
        <f aca="false">G1610+H1610</f>
        <v>130.21</v>
      </c>
      <c r="Q1610" s="23" t="n">
        <f aca="false">G1610*INDEX(Assumptions!$B$8:$B$16,MATCH(F1610,Assumptions!$A$8:$A$16,0))</f>
        <v>78.7878</v>
      </c>
      <c r="R1610" s="23" t="n">
        <f aca="false">H1610*Assumptions!$B$3</f>
        <v>14.244</v>
      </c>
      <c r="S1610" s="23" t="n">
        <f aca="false">G1610-Q1610-R1610</f>
        <v>13.4382</v>
      </c>
      <c r="T1610" s="21" t="str">
        <f aca="false">IF(M1610&lt;=7,"0-7 days",IF(M1610&lt;=14,"8-14 days",IF(M1610&lt;=21,"15-21 days","22+ days")))</f>
        <v>8-14 days</v>
      </c>
    </row>
    <row r="1611" customFormat="false" ht="15" hidden="false" customHeight="false" outlineLevel="0" collapsed="false">
      <c r="A1611" s="21" t="s">
        <v>1677</v>
      </c>
      <c r="B1611" s="21" t="s">
        <v>19</v>
      </c>
      <c r="C1611" s="22" t="n">
        <v>43274</v>
      </c>
      <c r="D1611" s="22" t="n">
        <v>43281</v>
      </c>
      <c r="E1611" s="22" t="n">
        <v>43290</v>
      </c>
      <c r="F1611" s="21" t="s">
        <v>49</v>
      </c>
      <c r="G1611" s="23" t="n">
        <v>180.97</v>
      </c>
      <c r="H1611" s="23" t="n">
        <v>22.68</v>
      </c>
      <c r="I1611" s="21" t="s">
        <v>45</v>
      </c>
      <c r="J1611" s="21" t="n">
        <v>5</v>
      </c>
      <c r="K1611" s="21" t="s">
        <v>46</v>
      </c>
      <c r="L1611" s="24" t="n">
        <f aca="false">DATE(YEAR(C1611),MONTH(C1611),1)</f>
        <v>43252</v>
      </c>
      <c r="M1611" s="21" t="n">
        <f aca="false">D1611-C1611</f>
        <v>7</v>
      </c>
      <c r="N1611" s="21" t="n">
        <f aca="false">MAX(0,D1611-E1611)</f>
        <v>0</v>
      </c>
      <c r="O1611" s="21" t="n">
        <f aca="false">IF(D1611&lt;=E1611,1,0)</f>
        <v>1</v>
      </c>
      <c r="P1611" s="23" t="n">
        <f aca="false">G1611+H1611</f>
        <v>203.65</v>
      </c>
      <c r="Q1611" s="23" t="n">
        <f aca="false">G1611*INDEX(Assumptions!$B$8:$B$16,MATCH(F1611,Assumptions!$A$8:$A$16,0))</f>
        <v>104.9626</v>
      </c>
      <c r="R1611" s="23" t="n">
        <f aca="false">H1611*Assumptions!$B$3</f>
        <v>13.608</v>
      </c>
      <c r="S1611" s="23" t="n">
        <f aca="false">G1611-Q1611-R1611</f>
        <v>62.3994</v>
      </c>
      <c r="T1611" s="21" t="str">
        <f aca="false">IF(M1611&lt;=7,"0-7 days",IF(M1611&lt;=14,"8-14 days",IF(M1611&lt;=21,"15-21 days","22+ days")))</f>
        <v>0-7 days</v>
      </c>
    </row>
    <row r="1612" customFormat="false" ht="15" hidden="false" customHeight="false" outlineLevel="0" collapsed="false">
      <c r="A1612" s="21" t="s">
        <v>1678</v>
      </c>
      <c r="B1612" s="21" t="s">
        <v>19</v>
      </c>
      <c r="C1612" s="22" t="n">
        <v>43274</v>
      </c>
      <c r="D1612" s="22" t="n">
        <v>43284</v>
      </c>
      <c r="E1612" s="22" t="n">
        <v>43290</v>
      </c>
      <c r="F1612" s="21" t="s">
        <v>111</v>
      </c>
      <c r="G1612" s="23" t="n">
        <v>46.61</v>
      </c>
      <c r="H1612" s="23" t="n">
        <v>15.85</v>
      </c>
      <c r="I1612" s="21" t="s">
        <v>60</v>
      </c>
      <c r="J1612" s="21" t="n">
        <v>4</v>
      </c>
      <c r="K1612" s="21" t="s">
        <v>46</v>
      </c>
      <c r="L1612" s="24" t="n">
        <f aca="false">DATE(YEAR(C1612),MONTH(C1612),1)</f>
        <v>43252</v>
      </c>
      <c r="M1612" s="21" t="n">
        <f aca="false">D1612-C1612</f>
        <v>10</v>
      </c>
      <c r="N1612" s="21" t="n">
        <f aca="false">MAX(0,D1612-E1612)</f>
        <v>0</v>
      </c>
      <c r="O1612" s="21" t="n">
        <f aca="false">IF(D1612&lt;=E1612,1,0)</f>
        <v>1</v>
      </c>
      <c r="P1612" s="23" t="n">
        <f aca="false">G1612+H1612</f>
        <v>62.46</v>
      </c>
      <c r="Q1612" s="23" t="n">
        <f aca="false">G1612*INDEX(Assumptions!$B$8:$B$16,MATCH(F1612,Assumptions!$A$8:$A$16,0))</f>
        <v>29.3643</v>
      </c>
      <c r="R1612" s="23" t="n">
        <f aca="false">H1612*Assumptions!$B$3</f>
        <v>9.51</v>
      </c>
      <c r="S1612" s="23" t="n">
        <f aca="false">G1612-Q1612-R1612</f>
        <v>7.7357</v>
      </c>
      <c r="T1612" s="21" t="str">
        <f aca="false">IF(M1612&lt;=7,"0-7 days",IF(M1612&lt;=14,"8-14 days",IF(M1612&lt;=21,"15-21 days","22+ days")))</f>
        <v>8-14 days</v>
      </c>
    </row>
    <row r="1613" customFormat="false" ht="15" hidden="false" customHeight="false" outlineLevel="0" collapsed="false">
      <c r="A1613" s="21" t="s">
        <v>1679</v>
      </c>
      <c r="B1613" s="21" t="s">
        <v>55</v>
      </c>
      <c r="C1613" s="22" t="n">
        <v>43274</v>
      </c>
      <c r="D1613" s="22" t="n">
        <v>43287</v>
      </c>
      <c r="E1613" s="22" t="n">
        <v>43297</v>
      </c>
      <c r="F1613" s="21" t="s">
        <v>44</v>
      </c>
      <c r="G1613" s="23" t="n">
        <v>143.66</v>
      </c>
      <c r="H1613" s="23" t="n">
        <v>19.48</v>
      </c>
      <c r="I1613" s="21" t="s">
        <v>45</v>
      </c>
      <c r="J1613" s="21" t="n">
        <v>3</v>
      </c>
      <c r="K1613" s="21" t="s">
        <v>46</v>
      </c>
      <c r="L1613" s="24" t="n">
        <f aca="false">DATE(YEAR(C1613),MONTH(C1613),1)</f>
        <v>43252</v>
      </c>
      <c r="M1613" s="21" t="n">
        <f aca="false">D1613-C1613</f>
        <v>13</v>
      </c>
      <c r="N1613" s="21" t="n">
        <f aca="false">MAX(0,D1613-E1613)</f>
        <v>0</v>
      </c>
      <c r="O1613" s="21" t="n">
        <f aca="false">IF(D1613&lt;=E1613,1,0)</f>
        <v>1</v>
      </c>
      <c r="P1613" s="23" t="n">
        <f aca="false">G1613+H1613</f>
        <v>163.14</v>
      </c>
      <c r="Q1613" s="23" t="n">
        <f aca="false">G1613*INDEX(Assumptions!$B$8:$B$16,MATCH(F1613,Assumptions!$A$8:$A$16,0))</f>
        <v>86.196</v>
      </c>
      <c r="R1613" s="23" t="n">
        <f aca="false">H1613*Assumptions!$B$3</f>
        <v>11.688</v>
      </c>
      <c r="S1613" s="23" t="n">
        <f aca="false">G1613-Q1613-R1613</f>
        <v>45.776</v>
      </c>
      <c r="T1613" s="21" t="str">
        <f aca="false">IF(M1613&lt;=7,"0-7 days",IF(M1613&lt;=14,"8-14 days",IF(M1613&lt;=21,"15-21 days","22+ days")))</f>
        <v>8-14 days</v>
      </c>
    </row>
    <row r="1614" customFormat="false" ht="15" hidden="false" customHeight="false" outlineLevel="0" collapsed="false">
      <c r="A1614" s="21" t="s">
        <v>1680</v>
      </c>
      <c r="B1614" s="21" t="s">
        <v>103</v>
      </c>
      <c r="C1614" s="22" t="n">
        <v>43274</v>
      </c>
      <c r="D1614" s="22" t="n">
        <v>43293</v>
      </c>
      <c r="E1614" s="22" t="n">
        <v>43294</v>
      </c>
      <c r="F1614" s="21" t="s">
        <v>67</v>
      </c>
      <c r="G1614" s="23" t="n">
        <v>115.9</v>
      </c>
      <c r="H1614" s="23" t="n">
        <v>30.89</v>
      </c>
      <c r="I1614" s="21" t="s">
        <v>45</v>
      </c>
      <c r="J1614" s="21" t="n">
        <v>5</v>
      </c>
      <c r="K1614" s="21" t="s">
        <v>46</v>
      </c>
      <c r="L1614" s="24" t="n">
        <f aca="false">DATE(YEAR(C1614),MONTH(C1614),1)</f>
        <v>43252</v>
      </c>
      <c r="M1614" s="21" t="n">
        <f aca="false">D1614-C1614</f>
        <v>19</v>
      </c>
      <c r="N1614" s="21" t="n">
        <f aca="false">MAX(0,D1614-E1614)</f>
        <v>0</v>
      </c>
      <c r="O1614" s="21" t="n">
        <f aca="false">IF(D1614&lt;=E1614,1,0)</f>
        <v>1</v>
      </c>
      <c r="P1614" s="23" t="n">
        <f aca="false">G1614+H1614</f>
        <v>146.79</v>
      </c>
      <c r="Q1614" s="23" t="n">
        <f aca="false">G1614*INDEX(Assumptions!$B$8:$B$16,MATCH(F1614,Assumptions!$A$8:$A$16,0))</f>
        <v>71.858</v>
      </c>
      <c r="R1614" s="23" t="n">
        <f aca="false">H1614*Assumptions!$B$3</f>
        <v>18.534</v>
      </c>
      <c r="S1614" s="23" t="n">
        <f aca="false">G1614-Q1614-R1614</f>
        <v>25.508</v>
      </c>
      <c r="T1614" s="21" t="str">
        <f aca="false">IF(M1614&lt;=7,"0-7 days",IF(M1614&lt;=14,"8-14 days",IF(M1614&lt;=21,"15-21 days","22+ days")))</f>
        <v>15-21 days</v>
      </c>
    </row>
    <row r="1615" customFormat="false" ht="15" hidden="false" customHeight="false" outlineLevel="0" collapsed="false">
      <c r="A1615" s="21" t="s">
        <v>1681</v>
      </c>
      <c r="B1615" s="21" t="s">
        <v>55</v>
      </c>
      <c r="C1615" s="22" t="n">
        <v>43275</v>
      </c>
      <c r="D1615" s="22" t="n">
        <v>43289</v>
      </c>
      <c r="E1615" s="22" t="n">
        <v>43301</v>
      </c>
      <c r="F1615" s="21" t="s">
        <v>49</v>
      </c>
      <c r="G1615" s="23" t="n">
        <v>42.89</v>
      </c>
      <c r="H1615" s="23" t="n">
        <v>19.9</v>
      </c>
      <c r="I1615" s="21" t="s">
        <v>45</v>
      </c>
      <c r="J1615" s="21" t="n">
        <v>4</v>
      </c>
      <c r="K1615" s="21" t="s">
        <v>46</v>
      </c>
      <c r="L1615" s="24" t="n">
        <f aca="false">DATE(YEAR(C1615),MONTH(C1615),1)</f>
        <v>43252</v>
      </c>
      <c r="M1615" s="21" t="n">
        <f aca="false">D1615-C1615</f>
        <v>14</v>
      </c>
      <c r="N1615" s="21" t="n">
        <f aca="false">MAX(0,D1615-E1615)</f>
        <v>0</v>
      </c>
      <c r="O1615" s="21" t="n">
        <f aca="false">IF(D1615&lt;=E1615,1,0)</f>
        <v>1</v>
      </c>
      <c r="P1615" s="23" t="n">
        <f aca="false">G1615+H1615</f>
        <v>62.79</v>
      </c>
      <c r="Q1615" s="23" t="n">
        <f aca="false">G1615*INDEX(Assumptions!$B$8:$B$16,MATCH(F1615,Assumptions!$A$8:$A$16,0))</f>
        <v>24.8762</v>
      </c>
      <c r="R1615" s="23" t="n">
        <f aca="false">H1615*Assumptions!$B$3</f>
        <v>11.94</v>
      </c>
      <c r="S1615" s="23" t="n">
        <f aca="false">G1615-Q1615-R1615</f>
        <v>6.0738</v>
      </c>
      <c r="T1615" s="21" t="str">
        <f aca="false">IF(M1615&lt;=7,"0-7 days",IF(M1615&lt;=14,"8-14 days",IF(M1615&lt;=21,"15-21 days","22+ days")))</f>
        <v>8-14 days</v>
      </c>
    </row>
    <row r="1616" customFormat="false" ht="15" hidden="false" customHeight="false" outlineLevel="0" collapsed="false">
      <c r="A1616" s="21" t="s">
        <v>1682</v>
      </c>
      <c r="B1616" s="21" t="s">
        <v>62</v>
      </c>
      <c r="C1616" s="22" t="n">
        <v>43275</v>
      </c>
      <c r="D1616" s="22" t="n">
        <v>43298</v>
      </c>
      <c r="E1616" s="22" t="n">
        <v>43294</v>
      </c>
      <c r="F1616" s="21" t="s">
        <v>64</v>
      </c>
      <c r="G1616" s="23" t="n">
        <v>135.63</v>
      </c>
      <c r="H1616" s="23" t="n">
        <v>26.81</v>
      </c>
      <c r="I1616" s="21" t="s">
        <v>60</v>
      </c>
      <c r="J1616" s="21" t="n">
        <v>2</v>
      </c>
      <c r="K1616" s="21" t="s">
        <v>46</v>
      </c>
      <c r="L1616" s="24" t="n">
        <f aca="false">DATE(YEAR(C1616),MONTH(C1616),1)</f>
        <v>43252</v>
      </c>
      <c r="M1616" s="21" t="n">
        <f aca="false">D1616-C1616</f>
        <v>23</v>
      </c>
      <c r="N1616" s="21" t="n">
        <f aca="false">MAX(0,D1616-E1616)</f>
        <v>4</v>
      </c>
      <c r="O1616" s="21" t="n">
        <f aca="false">IF(D1616&lt;=E1616,1,0)</f>
        <v>0</v>
      </c>
      <c r="P1616" s="23" t="n">
        <f aca="false">G1616+H1616</f>
        <v>162.44</v>
      </c>
      <c r="Q1616" s="23" t="n">
        <f aca="false">G1616*INDEX(Assumptions!$B$8:$B$16,MATCH(F1616,Assumptions!$A$8:$A$16,0))</f>
        <v>89.5158</v>
      </c>
      <c r="R1616" s="23" t="n">
        <f aca="false">H1616*Assumptions!$B$3</f>
        <v>16.086</v>
      </c>
      <c r="S1616" s="23" t="n">
        <f aca="false">G1616-Q1616-R1616</f>
        <v>30.0282</v>
      </c>
      <c r="T1616" s="21" t="str">
        <f aca="false">IF(M1616&lt;=7,"0-7 days",IF(M1616&lt;=14,"8-14 days",IF(M1616&lt;=21,"15-21 days","22+ days")))</f>
        <v>22+ days</v>
      </c>
    </row>
    <row r="1617" customFormat="false" ht="15" hidden="false" customHeight="false" outlineLevel="0" collapsed="false">
      <c r="A1617" s="21" t="s">
        <v>1683</v>
      </c>
      <c r="B1617" s="21" t="s">
        <v>19</v>
      </c>
      <c r="C1617" s="22" t="n">
        <v>43275</v>
      </c>
      <c r="D1617" s="22" t="n">
        <v>43280</v>
      </c>
      <c r="E1617" s="22" t="n">
        <v>43290</v>
      </c>
      <c r="F1617" s="21" t="s">
        <v>44</v>
      </c>
      <c r="G1617" s="23" t="n">
        <v>80.6</v>
      </c>
      <c r="H1617" s="23" t="n">
        <v>17.85</v>
      </c>
      <c r="I1617" s="21" t="s">
        <v>60</v>
      </c>
      <c r="J1617" s="21" t="n">
        <v>3</v>
      </c>
      <c r="K1617" s="21" t="s">
        <v>46</v>
      </c>
      <c r="L1617" s="24" t="n">
        <f aca="false">DATE(YEAR(C1617),MONTH(C1617),1)</f>
        <v>43252</v>
      </c>
      <c r="M1617" s="21" t="n">
        <f aca="false">D1617-C1617</f>
        <v>5</v>
      </c>
      <c r="N1617" s="21" t="n">
        <f aca="false">MAX(0,D1617-E1617)</f>
        <v>0</v>
      </c>
      <c r="O1617" s="21" t="n">
        <f aca="false">IF(D1617&lt;=E1617,1,0)</f>
        <v>1</v>
      </c>
      <c r="P1617" s="23" t="n">
        <f aca="false">G1617+H1617</f>
        <v>98.45</v>
      </c>
      <c r="Q1617" s="23" t="n">
        <f aca="false">G1617*INDEX(Assumptions!$B$8:$B$16,MATCH(F1617,Assumptions!$A$8:$A$16,0))</f>
        <v>48.36</v>
      </c>
      <c r="R1617" s="23" t="n">
        <f aca="false">H1617*Assumptions!$B$3</f>
        <v>10.71</v>
      </c>
      <c r="S1617" s="23" t="n">
        <f aca="false">G1617-Q1617-R1617</f>
        <v>21.53</v>
      </c>
      <c r="T1617" s="21" t="str">
        <f aca="false">IF(M1617&lt;=7,"0-7 days",IF(M1617&lt;=14,"8-14 days",IF(M1617&lt;=21,"15-21 days","22+ days")))</f>
        <v>0-7 days</v>
      </c>
    </row>
    <row r="1618" customFormat="false" ht="15" hidden="false" customHeight="false" outlineLevel="0" collapsed="false">
      <c r="A1618" s="21" t="s">
        <v>1684</v>
      </c>
      <c r="B1618" s="21" t="s">
        <v>19</v>
      </c>
      <c r="C1618" s="22" t="n">
        <v>43275</v>
      </c>
      <c r="D1618" s="22" t="n">
        <v>43279</v>
      </c>
      <c r="E1618" s="22" t="n">
        <v>43288</v>
      </c>
      <c r="F1618" s="21" t="s">
        <v>64</v>
      </c>
      <c r="G1618" s="23" t="n">
        <v>132.8</v>
      </c>
      <c r="H1618" s="23" t="n">
        <v>14.5</v>
      </c>
      <c r="I1618" s="21" t="s">
        <v>45</v>
      </c>
      <c r="J1618" s="21" t="n">
        <v>5</v>
      </c>
      <c r="K1618" s="21" t="s">
        <v>46</v>
      </c>
      <c r="L1618" s="24" t="n">
        <f aca="false">DATE(YEAR(C1618),MONTH(C1618),1)</f>
        <v>43252</v>
      </c>
      <c r="M1618" s="21" t="n">
        <f aca="false">D1618-C1618</f>
        <v>4</v>
      </c>
      <c r="N1618" s="21" t="n">
        <f aca="false">MAX(0,D1618-E1618)</f>
        <v>0</v>
      </c>
      <c r="O1618" s="21" t="n">
        <f aca="false">IF(D1618&lt;=E1618,1,0)</f>
        <v>1</v>
      </c>
      <c r="P1618" s="23" t="n">
        <f aca="false">G1618+H1618</f>
        <v>147.3</v>
      </c>
      <c r="Q1618" s="23" t="n">
        <f aca="false">G1618*INDEX(Assumptions!$B$8:$B$16,MATCH(F1618,Assumptions!$A$8:$A$16,0))</f>
        <v>87.648</v>
      </c>
      <c r="R1618" s="23" t="n">
        <f aca="false">H1618*Assumptions!$B$3</f>
        <v>8.7</v>
      </c>
      <c r="S1618" s="23" t="n">
        <f aca="false">G1618-Q1618-R1618</f>
        <v>36.452</v>
      </c>
      <c r="T1618" s="21" t="str">
        <f aca="false">IF(M1618&lt;=7,"0-7 days",IF(M1618&lt;=14,"8-14 days",IF(M1618&lt;=21,"15-21 days","22+ days")))</f>
        <v>0-7 days</v>
      </c>
    </row>
    <row r="1619" customFormat="false" ht="15" hidden="false" customHeight="false" outlineLevel="0" collapsed="false">
      <c r="A1619" s="21" t="s">
        <v>1685</v>
      </c>
      <c r="B1619" s="21" t="s">
        <v>52</v>
      </c>
      <c r="C1619" s="22" t="n">
        <v>43275</v>
      </c>
      <c r="D1619" s="22" t="n">
        <v>43286</v>
      </c>
      <c r="E1619" s="22" t="n">
        <v>43300</v>
      </c>
      <c r="F1619" s="21" t="s">
        <v>57</v>
      </c>
      <c r="G1619" s="23" t="n">
        <v>101.36</v>
      </c>
      <c r="H1619" s="23" t="n">
        <v>26.51</v>
      </c>
      <c r="I1619" s="21" t="s">
        <v>50</v>
      </c>
      <c r="J1619" s="21" t="n">
        <v>5</v>
      </c>
      <c r="K1619" s="21" t="s">
        <v>46</v>
      </c>
      <c r="L1619" s="24" t="n">
        <f aca="false">DATE(YEAR(C1619),MONTH(C1619),1)</f>
        <v>43252</v>
      </c>
      <c r="M1619" s="21" t="n">
        <f aca="false">D1619-C1619</f>
        <v>11</v>
      </c>
      <c r="N1619" s="21" t="n">
        <f aca="false">MAX(0,D1619-E1619)</f>
        <v>0</v>
      </c>
      <c r="O1619" s="21" t="n">
        <f aca="false">IF(D1619&lt;=E1619,1,0)</f>
        <v>1</v>
      </c>
      <c r="P1619" s="23" t="n">
        <f aca="false">G1619+H1619</f>
        <v>127.87</v>
      </c>
      <c r="Q1619" s="23" t="n">
        <f aca="false">G1619*INDEX(Assumptions!$B$8:$B$16,MATCH(F1619,Assumptions!$A$8:$A$16,0))</f>
        <v>68.9248</v>
      </c>
      <c r="R1619" s="23" t="n">
        <f aca="false">H1619*Assumptions!$B$3</f>
        <v>15.906</v>
      </c>
      <c r="S1619" s="23" t="n">
        <f aca="false">G1619-Q1619-R1619</f>
        <v>16.5292</v>
      </c>
      <c r="T1619" s="21" t="str">
        <f aca="false">IF(M1619&lt;=7,"0-7 days",IF(M1619&lt;=14,"8-14 days",IF(M1619&lt;=21,"15-21 days","22+ days")))</f>
        <v>8-14 days</v>
      </c>
    </row>
    <row r="1620" customFormat="false" ht="15" hidden="false" customHeight="false" outlineLevel="0" collapsed="false">
      <c r="A1620" s="21" t="s">
        <v>1686</v>
      </c>
      <c r="B1620" s="21" t="s">
        <v>19</v>
      </c>
      <c r="C1620" s="22" t="n">
        <v>43275</v>
      </c>
      <c r="D1620" s="22" t="n">
        <v>43285</v>
      </c>
      <c r="E1620" s="22" t="n">
        <v>43290</v>
      </c>
      <c r="F1620" s="21" t="s">
        <v>57</v>
      </c>
      <c r="G1620" s="23" t="n">
        <v>53.02</v>
      </c>
      <c r="H1620" s="23" t="n">
        <v>15.88</v>
      </c>
      <c r="I1620" s="21" t="s">
        <v>45</v>
      </c>
      <c r="J1620" s="21" t="n">
        <v>4</v>
      </c>
      <c r="K1620" s="21" t="s">
        <v>46</v>
      </c>
      <c r="L1620" s="24" t="n">
        <f aca="false">DATE(YEAR(C1620),MONTH(C1620),1)</f>
        <v>43252</v>
      </c>
      <c r="M1620" s="21" t="n">
        <f aca="false">D1620-C1620</f>
        <v>10</v>
      </c>
      <c r="N1620" s="21" t="n">
        <f aca="false">MAX(0,D1620-E1620)</f>
        <v>0</v>
      </c>
      <c r="O1620" s="21" t="n">
        <f aca="false">IF(D1620&lt;=E1620,1,0)</f>
        <v>1</v>
      </c>
      <c r="P1620" s="23" t="n">
        <f aca="false">G1620+H1620</f>
        <v>68.9</v>
      </c>
      <c r="Q1620" s="23" t="n">
        <f aca="false">G1620*INDEX(Assumptions!$B$8:$B$16,MATCH(F1620,Assumptions!$A$8:$A$16,0))</f>
        <v>36.0536</v>
      </c>
      <c r="R1620" s="23" t="n">
        <f aca="false">H1620*Assumptions!$B$3</f>
        <v>9.528</v>
      </c>
      <c r="S1620" s="23" t="n">
        <f aca="false">G1620-Q1620-R1620</f>
        <v>7.4384</v>
      </c>
      <c r="T1620" s="21" t="str">
        <f aca="false">IF(M1620&lt;=7,"0-7 days",IF(M1620&lt;=14,"8-14 days",IF(M1620&lt;=21,"15-21 days","22+ days")))</f>
        <v>8-14 days</v>
      </c>
    </row>
    <row r="1621" customFormat="false" ht="15" hidden="false" customHeight="false" outlineLevel="0" collapsed="false">
      <c r="A1621" s="21" t="s">
        <v>1687</v>
      </c>
      <c r="B1621" s="21" t="s">
        <v>19</v>
      </c>
      <c r="C1621" s="22" t="n">
        <v>43275</v>
      </c>
      <c r="D1621" s="22" t="n">
        <v>43282</v>
      </c>
      <c r="E1621" s="22" t="n">
        <v>43292</v>
      </c>
      <c r="F1621" s="21" t="s">
        <v>49</v>
      </c>
      <c r="G1621" s="23" t="n">
        <v>42.1</v>
      </c>
      <c r="H1621" s="23" t="n">
        <v>17.26</v>
      </c>
      <c r="I1621" s="21" t="s">
        <v>45</v>
      </c>
      <c r="J1621" s="21" t="n">
        <v>5</v>
      </c>
      <c r="K1621" s="21" t="s">
        <v>46</v>
      </c>
      <c r="L1621" s="24" t="n">
        <f aca="false">DATE(YEAR(C1621),MONTH(C1621),1)</f>
        <v>43252</v>
      </c>
      <c r="M1621" s="21" t="n">
        <f aca="false">D1621-C1621</f>
        <v>7</v>
      </c>
      <c r="N1621" s="21" t="n">
        <f aca="false">MAX(0,D1621-E1621)</f>
        <v>0</v>
      </c>
      <c r="O1621" s="21" t="n">
        <f aca="false">IF(D1621&lt;=E1621,1,0)</f>
        <v>1</v>
      </c>
      <c r="P1621" s="23" t="n">
        <f aca="false">G1621+H1621</f>
        <v>59.36</v>
      </c>
      <c r="Q1621" s="23" t="n">
        <f aca="false">G1621*INDEX(Assumptions!$B$8:$B$16,MATCH(F1621,Assumptions!$A$8:$A$16,0))</f>
        <v>24.418</v>
      </c>
      <c r="R1621" s="23" t="n">
        <f aca="false">H1621*Assumptions!$B$3</f>
        <v>10.356</v>
      </c>
      <c r="S1621" s="23" t="n">
        <f aca="false">G1621-Q1621-R1621</f>
        <v>7.326</v>
      </c>
      <c r="T1621" s="21" t="str">
        <f aca="false">IF(M1621&lt;=7,"0-7 days",IF(M1621&lt;=14,"8-14 days",IF(M1621&lt;=21,"15-21 days","22+ days")))</f>
        <v>0-7 days</v>
      </c>
    </row>
    <row r="1622" customFormat="false" ht="15" hidden="false" customHeight="false" outlineLevel="0" collapsed="false">
      <c r="A1622" s="21" t="s">
        <v>1688</v>
      </c>
      <c r="B1622" s="21" t="s">
        <v>62</v>
      </c>
      <c r="C1622" s="22" t="n">
        <v>43275</v>
      </c>
      <c r="D1622" s="22" t="n">
        <v>43286</v>
      </c>
      <c r="E1622" s="22" t="n">
        <v>43296</v>
      </c>
      <c r="F1622" s="21" t="s">
        <v>64</v>
      </c>
      <c r="G1622" s="23" t="n">
        <v>99.53</v>
      </c>
      <c r="H1622" s="23" t="n">
        <v>20.96</v>
      </c>
      <c r="I1622" s="21" t="s">
        <v>45</v>
      </c>
      <c r="J1622" s="21" t="n">
        <v>4</v>
      </c>
      <c r="K1622" s="21" t="s">
        <v>46</v>
      </c>
      <c r="L1622" s="24" t="n">
        <f aca="false">DATE(YEAR(C1622),MONTH(C1622),1)</f>
        <v>43252</v>
      </c>
      <c r="M1622" s="21" t="n">
        <f aca="false">D1622-C1622</f>
        <v>11</v>
      </c>
      <c r="N1622" s="21" t="n">
        <f aca="false">MAX(0,D1622-E1622)</f>
        <v>0</v>
      </c>
      <c r="O1622" s="21" t="n">
        <f aca="false">IF(D1622&lt;=E1622,1,0)</f>
        <v>1</v>
      </c>
      <c r="P1622" s="23" t="n">
        <f aca="false">G1622+H1622</f>
        <v>120.49</v>
      </c>
      <c r="Q1622" s="23" t="n">
        <f aca="false">G1622*INDEX(Assumptions!$B$8:$B$16,MATCH(F1622,Assumptions!$A$8:$A$16,0))</f>
        <v>65.6898</v>
      </c>
      <c r="R1622" s="23" t="n">
        <f aca="false">H1622*Assumptions!$B$3</f>
        <v>12.576</v>
      </c>
      <c r="S1622" s="23" t="n">
        <f aca="false">G1622-Q1622-R1622</f>
        <v>21.2642</v>
      </c>
      <c r="T1622" s="21" t="str">
        <f aca="false">IF(M1622&lt;=7,"0-7 days",IF(M1622&lt;=14,"8-14 days",IF(M1622&lt;=21,"15-21 days","22+ days")))</f>
        <v>8-14 days</v>
      </c>
    </row>
    <row r="1623" customFormat="false" ht="15" hidden="false" customHeight="false" outlineLevel="0" collapsed="false">
      <c r="A1623" s="21" t="s">
        <v>1689</v>
      </c>
      <c r="B1623" s="21" t="s">
        <v>52</v>
      </c>
      <c r="C1623" s="22" t="n">
        <v>43275</v>
      </c>
      <c r="D1623" s="22" t="n">
        <v>43295</v>
      </c>
      <c r="E1623" s="22" t="n">
        <v>43300</v>
      </c>
      <c r="F1623" s="21" t="s">
        <v>59</v>
      </c>
      <c r="G1623" s="23" t="n">
        <v>158.52</v>
      </c>
      <c r="H1623" s="23" t="n">
        <v>28.29</v>
      </c>
      <c r="I1623" s="21" t="s">
        <v>45</v>
      </c>
      <c r="J1623" s="21" t="n">
        <v>4</v>
      </c>
      <c r="K1623" s="21" t="s">
        <v>46</v>
      </c>
      <c r="L1623" s="24" t="n">
        <f aca="false">DATE(YEAR(C1623),MONTH(C1623),1)</f>
        <v>43252</v>
      </c>
      <c r="M1623" s="21" t="n">
        <f aca="false">D1623-C1623</f>
        <v>20</v>
      </c>
      <c r="N1623" s="21" t="n">
        <f aca="false">MAX(0,D1623-E1623)</f>
        <v>0</v>
      </c>
      <c r="O1623" s="21" t="n">
        <f aca="false">IF(D1623&lt;=E1623,1,0)</f>
        <v>1</v>
      </c>
      <c r="P1623" s="23" t="n">
        <f aca="false">G1623+H1623</f>
        <v>186.81</v>
      </c>
      <c r="Q1623" s="23" t="n">
        <f aca="false">G1623*INDEX(Assumptions!$B$8:$B$16,MATCH(F1623,Assumptions!$A$8:$A$16,0))</f>
        <v>101.4528</v>
      </c>
      <c r="R1623" s="23" t="n">
        <f aca="false">H1623*Assumptions!$B$3</f>
        <v>16.974</v>
      </c>
      <c r="S1623" s="23" t="n">
        <f aca="false">G1623-Q1623-R1623</f>
        <v>40.0932</v>
      </c>
      <c r="T1623" s="21" t="str">
        <f aca="false">IF(M1623&lt;=7,"0-7 days",IF(M1623&lt;=14,"8-14 days",IF(M1623&lt;=21,"15-21 days","22+ days")))</f>
        <v>15-21 days</v>
      </c>
    </row>
    <row r="1624" customFormat="false" ht="15" hidden="false" customHeight="false" outlineLevel="0" collapsed="false">
      <c r="A1624" s="21" t="s">
        <v>1690</v>
      </c>
      <c r="B1624" s="21" t="s">
        <v>19</v>
      </c>
      <c r="C1624" s="22" t="n">
        <v>43276</v>
      </c>
      <c r="D1624" s="22" t="n">
        <v>43287</v>
      </c>
      <c r="E1624" s="22" t="n">
        <v>43295</v>
      </c>
      <c r="F1624" s="21" t="s">
        <v>53</v>
      </c>
      <c r="G1624" s="23" t="n">
        <v>168.98</v>
      </c>
      <c r="H1624" s="23" t="n">
        <v>18.91</v>
      </c>
      <c r="I1624" s="21" t="s">
        <v>45</v>
      </c>
      <c r="J1624" s="21" t="n">
        <v>5</v>
      </c>
      <c r="K1624" s="21" t="s">
        <v>46</v>
      </c>
      <c r="L1624" s="24" t="n">
        <f aca="false">DATE(YEAR(C1624),MONTH(C1624),1)</f>
        <v>43252</v>
      </c>
      <c r="M1624" s="21" t="n">
        <f aca="false">D1624-C1624</f>
        <v>11</v>
      </c>
      <c r="N1624" s="21" t="n">
        <f aca="false">MAX(0,D1624-E1624)</f>
        <v>0</v>
      </c>
      <c r="O1624" s="21" t="n">
        <f aca="false">IF(D1624&lt;=E1624,1,0)</f>
        <v>1</v>
      </c>
      <c r="P1624" s="23" t="n">
        <f aca="false">G1624+H1624</f>
        <v>187.89</v>
      </c>
      <c r="Q1624" s="23" t="n">
        <f aca="false">G1624*INDEX(Assumptions!$B$8:$B$16,MATCH(F1624,Assumptions!$A$8:$A$16,0))</f>
        <v>125.0452</v>
      </c>
      <c r="R1624" s="23" t="n">
        <f aca="false">H1624*Assumptions!$B$3</f>
        <v>11.346</v>
      </c>
      <c r="S1624" s="23" t="n">
        <f aca="false">G1624-Q1624-R1624</f>
        <v>32.5888</v>
      </c>
      <c r="T1624" s="21" t="str">
        <f aca="false">IF(M1624&lt;=7,"0-7 days",IF(M1624&lt;=14,"8-14 days",IF(M1624&lt;=21,"15-21 days","22+ days")))</f>
        <v>8-14 days</v>
      </c>
    </row>
    <row r="1625" customFormat="false" ht="15" hidden="false" customHeight="false" outlineLevel="0" collapsed="false">
      <c r="A1625" s="21" t="s">
        <v>1691</v>
      </c>
      <c r="B1625" s="21" t="s">
        <v>62</v>
      </c>
      <c r="C1625" s="22" t="n">
        <v>43276</v>
      </c>
      <c r="D1625" s="22" t="n">
        <v>43292</v>
      </c>
      <c r="E1625" s="22" t="n">
        <v>43297</v>
      </c>
      <c r="F1625" s="21" t="s">
        <v>53</v>
      </c>
      <c r="G1625" s="23" t="n">
        <v>99.17</v>
      </c>
      <c r="H1625" s="23" t="n">
        <v>21.39</v>
      </c>
      <c r="I1625" s="21" t="s">
        <v>60</v>
      </c>
      <c r="J1625" s="21" t="n">
        <v>4</v>
      </c>
      <c r="K1625" s="21" t="s">
        <v>46</v>
      </c>
      <c r="L1625" s="24" t="n">
        <f aca="false">DATE(YEAR(C1625),MONTH(C1625),1)</f>
        <v>43252</v>
      </c>
      <c r="M1625" s="21" t="n">
        <f aca="false">D1625-C1625</f>
        <v>16</v>
      </c>
      <c r="N1625" s="21" t="n">
        <f aca="false">MAX(0,D1625-E1625)</f>
        <v>0</v>
      </c>
      <c r="O1625" s="21" t="n">
        <f aca="false">IF(D1625&lt;=E1625,1,0)</f>
        <v>1</v>
      </c>
      <c r="P1625" s="23" t="n">
        <f aca="false">G1625+H1625</f>
        <v>120.56</v>
      </c>
      <c r="Q1625" s="23" t="n">
        <f aca="false">G1625*INDEX(Assumptions!$B$8:$B$16,MATCH(F1625,Assumptions!$A$8:$A$16,0))</f>
        <v>73.3858</v>
      </c>
      <c r="R1625" s="23" t="n">
        <f aca="false">H1625*Assumptions!$B$3</f>
        <v>12.834</v>
      </c>
      <c r="S1625" s="23" t="n">
        <f aca="false">G1625-Q1625-R1625</f>
        <v>12.9502</v>
      </c>
      <c r="T1625" s="21" t="str">
        <f aca="false">IF(M1625&lt;=7,"0-7 days",IF(M1625&lt;=14,"8-14 days",IF(M1625&lt;=21,"15-21 days","22+ days")))</f>
        <v>15-21 days</v>
      </c>
    </row>
    <row r="1626" customFormat="false" ht="15" hidden="false" customHeight="false" outlineLevel="0" collapsed="false">
      <c r="A1626" s="21" t="s">
        <v>1692</v>
      </c>
      <c r="B1626" s="21" t="s">
        <v>201</v>
      </c>
      <c r="C1626" s="22" t="n">
        <v>43276</v>
      </c>
      <c r="D1626" s="22" t="n">
        <v>43305</v>
      </c>
      <c r="E1626" s="22" t="n">
        <v>43310</v>
      </c>
      <c r="F1626" s="21" t="s">
        <v>67</v>
      </c>
      <c r="G1626" s="23" t="n">
        <v>41.03</v>
      </c>
      <c r="H1626" s="23" t="n">
        <v>44.49</v>
      </c>
      <c r="I1626" s="21" t="s">
        <v>45</v>
      </c>
      <c r="J1626" s="21" t="n">
        <v>4</v>
      </c>
      <c r="K1626" s="21" t="s">
        <v>46</v>
      </c>
      <c r="L1626" s="24" t="n">
        <f aca="false">DATE(YEAR(C1626),MONTH(C1626),1)</f>
        <v>43252</v>
      </c>
      <c r="M1626" s="21" t="n">
        <f aca="false">D1626-C1626</f>
        <v>29</v>
      </c>
      <c r="N1626" s="21" t="n">
        <f aca="false">MAX(0,D1626-E1626)</f>
        <v>0</v>
      </c>
      <c r="O1626" s="21" t="n">
        <f aca="false">IF(D1626&lt;=E1626,1,0)</f>
        <v>1</v>
      </c>
      <c r="P1626" s="23" t="n">
        <f aca="false">G1626+H1626</f>
        <v>85.52</v>
      </c>
      <c r="Q1626" s="23" t="n">
        <f aca="false">G1626*INDEX(Assumptions!$B$8:$B$16,MATCH(F1626,Assumptions!$A$8:$A$16,0))</f>
        <v>25.4386</v>
      </c>
      <c r="R1626" s="23" t="n">
        <f aca="false">H1626*Assumptions!$B$3</f>
        <v>26.694</v>
      </c>
      <c r="S1626" s="23" t="n">
        <f aca="false">G1626-Q1626-R1626</f>
        <v>-11.1026</v>
      </c>
      <c r="T1626" s="21" t="str">
        <f aca="false">IF(M1626&lt;=7,"0-7 days",IF(M1626&lt;=14,"8-14 days",IF(M1626&lt;=21,"15-21 days","22+ days")))</f>
        <v>22+ days</v>
      </c>
    </row>
    <row r="1627" customFormat="false" ht="15" hidden="false" customHeight="false" outlineLevel="0" collapsed="false">
      <c r="A1627" s="21" t="s">
        <v>1693</v>
      </c>
      <c r="B1627" s="21" t="s">
        <v>201</v>
      </c>
      <c r="C1627" s="22" t="n">
        <v>43276</v>
      </c>
      <c r="D1627" s="22" t="n">
        <v>43289</v>
      </c>
      <c r="E1627" s="22" t="n">
        <v>43308</v>
      </c>
      <c r="F1627" s="21" t="s">
        <v>111</v>
      </c>
      <c r="G1627" s="23" t="n">
        <v>105.25</v>
      </c>
      <c r="H1627" s="23" t="n">
        <v>47.35</v>
      </c>
      <c r="I1627" s="21" t="s">
        <v>45</v>
      </c>
      <c r="J1627" s="21" t="n">
        <v>5</v>
      </c>
      <c r="K1627" s="21" t="s">
        <v>46</v>
      </c>
      <c r="L1627" s="24" t="n">
        <f aca="false">DATE(YEAR(C1627),MONTH(C1627),1)</f>
        <v>43252</v>
      </c>
      <c r="M1627" s="21" t="n">
        <f aca="false">D1627-C1627</f>
        <v>13</v>
      </c>
      <c r="N1627" s="21" t="n">
        <f aca="false">MAX(0,D1627-E1627)</f>
        <v>0</v>
      </c>
      <c r="O1627" s="21" t="n">
        <f aca="false">IF(D1627&lt;=E1627,1,0)</f>
        <v>1</v>
      </c>
      <c r="P1627" s="23" t="n">
        <f aca="false">G1627+H1627</f>
        <v>152.6</v>
      </c>
      <c r="Q1627" s="23" t="n">
        <f aca="false">G1627*INDEX(Assumptions!$B$8:$B$16,MATCH(F1627,Assumptions!$A$8:$A$16,0))</f>
        <v>66.3075</v>
      </c>
      <c r="R1627" s="23" t="n">
        <f aca="false">H1627*Assumptions!$B$3</f>
        <v>28.41</v>
      </c>
      <c r="S1627" s="23" t="n">
        <f aca="false">G1627-Q1627-R1627</f>
        <v>10.5325</v>
      </c>
      <c r="T1627" s="21" t="str">
        <f aca="false">IF(M1627&lt;=7,"0-7 days",IF(M1627&lt;=14,"8-14 days",IF(M1627&lt;=21,"15-21 days","22+ days")))</f>
        <v>8-14 days</v>
      </c>
    </row>
    <row r="1628" customFormat="false" ht="15" hidden="false" customHeight="false" outlineLevel="0" collapsed="false">
      <c r="A1628" s="21" t="s">
        <v>1694</v>
      </c>
      <c r="B1628" s="21" t="s">
        <v>55</v>
      </c>
      <c r="C1628" s="22" t="n">
        <v>43276</v>
      </c>
      <c r="D1628" s="22" t="n">
        <v>43286</v>
      </c>
      <c r="E1628" s="22" t="n">
        <v>43300</v>
      </c>
      <c r="F1628" s="21" t="s">
        <v>111</v>
      </c>
      <c r="G1628" s="23" t="n">
        <v>53.17</v>
      </c>
      <c r="H1628" s="23" t="n">
        <v>17.5</v>
      </c>
      <c r="I1628" s="21" t="s">
        <v>45</v>
      </c>
      <c r="J1628" s="21" t="n">
        <v>5</v>
      </c>
      <c r="K1628" s="21" t="s">
        <v>46</v>
      </c>
      <c r="L1628" s="24" t="n">
        <f aca="false">DATE(YEAR(C1628),MONTH(C1628),1)</f>
        <v>43252</v>
      </c>
      <c r="M1628" s="21" t="n">
        <f aca="false">D1628-C1628</f>
        <v>10</v>
      </c>
      <c r="N1628" s="21" t="n">
        <f aca="false">MAX(0,D1628-E1628)</f>
        <v>0</v>
      </c>
      <c r="O1628" s="21" t="n">
        <f aca="false">IF(D1628&lt;=E1628,1,0)</f>
        <v>1</v>
      </c>
      <c r="P1628" s="23" t="n">
        <f aca="false">G1628+H1628</f>
        <v>70.67</v>
      </c>
      <c r="Q1628" s="23" t="n">
        <f aca="false">G1628*INDEX(Assumptions!$B$8:$B$16,MATCH(F1628,Assumptions!$A$8:$A$16,0))</f>
        <v>33.4971</v>
      </c>
      <c r="R1628" s="23" t="n">
        <f aca="false">H1628*Assumptions!$B$3</f>
        <v>10.5</v>
      </c>
      <c r="S1628" s="23" t="n">
        <f aca="false">G1628-Q1628-R1628</f>
        <v>9.1729</v>
      </c>
      <c r="T1628" s="21" t="str">
        <f aca="false">IF(M1628&lt;=7,"0-7 days",IF(M1628&lt;=14,"8-14 days",IF(M1628&lt;=21,"15-21 days","22+ days")))</f>
        <v>8-14 days</v>
      </c>
    </row>
    <row r="1629" customFormat="false" ht="15" hidden="false" customHeight="false" outlineLevel="0" collapsed="false">
      <c r="A1629" s="21" t="s">
        <v>1695</v>
      </c>
      <c r="B1629" s="21" t="s">
        <v>19</v>
      </c>
      <c r="C1629" s="22" t="n">
        <v>43276</v>
      </c>
      <c r="D1629" s="22" t="n">
        <v>43282</v>
      </c>
      <c r="E1629" s="22" t="n">
        <v>43290</v>
      </c>
      <c r="F1629" s="21" t="s">
        <v>57</v>
      </c>
      <c r="G1629" s="23" t="n">
        <v>86.27</v>
      </c>
      <c r="H1629" s="23" t="n">
        <v>18.7</v>
      </c>
      <c r="I1629" s="21" t="s">
        <v>45</v>
      </c>
      <c r="J1629" s="21" t="n">
        <v>4</v>
      </c>
      <c r="K1629" s="21" t="s">
        <v>46</v>
      </c>
      <c r="L1629" s="24" t="n">
        <f aca="false">DATE(YEAR(C1629),MONTH(C1629),1)</f>
        <v>43252</v>
      </c>
      <c r="M1629" s="21" t="n">
        <f aca="false">D1629-C1629</f>
        <v>6</v>
      </c>
      <c r="N1629" s="21" t="n">
        <f aca="false">MAX(0,D1629-E1629)</f>
        <v>0</v>
      </c>
      <c r="O1629" s="21" t="n">
        <f aca="false">IF(D1629&lt;=E1629,1,0)</f>
        <v>1</v>
      </c>
      <c r="P1629" s="23" t="n">
        <f aca="false">G1629+H1629</f>
        <v>104.97</v>
      </c>
      <c r="Q1629" s="23" t="n">
        <f aca="false">G1629*INDEX(Assumptions!$B$8:$B$16,MATCH(F1629,Assumptions!$A$8:$A$16,0))</f>
        <v>58.6636</v>
      </c>
      <c r="R1629" s="23" t="n">
        <f aca="false">H1629*Assumptions!$B$3</f>
        <v>11.22</v>
      </c>
      <c r="S1629" s="23" t="n">
        <f aca="false">G1629-Q1629-R1629</f>
        <v>16.3864</v>
      </c>
      <c r="T1629" s="21" t="str">
        <f aca="false">IF(M1629&lt;=7,"0-7 days",IF(M1629&lt;=14,"8-14 days",IF(M1629&lt;=21,"15-21 days","22+ days")))</f>
        <v>0-7 days</v>
      </c>
    </row>
    <row r="1630" customFormat="false" ht="15" hidden="false" customHeight="false" outlineLevel="0" collapsed="false">
      <c r="A1630" s="21" t="s">
        <v>1696</v>
      </c>
      <c r="B1630" s="21" t="s">
        <v>19</v>
      </c>
      <c r="C1630" s="22" t="n">
        <v>43276</v>
      </c>
      <c r="D1630" s="22" t="n">
        <v>43282</v>
      </c>
      <c r="E1630" s="22" t="n">
        <v>43291</v>
      </c>
      <c r="F1630" s="21" t="s">
        <v>67</v>
      </c>
      <c r="G1630" s="23" t="n">
        <v>44.22</v>
      </c>
      <c r="H1630" s="23" t="n">
        <v>13.04</v>
      </c>
      <c r="I1630" s="21" t="s">
        <v>104</v>
      </c>
      <c r="J1630" s="21" t="n">
        <v>4</v>
      </c>
      <c r="K1630" s="21" t="s">
        <v>46</v>
      </c>
      <c r="L1630" s="24" t="n">
        <f aca="false">DATE(YEAR(C1630),MONTH(C1630),1)</f>
        <v>43252</v>
      </c>
      <c r="M1630" s="21" t="n">
        <f aca="false">D1630-C1630</f>
        <v>6</v>
      </c>
      <c r="N1630" s="21" t="n">
        <f aca="false">MAX(0,D1630-E1630)</f>
        <v>0</v>
      </c>
      <c r="O1630" s="21" t="n">
        <f aca="false">IF(D1630&lt;=E1630,1,0)</f>
        <v>1</v>
      </c>
      <c r="P1630" s="23" t="n">
        <f aca="false">G1630+H1630</f>
        <v>57.26</v>
      </c>
      <c r="Q1630" s="23" t="n">
        <f aca="false">G1630*INDEX(Assumptions!$B$8:$B$16,MATCH(F1630,Assumptions!$A$8:$A$16,0))</f>
        <v>27.4164</v>
      </c>
      <c r="R1630" s="23" t="n">
        <f aca="false">H1630*Assumptions!$B$3</f>
        <v>7.824</v>
      </c>
      <c r="S1630" s="23" t="n">
        <f aca="false">G1630-Q1630-R1630</f>
        <v>8.9796</v>
      </c>
      <c r="T1630" s="21" t="str">
        <f aca="false">IF(M1630&lt;=7,"0-7 days",IF(M1630&lt;=14,"8-14 days",IF(M1630&lt;=21,"15-21 days","22+ days")))</f>
        <v>0-7 days</v>
      </c>
    </row>
    <row r="1631" customFormat="false" ht="15" hidden="false" customHeight="false" outlineLevel="0" collapsed="false">
      <c r="A1631" s="21" t="s">
        <v>1697</v>
      </c>
      <c r="B1631" s="21" t="s">
        <v>19</v>
      </c>
      <c r="C1631" s="22" t="n">
        <v>43276</v>
      </c>
      <c r="D1631" s="22" t="n">
        <v>43284</v>
      </c>
      <c r="E1631" s="22" t="n">
        <v>43294</v>
      </c>
      <c r="F1631" s="21" t="s">
        <v>111</v>
      </c>
      <c r="G1631" s="23" t="n">
        <v>73.47</v>
      </c>
      <c r="H1631" s="23" t="n">
        <v>15.51</v>
      </c>
      <c r="I1631" s="21" t="s">
        <v>45</v>
      </c>
      <c r="J1631" s="21" t="n">
        <v>4</v>
      </c>
      <c r="K1631" s="21" t="s">
        <v>46</v>
      </c>
      <c r="L1631" s="24" t="n">
        <f aca="false">DATE(YEAR(C1631),MONTH(C1631),1)</f>
        <v>43252</v>
      </c>
      <c r="M1631" s="21" t="n">
        <f aca="false">D1631-C1631</f>
        <v>8</v>
      </c>
      <c r="N1631" s="21" t="n">
        <f aca="false">MAX(0,D1631-E1631)</f>
        <v>0</v>
      </c>
      <c r="O1631" s="21" t="n">
        <f aca="false">IF(D1631&lt;=E1631,1,0)</f>
        <v>1</v>
      </c>
      <c r="P1631" s="23" t="n">
        <f aca="false">G1631+H1631</f>
        <v>88.98</v>
      </c>
      <c r="Q1631" s="23" t="n">
        <f aca="false">G1631*INDEX(Assumptions!$B$8:$B$16,MATCH(F1631,Assumptions!$A$8:$A$16,0))</f>
        <v>46.2861</v>
      </c>
      <c r="R1631" s="23" t="n">
        <f aca="false">H1631*Assumptions!$B$3</f>
        <v>9.306</v>
      </c>
      <c r="S1631" s="23" t="n">
        <f aca="false">G1631-Q1631-R1631</f>
        <v>17.8779</v>
      </c>
      <c r="T1631" s="21" t="str">
        <f aca="false">IF(M1631&lt;=7,"0-7 days",IF(M1631&lt;=14,"8-14 days",IF(M1631&lt;=21,"15-21 days","22+ days")))</f>
        <v>8-14 days</v>
      </c>
    </row>
    <row r="1632" customFormat="false" ht="15" hidden="false" customHeight="false" outlineLevel="0" collapsed="false">
      <c r="A1632" s="21" t="s">
        <v>1698</v>
      </c>
      <c r="B1632" s="21" t="s">
        <v>55</v>
      </c>
      <c r="C1632" s="22" t="n">
        <v>43277</v>
      </c>
      <c r="D1632" s="22" t="n">
        <v>43291</v>
      </c>
      <c r="E1632" s="22" t="n">
        <v>43300</v>
      </c>
      <c r="F1632" s="21" t="s">
        <v>59</v>
      </c>
      <c r="G1632" s="23" t="n">
        <v>124.69</v>
      </c>
      <c r="H1632" s="23" t="n">
        <v>18.08</v>
      </c>
      <c r="I1632" s="21" t="s">
        <v>45</v>
      </c>
      <c r="J1632" s="21" t="n">
        <v>4</v>
      </c>
      <c r="K1632" s="21" t="s">
        <v>46</v>
      </c>
      <c r="L1632" s="24" t="n">
        <f aca="false">DATE(YEAR(C1632),MONTH(C1632),1)</f>
        <v>43252</v>
      </c>
      <c r="M1632" s="21" t="n">
        <f aca="false">D1632-C1632</f>
        <v>14</v>
      </c>
      <c r="N1632" s="21" t="n">
        <f aca="false">MAX(0,D1632-E1632)</f>
        <v>0</v>
      </c>
      <c r="O1632" s="21" t="n">
        <f aca="false">IF(D1632&lt;=E1632,1,0)</f>
        <v>1</v>
      </c>
      <c r="P1632" s="23" t="n">
        <f aca="false">G1632+H1632</f>
        <v>142.77</v>
      </c>
      <c r="Q1632" s="23" t="n">
        <f aca="false">G1632*INDEX(Assumptions!$B$8:$B$16,MATCH(F1632,Assumptions!$A$8:$A$16,0))</f>
        <v>79.8016</v>
      </c>
      <c r="R1632" s="23" t="n">
        <f aca="false">H1632*Assumptions!$B$3</f>
        <v>10.848</v>
      </c>
      <c r="S1632" s="23" t="n">
        <f aca="false">G1632-Q1632-R1632</f>
        <v>34.0404</v>
      </c>
      <c r="T1632" s="21" t="str">
        <f aca="false">IF(M1632&lt;=7,"0-7 days",IF(M1632&lt;=14,"8-14 days",IF(M1632&lt;=21,"15-21 days","22+ days")))</f>
        <v>8-14 days</v>
      </c>
    </row>
    <row r="1633" customFormat="false" ht="15" hidden="false" customHeight="false" outlineLevel="0" collapsed="false">
      <c r="A1633" s="21" t="s">
        <v>1699</v>
      </c>
      <c r="B1633" s="21" t="s">
        <v>19</v>
      </c>
      <c r="C1633" s="22" t="n">
        <v>43277</v>
      </c>
      <c r="D1633" s="22" t="n">
        <v>43295</v>
      </c>
      <c r="E1633" s="22" t="n">
        <v>43292</v>
      </c>
      <c r="F1633" s="21" t="s">
        <v>67</v>
      </c>
      <c r="G1633" s="23" t="n">
        <v>69.76</v>
      </c>
      <c r="H1633" s="23" t="n">
        <v>19.08</v>
      </c>
      <c r="I1633" s="21" t="s">
        <v>45</v>
      </c>
      <c r="J1633" s="21" t="n">
        <v>2</v>
      </c>
      <c r="K1633" s="21" t="s">
        <v>46</v>
      </c>
      <c r="L1633" s="24" t="n">
        <f aca="false">DATE(YEAR(C1633),MONTH(C1633),1)</f>
        <v>43252</v>
      </c>
      <c r="M1633" s="21" t="n">
        <f aca="false">D1633-C1633</f>
        <v>18</v>
      </c>
      <c r="N1633" s="21" t="n">
        <f aca="false">MAX(0,D1633-E1633)</f>
        <v>3</v>
      </c>
      <c r="O1633" s="21" t="n">
        <f aca="false">IF(D1633&lt;=E1633,1,0)</f>
        <v>0</v>
      </c>
      <c r="P1633" s="23" t="n">
        <f aca="false">G1633+H1633</f>
        <v>88.84</v>
      </c>
      <c r="Q1633" s="23" t="n">
        <f aca="false">G1633*INDEX(Assumptions!$B$8:$B$16,MATCH(F1633,Assumptions!$A$8:$A$16,0))</f>
        <v>43.2512</v>
      </c>
      <c r="R1633" s="23" t="n">
        <f aca="false">H1633*Assumptions!$B$3</f>
        <v>11.448</v>
      </c>
      <c r="S1633" s="23" t="n">
        <f aca="false">G1633-Q1633-R1633</f>
        <v>15.0608</v>
      </c>
      <c r="T1633" s="21" t="str">
        <f aca="false">IF(M1633&lt;=7,"0-7 days",IF(M1633&lt;=14,"8-14 days",IF(M1633&lt;=21,"15-21 days","22+ days")))</f>
        <v>15-21 days</v>
      </c>
    </row>
    <row r="1634" customFormat="false" ht="15" hidden="false" customHeight="false" outlineLevel="0" collapsed="false">
      <c r="A1634" s="21" t="s">
        <v>1700</v>
      </c>
      <c r="B1634" s="21" t="s">
        <v>19</v>
      </c>
      <c r="C1634" s="22" t="n">
        <v>43277</v>
      </c>
      <c r="D1634" s="22" t="n">
        <v>43287</v>
      </c>
      <c r="E1634" s="22" t="n">
        <v>43292</v>
      </c>
      <c r="F1634" s="21" t="s">
        <v>79</v>
      </c>
      <c r="G1634" s="23" t="n">
        <v>88.6</v>
      </c>
      <c r="H1634" s="23" t="n">
        <v>18.59</v>
      </c>
      <c r="I1634" s="21" t="s">
        <v>45</v>
      </c>
      <c r="J1634" s="21" t="n">
        <v>4</v>
      </c>
      <c r="K1634" s="21" t="s">
        <v>46</v>
      </c>
      <c r="L1634" s="24" t="n">
        <f aca="false">DATE(YEAR(C1634),MONTH(C1634),1)</f>
        <v>43252</v>
      </c>
      <c r="M1634" s="21" t="n">
        <f aca="false">D1634-C1634</f>
        <v>10</v>
      </c>
      <c r="N1634" s="21" t="n">
        <f aca="false">MAX(0,D1634-E1634)</f>
        <v>0</v>
      </c>
      <c r="O1634" s="21" t="n">
        <f aca="false">IF(D1634&lt;=E1634,1,0)</f>
        <v>1</v>
      </c>
      <c r="P1634" s="23" t="n">
        <f aca="false">G1634+H1634</f>
        <v>107.19</v>
      </c>
      <c r="Q1634" s="23" t="n">
        <f aca="false">G1634*INDEX(Assumptions!$B$8:$B$16,MATCH(F1634,Assumptions!$A$8:$A$16,0))</f>
        <v>62.02</v>
      </c>
      <c r="R1634" s="23" t="n">
        <f aca="false">H1634*Assumptions!$B$3</f>
        <v>11.154</v>
      </c>
      <c r="S1634" s="23" t="n">
        <f aca="false">G1634-Q1634-R1634</f>
        <v>15.426</v>
      </c>
      <c r="T1634" s="21" t="str">
        <f aca="false">IF(M1634&lt;=7,"0-7 days",IF(M1634&lt;=14,"8-14 days",IF(M1634&lt;=21,"15-21 days","22+ days")))</f>
        <v>8-14 days</v>
      </c>
    </row>
    <row r="1635" customFormat="false" ht="15" hidden="false" customHeight="false" outlineLevel="0" collapsed="false">
      <c r="A1635" s="21" t="s">
        <v>1701</v>
      </c>
      <c r="B1635" s="21" t="s">
        <v>103</v>
      </c>
      <c r="C1635" s="22" t="n">
        <v>43277</v>
      </c>
      <c r="D1635" s="22" t="n">
        <v>43289</v>
      </c>
      <c r="E1635" s="22" t="n">
        <v>43298</v>
      </c>
      <c r="F1635" s="21" t="s">
        <v>59</v>
      </c>
      <c r="G1635" s="23" t="n">
        <v>54.33</v>
      </c>
      <c r="H1635" s="23" t="n">
        <v>29.13</v>
      </c>
      <c r="I1635" s="21" t="s">
        <v>45</v>
      </c>
      <c r="J1635" s="21" t="n">
        <v>5</v>
      </c>
      <c r="K1635" s="21" t="s">
        <v>46</v>
      </c>
      <c r="L1635" s="24" t="n">
        <f aca="false">DATE(YEAR(C1635),MONTH(C1635),1)</f>
        <v>43252</v>
      </c>
      <c r="M1635" s="21" t="n">
        <f aca="false">D1635-C1635</f>
        <v>12</v>
      </c>
      <c r="N1635" s="21" t="n">
        <f aca="false">MAX(0,D1635-E1635)</f>
        <v>0</v>
      </c>
      <c r="O1635" s="21" t="n">
        <f aca="false">IF(D1635&lt;=E1635,1,0)</f>
        <v>1</v>
      </c>
      <c r="P1635" s="23" t="n">
        <f aca="false">G1635+H1635</f>
        <v>83.46</v>
      </c>
      <c r="Q1635" s="23" t="n">
        <f aca="false">G1635*INDEX(Assumptions!$B$8:$B$16,MATCH(F1635,Assumptions!$A$8:$A$16,0))</f>
        <v>34.7712</v>
      </c>
      <c r="R1635" s="23" t="n">
        <f aca="false">H1635*Assumptions!$B$3</f>
        <v>17.478</v>
      </c>
      <c r="S1635" s="23" t="n">
        <f aca="false">G1635-Q1635-R1635</f>
        <v>2.0808</v>
      </c>
      <c r="T1635" s="21" t="str">
        <f aca="false">IF(M1635&lt;=7,"0-7 days",IF(M1635&lt;=14,"8-14 days",IF(M1635&lt;=21,"15-21 days","22+ days")))</f>
        <v>8-14 days</v>
      </c>
    </row>
    <row r="1636" customFormat="false" ht="15" hidden="false" customHeight="false" outlineLevel="0" collapsed="false">
      <c r="A1636" s="21" t="s">
        <v>1702</v>
      </c>
      <c r="B1636" s="21" t="s">
        <v>55</v>
      </c>
      <c r="C1636" s="22" t="n">
        <v>43277</v>
      </c>
      <c r="D1636" s="22" t="n">
        <v>43288</v>
      </c>
      <c r="E1636" s="22" t="n">
        <v>43302</v>
      </c>
      <c r="F1636" s="21" t="s">
        <v>59</v>
      </c>
      <c r="G1636" s="23" t="n">
        <v>66.57</v>
      </c>
      <c r="H1636" s="23" t="n">
        <v>22.1</v>
      </c>
      <c r="I1636" s="21" t="s">
        <v>50</v>
      </c>
      <c r="J1636" s="21" t="n">
        <v>4</v>
      </c>
      <c r="K1636" s="21" t="s">
        <v>46</v>
      </c>
      <c r="L1636" s="24" t="n">
        <f aca="false">DATE(YEAR(C1636),MONTH(C1636),1)</f>
        <v>43252</v>
      </c>
      <c r="M1636" s="21" t="n">
        <f aca="false">D1636-C1636</f>
        <v>11</v>
      </c>
      <c r="N1636" s="21" t="n">
        <f aca="false">MAX(0,D1636-E1636)</f>
        <v>0</v>
      </c>
      <c r="O1636" s="21" t="n">
        <f aca="false">IF(D1636&lt;=E1636,1,0)</f>
        <v>1</v>
      </c>
      <c r="P1636" s="23" t="n">
        <f aca="false">G1636+H1636</f>
        <v>88.67</v>
      </c>
      <c r="Q1636" s="23" t="n">
        <f aca="false">G1636*INDEX(Assumptions!$B$8:$B$16,MATCH(F1636,Assumptions!$A$8:$A$16,0))</f>
        <v>42.6048</v>
      </c>
      <c r="R1636" s="23" t="n">
        <f aca="false">H1636*Assumptions!$B$3</f>
        <v>13.26</v>
      </c>
      <c r="S1636" s="23" t="n">
        <f aca="false">G1636-Q1636-R1636</f>
        <v>10.7052</v>
      </c>
      <c r="T1636" s="21" t="str">
        <f aca="false">IF(M1636&lt;=7,"0-7 days",IF(M1636&lt;=14,"8-14 days",IF(M1636&lt;=21,"15-21 days","22+ days")))</f>
        <v>8-14 days</v>
      </c>
    </row>
    <row r="1637" customFormat="false" ht="15" hidden="false" customHeight="false" outlineLevel="0" collapsed="false">
      <c r="A1637" s="21" t="s">
        <v>1703</v>
      </c>
      <c r="B1637" s="21" t="s">
        <v>19</v>
      </c>
      <c r="C1637" s="22" t="n">
        <v>43277</v>
      </c>
      <c r="D1637" s="22" t="n">
        <v>43286</v>
      </c>
      <c r="E1637" s="22" t="n">
        <v>43292</v>
      </c>
      <c r="F1637" s="21" t="s">
        <v>59</v>
      </c>
      <c r="G1637" s="23" t="n">
        <v>59.14</v>
      </c>
      <c r="H1637" s="23" t="n">
        <v>19.51</v>
      </c>
      <c r="I1637" s="21" t="s">
        <v>45</v>
      </c>
      <c r="J1637" s="21" t="n">
        <v>4</v>
      </c>
      <c r="K1637" s="21" t="s">
        <v>46</v>
      </c>
      <c r="L1637" s="24" t="n">
        <f aca="false">DATE(YEAR(C1637),MONTH(C1637),1)</f>
        <v>43252</v>
      </c>
      <c r="M1637" s="21" t="n">
        <f aca="false">D1637-C1637</f>
        <v>9</v>
      </c>
      <c r="N1637" s="21" t="n">
        <f aca="false">MAX(0,D1637-E1637)</f>
        <v>0</v>
      </c>
      <c r="O1637" s="21" t="n">
        <f aca="false">IF(D1637&lt;=E1637,1,0)</f>
        <v>1</v>
      </c>
      <c r="P1637" s="23" t="n">
        <f aca="false">G1637+H1637</f>
        <v>78.65</v>
      </c>
      <c r="Q1637" s="23" t="n">
        <f aca="false">G1637*INDEX(Assumptions!$B$8:$B$16,MATCH(F1637,Assumptions!$A$8:$A$16,0))</f>
        <v>37.8496</v>
      </c>
      <c r="R1637" s="23" t="n">
        <f aca="false">H1637*Assumptions!$B$3</f>
        <v>11.706</v>
      </c>
      <c r="S1637" s="23" t="n">
        <f aca="false">G1637-Q1637-R1637</f>
        <v>9.5844</v>
      </c>
      <c r="T1637" s="21" t="str">
        <f aca="false">IF(M1637&lt;=7,"0-7 days",IF(M1637&lt;=14,"8-14 days",IF(M1637&lt;=21,"15-21 days","22+ days")))</f>
        <v>8-14 days</v>
      </c>
    </row>
    <row r="1638" customFormat="false" ht="15" hidden="false" customHeight="false" outlineLevel="0" collapsed="false">
      <c r="A1638" s="21" t="s">
        <v>1704</v>
      </c>
      <c r="B1638" s="21" t="s">
        <v>19</v>
      </c>
      <c r="C1638" s="22" t="n">
        <v>43278</v>
      </c>
      <c r="D1638" s="22" t="n">
        <v>43289</v>
      </c>
      <c r="E1638" s="22" t="n">
        <v>43291</v>
      </c>
      <c r="F1638" s="21" t="s">
        <v>49</v>
      </c>
      <c r="G1638" s="23" t="n">
        <v>101.54</v>
      </c>
      <c r="H1638" s="23" t="n">
        <v>17.69</v>
      </c>
      <c r="I1638" s="21" t="s">
        <v>45</v>
      </c>
      <c r="J1638" s="21" t="n">
        <v>3</v>
      </c>
      <c r="K1638" s="21" t="s">
        <v>46</v>
      </c>
      <c r="L1638" s="24" t="n">
        <f aca="false">DATE(YEAR(C1638),MONTH(C1638),1)</f>
        <v>43252</v>
      </c>
      <c r="M1638" s="21" t="n">
        <f aca="false">D1638-C1638</f>
        <v>11</v>
      </c>
      <c r="N1638" s="21" t="n">
        <f aca="false">MAX(0,D1638-E1638)</f>
        <v>0</v>
      </c>
      <c r="O1638" s="21" t="n">
        <f aca="false">IF(D1638&lt;=E1638,1,0)</f>
        <v>1</v>
      </c>
      <c r="P1638" s="23" t="n">
        <f aca="false">G1638+H1638</f>
        <v>119.23</v>
      </c>
      <c r="Q1638" s="23" t="n">
        <f aca="false">G1638*INDEX(Assumptions!$B$8:$B$16,MATCH(F1638,Assumptions!$A$8:$A$16,0))</f>
        <v>58.8932</v>
      </c>
      <c r="R1638" s="23" t="n">
        <f aca="false">H1638*Assumptions!$B$3</f>
        <v>10.614</v>
      </c>
      <c r="S1638" s="23" t="n">
        <f aca="false">G1638-Q1638-R1638</f>
        <v>32.0328</v>
      </c>
      <c r="T1638" s="21" t="str">
        <f aca="false">IF(M1638&lt;=7,"0-7 days",IF(M1638&lt;=14,"8-14 days",IF(M1638&lt;=21,"15-21 days","22+ days")))</f>
        <v>8-14 days</v>
      </c>
    </row>
    <row r="1639" customFormat="false" ht="15" hidden="false" customHeight="false" outlineLevel="0" collapsed="false">
      <c r="A1639" s="21" t="s">
        <v>1705</v>
      </c>
      <c r="B1639" s="21" t="s">
        <v>55</v>
      </c>
      <c r="C1639" s="22" t="n">
        <v>43278</v>
      </c>
      <c r="D1639" s="22" t="n">
        <v>43300</v>
      </c>
      <c r="E1639" s="22" t="n">
        <v>43301</v>
      </c>
      <c r="F1639" s="21" t="s">
        <v>59</v>
      </c>
      <c r="G1639" s="23" t="n">
        <v>186.7</v>
      </c>
      <c r="H1639" s="23" t="n">
        <v>19.58</v>
      </c>
      <c r="I1639" s="21" t="s">
        <v>45</v>
      </c>
      <c r="J1639" s="21" t="n">
        <v>4</v>
      </c>
      <c r="K1639" s="21" t="s">
        <v>46</v>
      </c>
      <c r="L1639" s="24" t="n">
        <f aca="false">DATE(YEAR(C1639),MONTH(C1639),1)</f>
        <v>43252</v>
      </c>
      <c r="M1639" s="21" t="n">
        <f aca="false">D1639-C1639</f>
        <v>22</v>
      </c>
      <c r="N1639" s="21" t="n">
        <f aca="false">MAX(0,D1639-E1639)</f>
        <v>0</v>
      </c>
      <c r="O1639" s="21" t="n">
        <f aca="false">IF(D1639&lt;=E1639,1,0)</f>
        <v>1</v>
      </c>
      <c r="P1639" s="23" t="n">
        <f aca="false">G1639+H1639</f>
        <v>206.28</v>
      </c>
      <c r="Q1639" s="23" t="n">
        <f aca="false">G1639*INDEX(Assumptions!$B$8:$B$16,MATCH(F1639,Assumptions!$A$8:$A$16,0))</f>
        <v>119.488</v>
      </c>
      <c r="R1639" s="23" t="n">
        <f aca="false">H1639*Assumptions!$B$3</f>
        <v>11.748</v>
      </c>
      <c r="S1639" s="23" t="n">
        <f aca="false">G1639-Q1639-R1639</f>
        <v>55.464</v>
      </c>
      <c r="T1639" s="21" t="str">
        <f aca="false">IF(M1639&lt;=7,"0-7 days",IF(M1639&lt;=14,"8-14 days",IF(M1639&lt;=21,"15-21 days","22+ days")))</f>
        <v>22+ days</v>
      </c>
    </row>
    <row r="1640" customFormat="false" ht="15" hidden="false" customHeight="false" outlineLevel="0" collapsed="false">
      <c r="A1640" s="21" t="s">
        <v>1706</v>
      </c>
      <c r="B1640" s="21" t="s">
        <v>62</v>
      </c>
      <c r="C1640" s="22" t="n">
        <v>43278</v>
      </c>
      <c r="D1640" s="22" t="n">
        <v>43289</v>
      </c>
      <c r="E1640" s="22" t="n">
        <v>43299</v>
      </c>
      <c r="F1640" s="21" t="s">
        <v>67</v>
      </c>
      <c r="G1640" s="23" t="n">
        <v>87.64</v>
      </c>
      <c r="H1640" s="23" t="n">
        <v>25.72</v>
      </c>
      <c r="I1640" s="21" t="s">
        <v>60</v>
      </c>
      <c r="J1640" s="21" t="n">
        <v>5</v>
      </c>
      <c r="K1640" s="21" t="s">
        <v>46</v>
      </c>
      <c r="L1640" s="24" t="n">
        <f aca="false">DATE(YEAR(C1640),MONTH(C1640),1)</f>
        <v>43252</v>
      </c>
      <c r="M1640" s="21" t="n">
        <f aca="false">D1640-C1640</f>
        <v>11</v>
      </c>
      <c r="N1640" s="21" t="n">
        <f aca="false">MAX(0,D1640-E1640)</f>
        <v>0</v>
      </c>
      <c r="O1640" s="21" t="n">
        <f aca="false">IF(D1640&lt;=E1640,1,0)</f>
        <v>1</v>
      </c>
      <c r="P1640" s="23" t="n">
        <f aca="false">G1640+H1640</f>
        <v>113.36</v>
      </c>
      <c r="Q1640" s="23" t="n">
        <f aca="false">G1640*INDEX(Assumptions!$B$8:$B$16,MATCH(F1640,Assumptions!$A$8:$A$16,0))</f>
        <v>54.3368</v>
      </c>
      <c r="R1640" s="23" t="n">
        <f aca="false">H1640*Assumptions!$B$3</f>
        <v>15.432</v>
      </c>
      <c r="S1640" s="23" t="n">
        <f aca="false">G1640-Q1640-R1640</f>
        <v>17.8712</v>
      </c>
      <c r="T1640" s="21" t="str">
        <f aca="false">IF(M1640&lt;=7,"0-7 days",IF(M1640&lt;=14,"8-14 days",IF(M1640&lt;=21,"15-21 days","22+ days")))</f>
        <v>8-14 days</v>
      </c>
    </row>
    <row r="1641" customFormat="false" ht="15" hidden="false" customHeight="false" outlineLevel="0" collapsed="false">
      <c r="A1641" s="21" t="s">
        <v>1707</v>
      </c>
      <c r="B1641" s="21" t="s">
        <v>19</v>
      </c>
      <c r="C1641" s="22" t="n">
        <v>43278</v>
      </c>
      <c r="D1641" s="22" t="n">
        <v>43286</v>
      </c>
      <c r="E1641" s="22" t="n">
        <v>43293</v>
      </c>
      <c r="F1641" s="21" t="s">
        <v>53</v>
      </c>
      <c r="G1641" s="23" t="n">
        <v>339.04</v>
      </c>
      <c r="H1641" s="23" t="n">
        <v>18.34</v>
      </c>
      <c r="I1641" s="21" t="s">
        <v>45</v>
      </c>
      <c r="J1641" s="21" t="n">
        <v>5</v>
      </c>
      <c r="K1641" s="21" t="s">
        <v>46</v>
      </c>
      <c r="L1641" s="24" t="n">
        <f aca="false">DATE(YEAR(C1641),MONTH(C1641),1)</f>
        <v>43252</v>
      </c>
      <c r="M1641" s="21" t="n">
        <f aca="false">D1641-C1641</f>
        <v>8</v>
      </c>
      <c r="N1641" s="21" t="n">
        <f aca="false">MAX(0,D1641-E1641)</f>
        <v>0</v>
      </c>
      <c r="O1641" s="21" t="n">
        <f aca="false">IF(D1641&lt;=E1641,1,0)</f>
        <v>1</v>
      </c>
      <c r="P1641" s="23" t="n">
        <f aca="false">G1641+H1641</f>
        <v>357.38</v>
      </c>
      <c r="Q1641" s="23" t="n">
        <f aca="false">G1641*INDEX(Assumptions!$B$8:$B$16,MATCH(F1641,Assumptions!$A$8:$A$16,0))</f>
        <v>250.8896</v>
      </c>
      <c r="R1641" s="23" t="n">
        <f aca="false">H1641*Assumptions!$B$3</f>
        <v>11.004</v>
      </c>
      <c r="S1641" s="23" t="n">
        <f aca="false">G1641-Q1641-R1641</f>
        <v>77.1464</v>
      </c>
      <c r="T1641" s="21" t="str">
        <f aca="false">IF(M1641&lt;=7,"0-7 days",IF(M1641&lt;=14,"8-14 days",IF(M1641&lt;=21,"15-21 days","22+ days")))</f>
        <v>8-14 days</v>
      </c>
    </row>
    <row r="1642" customFormat="false" ht="15" hidden="false" customHeight="false" outlineLevel="0" collapsed="false">
      <c r="A1642" s="21" t="s">
        <v>1708</v>
      </c>
      <c r="B1642" s="21" t="s">
        <v>19</v>
      </c>
      <c r="C1642" s="22" t="n">
        <v>43278</v>
      </c>
      <c r="D1642" s="22" t="n">
        <v>43298</v>
      </c>
      <c r="E1642" s="22" t="n">
        <v>43291</v>
      </c>
      <c r="F1642" s="21" t="s">
        <v>79</v>
      </c>
      <c r="G1642" s="23" t="n">
        <v>127.37</v>
      </c>
      <c r="H1642" s="23" t="n">
        <v>14.35</v>
      </c>
      <c r="I1642" s="21" t="s">
        <v>60</v>
      </c>
      <c r="J1642" s="21" t="n">
        <v>4</v>
      </c>
      <c r="K1642" s="21" t="s">
        <v>46</v>
      </c>
      <c r="L1642" s="24" t="n">
        <f aca="false">DATE(YEAR(C1642),MONTH(C1642),1)</f>
        <v>43252</v>
      </c>
      <c r="M1642" s="21" t="n">
        <f aca="false">D1642-C1642</f>
        <v>20</v>
      </c>
      <c r="N1642" s="21" t="n">
        <f aca="false">MAX(0,D1642-E1642)</f>
        <v>7</v>
      </c>
      <c r="O1642" s="21" t="n">
        <f aca="false">IF(D1642&lt;=E1642,1,0)</f>
        <v>0</v>
      </c>
      <c r="P1642" s="23" t="n">
        <f aca="false">G1642+H1642</f>
        <v>141.72</v>
      </c>
      <c r="Q1642" s="23" t="n">
        <f aca="false">G1642*INDEX(Assumptions!$B$8:$B$16,MATCH(F1642,Assumptions!$A$8:$A$16,0))</f>
        <v>89.159</v>
      </c>
      <c r="R1642" s="23" t="n">
        <f aca="false">H1642*Assumptions!$B$3</f>
        <v>8.61</v>
      </c>
      <c r="S1642" s="23" t="n">
        <f aca="false">G1642-Q1642-R1642</f>
        <v>29.601</v>
      </c>
      <c r="T1642" s="21" t="str">
        <f aca="false">IF(M1642&lt;=7,"0-7 days",IF(M1642&lt;=14,"8-14 days",IF(M1642&lt;=21,"15-21 days","22+ days")))</f>
        <v>15-21 days</v>
      </c>
    </row>
    <row r="1643" customFormat="false" ht="15" hidden="false" customHeight="false" outlineLevel="0" collapsed="false">
      <c r="A1643" s="21" t="s">
        <v>1709</v>
      </c>
      <c r="B1643" s="21" t="s">
        <v>19</v>
      </c>
      <c r="C1643" s="22" t="n">
        <v>43278</v>
      </c>
      <c r="D1643" s="22" t="n">
        <v>43282</v>
      </c>
      <c r="E1643" s="22" t="n">
        <v>43294</v>
      </c>
      <c r="F1643" s="21" t="s">
        <v>53</v>
      </c>
      <c r="G1643" s="23" t="n">
        <v>123.72</v>
      </c>
      <c r="H1643" s="23" t="n">
        <v>18.83</v>
      </c>
      <c r="I1643" s="21" t="s">
        <v>45</v>
      </c>
      <c r="J1643" s="21" t="n">
        <v>4</v>
      </c>
      <c r="K1643" s="21" t="s">
        <v>46</v>
      </c>
      <c r="L1643" s="24" t="n">
        <f aca="false">DATE(YEAR(C1643),MONTH(C1643),1)</f>
        <v>43252</v>
      </c>
      <c r="M1643" s="21" t="n">
        <f aca="false">D1643-C1643</f>
        <v>4</v>
      </c>
      <c r="N1643" s="21" t="n">
        <f aca="false">MAX(0,D1643-E1643)</f>
        <v>0</v>
      </c>
      <c r="O1643" s="21" t="n">
        <f aca="false">IF(D1643&lt;=E1643,1,0)</f>
        <v>1</v>
      </c>
      <c r="P1643" s="23" t="n">
        <f aca="false">G1643+H1643</f>
        <v>142.55</v>
      </c>
      <c r="Q1643" s="23" t="n">
        <f aca="false">G1643*INDEX(Assumptions!$B$8:$B$16,MATCH(F1643,Assumptions!$A$8:$A$16,0))</f>
        <v>91.5528</v>
      </c>
      <c r="R1643" s="23" t="n">
        <f aca="false">H1643*Assumptions!$B$3</f>
        <v>11.298</v>
      </c>
      <c r="S1643" s="23" t="n">
        <f aca="false">G1643-Q1643-R1643</f>
        <v>20.8692</v>
      </c>
      <c r="T1643" s="21" t="str">
        <f aca="false">IF(M1643&lt;=7,"0-7 days",IF(M1643&lt;=14,"8-14 days",IF(M1643&lt;=21,"15-21 days","22+ days")))</f>
        <v>0-7 days</v>
      </c>
    </row>
    <row r="1644" customFormat="false" ht="15" hidden="false" customHeight="false" outlineLevel="0" collapsed="false">
      <c r="A1644" s="21" t="s">
        <v>1710</v>
      </c>
      <c r="B1644" s="21" t="s">
        <v>156</v>
      </c>
      <c r="C1644" s="22" t="n">
        <v>43278</v>
      </c>
      <c r="D1644" s="22" t="n">
        <v>43297</v>
      </c>
      <c r="E1644" s="22" t="n">
        <v>43302</v>
      </c>
      <c r="F1644" s="21" t="s">
        <v>44</v>
      </c>
      <c r="G1644" s="23" t="n">
        <v>187.84</v>
      </c>
      <c r="H1644" s="23" t="n">
        <v>33.63</v>
      </c>
      <c r="I1644" s="21" t="s">
        <v>45</v>
      </c>
      <c r="J1644" s="21" t="n">
        <v>5</v>
      </c>
      <c r="K1644" s="21" t="s">
        <v>46</v>
      </c>
      <c r="L1644" s="24" t="n">
        <f aca="false">DATE(YEAR(C1644),MONTH(C1644),1)</f>
        <v>43252</v>
      </c>
      <c r="M1644" s="21" t="n">
        <f aca="false">D1644-C1644</f>
        <v>19</v>
      </c>
      <c r="N1644" s="21" t="n">
        <f aca="false">MAX(0,D1644-E1644)</f>
        <v>0</v>
      </c>
      <c r="O1644" s="21" t="n">
        <f aca="false">IF(D1644&lt;=E1644,1,0)</f>
        <v>1</v>
      </c>
      <c r="P1644" s="23" t="n">
        <f aca="false">G1644+H1644</f>
        <v>221.47</v>
      </c>
      <c r="Q1644" s="23" t="n">
        <f aca="false">G1644*INDEX(Assumptions!$B$8:$B$16,MATCH(F1644,Assumptions!$A$8:$A$16,0))</f>
        <v>112.704</v>
      </c>
      <c r="R1644" s="23" t="n">
        <f aca="false">H1644*Assumptions!$B$3</f>
        <v>20.178</v>
      </c>
      <c r="S1644" s="23" t="n">
        <f aca="false">G1644-Q1644-R1644</f>
        <v>54.958</v>
      </c>
      <c r="T1644" s="21" t="str">
        <f aca="false">IF(M1644&lt;=7,"0-7 days",IF(M1644&lt;=14,"8-14 days",IF(M1644&lt;=21,"15-21 days","22+ days")))</f>
        <v>15-21 days</v>
      </c>
    </row>
    <row r="1645" customFormat="false" ht="15" hidden="false" customHeight="false" outlineLevel="0" collapsed="false">
      <c r="A1645" s="21" t="s">
        <v>1711</v>
      </c>
      <c r="B1645" s="21" t="s">
        <v>55</v>
      </c>
      <c r="C1645" s="22" t="n">
        <v>43278</v>
      </c>
      <c r="D1645" s="22" t="n">
        <v>43297</v>
      </c>
      <c r="E1645" s="22" t="n">
        <v>43301</v>
      </c>
      <c r="F1645" s="21" t="s">
        <v>53</v>
      </c>
      <c r="G1645" s="23" t="n">
        <v>212</v>
      </c>
      <c r="H1645" s="23" t="n">
        <v>21.9</v>
      </c>
      <c r="I1645" s="21" t="s">
        <v>45</v>
      </c>
      <c r="J1645" s="21" t="n">
        <v>4</v>
      </c>
      <c r="K1645" s="21" t="s">
        <v>46</v>
      </c>
      <c r="L1645" s="24" t="n">
        <f aca="false">DATE(YEAR(C1645),MONTH(C1645),1)</f>
        <v>43252</v>
      </c>
      <c r="M1645" s="21" t="n">
        <f aca="false">D1645-C1645</f>
        <v>19</v>
      </c>
      <c r="N1645" s="21" t="n">
        <f aca="false">MAX(0,D1645-E1645)</f>
        <v>0</v>
      </c>
      <c r="O1645" s="21" t="n">
        <f aca="false">IF(D1645&lt;=E1645,1,0)</f>
        <v>1</v>
      </c>
      <c r="P1645" s="23" t="n">
        <f aca="false">G1645+H1645</f>
        <v>233.9</v>
      </c>
      <c r="Q1645" s="23" t="n">
        <f aca="false">G1645*INDEX(Assumptions!$B$8:$B$16,MATCH(F1645,Assumptions!$A$8:$A$16,0))</f>
        <v>156.88</v>
      </c>
      <c r="R1645" s="23" t="n">
        <f aca="false">H1645*Assumptions!$B$3</f>
        <v>13.14</v>
      </c>
      <c r="S1645" s="23" t="n">
        <f aca="false">G1645-Q1645-R1645</f>
        <v>41.98</v>
      </c>
      <c r="T1645" s="21" t="str">
        <f aca="false">IF(M1645&lt;=7,"0-7 days",IF(M1645&lt;=14,"8-14 days",IF(M1645&lt;=21,"15-21 days","22+ days")))</f>
        <v>15-21 days</v>
      </c>
    </row>
    <row r="1646" customFormat="false" ht="15" hidden="false" customHeight="false" outlineLevel="0" collapsed="false">
      <c r="A1646" s="21" t="s">
        <v>1712</v>
      </c>
      <c r="B1646" s="21" t="s">
        <v>55</v>
      </c>
      <c r="C1646" s="22" t="n">
        <v>43278</v>
      </c>
      <c r="D1646" s="22" t="n">
        <v>43299</v>
      </c>
      <c r="E1646" s="22" t="n">
        <v>43301</v>
      </c>
      <c r="F1646" s="21" t="s">
        <v>49</v>
      </c>
      <c r="G1646" s="23" t="n">
        <v>78.02</v>
      </c>
      <c r="H1646" s="23" t="n">
        <v>29.28</v>
      </c>
      <c r="I1646" s="21" t="s">
        <v>45</v>
      </c>
      <c r="J1646" s="21" t="n">
        <v>3</v>
      </c>
      <c r="K1646" s="21" t="s">
        <v>46</v>
      </c>
      <c r="L1646" s="24" t="n">
        <f aca="false">DATE(YEAR(C1646),MONTH(C1646),1)</f>
        <v>43252</v>
      </c>
      <c r="M1646" s="21" t="n">
        <f aca="false">D1646-C1646</f>
        <v>21</v>
      </c>
      <c r="N1646" s="21" t="n">
        <f aca="false">MAX(0,D1646-E1646)</f>
        <v>0</v>
      </c>
      <c r="O1646" s="21" t="n">
        <f aca="false">IF(D1646&lt;=E1646,1,0)</f>
        <v>1</v>
      </c>
      <c r="P1646" s="23" t="n">
        <f aca="false">G1646+H1646</f>
        <v>107.3</v>
      </c>
      <c r="Q1646" s="23" t="n">
        <f aca="false">G1646*INDEX(Assumptions!$B$8:$B$16,MATCH(F1646,Assumptions!$A$8:$A$16,0))</f>
        <v>45.2516</v>
      </c>
      <c r="R1646" s="23" t="n">
        <f aca="false">H1646*Assumptions!$B$3</f>
        <v>17.568</v>
      </c>
      <c r="S1646" s="23" t="n">
        <f aca="false">G1646-Q1646-R1646</f>
        <v>15.2004</v>
      </c>
      <c r="T1646" s="21" t="str">
        <f aca="false">IF(M1646&lt;=7,"0-7 days",IF(M1646&lt;=14,"8-14 days",IF(M1646&lt;=21,"15-21 days","22+ days")))</f>
        <v>15-21 days</v>
      </c>
    </row>
    <row r="1647" customFormat="false" ht="15" hidden="false" customHeight="false" outlineLevel="0" collapsed="false">
      <c r="A1647" s="21" t="s">
        <v>1713</v>
      </c>
      <c r="B1647" s="21" t="s">
        <v>134</v>
      </c>
      <c r="C1647" s="22" t="n">
        <v>43279</v>
      </c>
      <c r="D1647" s="22" t="n">
        <v>43295</v>
      </c>
      <c r="E1647" s="22" t="n">
        <v>43304</v>
      </c>
      <c r="F1647" s="21" t="s">
        <v>44</v>
      </c>
      <c r="G1647" s="23" t="n">
        <v>58.96</v>
      </c>
      <c r="H1647" s="23" t="n">
        <v>24.6</v>
      </c>
      <c r="I1647" s="21" t="s">
        <v>45</v>
      </c>
      <c r="J1647" s="21" t="n">
        <v>4</v>
      </c>
      <c r="K1647" s="21" t="s">
        <v>46</v>
      </c>
      <c r="L1647" s="24" t="n">
        <f aca="false">DATE(YEAR(C1647),MONTH(C1647),1)</f>
        <v>43252</v>
      </c>
      <c r="M1647" s="21" t="n">
        <f aca="false">D1647-C1647</f>
        <v>16</v>
      </c>
      <c r="N1647" s="21" t="n">
        <f aca="false">MAX(0,D1647-E1647)</f>
        <v>0</v>
      </c>
      <c r="O1647" s="21" t="n">
        <f aca="false">IF(D1647&lt;=E1647,1,0)</f>
        <v>1</v>
      </c>
      <c r="P1647" s="23" t="n">
        <f aca="false">G1647+H1647</f>
        <v>83.56</v>
      </c>
      <c r="Q1647" s="23" t="n">
        <f aca="false">G1647*INDEX(Assumptions!$B$8:$B$16,MATCH(F1647,Assumptions!$A$8:$A$16,0))</f>
        <v>35.376</v>
      </c>
      <c r="R1647" s="23" t="n">
        <f aca="false">H1647*Assumptions!$B$3</f>
        <v>14.76</v>
      </c>
      <c r="S1647" s="23" t="n">
        <f aca="false">G1647-Q1647-R1647</f>
        <v>8.824</v>
      </c>
      <c r="T1647" s="21" t="str">
        <f aca="false">IF(M1647&lt;=7,"0-7 days",IF(M1647&lt;=14,"8-14 days",IF(M1647&lt;=21,"15-21 days","22+ days")))</f>
        <v>15-21 days</v>
      </c>
    </row>
    <row r="1648" customFormat="false" ht="15" hidden="false" customHeight="false" outlineLevel="0" collapsed="false">
      <c r="A1648" s="21" t="s">
        <v>1714</v>
      </c>
      <c r="B1648" s="21" t="s">
        <v>55</v>
      </c>
      <c r="C1648" s="22" t="n">
        <v>43279</v>
      </c>
      <c r="D1648" s="22" t="n">
        <v>43299</v>
      </c>
      <c r="E1648" s="22" t="n">
        <v>43305</v>
      </c>
      <c r="F1648" s="21" t="s">
        <v>53</v>
      </c>
      <c r="G1648" s="23" t="n">
        <v>223.09</v>
      </c>
      <c r="H1648" s="23" t="n">
        <v>24.14</v>
      </c>
      <c r="I1648" s="21" t="s">
        <v>45</v>
      </c>
      <c r="J1648" s="21" t="n">
        <v>5</v>
      </c>
      <c r="K1648" s="21" t="s">
        <v>46</v>
      </c>
      <c r="L1648" s="24" t="n">
        <f aca="false">DATE(YEAR(C1648),MONTH(C1648),1)</f>
        <v>43252</v>
      </c>
      <c r="M1648" s="21" t="n">
        <f aca="false">D1648-C1648</f>
        <v>20</v>
      </c>
      <c r="N1648" s="21" t="n">
        <f aca="false">MAX(0,D1648-E1648)</f>
        <v>0</v>
      </c>
      <c r="O1648" s="21" t="n">
        <f aca="false">IF(D1648&lt;=E1648,1,0)</f>
        <v>1</v>
      </c>
      <c r="P1648" s="23" t="n">
        <f aca="false">G1648+H1648</f>
        <v>247.23</v>
      </c>
      <c r="Q1648" s="23" t="n">
        <f aca="false">G1648*INDEX(Assumptions!$B$8:$B$16,MATCH(F1648,Assumptions!$A$8:$A$16,0))</f>
        <v>165.0866</v>
      </c>
      <c r="R1648" s="23" t="n">
        <f aca="false">H1648*Assumptions!$B$3</f>
        <v>14.484</v>
      </c>
      <c r="S1648" s="23" t="n">
        <f aca="false">G1648-Q1648-R1648</f>
        <v>43.5194</v>
      </c>
      <c r="T1648" s="21" t="str">
        <f aca="false">IF(M1648&lt;=7,"0-7 days",IF(M1648&lt;=14,"8-14 days",IF(M1648&lt;=21,"15-21 days","22+ days")))</f>
        <v>15-21 days</v>
      </c>
    </row>
    <row r="1649" customFormat="false" ht="15" hidden="false" customHeight="false" outlineLevel="0" collapsed="false">
      <c r="A1649" s="21" t="s">
        <v>1715</v>
      </c>
      <c r="B1649" s="21" t="s">
        <v>134</v>
      </c>
      <c r="C1649" s="22" t="n">
        <v>43279</v>
      </c>
      <c r="D1649" s="22" t="n">
        <v>43290</v>
      </c>
      <c r="E1649" s="22" t="n">
        <v>43302</v>
      </c>
      <c r="F1649" s="21" t="s">
        <v>67</v>
      </c>
      <c r="G1649" s="23" t="n">
        <v>160.05</v>
      </c>
      <c r="H1649" s="23" t="n">
        <v>25.85</v>
      </c>
      <c r="I1649" s="21" t="s">
        <v>104</v>
      </c>
      <c r="J1649" s="21" t="n">
        <v>4</v>
      </c>
      <c r="K1649" s="21" t="s">
        <v>46</v>
      </c>
      <c r="L1649" s="24" t="n">
        <f aca="false">DATE(YEAR(C1649),MONTH(C1649),1)</f>
        <v>43252</v>
      </c>
      <c r="M1649" s="21" t="n">
        <f aca="false">D1649-C1649</f>
        <v>11</v>
      </c>
      <c r="N1649" s="21" t="n">
        <f aca="false">MAX(0,D1649-E1649)</f>
        <v>0</v>
      </c>
      <c r="O1649" s="21" t="n">
        <f aca="false">IF(D1649&lt;=E1649,1,0)</f>
        <v>1</v>
      </c>
      <c r="P1649" s="23" t="n">
        <f aca="false">G1649+H1649</f>
        <v>185.9</v>
      </c>
      <c r="Q1649" s="23" t="n">
        <f aca="false">G1649*INDEX(Assumptions!$B$8:$B$16,MATCH(F1649,Assumptions!$A$8:$A$16,0))</f>
        <v>99.231</v>
      </c>
      <c r="R1649" s="23" t="n">
        <f aca="false">H1649*Assumptions!$B$3</f>
        <v>15.51</v>
      </c>
      <c r="S1649" s="23" t="n">
        <f aca="false">G1649-Q1649-R1649</f>
        <v>45.309</v>
      </c>
      <c r="T1649" s="21" t="str">
        <f aca="false">IF(M1649&lt;=7,"0-7 days",IF(M1649&lt;=14,"8-14 days",IF(M1649&lt;=21,"15-21 days","22+ days")))</f>
        <v>8-14 days</v>
      </c>
    </row>
    <row r="1650" customFormat="false" ht="15" hidden="false" customHeight="false" outlineLevel="0" collapsed="false">
      <c r="A1650" s="21" t="s">
        <v>1716</v>
      </c>
      <c r="B1650" s="21" t="s">
        <v>19</v>
      </c>
      <c r="C1650" s="22" t="n">
        <v>43279</v>
      </c>
      <c r="D1650" s="22" t="n">
        <v>43288</v>
      </c>
      <c r="E1650" s="22" t="n">
        <v>43297</v>
      </c>
      <c r="F1650" s="21" t="s">
        <v>49</v>
      </c>
      <c r="G1650" s="23" t="n">
        <v>83.15</v>
      </c>
      <c r="H1650" s="23" t="n">
        <v>12.84</v>
      </c>
      <c r="I1650" s="21" t="s">
        <v>45</v>
      </c>
      <c r="J1650" s="21" t="n">
        <v>5</v>
      </c>
      <c r="K1650" s="21" t="s">
        <v>46</v>
      </c>
      <c r="L1650" s="24" t="n">
        <f aca="false">DATE(YEAR(C1650),MONTH(C1650),1)</f>
        <v>43252</v>
      </c>
      <c r="M1650" s="21" t="n">
        <f aca="false">D1650-C1650</f>
        <v>9</v>
      </c>
      <c r="N1650" s="21" t="n">
        <f aca="false">MAX(0,D1650-E1650)</f>
        <v>0</v>
      </c>
      <c r="O1650" s="21" t="n">
        <f aca="false">IF(D1650&lt;=E1650,1,0)</f>
        <v>1</v>
      </c>
      <c r="P1650" s="23" t="n">
        <f aca="false">G1650+H1650</f>
        <v>95.99</v>
      </c>
      <c r="Q1650" s="23" t="n">
        <f aca="false">G1650*INDEX(Assumptions!$B$8:$B$16,MATCH(F1650,Assumptions!$A$8:$A$16,0))</f>
        <v>48.227</v>
      </c>
      <c r="R1650" s="23" t="n">
        <f aca="false">H1650*Assumptions!$B$3</f>
        <v>7.704</v>
      </c>
      <c r="S1650" s="23" t="n">
        <f aca="false">G1650-Q1650-R1650</f>
        <v>27.219</v>
      </c>
      <c r="T1650" s="21" t="str">
        <f aca="false">IF(M1650&lt;=7,"0-7 days",IF(M1650&lt;=14,"8-14 days",IF(M1650&lt;=21,"15-21 days","22+ days")))</f>
        <v>8-14 days</v>
      </c>
    </row>
    <row r="1651" customFormat="false" ht="15" hidden="false" customHeight="false" outlineLevel="0" collapsed="false">
      <c r="A1651" s="21" t="s">
        <v>1717</v>
      </c>
      <c r="B1651" s="21" t="s">
        <v>19</v>
      </c>
      <c r="C1651" s="22" t="n">
        <v>43279</v>
      </c>
      <c r="D1651" s="22" t="n">
        <v>43290</v>
      </c>
      <c r="E1651" s="22" t="n">
        <v>43292</v>
      </c>
      <c r="F1651" s="21" t="s">
        <v>67</v>
      </c>
      <c r="G1651" s="23" t="n">
        <v>167.81</v>
      </c>
      <c r="H1651" s="23" t="n">
        <v>13.87</v>
      </c>
      <c r="I1651" s="21" t="s">
        <v>60</v>
      </c>
      <c r="J1651" s="21" t="n">
        <v>4</v>
      </c>
      <c r="K1651" s="21" t="s">
        <v>46</v>
      </c>
      <c r="L1651" s="24" t="n">
        <f aca="false">DATE(YEAR(C1651),MONTH(C1651),1)</f>
        <v>43252</v>
      </c>
      <c r="M1651" s="21" t="n">
        <f aca="false">D1651-C1651</f>
        <v>11</v>
      </c>
      <c r="N1651" s="21" t="n">
        <f aca="false">MAX(0,D1651-E1651)</f>
        <v>0</v>
      </c>
      <c r="O1651" s="21" t="n">
        <f aca="false">IF(D1651&lt;=E1651,1,0)</f>
        <v>1</v>
      </c>
      <c r="P1651" s="23" t="n">
        <f aca="false">G1651+H1651</f>
        <v>181.68</v>
      </c>
      <c r="Q1651" s="23" t="n">
        <f aca="false">G1651*INDEX(Assumptions!$B$8:$B$16,MATCH(F1651,Assumptions!$A$8:$A$16,0))</f>
        <v>104.0422</v>
      </c>
      <c r="R1651" s="23" t="n">
        <f aca="false">H1651*Assumptions!$B$3</f>
        <v>8.322</v>
      </c>
      <c r="S1651" s="23" t="n">
        <f aca="false">G1651-Q1651-R1651</f>
        <v>55.4458</v>
      </c>
      <c r="T1651" s="21" t="str">
        <f aca="false">IF(M1651&lt;=7,"0-7 days",IF(M1651&lt;=14,"8-14 days",IF(M1651&lt;=21,"15-21 days","22+ days")))</f>
        <v>8-14 days</v>
      </c>
    </row>
    <row r="1652" customFormat="false" ht="15" hidden="false" customHeight="false" outlineLevel="0" collapsed="false">
      <c r="A1652" s="21" t="s">
        <v>1718</v>
      </c>
      <c r="B1652" s="21" t="s">
        <v>174</v>
      </c>
      <c r="C1652" s="22" t="n">
        <v>43279</v>
      </c>
      <c r="D1652" s="22" t="n">
        <v>43299</v>
      </c>
      <c r="E1652" s="22" t="n">
        <v>43311</v>
      </c>
      <c r="F1652" s="21" t="s">
        <v>111</v>
      </c>
      <c r="G1652" s="23" t="n">
        <v>116.57</v>
      </c>
      <c r="H1652" s="23" t="n">
        <v>37.76</v>
      </c>
      <c r="I1652" s="21" t="s">
        <v>60</v>
      </c>
      <c r="J1652" s="21" t="n">
        <v>3</v>
      </c>
      <c r="K1652" s="21" t="s">
        <v>46</v>
      </c>
      <c r="L1652" s="24" t="n">
        <f aca="false">DATE(YEAR(C1652),MONTH(C1652),1)</f>
        <v>43252</v>
      </c>
      <c r="M1652" s="21" t="n">
        <f aca="false">D1652-C1652</f>
        <v>20</v>
      </c>
      <c r="N1652" s="21" t="n">
        <f aca="false">MAX(0,D1652-E1652)</f>
        <v>0</v>
      </c>
      <c r="O1652" s="21" t="n">
        <f aca="false">IF(D1652&lt;=E1652,1,0)</f>
        <v>1</v>
      </c>
      <c r="P1652" s="23" t="n">
        <f aca="false">G1652+H1652</f>
        <v>154.33</v>
      </c>
      <c r="Q1652" s="23" t="n">
        <f aca="false">G1652*INDEX(Assumptions!$B$8:$B$16,MATCH(F1652,Assumptions!$A$8:$A$16,0))</f>
        <v>73.4391</v>
      </c>
      <c r="R1652" s="23" t="n">
        <f aca="false">H1652*Assumptions!$B$3</f>
        <v>22.656</v>
      </c>
      <c r="S1652" s="23" t="n">
        <f aca="false">G1652-Q1652-R1652</f>
        <v>20.4749</v>
      </c>
      <c r="T1652" s="21" t="str">
        <f aca="false">IF(M1652&lt;=7,"0-7 days",IF(M1652&lt;=14,"8-14 days",IF(M1652&lt;=21,"15-21 days","22+ days")))</f>
        <v>15-21 days</v>
      </c>
    </row>
    <row r="1653" customFormat="false" ht="15" hidden="false" customHeight="false" outlineLevel="0" collapsed="false">
      <c r="A1653" s="21" t="s">
        <v>1719</v>
      </c>
      <c r="B1653" s="21" t="s">
        <v>93</v>
      </c>
      <c r="C1653" s="22" t="n">
        <v>43280</v>
      </c>
      <c r="D1653" s="22" t="n">
        <v>43298</v>
      </c>
      <c r="E1653" s="22" t="n">
        <v>43307</v>
      </c>
      <c r="F1653" s="21" t="s">
        <v>49</v>
      </c>
      <c r="G1653" s="23" t="n">
        <v>49.34</v>
      </c>
      <c r="H1653" s="23" t="n">
        <v>33.4</v>
      </c>
      <c r="I1653" s="21" t="s">
        <v>50</v>
      </c>
      <c r="J1653" s="21" t="n">
        <v>4</v>
      </c>
      <c r="K1653" s="21" t="s">
        <v>46</v>
      </c>
      <c r="L1653" s="24" t="n">
        <f aca="false">DATE(YEAR(C1653),MONTH(C1653),1)</f>
        <v>43252</v>
      </c>
      <c r="M1653" s="21" t="n">
        <f aca="false">D1653-C1653</f>
        <v>18</v>
      </c>
      <c r="N1653" s="21" t="n">
        <f aca="false">MAX(0,D1653-E1653)</f>
        <v>0</v>
      </c>
      <c r="O1653" s="21" t="n">
        <f aca="false">IF(D1653&lt;=E1653,1,0)</f>
        <v>1</v>
      </c>
      <c r="P1653" s="23" t="n">
        <f aca="false">G1653+H1653</f>
        <v>82.74</v>
      </c>
      <c r="Q1653" s="23" t="n">
        <f aca="false">G1653*INDEX(Assumptions!$B$8:$B$16,MATCH(F1653,Assumptions!$A$8:$A$16,0))</f>
        <v>28.6172</v>
      </c>
      <c r="R1653" s="23" t="n">
        <f aca="false">H1653*Assumptions!$B$3</f>
        <v>20.04</v>
      </c>
      <c r="S1653" s="23" t="n">
        <f aca="false">G1653-Q1653-R1653</f>
        <v>0.682800000000004</v>
      </c>
      <c r="T1653" s="21" t="str">
        <f aca="false">IF(M1653&lt;=7,"0-7 days",IF(M1653&lt;=14,"8-14 days",IF(M1653&lt;=21,"15-21 days","22+ days")))</f>
        <v>15-21 days</v>
      </c>
    </row>
    <row r="1654" customFormat="false" ht="15" hidden="false" customHeight="false" outlineLevel="0" collapsed="false">
      <c r="A1654" s="21" t="s">
        <v>1720</v>
      </c>
      <c r="B1654" s="21" t="s">
        <v>19</v>
      </c>
      <c r="C1654" s="22" t="n">
        <v>43280</v>
      </c>
      <c r="D1654" s="22" t="n">
        <v>43291</v>
      </c>
      <c r="E1654" s="22" t="n">
        <v>43298</v>
      </c>
      <c r="F1654" s="21" t="s">
        <v>67</v>
      </c>
      <c r="G1654" s="23" t="n">
        <v>79.82</v>
      </c>
      <c r="H1654" s="23" t="n">
        <v>12.22</v>
      </c>
      <c r="I1654" s="21" t="s">
        <v>45</v>
      </c>
      <c r="J1654" s="21" t="n">
        <v>5</v>
      </c>
      <c r="K1654" s="21" t="s">
        <v>46</v>
      </c>
      <c r="L1654" s="24" t="n">
        <f aca="false">DATE(YEAR(C1654),MONTH(C1654),1)</f>
        <v>43252</v>
      </c>
      <c r="M1654" s="21" t="n">
        <f aca="false">D1654-C1654</f>
        <v>11</v>
      </c>
      <c r="N1654" s="21" t="n">
        <f aca="false">MAX(0,D1654-E1654)</f>
        <v>0</v>
      </c>
      <c r="O1654" s="21" t="n">
        <f aca="false">IF(D1654&lt;=E1654,1,0)</f>
        <v>1</v>
      </c>
      <c r="P1654" s="23" t="n">
        <f aca="false">G1654+H1654</f>
        <v>92.04</v>
      </c>
      <c r="Q1654" s="23" t="n">
        <f aca="false">G1654*INDEX(Assumptions!$B$8:$B$16,MATCH(F1654,Assumptions!$A$8:$A$16,0))</f>
        <v>49.4884</v>
      </c>
      <c r="R1654" s="23" t="n">
        <f aca="false">H1654*Assumptions!$B$3</f>
        <v>7.332</v>
      </c>
      <c r="S1654" s="23" t="n">
        <f aca="false">G1654-Q1654-R1654</f>
        <v>22.9996</v>
      </c>
      <c r="T1654" s="21" t="str">
        <f aca="false">IF(M1654&lt;=7,"0-7 days",IF(M1654&lt;=14,"8-14 days",IF(M1654&lt;=21,"15-21 days","22+ days")))</f>
        <v>8-14 days</v>
      </c>
    </row>
    <row r="1655" customFormat="false" ht="15" hidden="false" customHeight="false" outlineLevel="0" collapsed="false">
      <c r="A1655" s="21" t="s">
        <v>1721</v>
      </c>
      <c r="B1655" s="21" t="s">
        <v>62</v>
      </c>
      <c r="C1655" s="22" t="n">
        <v>43280</v>
      </c>
      <c r="D1655" s="22" t="n">
        <v>43287</v>
      </c>
      <c r="E1655" s="22" t="n">
        <v>43303</v>
      </c>
      <c r="F1655" s="21" t="s">
        <v>49</v>
      </c>
      <c r="G1655" s="23" t="n">
        <v>33.51</v>
      </c>
      <c r="H1655" s="23" t="n">
        <v>24.18</v>
      </c>
      <c r="I1655" s="21" t="s">
        <v>45</v>
      </c>
      <c r="J1655" s="21" t="n">
        <v>5</v>
      </c>
      <c r="K1655" s="21" t="s">
        <v>46</v>
      </c>
      <c r="L1655" s="24" t="n">
        <f aca="false">DATE(YEAR(C1655),MONTH(C1655),1)</f>
        <v>43252</v>
      </c>
      <c r="M1655" s="21" t="n">
        <f aca="false">D1655-C1655</f>
        <v>7</v>
      </c>
      <c r="N1655" s="21" t="n">
        <f aca="false">MAX(0,D1655-E1655)</f>
        <v>0</v>
      </c>
      <c r="O1655" s="21" t="n">
        <f aca="false">IF(D1655&lt;=E1655,1,0)</f>
        <v>1</v>
      </c>
      <c r="P1655" s="23" t="n">
        <f aca="false">G1655+H1655</f>
        <v>57.69</v>
      </c>
      <c r="Q1655" s="23" t="n">
        <f aca="false">G1655*INDEX(Assumptions!$B$8:$B$16,MATCH(F1655,Assumptions!$A$8:$A$16,0))</f>
        <v>19.4358</v>
      </c>
      <c r="R1655" s="23" t="n">
        <f aca="false">H1655*Assumptions!$B$3</f>
        <v>14.508</v>
      </c>
      <c r="S1655" s="23" t="n">
        <f aca="false">G1655-Q1655-R1655</f>
        <v>-0.433799999999998</v>
      </c>
      <c r="T1655" s="21" t="str">
        <f aca="false">IF(M1655&lt;=7,"0-7 days",IF(M1655&lt;=14,"8-14 days",IF(M1655&lt;=21,"15-21 days","22+ days")))</f>
        <v>0-7 days</v>
      </c>
    </row>
    <row r="1656" customFormat="false" ht="15" hidden="false" customHeight="false" outlineLevel="0" collapsed="false">
      <c r="A1656" s="21" t="s">
        <v>1722</v>
      </c>
      <c r="B1656" s="21" t="s">
        <v>19</v>
      </c>
      <c r="C1656" s="22" t="n">
        <v>43280</v>
      </c>
      <c r="D1656" s="22" t="n">
        <v>43284</v>
      </c>
      <c r="E1656" s="22" t="n">
        <v>43294</v>
      </c>
      <c r="F1656" s="21" t="s">
        <v>53</v>
      </c>
      <c r="G1656" s="23" t="n">
        <v>65.44</v>
      </c>
      <c r="H1656" s="23" t="n">
        <v>15.29</v>
      </c>
      <c r="I1656" s="21" t="s">
        <v>45</v>
      </c>
      <c r="J1656" s="21" t="n">
        <v>5</v>
      </c>
      <c r="K1656" s="21" t="s">
        <v>46</v>
      </c>
      <c r="L1656" s="24" t="n">
        <f aca="false">DATE(YEAR(C1656),MONTH(C1656),1)</f>
        <v>43252</v>
      </c>
      <c r="M1656" s="21" t="n">
        <f aca="false">D1656-C1656</f>
        <v>4</v>
      </c>
      <c r="N1656" s="21" t="n">
        <f aca="false">MAX(0,D1656-E1656)</f>
        <v>0</v>
      </c>
      <c r="O1656" s="21" t="n">
        <f aca="false">IF(D1656&lt;=E1656,1,0)</f>
        <v>1</v>
      </c>
      <c r="P1656" s="23" t="n">
        <f aca="false">G1656+H1656</f>
        <v>80.73</v>
      </c>
      <c r="Q1656" s="23" t="n">
        <f aca="false">G1656*INDEX(Assumptions!$B$8:$B$16,MATCH(F1656,Assumptions!$A$8:$A$16,0))</f>
        <v>48.4256</v>
      </c>
      <c r="R1656" s="23" t="n">
        <f aca="false">H1656*Assumptions!$B$3</f>
        <v>9.174</v>
      </c>
      <c r="S1656" s="23" t="n">
        <f aca="false">G1656-Q1656-R1656</f>
        <v>7.8404</v>
      </c>
      <c r="T1656" s="21" t="str">
        <f aca="false">IF(M1656&lt;=7,"0-7 days",IF(M1656&lt;=14,"8-14 days",IF(M1656&lt;=21,"15-21 days","22+ days")))</f>
        <v>0-7 days</v>
      </c>
    </row>
    <row r="1657" customFormat="false" ht="15" hidden="false" customHeight="false" outlineLevel="0" collapsed="false">
      <c r="A1657" s="21" t="s">
        <v>1723</v>
      </c>
      <c r="B1657" s="21" t="s">
        <v>19</v>
      </c>
      <c r="C1657" s="22" t="n">
        <v>43281</v>
      </c>
      <c r="D1657" s="22" t="n">
        <v>43287</v>
      </c>
      <c r="E1657" s="22" t="n">
        <v>43292</v>
      </c>
      <c r="F1657" s="21" t="s">
        <v>49</v>
      </c>
      <c r="G1657" s="23" t="n">
        <v>72.98</v>
      </c>
      <c r="H1657" s="23" t="n">
        <v>18.68</v>
      </c>
      <c r="I1657" s="21" t="s">
        <v>45</v>
      </c>
      <c r="J1657" s="21" t="n">
        <v>4</v>
      </c>
      <c r="K1657" s="21" t="s">
        <v>46</v>
      </c>
      <c r="L1657" s="24" t="n">
        <f aca="false">DATE(YEAR(C1657),MONTH(C1657),1)</f>
        <v>43252</v>
      </c>
      <c r="M1657" s="21" t="n">
        <f aca="false">D1657-C1657</f>
        <v>6</v>
      </c>
      <c r="N1657" s="21" t="n">
        <f aca="false">MAX(0,D1657-E1657)</f>
        <v>0</v>
      </c>
      <c r="O1657" s="21" t="n">
        <f aca="false">IF(D1657&lt;=E1657,1,0)</f>
        <v>1</v>
      </c>
      <c r="P1657" s="23" t="n">
        <f aca="false">G1657+H1657</f>
        <v>91.66</v>
      </c>
      <c r="Q1657" s="23" t="n">
        <f aca="false">G1657*INDEX(Assumptions!$B$8:$B$16,MATCH(F1657,Assumptions!$A$8:$A$16,0))</f>
        <v>42.3284</v>
      </c>
      <c r="R1657" s="23" t="n">
        <f aca="false">H1657*Assumptions!$B$3</f>
        <v>11.208</v>
      </c>
      <c r="S1657" s="23" t="n">
        <f aca="false">G1657-Q1657-R1657</f>
        <v>19.4436</v>
      </c>
      <c r="T1657" s="21" t="str">
        <f aca="false">IF(M1657&lt;=7,"0-7 days",IF(M1657&lt;=14,"8-14 days",IF(M1657&lt;=21,"15-21 days","22+ days")))</f>
        <v>0-7 days</v>
      </c>
    </row>
    <row r="1658" customFormat="false" ht="15" hidden="false" customHeight="false" outlineLevel="0" collapsed="false">
      <c r="A1658" s="21" t="s">
        <v>1724</v>
      </c>
      <c r="B1658" s="21" t="s">
        <v>19</v>
      </c>
      <c r="C1658" s="22" t="n">
        <v>43281</v>
      </c>
      <c r="D1658" s="22" t="n">
        <v>43292</v>
      </c>
      <c r="E1658" s="22" t="n">
        <v>43294</v>
      </c>
      <c r="F1658" s="21" t="s">
        <v>111</v>
      </c>
      <c r="G1658" s="23" t="n">
        <v>79.19</v>
      </c>
      <c r="H1658" s="23" t="n">
        <v>20.23</v>
      </c>
      <c r="I1658" s="21" t="s">
        <v>60</v>
      </c>
      <c r="J1658" s="21" t="n">
        <v>4</v>
      </c>
      <c r="K1658" s="21" t="s">
        <v>46</v>
      </c>
      <c r="L1658" s="24" t="n">
        <f aca="false">DATE(YEAR(C1658),MONTH(C1658),1)</f>
        <v>43252</v>
      </c>
      <c r="M1658" s="21" t="n">
        <f aca="false">D1658-C1658</f>
        <v>11</v>
      </c>
      <c r="N1658" s="21" t="n">
        <f aca="false">MAX(0,D1658-E1658)</f>
        <v>0</v>
      </c>
      <c r="O1658" s="21" t="n">
        <f aca="false">IF(D1658&lt;=E1658,1,0)</f>
        <v>1</v>
      </c>
      <c r="P1658" s="23" t="n">
        <f aca="false">G1658+H1658</f>
        <v>99.42</v>
      </c>
      <c r="Q1658" s="23" t="n">
        <f aca="false">G1658*INDEX(Assumptions!$B$8:$B$16,MATCH(F1658,Assumptions!$A$8:$A$16,0))</f>
        <v>49.8897</v>
      </c>
      <c r="R1658" s="23" t="n">
        <f aca="false">H1658*Assumptions!$B$3</f>
        <v>12.138</v>
      </c>
      <c r="S1658" s="23" t="n">
        <f aca="false">G1658-Q1658-R1658</f>
        <v>17.1623</v>
      </c>
      <c r="T1658" s="21" t="str">
        <f aca="false">IF(M1658&lt;=7,"0-7 days",IF(M1658&lt;=14,"8-14 days",IF(M1658&lt;=21,"15-21 days","22+ days")))</f>
        <v>8-14 days</v>
      </c>
    </row>
    <row r="1659" customFormat="false" ht="15" hidden="false" customHeight="false" outlineLevel="0" collapsed="false">
      <c r="A1659" s="21" t="s">
        <v>1725</v>
      </c>
      <c r="B1659" s="21" t="s">
        <v>55</v>
      </c>
      <c r="C1659" s="22" t="n">
        <v>43282</v>
      </c>
      <c r="D1659" s="22" t="n">
        <v>43295</v>
      </c>
      <c r="E1659" s="22" t="n">
        <v>43305</v>
      </c>
      <c r="F1659" s="21" t="s">
        <v>64</v>
      </c>
      <c r="G1659" s="23" t="n">
        <v>90.11</v>
      </c>
      <c r="H1659" s="23" t="n">
        <v>25.03</v>
      </c>
      <c r="I1659" s="21" t="s">
        <v>45</v>
      </c>
      <c r="J1659" s="21" t="n">
        <v>3</v>
      </c>
      <c r="K1659" s="21" t="s">
        <v>46</v>
      </c>
      <c r="L1659" s="24" t="n">
        <f aca="false">DATE(YEAR(C1659),MONTH(C1659),1)</f>
        <v>43282</v>
      </c>
      <c r="M1659" s="21" t="n">
        <f aca="false">D1659-C1659</f>
        <v>13</v>
      </c>
      <c r="N1659" s="21" t="n">
        <f aca="false">MAX(0,D1659-E1659)</f>
        <v>0</v>
      </c>
      <c r="O1659" s="21" t="n">
        <f aca="false">IF(D1659&lt;=E1659,1,0)</f>
        <v>1</v>
      </c>
      <c r="P1659" s="23" t="n">
        <f aca="false">G1659+H1659</f>
        <v>115.14</v>
      </c>
      <c r="Q1659" s="23" t="n">
        <f aca="false">G1659*INDEX(Assumptions!$B$8:$B$16,MATCH(F1659,Assumptions!$A$8:$A$16,0))</f>
        <v>59.4726</v>
      </c>
      <c r="R1659" s="23" t="n">
        <f aca="false">H1659*Assumptions!$B$3</f>
        <v>15.018</v>
      </c>
      <c r="S1659" s="23" t="n">
        <f aca="false">G1659-Q1659-R1659</f>
        <v>15.6194</v>
      </c>
      <c r="T1659" s="21" t="str">
        <f aca="false">IF(M1659&lt;=7,"0-7 days",IF(M1659&lt;=14,"8-14 days",IF(M1659&lt;=21,"15-21 days","22+ days")))</f>
        <v>8-14 days</v>
      </c>
    </row>
    <row r="1660" customFormat="false" ht="15" hidden="false" customHeight="false" outlineLevel="0" collapsed="false">
      <c r="A1660" s="21" t="s">
        <v>1726</v>
      </c>
      <c r="B1660" s="21" t="s">
        <v>19</v>
      </c>
      <c r="C1660" s="22" t="n">
        <v>43282</v>
      </c>
      <c r="D1660" s="22" t="n">
        <v>43287</v>
      </c>
      <c r="E1660" s="22" t="n">
        <v>43297</v>
      </c>
      <c r="F1660" s="21" t="s">
        <v>67</v>
      </c>
      <c r="G1660" s="23" t="n">
        <v>99.17</v>
      </c>
      <c r="H1660" s="23" t="n">
        <v>17.74</v>
      </c>
      <c r="I1660" s="21" t="s">
        <v>45</v>
      </c>
      <c r="J1660" s="21" t="n">
        <v>5</v>
      </c>
      <c r="K1660" s="21" t="s">
        <v>46</v>
      </c>
      <c r="L1660" s="24" t="n">
        <f aca="false">DATE(YEAR(C1660),MONTH(C1660),1)</f>
        <v>43282</v>
      </c>
      <c r="M1660" s="21" t="n">
        <f aca="false">D1660-C1660</f>
        <v>5</v>
      </c>
      <c r="N1660" s="21" t="n">
        <f aca="false">MAX(0,D1660-E1660)</f>
        <v>0</v>
      </c>
      <c r="O1660" s="21" t="n">
        <f aca="false">IF(D1660&lt;=E1660,1,0)</f>
        <v>1</v>
      </c>
      <c r="P1660" s="23" t="n">
        <f aca="false">G1660+H1660</f>
        <v>116.91</v>
      </c>
      <c r="Q1660" s="23" t="n">
        <f aca="false">G1660*INDEX(Assumptions!$B$8:$B$16,MATCH(F1660,Assumptions!$A$8:$A$16,0))</f>
        <v>61.4854</v>
      </c>
      <c r="R1660" s="23" t="n">
        <f aca="false">H1660*Assumptions!$B$3</f>
        <v>10.644</v>
      </c>
      <c r="S1660" s="23" t="n">
        <f aca="false">G1660-Q1660-R1660</f>
        <v>27.0406</v>
      </c>
      <c r="T1660" s="21" t="str">
        <f aca="false">IF(M1660&lt;=7,"0-7 days",IF(M1660&lt;=14,"8-14 days",IF(M1660&lt;=21,"15-21 days","22+ days")))</f>
        <v>0-7 days</v>
      </c>
    </row>
    <row r="1661" customFormat="false" ht="15" hidden="false" customHeight="false" outlineLevel="0" collapsed="false">
      <c r="A1661" s="21" t="s">
        <v>1727</v>
      </c>
      <c r="B1661" s="21" t="s">
        <v>19</v>
      </c>
      <c r="C1661" s="22" t="n">
        <v>43284</v>
      </c>
      <c r="D1661" s="22" t="n">
        <v>43294</v>
      </c>
      <c r="E1661" s="22" t="n">
        <v>43300</v>
      </c>
      <c r="F1661" s="21" t="s">
        <v>59</v>
      </c>
      <c r="G1661" s="23" t="n">
        <v>154.7</v>
      </c>
      <c r="H1661" s="23" t="n">
        <v>15.34</v>
      </c>
      <c r="I1661" s="21" t="s">
        <v>45</v>
      </c>
      <c r="J1661" s="21" t="n">
        <v>4</v>
      </c>
      <c r="K1661" s="21" t="s">
        <v>46</v>
      </c>
      <c r="L1661" s="24" t="n">
        <f aca="false">DATE(YEAR(C1661),MONTH(C1661),1)</f>
        <v>43282</v>
      </c>
      <c r="M1661" s="21" t="n">
        <f aca="false">D1661-C1661</f>
        <v>10</v>
      </c>
      <c r="N1661" s="21" t="n">
        <f aca="false">MAX(0,D1661-E1661)</f>
        <v>0</v>
      </c>
      <c r="O1661" s="21" t="n">
        <f aca="false">IF(D1661&lt;=E1661,1,0)</f>
        <v>1</v>
      </c>
      <c r="P1661" s="23" t="n">
        <f aca="false">G1661+H1661</f>
        <v>170.04</v>
      </c>
      <c r="Q1661" s="23" t="n">
        <f aca="false">G1661*INDEX(Assumptions!$B$8:$B$16,MATCH(F1661,Assumptions!$A$8:$A$16,0))</f>
        <v>99.008</v>
      </c>
      <c r="R1661" s="23" t="n">
        <f aca="false">H1661*Assumptions!$B$3</f>
        <v>9.204</v>
      </c>
      <c r="S1661" s="23" t="n">
        <f aca="false">G1661-Q1661-R1661</f>
        <v>46.488</v>
      </c>
      <c r="T1661" s="21" t="str">
        <f aca="false">IF(M1661&lt;=7,"0-7 days",IF(M1661&lt;=14,"8-14 days",IF(M1661&lt;=21,"15-21 days","22+ days")))</f>
        <v>8-14 days</v>
      </c>
    </row>
    <row r="1662" customFormat="false" ht="15" hidden="false" customHeight="false" outlineLevel="0" collapsed="false">
      <c r="A1662" s="21" t="s">
        <v>1728</v>
      </c>
      <c r="B1662" s="21" t="s">
        <v>93</v>
      </c>
      <c r="C1662" s="22" t="n">
        <v>43284</v>
      </c>
      <c r="D1662" s="22" t="n">
        <v>43293</v>
      </c>
      <c r="E1662" s="22" t="n">
        <v>43310</v>
      </c>
      <c r="F1662" s="21" t="s">
        <v>53</v>
      </c>
      <c r="G1662" s="23" t="n">
        <v>164.35</v>
      </c>
      <c r="H1662" s="23" t="n">
        <v>40.14</v>
      </c>
      <c r="I1662" s="21" t="s">
        <v>60</v>
      </c>
      <c r="J1662" s="21" t="n">
        <v>5</v>
      </c>
      <c r="K1662" s="21" t="s">
        <v>46</v>
      </c>
      <c r="L1662" s="24" t="n">
        <f aca="false">DATE(YEAR(C1662),MONTH(C1662),1)</f>
        <v>43282</v>
      </c>
      <c r="M1662" s="21" t="n">
        <f aca="false">D1662-C1662</f>
        <v>9</v>
      </c>
      <c r="N1662" s="21" t="n">
        <f aca="false">MAX(0,D1662-E1662)</f>
        <v>0</v>
      </c>
      <c r="O1662" s="21" t="n">
        <f aca="false">IF(D1662&lt;=E1662,1,0)</f>
        <v>1</v>
      </c>
      <c r="P1662" s="23" t="n">
        <f aca="false">G1662+H1662</f>
        <v>204.49</v>
      </c>
      <c r="Q1662" s="23" t="n">
        <f aca="false">G1662*INDEX(Assumptions!$B$8:$B$16,MATCH(F1662,Assumptions!$A$8:$A$16,0))</f>
        <v>121.619</v>
      </c>
      <c r="R1662" s="23" t="n">
        <f aca="false">H1662*Assumptions!$B$3</f>
        <v>24.084</v>
      </c>
      <c r="S1662" s="23" t="n">
        <f aca="false">G1662-Q1662-R1662</f>
        <v>18.647</v>
      </c>
      <c r="T1662" s="21" t="str">
        <f aca="false">IF(M1662&lt;=7,"0-7 days",IF(M1662&lt;=14,"8-14 days",IF(M1662&lt;=21,"15-21 days","22+ days")))</f>
        <v>8-14 days</v>
      </c>
    </row>
    <row r="1663" customFormat="false" ht="15" hidden="false" customHeight="false" outlineLevel="0" collapsed="false">
      <c r="A1663" s="21" t="s">
        <v>1729</v>
      </c>
      <c r="B1663" s="21" t="s">
        <v>174</v>
      </c>
      <c r="C1663" s="22" t="n">
        <v>43284</v>
      </c>
      <c r="D1663" s="22" t="n">
        <v>43303</v>
      </c>
      <c r="E1663" s="22" t="n">
        <v>43314</v>
      </c>
      <c r="F1663" s="21" t="s">
        <v>53</v>
      </c>
      <c r="G1663" s="23" t="n">
        <v>60.18</v>
      </c>
      <c r="H1663" s="23" t="n">
        <v>29.87</v>
      </c>
      <c r="I1663" s="21" t="s">
        <v>45</v>
      </c>
      <c r="J1663" s="21" t="n">
        <v>4</v>
      </c>
      <c r="K1663" s="21" t="s">
        <v>46</v>
      </c>
      <c r="L1663" s="24" t="n">
        <f aca="false">DATE(YEAR(C1663),MONTH(C1663),1)</f>
        <v>43282</v>
      </c>
      <c r="M1663" s="21" t="n">
        <f aca="false">D1663-C1663</f>
        <v>19</v>
      </c>
      <c r="N1663" s="21" t="n">
        <f aca="false">MAX(0,D1663-E1663)</f>
        <v>0</v>
      </c>
      <c r="O1663" s="21" t="n">
        <f aca="false">IF(D1663&lt;=E1663,1,0)</f>
        <v>1</v>
      </c>
      <c r="P1663" s="23" t="n">
        <f aca="false">G1663+H1663</f>
        <v>90.05</v>
      </c>
      <c r="Q1663" s="23" t="n">
        <f aca="false">G1663*INDEX(Assumptions!$B$8:$B$16,MATCH(F1663,Assumptions!$A$8:$A$16,0))</f>
        <v>44.5332</v>
      </c>
      <c r="R1663" s="23" t="n">
        <f aca="false">H1663*Assumptions!$B$3</f>
        <v>17.922</v>
      </c>
      <c r="S1663" s="23" t="n">
        <f aca="false">G1663-Q1663-R1663</f>
        <v>-2.2752</v>
      </c>
      <c r="T1663" s="21" t="str">
        <f aca="false">IF(M1663&lt;=7,"0-7 days",IF(M1663&lt;=14,"8-14 days",IF(M1663&lt;=21,"15-21 days","22+ days")))</f>
        <v>15-21 days</v>
      </c>
    </row>
    <row r="1664" customFormat="false" ht="15" hidden="false" customHeight="false" outlineLevel="0" collapsed="false">
      <c r="A1664" s="21" t="s">
        <v>1730</v>
      </c>
      <c r="B1664" s="21" t="s">
        <v>52</v>
      </c>
      <c r="C1664" s="22" t="n">
        <v>43284</v>
      </c>
      <c r="D1664" s="22" t="n">
        <v>43298</v>
      </c>
      <c r="E1664" s="22" t="n">
        <v>43308</v>
      </c>
      <c r="F1664" s="21" t="s">
        <v>67</v>
      </c>
      <c r="G1664" s="23" t="n">
        <v>123.18</v>
      </c>
      <c r="H1664" s="23" t="n">
        <v>30.29</v>
      </c>
      <c r="I1664" s="21" t="s">
        <v>45</v>
      </c>
      <c r="J1664" s="21" t="n">
        <v>5</v>
      </c>
      <c r="K1664" s="21" t="s">
        <v>46</v>
      </c>
      <c r="L1664" s="24" t="n">
        <f aca="false">DATE(YEAR(C1664),MONTH(C1664),1)</f>
        <v>43282</v>
      </c>
      <c r="M1664" s="21" t="n">
        <f aca="false">D1664-C1664</f>
        <v>14</v>
      </c>
      <c r="N1664" s="21" t="n">
        <f aca="false">MAX(0,D1664-E1664)</f>
        <v>0</v>
      </c>
      <c r="O1664" s="21" t="n">
        <f aca="false">IF(D1664&lt;=E1664,1,0)</f>
        <v>1</v>
      </c>
      <c r="P1664" s="23" t="n">
        <f aca="false">G1664+H1664</f>
        <v>153.47</v>
      </c>
      <c r="Q1664" s="23" t="n">
        <f aca="false">G1664*INDEX(Assumptions!$B$8:$B$16,MATCH(F1664,Assumptions!$A$8:$A$16,0))</f>
        <v>76.3716</v>
      </c>
      <c r="R1664" s="23" t="n">
        <f aca="false">H1664*Assumptions!$B$3</f>
        <v>18.174</v>
      </c>
      <c r="S1664" s="23" t="n">
        <f aca="false">G1664-Q1664-R1664</f>
        <v>28.6344</v>
      </c>
      <c r="T1664" s="21" t="str">
        <f aca="false">IF(M1664&lt;=7,"0-7 days",IF(M1664&lt;=14,"8-14 days",IF(M1664&lt;=21,"15-21 days","22+ days")))</f>
        <v>8-14 days</v>
      </c>
    </row>
    <row r="1665" customFormat="false" ht="15" hidden="false" customHeight="false" outlineLevel="0" collapsed="false">
      <c r="A1665" s="21" t="s">
        <v>1731</v>
      </c>
      <c r="B1665" s="21" t="s">
        <v>19</v>
      </c>
      <c r="C1665" s="22" t="n">
        <v>43284</v>
      </c>
      <c r="D1665" s="22" t="n">
        <v>43289</v>
      </c>
      <c r="E1665" s="22" t="n">
        <v>43299</v>
      </c>
      <c r="F1665" s="21" t="s">
        <v>67</v>
      </c>
      <c r="G1665" s="23" t="n">
        <v>29.69</v>
      </c>
      <c r="H1665" s="23" t="n">
        <v>21.21</v>
      </c>
      <c r="I1665" s="21" t="s">
        <v>45</v>
      </c>
      <c r="J1665" s="21" t="n">
        <v>4</v>
      </c>
      <c r="K1665" s="21" t="s">
        <v>46</v>
      </c>
      <c r="L1665" s="24" t="n">
        <f aca="false">DATE(YEAR(C1665),MONTH(C1665),1)</f>
        <v>43282</v>
      </c>
      <c r="M1665" s="21" t="n">
        <f aca="false">D1665-C1665</f>
        <v>5</v>
      </c>
      <c r="N1665" s="21" t="n">
        <f aca="false">MAX(0,D1665-E1665)</f>
        <v>0</v>
      </c>
      <c r="O1665" s="21" t="n">
        <f aca="false">IF(D1665&lt;=E1665,1,0)</f>
        <v>1</v>
      </c>
      <c r="P1665" s="23" t="n">
        <f aca="false">G1665+H1665</f>
        <v>50.9</v>
      </c>
      <c r="Q1665" s="23" t="n">
        <f aca="false">G1665*INDEX(Assumptions!$B$8:$B$16,MATCH(F1665,Assumptions!$A$8:$A$16,0))</f>
        <v>18.4078</v>
      </c>
      <c r="R1665" s="23" t="n">
        <f aca="false">H1665*Assumptions!$B$3</f>
        <v>12.726</v>
      </c>
      <c r="S1665" s="23" t="n">
        <f aca="false">G1665-Q1665-R1665</f>
        <v>-1.4438</v>
      </c>
      <c r="T1665" s="21" t="str">
        <f aca="false">IF(M1665&lt;=7,"0-7 days",IF(M1665&lt;=14,"8-14 days",IF(M1665&lt;=21,"15-21 days","22+ days")))</f>
        <v>0-7 days</v>
      </c>
    </row>
    <row r="1666" customFormat="false" ht="15" hidden="false" customHeight="false" outlineLevel="0" collapsed="false">
      <c r="A1666" s="21" t="s">
        <v>1732</v>
      </c>
      <c r="B1666" s="21" t="s">
        <v>52</v>
      </c>
      <c r="C1666" s="22" t="n">
        <v>43284</v>
      </c>
      <c r="D1666" s="22" t="n">
        <v>43314</v>
      </c>
      <c r="E1666" s="22" t="n">
        <v>43309</v>
      </c>
      <c r="F1666" s="21" t="s">
        <v>67</v>
      </c>
      <c r="G1666" s="23" t="n">
        <v>59.46</v>
      </c>
      <c r="H1666" s="23" t="n">
        <v>19.04</v>
      </c>
      <c r="I1666" s="21" t="s">
        <v>45</v>
      </c>
      <c r="J1666" s="21" t="n">
        <v>2</v>
      </c>
      <c r="K1666" s="21" t="s">
        <v>46</v>
      </c>
      <c r="L1666" s="24" t="n">
        <f aca="false">DATE(YEAR(C1666),MONTH(C1666),1)</f>
        <v>43282</v>
      </c>
      <c r="M1666" s="21" t="n">
        <f aca="false">D1666-C1666</f>
        <v>30</v>
      </c>
      <c r="N1666" s="21" t="n">
        <f aca="false">MAX(0,D1666-E1666)</f>
        <v>5</v>
      </c>
      <c r="O1666" s="21" t="n">
        <f aca="false">IF(D1666&lt;=E1666,1,0)</f>
        <v>0</v>
      </c>
      <c r="P1666" s="23" t="n">
        <f aca="false">G1666+H1666</f>
        <v>78.5</v>
      </c>
      <c r="Q1666" s="23" t="n">
        <f aca="false">G1666*INDEX(Assumptions!$B$8:$B$16,MATCH(F1666,Assumptions!$A$8:$A$16,0))</f>
        <v>36.8652</v>
      </c>
      <c r="R1666" s="23" t="n">
        <f aca="false">H1666*Assumptions!$B$3</f>
        <v>11.424</v>
      </c>
      <c r="S1666" s="23" t="n">
        <f aca="false">G1666-Q1666-R1666</f>
        <v>11.1708</v>
      </c>
      <c r="T1666" s="21" t="str">
        <f aca="false">IF(M1666&lt;=7,"0-7 days",IF(M1666&lt;=14,"8-14 days",IF(M1666&lt;=21,"15-21 days","22+ days")))</f>
        <v>22+ days</v>
      </c>
    </row>
    <row r="1667" customFormat="false" ht="15" hidden="false" customHeight="false" outlineLevel="0" collapsed="false">
      <c r="A1667" s="21" t="s">
        <v>1733</v>
      </c>
      <c r="B1667" s="21" t="s">
        <v>48</v>
      </c>
      <c r="C1667" s="22" t="n">
        <v>43285</v>
      </c>
      <c r="D1667" s="22" t="n">
        <v>43300</v>
      </c>
      <c r="E1667" s="22" t="n">
        <v>43305</v>
      </c>
      <c r="F1667" s="21" t="s">
        <v>111</v>
      </c>
      <c r="G1667" s="23" t="n">
        <v>60.84</v>
      </c>
      <c r="H1667" s="23" t="n">
        <v>26.48</v>
      </c>
      <c r="I1667" s="21" t="s">
        <v>45</v>
      </c>
      <c r="J1667" s="21" t="n">
        <v>4</v>
      </c>
      <c r="K1667" s="21" t="s">
        <v>46</v>
      </c>
      <c r="L1667" s="24" t="n">
        <f aca="false">DATE(YEAR(C1667),MONTH(C1667),1)</f>
        <v>43282</v>
      </c>
      <c r="M1667" s="21" t="n">
        <f aca="false">D1667-C1667</f>
        <v>15</v>
      </c>
      <c r="N1667" s="21" t="n">
        <f aca="false">MAX(0,D1667-E1667)</f>
        <v>0</v>
      </c>
      <c r="O1667" s="21" t="n">
        <f aca="false">IF(D1667&lt;=E1667,1,0)</f>
        <v>1</v>
      </c>
      <c r="P1667" s="23" t="n">
        <f aca="false">G1667+H1667</f>
        <v>87.32</v>
      </c>
      <c r="Q1667" s="23" t="n">
        <f aca="false">G1667*INDEX(Assumptions!$B$8:$B$16,MATCH(F1667,Assumptions!$A$8:$A$16,0))</f>
        <v>38.3292</v>
      </c>
      <c r="R1667" s="23" t="n">
        <f aca="false">H1667*Assumptions!$B$3</f>
        <v>15.888</v>
      </c>
      <c r="S1667" s="23" t="n">
        <f aca="false">G1667-Q1667-R1667</f>
        <v>6.6228</v>
      </c>
      <c r="T1667" s="21" t="str">
        <f aca="false">IF(M1667&lt;=7,"0-7 days",IF(M1667&lt;=14,"8-14 days",IF(M1667&lt;=21,"15-21 days","22+ days")))</f>
        <v>15-21 days</v>
      </c>
    </row>
    <row r="1668" customFormat="false" ht="15" hidden="false" customHeight="false" outlineLevel="0" collapsed="false">
      <c r="A1668" s="21" t="s">
        <v>1734</v>
      </c>
      <c r="B1668" s="21" t="s">
        <v>52</v>
      </c>
      <c r="C1668" s="22" t="n">
        <v>43285</v>
      </c>
      <c r="D1668" s="22" t="n">
        <v>43332</v>
      </c>
      <c r="E1668" s="22" t="n">
        <v>43307</v>
      </c>
      <c r="F1668" s="21" t="s">
        <v>79</v>
      </c>
      <c r="G1668" s="23" t="n">
        <v>215.88</v>
      </c>
      <c r="H1668" s="23" t="n">
        <v>24.07</v>
      </c>
      <c r="I1668" s="21" t="s">
        <v>45</v>
      </c>
      <c r="J1668" s="21" t="n">
        <v>1</v>
      </c>
      <c r="K1668" s="21" t="s">
        <v>46</v>
      </c>
      <c r="L1668" s="24" t="n">
        <f aca="false">DATE(YEAR(C1668),MONTH(C1668),1)</f>
        <v>43282</v>
      </c>
      <c r="M1668" s="21" t="n">
        <f aca="false">D1668-C1668</f>
        <v>47</v>
      </c>
      <c r="N1668" s="21" t="n">
        <f aca="false">MAX(0,D1668-E1668)</f>
        <v>25</v>
      </c>
      <c r="O1668" s="21" t="n">
        <f aca="false">IF(D1668&lt;=E1668,1,0)</f>
        <v>0</v>
      </c>
      <c r="P1668" s="23" t="n">
        <f aca="false">G1668+H1668</f>
        <v>239.95</v>
      </c>
      <c r="Q1668" s="23" t="n">
        <f aca="false">G1668*INDEX(Assumptions!$B$8:$B$16,MATCH(F1668,Assumptions!$A$8:$A$16,0))</f>
        <v>151.116</v>
      </c>
      <c r="R1668" s="23" t="n">
        <f aca="false">H1668*Assumptions!$B$3</f>
        <v>14.442</v>
      </c>
      <c r="S1668" s="23" t="n">
        <f aca="false">G1668-Q1668-R1668</f>
        <v>50.322</v>
      </c>
      <c r="T1668" s="21" t="str">
        <f aca="false">IF(M1668&lt;=7,"0-7 days",IF(M1668&lt;=14,"8-14 days",IF(M1668&lt;=21,"15-21 days","22+ days")))</f>
        <v>22+ days</v>
      </c>
    </row>
    <row r="1669" customFormat="false" ht="15" hidden="false" customHeight="false" outlineLevel="0" collapsed="false">
      <c r="A1669" s="21" t="s">
        <v>1735</v>
      </c>
      <c r="B1669" s="21" t="s">
        <v>62</v>
      </c>
      <c r="C1669" s="22" t="n">
        <v>43285</v>
      </c>
      <c r="D1669" s="22" t="n">
        <v>43297</v>
      </c>
      <c r="E1669" s="22" t="n">
        <v>43311</v>
      </c>
      <c r="F1669" s="21" t="s">
        <v>59</v>
      </c>
      <c r="G1669" s="23" t="n">
        <v>64.43</v>
      </c>
      <c r="H1669" s="23" t="n">
        <v>23.35</v>
      </c>
      <c r="I1669" s="21" t="s">
        <v>45</v>
      </c>
      <c r="J1669" s="21" t="n">
        <v>5</v>
      </c>
      <c r="K1669" s="21" t="s">
        <v>46</v>
      </c>
      <c r="L1669" s="24" t="n">
        <f aca="false">DATE(YEAR(C1669),MONTH(C1669),1)</f>
        <v>43282</v>
      </c>
      <c r="M1669" s="21" t="n">
        <f aca="false">D1669-C1669</f>
        <v>12</v>
      </c>
      <c r="N1669" s="21" t="n">
        <f aca="false">MAX(0,D1669-E1669)</f>
        <v>0</v>
      </c>
      <c r="O1669" s="21" t="n">
        <f aca="false">IF(D1669&lt;=E1669,1,0)</f>
        <v>1</v>
      </c>
      <c r="P1669" s="23" t="n">
        <f aca="false">G1669+H1669</f>
        <v>87.78</v>
      </c>
      <c r="Q1669" s="23" t="n">
        <f aca="false">G1669*INDEX(Assumptions!$B$8:$B$16,MATCH(F1669,Assumptions!$A$8:$A$16,0))</f>
        <v>41.2352</v>
      </c>
      <c r="R1669" s="23" t="n">
        <f aca="false">H1669*Assumptions!$B$3</f>
        <v>14.01</v>
      </c>
      <c r="S1669" s="23" t="n">
        <f aca="false">G1669-Q1669-R1669</f>
        <v>9.1848</v>
      </c>
      <c r="T1669" s="21" t="str">
        <f aca="false">IF(M1669&lt;=7,"0-7 days",IF(M1669&lt;=14,"8-14 days",IF(M1669&lt;=21,"15-21 days","22+ days")))</f>
        <v>8-14 days</v>
      </c>
    </row>
    <row r="1670" customFormat="false" ht="15" hidden="false" customHeight="false" outlineLevel="0" collapsed="false">
      <c r="A1670" s="21" t="s">
        <v>1736</v>
      </c>
      <c r="B1670" s="21" t="s">
        <v>103</v>
      </c>
      <c r="C1670" s="22" t="n">
        <v>43286</v>
      </c>
      <c r="D1670" s="22" t="n">
        <v>43296</v>
      </c>
      <c r="E1670" s="22" t="n">
        <v>43309</v>
      </c>
      <c r="F1670" s="21" t="s">
        <v>49</v>
      </c>
      <c r="G1670" s="23" t="n">
        <v>108.77</v>
      </c>
      <c r="H1670" s="23" t="n">
        <v>17.87</v>
      </c>
      <c r="I1670" s="21" t="s">
        <v>45</v>
      </c>
      <c r="J1670" s="21" t="n">
        <v>4</v>
      </c>
      <c r="K1670" s="21" t="s">
        <v>46</v>
      </c>
      <c r="L1670" s="24" t="n">
        <f aca="false">DATE(YEAR(C1670),MONTH(C1670),1)</f>
        <v>43282</v>
      </c>
      <c r="M1670" s="21" t="n">
        <f aca="false">D1670-C1670</f>
        <v>10</v>
      </c>
      <c r="N1670" s="21" t="n">
        <f aca="false">MAX(0,D1670-E1670)</f>
        <v>0</v>
      </c>
      <c r="O1670" s="21" t="n">
        <f aca="false">IF(D1670&lt;=E1670,1,0)</f>
        <v>1</v>
      </c>
      <c r="P1670" s="23" t="n">
        <f aca="false">G1670+H1670</f>
        <v>126.64</v>
      </c>
      <c r="Q1670" s="23" t="n">
        <f aca="false">G1670*INDEX(Assumptions!$B$8:$B$16,MATCH(F1670,Assumptions!$A$8:$A$16,0))</f>
        <v>63.0866</v>
      </c>
      <c r="R1670" s="23" t="n">
        <f aca="false">H1670*Assumptions!$B$3</f>
        <v>10.722</v>
      </c>
      <c r="S1670" s="23" t="n">
        <f aca="false">G1670-Q1670-R1670</f>
        <v>34.9614</v>
      </c>
      <c r="T1670" s="21" t="str">
        <f aca="false">IF(M1670&lt;=7,"0-7 days",IF(M1670&lt;=14,"8-14 days",IF(M1670&lt;=21,"15-21 days","22+ days")))</f>
        <v>8-14 days</v>
      </c>
    </row>
    <row r="1671" customFormat="false" ht="15" hidden="false" customHeight="false" outlineLevel="0" collapsed="false">
      <c r="A1671" s="21" t="s">
        <v>1737</v>
      </c>
      <c r="B1671" s="21" t="s">
        <v>62</v>
      </c>
      <c r="C1671" s="22" t="n">
        <v>43286</v>
      </c>
      <c r="D1671" s="22" t="n">
        <v>43304</v>
      </c>
      <c r="E1671" s="22" t="n">
        <v>43308</v>
      </c>
      <c r="F1671" s="21" t="s">
        <v>67</v>
      </c>
      <c r="G1671" s="23" t="n">
        <v>58.76</v>
      </c>
      <c r="H1671" s="23" t="n">
        <v>17.28</v>
      </c>
      <c r="I1671" s="21" t="s">
        <v>45</v>
      </c>
      <c r="J1671" s="21" t="n">
        <v>4</v>
      </c>
      <c r="K1671" s="21" t="s">
        <v>46</v>
      </c>
      <c r="L1671" s="24" t="n">
        <f aca="false">DATE(YEAR(C1671),MONTH(C1671),1)</f>
        <v>43282</v>
      </c>
      <c r="M1671" s="21" t="n">
        <f aca="false">D1671-C1671</f>
        <v>18</v>
      </c>
      <c r="N1671" s="21" t="n">
        <f aca="false">MAX(0,D1671-E1671)</f>
        <v>0</v>
      </c>
      <c r="O1671" s="21" t="n">
        <f aca="false">IF(D1671&lt;=E1671,1,0)</f>
        <v>1</v>
      </c>
      <c r="P1671" s="23" t="n">
        <f aca="false">G1671+H1671</f>
        <v>76.04</v>
      </c>
      <c r="Q1671" s="23" t="n">
        <f aca="false">G1671*INDEX(Assumptions!$B$8:$B$16,MATCH(F1671,Assumptions!$A$8:$A$16,0))</f>
        <v>36.4312</v>
      </c>
      <c r="R1671" s="23" t="n">
        <f aca="false">H1671*Assumptions!$B$3</f>
        <v>10.368</v>
      </c>
      <c r="S1671" s="23" t="n">
        <f aca="false">G1671-Q1671-R1671</f>
        <v>11.9608</v>
      </c>
      <c r="T1671" s="21" t="str">
        <f aca="false">IF(M1671&lt;=7,"0-7 days",IF(M1671&lt;=14,"8-14 days",IF(M1671&lt;=21,"15-21 days","22+ days")))</f>
        <v>15-21 days</v>
      </c>
    </row>
    <row r="1672" customFormat="false" ht="15" hidden="false" customHeight="false" outlineLevel="0" collapsed="false">
      <c r="A1672" s="21" t="s">
        <v>1738</v>
      </c>
      <c r="B1672" s="21" t="s">
        <v>19</v>
      </c>
      <c r="C1672" s="22" t="n">
        <v>43286</v>
      </c>
      <c r="D1672" s="22" t="n">
        <v>43291</v>
      </c>
      <c r="E1672" s="22" t="n">
        <v>43303</v>
      </c>
      <c r="F1672" s="21" t="s">
        <v>49</v>
      </c>
      <c r="G1672" s="23" t="n">
        <v>95.78</v>
      </c>
      <c r="H1672" s="23" t="n">
        <v>20.44</v>
      </c>
      <c r="I1672" s="21" t="s">
        <v>45</v>
      </c>
      <c r="J1672" s="21" t="n">
        <v>4</v>
      </c>
      <c r="K1672" s="21" t="s">
        <v>46</v>
      </c>
      <c r="L1672" s="24" t="n">
        <f aca="false">DATE(YEAR(C1672),MONTH(C1672),1)</f>
        <v>43282</v>
      </c>
      <c r="M1672" s="21" t="n">
        <f aca="false">D1672-C1672</f>
        <v>5</v>
      </c>
      <c r="N1672" s="21" t="n">
        <f aca="false">MAX(0,D1672-E1672)</f>
        <v>0</v>
      </c>
      <c r="O1672" s="21" t="n">
        <f aca="false">IF(D1672&lt;=E1672,1,0)</f>
        <v>1</v>
      </c>
      <c r="P1672" s="23" t="n">
        <f aca="false">G1672+H1672</f>
        <v>116.22</v>
      </c>
      <c r="Q1672" s="23" t="n">
        <f aca="false">G1672*INDEX(Assumptions!$B$8:$B$16,MATCH(F1672,Assumptions!$A$8:$A$16,0))</f>
        <v>55.5524</v>
      </c>
      <c r="R1672" s="23" t="n">
        <f aca="false">H1672*Assumptions!$B$3</f>
        <v>12.264</v>
      </c>
      <c r="S1672" s="23" t="n">
        <f aca="false">G1672-Q1672-R1672</f>
        <v>27.9636</v>
      </c>
      <c r="T1672" s="21" t="str">
        <f aca="false">IF(M1672&lt;=7,"0-7 days",IF(M1672&lt;=14,"8-14 days",IF(M1672&lt;=21,"15-21 days","22+ days")))</f>
        <v>0-7 days</v>
      </c>
    </row>
    <row r="1673" customFormat="false" ht="15" hidden="false" customHeight="false" outlineLevel="0" collapsed="false">
      <c r="A1673" s="21" t="s">
        <v>1739</v>
      </c>
      <c r="B1673" s="21" t="s">
        <v>19</v>
      </c>
      <c r="C1673" s="22" t="n">
        <v>43286</v>
      </c>
      <c r="D1673" s="22" t="n">
        <v>43293</v>
      </c>
      <c r="E1673" s="22" t="n">
        <v>43302</v>
      </c>
      <c r="F1673" s="21" t="s">
        <v>111</v>
      </c>
      <c r="G1673" s="23" t="n">
        <v>34.75</v>
      </c>
      <c r="H1673" s="23" t="n">
        <v>14.38</v>
      </c>
      <c r="I1673" s="21" t="s">
        <v>60</v>
      </c>
      <c r="J1673" s="21" t="n">
        <v>4</v>
      </c>
      <c r="K1673" s="21" t="s">
        <v>46</v>
      </c>
      <c r="L1673" s="24" t="n">
        <f aca="false">DATE(YEAR(C1673),MONTH(C1673),1)</f>
        <v>43282</v>
      </c>
      <c r="M1673" s="21" t="n">
        <f aca="false">D1673-C1673</f>
        <v>7</v>
      </c>
      <c r="N1673" s="21" t="n">
        <f aca="false">MAX(0,D1673-E1673)</f>
        <v>0</v>
      </c>
      <c r="O1673" s="21" t="n">
        <f aca="false">IF(D1673&lt;=E1673,1,0)</f>
        <v>1</v>
      </c>
      <c r="P1673" s="23" t="n">
        <f aca="false">G1673+H1673</f>
        <v>49.13</v>
      </c>
      <c r="Q1673" s="23" t="n">
        <f aca="false">G1673*INDEX(Assumptions!$B$8:$B$16,MATCH(F1673,Assumptions!$A$8:$A$16,0))</f>
        <v>21.8925</v>
      </c>
      <c r="R1673" s="23" t="n">
        <f aca="false">H1673*Assumptions!$B$3</f>
        <v>8.628</v>
      </c>
      <c r="S1673" s="23" t="n">
        <f aca="false">G1673-Q1673-R1673</f>
        <v>4.2295</v>
      </c>
      <c r="T1673" s="21" t="str">
        <f aca="false">IF(M1673&lt;=7,"0-7 days",IF(M1673&lt;=14,"8-14 days",IF(M1673&lt;=21,"15-21 days","22+ days")))</f>
        <v>0-7 days</v>
      </c>
    </row>
    <row r="1674" customFormat="false" ht="15" hidden="false" customHeight="false" outlineLevel="0" collapsed="false">
      <c r="A1674" s="21" t="s">
        <v>1740</v>
      </c>
      <c r="B1674" s="21" t="s">
        <v>55</v>
      </c>
      <c r="C1674" s="22" t="n">
        <v>43286</v>
      </c>
      <c r="D1674" s="22" t="n">
        <v>43296</v>
      </c>
      <c r="E1674" s="22" t="n">
        <v>43309</v>
      </c>
      <c r="F1674" s="21" t="s">
        <v>44</v>
      </c>
      <c r="G1674" s="23" t="n">
        <v>187.66</v>
      </c>
      <c r="H1674" s="23" t="n">
        <v>32.22</v>
      </c>
      <c r="I1674" s="21" t="s">
        <v>45</v>
      </c>
      <c r="J1674" s="21" t="n">
        <v>5</v>
      </c>
      <c r="K1674" s="21" t="s">
        <v>46</v>
      </c>
      <c r="L1674" s="24" t="n">
        <f aca="false">DATE(YEAR(C1674),MONTH(C1674),1)</f>
        <v>43282</v>
      </c>
      <c r="M1674" s="21" t="n">
        <f aca="false">D1674-C1674</f>
        <v>10</v>
      </c>
      <c r="N1674" s="21" t="n">
        <f aca="false">MAX(0,D1674-E1674)</f>
        <v>0</v>
      </c>
      <c r="O1674" s="21" t="n">
        <f aca="false">IF(D1674&lt;=E1674,1,0)</f>
        <v>1</v>
      </c>
      <c r="P1674" s="23" t="n">
        <f aca="false">G1674+H1674</f>
        <v>219.88</v>
      </c>
      <c r="Q1674" s="23" t="n">
        <f aca="false">G1674*INDEX(Assumptions!$B$8:$B$16,MATCH(F1674,Assumptions!$A$8:$A$16,0))</f>
        <v>112.596</v>
      </c>
      <c r="R1674" s="23" t="n">
        <f aca="false">H1674*Assumptions!$B$3</f>
        <v>19.332</v>
      </c>
      <c r="S1674" s="23" t="n">
        <f aca="false">G1674-Q1674-R1674</f>
        <v>55.732</v>
      </c>
      <c r="T1674" s="21" t="str">
        <f aca="false">IF(M1674&lt;=7,"0-7 days",IF(M1674&lt;=14,"8-14 days",IF(M1674&lt;=21,"15-21 days","22+ days")))</f>
        <v>8-14 days</v>
      </c>
    </row>
    <row r="1675" customFormat="false" ht="15" hidden="false" customHeight="false" outlineLevel="0" collapsed="false">
      <c r="A1675" s="21" t="s">
        <v>1741</v>
      </c>
      <c r="B1675" s="21" t="s">
        <v>19</v>
      </c>
      <c r="C1675" s="22" t="n">
        <v>43286</v>
      </c>
      <c r="D1675" s="22" t="n">
        <v>43295</v>
      </c>
      <c r="E1675" s="22" t="n">
        <v>43300</v>
      </c>
      <c r="F1675" s="21" t="s">
        <v>67</v>
      </c>
      <c r="G1675" s="23" t="n">
        <v>94.84</v>
      </c>
      <c r="H1675" s="23" t="n">
        <v>18.92</v>
      </c>
      <c r="I1675" s="21" t="s">
        <v>45</v>
      </c>
      <c r="J1675" s="21" t="n">
        <v>5</v>
      </c>
      <c r="K1675" s="21" t="s">
        <v>46</v>
      </c>
      <c r="L1675" s="24" t="n">
        <f aca="false">DATE(YEAR(C1675),MONTH(C1675),1)</f>
        <v>43282</v>
      </c>
      <c r="M1675" s="21" t="n">
        <f aca="false">D1675-C1675</f>
        <v>9</v>
      </c>
      <c r="N1675" s="21" t="n">
        <f aca="false">MAX(0,D1675-E1675)</f>
        <v>0</v>
      </c>
      <c r="O1675" s="21" t="n">
        <f aca="false">IF(D1675&lt;=E1675,1,0)</f>
        <v>1</v>
      </c>
      <c r="P1675" s="23" t="n">
        <f aca="false">G1675+H1675</f>
        <v>113.76</v>
      </c>
      <c r="Q1675" s="23" t="n">
        <f aca="false">G1675*INDEX(Assumptions!$B$8:$B$16,MATCH(F1675,Assumptions!$A$8:$A$16,0))</f>
        <v>58.8008</v>
      </c>
      <c r="R1675" s="23" t="n">
        <f aca="false">H1675*Assumptions!$B$3</f>
        <v>11.352</v>
      </c>
      <c r="S1675" s="23" t="n">
        <f aca="false">G1675-Q1675-R1675</f>
        <v>24.6872</v>
      </c>
      <c r="T1675" s="21" t="str">
        <f aca="false">IF(M1675&lt;=7,"0-7 days",IF(M1675&lt;=14,"8-14 days",IF(M1675&lt;=21,"15-21 days","22+ days")))</f>
        <v>8-14 days</v>
      </c>
    </row>
    <row r="1676" customFormat="false" ht="15" hidden="false" customHeight="false" outlineLevel="0" collapsed="false">
      <c r="A1676" s="21" t="s">
        <v>1742</v>
      </c>
      <c r="B1676" s="21" t="s">
        <v>156</v>
      </c>
      <c r="C1676" s="22" t="n">
        <v>43287</v>
      </c>
      <c r="D1676" s="22" t="n">
        <v>43300</v>
      </c>
      <c r="E1676" s="22" t="n">
        <v>43314</v>
      </c>
      <c r="F1676" s="21" t="s">
        <v>49</v>
      </c>
      <c r="G1676" s="23" t="n">
        <v>41.46</v>
      </c>
      <c r="H1676" s="23" t="n">
        <v>31.85</v>
      </c>
      <c r="I1676" s="21" t="s">
        <v>45</v>
      </c>
      <c r="J1676" s="21" t="n">
        <v>3</v>
      </c>
      <c r="K1676" s="21" t="s">
        <v>46</v>
      </c>
      <c r="L1676" s="24" t="n">
        <f aca="false">DATE(YEAR(C1676),MONTH(C1676),1)</f>
        <v>43282</v>
      </c>
      <c r="M1676" s="21" t="n">
        <f aca="false">D1676-C1676</f>
        <v>13</v>
      </c>
      <c r="N1676" s="21" t="n">
        <f aca="false">MAX(0,D1676-E1676)</f>
        <v>0</v>
      </c>
      <c r="O1676" s="21" t="n">
        <f aca="false">IF(D1676&lt;=E1676,1,0)</f>
        <v>1</v>
      </c>
      <c r="P1676" s="23" t="n">
        <f aca="false">G1676+H1676</f>
        <v>73.31</v>
      </c>
      <c r="Q1676" s="23" t="n">
        <f aca="false">G1676*INDEX(Assumptions!$B$8:$B$16,MATCH(F1676,Assumptions!$A$8:$A$16,0))</f>
        <v>24.0468</v>
      </c>
      <c r="R1676" s="23" t="n">
        <f aca="false">H1676*Assumptions!$B$3</f>
        <v>19.11</v>
      </c>
      <c r="S1676" s="23" t="n">
        <f aca="false">G1676-Q1676-R1676</f>
        <v>-1.6968</v>
      </c>
      <c r="T1676" s="21" t="str">
        <f aca="false">IF(M1676&lt;=7,"0-7 days",IF(M1676&lt;=14,"8-14 days",IF(M1676&lt;=21,"15-21 days","22+ days")))</f>
        <v>8-14 days</v>
      </c>
    </row>
    <row r="1677" customFormat="false" ht="15" hidden="false" customHeight="false" outlineLevel="0" collapsed="false">
      <c r="A1677" s="21" t="s">
        <v>1743</v>
      </c>
      <c r="B1677" s="21" t="s">
        <v>19</v>
      </c>
      <c r="C1677" s="22" t="n">
        <v>43287</v>
      </c>
      <c r="D1677" s="22" t="n">
        <v>43294</v>
      </c>
      <c r="E1677" s="22" t="n">
        <v>43304</v>
      </c>
      <c r="F1677" s="21" t="s">
        <v>64</v>
      </c>
      <c r="G1677" s="23" t="n">
        <v>88.08</v>
      </c>
      <c r="H1677" s="23" t="n">
        <v>12.72</v>
      </c>
      <c r="I1677" s="21" t="s">
        <v>45</v>
      </c>
      <c r="J1677" s="21" t="n">
        <v>5</v>
      </c>
      <c r="K1677" s="21" t="s">
        <v>46</v>
      </c>
      <c r="L1677" s="24" t="n">
        <f aca="false">DATE(YEAR(C1677),MONTH(C1677),1)</f>
        <v>43282</v>
      </c>
      <c r="M1677" s="21" t="n">
        <f aca="false">D1677-C1677</f>
        <v>7</v>
      </c>
      <c r="N1677" s="21" t="n">
        <f aca="false">MAX(0,D1677-E1677)</f>
        <v>0</v>
      </c>
      <c r="O1677" s="21" t="n">
        <f aca="false">IF(D1677&lt;=E1677,1,0)</f>
        <v>1</v>
      </c>
      <c r="P1677" s="23" t="n">
        <f aca="false">G1677+H1677</f>
        <v>100.8</v>
      </c>
      <c r="Q1677" s="23" t="n">
        <f aca="false">G1677*INDEX(Assumptions!$B$8:$B$16,MATCH(F1677,Assumptions!$A$8:$A$16,0))</f>
        <v>58.1328</v>
      </c>
      <c r="R1677" s="23" t="n">
        <f aca="false">H1677*Assumptions!$B$3</f>
        <v>7.632</v>
      </c>
      <c r="S1677" s="23" t="n">
        <f aca="false">G1677-Q1677-R1677</f>
        <v>22.3152</v>
      </c>
      <c r="T1677" s="21" t="str">
        <f aca="false">IF(M1677&lt;=7,"0-7 days",IF(M1677&lt;=14,"8-14 days",IF(M1677&lt;=21,"15-21 days","22+ days")))</f>
        <v>0-7 days</v>
      </c>
    </row>
    <row r="1678" customFormat="false" ht="15" hidden="false" customHeight="false" outlineLevel="0" collapsed="false">
      <c r="A1678" s="21" t="s">
        <v>1744</v>
      </c>
      <c r="B1678" s="21" t="s">
        <v>19</v>
      </c>
      <c r="C1678" s="22" t="n">
        <v>43287</v>
      </c>
      <c r="D1678" s="22" t="n">
        <v>43296</v>
      </c>
      <c r="E1678" s="22" t="n">
        <v>43303</v>
      </c>
      <c r="F1678" s="21" t="s">
        <v>111</v>
      </c>
      <c r="G1678" s="23" t="n">
        <v>44.65</v>
      </c>
      <c r="H1678" s="23" t="n">
        <v>17.74</v>
      </c>
      <c r="I1678" s="21" t="s">
        <v>60</v>
      </c>
      <c r="J1678" s="21" t="n">
        <v>5</v>
      </c>
      <c r="K1678" s="21" t="s">
        <v>46</v>
      </c>
      <c r="L1678" s="24" t="n">
        <f aca="false">DATE(YEAR(C1678),MONTH(C1678),1)</f>
        <v>43282</v>
      </c>
      <c r="M1678" s="21" t="n">
        <f aca="false">D1678-C1678</f>
        <v>9</v>
      </c>
      <c r="N1678" s="21" t="n">
        <f aca="false">MAX(0,D1678-E1678)</f>
        <v>0</v>
      </c>
      <c r="O1678" s="21" t="n">
        <f aca="false">IF(D1678&lt;=E1678,1,0)</f>
        <v>1</v>
      </c>
      <c r="P1678" s="23" t="n">
        <f aca="false">G1678+H1678</f>
        <v>62.39</v>
      </c>
      <c r="Q1678" s="23" t="n">
        <f aca="false">G1678*INDEX(Assumptions!$B$8:$B$16,MATCH(F1678,Assumptions!$A$8:$A$16,0))</f>
        <v>28.1295</v>
      </c>
      <c r="R1678" s="23" t="n">
        <f aca="false">H1678*Assumptions!$B$3</f>
        <v>10.644</v>
      </c>
      <c r="S1678" s="23" t="n">
        <f aca="false">G1678-Q1678-R1678</f>
        <v>5.8765</v>
      </c>
      <c r="T1678" s="21" t="str">
        <f aca="false">IF(M1678&lt;=7,"0-7 days",IF(M1678&lt;=14,"8-14 days",IF(M1678&lt;=21,"15-21 days","22+ days")))</f>
        <v>8-14 days</v>
      </c>
    </row>
    <row r="1679" customFormat="false" ht="15" hidden="false" customHeight="false" outlineLevel="0" collapsed="false">
      <c r="A1679" s="21" t="s">
        <v>1745</v>
      </c>
      <c r="B1679" s="21" t="s">
        <v>93</v>
      </c>
      <c r="C1679" s="22" t="n">
        <v>43287</v>
      </c>
      <c r="D1679" s="22" t="n">
        <v>43306</v>
      </c>
      <c r="E1679" s="22" t="n">
        <v>43317</v>
      </c>
      <c r="F1679" s="21" t="s">
        <v>57</v>
      </c>
      <c r="G1679" s="23" t="n">
        <v>273.66</v>
      </c>
      <c r="H1679" s="23" t="n">
        <v>31.84</v>
      </c>
      <c r="I1679" s="21" t="s">
        <v>45</v>
      </c>
      <c r="J1679" s="21" t="n">
        <v>3</v>
      </c>
      <c r="K1679" s="21" t="s">
        <v>46</v>
      </c>
      <c r="L1679" s="24" t="n">
        <f aca="false">DATE(YEAR(C1679),MONTH(C1679),1)</f>
        <v>43282</v>
      </c>
      <c r="M1679" s="21" t="n">
        <f aca="false">D1679-C1679</f>
        <v>19</v>
      </c>
      <c r="N1679" s="21" t="n">
        <f aca="false">MAX(0,D1679-E1679)</f>
        <v>0</v>
      </c>
      <c r="O1679" s="21" t="n">
        <f aca="false">IF(D1679&lt;=E1679,1,0)</f>
        <v>1</v>
      </c>
      <c r="P1679" s="23" t="n">
        <f aca="false">G1679+H1679</f>
        <v>305.5</v>
      </c>
      <c r="Q1679" s="23" t="n">
        <f aca="false">G1679*INDEX(Assumptions!$B$8:$B$16,MATCH(F1679,Assumptions!$A$8:$A$16,0))</f>
        <v>186.0888</v>
      </c>
      <c r="R1679" s="23" t="n">
        <f aca="false">H1679*Assumptions!$B$3</f>
        <v>19.104</v>
      </c>
      <c r="S1679" s="23" t="n">
        <f aca="false">G1679-Q1679-R1679</f>
        <v>68.4672</v>
      </c>
      <c r="T1679" s="21" t="str">
        <f aca="false">IF(M1679&lt;=7,"0-7 days",IF(M1679&lt;=14,"8-14 days",IF(M1679&lt;=21,"15-21 days","22+ days")))</f>
        <v>15-21 days</v>
      </c>
    </row>
    <row r="1680" customFormat="false" ht="15" hidden="false" customHeight="false" outlineLevel="0" collapsed="false">
      <c r="A1680" s="21" t="s">
        <v>1746</v>
      </c>
      <c r="B1680" s="21" t="s">
        <v>201</v>
      </c>
      <c r="C1680" s="22" t="n">
        <v>43288</v>
      </c>
      <c r="D1680" s="22" t="n">
        <v>43302</v>
      </c>
      <c r="E1680" s="22" t="n">
        <v>43319</v>
      </c>
      <c r="F1680" s="21" t="s">
        <v>111</v>
      </c>
      <c r="G1680" s="23" t="n">
        <v>69.47</v>
      </c>
      <c r="H1680" s="23" t="n">
        <v>48.59</v>
      </c>
      <c r="I1680" s="21" t="s">
        <v>45</v>
      </c>
      <c r="J1680" s="21" t="n">
        <v>5</v>
      </c>
      <c r="K1680" s="21" t="s">
        <v>46</v>
      </c>
      <c r="L1680" s="24" t="n">
        <f aca="false">DATE(YEAR(C1680),MONTH(C1680),1)</f>
        <v>43282</v>
      </c>
      <c r="M1680" s="21" t="n">
        <f aca="false">D1680-C1680</f>
        <v>14</v>
      </c>
      <c r="N1680" s="21" t="n">
        <f aca="false">MAX(0,D1680-E1680)</f>
        <v>0</v>
      </c>
      <c r="O1680" s="21" t="n">
        <f aca="false">IF(D1680&lt;=E1680,1,0)</f>
        <v>1</v>
      </c>
      <c r="P1680" s="23" t="n">
        <f aca="false">G1680+H1680</f>
        <v>118.06</v>
      </c>
      <c r="Q1680" s="23" t="n">
        <f aca="false">G1680*INDEX(Assumptions!$B$8:$B$16,MATCH(F1680,Assumptions!$A$8:$A$16,0))</f>
        <v>43.7661</v>
      </c>
      <c r="R1680" s="23" t="n">
        <f aca="false">H1680*Assumptions!$B$3</f>
        <v>29.154</v>
      </c>
      <c r="S1680" s="23" t="n">
        <f aca="false">G1680-Q1680-R1680</f>
        <v>-3.4501</v>
      </c>
      <c r="T1680" s="21" t="str">
        <f aca="false">IF(M1680&lt;=7,"0-7 days",IF(M1680&lt;=14,"8-14 days",IF(M1680&lt;=21,"15-21 days","22+ days")))</f>
        <v>8-14 days</v>
      </c>
    </row>
    <row r="1681" customFormat="false" ht="15" hidden="false" customHeight="false" outlineLevel="0" collapsed="false">
      <c r="A1681" s="21" t="s">
        <v>1747</v>
      </c>
      <c r="B1681" s="21" t="s">
        <v>19</v>
      </c>
      <c r="C1681" s="22" t="n">
        <v>43288</v>
      </c>
      <c r="D1681" s="22" t="n">
        <v>43298</v>
      </c>
      <c r="E1681" s="22" t="n">
        <v>43303</v>
      </c>
      <c r="F1681" s="21" t="s">
        <v>53</v>
      </c>
      <c r="G1681" s="23" t="n">
        <v>75.66</v>
      </c>
      <c r="H1681" s="23" t="n">
        <v>16.06</v>
      </c>
      <c r="I1681" s="21" t="s">
        <v>45</v>
      </c>
      <c r="J1681" s="21" t="n">
        <v>4</v>
      </c>
      <c r="K1681" s="21" t="s">
        <v>46</v>
      </c>
      <c r="L1681" s="24" t="n">
        <f aca="false">DATE(YEAR(C1681),MONTH(C1681),1)</f>
        <v>43282</v>
      </c>
      <c r="M1681" s="21" t="n">
        <f aca="false">D1681-C1681</f>
        <v>10</v>
      </c>
      <c r="N1681" s="21" t="n">
        <f aca="false">MAX(0,D1681-E1681)</f>
        <v>0</v>
      </c>
      <c r="O1681" s="21" t="n">
        <f aca="false">IF(D1681&lt;=E1681,1,0)</f>
        <v>1</v>
      </c>
      <c r="P1681" s="23" t="n">
        <f aca="false">G1681+H1681</f>
        <v>91.72</v>
      </c>
      <c r="Q1681" s="23" t="n">
        <f aca="false">G1681*INDEX(Assumptions!$B$8:$B$16,MATCH(F1681,Assumptions!$A$8:$A$16,0))</f>
        <v>55.9884</v>
      </c>
      <c r="R1681" s="23" t="n">
        <f aca="false">H1681*Assumptions!$B$3</f>
        <v>9.636</v>
      </c>
      <c r="S1681" s="23" t="n">
        <f aca="false">G1681-Q1681-R1681</f>
        <v>10.0356</v>
      </c>
      <c r="T1681" s="21" t="str">
        <f aca="false">IF(M1681&lt;=7,"0-7 days",IF(M1681&lt;=14,"8-14 days",IF(M1681&lt;=21,"15-21 days","22+ days")))</f>
        <v>8-14 days</v>
      </c>
    </row>
    <row r="1682" customFormat="false" ht="15" hidden="false" customHeight="false" outlineLevel="0" collapsed="false">
      <c r="A1682" s="21" t="s">
        <v>1748</v>
      </c>
      <c r="B1682" s="21" t="s">
        <v>19</v>
      </c>
      <c r="C1682" s="22" t="n">
        <v>43288</v>
      </c>
      <c r="D1682" s="22" t="n">
        <v>43295</v>
      </c>
      <c r="E1682" s="22" t="n">
        <v>43304</v>
      </c>
      <c r="F1682" s="21" t="s">
        <v>111</v>
      </c>
      <c r="G1682" s="23" t="n">
        <v>63.42</v>
      </c>
      <c r="H1682" s="23" t="n">
        <v>18.57</v>
      </c>
      <c r="I1682" s="21" t="s">
        <v>45</v>
      </c>
      <c r="J1682" s="21" t="n">
        <v>4</v>
      </c>
      <c r="K1682" s="21" t="s">
        <v>46</v>
      </c>
      <c r="L1682" s="24" t="n">
        <f aca="false">DATE(YEAR(C1682),MONTH(C1682),1)</f>
        <v>43282</v>
      </c>
      <c r="M1682" s="21" t="n">
        <f aca="false">D1682-C1682</f>
        <v>7</v>
      </c>
      <c r="N1682" s="21" t="n">
        <f aca="false">MAX(0,D1682-E1682)</f>
        <v>0</v>
      </c>
      <c r="O1682" s="21" t="n">
        <f aca="false">IF(D1682&lt;=E1682,1,0)</f>
        <v>1</v>
      </c>
      <c r="P1682" s="23" t="n">
        <f aca="false">G1682+H1682</f>
        <v>81.99</v>
      </c>
      <c r="Q1682" s="23" t="n">
        <f aca="false">G1682*INDEX(Assumptions!$B$8:$B$16,MATCH(F1682,Assumptions!$A$8:$A$16,0))</f>
        <v>39.9546</v>
      </c>
      <c r="R1682" s="23" t="n">
        <f aca="false">H1682*Assumptions!$B$3</f>
        <v>11.142</v>
      </c>
      <c r="S1682" s="23" t="n">
        <f aca="false">G1682-Q1682-R1682</f>
        <v>12.3234</v>
      </c>
      <c r="T1682" s="21" t="str">
        <f aca="false">IF(M1682&lt;=7,"0-7 days",IF(M1682&lt;=14,"8-14 days",IF(M1682&lt;=21,"15-21 days","22+ days")))</f>
        <v>0-7 days</v>
      </c>
    </row>
    <row r="1683" customFormat="false" ht="15" hidden="false" customHeight="false" outlineLevel="0" collapsed="false">
      <c r="A1683" s="21" t="s">
        <v>1749</v>
      </c>
      <c r="B1683" s="21" t="s">
        <v>19</v>
      </c>
      <c r="C1683" s="22" t="n">
        <v>43288</v>
      </c>
      <c r="D1683" s="22" t="n">
        <v>43295</v>
      </c>
      <c r="E1683" s="22" t="n">
        <v>43307</v>
      </c>
      <c r="F1683" s="21" t="s">
        <v>67</v>
      </c>
      <c r="G1683" s="23" t="n">
        <v>49.68</v>
      </c>
      <c r="H1683" s="23" t="n">
        <v>13.55</v>
      </c>
      <c r="I1683" s="21" t="s">
        <v>45</v>
      </c>
      <c r="J1683" s="21" t="n">
        <v>5</v>
      </c>
      <c r="K1683" s="21" t="s">
        <v>46</v>
      </c>
      <c r="L1683" s="24" t="n">
        <f aca="false">DATE(YEAR(C1683),MONTH(C1683),1)</f>
        <v>43282</v>
      </c>
      <c r="M1683" s="21" t="n">
        <f aca="false">D1683-C1683</f>
        <v>7</v>
      </c>
      <c r="N1683" s="21" t="n">
        <f aca="false">MAX(0,D1683-E1683)</f>
        <v>0</v>
      </c>
      <c r="O1683" s="21" t="n">
        <f aca="false">IF(D1683&lt;=E1683,1,0)</f>
        <v>1</v>
      </c>
      <c r="P1683" s="23" t="n">
        <f aca="false">G1683+H1683</f>
        <v>63.23</v>
      </c>
      <c r="Q1683" s="23" t="n">
        <f aca="false">G1683*INDEX(Assumptions!$B$8:$B$16,MATCH(F1683,Assumptions!$A$8:$A$16,0))</f>
        <v>30.8016</v>
      </c>
      <c r="R1683" s="23" t="n">
        <f aca="false">H1683*Assumptions!$B$3</f>
        <v>8.13</v>
      </c>
      <c r="S1683" s="23" t="n">
        <f aca="false">G1683-Q1683-R1683</f>
        <v>10.7484</v>
      </c>
      <c r="T1683" s="21" t="str">
        <f aca="false">IF(M1683&lt;=7,"0-7 days",IF(M1683&lt;=14,"8-14 days",IF(M1683&lt;=21,"15-21 days","22+ days")))</f>
        <v>0-7 days</v>
      </c>
    </row>
    <row r="1684" customFormat="false" ht="15" hidden="false" customHeight="false" outlineLevel="0" collapsed="false">
      <c r="A1684" s="21" t="s">
        <v>1750</v>
      </c>
      <c r="B1684" s="21" t="s">
        <v>19</v>
      </c>
      <c r="C1684" s="22" t="n">
        <v>43288</v>
      </c>
      <c r="D1684" s="22" t="n">
        <v>43291</v>
      </c>
      <c r="E1684" s="22" t="n">
        <v>43300</v>
      </c>
      <c r="F1684" s="21" t="s">
        <v>49</v>
      </c>
      <c r="G1684" s="23" t="n">
        <v>80.71</v>
      </c>
      <c r="H1684" s="23" t="n">
        <v>22.54</v>
      </c>
      <c r="I1684" s="21" t="s">
        <v>45</v>
      </c>
      <c r="J1684" s="21" t="n">
        <v>5</v>
      </c>
      <c r="K1684" s="21" t="s">
        <v>46</v>
      </c>
      <c r="L1684" s="24" t="n">
        <f aca="false">DATE(YEAR(C1684),MONTH(C1684),1)</f>
        <v>43282</v>
      </c>
      <c r="M1684" s="21" t="n">
        <f aca="false">D1684-C1684</f>
        <v>3</v>
      </c>
      <c r="N1684" s="21" t="n">
        <f aca="false">MAX(0,D1684-E1684)</f>
        <v>0</v>
      </c>
      <c r="O1684" s="21" t="n">
        <f aca="false">IF(D1684&lt;=E1684,1,0)</f>
        <v>1</v>
      </c>
      <c r="P1684" s="23" t="n">
        <f aca="false">G1684+H1684</f>
        <v>103.25</v>
      </c>
      <c r="Q1684" s="23" t="n">
        <f aca="false">G1684*INDEX(Assumptions!$B$8:$B$16,MATCH(F1684,Assumptions!$A$8:$A$16,0))</f>
        <v>46.8118</v>
      </c>
      <c r="R1684" s="23" t="n">
        <f aca="false">H1684*Assumptions!$B$3</f>
        <v>13.524</v>
      </c>
      <c r="S1684" s="23" t="n">
        <f aca="false">G1684-Q1684-R1684</f>
        <v>20.3742</v>
      </c>
      <c r="T1684" s="21" t="str">
        <f aca="false">IF(M1684&lt;=7,"0-7 days",IF(M1684&lt;=14,"8-14 days",IF(M1684&lt;=21,"15-21 days","22+ days")))</f>
        <v>0-7 days</v>
      </c>
    </row>
    <row r="1685" customFormat="false" ht="15" hidden="false" customHeight="false" outlineLevel="0" collapsed="false">
      <c r="A1685" s="21" t="s">
        <v>1751</v>
      </c>
      <c r="B1685" s="21" t="s">
        <v>77</v>
      </c>
      <c r="C1685" s="22" t="n">
        <v>43289</v>
      </c>
      <c r="D1685" s="22" t="n">
        <v>43320</v>
      </c>
      <c r="E1685" s="22" t="n">
        <v>43316</v>
      </c>
      <c r="F1685" s="21" t="s">
        <v>79</v>
      </c>
      <c r="G1685" s="23" t="n">
        <v>274.49</v>
      </c>
      <c r="H1685" s="23" t="n">
        <v>25.2</v>
      </c>
      <c r="I1685" s="21" t="s">
        <v>45</v>
      </c>
      <c r="J1685" s="21" t="n">
        <v>1</v>
      </c>
      <c r="K1685" s="21" t="s">
        <v>46</v>
      </c>
      <c r="L1685" s="24" t="n">
        <f aca="false">DATE(YEAR(C1685),MONTH(C1685),1)</f>
        <v>43282</v>
      </c>
      <c r="M1685" s="21" t="n">
        <f aca="false">D1685-C1685</f>
        <v>31</v>
      </c>
      <c r="N1685" s="21" t="n">
        <f aca="false">MAX(0,D1685-E1685)</f>
        <v>4</v>
      </c>
      <c r="O1685" s="21" t="n">
        <f aca="false">IF(D1685&lt;=E1685,1,0)</f>
        <v>0</v>
      </c>
      <c r="P1685" s="23" t="n">
        <f aca="false">G1685+H1685</f>
        <v>299.69</v>
      </c>
      <c r="Q1685" s="23" t="n">
        <f aca="false">G1685*INDEX(Assumptions!$B$8:$B$16,MATCH(F1685,Assumptions!$A$8:$A$16,0))</f>
        <v>192.143</v>
      </c>
      <c r="R1685" s="23" t="n">
        <f aca="false">H1685*Assumptions!$B$3</f>
        <v>15.12</v>
      </c>
      <c r="S1685" s="23" t="n">
        <f aca="false">G1685-Q1685-R1685</f>
        <v>67.227</v>
      </c>
      <c r="T1685" s="21" t="str">
        <f aca="false">IF(M1685&lt;=7,"0-7 days",IF(M1685&lt;=14,"8-14 days",IF(M1685&lt;=21,"15-21 days","22+ days")))</f>
        <v>22+ days</v>
      </c>
    </row>
    <row r="1686" customFormat="false" ht="15" hidden="false" customHeight="false" outlineLevel="0" collapsed="false">
      <c r="A1686" s="21" t="s">
        <v>1752</v>
      </c>
      <c r="B1686" s="21" t="s">
        <v>19</v>
      </c>
      <c r="C1686" s="22" t="n">
        <v>43289</v>
      </c>
      <c r="D1686" s="22" t="n">
        <v>43295</v>
      </c>
      <c r="E1686" s="22" t="n">
        <v>43308</v>
      </c>
      <c r="F1686" s="21" t="s">
        <v>49</v>
      </c>
      <c r="G1686" s="23" t="n">
        <v>86.48</v>
      </c>
      <c r="H1686" s="23" t="n">
        <v>21.51</v>
      </c>
      <c r="I1686" s="21" t="s">
        <v>60</v>
      </c>
      <c r="J1686" s="21" t="n">
        <v>4</v>
      </c>
      <c r="K1686" s="21" t="s">
        <v>46</v>
      </c>
      <c r="L1686" s="24" t="n">
        <f aca="false">DATE(YEAR(C1686),MONTH(C1686),1)</f>
        <v>43282</v>
      </c>
      <c r="M1686" s="21" t="n">
        <f aca="false">D1686-C1686</f>
        <v>6</v>
      </c>
      <c r="N1686" s="21" t="n">
        <f aca="false">MAX(0,D1686-E1686)</f>
        <v>0</v>
      </c>
      <c r="O1686" s="21" t="n">
        <f aca="false">IF(D1686&lt;=E1686,1,0)</f>
        <v>1</v>
      </c>
      <c r="P1686" s="23" t="n">
        <f aca="false">G1686+H1686</f>
        <v>107.99</v>
      </c>
      <c r="Q1686" s="23" t="n">
        <f aca="false">G1686*INDEX(Assumptions!$B$8:$B$16,MATCH(F1686,Assumptions!$A$8:$A$16,0))</f>
        <v>50.1584</v>
      </c>
      <c r="R1686" s="23" t="n">
        <f aca="false">H1686*Assumptions!$B$3</f>
        <v>12.906</v>
      </c>
      <c r="S1686" s="23" t="n">
        <f aca="false">G1686-Q1686-R1686</f>
        <v>23.4156</v>
      </c>
      <c r="T1686" s="21" t="str">
        <f aca="false">IF(M1686&lt;=7,"0-7 days",IF(M1686&lt;=14,"8-14 days",IF(M1686&lt;=21,"15-21 days","22+ days")))</f>
        <v>0-7 days</v>
      </c>
    </row>
    <row r="1687" customFormat="false" ht="15" hidden="false" customHeight="false" outlineLevel="0" collapsed="false">
      <c r="A1687" s="21" t="s">
        <v>1753</v>
      </c>
      <c r="B1687" s="21" t="s">
        <v>134</v>
      </c>
      <c r="C1687" s="22" t="n">
        <v>43289</v>
      </c>
      <c r="D1687" s="22" t="n">
        <v>43305</v>
      </c>
      <c r="E1687" s="22" t="n">
        <v>43311</v>
      </c>
      <c r="F1687" s="21" t="s">
        <v>64</v>
      </c>
      <c r="G1687" s="23" t="n">
        <v>127.39</v>
      </c>
      <c r="H1687" s="23" t="n">
        <v>21.28</v>
      </c>
      <c r="I1687" s="21" t="s">
        <v>45</v>
      </c>
      <c r="J1687" s="21" t="n">
        <v>5</v>
      </c>
      <c r="K1687" s="21" t="s">
        <v>46</v>
      </c>
      <c r="L1687" s="24" t="n">
        <f aca="false">DATE(YEAR(C1687),MONTH(C1687),1)</f>
        <v>43282</v>
      </c>
      <c r="M1687" s="21" t="n">
        <f aca="false">D1687-C1687</f>
        <v>16</v>
      </c>
      <c r="N1687" s="21" t="n">
        <f aca="false">MAX(0,D1687-E1687)</f>
        <v>0</v>
      </c>
      <c r="O1687" s="21" t="n">
        <f aca="false">IF(D1687&lt;=E1687,1,0)</f>
        <v>1</v>
      </c>
      <c r="P1687" s="23" t="n">
        <f aca="false">G1687+H1687</f>
        <v>148.67</v>
      </c>
      <c r="Q1687" s="23" t="n">
        <f aca="false">G1687*INDEX(Assumptions!$B$8:$B$16,MATCH(F1687,Assumptions!$A$8:$A$16,0))</f>
        <v>84.0774</v>
      </c>
      <c r="R1687" s="23" t="n">
        <f aca="false">H1687*Assumptions!$B$3</f>
        <v>12.768</v>
      </c>
      <c r="S1687" s="23" t="n">
        <f aca="false">G1687-Q1687-R1687</f>
        <v>30.5446</v>
      </c>
      <c r="T1687" s="21" t="str">
        <f aca="false">IF(M1687&lt;=7,"0-7 days",IF(M1687&lt;=14,"8-14 days",IF(M1687&lt;=21,"15-21 days","22+ days")))</f>
        <v>15-21 days</v>
      </c>
    </row>
    <row r="1688" customFormat="false" ht="15" hidden="false" customHeight="false" outlineLevel="0" collapsed="false">
      <c r="A1688" s="21" t="s">
        <v>1754</v>
      </c>
      <c r="B1688" s="21" t="s">
        <v>19</v>
      </c>
      <c r="C1688" s="22" t="n">
        <v>43290</v>
      </c>
      <c r="D1688" s="22" t="n">
        <v>43311</v>
      </c>
      <c r="E1688" s="22" t="n">
        <v>43305</v>
      </c>
      <c r="F1688" s="21" t="s">
        <v>67</v>
      </c>
      <c r="G1688" s="23" t="n">
        <v>49.17</v>
      </c>
      <c r="H1688" s="23" t="n">
        <v>19.69</v>
      </c>
      <c r="I1688" s="21" t="s">
        <v>50</v>
      </c>
      <c r="J1688" s="21" t="n">
        <v>3</v>
      </c>
      <c r="K1688" s="21" t="s">
        <v>46</v>
      </c>
      <c r="L1688" s="24" t="n">
        <f aca="false">DATE(YEAR(C1688),MONTH(C1688),1)</f>
        <v>43282</v>
      </c>
      <c r="M1688" s="21" t="n">
        <f aca="false">D1688-C1688</f>
        <v>21</v>
      </c>
      <c r="N1688" s="21" t="n">
        <f aca="false">MAX(0,D1688-E1688)</f>
        <v>6</v>
      </c>
      <c r="O1688" s="21" t="n">
        <f aca="false">IF(D1688&lt;=E1688,1,0)</f>
        <v>0</v>
      </c>
      <c r="P1688" s="23" t="n">
        <f aca="false">G1688+H1688</f>
        <v>68.86</v>
      </c>
      <c r="Q1688" s="23" t="n">
        <f aca="false">G1688*INDEX(Assumptions!$B$8:$B$16,MATCH(F1688,Assumptions!$A$8:$A$16,0))</f>
        <v>30.4854</v>
      </c>
      <c r="R1688" s="23" t="n">
        <f aca="false">H1688*Assumptions!$B$3</f>
        <v>11.814</v>
      </c>
      <c r="S1688" s="23" t="n">
        <f aca="false">G1688-Q1688-R1688</f>
        <v>6.8706</v>
      </c>
      <c r="T1688" s="21" t="str">
        <f aca="false">IF(M1688&lt;=7,"0-7 days",IF(M1688&lt;=14,"8-14 days",IF(M1688&lt;=21,"15-21 days","22+ days")))</f>
        <v>15-21 days</v>
      </c>
    </row>
    <row r="1689" customFormat="false" ht="15" hidden="false" customHeight="false" outlineLevel="0" collapsed="false">
      <c r="A1689" s="21" t="s">
        <v>1755</v>
      </c>
      <c r="B1689" s="21" t="s">
        <v>19</v>
      </c>
      <c r="C1689" s="22" t="n">
        <v>43290</v>
      </c>
      <c r="D1689" s="22" t="n">
        <v>43301</v>
      </c>
      <c r="E1689" s="22" t="n">
        <v>43305</v>
      </c>
      <c r="F1689" s="21" t="s">
        <v>49</v>
      </c>
      <c r="G1689" s="23" t="n">
        <v>79.63</v>
      </c>
      <c r="H1689" s="23" t="n">
        <v>15.76</v>
      </c>
      <c r="I1689" s="21" t="s">
        <v>45</v>
      </c>
      <c r="J1689" s="21" t="n">
        <v>5</v>
      </c>
      <c r="K1689" s="21" t="s">
        <v>46</v>
      </c>
      <c r="L1689" s="24" t="n">
        <f aca="false">DATE(YEAR(C1689),MONTH(C1689),1)</f>
        <v>43282</v>
      </c>
      <c r="M1689" s="21" t="n">
        <f aca="false">D1689-C1689</f>
        <v>11</v>
      </c>
      <c r="N1689" s="21" t="n">
        <f aca="false">MAX(0,D1689-E1689)</f>
        <v>0</v>
      </c>
      <c r="O1689" s="21" t="n">
        <f aca="false">IF(D1689&lt;=E1689,1,0)</f>
        <v>1</v>
      </c>
      <c r="P1689" s="23" t="n">
        <f aca="false">G1689+H1689</f>
        <v>95.39</v>
      </c>
      <c r="Q1689" s="23" t="n">
        <f aca="false">G1689*INDEX(Assumptions!$B$8:$B$16,MATCH(F1689,Assumptions!$A$8:$A$16,0))</f>
        <v>46.1854</v>
      </c>
      <c r="R1689" s="23" t="n">
        <f aca="false">H1689*Assumptions!$B$3</f>
        <v>9.456</v>
      </c>
      <c r="S1689" s="23" t="n">
        <f aca="false">G1689-Q1689-R1689</f>
        <v>23.9886</v>
      </c>
      <c r="T1689" s="21" t="str">
        <f aca="false">IF(M1689&lt;=7,"0-7 days",IF(M1689&lt;=14,"8-14 days",IF(M1689&lt;=21,"15-21 days","22+ days")))</f>
        <v>8-14 days</v>
      </c>
    </row>
    <row r="1690" customFormat="false" ht="15" hidden="false" customHeight="false" outlineLevel="0" collapsed="false">
      <c r="A1690" s="21" t="s">
        <v>1756</v>
      </c>
      <c r="B1690" s="21" t="s">
        <v>93</v>
      </c>
      <c r="C1690" s="22" t="n">
        <v>43290</v>
      </c>
      <c r="D1690" s="22" t="n">
        <v>43315</v>
      </c>
      <c r="E1690" s="22" t="n">
        <v>43324</v>
      </c>
      <c r="F1690" s="21" t="s">
        <v>111</v>
      </c>
      <c r="G1690" s="23" t="n">
        <v>58.63</v>
      </c>
      <c r="H1690" s="23" t="n">
        <v>35.56</v>
      </c>
      <c r="I1690" s="21" t="s">
        <v>60</v>
      </c>
      <c r="J1690" s="21" t="n">
        <v>3</v>
      </c>
      <c r="K1690" s="21" t="s">
        <v>46</v>
      </c>
      <c r="L1690" s="24" t="n">
        <f aca="false">DATE(YEAR(C1690),MONTH(C1690),1)</f>
        <v>43282</v>
      </c>
      <c r="M1690" s="21" t="n">
        <f aca="false">D1690-C1690</f>
        <v>25</v>
      </c>
      <c r="N1690" s="21" t="n">
        <f aca="false">MAX(0,D1690-E1690)</f>
        <v>0</v>
      </c>
      <c r="O1690" s="21" t="n">
        <f aca="false">IF(D1690&lt;=E1690,1,0)</f>
        <v>1</v>
      </c>
      <c r="P1690" s="23" t="n">
        <f aca="false">G1690+H1690</f>
        <v>94.19</v>
      </c>
      <c r="Q1690" s="23" t="n">
        <f aca="false">G1690*INDEX(Assumptions!$B$8:$B$16,MATCH(F1690,Assumptions!$A$8:$A$16,0))</f>
        <v>36.9369</v>
      </c>
      <c r="R1690" s="23" t="n">
        <f aca="false">H1690*Assumptions!$B$3</f>
        <v>21.336</v>
      </c>
      <c r="S1690" s="23" t="n">
        <f aca="false">G1690-Q1690-R1690</f>
        <v>0.357099999999999</v>
      </c>
      <c r="T1690" s="21" t="str">
        <f aca="false">IF(M1690&lt;=7,"0-7 days",IF(M1690&lt;=14,"8-14 days",IF(M1690&lt;=21,"15-21 days","22+ days")))</f>
        <v>22+ days</v>
      </c>
    </row>
    <row r="1691" customFormat="false" ht="15" hidden="false" customHeight="false" outlineLevel="0" collapsed="false">
      <c r="A1691" s="21" t="s">
        <v>1757</v>
      </c>
      <c r="B1691" s="21" t="s">
        <v>19</v>
      </c>
      <c r="C1691" s="22" t="n">
        <v>43291</v>
      </c>
      <c r="D1691" s="22" t="n">
        <v>43302</v>
      </c>
      <c r="E1691" s="22" t="n">
        <v>43308</v>
      </c>
      <c r="F1691" s="21" t="s">
        <v>53</v>
      </c>
      <c r="G1691" s="23" t="n">
        <v>92.88</v>
      </c>
      <c r="H1691" s="23" t="n">
        <v>16.36</v>
      </c>
      <c r="I1691" s="21" t="s">
        <v>45</v>
      </c>
      <c r="J1691" s="21" t="n">
        <v>4</v>
      </c>
      <c r="K1691" s="21" t="s">
        <v>46</v>
      </c>
      <c r="L1691" s="24" t="n">
        <f aca="false">DATE(YEAR(C1691),MONTH(C1691),1)</f>
        <v>43282</v>
      </c>
      <c r="M1691" s="21" t="n">
        <f aca="false">D1691-C1691</f>
        <v>11</v>
      </c>
      <c r="N1691" s="21" t="n">
        <f aca="false">MAX(0,D1691-E1691)</f>
        <v>0</v>
      </c>
      <c r="O1691" s="21" t="n">
        <f aca="false">IF(D1691&lt;=E1691,1,0)</f>
        <v>1</v>
      </c>
      <c r="P1691" s="23" t="n">
        <f aca="false">G1691+H1691</f>
        <v>109.24</v>
      </c>
      <c r="Q1691" s="23" t="n">
        <f aca="false">G1691*INDEX(Assumptions!$B$8:$B$16,MATCH(F1691,Assumptions!$A$8:$A$16,0))</f>
        <v>68.7312</v>
      </c>
      <c r="R1691" s="23" t="n">
        <f aca="false">H1691*Assumptions!$B$3</f>
        <v>9.816</v>
      </c>
      <c r="S1691" s="23" t="n">
        <f aca="false">G1691-Q1691-R1691</f>
        <v>14.3328</v>
      </c>
      <c r="T1691" s="21" t="str">
        <f aca="false">IF(M1691&lt;=7,"0-7 days",IF(M1691&lt;=14,"8-14 days",IF(M1691&lt;=21,"15-21 days","22+ days")))</f>
        <v>8-14 days</v>
      </c>
    </row>
    <row r="1692" customFormat="false" ht="15" hidden="false" customHeight="false" outlineLevel="0" collapsed="false">
      <c r="A1692" s="21" t="s">
        <v>1758</v>
      </c>
      <c r="B1692" s="21" t="s">
        <v>55</v>
      </c>
      <c r="C1692" s="22" t="n">
        <v>43291</v>
      </c>
      <c r="D1692" s="22" t="n">
        <v>43309</v>
      </c>
      <c r="E1692" s="22" t="n">
        <v>43318</v>
      </c>
      <c r="F1692" s="21" t="s">
        <v>57</v>
      </c>
      <c r="G1692" s="23" t="n">
        <v>110.93</v>
      </c>
      <c r="H1692" s="23" t="n">
        <v>27.57</v>
      </c>
      <c r="I1692" s="21" t="s">
        <v>45</v>
      </c>
      <c r="J1692" s="21" t="n">
        <v>3</v>
      </c>
      <c r="K1692" s="21" t="s">
        <v>46</v>
      </c>
      <c r="L1692" s="24" t="n">
        <f aca="false">DATE(YEAR(C1692),MONTH(C1692),1)</f>
        <v>43282</v>
      </c>
      <c r="M1692" s="21" t="n">
        <f aca="false">D1692-C1692</f>
        <v>18</v>
      </c>
      <c r="N1692" s="21" t="n">
        <f aca="false">MAX(0,D1692-E1692)</f>
        <v>0</v>
      </c>
      <c r="O1692" s="21" t="n">
        <f aca="false">IF(D1692&lt;=E1692,1,0)</f>
        <v>1</v>
      </c>
      <c r="P1692" s="23" t="n">
        <f aca="false">G1692+H1692</f>
        <v>138.5</v>
      </c>
      <c r="Q1692" s="23" t="n">
        <f aca="false">G1692*INDEX(Assumptions!$B$8:$B$16,MATCH(F1692,Assumptions!$A$8:$A$16,0))</f>
        <v>75.4324</v>
      </c>
      <c r="R1692" s="23" t="n">
        <f aca="false">H1692*Assumptions!$B$3</f>
        <v>16.542</v>
      </c>
      <c r="S1692" s="23" t="n">
        <f aca="false">G1692-Q1692-R1692</f>
        <v>18.9556</v>
      </c>
      <c r="T1692" s="21" t="str">
        <f aca="false">IF(M1692&lt;=7,"0-7 days",IF(M1692&lt;=14,"8-14 days",IF(M1692&lt;=21,"15-21 days","22+ days")))</f>
        <v>15-21 days</v>
      </c>
    </row>
    <row r="1693" customFormat="false" ht="15" hidden="false" customHeight="false" outlineLevel="0" collapsed="false">
      <c r="A1693" s="21" t="s">
        <v>1759</v>
      </c>
      <c r="B1693" s="21" t="s">
        <v>19</v>
      </c>
      <c r="C1693" s="22" t="n">
        <v>43291</v>
      </c>
      <c r="D1693" s="22" t="n">
        <v>43300</v>
      </c>
      <c r="E1693" s="22" t="n">
        <v>43303</v>
      </c>
      <c r="F1693" s="21" t="s">
        <v>59</v>
      </c>
      <c r="G1693" s="23" t="n">
        <v>24.63</v>
      </c>
      <c r="H1693" s="23" t="n">
        <v>20.92</v>
      </c>
      <c r="I1693" s="21" t="s">
        <v>45</v>
      </c>
      <c r="J1693" s="21" t="n">
        <v>4</v>
      </c>
      <c r="K1693" s="21" t="s">
        <v>46</v>
      </c>
      <c r="L1693" s="24" t="n">
        <f aca="false">DATE(YEAR(C1693),MONTH(C1693),1)</f>
        <v>43282</v>
      </c>
      <c r="M1693" s="21" t="n">
        <f aca="false">D1693-C1693</f>
        <v>9</v>
      </c>
      <c r="N1693" s="21" t="n">
        <f aca="false">MAX(0,D1693-E1693)</f>
        <v>0</v>
      </c>
      <c r="O1693" s="21" t="n">
        <f aca="false">IF(D1693&lt;=E1693,1,0)</f>
        <v>1</v>
      </c>
      <c r="P1693" s="23" t="n">
        <f aca="false">G1693+H1693</f>
        <v>45.55</v>
      </c>
      <c r="Q1693" s="23" t="n">
        <f aca="false">G1693*INDEX(Assumptions!$B$8:$B$16,MATCH(F1693,Assumptions!$A$8:$A$16,0))</f>
        <v>15.7632</v>
      </c>
      <c r="R1693" s="23" t="n">
        <f aca="false">H1693*Assumptions!$B$3</f>
        <v>12.552</v>
      </c>
      <c r="S1693" s="23" t="n">
        <f aca="false">G1693-Q1693-R1693</f>
        <v>-3.6852</v>
      </c>
      <c r="T1693" s="21" t="str">
        <f aca="false">IF(M1693&lt;=7,"0-7 days",IF(M1693&lt;=14,"8-14 days",IF(M1693&lt;=21,"15-21 days","22+ days")))</f>
        <v>8-14 days</v>
      </c>
    </row>
    <row r="1694" customFormat="false" ht="15" hidden="false" customHeight="false" outlineLevel="0" collapsed="false">
      <c r="A1694" s="21" t="s">
        <v>1760</v>
      </c>
      <c r="B1694" s="21" t="s">
        <v>19</v>
      </c>
      <c r="C1694" s="22" t="n">
        <v>43291</v>
      </c>
      <c r="D1694" s="22" t="n">
        <v>43302</v>
      </c>
      <c r="E1694" s="22" t="n">
        <v>43303</v>
      </c>
      <c r="F1694" s="21" t="s">
        <v>111</v>
      </c>
      <c r="G1694" s="23" t="n">
        <v>41.02</v>
      </c>
      <c r="H1694" s="23" t="n">
        <v>14.58</v>
      </c>
      <c r="I1694" s="21" t="s">
        <v>45</v>
      </c>
      <c r="J1694" s="21" t="n">
        <v>5</v>
      </c>
      <c r="K1694" s="21" t="s">
        <v>46</v>
      </c>
      <c r="L1694" s="24" t="n">
        <f aca="false">DATE(YEAR(C1694),MONTH(C1694),1)</f>
        <v>43282</v>
      </c>
      <c r="M1694" s="21" t="n">
        <f aca="false">D1694-C1694</f>
        <v>11</v>
      </c>
      <c r="N1694" s="21" t="n">
        <f aca="false">MAX(0,D1694-E1694)</f>
        <v>0</v>
      </c>
      <c r="O1694" s="21" t="n">
        <f aca="false">IF(D1694&lt;=E1694,1,0)</f>
        <v>1</v>
      </c>
      <c r="P1694" s="23" t="n">
        <f aca="false">G1694+H1694</f>
        <v>55.6</v>
      </c>
      <c r="Q1694" s="23" t="n">
        <f aca="false">G1694*INDEX(Assumptions!$B$8:$B$16,MATCH(F1694,Assumptions!$A$8:$A$16,0))</f>
        <v>25.8426</v>
      </c>
      <c r="R1694" s="23" t="n">
        <f aca="false">H1694*Assumptions!$B$3</f>
        <v>8.748</v>
      </c>
      <c r="S1694" s="23" t="n">
        <f aca="false">G1694-Q1694-R1694</f>
        <v>6.4294</v>
      </c>
      <c r="T1694" s="21" t="str">
        <f aca="false">IF(M1694&lt;=7,"0-7 days",IF(M1694&lt;=14,"8-14 days",IF(M1694&lt;=21,"15-21 days","22+ days")))</f>
        <v>8-14 days</v>
      </c>
    </row>
    <row r="1695" customFormat="false" ht="15" hidden="false" customHeight="false" outlineLevel="0" collapsed="false">
      <c r="A1695" s="21" t="s">
        <v>1761</v>
      </c>
      <c r="B1695" s="21" t="s">
        <v>19</v>
      </c>
      <c r="C1695" s="22" t="n">
        <v>43291</v>
      </c>
      <c r="D1695" s="22" t="n">
        <v>43297</v>
      </c>
      <c r="E1695" s="22" t="n">
        <v>43303</v>
      </c>
      <c r="F1695" s="21" t="s">
        <v>44</v>
      </c>
      <c r="G1695" s="23" t="n">
        <v>147.46</v>
      </c>
      <c r="H1695" s="23" t="n">
        <v>15.61</v>
      </c>
      <c r="I1695" s="21" t="s">
        <v>45</v>
      </c>
      <c r="J1695" s="21" t="n">
        <v>5</v>
      </c>
      <c r="K1695" s="21" t="s">
        <v>46</v>
      </c>
      <c r="L1695" s="24" t="n">
        <f aca="false">DATE(YEAR(C1695),MONTH(C1695),1)</f>
        <v>43282</v>
      </c>
      <c r="M1695" s="21" t="n">
        <f aca="false">D1695-C1695</f>
        <v>6</v>
      </c>
      <c r="N1695" s="21" t="n">
        <f aca="false">MAX(0,D1695-E1695)</f>
        <v>0</v>
      </c>
      <c r="O1695" s="21" t="n">
        <f aca="false">IF(D1695&lt;=E1695,1,0)</f>
        <v>1</v>
      </c>
      <c r="P1695" s="23" t="n">
        <f aca="false">G1695+H1695</f>
        <v>163.07</v>
      </c>
      <c r="Q1695" s="23" t="n">
        <f aca="false">G1695*INDEX(Assumptions!$B$8:$B$16,MATCH(F1695,Assumptions!$A$8:$A$16,0))</f>
        <v>88.476</v>
      </c>
      <c r="R1695" s="23" t="n">
        <f aca="false">H1695*Assumptions!$B$3</f>
        <v>9.366</v>
      </c>
      <c r="S1695" s="23" t="n">
        <f aca="false">G1695-Q1695-R1695</f>
        <v>49.618</v>
      </c>
      <c r="T1695" s="21" t="str">
        <f aca="false">IF(M1695&lt;=7,"0-7 days",IF(M1695&lt;=14,"8-14 days",IF(M1695&lt;=21,"15-21 days","22+ days")))</f>
        <v>0-7 days</v>
      </c>
    </row>
    <row r="1696" customFormat="false" ht="15" hidden="false" customHeight="false" outlineLevel="0" collapsed="false">
      <c r="A1696" s="21" t="s">
        <v>1762</v>
      </c>
      <c r="B1696" s="21" t="s">
        <v>62</v>
      </c>
      <c r="C1696" s="22" t="n">
        <v>43292</v>
      </c>
      <c r="D1696" s="22" t="n">
        <v>43303</v>
      </c>
      <c r="E1696" s="22" t="n">
        <v>43312</v>
      </c>
      <c r="F1696" s="21" t="s">
        <v>111</v>
      </c>
      <c r="G1696" s="23" t="n">
        <v>53.76</v>
      </c>
      <c r="H1696" s="23" t="n">
        <v>25.89</v>
      </c>
      <c r="I1696" s="21" t="s">
        <v>45</v>
      </c>
      <c r="J1696" s="21" t="n">
        <v>4</v>
      </c>
      <c r="K1696" s="21" t="s">
        <v>46</v>
      </c>
      <c r="L1696" s="24" t="n">
        <f aca="false">DATE(YEAR(C1696),MONTH(C1696),1)</f>
        <v>43282</v>
      </c>
      <c r="M1696" s="21" t="n">
        <f aca="false">D1696-C1696</f>
        <v>11</v>
      </c>
      <c r="N1696" s="21" t="n">
        <f aca="false">MAX(0,D1696-E1696)</f>
        <v>0</v>
      </c>
      <c r="O1696" s="21" t="n">
        <f aca="false">IF(D1696&lt;=E1696,1,0)</f>
        <v>1</v>
      </c>
      <c r="P1696" s="23" t="n">
        <f aca="false">G1696+H1696</f>
        <v>79.65</v>
      </c>
      <c r="Q1696" s="23" t="n">
        <f aca="false">G1696*INDEX(Assumptions!$B$8:$B$16,MATCH(F1696,Assumptions!$A$8:$A$16,0))</f>
        <v>33.8688</v>
      </c>
      <c r="R1696" s="23" t="n">
        <f aca="false">H1696*Assumptions!$B$3</f>
        <v>15.534</v>
      </c>
      <c r="S1696" s="23" t="n">
        <f aca="false">G1696-Q1696-R1696</f>
        <v>4.3572</v>
      </c>
      <c r="T1696" s="21" t="str">
        <f aca="false">IF(M1696&lt;=7,"0-7 days",IF(M1696&lt;=14,"8-14 days",IF(M1696&lt;=21,"15-21 days","22+ days")))</f>
        <v>8-14 days</v>
      </c>
    </row>
    <row r="1697" customFormat="false" ht="15" hidden="false" customHeight="false" outlineLevel="0" collapsed="false">
      <c r="A1697" s="21" t="s">
        <v>1763</v>
      </c>
      <c r="B1697" s="21" t="s">
        <v>19</v>
      </c>
      <c r="C1697" s="22" t="n">
        <v>43292</v>
      </c>
      <c r="D1697" s="22" t="n">
        <v>43302</v>
      </c>
      <c r="E1697" s="22" t="n">
        <v>43309</v>
      </c>
      <c r="F1697" s="21" t="s">
        <v>111</v>
      </c>
      <c r="G1697" s="23" t="n">
        <v>42.81</v>
      </c>
      <c r="H1697" s="23" t="n">
        <v>14.72</v>
      </c>
      <c r="I1697" s="21" t="s">
        <v>45</v>
      </c>
      <c r="J1697" s="21" t="n">
        <v>5</v>
      </c>
      <c r="K1697" s="21" t="s">
        <v>46</v>
      </c>
      <c r="L1697" s="24" t="n">
        <f aca="false">DATE(YEAR(C1697),MONTH(C1697),1)</f>
        <v>43282</v>
      </c>
      <c r="M1697" s="21" t="n">
        <f aca="false">D1697-C1697</f>
        <v>10</v>
      </c>
      <c r="N1697" s="21" t="n">
        <f aca="false">MAX(0,D1697-E1697)</f>
        <v>0</v>
      </c>
      <c r="O1697" s="21" t="n">
        <f aca="false">IF(D1697&lt;=E1697,1,0)</f>
        <v>1</v>
      </c>
      <c r="P1697" s="23" t="n">
        <f aca="false">G1697+H1697</f>
        <v>57.53</v>
      </c>
      <c r="Q1697" s="23" t="n">
        <f aca="false">G1697*INDEX(Assumptions!$B$8:$B$16,MATCH(F1697,Assumptions!$A$8:$A$16,0))</f>
        <v>26.9703</v>
      </c>
      <c r="R1697" s="23" t="n">
        <f aca="false">H1697*Assumptions!$B$3</f>
        <v>8.832</v>
      </c>
      <c r="S1697" s="23" t="n">
        <f aca="false">G1697-Q1697-R1697</f>
        <v>7.0077</v>
      </c>
      <c r="T1697" s="21" t="str">
        <f aca="false">IF(M1697&lt;=7,"0-7 days",IF(M1697&lt;=14,"8-14 days",IF(M1697&lt;=21,"15-21 days","22+ days")))</f>
        <v>8-14 days</v>
      </c>
    </row>
    <row r="1698" customFormat="false" ht="15" hidden="false" customHeight="false" outlineLevel="0" collapsed="false">
      <c r="A1698" s="21" t="s">
        <v>1764</v>
      </c>
      <c r="B1698" s="21" t="s">
        <v>174</v>
      </c>
      <c r="C1698" s="22" t="n">
        <v>43292</v>
      </c>
      <c r="D1698" s="22" t="n">
        <v>43306</v>
      </c>
      <c r="E1698" s="22" t="n">
        <v>43323</v>
      </c>
      <c r="F1698" s="21" t="s">
        <v>64</v>
      </c>
      <c r="G1698" s="23" t="n">
        <v>334.43</v>
      </c>
      <c r="H1698" s="23" t="n">
        <v>36.51</v>
      </c>
      <c r="I1698" s="21" t="s">
        <v>45</v>
      </c>
      <c r="J1698" s="21" t="n">
        <v>5</v>
      </c>
      <c r="K1698" s="21" t="s">
        <v>46</v>
      </c>
      <c r="L1698" s="24" t="n">
        <f aca="false">DATE(YEAR(C1698),MONTH(C1698),1)</f>
        <v>43282</v>
      </c>
      <c r="M1698" s="21" t="n">
        <f aca="false">D1698-C1698</f>
        <v>14</v>
      </c>
      <c r="N1698" s="21" t="n">
        <f aca="false">MAX(0,D1698-E1698)</f>
        <v>0</v>
      </c>
      <c r="O1698" s="21" t="n">
        <f aca="false">IF(D1698&lt;=E1698,1,0)</f>
        <v>1</v>
      </c>
      <c r="P1698" s="23" t="n">
        <f aca="false">G1698+H1698</f>
        <v>370.94</v>
      </c>
      <c r="Q1698" s="23" t="n">
        <f aca="false">G1698*INDEX(Assumptions!$B$8:$B$16,MATCH(F1698,Assumptions!$A$8:$A$16,0))</f>
        <v>220.7238</v>
      </c>
      <c r="R1698" s="23" t="n">
        <f aca="false">H1698*Assumptions!$B$3</f>
        <v>21.906</v>
      </c>
      <c r="S1698" s="23" t="n">
        <f aca="false">G1698-Q1698-R1698</f>
        <v>91.8002</v>
      </c>
      <c r="T1698" s="21" t="str">
        <f aca="false">IF(M1698&lt;=7,"0-7 days",IF(M1698&lt;=14,"8-14 days",IF(M1698&lt;=21,"15-21 days","22+ days")))</f>
        <v>8-14 days</v>
      </c>
    </row>
    <row r="1699" customFormat="false" ht="15" hidden="false" customHeight="false" outlineLevel="0" collapsed="false">
      <c r="A1699" s="21" t="s">
        <v>1765</v>
      </c>
      <c r="B1699" s="21" t="s">
        <v>52</v>
      </c>
      <c r="C1699" s="22" t="n">
        <v>43292</v>
      </c>
      <c r="D1699" s="22" t="n">
        <v>43303</v>
      </c>
      <c r="E1699" s="22" t="n">
        <v>43315</v>
      </c>
      <c r="F1699" s="21" t="s">
        <v>111</v>
      </c>
      <c r="G1699" s="23" t="n">
        <v>31.16</v>
      </c>
      <c r="H1699" s="23" t="n">
        <v>31.02</v>
      </c>
      <c r="I1699" s="21" t="s">
        <v>45</v>
      </c>
      <c r="J1699" s="21" t="n">
        <v>4</v>
      </c>
      <c r="K1699" s="21" t="s">
        <v>46</v>
      </c>
      <c r="L1699" s="24" t="n">
        <f aca="false">DATE(YEAR(C1699),MONTH(C1699),1)</f>
        <v>43282</v>
      </c>
      <c r="M1699" s="21" t="n">
        <f aca="false">D1699-C1699</f>
        <v>11</v>
      </c>
      <c r="N1699" s="21" t="n">
        <f aca="false">MAX(0,D1699-E1699)</f>
        <v>0</v>
      </c>
      <c r="O1699" s="21" t="n">
        <f aca="false">IF(D1699&lt;=E1699,1,0)</f>
        <v>1</v>
      </c>
      <c r="P1699" s="23" t="n">
        <f aca="false">G1699+H1699</f>
        <v>62.18</v>
      </c>
      <c r="Q1699" s="23" t="n">
        <f aca="false">G1699*INDEX(Assumptions!$B$8:$B$16,MATCH(F1699,Assumptions!$A$8:$A$16,0))</f>
        <v>19.6308</v>
      </c>
      <c r="R1699" s="23" t="n">
        <f aca="false">H1699*Assumptions!$B$3</f>
        <v>18.612</v>
      </c>
      <c r="S1699" s="23" t="n">
        <f aca="false">G1699-Q1699-R1699</f>
        <v>-7.0828</v>
      </c>
      <c r="T1699" s="21" t="str">
        <f aca="false">IF(M1699&lt;=7,"0-7 days",IF(M1699&lt;=14,"8-14 days",IF(M1699&lt;=21,"15-21 days","22+ days")))</f>
        <v>8-14 days</v>
      </c>
    </row>
    <row r="1700" customFormat="false" ht="15" hidden="false" customHeight="false" outlineLevel="0" collapsed="false">
      <c r="A1700" s="21" t="s">
        <v>1766</v>
      </c>
      <c r="B1700" s="21" t="s">
        <v>55</v>
      </c>
      <c r="C1700" s="22" t="n">
        <v>43292</v>
      </c>
      <c r="D1700" s="22" t="n">
        <v>43302</v>
      </c>
      <c r="E1700" s="22" t="n">
        <v>43315</v>
      </c>
      <c r="F1700" s="21" t="s">
        <v>49</v>
      </c>
      <c r="G1700" s="23" t="n">
        <v>155.42</v>
      </c>
      <c r="H1700" s="23" t="n">
        <v>23.01</v>
      </c>
      <c r="I1700" s="21" t="s">
        <v>45</v>
      </c>
      <c r="J1700" s="21" t="n">
        <v>4</v>
      </c>
      <c r="K1700" s="21" t="s">
        <v>46</v>
      </c>
      <c r="L1700" s="24" t="n">
        <f aca="false">DATE(YEAR(C1700),MONTH(C1700),1)</f>
        <v>43282</v>
      </c>
      <c r="M1700" s="21" t="n">
        <f aca="false">D1700-C1700</f>
        <v>10</v>
      </c>
      <c r="N1700" s="21" t="n">
        <f aca="false">MAX(0,D1700-E1700)</f>
        <v>0</v>
      </c>
      <c r="O1700" s="21" t="n">
        <f aca="false">IF(D1700&lt;=E1700,1,0)</f>
        <v>1</v>
      </c>
      <c r="P1700" s="23" t="n">
        <f aca="false">G1700+H1700</f>
        <v>178.43</v>
      </c>
      <c r="Q1700" s="23" t="n">
        <f aca="false">G1700*INDEX(Assumptions!$B$8:$B$16,MATCH(F1700,Assumptions!$A$8:$A$16,0))</f>
        <v>90.1436</v>
      </c>
      <c r="R1700" s="23" t="n">
        <f aca="false">H1700*Assumptions!$B$3</f>
        <v>13.806</v>
      </c>
      <c r="S1700" s="23" t="n">
        <f aca="false">G1700-Q1700-R1700</f>
        <v>51.4704</v>
      </c>
      <c r="T1700" s="21" t="str">
        <f aca="false">IF(M1700&lt;=7,"0-7 days",IF(M1700&lt;=14,"8-14 days",IF(M1700&lt;=21,"15-21 days","22+ days")))</f>
        <v>8-14 days</v>
      </c>
    </row>
    <row r="1701" customFormat="false" ht="15" hidden="false" customHeight="false" outlineLevel="0" collapsed="false">
      <c r="A1701" s="21" t="s">
        <v>1767</v>
      </c>
      <c r="B1701" s="21" t="s">
        <v>62</v>
      </c>
      <c r="C1701" s="22" t="n">
        <v>43293</v>
      </c>
      <c r="D1701" s="22" t="n">
        <v>43300</v>
      </c>
      <c r="E1701" s="22" t="n">
        <v>43313</v>
      </c>
      <c r="F1701" s="21" t="s">
        <v>79</v>
      </c>
      <c r="G1701" s="23" t="n">
        <v>76.03</v>
      </c>
      <c r="H1701" s="23" t="n">
        <v>18.92</v>
      </c>
      <c r="I1701" s="21" t="s">
        <v>45</v>
      </c>
      <c r="J1701" s="21" t="n">
        <v>5</v>
      </c>
      <c r="K1701" s="21" t="s">
        <v>46</v>
      </c>
      <c r="L1701" s="24" t="n">
        <f aca="false">DATE(YEAR(C1701),MONTH(C1701),1)</f>
        <v>43282</v>
      </c>
      <c r="M1701" s="21" t="n">
        <f aca="false">D1701-C1701</f>
        <v>7</v>
      </c>
      <c r="N1701" s="21" t="n">
        <f aca="false">MAX(0,D1701-E1701)</f>
        <v>0</v>
      </c>
      <c r="O1701" s="21" t="n">
        <f aca="false">IF(D1701&lt;=E1701,1,0)</f>
        <v>1</v>
      </c>
      <c r="P1701" s="23" t="n">
        <f aca="false">G1701+H1701</f>
        <v>94.95</v>
      </c>
      <c r="Q1701" s="23" t="n">
        <f aca="false">G1701*INDEX(Assumptions!$B$8:$B$16,MATCH(F1701,Assumptions!$A$8:$A$16,0))</f>
        <v>53.221</v>
      </c>
      <c r="R1701" s="23" t="n">
        <f aca="false">H1701*Assumptions!$B$3</f>
        <v>11.352</v>
      </c>
      <c r="S1701" s="23" t="n">
        <f aca="false">G1701-Q1701-R1701</f>
        <v>11.457</v>
      </c>
      <c r="T1701" s="21" t="str">
        <f aca="false">IF(M1701&lt;=7,"0-7 days",IF(M1701&lt;=14,"8-14 days",IF(M1701&lt;=21,"15-21 days","22+ days")))</f>
        <v>0-7 days</v>
      </c>
    </row>
    <row r="1702" customFormat="false" ht="15" hidden="false" customHeight="false" outlineLevel="0" collapsed="false">
      <c r="A1702" s="21" t="s">
        <v>1768</v>
      </c>
      <c r="B1702" s="21" t="s">
        <v>19</v>
      </c>
      <c r="C1702" s="22" t="n">
        <v>43293</v>
      </c>
      <c r="D1702" s="22" t="n">
        <v>43300</v>
      </c>
      <c r="E1702" s="22" t="n">
        <v>43313</v>
      </c>
      <c r="F1702" s="21" t="s">
        <v>64</v>
      </c>
      <c r="G1702" s="23" t="n">
        <v>63.14</v>
      </c>
      <c r="H1702" s="23" t="n">
        <v>18.59</v>
      </c>
      <c r="I1702" s="21" t="s">
        <v>45</v>
      </c>
      <c r="J1702" s="21" t="n">
        <v>5</v>
      </c>
      <c r="K1702" s="21" t="s">
        <v>46</v>
      </c>
      <c r="L1702" s="24" t="n">
        <f aca="false">DATE(YEAR(C1702),MONTH(C1702),1)</f>
        <v>43282</v>
      </c>
      <c r="M1702" s="21" t="n">
        <f aca="false">D1702-C1702</f>
        <v>7</v>
      </c>
      <c r="N1702" s="21" t="n">
        <f aca="false">MAX(0,D1702-E1702)</f>
        <v>0</v>
      </c>
      <c r="O1702" s="21" t="n">
        <f aca="false">IF(D1702&lt;=E1702,1,0)</f>
        <v>1</v>
      </c>
      <c r="P1702" s="23" t="n">
        <f aca="false">G1702+H1702</f>
        <v>81.73</v>
      </c>
      <c r="Q1702" s="23" t="n">
        <f aca="false">G1702*INDEX(Assumptions!$B$8:$B$16,MATCH(F1702,Assumptions!$A$8:$A$16,0))</f>
        <v>41.6724</v>
      </c>
      <c r="R1702" s="23" t="n">
        <f aca="false">H1702*Assumptions!$B$3</f>
        <v>11.154</v>
      </c>
      <c r="S1702" s="23" t="n">
        <f aca="false">G1702-Q1702-R1702</f>
        <v>10.3136</v>
      </c>
      <c r="T1702" s="21" t="str">
        <f aca="false">IF(M1702&lt;=7,"0-7 days",IF(M1702&lt;=14,"8-14 days",IF(M1702&lt;=21,"15-21 days","22+ days")))</f>
        <v>0-7 days</v>
      </c>
    </row>
    <row r="1703" customFormat="false" ht="15" hidden="false" customHeight="false" outlineLevel="0" collapsed="false">
      <c r="A1703" s="21" t="s">
        <v>1769</v>
      </c>
      <c r="B1703" s="21" t="s">
        <v>156</v>
      </c>
      <c r="C1703" s="22" t="n">
        <v>43293</v>
      </c>
      <c r="D1703" s="22" t="n">
        <v>43311</v>
      </c>
      <c r="E1703" s="22" t="n">
        <v>43316</v>
      </c>
      <c r="F1703" s="21" t="s">
        <v>67</v>
      </c>
      <c r="G1703" s="23" t="n">
        <v>78.61</v>
      </c>
      <c r="H1703" s="23" t="n">
        <v>29.01</v>
      </c>
      <c r="I1703" s="21" t="s">
        <v>45</v>
      </c>
      <c r="J1703" s="21" t="n">
        <v>3</v>
      </c>
      <c r="K1703" s="21" t="s">
        <v>46</v>
      </c>
      <c r="L1703" s="24" t="n">
        <f aca="false">DATE(YEAR(C1703),MONTH(C1703),1)</f>
        <v>43282</v>
      </c>
      <c r="M1703" s="21" t="n">
        <f aca="false">D1703-C1703</f>
        <v>18</v>
      </c>
      <c r="N1703" s="21" t="n">
        <f aca="false">MAX(0,D1703-E1703)</f>
        <v>0</v>
      </c>
      <c r="O1703" s="21" t="n">
        <f aca="false">IF(D1703&lt;=E1703,1,0)</f>
        <v>1</v>
      </c>
      <c r="P1703" s="23" t="n">
        <f aca="false">G1703+H1703</f>
        <v>107.62</v>
      </c>
      <c r="Q1703" s="23" t="n">
        <f aca="false">G1703*INDEX(Assumptions!$B$8:$B$16,MATCH(F1703,Assumptions!$A$8:$A$16,0))</f>
        <v>48.7382</v>
      </c>
      <c r="R1703" s="23" t="n">
        <f aca="false">H1703*Assumptions!$B$3</f>
        <v>17.406</v>
      </c>
      <c r="S1703" s="23" t="n">
        <f aca="false">G1703-Q1703-R1703</f>
        <v>12.4658</v>
      </c>
      <c r="T1703" s="21" t="str">
        <f aca="false">IF(M1703&lt;=7,"0-7 days",IF(M1703&lt;=14,"8-14 days",IF(M1703&lt;=21,"15-21 days","22+ days")))</f>
        <v>15-21 days</v>
      </c>
    </row>
    <row r="1704" customFormat="false" ht="15" hidden="false" customHeight="false" outlineLevel="0" collapsed="false">
      <c r="A1704" s="21" t="s">
        <v>1770</v>
      </c>
      <c r="B1704" s="21" t="s">
        <v>19</v>
      </c>
      <c r="C1704" s="22" t="n">
        <v>43293</v>
      </c>
      <c r="D1704" s="22" t="n">
        <v>43300</v>
      </c>
      <c r="E1704" s="22" t="n">
        <v>43306</v>
      </c>
      <c r="F1704" s="21" t="s">
        <v>79</v>
      </c>
      <c r="G1704" s="23" t="n">
        <v>166.18</v>
      </c>
      <c r="H1704" s="23" t="n">
        <v>21.18</v>
      </c>
      <c r="I1704" s="21" t="s">
        <v>45</v>
      </c>
      <c r="J1704" s="21" t="n">
        <v>5</v>
      </c>
      <c r="K1704" s="21" t="s">
        <v>46</v>
      </c>
      <c r="L1704" s="24" t="n">
        <f aca="false">DATE(YEAR(C1704),MONTH(C1704),1)</f>
        <v>43282</v>
      </c>
      <c r="M1704" s="21" t="n">
        <f aca="false">D1704-C1704</f>
        <v>7</v>
      </c>
      <c r="N1704" s="21" t="n">
        <f aca="false">MAX(0,D1704-E1704)</f>
        <v>0</v>
      </c>
      <c r="O1704" s="21" t="n">
        <f aca="false">IF(D1704&lt;=E1704,1,0)</f>
        <v>1</v>
      </c>
      <c r="P1704" s="23" t="n">
        <f aca="false">G1704+H1704</f>
        <v>187.36</v>
      </c>
      <c r="Q1704" s="23" t="n">
        <f aca="false">G1704*INDEX(Assumptions!$B$8:$B$16,MATCH(F1704,Assumptions!$A$8:$A$16,0))</f>
        <v>116.326</v>
      </c>
      <c r="R1704" s="23" t="n">
        <f aca="false">H1704*Assumptions!$B$3</f>
        <v>12.708</v>
      </c>
      <c r="S1704" s="23" t="n">
        <f aca="false">G1704-Q1704-R1704</f>
        <v>37.146</v>
      </c>
      <c r="T1704" s="21" t="str">
        <f aca="false">IF(M1704&lt;=7,"0-7 days",IF(M1704&lt;=14,"8-14 days",IF(M1704&lt;=21,"15-21 days","22+ days")))</f>
        <v>0-7 days</v>
      </c>
    </row>
    <row r="1705" customFormat="false" ht="15" hidden="false" customHeight="false" outlineLevel="0" collapsed="false">
      <c r="A1705" s="21" t="s">
        <v>1771</v>
      </c>
      <c r="B1705" s="21" t="s">
        <v>19</v>
      </c>
      <c r="C1705" s="22" t="n">
        <v>43293</v>
      </c>
      <c r="D1705" s="22" t="n">
        <v>43299</v>
      </c>
      <c r="E1705" s="22" t="n">
        <v>43309</v>
      </c>
      <c r="F1705" s="21" t="s">
        <v>44</v>
      </c>
      <c r="G1705" s="23" t="n">
        <v>177.65</v>
      </c>
      <c r="H1705" s="23" t="n">
        <v>20.95</v>
      </c>
      <c r="I1705" s="21" t="s">
        <v>45</v>
      </c>
      <c r="J1705" s="21" t="n">
        <v>5</v>
      </c>
      <c r="K1705" s="21" t="s">
        <v>46</v>
      </c>
      <c r="L1705" s="24" t="n">
        <f aca="false">DATE(YEAR(C1705),MONTH(C1705),1)</f>
        <v>43282</v>
      </c>
      <c r="M1705" s="21" t="n">
        <f aca="false">D1705-C1705</f>
        <v>6</v>
      </c>
      <c r="N1705" s="21" t="n">
        <f aca="false">MAX(0,D1705-E1705)</f>
        <v>0</v>
      </c>
      <c r="O1705" s="21" t="n">
        <f aca="false">IF(D1705&lt;=E1705,1,0)</f>
        <v>1</v>
      </c>
      <c r="P1705" s="23" t="n">
        <f aca="false">G1705+H1705</f>
        <v>198.6</v>
      </c>
      <c r="Q1705" s="23" t="n">
        <f aca="false">G1705*INDEX(Assumptions!$B$8:$B$16,MATCH(F1705,Assumptions!$A$8:$A$16,0))</f>
        <v>106.59</v>
      </c>
      <c r="R1705" s="23" t="n">
        <f aca="false">H1705*Assumptions!$B$3</f>
        <v>12.57</v>
      </c>
      <c r="S1705" s="23" t="n">
        <f aca="false">G1705-Q1705-R1705</f>
        <v>58.49</v>
      </c>
      <c r="T1705" s="21" t="str">
        <f aca="false">IF(M1705&lt;=7,"0-7 days",IF(M1705&lt;=14,"8-14 days",IF(M1705&lt;=21,"15-21 days","22+ days")))</f>
        <v>0-7 days</v>
      </c>
    </row>
    <row r="1706" customFormat="false" ht="15" hidden="false" customHeight="false" outlineLevel="0" collapsed="false">
      <c r="A1706" s="21" t="s">
        <v>1772</v>
      </c>
      <c r="B1706" s="21" t="s">
        <v>62</v>
      </c>
      <c r="C1706" s="22" t="n">
        <v>43293</v>
      </c>
      <c r="D1706" s="22" t="n">
        <v>43311</v>
      </c>
      <c r="E1706" s="22" t="n">
        <v>43318</v>
      </c>
      <c r="F1706" s="21" t="s">
        <v>111</v>
      </c>
      <c r="G1706" s="23" t="n">
        <v>99.36</v>
      </c>
      <c r="H1706" s="23" t="n">
        <v>26.64</v>
      </c>
      <c r="I1706" s="21" t="s">
        <v>45</v>
      </c>
      <c r="J1706" s="21" t="n">
        <v>4</v>
      </c>
      <c r="K1706" s="21" t="s">
        <v>46</v>
      </c>
      <c r="L1706" s="24" t="n">
        <f aca="false">DATE(YEAR(C1706),MONTH(C1706),1)</f>
        <v>43282</v>
      </c>
      <c r="M1706" s="21" t="n">
        <f aca="false">D1706-C1706</f>
        <v>18</v>
      </c>
      <c r="N1706" s="21" t="n">
        <f aca="false">MAX(0,D1706-E1706)</f>
        <v>0</v>
      </c>
      <c r="O1706" s="21" t="n">
        <f aca="false">IF(D1706&lt;=E1706,1,0)</f>
        <v>1</v>
      </c>
      <c r="P1706" s="23" t="n">
        <f aca="false">G1706+H1706</f>
        <v>126</v>
      </c>
      <c r="Q1706" s="23" t="n">
        <f aca="false">G1706*INDEX(Assumptions!$B$8:$B$16,MATCH(F1706,Assumptions!$A$8:$A$16,0))</f>
        <v>62.5968</v>
      </c>
      <c r="R1706" s="23" t="n">
        <f aca="false">H1706*Assumptions!$B$3</f>
        <v>15.984</v>
      </c>
      <c r="S1706" s="23" t="n">
        <f aca="false">G1706-Q1706-R1706</f>
        <v>20.7792</v>
      </c>
      <c r="T1706" s="21" t="str">
        <f aca="false">IF(M1706&lt;=7,"0-7 days",IF(M1706&lt;=14,"8-14 days",IF(M1706&lt;=21,"15-21 days","22+ days")))</f>
        <v>15-21 days</v>
      </c>
    </row>
    <row r="1707" customFormat="false" ht="15" hidden="false" customHeight="false" outlineLevel="0" collapsed="false">
      <c r="A1707" s="21" t="s">
        <v>1773</v>
      </c>
      <c r="B1707" s="21" t="s">
        <v>77</v>
      </c>
      <c r="C1707" s="22" t="n">
        <v>43294</v>
      </c>
      <c r="D1707" s="22" t="n">
        <v>43310</v>
      </c>
      <c r="E1707" s="22" t="n">
        <v>43319</v>
      </c>
      <c r="F1707" s="21" t="s">
        <v>49</v>
      </c>
      <c r="G1707" s="23" t="n">
        <v>77.95</v>
      </c>
      <c r="H1707" s="23" t="n">
        <v>20.39</v>
      </c>
      <c r="I1707" s="21" t="s">
        <v>45</v>
      </c>
      <c r="J1707" s="21" t="n">
        <v>4</v>
      </c>
      <c r="K1707" s="21" t="s">
        <v>46</v>
      </c>
      <c r="L1707" s="24" t="n">
        <f aca="false">DATE(YEAR(C1707),MONTH(C1707),1)</f>
        <v>43282</v>
      </c>
      <c r="M1707" s="21" t="n">
        <f aca="false">D1707-C1707</f>
        <v>16</v>
      </c>
      <c r="N1707" s="21" t="n">
        <f aca="false">MAX(0,D1707-E1707)</f>
        <v>0</v>
      </c>
      <c r="O1707" s="21" t="n">
        <f aca="false">IF(D1707&lt;=E1707,1,0)</f>
        <v>1</v>
      </c>
      <c r="P1707" s="23" t="n">
        <f aca="false">G1707+H1707</f>
        <v>98.34</v>
      </c>
      <c r="Q1707" s="23" t="n">
        <f aca="false">G1707*INDEX(Assumptions!$B$8:$B$16,MATCH(F1707,Assumptions!$A$8:$A$16,0))</f>
        <v>45.211</v>
      </c>
      <c r="R1707" s="23" t="n">
        <f aca="false">H1707*Assumptions!$B$3</f>
        <v>12.234</v>
      </c>
      <c r="S1707" s="23" t="n">
        <f aca="false">G1707-Q1707-R1707</f>
        <v>20.505</v>
      </c>
      <c r="T1707" s="21" t="str">
        <f aca="false">IF(M1707&lt;=7,"0-7 days",IF(M1707&lt;=14,"8-14 days",IF(M1707&lt;=21,"15-21 days","22+ days")))</f>
        <v>15-21 days</v>
      </c>
    </row>
    <row r="1708" customFormat="false" ht="15" hidden="false" customHeight="false" outlineLevel="0" collapsed="false">
      <c r="A1708" s="21" t="s">
        <v>1774</v>
      </c>
      <c r="B1708" s="21" t="s">
        <v>55</v>
      </c>
      <c r="C1708" s="22" t="n">
        <v>43294</v>
      </c>
      <c r="D1708" s="22" t="n">
        <v>43310</v>
      </c>
      <c r="E1708" s="22" t="n">
        <v>43323</v>
      </c>
      <c r="F1708" s="21" t="s">
        <v>59</v>
      </c>
      <c r="G1708" s="23" t="n">
        <v>78.35</v>
      </c>
      <c r="H1708" s="23" t="n">
        <v>20.89</v>
      </c>
      <c r="I1708" s="21" t="s">
        <v>45</v>
      </c>
      <c r="J1708" s="21" t="n">
        <v>4</v>
      </c>
      <c r="K1708" s="21" t="s">
        <v>46</v>
      </c>
      <c r="L1708" s="24" t="n">
        <f aca="false">DATE(YEAR(C1708),MONTH(C1708),1)</f>
        <v>43282</v>
      </c>
      <c r="M1708" s="21" t="n">
        <f aca="false">D1708-C1708</f>
        <v>16</v>
      </c>
      <c r="N1708" s="21" t="n">
        <f aca="false">MAX(0,D1708-E1708)</f>
        <v>0</v>
      </c>
      <c r="O1708" s="21" t="n">
        <f aca="false">IF(D1708&lt;=E1708,1,0)</f>
        <v>1</v>
      </c>
      <c r="P1708" s="23" t="n">
        <f aca="false">G1708+H1708</f>
        <v>99.24</v>
      </c>
      <c r="Q1708" s="23" t="n">
        <f aca="false">G1708*INDEX(Assumptions!$B$8:$B$16,MATCH(F1708,Assumptions!$A$8:$A$16,0))</f>
        <v>50.144</v>
      </c>
      <c r="R1708" s="23" t="n">
        <f aca="false">H1708*Assumptions!$B$3</f>
        <v>12.534</v>
      </c>
      <c r="S1708" s="23" t="n">
        <f aca="false">G1708-Q1708-R1708</f>
        <v>15.672</v>
      </c>
      <c r="T1708" s="21" t="str">
        <f aca="false">IF(M1708&lt;=7,"0-7 days",IF(M1708&lt;=14,"8-14 days",IF(M1708&lt;=21,"15-21 days","22+ days")))</f>
        <v>15-21 days</v>
      </c>
    </row>
    <row r="1709" customFormat="false" ht="15" hidden="false" customHeight="false" outlineLevel="0" collapsed="false">
      <c r="A1709" s="21" t="s">
        <v>1775</v>
      </c>
      <c r="B1709" s="21" t="s">
        <v>19</v>
      </c>
      <c r="C1709" s="22" t="n">
        <v>43294</v>
      </c>
      <c r="D1709" s="22" t="n">
        <v>43297</v>
      </c>
      <c r="E1709" s="22" t="n">
        <v>43309</v>
      </c>
      <c r="F1709" s="21" t="s">
        <v>49</v>
      </c>
      <c r="G1709" s="23" t="n">
        <v>71.56</v>
      </c>
      <c r="H1709" s="23" t="n">
        <v>20.3</v>
      </c>
      <c r="I1709" s="21" t="s">
        <v>45</v>
      </c>
      <c r="J1709" s="21" t="n">
        <v>5</v>
      </c>
      <c r="K1709" s="21" t="s">
        <v>46</v>
      </c>
      <c r="L1709" s="24" t="n">
        <f aca="false">DATE(YEAR(C1709),MONTH(C1709),1)</f>
        <v>43282</v>
      </c>
      <c r="M1709" s="21" t="n">
        <f aca="false">D1709-C1709</f>
        <v>3</v>
      </c>
      <c r="N1709" s="21" t="n">
        <f aca="false">MAX(0,D1709-E1709)</f>
        <v>0</v>
      </c>
      <c r="O1709" s="21" t="n">
        <f aca="false">IF(D1709&lt;=E1709,1,0)</f>
        <v>1</v>
      </c>
      <c r="P1709" s="23" t="n">
        <f aca="false">G1709+H1709</f>
        <v>91.86</v>
      </c>
      <c r="Q1709" s="23" t="n">
        <f aca="false">G1709*INDEX(Assumptions!$B$8:$B$16,MATCH(F1709,Assumptions!$A$8:$A$16,0))</f>
        <v>41.5048</v>
      </c>
      <c r="R1709" s="23" t="n">
        <f aca="false">H1709*Assumptions!$B$3</f>
        <v>12.18</v>
      </c>
      <c r="S1709" s="23" t="n">
        <f aca="false">G1709-Q1709-R1709</f>
        <v>17.8752</v>
      </c>
      <c r="T1709" s="21" t="str">
        <f aca="false">IF(M1709&lt;=7,"0-7 days",IF(M1709&lt;=14,"8-14 days",IF(M1709&lt;=21,"15-21 days","22+ days")))</f>
        <v>0-7 days</v>
      </c>
    </row>
    <row r="1710" customFormat="false" ht="15" hidden="false" customHeight="false" outlineLevel="0" collapsed="false">
      <c r="A1710" s="21" t="s">
        <v>1776</v>
      </c>
      <c r="B1710" s="21" t="s">
        <v>156</v>
      </c>
      <c r="C1710" s="22" t="n">
        <v>43294</v>
      </c>
      <c r="D1710" s="22" t="n">
        <v>43310</v>
      </c>
      <c r="E1710" s="22" t="n">
        <v>43318</v>
      </c>
      <c r="F1710" s="21" t="s">
        <v>49</v>
      </c>
      <c r="G1710" s="23" t="n">
        <v>88.45</v>
      </c>
      <c r="H1710" s="23" t="n">
        <v>26.88</v>
      </c>
      <c r="I1710" s="21" t="s">
        <v>45</v>
      </c>
      <c r="J1710" s="21" t="n">
        <v>5</v>
      </c>
      <c r="K1710" s="21" t="s">
        <v>46</v>
      </c>
      <c r="L1710" s="24" t="n">
        <f aca="false">DATE(YEAR(C1710),MONTH(C1710),1)</f>
        <v>43282</v>
      </c>
      <c r="M1710" s="21" t="n">
        <f aca="false">D1710-C1710</f>
        <v>16</v>
      </c>
      <c r="N1710" s="21" t="n">
        <f aca="false">MAX(0,D1710-E1710)</f>
        <v>0</v>
      </c>
      <c r="O1710" s="21" t="n">
        <f aca="false">IF(D1710&lt;=E1710,1,0)</f>
        <v>1</v>
      </c>
      <c r="P1710" s="23" t="n">
        <f aca="false">G1710+H1710</f>
        <v>115.33</v>
      </c>
      <c r="Q1710" s="23" t="n">
        <f aca="false">G1710*INDEX(Assumptions!$B$8:$B$16,MATCH(F1710,Assumptions!$A$8:$A$16,0))</f>
        <v>51.301</v>
      </c>
      <c r="R1710" s="23" t="n">
        <f aca="false">H1710*Assumptions!$B$3</f>
        <v>16.128</v>
      </c>
      <c r="S1710" s="23" t="n">
        <f aca="false">G1710-Q1710-R1710</f>
        <v>21.021</v>
      </c>
      <c r="T1710" s="21" t="str">
        <f aca="false">IF(M1710&lt;=7,"0-7 days",IF(M1710&lt;=14,"8-14 days",IF(M1710&lt;=21,"15-21 days","22+ days")))</f>
        <v>15-21 days</v>
      </c>
    </row>
    <row r="1711" customFormat="false" ht="15" hidden="false" customHeight="false" outlineLevel="0" collapsed="false">
      <c r="A1711" s="21" t="s">
        <v>1777</v>
      </c>
      <c r="B1711" s="21" t="s">
        <v>55</v>
      </c>
      <c r="C1711" s="22" t="n">
        <v>43295</v>
      </c>
      <c r="D1711" s="22" t="n">
        <v>43306</v>
      </c>
      <c r="E1711" s="22" t="n">
        <v>43317</v>
      </c>
      <c r="F1711" s="21" t="s">
        <v>57</v>
      </c>
      <c r="G1711" s="23" t="n">
        <v>64.53</v>
      </c>
      <c r="H1711" s="23" t="n">
        <v>25.7</v>
      </c>
      <c r="I1711" s="21" t="s">
        <v>45</v>
      </c>
      <c r="J1711" s="21" t="n">
        <v>4</v>
      </c>
      <c r="K1711" s="21" t="s">
        <v>46</v>
      </c>
      <c r="L1711" s="24" t="n">
        <f aca="false">DATE(YEAR(C1711),MONTH(C1711),1)</f>
        <v>43282</v>
      </c>
      <c r="M1711" s="21" t="n">
        <f aca="false">D1711-C1711</f>
        <v>11</v>
      </c>
      <c r="N1711" s="21" t="n">
        <f aca="false">MAX(0,D1711-E1711)</f>
        <v>0</v>
      </c>
      <c r="O1711" s="21" t="n">
        <f aca="false">IF(D1711&lt;=E1711,1,0)</f>
        <v>1</v>
      </c>
      <c r="P1711" s="23" t="n">
        <f aca="false">G1711+H1711</f>
        <v>90.23</v>
      </c>
      <c r="Q1711" s="23" t="n">
        <f aca="false">G1711*INDEX(Assumptions!$B$8:$B$16,MATCH(F1711,Assumptions!$A$8:$A$16,0))</f>
        <v>43.8804</v>
      </c>
      <c r="R1711" s="23" t="n">
        <f aca="false">H1711*Assumptions!$B$3</f>
        <v>15.42</v>
      </c>
      <c r="S1711" s="23" t="n">
        <f aca="false">G1711-Q1711-R1711</f>
        <v>5.2296</v>
      </c>
      <c r="T1711" s="21" t="str">
        <f aca="false">IF(M1711&lt;=7,"0-7 days",IF(M1711&lt;=14,"8-14 days",IF(M1711&lt;=21,"15-21 days","22+ days")))</f>
        <v>8-14 days</v>
      </c>
    </row>
    <row r="1712" customFormat="false" ht="15" hidden="false" customHeight="false" outlineLevel="0" collapsed="false">
      <c r="A1712" s="21" t="s">
        <v>1778</v>
      </c>
      <c r="B1712" s="21" t="s">
        <v>19</v>
      </c>
      <c r="C1712" s="22" t="n">
        <v>43295</v>
      </c>
      <c r="D1712" s="22" t="n">
        <v>43300</v>
      </c>
      <c r="E1712" s="22" t="n">
        <v>43310</v>
      </c>
      <c r="F1712" s="21" t="s">
        <v>44</v>
      </c>
      <c r="G1712" s="23" t="n">
        <v>30.4</v>
      </c>
      <c r="H1712" s="23" t="n">
        <v>18.09</v>
      </c>
      <c r="I1712" s="21" t="s">
        <v>45</v>
      </c>
      <c r="J1712" s="21" t="n">
        <v>4</v>
      </c>
      <c r="K1712" s="21" t="s">
        <v>46</v>
      </c>
      <c r="L1712" s="24" t="n">
        <f aca="false">DATE(YEAR(C1712),MONTH(C1712),1)</f>
        <v>43282</v>
      </c>
      <c r="M1712" s="21" t="n">
        <f aca="false">D1712-C1712</f>
        <v>5</v>
      </c>
      <c r="N1712" s="21" t="n">
        <f aca="false">MAX(0,D1712-E1712)</f>
        <v>0</v>
      </c>
      <c r="O1712" s="21" t="n">
        <f aca="false">IF(D1712&lt;=E1712,1,0)</f>
        <v>1</v>
      </c>
      <c r="P1712" s="23" t="n">
        <f aca="false">G1712+H1712</f>
        <v>48.49</v>
      </c>
      <c r="Q1712" s="23" t="n">
        <f aca="false">G1712*INDEX(Assumptions!$B$8:$B$16,MATCH(F1712,Assumptions!$A$8:$A$16,0))</f>
        <v>18.24</v>
      </c>
      <c r="R1712" s="23" t="n">
        <f aca="false">H1712*Assumptions!$B$3</f>
        <v>10.854</v>
      </c>
      <c r="S1712" s="23" t="n">
        <f aca="false">G1712-Q1712-R1712</f>
        <v>1.306</v>
      </c>
      <c r="T1712" s="21" t="str">
        <f aca="false">IF(M1712&lt;=7,"0-7 days",IF(M1712&lt;=14,"8-14 days",IF(M1712&lt;=21,"15-21 days","22+ days")))</f>
        <v>0-7 days</v>
      </c>
    </row>
    <row r="1713" customFormat="false" ht="15" hidden="false" customHeight="false" outlineLevel="0" collapsed="false">
      <c r="A1713" s="21" t="s">
        <v>1779</v>
      </c>
      <c r="B1713" s="21" t="s">
        <v>19</v>
      </c>
      <c r="C1713" s="22" t="n">
        <v>43295</v>
      </c>
      <c r="D1713" s="22" t="n">
        <v>43311</v>
      </c>
      <c r="E1713" s="22" t="n">
        <v>43305</v>
      </c>
      <c r="F1713" s="21" t="s">
        <v>67</v>
      </c>
      <c r="G1713" s="23" t="n">
        <v>154.24</v>
      </c>
      <c r="H1713" s="23" t="n">
        <v>15.71</v>
      </c>
      <c r="I1713" s="21" t="s">
        <v>45</v>
      </c>
      <c r="J1713" s="21" t="n">
        <v>5</v>
      </c>
      <c r="K1713" s="21" t="s">
        <v>46</v>
      </c>
      <c r="L1713" s="24" t="n">
        <f aca="false">DATE(YEAR(C1713),MONTH(C1713),1)</f>
        <v>43282</v>
      </c>
      <c r="M1713" s="21" t="n">
        <f aca="false">D1713-C1713</f>
        <v>16</v>
      </c>
      <c r="N1713" s="21" t="n">
        <f aca="false">MAX(0,D1713-E1713)</f>
        <v>6</v>
      </c>
      <c r="O1713" s="21" t="n">
        <f aca="false">IF(D1713&lt;=E1713,1,0)</f>
        <v>0</v>
      </c>
      <c r="P1713" s="23" t="n">
        <f aca="false">G1713+H1713</f>
        <v>169.95</v>
      </c>
      <c r="Q1713" s="23" t="n">
        <f aca="false">G1713*INDEX(Assumptions!$B$8:$B$16,MATCH(F1713,Assumptions!$A$8:$A$16,0))</f>
        <v>95.6288</v>
      </c>
      <c r="R1713" s="23" t="n">
        <f aca="false">H1713*Assumptions!$B$3</f>
        <v>9.426</v>
      </c>
      <c r="S1713" s="23" t="n">
        <f aca="false">G1713-Q1713-R1713</f>
        <v>49.1852</v>
      </c>
      <c r="T1713" s="21" t="str">
        <f aca="false">IF(M1713&lt;=7,"0-7 days",IF(M1713&lt;=14,"8-14 days",IF(M1713&lt;=21,"15-21 days","22+ days")))</f>
        <v>15-21 days</v>
      </c>
    </row>
    <row r="1714" customFormat="false" ht="15" hidden="false" customHeight="false" outlineLevel="0" collapsed="false">
      <c r="A1714" s="21" t="s">
        <v>1780</v>
      </c>
      <c r="B1714" s="21" t="s">
        <v>19</v>
      </c>
      <c r="C1714" s="22" t="n">
        <v>43295</v>
      </c>
      <c r="D1714" s="22" t="n">
        <v>43301</v>
      </c>
      <c r="E1714" s="22" t="n">
        <v>43308</v>
      </c>
      <c r="F1714" s="21" t="s">
        <v>53</v>
      </c>
      <c r="G1714" s="23" t="n">
        <v>60.57</v>
      </c>
      <c r="H1714" s="23" t="n">
        <v>19.9</v>
      </c>
      <c r="I1714" s="21" t="s">
        <v>45</v>
      </c>
      <c r="J1714" s="21" t="n">
        <v>4</v>
      </c>
      <c r="K1714" s="21" t="s">
        <v>46</v>
      </c>
      <c r="L1714" s="24" t="n">
        <f aca="false">DATE(YEAR(C1714),MONTH(C1714),1)</f>
        <v>43282</v>
      </c>
      <c r="M1714" s="21" t="n">
        <f aca="false">D1714-C1714</f>
        <v>6</v>
      </c>
      <c r="N1714" s="21" t="n">
        <f aca="false">MAX(0,D1714-E1714)</f>
        <v>0</v>
      </c>
      <c r="O1714" s="21" t="n">
        <f aca="false">IF(D1714&lt;=E1714,1,0)</f>
        <v>1</v>
      </c>
      <c r="P1714" s="23" t="n">
        <f aca="false">G1714+H1714</f>
        <v>80.47</v>
      </c>
      <c r="Q1714" s="23" t="n">
        <f aca="false">G1714*INDEX(Assumptions!$B$8:$B$16,MATCH(F1714,Assumptions!$A$8:$A$16,0))</f>
        <v>44.8218</v>
      </c>
      <c r="R1714" s="23" t="n">
        <f aca="false">H1714*Assumptions!$B$3</f>
        <v>11.94</v>
      </c>
      <c r="S1714" s="23" t="n">
        <f aca="false">G1714-Q1714-R1714</f>
        <v>3.8082</v>
      </c>
      <c r="T1714" s="21" t="str">
        <f aca="false">IF(M1714&lt;=7,"0-7 days",IF(M1714&lt;=14,"8-14 days",IF(M1714&lt;=21,"15-21 days","22+ days")))</f>
        <v>0-7 days</v>
      </c>
    </row>
    <row r="1715" customFormat="false" ht="15" hidden="false" customHeight="false" outlineLevel="0" collapsed="false">
      <c r="A1715" s="21" t="s">
        <v>1781</v>
      </c>
      <c r="B1715" s="21" t="s">
        <v>62</v>
      </c>
      <c r="C1715" s="22" t="n">
        <v>43295</v>
      </c>
      <c r="D1715" s="22" t="n">
        <v>43300</v>
      </c>
      <c r="E1715" s="22" t="n">
        <v>43319</v>
      </c>
      <c r="F1715" s="21" t="s">
        <v>49</v>
      </c>
      <c r="G1715" s="23" t="n">
        <v>112.65</v>
      </c>
      <c r="H1715" s="23" t="n">
        <v>21.62</v>
      </c>
      <c r="I1715" s="21" t="s">
        <v>60</v>
      </c>
      <c r="J1715" s="21" t="n">
        <v>4</v>
      </c>
      <c r="K1715" s="21" t="s">
        <v>46</v>
      </c>
      <c r="L1715" s="24" t="n">
        <f aca="false">DATE(YEAR(C1715),MONTH(C1715),1)</f>
        <v>43282</v>
      </c>
      <c r="M1715" s="21" t="n">
        <f aca="false">D1715-C1715</f>
        <v>5</v>
      </c>
      <c r="N1715" s="21" t="n">
        <f aca="false">MAX(0,D1715-E1715)</f>
        <v>0</v>
      </c>
      <c r="O1715" s="21" t="n">
        <f aca="false">IF(D1715&lt;=E1715,1,0)</f>
        <v>1</v>
      </c>
      <c r="P1715" s="23" t="n">
        <f aca="false">G1715+H1715</f>
        <v>134.27</v>
      </c>
      <c r="Q1715" s="23" t="n">
        <f aca="false">G1715*INDEX(Assumptions!$B$8:$B$16,MATCH(F1715,Assumptions!$A$8:$A$16,0))</f>
        <v>65.337</v>
      </c>
      <c r="R1715" s="23" t="n">
        <f aca="false">H1715*Assumptions!$B$3</f>
        <v>12.972</v>
      </c>
      <c r="S1715" s="23" t="n">
        <f aca="false">G1715-Q1715-R1715</f>
        <v>34.341</v>
      </c>
      <c r="T1715" s="21" t="str">
        <f aca="false">IF(M1715&lt;=7,"0-7 days",IF(M1715&lt;=14,"8-14 days",IF(M1715&lt;=21,"15-21 days","22+ days")))</f>
        <v>0-7 days</v>
      </c>
    </row>
    <row r="1716" customFormat="false" ht="15" hidden="false" customHeight="false" outlineLevel="0" collapsed="false">
      <c r="A1716" s="21" t="s">
        <v>1782</v>
      </c>
      <c r="B1716" s="21" t="s">
        <v>52</v>
      </c>
      <c r="C1716" s="22" t="n">
        <v>43295</v>
      </c>
      <c r="D1716" s="22" t="n">
        <v>43311</v>
      </c>
      <c r="E1716" s="22" t="n">
        <v>43318</v>
      </c>
      <c r="F1716" s="21" t="s">
        <v>67</v>
      </c>
      <c r="G1716" s="23" t="n">
        <v>109.19</v>
      </c>
      <c r="H1716" s="23" t="n">
        <v>29.49</v>
      </c>
      <c r="I1716" s="21" t="s">
        <v>45</v>
      </c>
      <c r="J1716" s="21" t="n">
        <v>4</v>
      </c>
      <c r="K1716" s="21" t="s">
        <v>46</v>
      </c>
      <c r="L1716" s="24" t="n">
        <f aca="false">DATE(YEAR(C1716),MONTH(C1716),1)</f>
        <v>43282</v>
      </c>
      <c r="M1716" s="21" t="n">
        <f aca="false">D1716-C1716</f>
        <v>16</v>
      </c>
      <c r="N1716" s="21" t="n">
        <f aca="false">MAX(0,D1716-E1716)</f>
        <v>0</v>
      </c>
      <c r="O1716" s="21" t="n">
        <f aca="false">IF(D1716&lt;=E1716,1,0)</f>
        <v>1</v>
      </c>
      <c r="P1716" s="23" t="n">
        <f aca="false">G1716+H1716</f>
        <v>138.68</v>
      </c>
      <c r="Q1716" s="23" t="n">
        <f aca="false">G1716*INDEX(Assumptions!$B$8:$B$16,MATCH(F1716,Assumptions!$A$8:$A$16,0))</f>
        <v>67.6978</v>
      </c>
      <c r="R1716" s="23" t="n">
        <f aca="false">H1716*Assumptions!$B$3</f>
        <v>17.694</v>
      </c>
      <c r="S1716" s="23" t="n">
        <f aca="false">G1716-Q1716-R1716</f>
        <v>23.7982</v>
      </c>
      <c r="T1716" s="21" t="str">
        <f aca="false">IF(M1716&lt;=7,"0-7 days",IF(M1716&lt;=14,"8-14 days",IF(M1716&lt;=21,"15-21 days","22+ days")))</f>
        <v>15-21 days</v>
      </c>
    </row>
    <row r="1717" customFormat="false" ht="15" hidden="false" customHeight="false" outlineLevel="0" collapsed="false">
      <c r="A1717" s="21" t="s">
        <v>1783</v>
      </c>
      <c r="B1717" s="21" t="s">
        <v>134</v>
      </c>
      <c r="C1717" s="22" t="n">
        <v>43296</v>
      </c>
      <c r="D1717" s="22" t="n">
        <v>43317</v>
      </c>
      <c r="E1717" s="22" t="n">
        <v>43323</v>
      </c>
      <c r="F1717" s="21" t="s">
        <v>57</v>
      </c>
      <c r="G1717" s="23" t="n">
        <v>104.8</v>
      </c>
      <c r="H1717" s="23" t="n">
        <v>30</v>
      </c>
      <c r="I1717" s="21" t="s">
        <v>45</v>
      </c>
      <c r="J1717" s="21" t="n">
        <v>4</v>
      </c>
      <c r="K1717" s="21" t="s">
        <v>46</v>
      </c>
      <c r="L1717" s="24" t="n">
        <f aca="false">DATE(YEAR(C1717),MONTH(C1717),1)</f>
        <v>43282</v>
      </c>
      <c r="M1717" s="21" t="n">
        <f aca="false">D1717-C1717</f>
        <v>21</v>
      </c>
      <c r="N1717" s="21" t="n">
        <f aca="false">MAX(0,D1717-E1717)</f>
        <v>0</v>
      </c>
      <c r="O1717" s="21" t="n">
        <f aca="false">IF(D1717&lt;=E1717,1,0)</f>
        <v>1</v>
      </c>
      <c r="P1717" s="23" t="n">
        <f aca="false">G1717+H1717</f>
        <v>134.8</v>
      </c>
      <c r="Q1717" s="23" t="n">
        <f aca="false">G1717*INDEX(Assumptions!$B$8:$B$16,MATCH(F1717,Assumptions!$A$8:$A$16,0))</f>
        <v>71.264</v>
      </c>
      <c r="R1717" s="23" t="n">
        <f aca="false">H1717*Assumptions!$B$3</f>
        <v>18</v>
      </c>
      <c r="S1717" s="23" t="n">
        <f aca="false">G1717-Q1717-R1717</f>
        <v>15.536</v>
      </c>
      <c r="T1717" s="21" t="str">
        <f aca="false">IF(M1717&lt;=7,"0-7 days",IF(M1717&lt;=14,"8-14 days",IF(M1717&lt;=21,"15-21 days","22+ days")))</f>
        <v>15-21 days</v>
      </c>
    </row>
    <row r="1718" customFormat="false" ht="15" hidden="false" customHeight="false" outlineLevel="0" collapsed="false">
      <c r="A1718" s="21" t="s">
        <v>1784</v>
      </c>
      <c r="B1718" s="21" t="s">
        <v>62</v>
      </c>
      <c r="C1718" s="22" t="n">
        <v>43296</v>
      </c>
      <c r="D1718" s="22" t="n">
        <v>43305</v>
      </c>
      <c r="E1718" s="22" t="n">
        <v>43317</v>
      </c>
      <c r="F1718" s="21" t="s">
        <v>111</v>
      </c>
      <c r="G1718" s="23" t="n">
        <v>93.98</v>
      </c>
      <c r="H1718" s="23" t="n">
        <v>23.34</v>
      </c>
      <c r="I1718" s="21" t="s">
        <v>50</v>
      </c>
      <c r="J1718" s="21" t="n">
        <v>5</v>
      </c>
      <c r="K1718" s="21" t="s">
        <v>46</v>
      </c>
      <c r="L1718" s="24" t="n">
        <f aca="false">DATE(YEAR(C1718),MONTH(C1718),1)</f>
        <v>43282</v>
      </c>
      <c r="M1718" s="21" t="n">
        <f aca="false">D1718-C1718</f>
        <v>9</v>
      </c>
      <c r="N1718" s="21" t="n">
        <f aca="false">MAX(0,D1718-E1718)</f>
        <v>0</v>
      </c>
      <c r="O1718" s="21" t="n">
        <f aca="false">IF(D1718&lt;=E1718,1,0)</f>
        <v>1</v>
      </c>
      <c r="P1718" s="23" t="n">
        <f aca="false">G1718+H1718</f>
        <v>117.32</v>
      </c>
      <c r="Q1718" s="23" t="n">
        <f aca="false">G1718*INDEX(Assumptions!$B$8:$B$16,MATCH(F1718,Assumptions!$A$8:$A$16,0))</f>
        <v>59.2074</v>
      </c>
      <c r="R1718" s="23" t="n">
        <f aca="false">H1718*Assumptions!$B$3</f>
        <v>14.004</v>
      </c>
      <c r="S1718" s="23" t="n">
        <f aca="false">G1718-Q1718-R1718</f>
        <v>20.7686</v>
      </c>
      <c r="T1718" s="21" t="str">
        <f aca="false">IF(M1718&lt;=7,"0-7 days",IF(M1718&lt;=14,"8-14 days",IF(M1718&lt;=21,"15-21 days","22+ days")))</f>
        <v>8-14 days</v>
      </c>
    </row>
    <row r="1719" customFormat="false" ht="15" hidden="false" customHeight="false" outlineLevel="0" collapsed="false">
      <c r="A1719" s="21" t="s">
        <v>1785</v>
      </c>
      <c r="B1719" s="21" t="s">
        <v>55</v>
      </c>
      <c r="C1719" s="22" t="n">
        <v>43296</v>
      </c>
      <c r="D1719" s="22" t="n">
        <v>43311</v>
      </c>
      <c r="E1719" s="22" t="n">
        <v>43321</v>
      </c>
      <c r="F1719" s="21" t="s">
        <v>67</v>
      </c>
      <c r="G1719" s="23" t="n">
        <v>31.13</v>
      </c>
      <c r="H1719" s="23" t="n">
        <v>20.82</v>
      </c>
      <c r="I1719" s="21" t="s">
        <v>50</v>
      </c>
      <c r="J1719" s="21" t="n">
        <v>5</v>
      </c>
      <c r="K1719" s="21" t="s">
        <v>46</v>
      </c>
      <c r="L1719" s="24" t="n">
        <f aca="false">DATE(YEAR(C1719),MONTH(C1719),1)</f>
        <v>43282</v>
      </c>
      <c r="M1719" s="21" t="n">
        <f aca="false">D1719-C1719</f>
        <v>15</v>
      </c>
      <c r="N1719" s="21" t="n">
        <f aca="false">MAX(0,D1719-E1719)</f>
        <v>0</v>
      </c>
      <c r="O1719" s="21" t="n">
        <f aca="false">IF(D1719&lt;=E1719,1,0)</f>
        <v>1</v>
      </c>
      <c r="P1719" s="23" t="n">
        <f aca="false">G1719+H1719</f>
        <v>51.95</v>
      </c>
      <c r="Q1719" s="23" t="n">
        <f aca="false">G1719*INDEX(Assumptions!$B$8:$B$16,MATCH(F1719,Assumptions!$A$8:$A$16,0))</f>
        <v>19.3006</v>
      </c>
      <c r="R1719" s="23" t="n">
        <f aca="false">H1719*Assumptions!$B$3</f>
        <v>12.492</v>
      </c>
      <c r="S1719" s="23" t="n">
        <f aca="false">G1719-Q1719-R1719</f>
        <v>-0.662599999999999</v>
      </c>
      <c r="T1719" s="21" t="str">
        <f aca="false">IF(M1719&lt;=7,"0-7 days",IF(M1719&lt;=14,"8-14 days",IF(M1719&lt;=21,"15-21 days","22+ days")))</f>
        <v>15-21 days</v>
      </c>
    </row>
    <row r="1720" customFormat="false" ht="15" hidden="false" customHeight="false" outlineLevel="0" collapsed="false">
      <c r="A1720" s="21" t="s">
        <v>1786</v>
      </c>
      <c r="B1720" s="21" t="s">
        <v>62</v>
      </c>
      <c r="C1720" s="22" t="n">
        <v>43297</v>
      </c>
      <c r="D1720" s="22" t="n">
        <v>43309</v>
      </c>
      <c r="E1720" s="22" t="n">
        <v>43319</v>
      </c>
      <c r="F1720" s="21" t="s">
        <v>64</v>
      </c>
      <c r="G1720" s="23" t="n">
        <v>163.89</v>
      </c>
      <c r="H1720" s="23" t="n">
        <v>27.4</v>
      </c>
      <c r="I1720" s="21" t="s">
        <v>45</v>
      </c>
      <c r="J1720" s="21" t="n">
        <v>4</v>
      </c>
      <c r="K1720" s="21" t="s">
        <v>46</v>
      </c>
      <c r="L1720" s="24" t="n">
        <f aca="false">DATE(YEAR(C1720),MONTH(C1720),1)</f>
        <v>43282</v>
      </c>
      <c r="M1720" s="21" t="n">
        <f aca="false">D1720-C1720</f>
        <v>12</v>
      </c>
      <c r="N1720" s="21" t="n">
        <f aca="false">MAX(0,D1720-E1720)</f>
        <v>0</v>
      </c>
      <c r="O1720" s="21" t="n">
        <f aca="false">IF(D1720&lt;=E1720,1,0)</f>
        <v>1</v>
      </c>
      <c r="P1720" s="23" t="n">
        <f aca="false">G1720+H1720</f>
        <v>191.29</v>
      </c>
      <c r="Q1720" s="23" t="n">
        <f aca="false">G1720*INDEX(Assumptions!$B$8:$B$16,MATCH(F1720,Assumptions!$A$8:$A$16,0))</f>
        <v>108.1674</v>
      </c>
      <c r="R1720" s="23" t="n">
        <f aca="false">H1720*Assumptions!$B$3</f>
        <v>16.44</v>
      </c>
      <c r="S1720" s="23" t="n">
        <f aca="false">G1720-Q1720-R1720</f>
        <v>39.2826</v>
      </c>
      <c r="T1720" s="21" t="str">
        <f aca="false">IF(M1720&lt;=7,"0-7 days",IF(M1720&lt;=14,"8-14 days",IF(M1720&lt;=21,"15-21 days","22+ days")))</f>
        <v>8-14 days</v>
      </c>
    </row>
    <row r="1721" customFormat="false" ht="15" hidden="false" customHeight="false" outlineLevel="0" collapsed="false">
      <c r="A1721" s="21" t="s">
        <v>1787</v>
      </c>
      <c r="B1721" s="21" t="s">
        <v>19</v>
      </c>
      <c r="C1721" s="22" t="n">
        <v>43297</v>
      </c>
      <c r="D1721" s="22" t="n">
        <v>43306</v>
      </c>
      <c r="E1721" s="22" t="n">
        <v>43311</v>
      </c>
      <c r="F1721" s="21" t="s">
        <v>67</v>
      </c>
      <c r="G1721" s="23" t="n">
        <v>105.91</v>
      </c>
      <c r="H1721" s="23" t="n">
        <v>16.96</v>
      </c>
      <c r="I1721" s="21" t="s">
        <v>104</v>
      </c>
      <c r="J1721" s="21" t="n">
        <v>5</v>
      </c>
      <c r="K1721" s="21" t="s">
        <v>46</v>
      </c>
      <c r="L1721" s="24" t="n">
        <f aca="false">DATE(YEAR(C1721),MONTH(C1721),1)</f>
        <v>43282</v>
      </c>
      <c r="M1721" s="21" t="n">
        <f aca="false">D1721-C1721</f>
        <v>9</v>
      </c>
      <c r="N1721" s="21" t="n">
        <f aca="false">MAX(0,D1721-E1721)</f>
        <v>0</v>
      </c>
      <c r="O1721" s="21" t="n">
        <f aca="false">IF(D1721&lt;=E1721,1,0)</f>
        <v>1</v>
      </c>
      <c r="P1721" s="23" t="n">
        <f aca="false">G1721+H1721</f>
        <v>122.87</v>
      </c>
      <c r="Q1721" s="23" t="n">
        <f aca="false">G1721*INDEX(Assumptions!$B$8:$B$16,MATCH(F1721,Assumptions!$A$8:$A$16,0))</f>
        <v>65.6642</v>
      </c>
      <c r="R1721" s="23" t="n">
        <f aca="false">H1721*Assumptions!$B$3</f>
        <v>10.176</v>
      </c>
      <c r="S1721" s="23" t="n">
        <f aca="false">G1721-Q1721-R1721</f>
        <v>30.0698</v>
      </c>
      <c r="T1721" s="21" t="str">
        <f aca="false">IF(M1721&lt;=7,"0-7 days",IF(M1721&lt;=14,"8-14 days",IF(M1721&lt;=21,"15-21 days","22+ days")))</f>
        <v>8-14 days</v>
      </c>
    </row>
    <row r="1722" customFormat="false" ht="15" hidden="false" customHeight="false" outlineLevel="0" collapsed="false">
      <c r="A1722" s="21" t="s">
        <v>1788</v>
      </c>
      <c r="B1722" s="21" t="s">
        <v>48</v>
      </c>
      <c r="C1722" s="22" t="n">
        <v>43298</v>
      </c>
      <c r="D1722" s="22" t="n">
        <v>43312</v>
      </c>
      <c r="E1722" s="22" t="n">
        <v>43317</v>
      </c>
      <c r="F1722" s="21" t="s">
        <v>59</v>
      </c>
      <c r="G1722" s="23" t="n">
        <v>134.82</v>
      </c>
      <c r="H1722" s="23" t="n">
        <v>28.48</v>
      </c>
      <c r="I1722" s="21" t="s">
        <v>45</v>
      </c>
      <c r="J1722" s="21" t="n">
        <v>5</v>
      </c>
      <c r="K1722" s="21" t="s">
        <v>46</v>
      </c>
      <c r="L1722" s="24" t="n">
        <f aca="false">DATE(YEAR(C1722),MONTH(C1722),1)</f>
        <v>43282</v>
      </c>
      <c r="M1722" s="21" t="n">
        <f aca="false">D1722-C1722</f>
        <v>14</v>
      </c>
      <c r="N1722" s="21" t="n">
        <f aca="false">MAX(0,D1722-E1722)</f>
        <v>0</v>
      </c>
      <c r="O1722" s="21" t="n">
        <f aca="false">IF(D1722&lt;=E1722,1,0)</f>
        <v>1</v>
      </c>
      <c r="P1722" s="23" t="n">
        <f aca="false">G1722+H1722</f>
        <v>163.3</v>
      </c>
      <c r="Q1722" s="23" t="n">
        <f aca="false">G1722*INDEX(Assumptions!$B$8:$B$16,MATCH(F1722,Assumptions!$A$8:$A$16,0))</f>
        <v>86.2848</v>
      </c>
      <c r="R1722" s="23" t="n">
        <f aca="false">H1722*Assumptions!$B$3</f>
        <v>17.088</v>
      </c>
      <c r="S1722" s="23" t="n">
        <f aca="false">G1722-Q1722-R1722</f>
        <v>31.4472</v>
      </c>
      <c r="T1722" s="21" t="str">
        <f aca="false">IF(M1722&lt;=7,"0-7 days",IF(M1722&lt;=14,"8-14 days",IF(M1722&lt;=21,"15-21 days","22+ days")))</f>
        <v>8-14 days</v>
      </c>
    </row>
    <row r="1723" customFormat="false" ht="15" hidden="false" customHeight="false" outlineLevel="0" collapsed="false">
      <c r="A1723" s="21" t="s">
        <v>1789</v>
      </c>
      <c r="B1723" s="21" t="s">
        <v>52</v>
      </c>
      <c r="C1723" s="22" t="n">
        <v>43298</v>
      </c>
      <c r="D1723" s="22" t="n">
        <v>43323</v>
      </c>
      <c r="E1723" s="22" t="n">
        <v>43321</v>
      </c>
      <c r="F1723" s="21" t="s">
        <v>59</v>
      </c>
      <c r="G1723" s="23" t="n">
        <v>50.29</v>
      </c>
      <c r="H1723" s="23" t="n">
        <v>30.44</v>
      </c>
      <c r="I1723" s="21" t="s">
        <v>50</v>
      </c>
      <c r="J1723" s="21" t="n">
        <v>2</v>
      </c>
      <c r="K1723" s="21" t="s">
        <v>46</v>
      </c>
      <c r="L1723" s="24" t="n">
        <f aca="false">DATE(YEAR(C1723),MONTH(C1723),1)</f>
        <v>43282</v>
      </c>
      <c r="M1723" s="21" t="n">
        <f aca="false">D1723-C1723</f>
        <v>25</v>
      </c>
      <c r="N1723" s="21" t="n">
        <f aca="false">MAX(0,D1723-E1723)</f>
        <v>2</v>
      </c>
      <c r="O1723" s="21" t="n">
        <f aca="false">IF(D1723&lt;=E1723,1,0)</f>
        <v>0</v>
      </c>
      <c r="P1723" s="23" t="n">
        <f aca="false">G1723+H1723</f>
        <v>80.73</v>
      </c>
      <c r="Q1723" s="23" t="n">
        <f aca="false">G1723*INDEX(Assumptions!$B$8:$B$16,MATCH(F1723,Assumptions!$A$8:$A$16,0))</f>
        <v>32.1856</v>
      </c>
      <c r="R1723" s="23" t="n">
        <f aca="false">H1723*Assumptions!$B$3</f>
        <v>18.264</v>
      </c>
      <c r="S1723" s="23" t="n">
        <f aca="false">G1723-Q1723-R1723</f>
        <v>-0.159600000000001</v>
      </c>
      <c r="T1723" s="21" t="str">
        <f aca="false">IF(M1723&lt;=7,"0-7 days",IF(M1723&lt;=14,"8-14 days",IF(M1723&lt;=21,"15-21 days","22+ days")))</f>
        <v>22+ days</v>
      </c>
    </row>
    <row r="1724" customFormat="false" ht="15" hidden="false" customHeight="false" outlineLevel="0" collapsed="false">
      <c r="A1724" s="21" t="s">
        <v>1790</v>
      </c>
      <c r="B1724" s="21" t="s">
        <v>156</v>
      </c>
      <c r="C1724" s="22" t="n">
        <v>43298</v>
      </c>
      <c r="D1724" s="22" t="n">
        <v>43313</v>
      </c>
      <c r="E1724" s="22" t="n">
        <v>43320</v>
      </c>
      <c r="F1724" s="21" t="s">
        <v>64</v>
      </c>
      <c r="G1724" s="23" t="n">
        <v>208.72</v>
      </c>
      <c r="H1724" s="23" t="n">
        <v>24.09</v>
      </c>
      <c r="I1724" s="21" t="s">
        <v>60</v>
      </c>
      <c r="J1724" s="21" t="n">
        <v>5</v>
      </c>
      <c r="K1724" s="21" t="s">
        <v>46</v>
      </c>
      <c r="L1724" s="24" t="n">
        <f aca="false">DATE(YEAR(C1724),MONTH(C1724),1)</f>
        <v>43282</v>
      </c>
      <c r="M1724" s="21" t="n">
        <f aca="false">D1724-C1724</f>
        <v>15</v>
      </c>
      <c r="N1724" s="21" t="n">
        <f aca="false">MAX(0,D1724-E1724)</f>
        <v>0</v>
      </c>
      <c r="O1724" s="21" t="n">
        <f aca="false">IF(D1724&lt;=E1724,1,0)</f>
        <v>1</v>
      </c>
      <c r="P1724" s="23" t="n">
        <f aca="false">G1724+H1724</f>
        <v>232.81</v>
      </c>
      <c r="Q1724" s="23" t="n">
        <f aca="false">G1724*INDEX(Assumptions!$B$8:$B$16,MATCH(F1724,Assumptions!$A$8:$A$16,0))</f>
        <v>137.7552</v>
      </c>
      <c r="R1724" s="23" t="n">
        <f aca="false">H1724*Assumptions!$B$3</f>
        <v>14.454</v>
      </c>
      <c r="S1724" s="23" t="n">
        <f aca="false">G1724-Q1724-R1724</f>
        <v>56.5108</v>
      </c>
      <c r="T1724" s="21" t="str">
        <f aca="false">IF(M1724&lt;=7,"0-7 days",IF(M1724&lt;=14,"8-14 days",IF(M1724&lt;=21,"15-21 days","22+ days")))</f>
        <v>15-21 days</v>
      </c>
    </row>
    <row r="1725" customFormat="false" ht="15" hidden="false" customHeight="false" outlineLevel="0" collapsed="false">
      <c r="A1725" s="21" t="s">
        <v>1791</v>
      </c>
      <c r="B1725" s="21" t="s">
        <v>19</v>
      </c>
      <c r="C1725" s="22" t="n">
        <v>43298</v>
      </c>
      <c r="D1725" s="22" t="n">
        <v>43305</v>
      </c>
      <c r="E1725" s="22" t="n">
        <v>43314</v>
      </c>
      <c r="F1725" s="21" t="s">
        <v>67</v>
      </c>
      <c r="G1725" s="23" t="n">
        <v>61.95</v>
      </c>
      <c r="H1725" s="23" t="n">
        <v>11.83</v>
      </c>
      <c r="I1725" s="21" t="s">
        <v>60</v>
      </c>
      <c r="J1725" s="21" t="n">
        <v>4</v>
      </c>
      <c r="K1725" s="21" t="s">
        <v>46</v>
      </c>
      <c r="L1725" s="24" t="n">
        <f aca="false">DATE(YEAR(C1725),MONTH(C1725),1)</f>
        <v>43282</v>
      </c>
      <c r="M1725" s="21" t="n">
        <f aca="false">D1725-C1725</f>
        <v>7</v>
      </c>
      <c r="N1725" s="21" t="n">
        <f aca="false">MAX(0,D1725-E1725)</f>
        <v>0</v>
      </c>
      <c r="O1725" s="21" t="n">
        <f aca="false">IF(D1725&lt;=E1725,1,0)</f>
        <v>1</v>
      </c>
      <c r="P1725" s="23" t="n">
        <f aca="false">G1725+H1725</f>
        <v>73.78</v>
      </c>
      <c r="Q1725" s="23" t="n">
        <f aca="false">G1725*INDEX(Assumptions!$B$8:$B$16,MATCH(F1725,Assumptions!$A$8:$A$16,0))</f>
        <v>38.409</v>
      </c>
      <c r="R1725" s="23" t="n">
        <f aca="false">H1725*Assumptions!$B$3</f>
        <v>7.098</v>
      </c>
      <c r="S1725" s="23" t="n">
        <f aca="false">G1725-Q1725-R1725</f>
        <v>16.443</v>
      </c>
      <c r="T1725" s="21" t="str">
        <f aca="false">IF(M1725&lt;=7,"0-7 days",IF(M1725&lt;=14,"8-14 days",IF(M1725&lt;=21,"15-21 days","22+ days")))</f>
        <v>0-7 days</v>
      </c>
    </row>
    <row r="1726" customFormat="false" ht="15" hidden="false" customHeight="false" outlineLevel="0" collapsed="false">
      <c r="A1726" s="21" t="s">
        <v>1792</v>
      </c>
      <c r="B1726" s="21" t="s">
        <v>19</v>
      </c>
      <c r="C1726" s="22" t="n">
        <v>43298</v>
      </c>
      <c r="D1726" s="22" t="n">
        <v>43309</v>
      </c>
      <c r="E1726" s="22" t="n">
        <v>43315</v>
      </c>
      <c r="F1726" s="21" t="s">
        <v>79</v>
      </c>
      <c r="G1726" s="23" t="n">
        <v>72.48</v>
      </c>
      <c r="H1726" s="23" t="n">
        <v>12.57</v>
      </c>
      <c r="I1726" s="21" t="s">
        <v>60</v>
      </c>
      <c r="J1726" s="21" t="n">
        <v>5</v>
      </c>
      <c r="K1726" s="21" t="s">
        <v>46</v>
      </c>
      <c r="L1726" s="24" t="n">
        <f aca="false">DATE(YEAR(C1726),MONTH(C1726),1)</f>
        <v>43282</v>
      </c>
      <c r="M1726" s="21" t="n">
        <f aca="false">D1726-C1726</f>
        <v>11</v>
      </c>
      <c r="N1726" s="21" t="n">
        <f aca="false">MAX(0,D1726-E1726)</f>
        <v>0</v>
      </c>
      <c r="O1726" s="21" t="n">
        <f aca="false">IF(D1726&lt;=E1726,1,0)</f>
        <v>1</v>
      </c>
      <c r="P1726" s="23" t="n">
        <f aca="false">G1726+H1726</f>
        <v>85.05</v>
      </c>
      <c r="Q1726" s="23" t="n">
        <f aca="false">G1726*INDEX(Assumptions!$B$8:$B$16,MATCH(F1726,Assumptions!$A$8:$A$16,0))</f>
        <v>50.736</v>
      </c>
      <c r="R1726" s="23" t="n">
        <f aca="false">H1726*Assumptions!$B$3</f>
        <v>7.542</v>
      </c>
      <c r="S1726" s="23" t="n">
        <f aca="false">G1726-Q1726-R1726</f>
        <v>14.202</v>
      </c>
      <c r="T1726" s="21" t="str">
        <f aca="false">IF(M1726&lt;=7,"0-7 days",IF(M1726&lt;=14,"8-14 days",IF(M1726&lt;=21,"15-21 days","22+ days")))</f>
        <v>8-14 days</v>
      </c>
    </row>
    <row r="1727" customFormat="false" ht="15" hidden="false" customHeight="false" outlineLevel="0" collapsed="false">
      <c r="A1727" s="21" t="s">
        <v>1793</v>
      </c>
      <c r="B1727" s="21" t="s">
        <v>55</v>
      </c>
      <c r="C1727" s="22" t="n">
        <v>43298</v>
      </c>
      <c r="D1727" s="22" t="n">
        <v>43313</v>
      </c>
      <c r="E1727" s="22" t="n">
        <v>43325</v>
      </c>
      <c r="F1727" s="21" t="s">
        <v>53</v>
      </c>
      <c r="G1727" s="23" t="n">
        <v>210.26</v>
      </c>
      <c r="H1727" s="23" t="n">
        <v>22.38</v>
      </c>
      <c r="I1727" s="21" t="s">
        <v>45</v>
      </c>
      <c r="J1727" s="21" t="n">
        <v>4</v>
      </c>
      <c r="K1727" s="21" t="s">
        <v>46</v>
      </c>
      <c r="L1727" s="24" t="n">
        <f aca="false">DATE(YEAR(C1727),MONTH(C1727),1)</f>
        <v>43282</v>
      </c>
      <c r="M1727" s="21" t="n">
        <f aca="false">D1727-C1727</f>
        <v>15</v>
      </c>
      <c r="N1727" s="21" t="n">
        <f aca="false">MAX(0,D1727-E1727)</f>
        <v>0</v>
      </c>
      <c r="O1727" s="21" t="n">
        <f aca="false">IF(D1727&lt;=E1727,1,0)</f>
        <v>1</v>
      </c>
      <c r="P1727" s="23" t="n">
        <f aca="false">G1727+H1727</f>
        <v>232.64</v>
      </c>
      <c r="Q1727" s="23" t="n">
        <f aca="false">G1727*INDEX(Assumptions!$B$8:$B$16,MATCH(F1727,Assumptions!$A$8:$A$16,0))</f>
        <v>155.5924</v>
      </c>
      <c r="R1727" s="23" t="n">
        <f aca="false">H1727*Assumptions!$B$3</f>
        <v>13.428</v>
      </c>
      <c r="S1727" s="23" t="n">
        <f aca="false">G1727-Q1727-R1727</f>
        <v>41.2396</v>
      </c>
      <c r="T1727" s="21" t="str">
        <f aca="false">IF(M1727&lt;=7,"0-7 days",IF(M1727&lt;=14,"8-14 days",IF(M1727&lt;=21,"15-21 days","22+ days")))</f>
        <v>15-21 days</v>
      </c>
    </row>
    <row r="1728" customFormat="false" ht="15" hidden="false" customHeight="false" outlineLevel="0" collapsed="false">
      <c r="A1728" s="21" t="s">
        <v>1794</v>
      </c>
      <c r="B1728" s="21" t="s">
        <v>103</v>
      </c>
      <c r="C1728" s="22" t="n">
        <v>43299</v>
      </c>
      <c r="D1728" s="22" t="n">
        <v>43318</v>
      </c>
      <c r="E1728" s="22" t="n">
        <v>43320</v>
      </c>
      <c r="F1728" s="21" t="s">
        <v>49</v>
      </c>
      <c r="G1728" s="23" t="n">
        <v>95.66</v>
      </c>
      <c r="H1728" s="23" t="n">
        <v>21.55</v>
      </c>
      <c r="I1728" s="21" t="s">
        <v>45</v>
      </c>
      <c r="J1728" s="21" t="n">
        <v>4</v>
      </c>
      <c r="K1728" s="21" t="s">
        <v>46</v>
      </c>
      <c r="L1728" s="24" t="n">
        <f aca="false">DATE(YEAR(C1728),MONTH(C1728),1)</f>
        <v>43282</v>
      </c>
      <c r="M1728" s="21" t="n">
        <f aca="false">D1728-C1728</f>
        <v>19</v>
      </c>
      <c r="N1728" s="21" t="n">
        <f aca="false">MAX(0,D1728-E1728)</f>
        <v>0</v>
      </c>
      <c r="O1728" s="21" t="n">
        <f aca="false">IF(D1728&lt;=E1728,1,0)</f>
        <v>1</v>
      </c>
      <c r="P1728" s="23" t="n">
        <f aca="false">G1728+H1728</f>
        <v>117.21</v>
      </c>
      <c r="Q1728" s="23" t="n">
        <f aca="false">G1728*INDEX(Assumptions!$B$8:$B$16,MATCH(F1728,Assumptions!$A$8:$A$16,0))</f>
        <v>55.4828</v>
      </c>
      <c r="R1728" s="23" t="n">
        <f aca="false">H1728*Assumptions!$B$3</f>
        <v>12.93</v>
      </c>
      <c r="S1728" s="23" t="n">
        <f aca="false">G1728-Q1728-R1728</f>
        <v>27.2472</v>
      </c>
      <c r="T1728" s="21" t="str">
        <f aca="false">IF(M1728&lt;=7,"0-7 days",IF(M1728&lt;=14,"8-14 days",IF(M1728&lt;=21,"15-21 days","22+ days")))</f>
        <v>15-21 days</v>
      </c>
    </row>
    <row r="1729" customFormat="false" ht="15" hidden="false" customHeight="false" outlineLevel="0" collapsed="false">
      <c r="A1729" s="21" t="s">
        <v>1795</v>
      </c>
      <c r="B1729" s="21" t="s">
        <v>62</v>
      </c>
      <c r="C1729" s="22" t="n">
        <v>43299</v>
      </c>
      <c r="D1729" s="22" t="n">
        <v>43313</v>
      </c>
      <c r="E1729" s="22" t="n">
        <v>43318</v>
      </c>
      <c r="F1729" s="21" t="s">
        <v>59</v>
      </c>
      <c r="G1729" s="23" t="n">
        <v>79.33</v>
      </c>
      <c r="H1729" s="23" t="n">
        <v>16.92</v>
      </c>
      <c r="I1729" s="21" t="s">
        <v>45</v>
      </c>
      <c r="J1729" s="21" t="n">
        <v>5</v>
      </c>
      <c r="K1729" s="21" t="s">
        <v>46</v>
      </c>
      <c r="L1729" s="24" t="n">
        <f aca="false">DATE(YEAR(C1729),MONTH(C1729),1)</f>
        <v>43282</v>
      </c>
      <c r="M1729" s="21" t="n">
        <f aca="false">D1729-C1729</f>
        <v>14</v>
      </c>
      <c r="N1729" s="21" t="n">
        <f aca="false">MAX(0,D1729-E1729)</f>
        <v>0</v>
      </c>
      <c r="O1729" s="21" t="n">
        <f aca="false">IF(D1729&lt;=E1729,1,0)</f>
        <v>1</v>
      </c>
      <c r="P1729" s="23" t="n">
        <f aca="false">G1729+H1729</f>
        <v>96.25</v>
      </c>
      <c r="Q1729" s="23" t="n">
        <f aca="false">G1729*INDEX(Assumptions!$B$8:$B$16,MATCH(F1729,Assumptions!$A$8:$A$16,0))</f>
        <v>50.7712</v>
      </c>
      <c r="R1729" s="23" t="n">
        <f aca="false">H1729*Assumptions!$B$3</f>
        <v>10.152</v>
      </c>
      <c r="S1729" s="23" t="n">
        <f aca="false">G1729-Q1729-R1729</f>
        <v>18.4068</v>
      </c>
      <c r="T1729" s="21" t="str">
        <f aca="false">IF(M1729&lt;=7,"0-7 days",IF(M1729&lt;=14,"8-14 days",IF(M1729&lt;=21,"15-21 days","22+ days")))</f>
        <v>8-14 days</v>
      </c>
    </row>
    <row r="1730" customFormat="false" ht="15" hidden="false" customHeight="false" outlineLevel="0" collapsed="false">
      <c r="A1730" s="21" t="s">
        <v>1796</v>
      </c>
      <c r="B1730" s="21" t="s">
        <v>19</v>
      </c>
      <c r="C1730" s="22" t="n">
        <v>43299</v>
      </c>
      <c r="D1730" s="22" t="n">
        <v>43311</v>
      </c>
      <c r="E1730" s="22" t="n">
        <v>43314</v>
      </c>
      <c r="F1730" s="21" t="s">
        <v>64</v>
      </c>
      <c r="G1730" s="23" t="n">
        <v>326.54</v>
      </c>
      <c r="H1730" s="23" t="n">
        <v>22.43</v>
      </c>
      <c r="I1730" s="21" t="s">
        <v>45</v>
      </c>
      <c r="J1730" s="21" t="n">
        <v>4</v>
      </c>
      <c r="K1730" s="21" t="s">
        <v>46</v>
      </c>
      <c r="L1730" s="24" t="n">
        <f aca="false">DATE(YEAR(C1730),MONTH(C1730),1)</f>
        <v>43282</v>
      </c>
      <c r="M1730" s="21" t="n">
        <f aca="false">D1730-C1730</f>
        <v>12</v>
      </c>
      <c r="N1730" s="21" t="n">
        <f aca="false">MAX(0,D1730-E1730)</f>
        <v>0</v>
      </c>
      <c r="O1730" s="21" t="n">
        <f aca="false">IF(D1730&lt;=E1730,1,0)</f>
        <v>1</v>
      </c>
      <c r="P1730" s="23" t="n">
        <f aca="false">G1730+H1730</f>
        <v>348.97</v>
      </c>
      <c r="Q1730" s="23" t="n">
        <f aca="false">G1730*INDEX(Assumptions!$B$8:$B$16,MATCH(F1730,Assumptions!$A$8:$A$16,0))</f>
        <v>215.5164</v>
      </c>
      <c r="R1730" s="23" t="n">
        <f aca="false">H1730*Assumptions!$B$3</f>
        <v>13.458</v>
      </c>
      <c r="S1730" s="23" t="n">
        <f aca="false">G1730-Q1730-R1730</f>
        <v>97.5656</v>
      </c>
      <c r="T1730" s="21" t="str">
        <f aca="false">IF(M1730&lt;=7,"0-7 days",IF(M1730&lt;=14,"8-14 days",IF(M1730&lt;=21,"15-21 days","22+ days")))</f>
        <v>8-14 days</v>
      </c>
    </row>
    <row r="1731" customFormat="false" ht="15" hidden="false" customHeight="false" outlineLevel="0" collapsed="false">
      <c r="A1731" s="21" t="s">
        <v>1797</v>
      </c>
      <c r="B1731" s="21" t="s">
        <v>134</v>
      </c>
      <c r="C1731" s="22" t="n">
        <v>43299</v>
      </c>
      <c r="D1731" s="22" t="n">
        <v>43319</v>
      </c>
      <c r="E1731" s="22" t="n">
        <v>43322</v>
      </c>
      <c r="F1731" s="21" t="s">
        <v>79</v>
      </c>
      <c r="G1731" s="23" t="n">
        <v>110.94</v>
      </c>
      <c r="H1731" s="23" t="n">
        <v>21.71</v>
      </c>
      <c r="I1731" s="21" t="s">
        <v>45</v>
      </c>
      <c r="J1731" s="21" t="n">
        <v>4</v>
      </c>
      <c r="K1731" s="21" t="s">
        <v>46</v>
      </c>
      <c r="L1731" s="24" t="n">
        <f aca="false">DATE(YEAR(C1731),MONTH(C1731),1)</f>
        <v>43282</v>
      </c>
      <c r="M1731" s="21" t="n">
        <f aca="false">D1731-C1731</f>
        <v>20</v>
      </c>
      <c r="N1731" s="21" t="n">
        <f aca="false">MAX(0,D1731-E1731)</f>
        <v>0</v>
      </c>
      <c r="O1731" s="21" t="n">
        <f aca="false">IF(D1731&lt;=E1731,1,0)</f>
        <v>1</v>
      </c>
      <c r="P1731" s="23" t="n">
        <f aca="false">G1731+H1731</f>
        <v>132.65</v>
      </c>
      <c r="Q1731" s="23" t="n">
        <f aca="false">G1731*INDEX(Assumptions!$B$8:$B$16,MATCH(F1731,Assumptions!$A$8:$A$16,0))</f>
        <v>77.658</v>
      </c>
      <c r="R1731" s="23" t="n">
        <f aca="false">H1731*Assumptions!$B$3</f>
        <v>13.026</v>
      </c>
      <c r="S1731" s="23" t="n">
        <f aca="false">G1731-Q1731-R1731</f>
        <v>20.256</v>
      </c>
      <c r="T1731" s="21" t="str">
        <f aca="false">IF(M1731&lt;=7,"0-7 days",IF(M1731&lt;=14,"8-14 days",IF(M1731&lt;=21,"15-21 days","22+ days")))</f>
        <v>15-21 days</v>
      </c>
    </row>
    <row r="1732" customFormat="false" ht="15" hidden="false" customHeight="false" outlineLevel="0" collapsed="false">
      <c r="A1732" s="21" t="s">
        <v>1798</v>
      </c>
      <c r="B1732" s="21" t="s">
        <v>19</v>
      </c>
      <c r="C1732" s="22" t="n">
        <v>43299</v>
      </c>
      <c r="D1732" s="22" t="n">
        <v>43310</v>
      </c>
      <c r="E1732" s="22" t="n">
        <v>43314</v>
      </c>
      <c r="F1732" s="21" t="s">
        <v>59</v>
      </c>
      <c r="G1732" s="23" t="n">
        <v>162.5</v>
      </c>
      <c r="H1732" s="23" t="n">
        <v>22.97</v>
      </c>
      <c r="I1732" s="21" t="s">
        <v>60</v>
      </c>
      <c r="J1732" s="21" t="n">
        <v>4</v>
      </c>
      <c r="K1732" s="21" t="s">
        <v>46</v>
      </c>
      <c r="L1732" s="24" t="n">
        <f aca="false">DATE(YEAR(C1732),MONTH(C1732),1)</f>
        <v>43282</v>
      </c>
      <c r="M1732" s="21" t="n">
        <f aca="false">D1732-C1732</f>
        <v>11</v>
      </c>
      <c r="N1732" s="21" t="n">
        <f aca="false">MAX(0,D1732-E1732)</f>
        <v>0</v>
      </c>
      <c r="O1732" s="21" t="n">
        <f aca="false">IF(D1732&lt;=E1732,1,0)</f>
        <v>1</v>
      </c>
      <c r="P1732" s="23" t="n">
        <f aca="false">G1732+H1732</f>
        <v>185.47</v>
      </c>
      <c r="Q1732" s="23" t="n">
        <f aca="false">G1732*INDEX(Assumptions!$B$8:$B$16,MATCH(F1732,Assumptions!$A$8:$A$16,0))</f>
        <v>104</v>
      </c>
      <c r="R1732" s="23" t="n">
        <f aca="false">H1732*Assumptions!$B$3</f>
        <v>13.782</v>
      </c>
      <c r="S1732" s="23" t="n">
        <f aca="false">G1732-Q1732-R1732</f>
        <v>44.718</v>
      </c>
      <c r="T1732" s="21" t="str">
        <f aca="false">IF(M1732&lt;=7,"0-7 days",IF(M1732&lt;=14,"8-14 days",IF(M1732&lt;=21,"15-21 days","22+ days")))</f>
        <v>8-14 days</v>
      </c>
    </row>
    <row r="1733" customFormat="false" ht="15" hidden="false" customHeight="false" outlineLevel="0" collapsed="false">
      <c r="A1733" s="21" t="s">
        <v>1799</v>
      </c>
      <c r="B1733" s="21" t="s">
        <v>19</v>
      </c>
      <c r="C1733" s="22" t="n">
        <v>43299</v>
      </c>
      <c r="D1733" s="22" t="n">
        <v>43306</v>
      </c>
      <c r="E1733" s="22" t="n">
        <v>43312</v>
      </c>
      <c r="F1733" s="21" t="s">
        <v>49</v>
      </c>
      <c r="G1733" s="23" t="n">
        <v>107.17</v>
      </c>
      <c r="H1733" s="23" t="n">
        <v>15.79</v>
      </c>
      <c r="I1733" s="21" t="s">
        <v>45</v>
      </c>
      <c r="J1733" s="21" t="n">
        <v>5</v>
      </c>
      <c r="K1733" s="21" t="s">
        <v>46</v>
      </c>
      <c r="L1733" s="24" t="n">
        <f aca="false">DATE(YEAR(C1733),MONTH(C1733),1)</f>
        <v>43282</v>
      </c>
      <c r="M1733" s="21" t="n">
        <f aca="false">D1733-C1733</f>
        <v>7</v>
      </c>
      <c r="N1733" s="21" t="n">
        <f aca="false">MAX(0,D1733-E1733)</f>
        <v>0</v>
      </c>
      <c r="O1733" s="21" t="n">
        <f aca="false">IF(D1733&lt;=E1733,1,0)</f>
        <v>1</v>
      </c>
      <c r="P1733" s="23" t="n">
        <f aca="false">G1733+H1733</f>
        <v>122.96</v>
      </c>
      <c r="Q1733" s="23" t="n">
        <f aca="false">G1733*INDEX(Assumptions!$B$8:$B$16,MATCH(F1733,Assumptions!$A$8:$A$16,0))</f>
        <v>62.1586</v>
      </c>
      <c r="R1733" s="23" t="n">
        <f aca="false">H1733*Assumptions!$B$3</f>
        <v>9.474</v>
      </c>
      <c r="S1733" s="23" t="n">
        <f aca="false">G1733-Q1733-R1733</f>
        <v>35.5374</v>
      </c>
      <c r="T1733" s="21" t="str">
        <f aca="false">IF(M1733&lt;=7,"0-7 days",IF(M1733&lt;=14,"8-14 days",IF(M1733&lt;=21,"15-21 days","22+ days")))</f>
        <v>0-7 days</v>
      </c>
    </row>
    <row r="1734" customFormat="false" ht="15" hidden="false" customHeight="false" outlineLevel="0" collapsed="false">
      <c r="A1734" s="21" t="s">
        <v>1800</v>
      </c>
      <c r="B1734" s="21" t="s">
        <v>55</v>
      </c>
      <c r="C1734" s="22" t="n">
        <v>43299</v>
      </c>
      <c r="D1734" s="22" t="n">
        <v>43312</v>
      </c>
      <c r="E1734" s="22" t="n">
        <v>43320</v>
      </c>
      <c r="F1734" s="21" t="s">
        <v>67</v>
      </c>
      <c r="G1734" s="23" t="n">
        <v>80.1</v>
      </c>
      <c r="H1734" s="23" t="n">
        <v>20.16</v>
      </c>
      <c r="I1734" s="21" t="s">
        <v>104</v>
      </c>
      <c r="J1734" s="21" t="n">
        <v>5</v>
      </c>
      <c r="K1734" s="21" t="s">
        <v>46</v>
      </c>
      <c r="L1734" s="24" t="n">
        <f aca="false">DATE(YEAR(C1734),MONTH(C1734),1)</f>
        <v>43282</v>
      </c>
      <c r="M1734" s="21" t="n">
        <f aca="false">D1734-C1734</f>
        <v>13</v>
      </c>
      <c r="N1734" s="21" t="n">
        <f aca="false">MAX(0,D1734-E1734)</f>
        <v>0</v>
      </c>
      <c r="O1734" s="21" t="n">
        <f aca="false">IF(D1734&lt;=E1734,1,0)</f>
        <v>1</v>
      </c>
      <c r="P1734" s="23" t="n">
        <f aca="false">G1734+H1734</f>
        <v>100.26</v>
      </c>
      <c r="Q1734" s="23" t="n">
        <f aca="false">G1734*INDEX(Assumptions!$B$8:$B$16,MATCH(F1734,Assumptions!$A$8:$A$16,0))</f>
        <v>49.662</v>
      </c>
      <c r="R1734" s="23" t="n">
        <f aca="false">H1734*Assumptions!$B$3</f>
        <v>12.096</v>
      </c>
      <c r="S1734" s="23" t="n">
        <f aca="false">G1734-Q1734-R1734</f>
        <v>18.342</v>
      </c>
      <c r="T1734" s="21" t="str">
        <f aca="false">IF(M1734&lt;=7,"0-7 days",IF(M1734&lt;=14,"8-14 days",IF(M1734&lt;=21,"15-21 days","22+ days")))</f>
        <v>8-14 days</v>
      </c>
    </row>
    <row r="1735" customFormat="false" ht="15" hidden="false" customHeight="false" outlineLevel="0" collapsed="false">
      <c r="A1735" s="21" t="s">
        <v>1801</v>
      </c>
      <c r="B1735" s="21" t="s">
        <v>48</v>
      </c>
      <c r="C1735" s="22" t="n">
        <v>43299</v>
      </c>
      <c r="D1735" s="22" t="n">
        <v>43303</v>
      </c>
      <c r="E1735" s="22" t="n">
        <v>43317</v>
      </c>
      <c r="F1735" s="21" t="s">
        <v>64</v>
      </c>
      <c r="G1735" s="23" t="n">
        <v>108.91</v>
      </c>
      <c r="H1735" s="23" t="n">
        <v>26.73</v>
      </c>
      <c r="I1735" s="21" t="s">
        <v>45</v>
      </c>
      <c r="J1735" s="21" t="n">
        <v>5</v>
      </c>
      <c r="K1735" s="21" t="s">
        <v>46</v>
      </c>
      <c r="L1735" s="24" t="n">
        <f aca="false">DATE(YEAR(C1735),MONTH(C1735),1)</f>
        <v>43282</v>
      </c>
      <c r="M1735" s="21" t="n">
        <f aca="false">D1735-C1735</f>
        <v>4</v>
      </c>
      <c r="N1735" s="21" t="n">
        <f aca="false">MAX(0,D1735-E1735)</f>
        <v>0</v>
      </c>
      <c r="O1735" s="21" t="n">
        <f aca="false">IF(D1735&lt;=E1735,1,0)</f>
        <v>1</v>
      </c>
      <c r="P1735" s="23" t="n">
        <f aca="false">G1735+H1735</f>
        <v>135.64</v>
      </c>
      <c r="Q1735" s="23" t="n">
        <f aca="false">G1735*INDEX(Assumptions!$B$8:$B$16,MATCH(F1735,Assumptions!$A$8:$A$16,0))</f>
        <v>71.8806</v>
      </c>
      <c r="R1735" s="23" t="n">
        <f aca="false">H1735*Assumptions!$B$3</f>
        <v>16.038</v>
      </c>
      <c r="S1735" s="23" t="n">
        <f aca="false">G1735-Q1735-R1735</f>
        <v>20.9914</v>
      </c>
      <c r="T1735" s="21" t="str">
        <f aca="false">IF(M1735&lt;=7,"0-7 days",IF(M1735&lt;=14,"8-14 days",IF(M1735&lt;=21,"15-21 days","22+ days")))</f>
        <v>0-7 days</v>
      </c>
    </row>
    <row r="1736" customFormat="false" ht="15" hidden="false" customHeight="false" outlineLevel="0" collapsed="false">
      <c r="A1736" s="21" t="s">
        <v>1802</v>
      </c>
      <c r="B1736" s="21" t="s">
        <v>103</v>
      </c>
      <c r="C1736" s="22" t="n">
        <v>43299</v>
      </c>
      <c r="D1736" s="22" t="n">
        <v>43314</v>
      </c>
      <c r="E1736" s="22" t="n">
        <v>43322</v>
      </c>
      <c r="F1736" s="21" t="s">
        <v>111</v>
      </c>
      <c r="G1736" s="23" t="n">
        <v>110.7</v>
      </c>
      <c r="H1736" s="23" t="n">
        <v>18.51</v>
      </c>
      <c r="I1736" s="21" t="s">
        <v>45</v>
      </c>
      <c r="J1736" s="21" t="n">
        <v>5</v>
      </c>
      <c r="K1736" s="21" t="s">
        <v>46</v>
      </c>
      <c r="L1736" s="24" t="n">
        <f aca="false">DATE(YEAR(C1736),MONTH(C1736),1)</f>
        <v>43282</v>
      </c>
      <c r="M1736" s="21" t="n">
        <f aca="false">D1736-C1736</f>
        <v>15</v>
      </c>
      <c r="N1736" s="21" t="n">
        <f aca="false">MAX(0,D1736-E1736)</f>
        <v>0</v>
      </c>
      <c r="O1736" s="21" t="n">
        <f aca="false">IF(D1736&lt;=E1736,1,0)</f>
        <v>1</v>
      </c>
      <c r="P1736" s="23" t="n">
        <f aca="false">G1736+H1736</f>
        <v>129.21</v>
      </c>
      <c r="Q1736" s="23" t="n">
        <f aca="false">G1736*INDEX(Assumptions!$B$8:$B$16,MATCH(F1736,Assumptions!$A$8:$A$16,0))</f>
        <v>69.741</v>
      </c>
      <c r="R1736" s="23" t="n">
        <f aca="false">H1736*Assumptions!$B$3</f>
        <v>11.106</v>
      </c>
      <c r="S1736" s="23" t="n">
        <f aca="false">G1736-Q1736-R1736</f>
        <v>29.853</v>
      </c>
      <c r="T1736" s="21" t="str">
        <f aca="false">IF(M1736&lt;=7,"0-7 days",IF(M1736&lt;=14,"8-14 days",IF(M1736&lt;=21,"15-21 days","22+ days")))</f>
        <v>15-21 days</v>
      </c>
    </row>
    <row r="1737" customFormat="false" ht="15" hidden="false" customHeight="false" outlineLevel="0" collapsed="false">
      <c r="A1737" s="21" t="s">
        <v>1803</v>
      </c>
      <c r="B1737" s="21" t="s">
        <v>19</v>
      </c>
      <c r="C1737" s="22" t="n">
        <v>43300</v>
      </c>
      <c r="D1737" s="22" t="n">
        <v>43311</v>
      </c>
      <c r="E1737" s="22" t="n">
        <v>43314</v>
      </c>
      <c r="F1737" s="21" t="s">
        <v>44</v>
      </c>
      <c r="G1737" s="23" t="n">
        <v>77.26</v>
      </c>
      <c r="H1737" s="23" t="n">
        <v>14.63</v>
      </c>
      <c r="I1737" s="21" t="s">
        <v>45</v>
      </c>
      <c r="J1737" s="21" t="n">
        <v>4</v>
      </c>
      <c r="K1737" s="21" t="s">
        <v>46</v>
      </c>
      <c r="L1737" s="24" t="n">
        <f aca="false">DATE(YEAR(C1737),MONTH(C1737),1)</f>
        <v>43282</v>
      </c>
      <c r="M1737" s="21" t="n">
        <f aca="false">D1737-C1737</f>
        <v>11</v>
      </c>
      <c r="N1737" s="21" t="n">
        <f aca="false">MAX(0,D1737-E1737)</f>
        <v>0</v>
      </c>
      <c r="O1737" s="21" t="n">
        <f aca="false">IF(D1737&lt;=E1737,1,0)</f>
        <v>1</v>
      </c>
      <c r="P1737" s="23" t="n">
        <f aca="false">G1737+H1737</f>
        <v>91.89</v>
      </c>
      <c r="Q1737" s="23" t="n">
        <f aca="false">G1737*INDEX(Assumptions!$B$8:$B$16,MATCH(F1737,Assumptions!$A$8:$A$16,0))</f>
        <v>46.356</v>
      </c>
      <c r="R1737" s="23" t="n">
        <f aca="false">H1737*Assumptions!$B$3</f>
        <v>8.778</v>
      </c>
      <c r="S1737" s="23" t="n">
        <f aca="false">G1737-Q1737-R1737</f>
        <v>22.126</v>
      </c>
      <c r="T1737" s="21" t="str">
        <f aca="false">IF(M1737&lt;=7,"0-7 days",IF(M1737&lt;=14,"8-14 days",IF(M1737&lt;=21,"15-21 days","22+ days")))</f>
        <v>8-14 days</v>
      </c>
    </row>
    <row r="1738" customFormat="false" ht="15" hidden="false" customHeight="false" outlineLevel="0" collapsed="false">
      <c r="A1738" s="21" t="s">
        <v>1804</v>
      </c>
      <c r="B1738" s="21" t="s">
        <v>19</v>
      </c>
      <c r="C1738" s="22" t="n">
        <v>43300</v>
      </c>
      <c r="D1738" s="22" t="n">
        <v>43309</v>
      </c>
      <c r="E1738" s="22" t="n">
        <v>43314</v>
      </c>
      <c r="F1738" s="21" t="s">
        <v>57</v>
      </c>
      <c r="G1738" s="23" t="n">
        <v>120.26</v>
      </c>
      <c r="H1738" s="23" t="n">
        <v>21.73</v>
      </c>
      <c r="I1738" s="21" t="s">
        <v>45</v>
      </c>
      <c r="J1738" s="21" t="n">
        <v>5</v>
      </c>
      <c r="K1738" s="21" t="s">
        <v>46</v>
      </c>
      <c r="L1738" s="24" t="n">
        <f aca="false">DATE(YEAR(C1738),MONTH(C1738),1)</f>
        <v>43282</v>
      </c>
      <c r="M1738" s="21" t="n">
        <f aca="false">D1738-C1738</f>
        <v>9</v>
      </c>
      <c r="N1738" s="21" t="n">
        <f aca="false">MAX(0,D1738-E1738)</f>
        <v>0</v>
      </c>
      <c r="O1738" s="21" t="n">
        <f aca="false">IF(D1738&lt;=E1738,1,0)</f>
        <v>1</v>
      </c>
      <c r="P1738" s="23" t="n">
        <f aca="false">G1738+H1738</f>
        <v>141.99</v>
      </c>
      <c r="Q1738" s="23" t="n">
        <f aca="false">G1738*INDEX(Assumptions!$B$8:$B$16,MATCH(F1738,Assumptions!$A$8:$A$16,0))</f>
        <v>81.7768</v>
      </c>
      <c r="R1738" s="23" t="n">
        <f aca="false">H1738*Assumptions!$B$3</f>
        <v>13.038</v>
      </c>
      <c r="S1738" s="23" t="n">
        <f aca="false">G1738-Q1738-R1738</f>
        <v>25.4452</v>
      </c>
      <c r="T1738" s="21" t="str">
        <f aca="false">IF(M1738&lt;=7,"0-7 days",IF(M1738&lt;=14,"8-14 days",IF(M1738&lt;=21,"15-21 days","22+ days")))</f>
        <v>8-14 days</v>
      </c>
    </row>
    <row r="1739" customFormat="false" ht="15" hidden="false" customHeight="false" outlineLevel="0" collapsed="false">
      <c r="A1739" s="21" t="s">
        <v>1805</v>
      </c>
      <c r="B1739" s="21" t="s">
        <v>19</v>
      </c>
      <c r="C1739" s="22" t="n">
        <v>43300</v>
      </c>
      <c r="D1739" s="22" t="n">
        <v>43307</v>
      </c>
      <c r="E1739" s="22" t="n">
        <v>43317</v>
      </c>
      <c r="F1739" s="21" t="s">
        <v>53</v>
      </c>
      <c r="G1739" s="23" t="n">
        <v>153.68</v>
      </c>
      <c r="H1739" s="23" t="n">
        <v>14.64</v>
      </c>
      <c r="I1739" s="21" t="s">
        <v>45</v>
      </c>
      <c r="J1739" s="21" t="n">
        <v>5</v>
      </c>
      <c r="K1739" s="21" t="s">
        <v>46</v>
      </c>
      <c r="L1739" s="24" t="n">
        <f aca="false">DATE(YEAR(C1739),MONTH(C1739),1)</f>
        <v>43282</v>
      </c>
      <c r="M1739" s="21" t="n">
        <f aca="false">D1739-C1739</f>
        <v>7</v>
      </c>
      <c r="N1739" s="21" t="n">
        <f aca="false">MAX(0,D1739-E1739)</f>
        <v>0</v>
      </c>
      <c r="O1739" s="21" t="n">
        <f aca="false">IF(D1739&lt;=E1739,1,0)</f>
        <v>1</v>
      </c>
      <c r="P1739" s="23" t="n">
        <f aca="false">G1739+H1739</f>
        <v>168.32</v>
      </c>
      <c r="Q1739" s="23" t="n">
        <f aca="false">G1739*INDEX(Assumptions!$B$8:$B$16,MATCH(F1739,Assumptions!$A$8:$A$16,0))</f>
        <v>113.7232</v>
      </c>
      <c r="R1739" s="23" t="n">
        <f aca="false">H1739*Assumptions!$B$3</f>
        <v>8.784</v>
      </c>
      <c r="S1739" s="23" t="n">
        <f aca="false">G1739-Q1739-R1739</f>
        <v>31.1728</v>
      </c>
      <c r="T1739" s="21" t="str">
        <f aca="false">IF(M1739&lt;=7,"0-7 days",IF(M1739&lt;=14,"8-14 days",IF(M1739&lt;=21,"15-21 days","22+ days")))</f>
        <v>0-7 days</v>
      </c>
    </row>
    <row r="1740" customFormat="false" ht="15" hidden="false" customHeight="false" outlineLevel="0" collapsed="false">
      <c r="A1740" s="21" t="s">
        <v>1806</v>
      </c>
      <c r="B1740" s="21" t="s">
        <v>55</v>
      </c>
      <c r="C1740" s="22" t="n">
        <v>43300</v>
      </c>
      <c r="D1740" s="22" t="n">
        <v>43312</v>
      </c>
      <c r="E1740" s="22" t="n">
        <v>43324</v>
      </c>
      <c r="F1740" s="21" t="s">
        <v>59</v>
      </c>
      <c r="G1740" s="23" t="n">
        <v>59</v>
      </c>
      <c r="H1740" s="23" t="n">
        <v>27.12</v>
      </c>
      <c r="I1740" s="21" t="s">
        <v>45</v>
      </c>
      <c r="J1740" s="21" t="n">
        <v>5</v>
      </c>
      <c r="K1740" s="21" t="s">
        <v>46</v>
      </c>
      <c r="L1740" s="24" t="n">
        <f aca="false">DATE(YEAR(C1740),MONTH(C1740),1)</f>
        <v>43282</v>
      </c>
      <c r="M1740" s="21" t="n">
        <f aca="false">D1740-C1740</f>
        <v>12</v>
      </c>
      <c r="N1740" s="21" t="n">
        <f aca="false">MAX(0,D1740-E1740)</f>
        <v>0</v>
      </c>
      <c r="O1740" s="21" t="n">
        <f aca="false">IF(D1740&lt;=E1740,1,0)</f>
        <v>1</v>
      </c>
      <c r="P1740" s="23" t="n">
        <f aca="false">G1740+H1740</f>
        <v>86.12</v>
      </c>
      <c r="Q1740" s="23" t="n">
        <f aca="false">G1740*INDEX(Assumptions!$B$8:$B$16,MATCH(F1740,Assumptions!$A$8:$A$16,0))</f>
        <v>37.76</v>
      </c>
      <c r="R1740" s="23" t="n">
        <f aca="false">H1740*Assumptions!$B$3</f>
        <v>16.272</v>
      </c>
      <c r="S1740" s="23" t="n">
        <f aca="false">G1740-Q1740-R1740</f>
        <v>4.968</v>
      </c>
      <c r="T1740" s="21" t="str">
        <f aca="false">IF(M1740&lt;=7,"0-7 days",IF(M1740&lt;=14,"8-14 days",IF(M1740&lt;=21,"15-21 days","22+ days")))</f>
        <v>8-14 days</v>
      </c>
    </row>
    <row r="1741" customFormat="false" ht="15" hidden="false" customHeight="false" outlineLevel="0" collapsed="false">
      <c r="A1741" s="21" t="s">
        <v>1807</v>
      </c>
      <c r="B1741" s="21" t="s">
        <v>19</v>
      </c>
      <c r="C1741" s="22" t="n">
        <v>43300</v>
      </c>
      <c r="D1741" s="22" t="n">
        <v>43308</v>
      </c>
      <c r="E1741" s="22" t="n">
        <v>43312</v>
      </c>
      <c r="F1741" s="21" t="s">
        <v>64</v>
      </c>
      <c r="G1741" s="23" t="n">
        <v>151.51</v>
      </c>
      <c r="H1741" s="23" t="n">
        <v>24</v>
      </c>
      <c r="I1741" s="21" t="s">
        <v>60</v>
      </c>
      <c r="J1741" s="21" t="n">
        <v>5</v>
      </c>
      <c r="K1741" s="21" t="s">
        <v>46</v>
      </c>
      <c r="L1741" s="24" t="n">
        <f aca="false">DATE(YEAR(C1741),MONTH(C1741),1)</f>
        <v>43282</v>
      </c>
      <c r="M1741" s="21" t="n">
        <f aca="false">D1741-C1741</f>
        <v>8</v>
      </c>
      <c r="N1741" s="21" t="n">
        <f aca="false">MAX(0,D1741-E1741)</f>
        <v>0</v>
      </c>
      <c r="O1741" s="21" t="n">
        <f aca="false">IF(D1741&lt;=E1741,1,0)</f>
        <v>1</v>
      </c>
      <c r="P1741" s="23" t="n">
        <f aca="false">G1741+H1741</f>
        <v>175.51</v>
      </c>
      <c r="Q1741" s="23" t="n">
        <f aca="false">G1741*INDEX(Assumptions!$B$8:$B$16,MATCH(F1741,Assumptions!$A$8:$A$16,0))</f>
        <v>99.9966</v>
      </c>
      <c r="R1741" s="23" t="n">
        <f aca="false">H1741*Assumptions!$B$3</f>
        <v>14.4</v>
      </c>
      <c r="S1741" s="23" t="n">
        <f aca="false">G1741-Q1741-R1741</f>
        <v>37.1134</v>
      </c>
      <c r="T1741" s="21" t="str">
        <f aca="false">IF(M1741&lt;=7,"0-7 days",IF(M1741&lt;=14,"8-14 days",IF(M1741&lt;=21,"15-21 days","22+ days")))</f>
        <v>8-14 days</v>
      </c>
    </row>
    <row r="1742" customFormat="false" ht="15" hidden="false" customHeight="false" outlineLevel="0" collapsed="false">
      <c r="A1742" s="21" t="s">
        <v>1808</v>
      </c>
      <c r="B1742" s="21" t="s">
        <v>19</v>
      </c>
      <c r="C1742" s="22" t="n">
        <v>43300</v>
      </c>
      <c r="D1742" s="22" t="n">
        <v>43308</v>
      </c>
      <c r="E1742" s="22" t="n">
        <v>43313</v>
      </c>
      <c r="F1742" s="21" t="s">
        <v>49</v>
      </c>
      <c r="G1742" s="23" t="n">
        <v>22.44</v>
      </c>
      <c r="H1742" s="23" t="n">
        <v>12.97</v>
      </c>
      <c r="I1742" s="21" t="s">
        <v>45</v>
      </c>
      <c r="J1742" s="21" t="n">
        <v>4</v>
      </c>
      <c r="K1742" s="21" t="s">
        <v>46</v>
      </c>
      <c r="L1742" s="24" t="n">
        <f aca="false">DATE(YEAR(C1742),MONTH(C1742),1)</f>
        <v>43282</v>
      </c>
      <c r="M1742" s="21" t="n">
        <f aca="false">D1742-C1742</f>
        <v>8</v>
      </c>
      <c r="N1742" s="21" t="n">
        <f aca="false">MAX(0,D1742-E1742)</f>
        <v>0</v>
      </c>
      <c r="O1742" s="21" t="n">
        <f aca="false">IF(D1742&lt;=E1742,1,0)</f>
        <v>1</v>
      </c>
      <c r="P1742" s="23" t="n">
        <f aca="false">G1742+H1742</f>
        <v>35.41</v>
      </c>
      <c r="Q1742" s="23" t="n">
        <f aca="false">G1742*INDEX(Assumptions!$B$8:$B$16,MATCH(F1742,Assumptions!$A$8:$A$16,0))</f>
        <v>13.0152</v>
      </c>
      <c r="R1742" s="23" t="n">
        <f aca="false">H1742*Assumptions!$B$3</f>
        <v>7.782</v>
      </c>
      <c r="S1742" s="23" t="n">
        <f aca="false">G1742-Q1742-R1742</f>
        <v>1.6428</v>
      </c>
      <c r="T1742" s="21" t="str">
        <f aca="false">IF(M1742&lt;=7,"0-7 days",IF(M1742&lt;=14,"8-14 days",IF(M1742&lt;=21,"15-21 days","22+ days")))</f>
        <v>8-14 days</v>
      </c>
    </row>
    <row r="1743" customFormat="false" ht="15" hidden="false" customHeight="false" outlineLevel="0" collapsed="false">
      <c r="A1743" s="21" t="s">
        <v>1809</v>
      </c>
      <c r="B1743" s="21" t="s">
        <v>19</v>
      </c>
      <c r="C1743" s="22" t="n">
        <v>43300</v>
      </c>
      <c r="D1743" s="22" t="n">
        <v>43308</v>
      </c>
      <c r="E1743" s="22" t="n">
        <v>43319</v>
      </c>
      <c r="F1743" s="21" t="s">
        <v>64</v>
      </c>
      <c r="G1743" s="23" t="n">
        <v>283.44</v>
      </c>
      <c r="H1743" s="23" t="n">
        <v>16.39</v>
      </c>
      <c r="I1743" s="21" t="s">
        <v>45</v>
      </c>
      <c r="J1743" s="21" t="n">
        <v>5</v>
      </c>
      <c r="K1743" s="21" t="s">
        <v>46</v>
      </c>
      <c r="L1743" s="24" t="n">
        <f aca="false">DATE(YEAR(C1743),MONTH(C1743),1)</f>
        <v>43282</v>
      </c>
      <c r="M1743" s="21" t="n">
        <f aca="false">D1743-C1743</f>
        <v>8</v>
      </c>
      <c r="N1743" s="21" t="n">
        <f aca="false">MAX(0,D1743-E1743)</f>
        <v>0</v>
      </c>
      <c r="O1743" s="21" t="n">
        <f aca="false">IF(D1743&lt;=E1743,1,0)</f>
        <v>1</v>
      </c>
      <c r="P1743" s="23" t="n">
        <f aca="false">G1743+H1743</f>
        <v>299.83</v>
      </c>
      <c r="Q1743" s="23" t="n">
        <f aca="false">G1743*INDEX(Assumptions!$B$8:$B$16,MATCH(F1743,Assumptions!$A$8:$A$16,0))</f>
        <v>187.0704</v>
      </c>
      <c r="R1743" s="23" t="n">
        <f aca="false">H1743*Assumptions!$B$3</f>
        <v>9.834</v>
      </c>
      <c r="S1743" s="23" t="n">
        <f aca="false">G1743-Q1743-R1743</f>
        <v>86.5356</v>
      </c>
      <c r="T1743" s="21" t="str">
        <f aca="false">IF(M1743&lt;=7,"0-7 days",IF(M1743&lt;=14,"8-14 days",IF(M1743&lt;=21,"15-21 days","22+ days")))</f>
        <v>8-14 days</v>
      </c>
    </row>
    <row r="1744" customFormat="false" ht="15" hidden="false" customHeight="false" outlineLevel="0" collapsed="false">
      <c r="A1744" s="21" t="s">
        <v>1810</v>
      </c>
      <c r="B1744" s="21" t="s">
        <v>19</v>
      </c>
      <c r="C1744" s="22" t="n">
        <v>43300</v>
      </c>
      <c r="D1744" s="22" t="n">
        <v>43308</v>
      </c>
      <c r="E1744" s="22" t="n">
        <v>43315</v>
      </c>
      <c r="F1744" s="21" t="s">
        <v>53</v>
      </c>
      <c r="G1744" s="23" t="n">
        <v>199.52</v>
      </c>
      <c r="H1744" s="23" t="n">
        <v>16.34</v>
      </c>
      <c r="I1744" s="21" t="s">
        <v>60</v>
      </c>
      <c r="J1744" s="21" t="n">
        <v>5</v>
      </c>
      <c r="K1744" s="21" t="s">
        <v>46</v>
      </c>
      <c r="L1744" s="24" t="n">
        <f aca="false">DATE(YEAR(C1744),MONTH(C1744),1)</f>
        <v>43282</v>
      </c>
      <c r="M1744" s="21" t="n">
        <f aca="false">D1744-C1744</f>
        <v>8</v>
      </c>
      <c r="N1744" s="21" t="n">
        <f aca="false">MAX(0,D1744-E1744)</f>
        <v>0</v>
      </c>
      <c r="O1744" s="21" t="n">
        <f aca="false">IF(D1744&lt;=E1744,1,0)</f>
        <v>1</v>
      </c>
      <c r="P1744" s="23" t="n">
        <f aca="false">G1744+H1744</f>
        <v>215.86</v>
      </c>
      <c r="Q1744" s="23" t="n">
        <f aca="false">G1744*INDEX(Assumptions!$B$8:$B$16,MATCH(F1744,Assumptions!$A$8:$A$16,0))</f>
        <v>147.6448</v>
      </c>
      <c r="R1744" s="23" t="n">
        <f aca="false">H1744*Assumptions!$B$3</f>
        <v>9.804</v>
      </c>
      <c r="S1744" s="23" t="n">
        <f aca="false">G1744-Q1744-R1744</f>
        <v>42.0712</v>
      </c>
      <c r="T1744" s="21" t="str">
        <f aca="false">IF(M1744&lt;=7,"0-7 days",IF(M1744&lt;=14,"8-14 days",IF(M1744&lt;=21,"15-21 days","22+ days")))</f>
        <v>8-14 days</v>
      </c>
    </row>
    <row r="1745" customFormat="false" ht="15" hidden="false" customHeight="false" outlineLevel="0" collapsed="false">
      <c r="A1745" s="21" t="s">
        <v>1811</v>
      </c>
      <c r="B1745" s="21" t="s">
        <v>19</v>
      </c>
      <c r="C1745" s="22" t="n">
        <v>43301</v>
      </c>
      <c r="D1745" s="22" t="n">
        <v>43309</v>
      </c>
      <c r="E1745" s="22" t="n">
        <v>43317</v>
      </c>
      <c r="F1745" s="21" t="s">
        <v>49</v>
      </c>
      <c r="G1745" s="23" t="n">
        <v>235.01</v>
      </c>
      <c r="H1745" s="23" t="n">
        <v>19</v>
      </c>
      <c r="I1745" s="21" t="s">
        <v>45</v>
      </c>
      <c r="J1745" s="21" t="n">
        <v>4</v>
      </c>
      <c r="K1745" s="21" t="s">
        <v>46</v>
      </c>
      <c r="L1745" s="24" t="n">
        <f aca="false">DATE(YEAR(C1745),MONTH(C1745),1)</f>
        <v>43282</v>
      </c>
      <c r="M1745" s="21" t="n">
        <f aca="false">D1745-C1745</f>
        <v>8</v>
      </c>
      <c r="N1745" s="21" t="n">
        <f aca="false">MAX(0,D1745-E1745)</f>
        <v>0</v>
      </c>
      <c r="O1745" s="21" t="n">
        <f aca="false">IF(D1745&lt;=E1745,1,0)</f>
        <v>1</v>
      </c>
      <c r="P1745" s="23" t="n">
        <f aca="false">G1745+H1745</f>
        <v>254.01</v>
      </c>
      <c r="Q1745" s="23" t="n">
        <f aca="false">G1745*INDEX(Assumptions!$B$8:$B$16,MATCH(F1745,Assumptions!$A$8:$A$16,0))</f>
        <v>136.3058</v>
      </c>
      <c r="R1745" s="23" t="n">
        <f aca="false">H1745*Assumptions!$B$3</f>
        <v>11.4</v>
      </c>
      <c r="S1745" s="23" t="n">
        <f aca="false">G1745-Q1745-R1745</f>
        <v>87.3042</v>
      </c>
      <c r="T1745" s="21" t="str">
        <f aca="false">IF(M1745&lt;=7,"0-7 days",IF(M1745&lt;=14,"8-14 days",IF(M1745&lt;=21,"15-21 days","22+ days")))</f>
        <v>8-14 days</v>
      </c>
    </row>
    <row r="1746" customFormat="false" ht="15" hidden="false" customHeight="false" outlineLevel="0" collapsed="false">
      <c r="A1746" s="21" t="s">
        <v>1812</v>
      </c>
      <c r="B1746" s="21" t="s">
        <v>19</v>
      </c>
      <c r="C1746" s="22" t="n">
        <v>43301</v>
      </c>
      <c r="D1746" s="22" t="n">
        <v>43307</v>
      </c>
      <c r="E1746" s="22" t="n">
        <v>43318</v>
      </c>
      <c r="F1746" s="21" t="s">
        <v>59</v>
      </c>
      <c r="G1746" s="23" t="n">
        <v>149.03</v>
      </c>
      <c r="H1746" s="23" t="n">
        <v>18.6</v>
      </c>
      <c r="I1746" s="21" t="s">
        <v>45</v>
      </c>
      <c r="J1746" s="21" t="n">
        <v>5</v>
      </c>
      <c r="K1746" s="21" t="s">
        <v>46</v>
      </c>
      <c r="L1746" s="24" t="n">
        <f aca="false">DATE(YEAR(C1746),MONTH(C1746),1)</f>
        <v>43282</v>
      </c>
      <c r="M1746" s="21" t="n">
        <f aca="false">D1746-C1746</f>
        <v>6</v>
      </c>
      <c r="N1746" s="21" t="n">
        <f aca="false">MAX(0,D1746-E1746)</f>
        <v>0</v>
      </c>
      <c r="O1746" s="21" t="n">
        <f aca="false">IF(D1746&lt;=E1746,1,0)</f>
        <v>1</v>
      </c>
      <c r="P1746" s="23" t="n">
        <f aca="false">G1746+H1746</f>
        <v>167.63</v>
      </c>
      <c r="Q1746" s="23" t="n">
        <f aca="false">G1746*INDEX(Assumptions!$B$8:$B$16,MATCH(F1746,Assumptions!$A$8:$A$16,0))</f>
        <v>95.3792</v>
      </c>
      <c r="R1746" s="23" t="n">
        <f aca="false">H1746*Assumptions!$B$3</f>
        <v>11.16</v>
      </c>
      <c r="S1746" s="23" t="n">
        <f aca="false">G1746-Q1746-R1746</f>
        <v>42.4908</v>
      </c>
      <c r="T1746" s="21" t="str">
        <f aca="false">IF(M1746&lt;=7,"0-7 days",IF(M1746&lt;=14,"8-14 days",IF(M1746&lt;=21,"15-21 days","22+ days")))</f>
        <v>0-7 days</v>
      </c>
    </row>
    <row r="1747" customFormat="false" ht="15" hidden="false" customHeight="false" outlineLevel="0" collapsed="false">
      <c r="A1747" s="21" t="s">
        <v>1813</v>
      </c>
      <c r="B1747" s="21" t="s">
        <v>52</v>
      </c>
      <c r="C1747" s="22" t="n">
        <v>43301</v>
      </c>
      <c r="D1747" s="22" t="n">
        <v>43315</v>
      </c>
      <c r="E1747" s="22" t="n">
        <v>43324</v>
      </c>
      <c r="F1747" s="21" t="s">
        <v>53</v>
      </c>
      <c r="G1747" s="23" t="n">
        <v>92.36</v>
      </c>
      <c r="H1747" s="23" t="n">
        <v>20.8</v>
      </c>
      <c r="I1747" s="21" t="s">
        <v>45</v>
      </c>
      <c r="J1747" s="21" t="n">
        <v>4</v>
      </c>
      <c r="K1747" s="21" t="s">
        <v>46</v>
      </c>
      <c r="L1747" s="24" t="n">
        <f aca="false">DATE(YEAR(C1747),MONTH(C1747),1)</f>
        <v>43282</v>
      </c>
      <c r="M1747" s="21" t="n">
        <f aca="false">D1747-C1747</f>
        <v>14</v>
      </c>
      <c r="N1747" s="21" t="n">
        <f aca="false">MAX(0,D1747-E1747)</f>
        <v>0</v>
      </c>
      <c r="O1747" s="21" t="n">
        <f aca="false">IF(D1747&lt;=E1747,1,0)</f>
        <v>1</v>
      </c>
      <c r="P1747" s="23" t="n">
        <f aca="false">G1747+H1747</f>
        <v>113.16</v>
      </c>
      <c r="Q1747" s="23" t="n">
        <f aca="false">G1747*INDEX(Assumptions!$B$8:$B$16,MATCH(F1747,Assumptions!$A$8:$A$16,0))</f>
        <v>68.3464</v>
      </c>
      <c r="R1747" s="23" t="n">
        <f aca="false">H1747*Assumptions!$B$3</f>
        <v>12.48</v>
      </c>
      <c r="S1747" s="23" t="n">
        <f aca="false">G1747-Q1747-R1747</f>
        <v>11.5336</v>
      </c>
      <c r="T1747" s="21" t="str">
        <f aca="false">IF(M1747&lt;=7,"0-7 days",IF(M1747&lt;=14,"8-14 days",IF(M1747&lt;=21,"15-21 days","22+ days")))</f>
        <v>8-14 days</v>
      </c>
    </row>
    <row r="1748" customFormat="false" ht="15" hidden="false" customHeight="false" outlineLevel="0" collapsed="false">
      <c r="A1748" s="21" t="s">
        <v>1814</v>
      </c>
      <c r="B1748" s="21" t="s">
        <v>62</v>
      </c>
      <c r="C1748" s="22" t="n">
        <v>43302</v>
      </c>
      <c r="D1748" s="22" t="n">
        <v>43309</v>
      </c>
      <c r="E1748" s="22" t="n">
        <v>43326</v>
      </c>
      <c r="F1748" s="21" t="s">
        <v>59</v>
      </c>
      <c r="G1748" s="23" t="n">
        <v>77.4</v>
      </c>
      <c r="H1748" s="23" t="n">
        <v>26.56</v>
      </c>
      <c r="I1748" s="21" t="s">
        <v>45</v>
      </c>
      <c r="J1748" s="21" t="n">
        <v>5</v>
      </c>
      <c r="K1748" s="21" t="s">
        <v>46</v>
      </c>
      <c r="L1748" s="24" t="n">
        <f aca="false">DATE(YEAR(C1748),MONTH(C1748),1)</f>
        <v>43282</v>
      </c>
      <c r="M1748" s="21" t="n">
        <f aca="false">D1748-C1748</f>
        <v>7</v>
      </c>
      <c r="N1748" s="21" t="n">
        <f aca="false">MAX(0,D1748-E1748)</f>
        <v>0</v>
      </c>
      <c r="O1748" s="21" t="n">
        <f aca="false">IF(D1748&lt;=E1748,1,0)</f>
        <v>1</v>
      </c>
      <c r="P1748" s="23" t="n">
        <f aca="false">G1748+H1748</f>
        <v>103.96</v>
      </c>
      <c r="Q1748" s="23" t="n">
        <f aca="false">G1748*INDEX(Assumptions!$B$8:$B$16,MATCH(F1748,Assumptions!$A$8:$A$16,0))</f>
        <v>49.536</v>
      </c>
      <c r="R1748" s="23" t="n">
        <f aca="false">H1748*Assumptions!$B$3</f>
        <v>15.936</v>
      </c>
      <c r="S1748" s="23" t="n">
        <f aca="false">G1748-Q1748-R1748</f>
        <v>11.928</v>
      </c>
      <c r="T1748" s="21" t="str">
        <f aca="false">IF(M1748&lt;=7,"0-7 days",IF(M1748&lt;=14,"8-14 days",IF(M1748&lt;=21,"15-21 days","22+ days")))</f>
        <v>0-7 days</v>
      </c>
    </row>
    <row r="1749" customFormat="false" ht="15" hidden="false" customHeight="false" outlineLevel="0" collapsed="false">
      <c r="A1749" s="21" t="s">
        <v>1815</v>
      </c>
      <c r="B1749" s="21" t="s">
        <v>19</v>
      </c>
      <c r="C1749" s="22" t="n">
        <v>43302</v>
      </c>
      <c r="D1749" s="22" t="n">
        <v>43314</v>
      </c>
      <c r="E1749" s="22" t="n">
        <v>43318</v>
      </c>
      <c r="F1749" s="21" t="s">
        <v>79</v>
      </c>
      <c r="G1749" s="23" t="n">
        <v>97.1</v>
      </c>
      <c r="H1749" s="23" t="n">
        <v>13.22</v>
      </c>
      <c r="I1749" s="21" t="s">
        <v>45</v>
      </c>
      <c r="J1749" s="21" t="n">
        <v>4</v>
      </c>
      <c r="K1749" s="21" t="s">
        <v>46</v>
      </c>
      <c r="L1749" s="24" t="n">
        <f aca="false">DATE(YEAR(C1749),MONTH(C1749),1)</f>
        <v>43282</v>
      </c>
      <c r="M1749" s="21" t="n">
        <f aca="false">D1749-C1749</f>
        <v>12</v>
      </c>
      <c r="N1749" s="21" t="n">
        <f aca="false">MAX(0,D1749-E1749)</f>
        <v>0</v>
      </c>
      <c r="O1749" s="21" t="n">
        <f aca="false">IF(D1749&lt;=E1749,1,0)</f>
        <v>1</v>
      </c>
      <c r="P1749" s="23" t="n">
        <f aca="false">G1749+H1749</f>
        <v>110.32</v>
      </c>
      <c r="Q1749" s="23" t="n">
        <f aca="false">G1749*INDEX(Assumptions!$B$8:$B$16,MATCH(F1749,Assumptions!$A$8:$A$16,0))</f>
        <v>67.97</v>
      </c>
      <c r="R1749" s="23" t="n">
        <f aca="false">H1749*Assumptions!$B$3</f>
        <v>7.932</v>
      </c>
      <c r="S1749" s="23" t="n">
        <f aca="false">G1749-Q1749-R1749</f>
        <v>21.198</v>
      </c>
      <c r="T1749" s="21" t="str">
        <f aca="false">IF(M1749&lt;=7,"0-7 days",IF(M1749&lt;=14,"8-14 days",IF(M1749&lt;=21,"15-21 days","22+ days")))</f>
        <v>8-14 days</v>
      </c>
    </row>
    <row r="1750" customFormat="false" ht="15" hidden="false" customHeight="false" outlineLevel="0" collapsed="false">
      <c r="A1750" s="21" t="s">
        <v>1816</v>
      </c>
      <c r="B1750" s="21" t="s">
        <v>19</v>
      </c>
      <c r="C1750" s="22" t="n">
        <v>43302</v>
      </c>
      <c r="D1750" s="22" t="n">
        <v>43311</v>
      </c>
      <c r="E1750" s="22" t="n">
        <v>43319</v>
      </c>
      <c r="F1750" s="21" t="s">
        <v>59</v>
      </c>
      <c r="G1750" s="23" t="n">
        <v>391.97</v>
      </c>
      <c r="H1750" s="23" t="n">
        <v>23.76</v>
      </c>
      <c r="I1750" s="21" t="s">
        <v>60</v>
      </c>
      <c r="J1750" s="21" t="n">
        <v>3</v>
      </c>
      <c r="K1750" s="21" t="s">
        <v>46</v>
      </c>
      <c r="L1750" s="24" t="n">
        <f aca="false">DATE(YEAR(C1750),MONTH(C1750),1)</f>
        <v>43282</v>
      </c>
      <c r="M1750" s="21" t="n">
        <f aca="false">D1750-C1750</f>
        <v>9</v>
      </c>
      <c r="N1750" s="21" t="n">
        <f aca="false">MAX(0,D1750-E1750)</f>
        <v>0</v>
      </c>
      <c r="O1750" s="21" t="n">
        <f aca="false">IF(D1750&lt;=E1750,1,0)</f>
        <v>1</v>
      </c>
      <c r="P1750" s="23" t="n">
        <f aca="false">G1750+H1750</f>
        <v>415.73</v>
      </c>
      <c r="Q1750" s="23" t="n">
        <f aca="false">G1750*INDEX(Assumptions!$B$8:$B$16,MATCH(F1750,Assumptions!$A$8:$A$16,0))</f>
        <v>250.8608</v>
      </c>
      <c r="R1750" s="23" t="n">
        <f aca="false">H1750*Assumptions!$B$3</f>
        <v>14.256</v>
      </c>
      <c r="S1750" s="23" t="n">
        <f aca="false">G1750-Q1750-R1750</f>
        <v>126.8532</v>
      </c>
      <c r="T1750" s="21" t="str">
        <f aca="false">IF(M1750&lt;=7,"0-7 days",IF(M1750&lt;=14,"8-14 days",IF(M1750&lt;=21,"15-21 days","22+ days")))</f>
        <v>8-14 days</v>
      </c>
    </row>
    <row r="1751" customFormat="false" ht="15" hidden="false" customHeight="false" outlineLevel="0" collapsed="false">
      <c r="A1751" s="21" t="s">
        <v>1817</v>
      </c>
      <c r="B1751" s="21" t="s">
        <v>19</v>
      </c>
      <c r="C1751" s="22" t="n">
        <v>43302</v>
      </c>
      <c r="D1751" s="22" t="n">
        <v>43309</v>
      </c>
      <c r="E1751" s="22" t="n">
        <v>43316</v>
      </c>
      <c r="F1751" s="21" t="s">
        <v>64</v>
      </c>
      <c r="G1751" s="23" t="n">
        <v>152.05</v>
      </c>
      <c r="H1751" s="23" t="n">
        <v>20.58</v>
      </c>
      <c r="I1751" s="21" t="s">
        <v>45</v>
      </c>
      <c r="J1751" s="21" t="n">
        <v>5</v>
      </c>
      <c r="K1751" s="21" t="s">
        <v>46</v>
      </c>
      <c r="L1751" s="24" t="n">
        <f aca="false">DATE(YEAR(C1751),MONTH(C1751),1)</f>
        <v>43282</v>
      </c>
      <c r="M1751" s="21" t="n">
        <f aca="false">D1751-C1751</f>
        <v>7</v>
      </c>
      <c r="N1751" s="21" t="n">
        <f aca="false">MAX(0,D1751-E1751)</f>
        <v>0</v>
      </c>
      <c r="O1751" s="21" t="n">
        <f aca="false">IF(D1751&lt;=E1751,1,0)</f>
        <v>1</v>
      </c>
      <c r="P1751" s="23" t="n">
        <f aca="false">G1751+H1751</f>
        <v>172.63</v>
      </c>
      <c r="Q1751" s="23" t="n">
        <f aca="false">G1751*INDEX(Assumptions!$B$8:$B$16,MATCH(F1751,Assumptions!$A$8:$A$16,0))</f>
        <v>100.353</v>
      </c>
      <c r="R1751" s="23" t="n">
        <f aca="false">H1751*Assumptions!$B$3</f>
        <v>12.348</v>
      </c>
      <c r="S1751" s="23" t="n">
        <f aca="false">G1751-Q1751-R1751</f>
        <v>39.349</v>
      </c>
      <c r="T1751" s="21" t="str">
        <f aca="false">IF(M1751&lt;=7,"0-7 days",IF(M1751&lt;=14,"8-14 days",IF(M1751&lt;=21,"15-21 days","22+ days")))</f>
        <v>0-7 days</v>
      </c>
    </row>
    <row r="1752" customFormat="false" ht="15" hidden="false" customHeight="false" outlineLevel="0" collapsed="false">
      <c r="A1752" s="21" t="s">
        <v>1818</v>
      </c>
      <c r="B1752" s="21" t="s">
        <v>19</v>
      </c>
      <c r="C1752" s="22" t="n">
        <v>43302</v>
      </c>
      <c r="D1752" s="22" t="n">
        <v>43308</v>
      </c>
      <c r="E1752" s="22" t="n">
        <v>43321</v>
      </c>
      <c r="F1752" s="21" t="s">
        <v>49</v>
      </c>
      <c r="G1752" s="23" t="n">
        <v>141.99</v>
      </c>
      <c r="H1752" s="23" t="n">
        <v>21.51</v>
      </c>
      <c r="I1752" s="21" t="s">
        <v>50</v>
      </c>
      <c r="J1752" s="21" t="n">
        <v>4</v>
      </c>
      <c r="K1752" s="21" t="s">
        <v>46</v>
      </c>
      <c r="L1752" s="24" t="n">
        <f aca="false">DATE(YEAR(C1752),MONTH(C1752),1)</f>
        <v>43282</v>
      </c>
      <c r="M1752" s="21" t="n">
        <f aca="false">D1752-C1752</f>
        <v>6</v>
      </c>
      <c r="N1752" s="21" t="n">
        <f aca="false">MAX(0,D1752-E1752)</f>
        <v>0</v>
      </c>
      <c r="O1752" s="21" t="n">
        <f aca="false">IF(D1752&lt;=E1752,1,0)</f>
        <v>1</v>
      </c>
      <c r="P1752" s="23" t="n">
        <f aca="false">G1752+H1752</f>
        <v>163.5</v>
      </c>
      <c r="Q1752" s="23" t="n">
        <f aca="false">G1752*INDEX(Assumptions!$B$8:$B$16,MATCH(F1752,Assumptions!$A$8:$A$16,0))</f>
        <v>82.3542</v>
      </c>
      <c r="R1752" s="23" t="n">
        <f aca="false">H1752*Assumptions!$B$3</f>
        <v>12.906</v>
      </c>
      <c r="S1752" s="23" t="n">
        <f aca="false">G1752-Q1752-R1752</f>
        <v>46.7298</v>
      </c>
      <c r="T1752" s="21" t="str">
        <f aca="false">IF(M1752&lt;=7,"0-7 days",IF(M1752&lt;=14,"8-14 days",IF(M1752&lt;=21,"15-21 days","22+ days")))</f>
        <v>0-7 days</v>
      </c>
    </row>
    <row r="1753" customFormat="false" ht="15" hidden="false" customHeight="false" outlineLevel="0" collapsed="false">
      <c r="A1753" s="21" t="s">
        <v>1819</v>
      </c>
      <c r="B1753" s="21" t="s">
        <v>93</v>
      </c>
      <c r="C1753" s="22" t="n">
        <v>43302</v>
      </c>
      <c r="D1753" s="22" t="n">
        <v>43313</v>
      </c>
      <c r="E1753" s="22" t="n">
        <v>43327</v>
      </c>
      <c r="F1753" s="21" t="s">
        <v>44</v>
      </c>
      <c r="G1753" s="23" t="n">
        <v>25.84</v>
      </c>
      <c r="H1753" s="23" t="n">
        <v>25.65</v>
      </c>
      <c r="I1753" s="21" t="s">
        <v>45</v>
      </c>
      <c r="J1753" s="21" t="n">
        <v>4</v>
      </c>
      <c r="K1753" s="21" t="s">
        <v>46</v>
      </c>
      <c r="L1753" s="24" t="n">
        <f aca="false">DATE(YEAR(C1753),MONTH(C1753),1)</f>
        <v>43282</v>
      </c>
      <c r="M1753" s="21" t="n">
        <f aca="false">D1753-C1753</f>
        <v>11</v>
      </c>
      <c r="N1753" s="21" t="n">
        <f aca="false">MAX(0,D1753-E1753)</f>
        <v>0</v>
      </c>
      <c r="O1753" s="21" t="n">
        <f aca="false">IF(D1753&lt;=E1753,1,0)</f>
        <v>1</v>
      </c>
      <c r="P1753" s="23" t="n">
        <f aca="false">G1753+H1753</f>
        <v>51.49</v>
      </c>
      <c r="Q1753" s="23" t="n">
        <f aca="false">G1753*INDEX(Assumptions!$B$8:$B$16,MATCH(F1753,Assumptions!$A$8:$A$16,0))</f>
        <v>15.504</v>
      </c>
      <c r="R1753" s="23" t="n">
        <f aca="false">H1753*Assumptions!$B$3</f>
        <v>15.39</v>
      </c>
      <c r="S1753" s="23" t="n">
        <f aca="false">G1753-Q1753-R1753</f>
        <v>-5.054</v>
      </c>
      <c r="T1753" s="21" t="str">
        <f aca="false">IF(M1753&lt;=7,"0-7 days",IF(M1753&lt;=14,"8-14 days",IF(M1753&lt;=21,"15-21 days","22+ days")))</f>
        <v>8-14 days</v>
      </c>
    </row>
    <row r="1754" customFormat="false" ht="15" hidden="false" customHeight="false" outlineLevel="0" collapsed="false">
      <c r="A1754" s="21" t="s">
        <v>1820</v>
      </c>
      <c r="B1754" s="21" t="s">
        <v>134</v>
      </c>
      <c r="C1754" s="22" t="n">
        <v>43303</v>
      </c>
      <c r="D1754" s="22" t="n">
        <v>43314</v>
      </c>
      <c r="E1754" s="22" t="n">
        <v>43326</v>
      </c>
      <c r="F1754" s="21" t="s">
        <v>64</v>
      </c>
      <c r="G1754" s="23" t="n">
        <v>112.39</v>
      </c>
      <c r="H1754" s="23" t="n">
        <v>29.06</v>
      </c>
      <c r="I1754" s="21" t="s">
        <v>60</v>
      </c>
      <c r="J1754" s="21" t="n">
        <v>5</v>
      </c>
      <c r="K1754" s="21" t="s">
        <v>46</v>
      </c>
      <c r="L1754" s="24" t="n">
        <f aca="false">DATE(YEAR(C1754),MONTH(C1754),1)</f>
        <v>43282</v>
      </c>
      <c r="M1754" s="21" t="n">
        <f aca="false">D1754-C1754</f>
        <v>11</v>
      </c>
      <c r="N1754" s="21" t="n">
        <f aca="false">MAX(0,D1754-E1754)</f>
        <v>0</v>
      </c>
      <c r="O1754" s="21" t="n">
        <f aca="false">IF(D1754&lt;=E1754,1,0)</f>
        <v>1</v>
      </c>
      <c r="P1754" s="23" t="n">
        <f aca="false">G1754+H1754</f>
        <v>141.45</v>
      </c>
      <c r="Q1754" s="23" t="n">
        <f aca="false">G1754*INDEX(Assumptions!$B$8:$B$16,MATCH(F1754,Assumptions!$A$8:$A$16,0))</f>
        <v>74.1774</v>
      </c>
      <c r="R1754" s="23" t="n">
        <f aca="false">H1754*Assumptions!$B$3</f>
        <v>17.436</v>
      </c>
      <c r="S1754" s="23" t="n">
        <f aca="false">G1754-Q1754-R1754</f>
        <v>20.7766</v>
      </c>
      <c r="T1754" s="21" t="str">
        <f aca="false">IF(M1754&lt;=7,"0-7 days",IF(M1754&lt;=14,"8-14 days",IF(M1754&lt;=21,"15-21 days","22+ days")))</f>
        <v>8-14 days</v>
      </c>
    </row>
    <row r="1755" customFormat="false" ht="15" hidden="false" customHeight="false" outlineLevel="0" collapsed="false">
      <c r="A1755" s="21" t="s">
        <v>1821</v>
      </c>
      <c r="B1755" s="21" t="s">
        <v>174</v>
      </c>
      <c r="C1755" s="22" t="n">
        <v>43303</v>
      </c>
      <c r="D1755" s="22" t="n">
        <v>43338</v>
      </c>
      <c r="E1755" s="22" t="n">
        <v>43338</v>
      </c>
      <c r="F1755" s="21" t="s">
        <v>64</v>
      </c>
      <c r="G1755" s="23" t="n">
        <v>157.18</v>
      </c>
      <c r="H1755" s="23" t="n">
        <v>28.31</v>
      </c>
      <c r="I1755" s="21" t="s">
        <v>45</v>
      </c>
      <c r="J1755" s="21" t="n">
        <v>4</v>
      </c>
      <c r="K1755" s="21" t="s">
        <v>46</v>
      </c>
      <c r="L1755" s="24" t="n">
        <f aca="false">DATE(YEAR(C1755),MONTH(C1755),1)</f>
        <v>43282</v>
      </c>
      <c r="M1755" s="21" t="n">
        <f aca="false">D1755-C1755</f>
        <v>35</v>
      </c>
      <c r="N1755" s="21" t="n">
        <f aca="false">MAX(0,D1755-E1755)</f>
        <v>0</v>
      </c>
      <c r="O1755" s="21" t="n">
        <f aca="false">IF(D1755&lt;=E1755,1,0)</f>
        <v>1</v>
      </c>
      <c r="P1755" s="23" t="n">
        <f aca="false">G1755+H1755</f>
        <v>185.49</v>
      </c>
      <c r="Q1755" s="23" t="n">
        <f aca="false">G1755*INDEX(Assumptions!$B$8:$B$16,MATCH(F1755,Assumptions!$A$8:$A$16,0))</f>
        <v>103.7388</v>
      </c>
      <c r="R1755" s="23" t="n">
        <f aca="false">H1755*Assumptions!$B$3</f>
        <v>16.986</v>
      </c>
      <c r="S1755" s="23" t="n">
        <f aca="false">G1755-Q1755-R1755</f>
        <v>36.4552</v>
      </c>
      <c r="T1755" s="21" t="str">
        <f aca="false">IF(M1755&lt;=7,"0-7 days",IF(M1755&lt;=14,"8-14 days",IF(M1755&lt;=21,"15-21 days","22+ days")))</f>
        <v>22+ days</v>
      </c>
    </row>
    <row r="1756" customFormat="false" ht="15" hidden="false" customHeight="false" outlineLevel="0" collapsed="false">
      <c r="A1756" s="21" t="s">
        <v>1822</v>
      </c>
      <c r="B1756" s="21" t="s">
        <v>134</v>
      </c>
      <c r="C1756" s="22" t="n">
        <v>43303</v>
      </c>
      <c r="D1756" s="22" t="n">
        <v>43316</v>
      </c>
      <c r="E1756" s="22" t="n">
        <v>43325</v>
      </c>
      <c r="F1756" s="21" t="s">
        <v>79</v>
      </c>
      <c r="G1756" s="23" t="n">
        <v>67.17</v>
      </c>
      <c r="H1756" s="23" t="n">
        <v>17.75</v>
      </c>
      <c r="I1756" s="21" t="s">
        <v>45</v>
      </c>
      <c r="J1756" s="21" t="n">
        <v>5</v>
      </c>
      <c r="K1756" s="21" t="s">
        <v>46</v>
      </c>
      <c r="L1756" s="24" t="n">
        <f aca="false">DATE(YEAR(C1756),MONTH(C1756),1)</f>
        <v>43282</v>
      </c>
      <c r="M1756" s="21" t="n">
        <f aca="false">D1756-C1756</f>
        <v>13</v>
      </c>
      <c r="N1756" s="21" t="n">
        <f aca="false">MAX(0,D1756-E1756)</f>
        <v>0</v>
      </c>
      <c r="O1756" s="21" t="n">
        <f aca="false">IF(D1756&lt;=E1756,1,0)</f>
        <v>1</v>
      </c>
      <c r="P1756" s="23" t="n">
        <f aca="false">G1756+H1756</f>
        <v>84.92</v>
      </c>
      <c r="Q1756" s="23" t="n">
        <f aca="false">G1756*INDEX(Assumptions!$B$8:$B$16,MATCH(F1756,Assumptions!$A$8:$A$16,0))</f>
        <v>47.019</v>
      </c>
      <c r="R1756" s="23" t="n">
        <f aca="false">H1756*Assumptions!$B$3</f>
        <v>10.65</v>
      </c>
      <c r="S1756" s="23" t="n">
        <f aca="false">G1756-Q1756-R1756</f>
        <v>9.501</v>
      </c>
      <c r="T1756" s="21" t="str">
        <f aca="false">IF(M1756&lt;=7,"0-7 days",IF(M1756&lt;=14,"8-14 days",IF(M1756&lt;=21,"15-21 days","22+ days")))</f>
        <v>8-14 days</v>
      </c>
    </row>
    <row r="1757" customFormat="false" ht="15" hidden="false" customHeight="false" outlineLevel="0" collapsed="false">
      <c r="A1757" s="21" t="s">
        <v>1823</v>
      </c>
      <c r="B1757" s="21" t="s">
        <v>19</v>
      </c>
      <c r="C1757" s="22" t="n">
        <v>43303</v>
      </c>
      <c r="D1757" s="22" t="n">
        <v>43310</v>
      </c>
      <c r="E1757" s="22" t="n">
        <v>43319</v>
      </c>
      <c r="F1757" s="21" t="s">
        <v>64</v>
      </c>
      <c r="G1757" s="23" t="n">
        <v>107.44</v>
      </c>
      <c r="H1757" s="23" t="n">
        <v>15.52</v>
      </c>
      <c r="I1757" s="21" t="s">
        <v>45</v>
      </c>
      <c r="J1757" s="21" t="n">
        <v>5</v>
      </c>
      <c r="K1757" s="21" t="s">
        <v>46</v>
      </c>
      <c r="L1757" s="24" t="n">
        <f aca="false">DATE(YEAR(C1757),MONTH(C1757),1)</f>
        <v>43282</v>
      </c>
      <c r="M1757" s="21" t="n">
        <f aca="false">D1757-C1757</f>
        <v>7</v>
      </c>
      <c r="N1757" s="21" t="n">
        <f aca="false">MAX(0,D1757-E1757)</f>
        <v>0</v>
      </c>
      <c r="O1757" s="21" t="n">
        <f aca="false">IF(D1757&lt;=E1757,1,0)</f>
        <v>1</v>
      </c>
      <c r="P1757" s="23" t="n">
        <f aca="false">G1757+H1757</f>
        <v>122.96</v>
      </c>
      <c r="Q1757" s="23" t="n">
        <f aca="false">G1757*INDEX(Assumptions!$B$8:$B$16,MATCH(F1757,Assumptions!$A$8:$A$16,0))</f>
        <v>70.9104</v>
      </c>
      <c r="R1757" s="23" t="n">
        <f aca="false">H1757*Assumptions!$B$3</f>
        <v>9.312</v>
      </c>
      <c r="S1757" s="23" t="n">
        <f aca="false">G1757-Q1757-R1757</f>
        <v>27.2176</v>
      </c>
      <c r="T1757" s="21" t="str">
        <f aca="false">IF(M1757&lt;=7,"0-7 days",IF(M1757&lt;=14,"8-14 days",IF(M1757&lt;=21,"15-21 days","22+ days")))</f>
        <v>0-7 days</v>
      </c>
    </row>
    <row r="1758" customFormat="false" ht="15" hidden="false" customHeight="false" outlineLevel="0" collapsed="false">
      <c r="A1758" s="21" t="s">
        <v>1824</v>
      </c>
      <c r="B1758" s="21" t="s">
        <v>19</v>
      </c>
      <c r="C1758" s="22" t="n">
        <v>43303</v>
      </c>
      <c r="D1758" s="22" t="n">
        <v>43307</v>
      </c>
      <c r="E1758" s="22" t="n">
        <v>43319</v>
      </c>
      <c r="F1758" s="21" t="s">
        <v>59</v>
      </c>
      <c r="G1758" s="23" t="n">
        <v>160.47</v>
      </c>
      <c r="H1758" s="23" t="n">
        <v>22.3</v>
      </c>
      <c r="I1758" s="21" t="s">
        <v>45</v>
      </c>
      <c r="J1758" s="21" t="n">
        <v>5</v>
      </c>
      <c r="K1758" s="21" t="s">
        <v>46</v>
      </c>
      <c r="L1758" s="24" t="n">
        <f aca="false">DATE(YEAR(C1758),MONTH(C1758),1)</f>
        <v>43282</v>
      </c>
      <c r="M1758" s="21" t="n">
        <f aca="false">D1758-C1758</f>
        <v>4</v>
      </c>
      <c r="N1758" s="21" t="n">
        <f aca="false">MAX(0,D1758-E1758)</f>
        <v>0</v>
      </c>
      <c r="O1758" s="21" t="n">
        <f aca="false">IF(D1758&lt;=E1758,1,0)</f>
        <v>1</v>
      </c>
      <c r="P1758" s="23" t="n">
        <f aca="false">G1758+H1758</f>
        <v>182.77</v>
      </c>
      <c r="Q1758" s="23" t="n">
        <f aca="false">G1758*INDEX(Assumptions!$B$8:$B$16,MATCH(F1758,Assumptions!$A$8:$A$16,0))</f>
        <v>102.7008</v>
      </c>
      <c r="R1758" s="23" t="n">
        <f aca="false">H1758*Assumptions!$B$3</f>
        <v>13.38</v>
      </c>
      <c r="S1758" s="23" t="n">
        <f aca="false">G1758-Q1758-R1758</f>
        <v>44.3892</v>
      </c>
      <c r="T1758" s="21" t="str">
        <f aca="false">IF(M1758&lt;=7,"0-7 days",IF(M1758&lt;=14,"8-14 days",IF(M1758&lt;=21,"15-21 days","22+ days")))</f>
        <v>0-7 days</v>
      </c>
    </row>
    <row r="1759" customFormat="false" ht="15" hidden="false" customHeight="false" outlineLevel="0" collapsed="false">
      <c r="A1759" s="21" t="s">
        <v>1825</v>
      </c>
      <c r="B1759" s="21" t="s">
        <v>62</v>
      </c>
      <c r="C1759" s="22" t="n">
        <v>43303</v>
      </c>
      <c r="D1759" s="22" t="n">
        <v>43317</v>
      </c>
      <c r="E1759" s="22" t="n">
        <v>43323</v>
      </c>
      <c r="F1759" s="21" t="s">
        <v>53</v>
      </c>
      <c r="G1759" s="23" t="n">
        <v>85.07</v>
      </c>
      <c r="H1759" s="23" t="n">
        <v>27.39</v>
      </c>
      <c r="I1759" s="21" t="s">
        <v>45</v>
      </c>
      <c r="J1759" s="21" t="n">
        <v>5</v>
      </c>
      <c r="K1759" s="21" t="s">
        <v>46</v>
      </c>
      <c r="L1759" s="24" t="n">
        <f aca="false">DATE(YEAR(C1759),MONTH(C1759),1)</f>
        <v>43282</v>
      </c>
      <c r="M1759" s="21" t="n">
        <f aca="false">D1759-C1759</f>
        <v>14</v>
      </c>
      <c r="N1759" s="21" t="n">
        <f aca="false">MAX(0,D1759-E1759)</f>
        <v>0</v>
      </c>
      <c r="O1759" s="21" t="n">
        <f aca="false">IF(D1759&lt;=E1759,1,0)</f>
        <v>1</v>
      </c>
      <c r="P1759" s="23" t="n">
        <f aca="false">G1759+H1759</f>
        <v>112.46</v>
      </c>
      <c r="Q1759" s="23" t="n">
        <f aca="false">G1759*INDEX(Assumptions!$B$8:$B$16,MATCH(F1759,Assumptions!$A$8:$A$16,0))</f>
        <v>62.9518</v>
      </c>
      <c r="R1759" s="23" t="n">
        <f aca="false">H1759*Assumptions!$B$3</f>
        <v>16.434</v>
      </c>
      <c r="S1759" s="23" t="n">
        <f aca="false">G1759-Q1759-R1759</f>
        <v>5.6842</v>
      </c>
      <c r="T1759" s="21" t="str">
        <f aca="false">IF(M1759&lt;=7,"0-7 days",IF(M1759&lt;=14,"8-14 days",IF(M1759&lt;=21,"15-21 days","22+ days")))</f>
        <v>8-14 days</v>
      </c>
    </row>
    <row r="1760" customFormat="false" ht="15" hidden="false" customHeight="false" outlineLevel="0" collapsed="false">
      <c r="A1760" s="21" t="s">
        <v>1826</v>
      </c>
      <c r="B1760" s="21" t="s">
        <v>52</v>
      </c>
      <c r="C1760" s="22" t="n">
        <v>43303</v>
      </c>
      <c r="D1760" s="22" t="n">
        <v>43329</v>
      </c>
      <c r="E1760" s="22" t="n">
        <v>43326</v>
      </c>
      <c r="F1760" s="21" t="s">
        <v>111</v>
      </c>
      <c r="G1760" s="23" t="n">
        <v>88.48</v>
      </c>
      <c r="H1760" s="23" t="n">
        <v>31.95</v>
      </c>
      <c r="I1760" s="21" t="s">
        <v>60</v>
      </c>
      <c r="J1760" s="21" t="n">
        <v>2</v>
      </c>
      <c r="K1760" s="21" t="s">
        <v>46</v>
      </c>
      <c r="L1760" s="24" t="n">
        <f aca="false">DATE(YEAR(C1760),MONTH(C1760),1)</f>
        <v>43282</v>
      </c>
      <c r="M1760" s="21" t="n">
        <f aca="false">D1760-C1760</f>
        <v>26</v>
      </c>
      <c r="N1760" s="21" t="n">
        <f aca="false">MAX(0,D1760-E1760)</f>
        <v>3</v>
      </c>
      <c r="O1760" s="21" t="n">
        <f aca="false">IF(D1760&lt;=E1760,1,0)</f>
        <v>0</v>
      </c>
      <c r="P1760" s="23" t="n">
        <f aca="false">G1760+H1760</f>
        <v>120.43</v>
      </c>
      <c r="Q1760" s="23" t="n">
        <f aca="false">G1760*INDEX(Assumptions!$B$8:$B$16,MATCH(F1760,Assumptions!$A$8:$A$16,0))</f>
        <v>55.7424</v>
      </c>
      <c r="R1760" s="23" t="n">
        <f aca="false">H1760*Assumptions!$B$3</f>
        <v>19.17</v>
      </c>
      <c r="S1760" s="23" t="n">
        <f aca="false">G1760-Q1760-R1760</f>
        <v>13.5676</v>
      </c>
      <c r="T1760" s="21" t="str">
        <f aca="false">IF(M1760&lt;=7,"0-7 days",IF(M1760&lt;=14,"8-14 days",IF(M1760&lt;=21,"15-21 days","22+ days")))</f>
        <v>22+ days</v>
      </c>
    </row>
    <row r="1761" customFormat="false" ht="15" hidden="false" customHeight="false" outlineLevel="0" collapsed="false">
      <c r="A1761" s="21" t="s">
        <v>1827</v>
      </c>
      <c r="B1761" s="21" t="s">
        <v>19</v>
      </c>
      <c r="C1761" s="22" t="n">
        <v>43304</v>
      </c>
      <c r="D1761" s="22" t="n">
        <v>43308</v>
      </c>
      <c r="E1761" s="22" t="n">
        <v>43319</v>
      </c>
      <c r="F1761" s="21" t="s">
        <v>53</v>
      </c>
      <c r="G1761" s="23" t="n">
        <v>291.66</v>
      </c>
      <c r="H1761" s="23" t="n">
        <v>24.44</v>
      </c>
      <c r="I1761" s="21" t="s">
        <v>45</v>
      </c>
      <c r="J1761" s="21" t="n">
        <v>5</v>
      </c>
      <c r="K1761" s="21" t="s">
        <v>46</v>
      </c>
      <c r="L1761" s="24" t="n">
        <f aca="false">DATE(YEAR(C1761),MONTH(C1761),1)</f>
        <v>43282</v>
      </c>
      <c r="M1761" s="21" t="n">
        <f aca="false">D1761-C1761</f>
        <v>4</v>
      </c>
      <c r="N1761" s="21" t="n">
        <f aca="false">MAX(0,D1761-E1761)</f>
        <v>0</v>
      </c>
      <c r="O1761" s="21" t="n">
        <f aca="false">IF(D1761&lt;=E1761,1,0)</f>
        <v>1</v>
      </c>
      <c r="P1761" s="23" t="n">
        <f aca="false">G1761+H1761</f>
        <v>316.1</v>
      </c>
      <c r="Q1761" s="23" t="n">
        <f aca="false">G1761*INDEX(Assumptions!$B$8:$B$16,MATCH(F1761,Assumptions!$A$8:$A$16,0))</f>
        <v>215.8284</v>
      </c>
      <c r="R1761" s="23" t="n">
        <f aca="false">H1761*Assumptions!$B$3</f>
        <v>14.664</v>
      </c>
      <c r="S1761" s="23" t="n">
        <f aca="false">G1761-Q1761-R1761</f>
        <v>61.1676</v>
      </c>
      <c r="T1761" s="21" t="str">
        <f aca="false">IF(M1761&lt;=7,"0-7 days",IF(M1761&lt;=14,"8-14 days",IF(M1761&lt;=21,"15-21 days","22+ days")))</f>
        <v>0-7 days</v>
      </c>
    </row>
    <row r="1762" customFormat="false" ht="15" hidden="false" customHeight="false" outlineLevel="0" collapsed="false">
      <c r="A1762" s="21" t="s">
        <v>1828</v>
      </c>
      <c r="B1762" s="21" t="s">
        <v>48</v>
      </c>
      <c r="C1762" s="22" t="n">
        <v>43304</v>
      </c>
      <c r="D1762" s="22" t="n">
        <v>43317</v>
      </c>
      <c r="E1762" s="22" t="n">
        <v>43326</v>
      </c>
      <c r="F1762" s="21" t="s">
        <v>59</v>
      </c>
      <c r="G1762" s="23" t="n">
        <v>121.94</v>
      </c>
      <c r="H1762" s="23" t="n">
        <v>29.53</v>
      </c>
      <c r="I1762" s="21" t="s">
        <v>45</v>
      </c>
      <c r="J1762" s="21" t="n">
        <v>5</v>
      </c>
      <c r="K1762" s="21" t="s">
        <v>46</v>
      </c>
      <c r="L1762" s="24" t="n">
        <f aca="false">DATE(YEAR(C1762),MONTH(C1762),1)</f>
        <v>43282</v>
      </c>
      <c r="M1762" s="21" t="n">
        <f aca="false">D1762-C1762</f>
        <v>13</v>
      </c>
      <c r="N1762" s="21" t="n">
        <f aca="false">MAX(0,D1762-E1762)</f>
        <v>0</v>
      </c>
      <c r="O1762" s="21" t="n">
        <f aca="false">IF(D1762&lt;=E1762,1,0)</f>
        <v>1</v>
      </c>
      <c r="P1762" s="23" t="n">
        <f aca="false">G1762+H1762</f>
        <v>151.47</v>
      </c>
      <c r="Q1762" s="23" t="n">
        <f aca="false">G1762*INDEX(Assumptions!$B$8:$B$16,MATCH(F1762,Assumptions!$A$8:$A$16,0))</f>
        <v>78.0416</v>
      </c>
      <c r="R1762" s="23" t="n">
        <f aca="false">H1762*Assumptions!$B$3</f>
        <v>17.718</v>
      </c>
      <c r="S1762" s="23" t="n">
        <f aca="false">G1762-Q1762-R1762</f>
        <v>26.1804</v>
      </c>
      <c r="T1762" s="21" t="str">
        <f aca="false">IF(M1762&lt;=7,"0-7 days",IF(M1762&lt;=14,"8-14 days",IF(M1762&lt;=21,"15-21 days","22+ days")))</f>
        <v>8-14 days</v>
      </c>
    </row>
    <row r="1763" customFormat="false" ht="15" hidden="false" customHeight="false" outlineLevel="0" collapsed="false">
      <c r="A1763" s="21" t="s">
        <v>1829</v>
      </c>
      <c r="B1763" s="21" t="s">
        <v>48</v>
      </c>
      <c r="C1763" s="22" t="n">
        <v>43304</v>
      </c>
      <c r="D1763" s="22" t="n">
        <v>43317</v>
      </c>
      <c r="E1763" s="22" t="n">
        <v>43323</v>
      </c>
      <c r="F1763" s="21" t="s">
        <v>53</v>
      </c>
      <c r="G1763" s="23" t="n">
        <v>59.78</v>
      </c>
      <c r="H1763" s="23" t="n">
        <v>22.21</v>
      </c>
      <c r="I1763" s="21" t="s">
        <v>45</v>
      </c>
      <c r="J1763" s="21" t="n">
        <v>4</v>
      </c>
      <c r="K1763" s="21" t="s">
        <v>46</v>
      </c>
      <c r="L1763" s="24" t="n">
        <f aca="false">DATE(YEAR(C1763),MONTH(C1763),1)</f>
        <v>43282</v>
      </c>
      <c r="M1763" s="21" t="n">
        <f aca="false">D1763-C1763</f>
        <v>13</v>
      </c>
      <c r="N1763" s="21" t="n">
        <f aca="false">MAX(0,D1763-E1763)</f>
        <v>0</v>
      </c>
      <c r="O1763" s="21" t="n">
        <f aca="false">IF(D1763&lt;=E1763,1,0)</f>
        <v>1</v>
      </c>
      <c r="P1763" s="23" t="n">
        <f aca="false">G1763+H1763</f>
        <v>81.99</v>
      </c>
      <c r="Q1763" s="23" t="n">
        <f aca="false">G1763*INDEX(Assumptions!$B$8:$B$16,MATCH(F1763,Assumptions!$A$8:$A$16,0))</f>
        <v>44.2372</v>
      </c>
      <c r="R1763" s="23" t="n">
        <f aca="false">H1763*Assumptions!$B$3</f>
        <v>13.326</v>
      </c>
      <c r="S1763" s="23" t="n">
        <f aca="false">G1763-Q1763-R1763</f>
        <v>2.2168</v>
      </c>
      <c r="T1763" s="21" t="str">
        <f aca="false">IF(M1763&lt;=7,"0-7 days",IF(M1763&lt;=14,"8-14 days",IF(M1763&lt;=21,"15-21 days","22+ days")))</f>
        <v>8-14 days</v>
      </c>
    </row>
    <row r="1764" customFormat="false" ht="15" hidden="false" customHeight="false" outlineLevel="0" collapsed="false">
      <c r="A1764" s="21" t="s">
        <v>1830</v>
      </c>
      <c r="B1764" s="21" t="s">
        <v>19</v>
      </c>
      <c r="C1764" s="22" t="n">
        <v>43304</v>
      </c>
      <c r="D1764" s="22" t="n">
        <v>43309</v>
      </c>
      <c r="E1764" s="22" t="n">
        <v>43322</v>
      </c>
      <c r="F1764" s="21" t="s">
        <v>59</v>
      </c>
      <c r="G1764" s="23" t="n">
        <v>110.56</v>
      </c>
      <c r="H1764" s="23" t="n">
        <v>20</v>
      </c>
      <c r="I1764" s="21" t="s">
        <v>45</v>
      </c>
      <c r="J1764" s="21" t="n">
        <v>4</v>
      </c>
      <c r="K1764" s="21" t="s">
        <v>46</v>
      </c>
      <c r="L1764" s="24" t="n">
        <f aca="false">DATE(YEAR(C1764),MONTH(C1764),1)</f>
        <v>43282</v>
      </c>
      <c r="M1764" s="21" t="n">
        <f aca="false">D1764-C1764</f>
        <v>5</v>
      </c>
      <c r="N1764" s="21" t="n">
        <f aca="false">MAX(0,D1764-E1764)</f>
        <v>0</v>
      </c>
      <c r="O1764" s="21" t="n">
        <f aca="false">IF(D1764&lt;=E1764,1,0)</f>
        <v>1</v>
      </c>
      <c r="P1764" s="23" t="n">
        <f aca="false">G1764+H1764</f>
        <v>130.56</v>
      </c>
      <c r="Q1764" s="23" t="n">
        <f aca="false">G1764*INDEX(Assumptions!$B$8:$B$16,MATCH(F1764,Assumptions!$A$8:$A$16,0))</f>
        <v>70.7584</v>
      </c>
      <c r="R1764" s="23" t="n">
        <f aca="false">H1764*Assumptions!$B$3</f>
        <v>12</v>
      </c>
      <c r="S1764" s="23" t="n">
        <f aca="false">G1764-Q1764-R1764</f>
        <v>27.8016</v>
      </c>
      <c r="T1764" s="21" t="str">
        <f aca="false">IF(M1764&lt;=7,"0-7 days",IF(M1764&lt;=14,"8-14 days",IF(M1764&lt;=21,"15-21 days","22+ days")))</f>
        <v>0-7 days</v>
      </c>
    </row>
    <row r="1765" customFormat="false" ht="15" hidden="false" customHeight="false" outlineLevel="0" collapsed="false">
      <c r="A1765" s="21" t="s">
        <v>1831</v>
      </c>
      <c r="B1765" s="21" t="s">
        <v>19</v>
      </c>
      <c r="C1765" s="22" t="n">
        <v>43304</v>
      </c>
      <c r="D1765" s="22" t="n">
        <v>43312</v>
      </c>
      <c r="E1765" s="22" t="n">
        <v>43318</v>
      </c>
      <c r="F1765" s="21" t="s">
        <v>44</v>
      </c>
      <c r="G1765" s="23" t="n">
        <v>67.91</v>
      </c>
      <c r="H1765" s="23" t="n">
        <v>12.4</v>
      </c>
      <c r="I1765" s="21" t="s">
        <v>45</v>
      </c>
      <c r="J1765" s="21" t="n">
        <v>5</v>
      </c>
      <c r="K1765" s="21" t="s">
        <v>46</v>
      </c>
      <c r="L1765" s="24" t="n">
        <f aca="false">DATE(YEAR(C1765),MONTH(C1765),1)</f>
        <v>43282</v>
      </c>
      <c r="M1765" s="21" t="n">
        <f aca="false">D1765-C1765</f>
        <v>8</v>
      </c>
      <c r="N1765" s="21" t="n">
        <f aca="false">MAX(0,D1765-E1765)</f>
        <v>0</v>
      </c>
      <c r="O1765" s="21" t="n">
        <f aca="false">IF(D1765&lt;=E1765,1,0)</f>
        <v>1</v>
      </c>
      <c r="P1765" s="23" t="n">
        <f aca="false">G1765+H1765</f>
        <v>80.31</v>
      </c>
      <c r="Q1765" s="23" t="n">
        <f aca="false">G1765*INDEX(Assumptions!$B$8:$B$16,MATCH(F1765,Assumptions!$A$8:$A$16,0))</f>
        <v>40.746</v>
      </c>
      <c r="R1765" s="23" t="n">
        <f aca="false">H1765*Assumptions!$B$3</f>
        <v>7.44</v>
      </c>
      <c r="S1765" s="23" t="n">
        <f aca="false">G1765-Q1765-R1765</f>
        <v>19.724</v>
      </c>
      <c r="T1765" s="21" t="str">
        <f aca="false">IF(M1765&lt;=7,"0-7 days",IF(M1765&lt;=14,"8-14 days",IF(M1765&lt;=21,"15-21 days","22+ days")))</f>
        <v>8-14 days</v>
      </c>
    </row>
    <row r="1766" customFormat="false" ht="15" hidden="false" customHeight="false" outlineLevel="0" collapsed="false">
      <c r="A1766" s="21" t="s">
        <v>1832</v>
      </c>
      <c r="B1766" s="21" t="s">
        <v>19</v>
      </c>
      <c r="C1766" s="22" t="n">
        <v>43304</v>
      </c>
      <c r="D1766" s="22" t="n">
        <v>43310</v>
      </c>
      <c r="E1766" s="22" t="n">
        <v>43320</v>
      </c>
      <c r="F1766" s="21" t="s">
        <v>44</v>
      </c>
      <c r="G1766" s="23" t="n">
        <v>141.13</v>
      </c>
      <c r="H1766" s="23" t="n">
        <v>22.25</v>
      </c>
      <c r="I1766" s="21" t="s">
        <v>45</v>
      </c>
      <c r="J1766" s="21" t="n">
        <v>4</v>
      </c>
      <c r="K1766" s="21" t="s">
        <v>46</v>
      </c>
      <c r="L1766" s="24" t="n">
        <f aca="false">DATE(YEAR(C1766),MONTH(C1766),1)</f>
        <v>43282</v>
      </c>
      <c r="M1766" s="21" t="n">
        <f aca="false">D1766-C1766</f>
        <v>6</v>
      </c>
      <c r="N1766" s="21" t="n">
        <f aca="false">MAX(0,D1766-E1766)</f>
        <v>0</v>
      </c>
      <c r="O1766" s="21" t="n">
        <f aca="false">IF(D1766&lt;=E1766,1,0)</f>
        <v>1</v>
      </c>
      <c r="P1766" s="23" t="n">
        <f aca="false">G1766+H1766</f>
        <v>163.38</v>
      </c>
      <c r="Q1766" s="23" t="n">
        <f aca="false">G1766*INDEX(Assumptions!$B$8:$B$16,MATCH(F1766,Assumptions!$A$8:$A$16,0))</f>
        <v>84.678</v>
      </c>
      <c r="R1766" s="23" t="n">
        <f aca="false">H1766*Assumptions!$B$3</f>
        <v>13.35</v>
      </c>
      <c r="S1766" s="23" t="n">
        <f aca="false">G1766-Q1766-R1766</f>
        <v>43.102</v>
      </c>
      <c r="T1766" s="21" t="str">
        <f aca="false">IF(M1766&lt;=7,"0-7 days",IF(M1766&lt;=14,"8-14 days",IF(M1766&lt;=21,"15-21 days","22+ days")))</f>
        <v>0-7 days</v>
      </c>
    </row>
    <row r="1767" customFormat="false" ht="15" hidden="false" customHeight="false" outlineLevel="0" collapsed="false">
      <c r="A1767" s="21" t="s">
        <v>1833</v>
      </c>
      <c r="B1767" s="21" t="s">
        <v>19</v>
      </c>
      <c r="C1767" s="22" t="n">
        <v>43304</v>
      </c>
      <c r="D1767" s="22" t="n">
        <v>43313</v>
      </c>
      <c r="E1767" s="22" t="n">
        <v>43319</v>
      </c>
      <c r="F1767" s="21" t="s">
        <v>57</v>
      </c>
      <c r="G1767" s="23" t="n">
        <v>116.75</v>
      </c>
      <c r="H1767" s="23" t="n">
        <v>19.74</v>
      </c>
      <c r="I1767" s="21" t="s">
        <v>45</v>
      </c>
      <c r="J1767" s="21" t="n">
        <v>4</v>
      </c>
      <c r="K1767" s="21" t="s">
        <v>46</v>
      </c>
      <c r="L1767" s="24" t="n">
        <f aca="false">DATE(YEAR(C1767),MONTH(C1767),1)</f>
        <v>43282</v>
      </c>
      <c r="M1767" s="21" t="n">
        <f aca="false">D1767-C1767</f>
        <v>9</v>
      </c>
      <c r="N1767" s="21" t="n">
        <f aca="false">MAX(0,D1767-E1767)</f>
        <v>0</v>
      </c>
      <c r="O1767" s="21" t="n">
        <f aca="false">IF(D1767&lt;=E1767,1,0)</f>
        <v>1</v>
      </c>
      <c r="P1767" s="23" t="n">
        <f aca="false">G1767+H1767</f>
        <v>136.49</v>
      </c>
      <c r="Q1767" s="23" t="n">
        <f aca="false">G1767*INDEX(Assumptions!$B$8:$B$16,MATCH(F1767,Assumptions!$A$8:$A$16,0))</f>
        <v>79.39</v>
      </c>
      <c r="R1767" s="23" t="n">
        <f aca="false">H1767*Assumptions!$B$3</f>
        <v>11.844</v>
      </c>
      <c r="S1767" s="23" t="n">
        <f aca="false">G1767-Q1767-R1767</f>
        <v>25.516</v>
      </c>
      <c r="T1767" s="21" t="str">
        <f aca="false">IF(M1767&lt;=7,"0-7 days",IF(M1767&lt;=14,"8-14 days",IF(M1767&lt;=21,"15-21 days","22+ days")))</f>
        <v>8-14 days</v>
      </c>
    </row>
    <row r="1768" customFormat="false" ht="15" hidden="false" customHeight="false" outlineLevel="0" collapsed="false">
      <c r="A1768" s="21" t="s">
        <v>1834</v>
      </c>
      <c r="B1768" s="21" t="s">
        <v>19</v>
      </c>
      <c r="C1768" s="22" t="n">
        <v>43305</v>
      </c>
      <c r="D1768" s="22" t="n">
        <v>43315</v>
      </c>
      <c r="E1768" s="22" t="n">
        <v>43323</v>
      </c>
      <c r="F1768" s="21" t="s">
        <v>67</v>
      </c>
      <c r="G1768" s="23" t="n">
        <v>136</v>
      </c>
      <c r="H1768" s="23" t="n">
        <v>16.74</v>
      </c>
      <c r="I1768" s="21" t="s">
        <v>45</v>
      </c>
      <c r="J1768" s="21" t="n">
        <v>4</v>
      </c>
      <c r="K1768" s="21" t="s">
        <v>46</v>
      </c>
      <c r="L1768" s="24" t="n">
        <f aca="false">DATE(YEAR(C1768),MONTH(C1768),1)</f>
        <v>43282</v>
      </c>
      <c r="M1768" s="21" t="n">
        <f aca="false">D1768-C1768</f>
        <v>10</v>
      </c>
      <c r="N1768" s="21" t="n">
        <f aca="false">MAX(0,D1768-E1768)</f>
        <v>0</v>
      </c>
      <c r="O1768" s="21" t="n">
        <f aca="false">IF(D1768&lt;=E1768,1,0)</f>
        <v>1</v>
      </c>
      <c r="P1768" s="23" t="n">
        <f aca="false">G1768+H1768</f>
        <v>152.74</v>
      </c>
      <c r="Q1768" s="23" t="n">
        <f aca="false">G1768*INDEX(Assumptions!$B$8:$B$16,MATCH(F1768,Assumptions!$A$8:$A$16,0))</f>
        <v>84.32</v>
      </c>
      <c r="R1768" s="23" t="n">
        <f aca="false">H1768*Assumptions!$B$3</f>
        <v>10.044</v>
      </c>
      <c r="S1768" s="23" t="n">
        <f aca="false">G1768-Q1768-R1768</f>
        <v>41.636</v>
      </c>
      <c r="T1768" s="21" t="str">
        <f aca="false">IF(M1768&lt;=7,"0-7 days",IF(M1768&lt;=14,"8-14 days",IF(M1768&lt;=21,"15-21 days","22+ days")))</f>
        <v>8-14 days</v>
      </c>
    </row>
    <row r="1769" customFormat="false" ht="15" hidden="false" customHeight="false" outlineLevel="0" collapsed="false">
      <c r="A1769" s="21" t="s">
        <v>1835</v>
      </c>
      <c r="B1769" s="21" t="s">
        <v>19</v>
      </c>
      <c r="C1769" s="22" t="n">
        <v>43305</v>
      </c>
      <c r="D1769" s="22" t="n">
        <v>43313</v>
      </c>
      <c r="E1769" s="22" t="n">
        <v>43319</v>
      </c>
      <c r="F1769" s="21" t="s">
        <v>67</v>
      </c>
      <c r="G1769" s="23" t="n">
        <v>150.46</v>
      </c>
      <c r="H1769" s="23" t="n">
        <v>13.66</v>
      </c>
      <c r="I1769" s="21" t="s">
        <v>60</v>
      </c>
      <c r="J1769" s="21" t="n">
        <v>4</v>
      </c>
      <c r="K1769" s="21" t="s">
        <v>46</v>
      </c>
      <c r="L1769" s="24" t="n">
        <f aca="false">DATE(YEAR(C1769),MONTH(C1769),1)</f>
        <v>43282</v>
      </c>
      <c r="M1769" s="21" t="n">
        <f aca="false">D1769-C1769</f>
        <v>8</v>
      </c>
      <c r="N1769" s="21" t="n">
        <f aca="false">MAX(0,D1769-E1769)</f>
        <v>0</v>
      </c>
      <c r="O1769" s="21" t="n">
        <f aca="false">IF(D1769&lt;=E1769,1,0)</f>
        <v>1</v>
      </c>
      <c r="P1769" s="23" t="n">
        <f aca="false">G1769+H1769</f>
        <v>164.12</v>
      </c>
      <c r="Q1769" s="23" t="n">
        <f aca="false">G1769*INDEX(Assumptions!$B$8:$B$16,MATCH(F1769,Assumptions!$A$8:$A$16,0))</f>
        <v>93.2852</v>
      </c>
      <c r="R1769" s="23" t="n">
        <f aca="false">H1769*Assumptions!$B$3</f>
        <v>8.196</v>
      </c>
      <c r="S1769" s="23" t="n">
        <f aca="false">G1769-Q1769-R1769</f>
        <v>48.9788</v>
      </c>
      <c r="T1769" s="21" t="str">
        <f aca="false">IF(M1769&lt;=7,"0-7 days",IF(M1769&lt;=14,"8-14 days",IF(M1769&lt;=21,"15-21 days","22+ days")))</f>
        <v>8-14 days</v>
      </c>
    </row>
    <row r="1770" customFormat="false" ht="15" hidden="false" customHeight="false" outlineLevel="0" collapsed="false">
      <c r="A1770" s="21" t="s">
        <v>1836</v>
      </c>
      <c r="B1770" s="21" t="s">
        <v>134</v>
      </c>
      <c r="C1770" s="22" t="n">
        <v>43305</v>
      </c>
      <c r="D1770" s="22" t="n">
        <v>43319</v>
      </c>
      <c r="E1770" s="22" t="n">
        <v>43330</v>
      </c>
      <c r="F1770" s="21" t="s">
        <v>57</v>
      </c>
      <c r="G1770" s="23" t="n">
        <v>79.3</v>
      </c>
      <c r="H1770" s="23" t="n">
        <v>19.18</v>
      </c>
      <c r="I1770" s="21" t="s">
        <v>45</v>
      </c>
      <c r="J1770" s="21" t="n">
        <v>4</v>
      </c>
      <c r="K1770" s="21" t="s">
        <v>46</v>
      </c>
      <c r="L1770" s="24" t="n">
        <f aca="false">DATE(YEAR(C1770),MONTH(C1770),1)</f>
        <v>43282</v>
      </c>
      <c r="M1770" s="21" t="n">
        <f aca="false">D1770-C1770</f>
        <v>14</v>
      </c>
      <c r="N1770" s="21" t="n">
        <f aca="false">MAX(0,D1770-E1770)</f>
        <v>0</v>
      </c>
      <c r="O1770" s="21" t="n">
        <f aca="false">IF(D1770&lt;=E1770,1,0)</f>
        <v>1</v>
      </c>
      <c r="P1770" s="23" t="n">
        <f aca="false">G1770+H1770</f>
        <v>98.48</v>
      </c>
      <c r="Q1770" s="23" t="n">
        <f aca="false">G1770*INDEX(Assumptions!$B$8:$B$16,MATCH(F1770,Assumptions!$A$8:$A$16,0))</f>
        <v>53.924</v>
      </c>
      <c r="R1770" s="23" t="n">
        <f aca="false">H1770*Assumptions!$B$3</f>
        <v>11.508</v>
      </c>
      <c r="S1770" s="23" t="n">
        <f aca="false">G1770-Q1770-R1770</f>
        <v>13.868</v>
      </c>
      <c r="T1770" s="21" t="str">
        <f aca="false">IF(M1770&lt;=7,"0-7 days",IF(M1770&lt;=14,"8-14 days",IF(M1770&lt;=21,"15-21 days","22+ days")))</f>
        <v>8-14 days</v>
      </c>
    </row>
    <row r="1771" customFormat="false" ht="15" hidden="false" customHeight="false" outlineLevel="0" collapsed="false">
      <c r="A1771" s="21" t="s">
        <v>1837</v>
      </c>
      <c r="B1771" s="21" t="s">
        <v>52</v>
      </c>
      <c r="C1771" s="22" t="n">
        <v>43305</v>
      </c>
      <c r="D1771" s="22" t="n">
        <v>43317</v>
      </c>
      <c r="E1771" s="22" t="n">
        <v>43331</v>
      </c>
      <c r="F1771" s="21" t="s">
        <v>53</v>
      </c>
      <c r="G1771" s="23" t="n">
        <v>126.53</v>
      </c>
      <c r="H1771" s="23" t="n">
        <v>22.26</v>
      </c>
      <c r="I1771" s="21" t="s">
        <v>45</v>
      </c>
      <c r="J1771" s="21" t="n">
        <v>4</v>
      </c>
      <c r="K1771" s="21" t="s">
        <v>46</v>
      </c>
      <c r="L1771" s="24" t="n">
        <f aca="false">DATE(YEAR(C1771),MONTH(C1771),1)</f>
        <v>43282</v>
      </c>
      <c r="M1771" s="21" t="n">
        <f aca="false">D1771-C1771</f>
        <v>12</v>
      </c>
      <c r="N1771" s="21" t="n">
        <f aca="false">MAX(0,D1771-E1771)</f>
        <v>0</v>
      </c>
      <c r="O1771" s="21" t="n">
        <f aca="false">IF(D1771&lt;=E1771,1,0)</f>
        <v>1</v>
      </c>
      <c r="P1771" s="23" t="n">
        <f aca="false">G1771+H1771</f>
        <v>148.79</v>
      </c>
      <c r="Q1771" s="23" t="n">
        <f aca="false">G1771*INDEX(Assumptions!$B$8:$B$16,MATCH(F1771,Assumptions!$A$8:$A$16,0))</f>
        <v>93.6322</v>
      </c>
      <c r="R1771" s="23" t="n">
        <f aca="false">H1771*Assumptions!$B$3</f>
        <v>13.356</v>
      </c>
      <c r="S1771" s="23" t="n">
        <f aca="false">G1771-Q1771-R1771</f>
        <v>19.5418</v>
      </c>
      <c r="T1771" s="21" t="str">
        <f aca="false">IF(M1771&lt;=7,"0-7 days",IF(M1771&lt;=14,"8-14 days",IF(M1771&lt;=21,"15-21 days","22+ days")))</f>
        <v>8-14 days</v>
      </c>
    </row>
    <row r="1772" customFormat="false" ht="15" hidden="false" customHeight="false" outlineLevel="0" collapsed="false">
      <c r="A1772" s="21" t="s">
        <v>1838</v>
      </c>
      <c r="B1772" s="21" t="s">
        <v>93</v>
      </c>
      <c r="C1772" s="22" t="n">
        <v>43306</v>
      </c>
      <c r="D1772" s="22" t="n">
        <v>43324</v>
      </c>
      <c r="E1772" s="22" t="n">
        <v>43338</v>
      </c>
      <c r="F1772" s="21" t="s">
        <v>67</v>
      </c>
      <c r="G1772" s="23" t="n">
        <v>56.93</v>
      </c>
      <c r="H1772" s="23" t="n">
        <v>34.99</v>
      </c>
      <c r="I1772" s="21" t="s">
        <v>50</v>
      </c>
      <c r="J1772" s="21" t="n">
        <v>4</v>
      </c>
      <c r="K1772" s="21" t="s">
        <v>46</v>
      </c>
      <c r="L1772" s="24" t="n">
        <f aca="false">DATE(YEAR(C1772),MONTH(C1772),1)</f>
        <v>43282</v>
      </c>
      <c r="M1772" s="21" t="n">
        <f aca="false">D1772-C1772</f>
        <v>18</v>
      </c>
      <c r="N1772" s="21" t="n">
        <f aca="false">MAX(0,D1772-E1772)</f>
        <v>0</v>
      </c>
      <c r="O1772" s="21" t="n">
        <f aca="false">IF(D1772&lt;=E1772,1,0)</f>
        <v>1</v>
      </c>
      <c r="P1772" s="23" t="n">
        <f aca="false">G1772+H1772</f>
        <v>91.92</v>
      </c>
      <c r="Q1772" s="23" t="n">
        <f aca="false">G1772*INDEX(Assumptions!$B$8:$B$16,MATCH(F1772,Assumptions!$A$8:$A$16,0))</f>
        <v>35.2966</v>
      </c>
      <c r="R1772" s="23" t="n">
        <f aca="false">H1772*Assumptions!$B$3</f>
        <v>20.994</v>
      </c>
      <c r="S1772" s="23" t="n">
        <f aca="false">G1772-Q1772-R1772</f>
        <v>0.639400000000002</v>
      </c>
      <c r="T1772" s="21" t="str">
        <f aca="false">IF(M1772&lt;=7,"0-7 days",IF(M1772&lt;=14,"8-14 days",IF(M1772&lt;=21,"15-21 days","22+ days")))</f>
        <v>15-21 days</v>
      </c>
    </row>
    <row r="1773" customFormat="false" ht="15" hidden="false" customHeight="false" outlineLevel="0" collapsed="false">
      <c r="A1773" s="21" t="s">
        <v>1839</v>
      </c>
      <c r="B1773" s="21" t="s">
        <v>62</v>
      </c>
      <c r="C1773" s="22" t="n">
        <v>43306</v>
      </c>
      <c r="D1773" s="22" t="n">
        <v>43322</v>
      </c>
      <c r="E1773" s="22" t="n">
        <v>43329</v>
      </c>
      <c r="F1773" s="21" t="s">
        <v>49</v>
      </c>
      <c r="G1773" s="23" t="n">
        <v>66.38</v>
      </c>
      <c r="H1773" s="23" t="n">
        <v>22.63</v>
      </c>
      <c r="I1773" s="21" t="s">
        <v>45</v>
      </c>
      <c r="J1773" s="21" t="n">
        <v>4</v>
      </c>
      <c r="K1773" s="21" t="s">
        <v>46</v>
      </c>
      <c r="L1773" s="24" t="n">
        <f aca="false">DATE(YEAR(C1773),MONTH(C1773),1)</f>
        <v>43282</v>
      </c>
      <c r="M1773" s="21" t="n">
        <f aca="false">D1773-C1773</f>
        <v>16</v>
      </c>
      <c r="N1773" s="21" t="n">
        <f aca="false">MAX(0,D1773-E1773)</f>
        <v>0</v>
      </c>
      <c r="O1773" s="21" t="n">
        <f aca="false">IF(D1773&lt;=E1773,1,0)</f>
        <v>1</v>
      </c>
      <c r="P1773" s="23" t="n">
        <f aca="false">G1773+H1773</f>
        <v>89.01</v>
      </c>
      <c r="Q1773" s="23" t="n">
        <f aca="false">G1773*INDEX(Assumptions!$B$8:$B$16,MATCH(F1773,Assumptions!$A$8:$A$16,0))</f>
        <v>38.5004</v>
      </c>
      <c r="R1773" s="23" t="n">
        <f aca="false">H1773*Assumptions!$B$3</f>
        <v>13.578</v>
      </c>
      <c r="S1773" s="23" t="n">
        <f aca="false">G1773-Q1773-R1773</f>
        <v>14.3016</v>
      </c>
      <c r="T1773" s="21" t="str">
        <f aca="false">IF(M1773&lt;=7,"0-7 days",IF(M1773&lt;=14,"8-14 days",IF(M1773&lt;=21,"15-21 days","22+ days")))</f>
        <v>15-21 days</v>
      </c>
    </row>
    <row r="1774" customFormat="false" ht="15" hidden="false" customHeight="false" outlineLevel="0" collapsed="false">
      <c r="A1774" s="21" t="s">
        <v>1840</v>
      </c>
      <c r="B1774" s="21" t="s">
        <v>77</v>
      </c>
      <c r="C1774" s="22" t="n">
        <v>43306</v>
      </c>
      <c r="D1774" s="22" t="n">
        <v>43325</v>
      </c>
      <c r="E1774" s="22" t="n">
        <v>43331</v>
      </c>
      <c r="F1774" s="21" t="s">
        <v>49</v>
      </c>
      <c r="G1774" s="23" t="n">
        <v>114.99</v>
      </c>
      <c r="H1774" s="23" t="n">
        <v>19.67</v>
      </c>
      <c r="I1774" s="21" t="s">
        <v>45</v>
      </c>
      <c r="J1774" s="21" t="n">
        <v>4</v>
      </c>
      <c r="K1774" s="21" t="s">
        <v>46</v>
      </c>
      <c r="L1774" s="24" t="n">
        <f aca="false">DATE(YEAR(C1774),MONTH(C1774),1)</f>
        <v>43282</v>
      </c>
      <c r="M1774" s="21" t="n">
        <f aca="false">D1774-C1774</f>
        <v>19</v>
      </c>
      <c r="N1774" s="21" t="n">
        <f aca="false">MAX(0,D1774-E1774)</f>
        <v>0</v>
      </c>
      <c r="O1774" s="21" t="n">
        <f aca="false">IF(D1774&lt;=E1774,1,0)</f>
        <v>1</v>
      </c>
      <c r="P1774" s="23" t="n">
        <f aca="false">G1774+H1774</f>
        <v>134.66</v>
      </c>
      <c r="Q1774" s="23" t="n">
        <f aca="false">G1774*INDEX(Assumptions!$B$8:$B$16,MATCH(F1774,Assumptions!$A$8:$A$16,0))</f>
        <v>66.6942</v>
      </c>
      <c r="R1774" s="23" t="n">
        <f aca="false">H1774*Assumptions!$B$3</f>
        <v>11.802</v>
      </c>
      <c r="S1774" s="23" t="n">
        <f aca="false">G1774-Q1774-R1774</f>
        <v>36.4938</v>
      </c>
      <c r="T1774" s="21" t="str">
        <f aca="false">IF(M1774&lt;=7,"0-7 days",IF(M1774&lt;=14,"8-14 days",IF(M1774&lt;=21,"15-21 days","22+ days")))</f>
        <v>15-21 days</v>
      </c>
    </row>
    <row r="1775" customFormat="false" ht="15" hidden="false" customHeight="false" outlineLevel="0" collapsed="false">
      <c r="A1775" s="21" t="s">
        <v>1841</v>
      </c>
      <c r="B1775" s="21" t="s">
        <v>19</v>
      </c>
      <c r="C1775" s="22" t="n">
        <v>43306</v>
      </c>
      <c r="D1775" s="22" t="n">
        <v>43317</v>
      </c>
      <c r="E1775" s="22" t="n">
        <v>43321</v>
      </c>
      <c r="F1775" s="21" t="s">
        <v>49</v>
      </c>
      <c r="G1775" s="23" t="n">
        <v>104.03</v>
      </c>
      <c r="H1775" s="23" t="n">
        <v>22.3</v>
      </c>
      <c r="I1775" s="21" t="s">
        <v>60</v>
      </c>
      <c r="J1775" s="21" t="n">
        <v>5</v>
      </c>
      <c r="K1775" s="21" t="s">
        <v>46</v>
      </c>
      <c r="L1775" s="24" t="n">
        <f aca="false">DATE(YEAR(C1775),MONTH(C1775),1)</f>
        <v>43282</v>
      </c>
      <c r="M1775" s="21" t="n">
        <f aca="false">D1775-C1775</f>
        <v>11</v>
      </c>
      <c r="N1775" s="21" t="n">
        <f aca="false">MAX(0,D1775-E1775)</f>
        <v>0</v>
      </c>
      <c r="O1775" s="21" t="n">
        <f aca="false">IF(D1775&lt;=E1775,1,0)</f>
        <v>1</v>
      </c>
      <c r="P1775" s="23" t="n">
        <f aca="false">G1775+H1775</f>
        <v>126.33</v>
      </c>
      <c r="Q1775" s="23" t="n">
        <f aca="false">G1775*INDEX(Assumptions!$B$8:$B$16,MATCH(F1775,Assumptions!$A$8:$A$16,0))</f>
        <v>60.3374</v>
      </c>
      <c r="R1775" s="23" t="n">
        <f aca="false">H1775*Assumptions!$B$3</f>
        <v>13.38</v>
      </c>
      <c r="S1775" s="23" t="n">
        <f aca="false">G1775-Q1775-R1775</f>
        <v>30.3126</v>
      </c>
      <c r="T1775" s="21" t="str">
        <f aca="false">IF(M1775&lt;=7,"0-7 days",IF(M1775&lt;=14,"8-14 days",IF(M1775&lt;=21,"15-21 days","22+ days")))</f>
        <v>8-14 days</v>
      </c>
    </row>
    <row r="1776" customFormat="false" ht="15" hidden="false" customHeight="false" outlineLevel="0" collapsed="false">
      <c r="A1776" s="21" t="s">
        <v>1842</v>
      </c>
      <c r="B1776" s="21" t="s">
        <v>19</v>
      </c>
      <c r="C1776" s="22" t="n">
        <v>43306</v>
      </c>
      <c r="D1776" s="22" t="n">
        <v>43313</v>
      </c>
      <c r="E1776" s="22" t="n">
        <v>43322</v>
      </c>
      <c r="F1776" s="21" t="s">
        <v>57</v>
      </c>
      <c r="G1776" s="23" t="n">
        <v>188.62</v>
      </c>
      <c r="H1776" s="23" t="n">
        <v>21.77</v>
      </c>
      <c r="I1776" s="21" t="s">
        <v>45</v>
      </c>
      <c r="J1776" s="21" t="n">
        <v>4</v>
      </c>
      <c r="K1776" s="21" t="s">
        <v>46</v>
      </c>
      <c r="L1776" s="24" t="n">
        <f aca="false">DATE(YEAR(C1776),MONTH(C1776),1)</f>
        <v>43282</v>
      </c>
      <c r="M1776" s="21" t="n">
        <f aca="false">D1776-C1776</f>
        <v>7</v>
      </c>
      <c r="N1776" s="21" t="n">
        <f aca="false">MAX(0,D1776-E1776)</f>
        <v>0</v>
      </c>
      <c r="O1776" s="21" t="n">
        <f aca="false">IF(D1776&lt;=E1776,1,0)</f>
        <v>1</v>
      </c>
      <c r="P1776" s="23" t="n">
        <f aca="false">G1776+H1776</f>
        <v>210.39</v>
      </c>
      <c r="Q1776" s="23" t="n">
        <f aca="false">G1776*INDEX(Assumptions!$B$8:$B$16,MATCH(F1776,Assumptions!$A$8:$A$16,0))</f>
        <v>128.2616</v>
      </c>
      <c r="R1776" s="23" t="n">
        <f aca="false">H1776*Assumptions!$B$3</f>
        <v>13.062</v>
      </c>
      <c r="S1776" s="23" t="n">
        <f aca="false">G1776-Q1776-R1776</f>
        <v>47.2964</v>
      </c>
      <c r="T1776" s="21" t="str">
        <f aca="false">IF(M1776&lt;=7,"0-7 days",IF(M1776&lt;=14,"8-14 days",IF(M1776&lt;=21,"15-21 days","22+ days")))</f>
        <v>0-7 days</v>
      </c>
    </row>
    <row r="1777" customFormat="false" ht="15" hidden="false" customHeight="false" outlineLevel="0" collapsed="false">
      <c r="A1777" s="21" t="s">
        <v>1843</v>
      </c>
      <c r="B1777" s="21" t="s">
        <v>156</v>
      </c>
      <c r="C1777" s="22" t="n">
        <v>43306</v>
      </c>
      <c r="D1777" s="22" t="n">
        <v>43340</v>
      </c>
      <c r="E1777" s="22" t="n">
        <v>43332</v>
      </c>
      <c r="F1777" s="21" t="s">
        <v>59</v>
      </c>
      <c r="G1777" s="23" t="n">
        <v>24.56</v>
      </c>
      <c r="H1777" s="23" t="n">
        <v>26.42</v>
      </c>
      <c r="I1777" s="21" t="s">
        <v>60</v>
      </c>
      <c r="J1777" s="21" t="n">
        <v>3</v>
      </c>
      <c r="K1777" s="21" t="s">
        <v>46</v>
      </c>
      <c r="L1777" s="24" t="n">
        <f aca="false">DATE(YEAR(C1777),MONTH(C1777),1)</f>
        <v>43282</v>
      </c>
      <c r="M1777" s="21" t="n">
        <f aca="false">D1777-C1777</f>
        <v>34</v>
      </c>
      <c r="N1777" s="21" t="n">
        <f aca="false">MAX(0,D1777-E1777)</f>
        <v>8</v>
      </c>
      <c r="O1777" s="21" t="n">
        <f aca="false">IF(D1777&lt;=E1777,1,0)</f>
        <v>0</v>
      </c>
      <c r="P1777" s="23" t="n">
        <f aca="false">G1777+H1777</f>
        <v>50.98</v>
      </c>
      <c r="Q1777" s="23" t="n">
        <f aca="false">G1777*INDEX(Assumptions!$B$8:$B$16,MATCH(F1777,Assumptions!$A$8:$A$16,0))</f>
        <v>15.7184</v>
      </c>
      <c r="R1777" s="23" t="n">
        <f aca="false">H1777*Assumptions!$B$3</f>
        <v>15.852</v>
      </c>
      <c r="S1777" s="23" t="n">
        <f aca="false">G1777-Q1777-R1777</f>
        <v>-7.0104</v>
      </c>
      <c r="T1777" s="21" t="str">
        <f aca="false">IF(M1777&lt;=7,"0-7 days",IF(M1777&lt;=14,"8-14 days",IF(M1777&lt;=21,"15-21 days","22+ days")))</f>
        <v>22+ days</v>
      </c>
    </row>
    <row r="1778" customFormat="false" ht="15" hidden="false" customHeight="false" outlineLevel="0" collapsed="false">
      <c r="A1778" s="21" t="s">
        <v>1844</v>
      </c>
      <c r="B1778" s="21" t="s">
        <v>19</v>
      </c>
      <c r="C1778" s="22" t="n">
        <v>43307</v>
      </c>
      <c r="D1778" s="22" t="n">
        <v>43316</v>
      </c>
      <c r="E1778" s="22" t="n">
        <v>43323</v>
      </c>
      <c r="F1778" s="21" t="s">
        <v>57</v>
      </c>
      <c r="G1778" s="23" t="n">
        <v>82.59</v>
      </c>
      <c r="H1778" s="23" t="n">
        <v>14.02</v>
      </c>
      <c r="I1778" s="21" t="s">
        <v>45</v>
      </c>
      <c r="J1778" s="21" t="n">
        <v>5</v>
      </c>
      <c r="K1778" s="21" t="s">
        <v>46</v>
      </c>
      <c r="L1778" s="24" t="n">
        <f aca="false">DATE(YEAR(C1778),MONTH(C1778),1)</f>
        <v>43282</v>
      </c>
      <c r="M1778" s="21" t="n">
        <f aca="false">D1778-C1778</f>
        <v>9</v>
      </c>
      <c r="N1778" s="21" t="n">
        <f aca="false">MAX(0,D1778-E1778)</f>
        <v>0</v>
      </c>
      <c r="O1778" s="21" t="n">
        <f aca="false">IF(D1778&lt;=E1778,1,0)</f>
        <v>1</v>
      </c>
      <c r="P1778" s="23" t="n">
        <f aca="false">G1778+H1778</f>
        <v>96.61</v>
      </c>
      <c r="Q1778" s="23" t="n">
        <f aca="false">G1778*INDEX(Assumptions!$B$8:$B$16,MATCH(F1778,Assumptions!$A$8:$A$16,0))</f>
        <v>56.1612</v>
      </c>
      <c r="R1778" s="23" t="n">
        <f aca="false">H1778*Assumptions!$B$3</f>
        <v>8.412</v>
      </c>
      <c r="S1778" s="23" t="n">
        <f aca="false">G1778-Q1778-R1778</f>
        <v>18.0168</v>
      </c>
      <c r="T1778" s="21" t="str">
        <f aca="false">IF(M1778&lt;=7,"0-7 days",IF(M1778&lt;=14,"8-14 days",IF(M1778&lt;=21,"15-21 days","22+ days")))</f>
        <v>8-14 days</v>
      </c>
    </row>
    <row r="1779" customFormat="false" ht="15" hidden="false" customHeight="false" outlineLevel="0" collapsed="false">
      <c r="A1779" s="21" t="s">
        <v>1845</v>
      </c>
      <c r="B1779" s="21" t="s">
        <v>93</v>
      </c>
      <c r="C1779" s="22" t="n">
        <v>43307</v>
      </c>
      <c r="D1779" s="22" t="n">
        <v>43337</v>
      </c>
      <c r="E1779" s="22" t="n">
        <v>43339</v>
      </c>
      <c r="F1779" s="21" t="s">
        <v>49</v>
      </c>
      <c r="G1779" s="23" t="n">
        <v>111.12</v>
      </c>
      <c r="H1779" s="23" t="n">
        <v>40.28</v>
      </c>
      <c r="I1779" s="21" t="s">
        <v>45</v>
      </c>
      <c r="J1779" s="21" t="n">
        <v>5</v>
      </c>
      <c r="K1779" s="21" t="s">
        <v>46</v>
      </c>
      <c r="L1779" s="24" t="n">
        <f aca="false">DATE(YEAR(C1779),MONTH(C1779),1)</f>
        <v>43282</v>
      </c>
      <c r="M1779" s="21" t="n">
        <f aca="false">D1779-C1779</f>
        <v>30</v>
      </c>
      <c r="N1779" s="21" t="n">
        <f aca="false">MAX(0,D1779-E1779)</f>
        <v>0</v>
      </c>
      <c r="O1779" s="21" t="n">
        <f aca="false">IF(D1779&lt;=E1779,1,0)</f>
        <v>1</v>
      </c>
      <c r="P1779" s="23" t="n">
        <f aca="false">G1779+H1779</f>
        <v>151.4</v>
      </c>
      <c r="Q1779" s="23" t="n">
        <f aca="false">G1779*INDEX(Assumptions!$B$8:$B$16,MATCH(F1779,Assumptions!$A$8:$A$16,0))</f>
        <v>64.4496</v>
      </c>
      <c r="R1779" s="23" t="n">
        <f aca="false">H1779*Assumptions!$B$3</f>
        <v>24.168</v>
      </c>
      <c r="S1779" s="23" t="n">
        <f aca="false">G1779-Q1779-R1779</f>
        <v>22.5024</v>
      </c>
      <c r="T1779" s="21" t="str">
        <f aca="false">IF(M1779&lt;=7,"0-7 days",IF(M1779&lt;=14,"8-14 days",IF(M1779&lt;=21,"15-21 days","22+ days")))</f>
        <v>22+ days</v>
      </c>
    </row>
    <row r="1780" customFormat="false" ht="15" hidden="false" customHeight="false" outlineLevel="0" collapsed="false">
      <c r="A1780" s="21" t="s">
        <v>1846</v>
      </c>
      <c r="B1780" s="21" t="s">
        <v>19</v>
      </c>
      <c r="C1780" s="22" t="n">
        <v>43307</v>
      </c>
      <c r="D1780" s="22" t="n">
        <v>43330</v>
      </c>
      <c r="E1780" s="22" t="n">
        <v>43323</v>
      </c>
      <c r="F1780" s="21" t="s">
        <v>67</v>
      </c>
      <c r="G1780" s="23" t="n">
        <v>36.77</v>
      </c>
      <c r="H1780" s="23" t="n">
        <v>19.56</v>
      </c>
      <c r="I1780" s="21" t="s">
        <v>45</v>
      </c>
      <c r="J1780" s="21" t="n">
        <v>4</v>
      </c>
      <c r="K1780" s="21" t="s">
        <v>46</v>
      </c>
      <c r="L1780" s="24" t="n">
        <f aca="false">DATE(YEAR(C1780),MONTH(C1780),1)</f>
        <v>43282</v>
      </c>
      <c r="M1780" s="21" t="n">
        <f aca="false">D1780-C1780</f>
        <v>23</v>
      </c>
      <c r="N1780" s="21" t="n">
        <f aca="false">MAX(0,D1780-E1780)</f>
        <v>7</v>
      </c>
      <c r="O1780" s="21" t="n">
        <f aca="false">IF(D1780&lt;=E1780,1,0)</f>
        <v>0</v>
      </c>
      <c r="P1780" s="23" t="n">
        <f aca="false">G1780+H1780</f>
        <v>56.33</v>
      </c>
      <c r="Q1780" s="23" t="n">
        <f aca="false">G1780*INDEX(Assumptions!$B$8:$B$16,MATCH(F1780,Assumptions!$A$8:$A$16,0))</f>
        <v>22.7974</v>
      </c>
      <c r="R1780" s="23" t="n">
        <f aca="false">H1780*Assumptions!$B$3</f>
        <v>11.736</v>
      </c>
      <c r="S1780" s="23" t="n">
        <f aca="false">G1780-Q1780-R1780</f>
        <v>2.2366</v>
      </c>
      <c r="T1780" s="21" t="str">
        <f aca="false">IF(M1780&lt;=7,"0-7 days",IF(M1780&lt;=14,"8-14 days",IF(M1780&lt;=21,"15-21 days","22+ days")))</f>
        <v>22+ days</v>
      </c>
    </row>
    <row r="1781" customFormat="false" ht="15" hidden="false" customHeight="false" outlineLevel="0" collapsed="false">
      <c r="A1781" s="21" t="s">
        <v>1847</v>
      </c>
      <c r="B1781" s="21" t="s">
        <v>62</v>
      </c>
      <c r="C1781" s="22" t="n">
        <v>43307</v>
      </c>
      <c r="D1781" s="22" t="n">
        <v>43321</v>
      </c>
      <c r="E1781" s="22" t="n">
        <v>43329</v>
      </c>
      <c r="F1781" s="21" t="s">
        <v>49</v>
      </c>
      <c r="G1781" s="23" t="n">
        <v>27.96</v>
      </c>
      <c r="H1781" s="23" t="n">
        <v>19.46</v>
      </c>
      <c r="I1781" s="21" t="s">
        <v>45</v>
      </c>
      <c r="J1781" s="21" t="n">
        <v>5</v>
      </c>
      <c r="K1781" s="21" t="s">
        <v>46</v>
      </c>
      <c r="L1781" s="24" t="n">
        <f aca="false">DATE(YEAR(C1781),MONTH(C1781),1)</f>
        <v>43282</v>
      </c>
      <c r="M1781" s="21" t="n">
        <f aca="false">D1781-C1781</f>
        <v>14</v>
      </c>
      <c r="N1781" s="21" t="n">
        <f aca="false">MAX(0,D1781-E1781)</f>
        <v>0</v>
      </c>
      <c r="O1781" s="21" t="n">
        <f aca="false">IF(D1781&lt;=E1781,1,0)</f>
        <v>1</v>
      </c>
      <c r="P1781" s="23" t="n">
        <f aca="false">G1781+H1781</f>
        <v>47.42</v>
      </c>
      <c r="Q1781" s="23" t="n">
        <f aca="false">G1781*INDEX(Assumptions!$B$8:$B$16,MATCH(F1781,Assumptions!$A$8:$A$16,0))</f>
        <v>16.2168</v>
      </c>
      <c r="R1781" s="23" t="n">
        <f aca="false">H1781*Assumptions!$B$3</f>
        <v>11.676</v>
      </c>
      <c r="S1781" s="23" t="n">
        <f aca="false">G1781-Q1781-R1781</f>
        <v>0.0672000000000015</v>
      </c>
      <c r="T1781" s="21" t="str">
        <f aca="false">IF(M1781&lt;=7,"0-7 days",IF(M1781&lt;=14,"8-14 days",IF(M1781&lt;=21,"15-21 days","22+ days")))</f>
        <v>8-14 days</v>
      </c>
    </row>
    <row r="1782" customFormat="false" ht="15" hidden="false" customHeight="false" outlineLevel="0" collapsed="false">
      <c r="A1782" s="21" t="s">
        <v>1848</v>
      </c>
      <c r="B1782" s="21" t="s">
        <v>55</v>
      </c>
      <c r="C1782" s="22" t="n">
        <v>43307</v>
      </c>
      <c r="D1782" s="22" t="n">
        <v>43316</v>
      </c>
      <c r="E1782" s="22" t="n">
        <v>43333</v>
      </c>
      <c r="F1782" s="21" t="s">
        <v>67</v>
      </c>
      <c r="G1782" s="23" t="n">
        <v>98.97</v>
      </c>
      <c r="H1782" s="23" t="n">
        <v>26.88</v>
      </c>
      <c r="I1782" s="21" t="s">
        <v>104</v>
      </c>
      <c r="J1782" s="21" t="n">
        <v>5</v>
      </c>
      <c r="K1782" s="21" t="s">
        <v>46</v>
      </c>
      <c r="L1782" s="24" t="n">
        <f aca="false">DATE(YEAR(C1782),MONTH(C1782),1)</f>
        <v>43282</v>
      </c>
      <c r="M1782" s="21" t="n">
        <f aca="false">D1782-C1782</f>
        <v>9</v>
      </c>
      <c r="N1782" s="21" t="n">
        <f aca="false">MAX(0,D1782-E1782)</f>
        <v>0</v>
      </c>
      <c r="O1782" s="21" t="n">
        <f aca="false">IF(D1782&lt;=E1782,1,0)</f>
        <v>1</v>
      </c>
      <c r="P1782" s="23" t="n">
        <f aca="false">G1782+H1782</f>
        <v>125.85</v>
      </c>
      <c r="Q1782" s="23" t="n">
        <f aca="false">G1782*INDEX(Assumptions!$B$8:$B$16,MATCH(F1782,Assumptions!$A$8:$A$16,0))</f>
        <v>61.3614</v>
      </c>
      <c r="R1782" s="23" t="n">
        <f aca="false">H1782*Assumptions!$B$3</f>
        <v>16.128</v>
      </c>
      <c r="S1782" s="23" t="n">
        <f aca="false">G1782-Q1782-R1782</f>
        <v>21.4806</v>
      </c>
      <c r="T1782" s="21" t="str">
        <f aca="false">IF(M1782&lt;=7,"0-7 days",IF(M1782&lt;=14,"8-14 days",IF(M1782&lt;=21,"15-21 days","22+ days")))</f>
        <v>8-14 days</v>
      </c>
    </row>
    <row r="1783" customFormat="false" ht="15" hidden="false" customHeight="false" outlineLevel="0" collapsed="false">
      <c r="A1783" s="21" t="s">
        <v>1849</v>
      </c>
      <c r="B1783" s="21" t="s">
        <v>48</v>
      </c>
      <c r="C1783" s="22" t="n">
        <v>43308</v>
      </c>
      <c r="D1783" s="22" t="n">
        <v>43315</v>
      </c>
      <c r="E1783" s="22" t="n">
        <v>43328</v>
      </c>
      <c r="F1783" s="21" t="s">
        <v>53</v>
      </c>
      <c r="G1783" s="23" t="n">
        <v>162.93</v>
      </c>
      <c r="H1783" s="23" t="n">
        <v>27.41</v>
      </c>
      <c r="I1783" s="21" t="s">
        <v>104</v>
      </c>
      <c r="J1783" s="21" t="n">
        <v>4</v>
      </c>
      <c r="K1783" s="21" t="s">
        <v>46</v>
      </c>
      <c r="L1783" s="24" t="n">
        <f aca="false">DATE(YEAR(C1783),MONTH(C1783),1)</f>
        <v>43282</v>
      </c>
      <c r="M1783" s="21" t="n">
        <f aca="false">D1783-C1783</f>
        <v>7</v>
      </c>
      <c r="N1783" s="21" t="n">
        <f aca="false">MAX(0,D1783-E1783)</f>
        <v>0</v>
      </c>
      <c r="O1783" s="21" t="n">
        <f aca="false">IF(D1783&lt;=E1783,1,0)</f>
        <v>1</v>
      </c>
      <c r="P1783" s="23" t="n">
        <f aca="false">G1783+H1783</f>
        <v>190.34</v>
      </c>
      <c r="Q1783" s="23" t="n">
        <f aca="false">G1783*INDEX(Assumptions!$B$8:$B$16,MATCH(F1783,Assumptions!$A$8:$A$16,0))</f>
        <v>120.5682</v>
      </c>
      <c r="R1783" s="23" t="n">
        <f aca="false">H1783*Assumptions!$B$3</f>
        <v>16.446</v>
      </c>
      <c r="S1783" s="23" t="n">
        <f aca="false">G1783-Q1783-R1783</f>
        <v>25.9158</v>
      </c>
      <c r="T1783" s="21" t="str">
        <f aca="false">IF(M1783&lt;=7,"0-7 days",IF(M1783&lt;=14,"8-14 days",IF(M1783&lt;=21,"15-21 days","22+ days")))</f>
        <v>0-7 days</v>
      </c>
    </row>
    <row r="1784" customFormat="false" ht="15" hidden="false" customHeight="false" outlineLevel="0" collapsed="false">
      <c r="A1784" s="21" t="s">
        <v>1850</v>
      </c>
      <c r="B1784" s="21" t="s">
        <v>19</v>
      </c>
      <c r="C1784" s="22" t="n">
        <v>43308</v>
      </c>
      <c r="D1784" s="22" t="n">
        <v>43313</v>
      </c>
      <c r="E1784" s="22" t="n">
        <v>43322</v>
      </c>
      <c r="F1784" s="21" t="s">
        <v>67</v>
      </c>
      <c r="G1784" s="23" t="n">
        <v>94.92</v>
      </c>
      <c r="H1784" s="23" t="n">
        <v>17.93</v>
      </c>
      <c r="I1784" s="21" t="s">
        <v>45</v>
      </c>
      <c r="J1784" s="21" t="n">
        <v>4</v>
      </c>
      <c r="K1784" s="21" t="s">
        <v>46</v>
      </c>
      <c r="L1784" s="24" t="n">
        <f aca="false">DATE(YEAR(C1784),MONTH(C1784),1)</f>
        <v>43282</v>
      </c>
      <c r="M1784" s="21" t="n">
        <f aca="false">D1784-C1784</f>
        <v>5</v>
      </c>
      <c r="N1784" s="21" t="n">
        <f aca="false">MAX(0,D1784-E1784)</f>
        <v>0</v>
      </c>
      <c r="O1784" s="21" t="n">
        <f aca="false">IF(D1784&lt;=E1784,1,0)</f>
        <v>1</v>
      </c>
      <c r="P1784" s="23" t="n">
        <f aca="false">G1784+H1784</f>
        <v>112.85</v>
      </c>
      <c r="Q1784" s="23" t="n">
        <f aca="false">G1784*INDEX(Assumptions!$B$8:$B$16,MATCH(F1784,Assumptions!$A$8:$A$16,0))</f>
        <v>58.8504</v>
      </c>
      <c r="R1784" s="23" t="n">
        <f aca="false">H1784*Assumptions!$B$3</f>
        <v>10.758</v>
      </c>
      <c r="S1784" s="23" t="n">
        <f aca="false">G1784-Q1784-R1784</f>
        <v>25.3116</v>
      </c>
      <c r="T1784" s="21" t="str">
        <f aca="false">IF(M1784&lt;=7,"0-7 days",IF(M1784&lt;=14,"8-14 days",IF(M1784&lt;=21,"15-21 days","22+ days")))</f>
        <v>0-7 days</v>
      </c>
    </row>
    <row r="1785" customFormat="false" ht="15" hidden="false" customHeight="false" outlineLevel="0" collapsed="false">
      <c r="A1785" s="21" t="s">
        <v>1851</v>
      </c>
      <c r="B1785" s="21" t="s">
        <v>174</v>
      </c>
      <c r="C1785" s="22" t="n">
        <v>43308</v>
      </c>
      <c r="D1785" s="22" t="n">
        <v>43319</v>
      </c>
      <c r="E1785" s="22" t="n">
        <v>43341</v>
      </c>
      <c r="F1785" s="21" t="s">
        <v>53</v>
      </c>
      <c r="G1785" s="23" t="n">
        <v>73.7</v>
      </c>
      <c r="H1785" s="23" t="n">
        <v>47.43</v>
      </c>
      <c r="I1785" s="21" t="s">
        <v>45</v>
      </c>
      <c r="J1785" s="21" t="n">
        <v>4</v>
      </c>
      <c r="K1785" s="21" t="s">
        <v>46</v>
      </c>
      <c r="L1785" s="24" t="n">
        <f aca="false">DATE(YEAR(C1785),MONTH(C1785),1)</f>
        <v>43282</v>
      </c>
      <c r="M1785" s="21" t="n">
        <f aca="false">D1785-C1785</f>
        <v>11</v>
      </c>
      <c r="N1785" s="21" t="n">
        <f aca="false">MAX(0,D1785-E1785)</f>
        <v>0</v>
      </c>
      <c r="O1785" s="21" t="n">
        <f aca="false">IF(D1785&lt;=E1785,1,0)</f>
        <v>1</v>
      </c>
      <c r="P1785" s="23" t="n">
        <f aca="false">G1785+H1785</f>
        <v>121.13</v>
      </c>
      <c r="Q1785" s="23" t="n">
        <f aca="false">G1785*INDEX(Assumptions!$B$8:$B$16,MATCH(F1785,Assumptions!$A$8:$A$16,0))</f>
        <v>54.538</v>
      </c>
      <c r="R1785" s="23" t="n">
        <f aca="false">H1785*Assumptions!$B$3</f>
        <v>28.458</v>
      </c>
      <c r="S1785" s="23" t="n">
        <f aca="false">G1785-Q1785-R1785</f>
        <v>-9.296</v>
      </c>
      <c r="T1785" s="21" t="str">
        <f aca="false">IF(M1785&lt;=7,"0-7 days",IF(M1785&lt;=14,"8-14 days",IF(M1785&lt;=21,"15-21 days","22+ days")))</f>
        <v>8-14 days</v>
      </c>
    </row>
    <row r="1786" customFormat="false" ht="15" hidden="false" customHeight="false" outlineLevel="0" collapsed="false">
      <c r="A1786" s="21" t="s">
        <v>1852</v>
      </c>
      <c r="B1786" s="21" t="s">
        <v>19</v>
      </c>
      <c r="C1786" s="22" t="n">
        <v>43308</v>
      </c>
      <c r="D1786" s="22" t="n">
        <v>43315</v>
      </c>
      <c r="E1786" s="22" t="n">
        <v>43324</v>
      </c>
      <c r="F1786" s="21" t="s">
        <v>49</v>
      </c>
      <c r="G1786" s="23" t="n">
        <v>36.71</v>
      </c>
      <c r="H1786" s="23" t="n">
        <v>18.87</v>
      </c>
      <c r="I1786" s="21" t="s">
        <v>45</v>
      </c>
      <c r="J1786" s="21" t="n">
        <v>5</v>
      </c>
      <c r="K1786" s="21" t="s">
        <v>46</v>
      </c>
      <c r="L1786" s="24" t="n">
        <f aca="false">DATE(YEAR(C1786),MONTH(C1786),1)</f>
        <v>43282</v>
      </c>
      <c r="M1786" s="21" t="n">
        <f aca="false">D1786-C1786</f>
        <v>7</v>
      </c>
      <c r="N1786" s="21" t="n">
        <f aca="false">MAX(0,D1786-E1786)</f>
        <v>0</v>
      </c>
      <c r="O1786" s="21" t="n">
        <f aca="false">IF(D1786&lt;=E1786,1,0)</f>
        <v>1</v>
      </c>
      <c r="P1786" s="23" t="n">
        <f aca="false">G1786+H1786</f>
        <v>55.58</v>
      </c>
      <c r="Q1786" s="23" t="n">
        <f aca="false">G1786*INDEX(Assumptions!$B$8:$B$16,MATCH(F1786,Assumptions!$A$8:$A$16,0))</f>
        <v>21.2918</v>
      </c>
      <c r="R1786" s="23" t="n">
        <f aca="false">H1786*Assumptions!$B$3</f>
        <v>11.322</v>
      </c>
      <c r="S1786" s="23" t="n">
        <f aca="false">G1786-Q1786-R1786</f>
        <v>4.0962</v>
      </c>
      <c r="T1786" s="21" t="str">
        <f aca="false">IF(M1786&lt;=7,"0-7 days",IF(M1786&lt;=14,"8-14 days",IF(M1786&lt;=21,"15-21 days","22+ days")))</f>
        <v>0-7 days</v>
      </c>
    </row>
    <row r="1787" customFormat="false" ht="15" hidden="false" customHeight="false" outlineLevel="0" collapsed="false">
      <c r="A1787" s="21" t="s">
        <v>1853</v>
      </c>
      <c r="B1787" s="21" t="s">
        <v>62</v>
      </c>
      <c r="C1787" s="22" t="n">
        <v>43308</v>
      </c>
      <c r="D1787" s="22" t="n">
        <v>43322</v>
      </c>
      <c r="E1787" s="22" t="n">
        <v>43332</v>
      </c>
      <c r="F1787" s="21" t="s">
        <v>53</v>
      </c>
      <c r="G1787" s="23" t="n">
        <v>231.76</v>
      </c>
      <c r="H1787" s="23" t="n">
        <v>22.04</v>
      </c>
      <c r="I1787" s="21" t="s">
        <v>45</v>
      </c>
      <c r="J1787" s="21" t="n">
        <v>4</v>
      </c>
      <c r="K1787" s="21" t="s">
        <v>46</v>
      </c>
      <c r="L1787" s="24" t="n">
        <f aca="false">DATE(YEAR(C1787),MONTH(C1787),1)</f>
        <v>43282</v>
      </c>
      <c r="M1787" s="21" t="n">
        <f aca="false">D1787-C1787</f>
        <v>14</v>
      </c>
      <c r="N1787" s="21" t="n">
        <f aca="false">MAX(0,D1787-E1787)</f>
        <v>0</v>
      </c>
      <c r="O1787" s="21" t="n">
        <f aca="false">IF(D1787&lt;=E1787,1,0)</f>
        <v>1</v>
      </c>
      <c r="P1787" s="23" t="n">
        <f aca="false">G1787+H1787</f>
        <v>253.8</v>
      </c>
      <c r="Q1787" s="23" t="n">
        <f aca="false">G1787*INDEX(Assumptions!$B$8:$B$16,MATCH(F1787,Assumptions!$A$8:$A$16,0))</f>
        <v>171.5024</v>
      </c>
      <c r="R1787" s="23" t="n">
        <f aca="false">H1787*Assumptions!$B$3</f>
        <v>13.224</v>
      </c>
      <c r="S1787" s="23" t="n">
        <f aca="false">G1787-Q1787-R1787</f>
        <v>47.0336</v>
      </c>
      <c r="T1787" s="21" t="str">
        <f aca="false">IF(M1787&lt;=7,"0-7 days",IF(M1787&lt;=14,"8-14 days",IF(M1787&lt;=21,"15-21 days","22+ days")))</f>
        <v>8-14 days</v>
      </c>
    </row>
    <row r="1788" customFormat="false" ht="15" hidden="false" customHeight="false" outlineLevel="0" collapsed="false">
      <c r="A1788" s="21" t="s">
        <v>1854</v>
      </c>
      <c r="B1788" s="21" t="s">
        <v>134</v>
      </c>
      <c r="C1788" s="22" t="n">
        <v>43308</v>
      </c>
      <c r="D1788" s="22" t="n">
        <v>43322</v>
      </c>
      <c r="E1788" s="22" t="n">
        <v>43331</v>
      </c>
      <c r="F1788" s="21" t="s">
        <v>57</v>
      </c>
      <c r="G1788" s="23" t="n">
        <v>203.32</v>
      </c>
      <c r="H1788" s="23" t="n">
        <v>22.56</v>
      </c>
      <c r="I1788" s="21" t="s">
        <v>45</v>
      </c>
      <c r="J1788" s="21" t="n">
        <v>5</v>
      </c>
      <c r="K1788" s="21" t="s">
        <v>46</v>
      </c>
      <c r="L1788" s="24" t="n">
        <f aca="false">DATE(YEAR(C1788),MONTH(C1788),1)</f>
        <v>43282</v>
      </c>
      <c r="M1788" s="21" t="n">
        <f aca="false">D1788-C1788</f>
        <v>14</v>
      </c>
      <c r="N1788" s="21" t="n">
        <f aca="false">MAX(0,D1788-E1788)</f>
        <v>0</v>
      </c>
      <c r="O1788" s="21" t="n">
        <f aca="false">IF(D1788&lt;=E1788,1,0)</f>
        <v>1</v>
      </c>
      <c r="P1788" s="23" t="n">
        <f aca="false">G1788+H1788</f>
        <v>225.88</v>
      </c>
      <c r="Q1788" s="23" t="n">
        <f aca="false">G1788*INDEX(Assumptions!$B$8:$B$16,MATCH(F1788,Assumptions!$A$8:$A$16,0))</f>
        <v>138.2576</v>
      </c>
      <c r="R1788" s="23" t="n">
        <f aca="false">H1788*Assumptions!$B$3</f>
        <v>13.536</v>
      </c>
      <c r="S1788" s="23" t="n">
        <f aca="false">G1788-Q1788-R1788</f>
        <v>51.5264</v>
      </c>
      <c r="T1788" s="21" t="str">
        <f aca="false">IF(M1788&lt;=7,"0-7 days",IF(M1788&lt;=14,"8-14 days",IF(M1788&lt;=21,"15-21 days","22+ days")))</f>
        <v>8-14 days</v>
      </c>
    </row>
    <row r="1789" customFormat="false" ht="15" hidden="false" customHeight="false" outlineLevel="0" collapsed="false">
      <c r="A1789" s="21" t="s">
        <v>1855</v>
      </c>
      <c r="B1789" s="21" t="s">
        <v>19</v>
      </c>
      <c r="C1789" s="22" t="n">
        <v>43308</v>
      </c>
      <c r="D1789" s="22" t="n">
        <v>43315</v>
      </c>
      <c r="E1789" s="22" t="n">
        <v>43323</v>
      </c>
      <c r="F1789" s="21" t="s">
        <v>49</v>
      </c>
      <c r="G1789" s="23" t="n">
        <v>63.42</v>
      </c>
      <c r="H1789" s="23" t="n">
        <v>14.08</v>
      </c>
      <c r="I1789" s="21" t="s">
        <v>45</v>
      </c>
      <c r="J1789" s="21" t="n">
        <v>4</v>
      </c>
      <c r="K1789" s="21" t="s">
        <v>46</v>
      </c>
      <c r="L1789" s="24" t="n">
        <f aca="false">DATE(YEAR(C1789),MONTH(C1789),1)</f>
        <v>43282</v>
      </c>
      <c r="M1789" s="21" t="n">
        <f aca="false">D1789-C1789</f>
        <v>7</v>
      </c>
      <c r="N1789" s="21" t="n">
        <f aca="false">MAX(0,D1789-E1789)</f>
        <v>0</v>
      </c>
      <c r="O1789" s="21" t="n">
        <f aca="false">IF(D1789&lt;=E1789,1,0)</f>
        <v>1</v>
      </c>
      <c r="P1789" s="23" t="n">
        <f aca="false">G1789+H1789</f>
        <v>77.5</v>
      </c>
      <c r="Q1789" s="23" t="n">
        <f aca="false">G1789*INDEX(Assumptions!$B$8:$B$16,MATCH(F1789,Assumptions!$A$8:$A$16,0))</f>
        <v>36.7836</v>
      </c>
      <c r="R1789" s="23" t="n">
        <f aca="false">H1789*Assumptions!$B$3</f>
        <v>8.448</v>
      </c>
      <c r="S1789" s="23" t="n">
        <f aca="false">G1789-Q1789-R1789</f>
        <v>18.1884</v>
      </c>
      <c r="T1789" s="21" t="str">
        <f aca="false">IF(M1789&lt;=7,"0-7 days",IF(M1789&lt;=14,"8-14 days",IF(M1789&lt;=21,"15-21 days","22+ days")))</f>
        <v>0-7 days</v>
      </c>
    </row>
    <row r="1790" customFormat="false" ht="15" hidden="false" customHeight="false" outlineLevel="0" collapsed="false">
      <c r="A1790" s="21" t="s">
        <v>1856</v>
      </c>
      <c r="B1790" s="21" t="s">
        <v>134</v>
      </c>
      <c r="C1790" s="22" t="n">
        <v>43308</v>
      </c>
      <c r="D1790" s="22" t="n">
        <v>43329</v>
      </c>
      <c r="E1790" s="22" t="n">
        <v>43334</v>
      </c>
      <c r="F1790" s="21" t="s">
        <v>64</v>
      </c>
      <c r="G1790" s="23" t="n">
        <v>97.16</v>
      </c>
      <c r="H1790" s="23" t="n">
        <v>29.58</v>
      </c>
      <c r="I1790" s="21" t="s">
        <v>45</v>
      </c>
      <c r="J1790" s="21" t="n">
        <v>4</v>
      </c>
      <c r="K1790" s="21" t="s">
        <v>46</v>
      </c>
      <c r="L1790" s="24" t="n">
        <f aca="false">DATE(YEAR(C1790),MONTH(C1790),1)</f>
        <v>43282</v>
      </c>
      <c r="M1790" s="21" t="n">
        <f aca="false">D1790-C1790</f>
        <v>21</v>
      </c>
      <c r="N1790" s="21" t="n">
        <f aca="false">MAX(0,D1790-E1790)</f>
        <v>0</v>
      </c>
      <c r="O1790" s="21" t="n">
        <f aca="false">IF(D1790&lt;=E1790,1,0)</f>
        <v>1</v>
      </c>
      <c r="P1790" s="23" t="n">
        <f aca="false">G1790+H1790</f>
        <v>126.74</v>
      </c>
      <c r="Q1790" s="23" t="n">
        <f aca="false">G1790*INDEX(Assumptions!$B$8:$B$16,MATCH(F1790,Assumptions!$A$8:$A$16,0))</f>
        <v>64.1256</v>
      </c>
      <c r="R1790" s="23" t="n">
        <f aca="false">H1790*Assumptions!$B$3</f>
        <v>17.748</v>
      </c>
      <c r="S1790" s="23" t="n">
        <f aca="false">G1790-Q1790-R1790</f>
        <v>15.2864</v>
      </c>
      <c r="T1790" s="21" t="str">
        <f aca="false">IF(M1790&lt;=7,"0-7 days",IF(M1790&lt;=14,"8-14 days",IF(M1790&lt;=21,"15-21 days","22+ days")))</f>
        <v>15-21 days</v>
      </c>
    </row>
    <row r="1791" customFormat="false" ht="15" hidden="false" customHeight="false" outlineLevel="0" collapsed="false">
      <c r="A1791" s="21" t="s">
        <v>1857</v>
      </c>
      <c r="B1791" s="21" t="s">
        <v>93</v>
      </c>
      <c r="C1791" s="22" t="n">
        <v>43308</v>
      </c>
      <c r="D1791" s="22" t="n">
        <v>43336</v>
      </c>
      <c r="E1791" s="22" t="n">
        <v>43336</v>
      </c>
      <c r="F1791" s="21" t="s">
        <v>49</v>
      </c>
      <c r="G1791" s="23" t="n">
        <v>20.35</v>
      </c>
      <c r="H1791" s="23" t="n">
        <v>25</v>
      </c>
      <c r="I1791" s="21" t="s">
        <v>50</v>
      </c>
      <c r="J1791" s="21" t="n">
        <v>4</v>
      </c>
      <c r="K1791" s="21" t="s">
        <v>46</v>
      </c>
      <c r="L1791" s="24" t="n">
        <f aca="false">DATE(YEAR(C1791),MONTH(C1791),1)</f>
        <v>43282</v>
      </c>
      <c r="M1791" s="21" t="n">
        <f aca="false">D1791-C1791</f>
        <v>28</v>
      </c>
      <c r="N1791" s="21" t="n">
        <f aca="false">MAX(0,D1791-E1791)</f>
        <v>0</v>
      </c>
      <c r="O1791" s="21" t="n">
        <f aca="false">IF(D1791&lt;=E1791,1,0)</f>
        <v>1</v>
      </c>
      <c r="P1791" s="23" t="n">
        <f aca="false">G1791+H1791</f>
        <v>45.35</v>
      </c>
      <c r="Q1791" s="23" t="n">
        <f aca="false">G1791*INDEX(Assumptions!$B$8:$B$16,MATCH(F1791,Assumptions!$A$8:$A$16,0))</f>
        <v>11.803</v>
      </c>
      <c r="R1791" s="23" t="n">
        <f aca="false">H1791*Assumptions!$B$3</f>
        <v>15</v>
      </c>
      <c r="S1791" s="23" t="n">
        <f aca="false">G1791-Q1791-R1791</f>
        <v>-6.453</v>
      </c>
      <c r="T1791" s="21" t="str">
        <f aca="false">IF(M1791&lt;=7,"0-7 days",IF(M1791&lt;=14,"8-14 days",IF(M1791&lt;=21,"15-21 days","22+ days")))</f>
        <v>22+ days</v>
      </c>
    </row>
    <row r="1792" customFormat="false" ht="15" hidden="false" customHeight="false" outlineLevel="0" collapsed="false">
      <c r="A1792" s="21" t="s">
        <v>1858</v>
      </c>
      <c r="B1792" s="21" t="s">
        <v>134</v>
      </c>
      <c r="C1792" s="22" t="n">
        <v>43309</v>
      </c>
      <c r="D1792" s="22" t="n">
        <v>43316</v>
      </c>
      <c r="E1792" s="22" t="n">
        <v>43331</v>
      </c>
      <c r="F1792" s="21" t="s">
        <v>67</v>
      </c>
      <c r="G1792" s="23" t="n">
        <v>217.43</v>
      </c>
      <c r="H1792" s="23" t="n">
        <v>21.56</v>
      </c>
      <c r="I1792" s="21" t="s">
        <v>45</v>
      </c>
      <c r="J1792" s="21" t="n">
        <v>5</v>
      </c>
      <c r="K1792" s="21" t="s">
        <v>46</v>
      </c>
      <c r="L1792" s="24" t="n">
        <f aca="false">DATE(YEAR(C1792),MONTH(C1792),1)</f>
        <v>43282</v>
      </c>
      <c r="M1792" s="21" t="n">
        <f aca="false">D1792-C1792</f>
        <v>7</v>
      </c>
      <c r="N1792" s="21" t="n">
        <f aca="false">MAX(0,D1792-E1792)</f>
        <v>0</v>
      </c>
      <c r="O1792" s="21" t="n">
        <f aca="false">IF(D1792&lt;=E1792,1,0)</f>
        <v>1</v>
      </c>
      <c r="P1792" s="23" t="n">
        <f aca="false">G1792+H1792</f>
        <v>238.99</v>
      </c>
      <c r="Q1792" s="23" t="n">
        <f aca="false">G1792*INDEX(Assumptions!$B$8:$B$16,MATCH(F1792,Assumptions!$A$8:$A$16,0))</f>
        <v>134.8066</v>
      </c>
      <c r="R1792" s="23" t="n">
        <f aca="false">H1792*Assumptions!$B$3</f>
        <v>12.936</v>
      </c>
      <c r="S1792" s="23" t="n">
        <f aca="false">G1792-Q1792-R1792</f>
        <v>69.6874</v>
      </c>
      <c r="T1792" s="21" t="str">
        <f aca="false">IF(M1792&lt;=7,"0-7 days",IF(M1792&lt;=14,"8-14 days",IF(M1792&lt;=21,"15-21 days","22+ days")))</f>
        <v>0-7 days</v>
      </c>
    </row>
    <row r="1793" customFormat="false" ht="15" hidden="false" customHeight="false" outlineLevel="0" collapsed="false">
      <c r="A1793" s="21" t="s">
        <v>1859</v>
      </c>
      <c r="B1793" s="21" t="s">
        <v>19</v>
      </c>
      <c r="C1793" s="22" t="n">
        <v>43309</v>
      </c>
      <c r="D1793" s="22" t="n">
        <v>43317</v>
      </c>
      <c r="E1793" s="22" t="n">
        <v>43324</v>
      </c>
      <c r="F1793" s="21" t="s">
        <v>59</v>
      </c>
      <c r="G1793" s="23" t="n">
        <v>58.88</v>
      </c>
      <c r="H1793" s="23" t="n">
        <v>17.46</v>
      </c>
      <c r="I1793" s="21" t="s">
        <v>45</v>
      </c>
      <c r="J1793" s="21" t="n">
        <v>4</v>
      </c>
      <c r="K1793" s="21" t="s">
        <v>46</v>
      </c>
      <c r="L1793" s="24" t="n">
        <f aca="false">DATE(YEAR(C1793),MONTH(C1793),1)</f>
        <v>43282</v>
      </c>
      <c r="M1793" s="21" t="n">
        <f aca="false">D1793-C1793</f>
        <v>8</v>
      </c>
      <c r="N1793" s="21" t="n">
        <f aca="false">MAX(0,D1793-E1793)</f>
        <v>0</v>
      </c>
      <c r="O1793" s="21" t="n">
        <f aca="false">IF(D1793&lt;=E1793,1,0)</f>
        <v>1</v>
      </c>
      <c r="P1793" s="23" t="n">
        <f aca="false">G1793+H1793</f>
        <v>76.34</v>
      </c>
      <c r="Q1793" s="23" t="n">
        <f aca="false">G1793*INDEX(Assumptions!$B$8:$B$16,MATCH(F1793,Assumptions!$A$8:$A$16,0))</f>
        <v>37.6832</v>
      </c>
      <c r="R1793" s="23" t="n">
        <f aca="false">H1793*Assumptions!$B$3</f>
        <v>10.476</v>
      </c>
      <c r="S1793" s="23" t="n">
        <f aca="false">G1793-Q1793-R1793</f>
        <v>10.7208</v>
      </c>
      <c r="T1793" s="21" t="str">
        <f aca="false">IF(M1793&lt;=7,"0-7 days",IF(M1793&lt;=14,"8-14 days",IF(M1793&lt;=21,"15-21 days","22+ days")))</f>
        <v>8-14 days</v>
      </c>
    </row>
    <row r="1794" customFormat="false" ht="15" hidden="false" customHeight="false" outlineLevel="0" collapsed="false">
      <c r="A1794" s="21" t="s">
        <v>1860</v>
      </c>
      <c r="B1794" s="21" t="s">
        <v>62</v>
      </c>
      <c r="C1794" s="22" t="n">
        <v>43309</v>
      </c>
      <c r="D1794" s="22" t="n">
        <v>43315</v>
      </c>
      <c r="E1794" s="22" t="n">
        <v>43327</v>
      </c>
      <c r="F1794" s="21" t="s">
        <v>44</v>
      </c>
      <c r="G1794" s="23" t="n">
        <v>189.45</v>
      </c>
      <c r="H1794" s="23" t="n">
        <v>29.17</v>
      </c>
      <c r="I1794" s="21" t="s">
        <v>45</v>
      </c>
      <c r="J1794" s="21" t="n">
        <v>4</v>
      </c>
      <c r="K1794" s="21" t="s">
        <v>46</v>
      </c>
      <c r="L1794" s="24" t="n">
        <f aca="false">DATE(YEAR(C1794),MONTH(C1794),1)</f>
        <v>43282</v>
      </c>
      <c r="M1794" s="21" t="n">
        <f aca="false">D1794-C1794</f>
        <v>6</v>
      </c>
      <c r="N1794" s="21" t="n">
        <f aca="false">MAX(0,D1794-E1794)</f>
        <v>0</v>
      </c>
      <c r="O1794" s="21" t="n">
        <f aca="false">IF(D1794&lt;=E1794,1,0)</f>
        <v>1</v>
      </c>
      <c r="P1794" s="23" t="n">
        <f aca="false">G1794+H1794</f>
        <v>218.62</v>
      </c>
      <c r="Q1794" s="23" t="n">
        <f aca="false">G1794*INDEX(Assumptions!$B$8:$B$16,MATCH(F1794,Assumptions!$A$8:$A$16,0))</f>
        <v>113.67</v>
      </c>
      <c r="R1794" s="23" t="n">
        <f aca="false">H1794*Assumptions!$B$3</f>
        <v>17.502</v>
      </c>
      <c r="S1794" s="23" t="n">
        <f aca="false">G1794-Q1794-R1794</f>
        <v>58.278</v>
      </c>
      <c r="T1794" s="21" t="str">
        <f aca="false">IF(M1794&lt;=7,"0-7 days",IF(M1794&lt;=14,"8-14 days",IF(M1794&lt;=21,"15-21 days","22+ days")))</f>
        <v>0-7 days</v>
      </c>
    </row>
    <row r="1795" customFormat="false" ht="15" hidden="false" customHeight="false" outlineLevel="0" collapsed="false">
      <c r="A1795" s="21" t="s">
        <v>1861</v>
      </c>
      <c r="B1795" s="21" t="s">
        <v>55</v>
      </c>
      <c r="C1795" s="22" t="n">
        <v>43309</v>
      </c>
      <c r="D1795" s="22" t="n">
        <v>43319</v>
      </c>
      <c r="E1795" s="22" t="n">
        <v>43336</v>
      </c>
      <c r="F1795" s="21" t="s">
        <v>49</v>
      </c>
      <c r="G1795" s="23" t="n">
        <v>45.34</v>
      </c>
      <c r="H1795" s="23" t="n">
        <v>22.6</v>
      </c>
      <c r="I1795" s="21" t="s">
        <v>45</v>
      </c>
      <c r="J1795" s="21" t="n">
        <v>4</v>
      </c>
      <c r="K1795" s="21" t="s">
        <v>46</v>
      </c>
      <c r="L1795" s="24" t="n">
        <f aca="false">DATE(YEAR(C1795),MONTH(C1795),1)</f>
        <v>43282</v>
      </c>
      <c r="M1795" s="21" t="n">
        <f aca="false">D1795-C1795</f>
        <v>10</v>
      </c>
      <c r="N1795" s="21" t="n">
        <f aca="false">MAX(0,D1795-E1795)</f>
        <v>0</v>
      </c>
      <c r="O1795" s="21" t="n">
        <f aca="false">IF(D1795&lt;=E1795,1,0)</f>
        <v>1</v>
      </c>
      <c r="P1795" s="23" t="n">
        <f aca="false">G1795+H1795</f>
        <v>67.94</v>
      </c>
      <c r="Q1795" s="23" t="n">
        <f aca="false">G1795*INDEX(Assumptions!$B$8:$B$16,MATCH(F1795,Assumptions!$A$8:$A$16,0))</f>
        <v>26.2972</v>
      </c>
      <c r="R1795" s="23" t="n">
        <f aca="false">H1795*Assumptions!$B$3</f>
        <v>13.56</v>
      </c>
      <c r="S1795" s="23" t="n">
        <f aca="false">G1795-Q1795-R1795</f>
        <v>5.4828</v>
      </c>
      <c r="T1795" s="21" t="str">
        <f aca="false">IF(M1795&lt;=7,"0-7 days",IF(M1795&lt;=14,"8-14 days",IF(M1795&lt;=21,"15-21 days","22+ days")))</f>
        <v>8-14 days</v>
      </c>
    </row>
    <row r="1796" customFormat="false" ht="15" hidden="false" customHeight="false" outlineLevel="0" collapsed="false">
      <c r="A1796" s="21" t="s">
        <v>1862</v>
      </c>
      <c r="B1796" s="21" t="s">
        <v>62</v>
      </c>
      <c r="C1796" s="22" t="n">
        <v>43309</v>
      </c>
      <c r="D1796" s="22" t="n">
        <v>43325</v>
      </c>
      <c r="E1796" s="22" t="n">
        <v>43328</v>
      </c>
      <c r="F1796" s="21" t="s">
        <v>79</v>
      </c>
      <c r="G1796" s="23" t="n">
        <v>136.66</v>
      </c>
      <c r="H1796" s="23" t="n">
        <v>17.43</v>
      </c>
      <c r="I1796" s="21" t="s">
        <v>45</v>
      </c>
      <c r="J1796" s="21" t="n">
        <v>3</v>
      </c>
      <c r="K1796" s="21" t="s">
        <v>46</v>
      </c>
      <c r="L1796" s="24" t="n">
        <f aca="false">DATE(YEAR(C1796),MONTH(C1796),1)</f>
        <v>43282</v>
      </c>
      <c r="M1796" s="21" t="n">
        <f aca="false">D1796-C1796</f>
        <v>16</v>
      </c>
      <c r="N1796" s="21" t="n">
        <f aca="false">MAX(0,D1796-E1796)</f>
        <v>0</v>
      </c>
      <c r="O1796" s="21" t="n">
        <f aca="false">IF(D1796&lt;=E1796,1,0)</f>
        <v>1</v>
      </c>
      <c r="P1796" s="23" t="n">
        <f aca="false">G1796+H1796</f>
        <v>154.09</v>
      </c>
      <c r="Q1796" s="23" t="n">
        <f aca="false">G1796*INDEX(Assumptions!$B$8:$B$16,MATCH(F1796,Assumptions!$A$8:$A$16,0))</f>
        <v>95.662</v>
      </c>
      <c r="R1796" s="23" t="n">
        <f aca="false">H1796*Assumptions!$B$3</f>
        <v>10.458</v>
      </c>
      <c r="S1796" s="23" t="n">
        <f aca="false">G1796-Q1796-R1796</f>
        <v>30.54</v>
      </c>
      <c r="T1796" s="21" t="str">
        <f aca="false">IF(M1796&lt;=7,"0-7 days",IF(M1796&lt;=14,"8-14 days",IF(M1796&lt;=21,"15-21 days","22+ days")))</f>
        <v>15-21 days</v>
      </c>
    </row>
    <row r="1797" customFormat="false" ht="15" hidden="false" customHeight="false" outlineLevel="0" collapsed="false">
      <c r="A1797" s="21" t="s">
        <v>1863</v>
      </c>
      <c r="B1797" s="21" t="s">
        <v>19</v>
      </c>
      <c r="C1797" s="22" t="n">
        <v>43309</v>
      </c>
      <c r="D1797" s="22" t="n">
        <v>43316</v>
      </c>
      <c r="E1797" s="22" t="n">
        <v>43325</v>
      </c>
      <c r="F1797" s="21" t="s">
        <v>111</v>
      </c>
      <c r="G1797" s="23" t="n">
        <v>59.39</v>
      </c>
      <c r="H1797" s="23" t="n">
        <v>14.11</v>
      </c>
      <c r="I1797" s="21" t="s">
        <v>45</v>
      </c>
      <c r="J1797" s="21" t="n">
        <v>5</v>
      </c>
      <c r="K1797" s="21" t="s">
        <v>46</v>
      </c>
      <c r="L1797" s="24" t="n">
        <f aca="false">DATE(YEAR(C1797),MONTH(C1797),1)</f>
        <v>43282</v>
      </c>
      <c r="M1797" s="21" t="n">
        <f aca="false">D1797-C1797</f>
        <v>7</v>
      </c>
      <c r="N1797" s="21" t="n">
        <f aca="false">MAX(0,D1797-E1797)</f>
        <v>0</v>
      </c>
      <c r="O1797" s="21" t="n">
        <f aca="false">IF(D1797&lt;=E1797,1,0)</f>
        <v>1</v>
      </c>
      <c r="P1797" s="23" t="n">
        <f aca="false">G1797+H1797</f>
        <v>73.5</v>
      </c>
      <c r="Q1797" s="23" t="n">
        <f aca="false">G1797*INDEX(Assumptions!$B$8:$B$16,MATCH(F1797,Assumptions!$A$8:$A$16,0))</f>
        <v>37.4157</v>
      </c>
      <c r="R1797" s="23" t="n">
        <f aca="false">H1797*Assumptions!$B$3</f>
        <v>8.466</v>
      </c>
      <c r="S1797" s="23" t="n">
        <f aca="false">G1797-Q1797-R1797</f>
        <v>13.5083</v>
      </c>
      <c r="T1797" s="21" t="str">
        <f aca="false">IF(M1797&lt;=7,"0-7 days",IF(M1797&lt;=14,"8-14 days",IF(M1797&lt;=21,"15-21 days","22+ days")))</f>
        <v>0-7 days</v>
      </c>
    </row>
    <row r="1798" customFormat="false" ht="15" hidden="false" customHeight="false" outlineLevel="0" collapsed="false">
      <c r="A1798" s="21" t="s">
        <v>1864</v>
      </c>
      <c r="B1798" s="21" t="s">
        <v>156</v>
      </c>
      <c r="C1798" s="22" t="n">
        <v>43309</v>
      </c>
      <c r="D1798" s="22" t="n">
        <v>43329</v>
      </c>
      <c r="E1798" s="22" t="n">
        <v>43332</v>
      </c>
      <c r="F1798" s="21" t="s">
        <v>44</v>
      </c>
      <c r="G1798" s="23" t="n">
        <v>370.12</v>
      </c>
      <c r="H1798" s="23" t="n">
        <v>25.85</v>
      </c>
      <c r="I1798" s="21" t="s">
        <v>50</v>
      </c>
      <c r="J1798" s="21" t="n">
        <v>3</v>
      </c>
      <c r="K1798" s="21" t="s">
        <v>46</v>
      </c>
      <c r="L1798" s="24" t="n">
        <f aca="false">DATE(YEAR(C1798),MONTH(C1798),1)</f>
        <v>43282</v>
      </c>
      <c r="M1798" s="21" t="n">
        <f aca="false">D1798-C1798</f>
        <v>20</v>
      </c>
      <c r="N1798" s="21" t="n">
        <f aca="false">MAX(0,D1798-E1798)</f>
        <v>0</v>
      </c>
      <c r="O1798" s="21" t="n">
        <f aca="false">IF(D1798&lt;=E1798,1,0)</f>
        <v>1</v>
      </c>
      <c r="P1798" s="23" t="n">
        <f aca="false">G1798+H1798</f>
        <v>395.97</v>
      </c>
      <c r="Q1798" s="23" t="n">
        <f aca="false">G1798*INDEX(Assumptions!$B$8:$B$16,MATCH(F1798,Assumptions!$A$8:$A$16,0))</f>
        <v>222.072</v>
      </c>
      <c r="R1798" s="23" t="n">
        <f aca="false">H1798*Assumptions!$B$3</f>
        <v>15.51</v>
      </c>
      <c r="S1798" s="23" t="n">
        <f aca="false">G1798-Q1798-R1798</f>
        <v>132.538</v>
      </c>
      <c r="T1798" s="21" t="str">
        <f aca="false">IF(M1798&lt;=7,"0-7 days",IF(M1798&lt;=14,"8-14 days",IF(M1798&lt;=21,"15-21 days","22+ days")))</f>
        <v>15-21 days</v>
      </c>
    </row>
    <row r="1799" customFormat="false" ht="15" hidden="false" customHeight="false" outlineLevel="0" collapsed="false">
      <c r="A1799" s="21" t="s">
        <v>1865</v>
      </c>
      <c r="B1799" s="21" t="s">
        <v>19</v>
      </c>
      <c r="C1799" s="22" t="n">
        <v>43310</v>
      </c>
      <c r="D1799" s="22" t="n">
        <v>43317</v>
      </c>
      <c r="E1799" s="22" t="n">
        <v>43325</v>
      </c>
      <c r="F1799" s="21" t="s">
        <v>59</v>
      </c>
      <c r="G1799" s="23" t="n">
        <v>45.79</v>
      </c>
      <c r="H1799" s="23" t="n">
        <v>18.58</v>
      </c>
      <c r="I1799" s="21" t="s">
        <v>45</v>
      </c>
      <c r="J1799" s="21" t="n">
        <v>5</v>
      </c>
      <c r="K1799" s="21" t="s">
        <v>46</v>
      </c>
      <c r="L1799" s="24" t="n">
        <f aca="false">DATE(YEAR(C1799),MONTH(C1799),1)</f>
        <v>43282</v>
      </c>
      <c r="M1799" s="21" t="n">
        <f aca="false">D1799-C1799</f>
        <v>7</v>
      </c>
      <c r="N1799" s="21" t="n">
        <f aca="false">MAX(0,D1799-E1799)</f>
        <v>0</v>
      </c>
      <c r="O1799" s="21" t="n">
        <f aca="false">IF(D1799&lt;=E1799,1,0)</f>
        <v>1</v>
      </c>
      <c r="P1799" s="23" t="n">
        <f aca="false">G1799+H1799</f>
        <v>64.37</v>
      </c>
      <c r="Q1799" s="23" t="n">
        <f aca="false">G1799*INDEX(Assumptions!$B$8:$B$16,MATCH(F1799,Assumptions!$A$8:$A$16,0))</f>
        <v>29.3056</v>
      </c>
      <c r="R1799" s="23" t="n">
        <f aca="false">H1799*Assumptions!$B$3</f>
        <v>11.148</v>
      </c>
      <c r="S1799" s="23" t="n">
        <f aca="false">G1799-Q1799-R1799</f>
        <v>5.3364</v>
      </c>
      <c r="T1799" s="21" t="str">
        <f aca="false">IF(M1799&lt;=7,"0-7 days",IF(M1799&lt;=14,"8-14 days",IF(M1799&lt;=21,"15-21 days","22+ days")))</f>
        <v>0-7 days</v>
      </c>
    </row>
    <row r="1800" customFormat="false" ht="15" hidden="false" customHeight="false" outlineLevel="0" collapsed="false">
      <c r="A1800" s="21" t="s">
        <v>1866</v>
      </c>
      <c r="B1800" s="21" t="s">
        <v>19</v>
      </c>
      <c r="C1800" s="22" t="n">
        <v>43310</v>
      </c>
      <c r="D1800" s="22" t="n">
        <v>43317</v>
      </c>
      <c r="E1800" s="22" t="n">
        <v>43323</v>
      </c>
      <c r="F1800" s="21" t="s">
        <v>44</v>
      </c>
      <c r="G1800" s="23" t="n">
        <v>76.76</v>
      </c>
      <c r="H1800" s="23" t="n">
        <v>12.57</v>
      </c>
      <c r="I1800" s="21" t="s">
        <v>60</v>
      </c>
      <c r="J1800" s="21" t="n">
        <v>5</v>
      </c>
      <c r="K1800" s="21" t="s">
        <v>46</v>
      </c>
      <c r="L1800" s="24" t="n">
        <f aca="false">DATE(YEAR(C1800),MONTH(C1800),1)</f>
        <v>43282</v>
      </c>
      <c r="M1800" s="21" t="n">
        <f aca="false">D1800-C1800</f>
        <v>7</v>
      </c>
      <c r="N1800" s="21" t="n">
        <f aca="false">MAX(0,D1800-E1800)</f>
        <v>0</v>
      </c>
      <c r="O1800" s="21" t="n">
        <f aca="false">IF(D1800&lt;=E1800,1,0)</f>
        <v>1</v>
      </c>
      <c r="P1800" s="23" t="n">
        <f aca="false">G1800+H1800</f>
        <v>89.33</v>
      </c>
      <c r="Q1800" s="23" t="n">
        <f aca="false">G1800*INDEX(Assumptions!$B$8:$B$16,MATCH(F1800,Assumptions!$A$8:$A$16,0))</f>
        <v>46.056</v>
      </c>
      <c r="R1800" s="23" t="n">
        <f aca="false">H1800*Assumptions!$B$3</f>
        <v>7.542</v>
      </c>
      <c r="S1800" s="23" t="n">
        <f aca="false">G1800-Q1800-R1800</f>
        <v>23.162</v>
      </c>
      <c r="T1800" s="21" t="str">
        <f aca="false">IF(M1800&lt;=7,"0-7 days",IF(M1800&lt;=14,"8-14 days",IF(M1800&lt;=21,"15-21 days","22+ days")))</f>
        <v>0-7 days</v>
      </c>
    </row>
    <row r="1801" customFormat="false" ht="15" hidden="false" customHeight="false" outlineLevel="0" collapsed="false">
      <c r="A1801" s="21" t="s">
        <v>1867</v>
      </c>
      <c r="B1801" s="21" t="s">
        <v>19</v>
      </c>
      <c r="C1801" s="22" t="n">
        <v>43310</v>
      </c>
      <c r="D1801" s="22" t="n">
        <v>43319</v>
      </c>
      <c r="E1801" s="22" t="n">
        <v>43327</v>
      </c>
      <c r="F1801" s="21" t="s">
        <v>49</v>
      </c>
      <c r="G1801" s="23" t="n">
        <v>69.79</v>
      </c>
      <c r="H1801" s="23" t="n">
        <v>12.77</v>
      </c>
      <c r="I1801" s="21" t="s">
        <v>45</v>
      </c>
      <c r="J1801" s="21" t="n">
        <v>3</v>
      </c>
      <c r="K1801" s="21" t="s">
        <v>46</v>
      </c>
      <c r="L1801" s="24" t="n">
        <f aca="false">DATE(YEAR(C1801),MONTH(C1801),1)</f>
        <v>43282</v>
      </c>
      <c r="M1801" s="21" t="n">
        <f aca="false">D1801-C1801</f>
        <v>9</v>
      </c>
      <c r="N1801" s="21" t="n">
        <f aca="false">MAX(0,D1801-E1801)</f>
        <v>0</v>
      </c>
      <c r="O1801" s="21" t="n">
        <f aca="false">IF(D1801&lt;=E1801,1,0)</f>
        <v>1</v>
      </c>
      <c r="P1801" s="23" t="n">
        <f aca="false">G1801+H1801</f>
        <v>82.56</v>
      </c>
      <c r="Q1801" s="23" t="n">
        <f aca="false">G1801*INDEX(Assumptions!$B$8:$B$16,MATCH(F1801,Assumptions!$A$8:$A$16,0))</f>
        <v>40.4782</v>
      </c>
      <c r="R1801" s="23" t="n">
        <f aca="false">H1801*Assumptions!$B$3</f>
        <v>7.662</v>
      </c>
      <c r="S1801" s="23" t="n">
        <f aca="false">G1801-Q1801-R1801</f>
        <v>21.6498</v>
      </c>
      <c r="T1801" s="21" t="str">
        <f aca="false">IF(M1801&lt;=7,"0-7 days",IF(M1801&lt;=14,"8-14 days",IF(M1801&lt;=21,"15-21 days","22+ days")))</f>
        <v>8-14 days</v>
      </c>
    </row>
    <row r="1802" customFormat="false" ht="15" hidden="false" customHeight="false" outlineLevel="0" collapsed="false">
      <c r="A1802" s="21" t="s">
        <v>1868</v>
      </c>
      <c r="B1802" s="21" t="s">
        <v>19</v>
      </c>
      <c r="C1802" s="22" t="n">
        <v>43310</v>
      </c>
      <c r="D1802" s="22" t="n">
        <v>43333</v>
      </c>
      <c r="E1802" s="22" t="n">
        <v>43325</v>
      </c>
      <c r="F1802" s="21" t="s">
        <v>67</v>
      </c>
      <c r="G1802" s="23" t="n">
        <v>82.33</v>
      </c>
      <c r="H1802" s="23" t="n">
        <v>18.77</v>
      </c>
      <c r="I1802" s="21" t="s">
        <v>45</v>
      </c>
      <c r="J1802" s="21" t="n">
        <v>2</v>
      </c>
      <c r="K1802" s="21" t="s">
        <v>46</v>
      </c>
      <c r="L1802" s="24" t="n">
        <f aca="false">DATE(YEAR(C1802),MONTH(C1802),1)</f>
        <v>43282</v>
      </c>
      <c r="M1802" s="21" t="n">
        <f aca="false">D1802-C1802</f>
        <v>23</v>
      </c>
      <c r="N1802" s="21" t="n">
        <f aca="false">MAX(0,D1802-E1802)</f>
        <v>8</v>
      </c>
      <c r="O1802" s="21" t="n">
        <f aca="false">IF(D1802&lt;=E1802,1,0)</f>
        <v>0</v>
      </c>
      <c r="P1802" s="23" t="n">
        <f aca="false">G1802+H1802</f>
        <v>101.1</v>
      </c>
      <c r="Q1802" s="23" t="n">
        <f aca="false">G1802*INDEX(Assumptions!$B$8:$B$16,MATCH(F1802,Assumptions!$A$8:$A$16,0))</f>
        <v>51.0446</v>
      </c>
      <c r="R1802" s="23" t="n">
        <f aca="false">H1802*Assumptions!$B$3</f>
        <v>11.262</v>
      </c>
      <c r="S1802" s="23" t="n">
        <f aca="false">G1802-Q1802-R1802</f>
        <v>20.0234</v>
      </c>
      <c r="T1802" s="21" t="str">
        <f aca="false">IF(M1802&lt;=7,"0-7 days",IF(M1802&lt;=14,"8-14 days",IF(M1802&lt;=21,"15-21 days","22+ days")))</f>
        <v>22+ days</v>
      </c>
    </row>
    <row r="1803" customFormat="false" ht="15" hidden="false" customHeight="false" outlineLevel="0" collapsed="false">
      <c r="A1803" s="21" t="s">
        <v>1869</v>
      </c>
      <c r="B1803" s="21" t="s">
        <v>103</v>
      </c>
      <c r="C1803" s="22" t="n">
        <v>43310</v>
      </c>
      <c r="D1803" s="22" t="n">
        <v>43316</v>
      </c>
      <c r="E1803" s="22" t="n">
        <v>43333</v>
      </c>
      <c r="F1803" s="21" t="s">
        <v>79</v>
      </c>
      <c r="G1803" s="23" t="n">
        <v>133.23</v>
      </c>
      <c r="H1803" s="23" t="n">
        <v>23.01</v>
      </c>
      <c r="I1803" s="21" t="s">
        <v>50</v>
      </c>
      <c r="J1803" s="21" t="n">
        <v>4</v>
      </c>
      <c r="K1803" s="21" t="s">
        <v>46</v>
      </c>
      <c r="L1803" s="24" t="n">
        <f aca="false">DATE(YEAR(C1803),MONTH(C1803),1)</f>
        <v>43282</v>
      </c>
      <c r="M1803" s="21" t="n">
        <f aca="false">D1803-C1803</f>
        <v>6</v>
      </c>
      <c r="N1803" s="21" t="n">
        <f aca="false">MAX(0,D1803-E1803)</f>
        <v>0</v>
      </c>
      <c r="O1803" s="21" t="n">
        <f aca="false">IF(D1803&lt;=E1803,1,0)</f>
        <v>1</v>
      </c>
      <c r="P1803" s="23" t="n">
        <f aca="false">G1803+H1803</f>
        <v>156.24</v>
      </c>
      <c r="Q1803" s="23" t="n">
        <f aca="false">G1803*INDEX(Assumptions!$B$8:$B$16,MATCH(F1803,Assumptions!$A$8:$A$16,0))</f>
        <v>93.261</v>
      </c>
      <c r="R1803" s="23" t="n">
        <f aca="false">H1803*Assumptions!$B$3</f>
        <v>13.806</v>
      </c>
      <c r="S1803" s="23" t="n">
        <f aca="false">G1803-Q1803-R1803</f>
        <v>26.163</v>
      </c>
      <c r="T1803" s="21" t="str">
        <f aca="false">IF(M1803&lt;=7,"0-7 days",IF(M1803&lt;=14,"8-14 days",IF(M1803&lt;=21,"15-21 days","22+ days")))</f>
        <v>0-7 days</v>
      </c>
    </row>
    <row r="1804" customFormat="false" ht="15" hidden="false" customHeight="false" outlineLevel="0" collapsed="false">
      <c r="A1804" s="21" t="s">
        <v>1870</v>
      </c>
      <c r="B1804" s="21" t="s">
        <v>19</v>
      </c>
      <c r="C1804" s="22" t="n">
        <v>43310</v>
      </c>
      <c r="D1804" s="22" t="n">
        <v>43318</v>
      </c>
      <c r="E1804" s="22" t="n">
        <v>43325</v>
      </c>
      <c r="F1804" s="21" t="s">
        <v>79</v>
      </c>
      <c r="G1804" s="23" t="n">
        <v>29.96</v>
      </c>
      <c r="H1804" s="23" t="n">
        <v>12.07</v>
      </c>
      <c r="I1804" s="21" t="s">
        <v>45</v>
      </c>
      <c r="J1804" s="21" t="n">
        <v>4</v>
      </c>
      <c r="K1804" s="21" t="s">
        <v>46</v>
      </c>
      <c r="L1804" s="24" t="n">
        <f aca="false">DATE(YEAR(C1804),MONTH(C1804),1)</f>
        <v>43282</v>
      </c>
      <c r="M1804" s="21" t="n">
        <f aca="false">D1804-C1804</f>
        <v>8</v>
      </c>
      <c r="N1804" s="21" t="n">
        <f aca="false">MAX(0,D1804-E1804)</f>
        <v>0</v>
      </c>
      <c r="O1804" s="21" t="n">
        <f aca="false">IF(D1804&lt;=E1804,1,0)</f>
        <v>1</v>
      </c>
      <c r="P1804" s="23" t="n">
        <f aca="false">G1804+H1804</f>
        <v>42.03</v>
      </c>
      <c r="Q1804" s="23" t="n">
        <f aca="false">G1804*INDEX(Assumptions!$B$8:$B$16,MATCH(F1804,Assumptions!$A$8:$A$16,0))</f>
        <v>20.972</v>
      </c>
      <c r="R1804" s="23" t="n">
        <f aca="false">H1804*Assumptions!$B$3</f>
        <v>7.242</v>
      </c>
      <c r="S1804" s="23" t="n">
        <f aca="false">G1804-Q1804-R1804</f>
        <v>1.746</v>
      </c>
      <c r="T1804" s="21" t="str">
        <f aca="false">IF(M1804&lt;=7,"0-7 days",IF(M1804&lt;=14,"8-14 days",IF(M1804&lt;=21,"15-21 days","22+ days")))</f>
        <v>8-14 days</v>
      </c>
    </row>
    <row r="1805" customFormat="false" ht="15" hidden="false" customHeight="false" outlineLevel="0" collapsed="false">
      <c r="A1805" s="21" t="s">
        <v>1871</v>
      </c>
      <c r="B1805" s="21" t="s">
        <v>134</v>
      </c>
      <c r="C1805" s="22" t="n">
        <v>43310</v>
      </c>
      <c r="D1805" s="22" t="n">
        <v>43341</v>
      </c>
      <c r="E1805" s="22" t="n">
        <v>43332</v>
      </c>
      <c r="F1805" s="21" t="s">
        <v>67</v>
      </c>
      <c r="G1805" s="23" t="n">
        <v>303.31</v>
      </c>
      <c r="H1805" s="23" t="n">
        <v>33.55</v>
      </c>
      <c r="I1805" s="21" t="s">
        <v>45</v>
      </c>
      <c r="J1805" s="21" t="n">
        <v>4</v>
      </c>
      <c r="K1805" s="21" t="s">
        <v>46</v>
      </c>
      <c r="L1805" s="24" t="n">
        <f aca="false">DATE(YEAR(C1805),MONTH(C1805),1)</f>
        <v>43282</v>
      </c>
      <c r="M1805" s="21" t="n">
        <f aca="false">D1805-C1805</f>
        <v>31</v>
      </c>
      <c r="N1805" s="21" t="n">
        <f aca="false">MAX(0,D1805-E1805)</f>
        <v>9</v>
      </c>
      <c r="O1805" s="21" t="n">
        <f aca="false">IF(D1805&lt;=E1805,1,0)</f>
        <v>0</v>
      </c>
      <c r="P1805" s="23" t="n">
        <f aca="false">G1805+H1805</f>
        <v>336.86</v>
      </c>
      <c r="Q1805" s="23" t="n">
        <f aca="false">G1805*INDEX(Assumptions!$B$8:$B$16,MATCH(F1805,Assumptions!$A$8:$A$16,0))</f>
        <v>188.0522</v>
      </c>
      <c r="R1805" s="23" t="n">
        <f aca="false">H1805*Assumptions!$B$3</f>
        <v>20.13</v>
      </c>
      <c r="S1805" s="23" t="n">
        <f aca="false">G1805-Q1805-R1805</f>
        <v>95.1278</v>
      </c>
      <c r="T1805" s="21" t="str">
        <f aca="false">IF(M1805&lt;=7,"0-7 days",IF(M1805&lt;=14,"8-14 days",IF(M1805&lt;=21,"15-21 days","22+ days")))</f>
        <v>22+ days</v>
      </c>
    </row>
    <row r="1806" customFormat="false" ht="15" hidden="false" customHeight="false" outlineLevel="0" collapsed="false">
      <c r="A1806" s="21" t="s">
        <v>1872</v>
      </c>
      <c r="B1806" s="21" t="s">
        <v>48</v>
      </c>
      <c r="C1806" s="22" t="n">
        <v>43310</v>
      </c>
      <c r="D1806" s="22" t="n">
        <v>43323</v>
      </c>
      <c r="E1806" s="22" t="n">
        <v>43328</v>
      </c>
      <c r="F1806" s="21" t="s">
        <v>111</v>
      </c>
      <c r="G1806" s="23" t="n">
        <v>344.74</v>
      </c>
      <c r="H1806" s="23" t="n">
        <v>30.11</v>
      </c>
      <c r="I1806" s="21" t="s">
        <v>45</v>
      </c>
      <c r="J1806" s="21" t="n">
        <v>5</v>
      </c>
      <c r="K1806" s="21" t="s">
        <v>46</v>
      </c>
      <c r="L1806" s="24" t="n">
        <f aca="false">DATE(YEAR(C1806),MONTH(C1806),1)</f>
        <v>43282</v>
      </c>
      <c r="M1806" s="21" t="n">
        <f aca="false">D1806-C1806</f>
        <v>13</v>
      </c>
      <c r="N1806" s="21" t="n">
        <f aca="false">MAX(0,D1806-E1806)</f>
        <v>0</v>
      </c>
      <c r="O1806" s="21" t="n">
        <f aca="false">IF(D1806&lt;=E1806,1,0)</f>
        <v>1</v>
      </c>
      <c r="P1806" s="23" t="n">
        <f aca="false">G1806+H1806</f>
        <v>374.85</v>
      </c>
      <c r="Q1806" s="23" t="n">
        <f aca="false">G1806*INDEX(Assumptions!$B$8:$B$16,MATCH(F1806,Assumptions!$A$8:$A$16,0))</f>
        <v>217.1862</v>
      </c>
      <c r="R1806" s="23" t="n">
        <f aca="false">H1806*Assumptions!$B$3</f>
        <v>18.066</v>
      </c>
      <c r="S1806" s="23" t="n">
        <f aca="false">G1806-Q1806-R1806</f>
        <v>109.4878</v>
      </c>
      <c r="T1806" s="21" t="str">
        <f aca="false">IF(M1806&lt;=7,"0-7 days",IF(M1806&lt;=14,"8-14 days",IF(M1806&lt;=21,"15-21 days","22+ days")))</f>
        <v>8-14 days</v>
      </c>
    </row>
    <row r="1807" customFormat="false" ht="15" hidden="false" customHeight="false" outlineLevel="0" collapsed="false">
      <c r="A1807" s="21" t="s">
        <v>1873</v>
      </c>
      <c r="B1807" s="21" t="s">
        <v>62</v>
      </c>
      <c r="C1807" s="22" t="n">
        <v>43311</v>
      </c>
      <c r="D1807" s="22" t="n">
        <v>43327</v>
      </c>
      <c r="E1807" s="22" t="n">
        <v>43332</v>
      </c>
      <c r="F1807" s="21" t="s">
        <v>67</v>
      </c>
      <c r="G1807" s="23" t="n">
        <v>122.93</v>
      </c>
      <c r="H1807" s="23" t="n">
        <v>28.58</v>
      </c>
      <c r="I1807" s="21" t="s">
        <v>60</v>
      </c>
      <c r="J1807" s="21" t="n">
        <v>4</v>
      </c>
      <c r="K1807" s="21" t="s">
        <v>46</v>
      </c>
      <c r="L1807" s="24" t="n">
        <f aca="false">DATE(YEAR(C1807),MONTH(C1807),1)</f>
        <v>43282</v>
      </c>
      <c r="M1807" s="21" t="n">
        <f aca="false">D1807-C1807</f>
        <v>16</v>
      </c>
      <c r="N1807" s="21" t="n">
        <f aca="false">MAX(0,D1807-E1807)</f>
        <v>0</v>
      </c>
      <c r="O1807" s="21" t="n">
        <f aca="false">IF(D1807&lt;=E1807,1,0)</f>
        <v>1</v>
      </c>
      <c r="P1807" s="23" t="n">
        <f aca="false">G1807+H1807</f>
        <v>151.51</v>
      </c>
      <c r="Q1807" s="23" t="n">
        <f aca="false">G1807*INDEX(Assumptions!$B$8:$B$16,MATCH(F1807,Assumptions!$A$8:$A$16,0))</f>
        <v>76.2166</v>
      </c>
      <c r="R1807" s="23" t="n">
        <f aca="false">H1807*Assumptions!$B$3</f>
        <v>17.148</v>
      </c>
      <c r="S1807" s="23" t="n">
        <f aca="false">G1807-Q1807-R1807</f>
        <v>29.5654</v>
      </c>
      <c r="T1807" s="21" t="str">
        <f aca="false">IF(M1807&lt;=7,"0-7 days",IF(M1807&lt;=14,"8-14 days",IF(M1807&lt;=21,"15-21 days","22+ days")))</f>
        <v>15-21 days</v>
      </c>
    </row>
    <row r="1808" customFormat="false" ht="15" hidden="false" customHeight="false" outlineLevel="0" collapsed="false">
      <c r="A1808" s="21" t="s">
        <v>1874</v>
      </c>
      <c r="B1808" s="21" t="s">
        <v>19</v>
      </c>
      <c r="C1808" s="22" t="n">
        <v>43311</v>
      </c>
      <c r="D1808" s="22" t="n">
        <v>43317</v>
      </c>
      <c r="E1808" s="22" t="n">
        <v>43326</v>
      </c>
      <c r="F1808" s="21" t="s">
        <v>49</v>
      </c>
      <c r="G1808" s="23" t="n">
        <v>137.82</v>
      </c>
      <c r="H1808" s="23" t="n">
        <v>16.99</v>
      </c>
      <c r="I1808" s="21" t="s">
        <v>45</v>
      </c>
      <c r="J1808" s="21" t="n">
        <v>5</v>
      </c>
      <c r="K1808" s="21" t="s">
        <v>46</v>
      </c>
      <c r="L1808" s="24" t="n">
        <f aca="false">DATE(YEAR(C1808),MONTH(C1808),1)</f>
        <v>43282</v>
      </c>
      <c r="M1808" s="21" t="n">
        <f aca="false">D1808-C1808</f>
        <v>6</v>
      </c>
      <c r="N1808" s="21" t="n">
        <f aca="false">MAX(0,D1808-E1808)</f>
        <v>0</v>
      </c>
      <c r="O1808" s="21" t="n">
        <f aca="false">IF(D1808&lt;=E1808,1,0)</f>
        <v>1</v>
      </c>
      <c r="P1808" s="23" t="n">
        <f aca="false">G1808+H1808</f>
        <v>154.81</v>
      </c>
      <c r="Q1808" s="23" t="n">
        <f aca="false">G1808*INDEX(Assumptions!$B$8:$B$16,MATCH(F1808,Assumptions!$A$8:$A$16,0))</f>
        <v>79.9356</v>
      </c>
      <c r="R1808" s="23" t="n">
        <f aca="false">H1808*Assumptions!$B$3</f>
        <v>10.194</v>
      </c>
      <c r="S1808" s="23" t="n">
        <f aca="false">G1808-Q1808-R1808</f>
        <v>47.6904</v>
      </c>
      <c r="T1808" s="21" t="str">
        <f aca="false">IF(M1808&lt;=7,"0-7 days",IF(M1808&lt;=14,"8-14 days",IF(M1808&lt;=21,"15-21 days","22+ days")))</f>
        <v>0-7 days</v>
      </c>
    </row>
    <row r="1809" customFormat="false" ht="15" hidden="false" customHeight="false" outlineLevel="0" collapsed="false">
      <c r="A1809" s="21" t="s">
        <v>1875</v>
      </c>
      <c r="B1809" s="21" t="s">
        <v>156</v>
      </c>
      <c r="C1809" s="22" t="n">
        <v>43311</v>
      </c>
      <c r="D1809" s="22" t="n">
        <v>43327</v>
      </c>
      <c r="E1809" s="22" t="n">
        <v>43332</v>
      </c>
      <c r="F1809" s="21" t="s">
        <v>53</v>
      </c>
      <c r="G1809" s="23" t="n">
        <v>146.7</v>
      </c>
      <c r="H1809" s="23" t="n">
        <v>26.26</v>
      </c>
      <c r="I1809" s="21" t="s">
        <v>45</v>
      </c>
      <c r="J1809" s="21" t="n">
        <v>5</v>
      </c>
      <c r="K1809" s="21" t="s">
        <v>46</v>
      </c>
      <c r="L1809" s="24" t="n">
        <f aca="false">DATE(YEAR(C1809),MONTH(C1809),1)</f>
        <v>43282</v>
      </c>
      <c r="M1809" s="21" t="n">
        <f aca="false">D1809-C1809</f>
        <v>16</v>
      </c>
      <c r="N1809" s="21" t="n">
        <f aca="false">MAX(0,D1809-E1809)</f>
        <v>0</v>
      </c>
      <c r="O1809" s="21" t="n">
        <f aca="false">IF(D1809&lt;=E1809,1,0)</f>
        <v>1</v>
      </c>
      <c r="P1809" s="23" t="n">
        <f aca="false">G1809+H1809</f>
        <v>172.96</v>
      </c>
      <c r="Q1809" s="23" t="n">
        <f aca="false">G1809*INDEX(Assumptions!$B$8:$B$16,MATCH(F1809,Assumptions!$A$8:$A$16,0))</f>
        <v>108.558</v>
      </c>
      <c r="R1809" s="23" t="n">
        <f aca="false">H1809*Assumptions!$B$3</f>
        <v>15.756</v>
      </c>
      <c r="S1809" s="23" t="n">
        <f aca="false">G1809-Q1809-R1809</f>
        <v>22.386</v>
      </c>
      <c r="T1809" s="21" t="str">
        <f aca="false">IF(M1809&lt;=7,"0-7 days",IF(M1809&lt;=14,"8-14 days",IF(M1809&lt;=21,"15-21 days","22+ days")))</f>
        <v>15-21 days</v>
      </c>
    </row>
    <row r="1810" customFormat="false" ht="15" hidden="false" customHeight="false" outlineLevel="0" collapsed="false">
      <c r="A1810" s="21" t="s">
        <v>1876</v>
      </c>
      <c r="B1810" s="21" t="s">
        <v>55</v>
      </c>
      <c r="C1810" s="22" t="n">
        <v>43311</v>
      </c>
      <c r="D1810" s="22" t="n">
        <v>43322</v>
      </c>
      <c r="E1810" s="22" t="n">
        <v>43336</v>
      </c>
      <c r="F1810" s="21" t="s">
        <v>64</v>
      </c>
      <c r="G1810" s="23" t="n">
        <v>161.72</v>
      </c>
      <c r="H1810" s="23" t="n">
        <v>30.24</v>
      </c>
      <c r="I1810" s="21" t="s">
        <v>45</v>
      </c>
      <c r="J1810" s="21" t="n">
        <v>5</v>
      </c>
      <c r="K1810" s="21" t="s">
        <v>46</v>
      </c>
      <c r="L1810" s="24" t="n">
        <f aca="false">DATE(YEAR(C1810),MONTH(C1810),1)</f>
        <v>43282</v>
      </c>
      <c r="M1810" s="21" t="n">
        <f aca="false">D1810-C1810</f>
        <v>11</v>
      </c>
      <c r="N1810" s="21" t="n">
        <f aca="false">MAX(0,D1810-E1810)</f>
        <v>0</v>
      </c>
      <c r="O1810" s="21" t="n">
        <f aca="false">IF(D1810&lt;=E1810,1,0)</f>
        <v>1</v>
      </c>
      <c r="P1810" s="23" t="n">
        <f aca="false">G1810+H1810</f>
        <v>191.96</v>
      </c>
      <c r="Q1810" s="23" t="n">
        <f aca="false">G1810*INDEX(Assumptions!$B$8:$B$16,MATCH(F1810,Assumptions!$A$8:$A$16,0))</f>
        <v>106.7352</v>
      </c>
      <c r="R1810" s="23" t="n">
        <f aca="false">H1810*Assumptions!$B$3</f>
        <v>18.144</v>
      </c>
      <c r="S1810" s="23" t="n">
        <f aca="false">G1810-Q1810-R1810</f>
        <v>36.8408</v>
      </c>
      <c r="T1810" s="21" t="str">
        <f aca="false">IF(M1810&lt;=7,"0-7 days",IF(M1810&lt;=14,"8-14 days",IF(M1810&lt;=21,"15-21 days","22+ days")))</f>
        <v>8-14 days</v>
      </c>
    </row>
    <row r="1811" customFormat="false" ht="15" hidden="false" customHeight="false" outlineLevel="0" collapsed="false">
      <c r="A1811" s="21" t="s">
        <v>1877</v>
      </c>
      <c r="B1811" s="21" t="s">
        <v>62</v>
      </c>
      <c r="C1811" s="22" t="n">
        <v>43311</v>
      </c>
      <c r="D1811" s="22" t="n">
        <v>43318</v>
      </c>
      <c r="E1811" s="22" t="n">
        <v>43326</v>
      </c>
      <c r="F1811" s="21" t="s">
        <v>64</v>
      </c>
      <c r="G1811" s="23" t="n">
        <v>111.98</v>
      </c>
      <c r="H1811" s="23" t="n">
        <v>25.46</v>
      </c>
      <c r="I1811" s="21" t="s">
        <v>45</v>
      </c>
      <c r="J1811" s="21" t="n">
        <v>5</v>
      </c>
      <c r="K1811" s="21" t="s">
        <v>46</v>
      </c>
      <c r="L1811" s="24" t="n">
        <f aca="false">DATE(YEAR(C1811),MONTH(C1811),1)</f>
        <v>43282</v>
      </c>
      <c r="M1811" s="21" t="n">
        <f aca="false">D1811-C1811</f>
        <v>7</v>
      </c>
      <c r="N1811" s="21" t="n">
        <f aca="false">MAX(0,D1811-E1811)</f>
        <v>0</v>
      </c>
      <c r="O1811" s="21" t="n">
        <f aca="false">IF(D1811&lt;=E1811,1,0)</f>
        <v>1</v>
      </c>
      <c r="P1811" s="23" t="n">
        <f aca="false">G1811+H1811</f>
        <v>137.44</v>
      </c>
      <c r="Q1811" s="23" t="n">
        <f aca="false">G1811*INDEX(Assumptions!$B$8:$B$16,MATCH(F1811,Assumptions!$A$8:$A$16,0))</f>
        <v>73.9068</v>
      </c>
      <c r="R1811" s="23" t="n">
        <f aca="false">H1811*Assumptions!$B$3</f>
        <v>15.276</v>
      </c>
      <c r="S1811" s="23" t="n">
        <f aca="false">G1811-Q1811-R1811</f>
        <v>22.7972</v>
      </c>
      <c r="T1811" s="21" t="str">
        <f aca="false">IF(M1811&lt;=7,"0-7 days",IF(M1811&lt;=14,"8-14 days",IF(M1811&lt;=21,"15-21 days","22+ days")))</f>
        <v>0-7 days</v>
      </c>
    </row>
    <row r="1812" customFormat="false" ht="15" hidden="false" customHeight="false" outlineLevel="0" collapsed="false">
      <c r="A1812" s="21" t="s">
        <v>1878</v>
      </c>
      <c r="B1812" s="21" t="s">
        <v>52</v>
      </c>
      <c r="C1812" s="22" t="n">
        <v>43312</v>
      </c>
      <c r="D1812" s="22" t="n">
        <v>43339</v>
      </c>
      <c r="E1812" s="22" t="n">
        <v>43335</v>
      </c>
      <c r="F1812" s="21" t="s">
        <v>53</v>
      </c>
      <c r="G1812" s="23" t="n">
        <v>281.75</v>
      </c>
      <c r="H1812" s="23" t="n">
        <v>22.38</v>
      </c>
      <c r="I1812" s="21" t="s">
        <v>60</v>
      </c>
      <c r="J1812" s="21" t="n">
        <v>4</v>
      </c>
      <c r="K1812" s="21" t="s">
        <v>46</v>
      </c>
      <c r="L1812" s="24" t="n">
        <f aca="false">DATE(YEAR(C1812),MONTH(C1812),1)</f>
        <v>43282</v>
      </c>
      <c r="M1812" s="21" t="n">
        <f aca="false">D1812-C1812</f>
        <v>27</v>
      </c>
      <c r="N1812" s="21" t="n">
        <f aca="false">MAX(0,D1812-E1812)</f>
        <v>4</v>
      </c>
      <c r="O1812" s="21" t="n">
        <f aca="false">IF(D1812&lt;=E1812,1,0)</f>
        <v>0</v>
      </c>
      <c r="P1812" s="23" t="n">
        <f aca="false">G1812+H1812</f>
        <v>304.13</v>
      </c>
      <c r="Q1812" s="23" t="n">
        <f aca="false">G1812*INDEX(Assumptions!$B$8:$B$16,MATCH(F1812,Assumptions!$A$8:$A$16,0))</f>
        <v>208.495</v>
      </c>
      <c r="R1812" s="23" t="n">
        <f aca="false">H1812*Assumptions!$B$3</f>
        <v>13.428</v>
      </c>
      <c r="S1812" s="23" t="n">
        <f aca="false">G1812-Q1812-R1812</f>
        <v>59.827</v>
      </c>
      <c r="T1812" s="21" t="str">
        <f aca="false">IF(M1812&lt;=7,"0-7 days",IF(M1812&lt;=14,"8-14 days",IF(M1812&lt;=21,"15-21 days","22+ days")))</f>
        <v>22+ days</v>
      </c>
    </row>
    <row r="1813" customFormat="false" ht="15" hidden="false" customHeight="false" outlineLevel="0" collapsed="false">
      <c r="A1813" s="21" t="s">
        <v>1879</v>
      </c>
      <c r="B1813" s="21" t="s">
        <v>134</v>
      </c>
      <c r="C1813" s="22" t="n">
        <v>43312</v>
      </c>
      <c r="D1813" s="22" t="n">
        <v>43321</v>
      </c>
      <c r="E1813" s="22" t="n">
        <v>43337</v>
      </c>
      <c r="F1813" s="21" t="s">
        <v>67</v>
      </c>
      <c r="G1813" s="23" t="n">
        <v>39.77</v>
      </c>
      <c r="H1813" s="23" t="n">
        <v>16.72</v>
      </c>
      <c r="I1813" s="21" t="s">
        <v>45</v>
      </c>
      <c r="J1813" s="21" t="n">
        <v>5</v>
      </c>
      <c r="K1813" s="21" t="s">
        <v>46</v>
      </c>
      <c r="L1813" s="24" t="n">
        <f aca="false">DATE(YEAR(C1813),MONTH(C1813),1)</f>
        <v>43282</v>
      </c>
      <c r="M1813" s="21" t="n">
        <f aca="false">D1813-C1813</f>
        <v>9</v>
      </c>
      <c r="N1813" s="21" t="n">
        <f aca="false">MAX(0,D1813-E1813)</f>
        <v>0</v>
      </c>
      <c r="O1813" s="21" t="n">
        <f aca="false">IF(D1813&lt;=E1813,1,0)</f>
        <v>1</v>
      </c>
      <c r="P1813" s="23" t="n">
        <f aca="false">G1813+H1813</f>
        <v>56.49</v>
      </c>
      <c r="Q1813" s="23" t="n">
        <f aca="false">G1813*INDEX(Assumptions!$B$8:$B$16,MATCH(F1813,Assumptions!$A$8:$A$16,0))</f>
        <v>24.6574</v>
      </c>
      <c r="R1813" s="23" t="n">
        <f aca="false">H1813*Assumptions!$B$3</f>
        <v>10.032</v>
      </c>
      <c r="S1813" s="23" t="n">
        <f aca="false">G1813-Q1813-R1813</f>
        <v>5.0806</v>
      </c>
      <c r="T1813" s="21" t="str">
        <f aca="false">IF(M1813&lt;=7,"0-7 days",IF(M1813&lt;=14,"8-14 days",IF(M1813&lt;=21,"15-21 days","22+ days")))</f>
        <v>8-14 days</v>
      </c>
    </row>
    <row r="1814" customFormat="false" ht="15" hidden="false" customHeight="false" outlineLevel="0" collapsed="false">
      <c r="A1814" s="21" t="s">
        <v>1880</v>
      </c>
      <c r="B1814" s="21" t="s">
        <v>19</v>
      </c>
      <c r="C1814" s="22" t="n">
        <v>43313</v>
      </c>
      <c r="D1814" s="22" t="n">
        <v>43319</v>
      </c>
      <c r="E1814" s="22" t="n">
        <v>43328</v>
      </c>
      <c r="F1814" s="21" t="s">
        <v>111</v>
      </c>
      <c r="G1814" s="23" t="n">
        <v>101.36</v>
      </c>
      <c r="H1814" s="23" t="n">
        <v>15.04</v>
      </c>
      <c r="I1814" s="21" t="s">
        <v>45</v>
      </c>
      <c r="J1814" s="21" t="n">
        <v>3</v>
      </c>
      <c r="K1814" s="21" t="s">
        <v>46</v>
      </c>
      <c r="L1814" s="24" t="n">
        <f aca="false">DATE(YEAR(C1814),MONTH(C1814),1)</f>
        <v>43313</v>
      </c>
      <c r="M1814" s="21" t="n">
        <f aca="false">D1814-C1814</f>
        <v>6</v>
      </c>
      <c r="N1814" s="21" t="n">
        <f aca="false">MAX(0,D1814-E1814)</f>
        <v>0</v>
      </c>
      <c r="O1814" s="21" t="n">
        <f aca="false">IF(D1814&lt;=E1814,1,0)</f>
        <v>1</v>
      </c>
      <c r="P1814" s="23" t="n">
        <f aca="false">G1814+H1814</f>
        <v>116.4</v>
      </c>
      <c r="Q1814" s="23" t="n">
        <f aca="false">G1814*INDEX(Assumptions!$B$8:$B$16,MATCH(F1814,Assumptions!$A$8:$A$16,0))</f>
        <v>63.8568</v>
      </c>
      <c r="R1814" s="23" t="n">
        <f aca="false">H1814*Assumptions!$B$3</f>
        <v>9.024</v>
      </c>
      <c r="S1814" s="23" t="n">
        <f aca="false">G1814-Q1814-R1814</f>
        <v>28.4792</v>
      </c>
      <c r="T1814" s="21" t="str">
        <f aca="false">IF(M1814&lt;=7,"0-7 days",IF(M1814&lt;=14,"8-14 days",IF(M1814&lt;=21,"15-21 days","22+ days")))</f>
        <v>0-7 days</v>
      </c>
    </row>
    <row r="1815" customFormat="false" ht="15" hidden="false" customHeight="false" outlineLevel="0" collapsed="false">
      <c r="A1815" s="21" t="s">
        <v>1881</v>
      </c>
      <c r="B1815" s="21" t="s">
        <v>55</v>
      </c>
      <c r="C1815" s="22" t="n">
        <v>43313</v>
      </c>
      <c r="D1815" s="22" t="n">
        <v>43330</v>
      </c>
      <c r="E1815" s="22" t="n">
        <v>43339</v>
      </c>
      <c r="F1815" s="21" t="s">
        <v>49</v>
      </c>
      <c r="G1815" s="23" t="n">
        <v>95.95</v>
      </c>
      <c r="H1815" s="23" t="n">
        <v>24.76</v>
      </c>
      <c r="I1815" s="21" t="s">
        <v>45</v>
      </c>
      <c r="J1815" s="21" t="n">
        <v>4</v>
      </c>
      <c r="K1815" s="21" t="s">
        <v>46</v>
      </c>
      <c r="L1815" s="24" t="n">
        <f aca="false">DATE(YEAR(C1815),MONTH(C1815),1)</f>
        <v>43313</v>
      </c>
      <c r="M1815" s="21" t="n">
        <f aca="false">D1815-C1815</f>
        <v>17</v>
      </c>
      <c r="N1815" s="21" t="n">
        <f aca="false">MAX(0,D1815-E1815)</f>
        <v>0</v>
      </c>
      <c r="O1815" s="21" t="n">
        <f aca="false">IF(D1815&lt;=E1815,1,0)</f>
        <v>1</v>
      </c>
      <c r="P1815" s="23" t="n">
        <f aca="false">G1815+H1815</f>
        <v>120.71</v>
      </c>
      <c r="Q1815" s="23" t="n">
        <f aca="false">G1815*INDEX(Assumptions!$B$8:$B$16,MATCH(F1815,Assumptions!$A$8:$A$16,0))</f>
        <v>55.651</v>
      </c>
      <c r="R1815" s="23" t="n">
        <f aca="false">H1815*Assumptions!$B$3</f>
        <v>14.856</v>
      </c>
      <c r="S1815" s="23" t="n">
        <f aca="false">G1815-Q1815-R1815</f>
        <v>25.443</v>
      </c>
      <c r="T1815" s="21" t="str">
        <f aca="false">IF(M1815&lt;=7,"0-7 days",IF(M1815&lt;=14,"8-14 days",IF(M1815&lt;=21,"15-21 days","22+ days")))</f>
        <v>15-21 days</v>
      </c>
    </row>
    <row r="1816" customFormat="false" ht="15" hidden="false" customHeight="false" outlineLevel="0" collapsed="false">
      <c r="A1816" s="21" t="s">
        <v>1882</v>
      </c>
      <c r="B1816" s="21" t="s">
        <v>134</v>
      </c>
      <c r="C1816" s="22" t="n">
        <v>43313</v>
      </c>
      <c r="D1816" s="22" t="n">
        <v>43330</v>
      </c>
      <c r="E1816" s="22" t="n">
        <v>43334</v>
      </c>
      <c r="F1816" s="21" t="s">
        <v>67</v>
      </c>
      <c r="G1816" s="23" t="n">
        <v>219.44</v>
      </c>
      <c r="H1816" s="23" t="n">
        <v>19.63</v>
      </c>
      <c r="I1816" s="21" t="s">
        <v>45</v>
      </c>
      <c r="J1816" s="21" t="n">
        <v>3</v>
      </c>
      <c r="K1816" s="21" t="s">
        <v>46</v>
      </c>
      <c r="L1816" s="24" t="n">
        <f aca="false">DATE(YEAR(C1816),MONTH(C1816),1)</f>
        <v>43313</v>
      </c>
      <c r="M1816" s="21" t="n">
        <f aca="false">D1816-C1816</f>
        <v>17</v>
      </c>
      <c r="N1816" s="21" t="n">
        <f aca="false">MAX(0,D1816-E1816)</f>
        <v>0</v>
      </c>
      <c r="O1816" s="21" t="n">
        <f aca="false">IF(D1816&lt;=E1816,1,0)</f>
        <v>1</v>
      </c>
      <c r="P1816" s="23" t="n">
        <f aca="false">G1816+H1816</f>
        <v>239.07</v>
      </c>
      <c r="Q1816" s="23" t="n">
        <f aca="false">G1816*INDEX(Assumptions!$B$8:$B$16,MATCH(F1816,Assumptions!$A$8:$A$16,0))</f>
        <v>136.0528</v>
      </c>
      <c r="R1816" s="23" t="n">
        <f aca="false">H1816*Assumptions!$B$3</f>
        <v>11.778</v>
      </c>
      <c r="S1816" s="23" t="n">
        <f aca="false">G1816-Q1816-R1816</f>
        <v>71.6092</v>
      </c>
      <c r="T1816" s="21" t="str">
        <f aca="false">IF(M1816&lt;=7,"0-7 days",IF(M1816&lt;=14,"8-14 days",IF(M1816&lt;=21,"15-21 days","22+ days")))</f>
        <v>15-21 days</v>
      </c>
    </row>
    <row r="1817" customFormat="false" ht="15" hidden="false" customHeight="false" outlineLevel="0" collapsed="false">
      <c r="A1817" s="21" t="s">
        <v>1883</v>
      </c>
      <c r="B1817" s="21" t="s">
        <v>19</v>
      </c>
      <c r="C1817" s="22" t="n">
        <v>43313</v>
      </c>
      <c r="D1817" s="22" t="n">
        <v>43323</v>
      </c>
      <c r="E1817" s="22" t="n">
        <v>43329</v>
      </c>
      <c r="F1817" s="21" t="s">
        <v>64</v>
      </c>
      <c r="G1817" s="23" t="n">
        <v>49.35</v>
      </c>
      <c r="H1817" s="23" t="n">
        <v>20.01</v>
      </c>
      <c r="I1817" s="21" t="s">
        <v>45</v>
      </c>
      <c r="J1817" s="21" t="n">
        <v>4</v>
      </c>
      <c r="K1817" s="21" t="s">
        <v>46</v>
      </c>
      <c r="L1817" s="24" t="n">
        <f aca="false">DATE(YEAR(C1817),MONTH(C1817),1)</f>
        <v>43313</v>
      </c>
      <c r="M1817" s="21" t="n">
        <f aca="false">D1817-C1817</f>
        <v>10</v>
      </c>
      <c r="N1817" s="21" t="n">
        <f aca="false">MAX(0,D1817-E1817)</f>
        <v>0</v>
      </c>
      <c r="O1817" s="21" t="n">
        <f aca="false">IF(D1817&lt;=E1817,1,0)</f>
        <v>1</v>
      </c>
      <c r="P1817" s="23" t="n">
        <f aca="false">G1817+H1817</f>
        <v>69.36</v>
      </c>
      <c r="Q1817" s="23" t="n">
        <f aca="false">G1817*INDEX(Assumptions!$B$8:$B$16,MATCH(F1817,Assumptions!$A$8:$A$16,0))</f>
        <v>32.571</v>
      </c>
      <c r="R1817" s="23" t="n">
        <f aca="false">H1817*Assumptions!$B$3</f>
        <v>12.006</v>
      </c>
      <c r="S1817" s="23" t="n">
        <f aca="false">G1817-Q1817-R1817</f>
        <v>4.773</v>
      </c>
      <c r="T1817" s="21" t="str">
        <f aca="false">IF(M1817&lt;=7,"0-7 days",IF(M1817&lt;=14,"8-14 days",IF(M1817&lt;=21,"15-21 days","22+ days")))</f>
        <v>8-14 days</v>
      </c>
    </row>
    <row r="1818" customFormat="false" ht="15" hidden="false" customHeight="false" outlineLevel="0" collapsed="false">
      <c r="A1818" s="21" t="s">
        <v>1884</v>
      </c>
      <c r="B1818" s="21" t="s">
        <v>62</v>
      </c>
      <c r="C1818" s="22" t="n">
        <v>43313</v>
      </c>
      <c r="D1818" s="22" t="n">
        <v>43321</v>
      </c>
      <c r="E1818" s="22" t="n">
        <v>43334</v>
      </c>
      <c r="F1818" s="21" t="s">
        <v>49</v>
      </c>
      <c r="G1818" s="23" t="n">
        <v>61.28</v>
      </c>
      <c r="H1818" s="23" t="n">
        <v>22.87</v>
      </c>
      <c r="I1818" s="21" t="s">
        <v>45</v>
      </c>
      <c r="J1818" s="21" t="n">
        <v>4</v>
      </c>
      <c r="K1818" s="21" t="s">
        <v>46</v>
      </c>
      <c r="L1818" s="24" t="n">
        <f aca="false">DATE(YEAR(C1818),MONTH(C1818),1)</f>
        <v>43313</v>
      </c>
      <c r="M1818" s="21" t="n">
        <f aca="false">D1818-C1818</f>
        <v>8</v>
      </c>
      <c r="N1818" s="21" t="n">
        <f aca="false">MAX(0,D1818-E1818)</f>
        <v>0</v>
      </c>
      <c r="O1818" s="21" t="n">
        <f aca="false">IF(D1818&lt;=E1818,1,0)</f>
        <v>1</v>
      </c>
      <c r="P1818" s="23" t="n">
        <f aca="false">G1818+H1818</f>
        <v>84.15</v>
      </c>
      <c r="Q1818" s="23" t="n">
        <f aca="false">G1818*INDEX(Assumptions!$B$8:$B$16,MATCH(F1818,Assumptions!$A$8:$A$16,0))</f>
        <v>35.5424</v>
      </c>
      <c r="R1818" s="23" t="n">
        <f aca="false">H1818*Assumptions!$B$3</f>
        <v>13.722</v>
      </c>
      <c r="S1818" s="23" t="n">
        <f aca="false">G1818-Q1818-R1818</f>
        <v>12.0156</v>
      </c>
      <c r="T1818" s="21" t="str">
        <f aca="false">IF(M1818&lt;=7,"0-7 days",IF(M1818&lt;=14,"8-14 days",IF(M1818&lt;=21,"15-21 days","22+ days")))</f>
        <v>8-14 days</v>
      </c>
    </row>
    <row r="1819" customFormat="false" ht="15" hidden="false" customHeight="false" outlineLevel="0" collapsed="false">
      <c r="A1819" s="21" t="s">
        <v>1885</v>
      </c>
      <c r="B1819" s="21" t="s">
        <v>55</v>
      </c>
      <c r="C1819" s="22" t="n">
        <v>43313</v>
      </c>
      <c r="D1819" s="22" t="n">
        <v>43331</v>
      </c>
      <c r="E1819" s="22" t="n">
        <v>43334</v>
      </c>
      <c r="F1819" s="21" t="s">
        <v>111</v>
      </c>
      <c r="G1819" s="23" t="n">
        <v>27.06</v>
      </c>
      <c r="H1819" s="23" t="n">
        <v>25.78</v>
      </c>
      <c r="I1819" s="21" t="s">
        <v>45</v>
      </c>
      <c r="J1819" s="21" t="n">
        <v>5</v>
      </c>
      <c r="K1819" s="21" t="s">
        <v>46</v>
      </c>
      <c r="L1819" s="24" t="n">
        <f aca="false">DATE(YEAR(C1819),MONTH(C1819),1)</f>
        <v>43313</v>
      </c>
      <c r="M1819" s="21" t="n">
        <f aca="false">D1819-C1819</f>
        <v>18</v>
      </c>
      <c r="N1819" s="21" t="n">
        <f aca="false">MAX(0,D1819-E1819)</f>
        <v>0</v>
      </c>
      <c r="O1819" s="21" t="n">
        <f aca="false">IF(D1819&lt;=E1819,1,0)</f>
        <v>1</v>
      </c>
      <c r="P1819" s="23" t="n">
        <f aca="false">G1819+H1819</f>
        <v>52.84</v>
      </c>
      <c r="Q1819" s="23" t="n">
        <f aca="false">G1819*INDEX(Assumptions!$B$8:$B$16,MATCH(F1819,Assumptions!$A$8:$A$16,0))</f>
        <v>17.0478</v>
      </c>
      <c r="R1819" s="23" t="n">
        <f aca="false">H1819*Assumptions!$B$3</f>
        <v>15.468</v>
      </c>
      <c r="S1819" s="23" t="n">
        <f aca="false">G1819-Q1819-R1819</f>
        <v>-5.4558</v>
      </c>
      <c r="T1819" s="21" t="str">
        <f aca="false">IF(M1819&lt;=7,"0-7 days",IF(M1819&lt;=14,"8-14 days",IF(M1819&lt;=21,"15-21 days","22+ days")))</f>
        <v>15-21 days</v>
      </c>
    </row>
    <row r="1820" customFormat="false" ht="15" hidden="false" customHeight="false" outlineLevel="0" collapsed="false">
      <c r="A1820" s="21" t="s">
        <v>1886</v>
      </c>
      <c r="B1820" s="21" t="s">
        <v>201</v>
      </c>
      <c r="C1820" s="22" t="n">
        <v>43313</v>
      </c>
      <c r="D1820" s="22" t="n">
        <v>43336</v>
      </c>
      <c r="E1820" s="22" t="n">
        <v>43344</v>
      </c>
      <c r="F1820" s="21" t="s">
        <v>49</v>
      </c>
      <c r="G1820" s="23" t="n">
        <v>41.08</v>
      </c>
      <c r="H1820" s="23" t="n">
        <v>44.34</v>
      </c>
      <c r="I1820" s="21" t="s">
        <v>45</v>
      </c>
      <c r="J1820" s="21" t="n">
        <v>4</v>
      </c>
      <c r="K1820" s="21" t="s">
        <v>46</v>
      </c>
      <c r="L1820" s="24" t="n">
        <f aca="false">DATE(YEAR(C1820),MONTH(C1820),1)</f>
        <v>43313</v>
      </c>
      <c r="M1820" s="21" t="n">
        <f aca="false">D1820-C1820</f>
        <v>23</v>
      </c>
      <c r="N1820" s="21" t="n">
        <f aca="false">MAX(0,D1820-E1820)</f>
        <v>0</v>
      </c>
      <c r="O1820" s="21" t="n">
        <f aca="false">IF(D1820&lt;=E1820,1,0)</f>
        <v>1</v>
      </c>
      <c r="P1820" s="23" t="n">
        <f aca="false">G1820+H1820</f>
        <v>85.42</v>
      </c>
      <c r="Q1820" s="23" t="n">
        <f aca="false">G1820*INDEX(Assumptions!$B$8:$B$16,MATCH(F1820,Assumptions!$A$8:$A$16,0))</f>
        <v>23.8264</v>
      </c>
      <c r="R1820" s="23" t="n">
        <f aca="false">H1820*Assumptions!$B$3</f>
        <v>26.604</v>
      </c>
      <c r="S1820" s="23" t="n">
        <f aca="false">G1820-Q1820-R1820</f>
        <v>-9.3504</v>
      </c>
      <c r="T1820" s="21" t="str">
        <f aca="false">IF(M1820&lt;=7,"0-7 days",IF(M1820&lt;=14,"8-14 days",IF(M1820&lt;=21,"15-21 days","22+ days")))</f>
        <v>22+ days</v>
      </c>
    </row>
    <row r="1821" customFormat="false" ht="15" hidden="false" customHeight="false" outlineLevel="0" collapsed="false">
      <c r="A1821" s="21" t="s">
        <v>1887</v>
      </c>
      <c r="B1821" s="21" t="s">
        <v>62</v>
      </c>
      <c r="C1821" s="22" t="n">
        <v>43313</v>
      </c>
      <c r="D1821" s="22" t="n">
        <v>43323</v>
      </c>
      <c r="E1821" s="22" t="n">
        <v>43331</v>
      </c>
      <c r="F1821" s="21" t="s">
        <v>79</v>
      </c>
      <c r="G1821" s="23" t="n">
        <v>61.7</v>
      </c>
      <c r="H1821" s="23" t="n">
        <v>20.86</v>
      </c>
      <c r="I1821" s="21" t="s">
        <v>45</v>
      </c>
      <c r="J1821" s="21" t="n">
        <v>4</v>
      </c>
      <c r="K1821" s="21" t="s">
        <v>46</v>
      </c>
      <c r="L1821" s="24" t="n">
        <f aca="false">DATE(YEAR(C1821),MONTH(C1821),1)</f>
        <v>43313</v>
      </c>
      <c r="M1821" s="21" t="n">
        <f aca="false">D1821-C1821</f>
        <v>10</v>
      </c>
      <c r="N1821" s="21" t="n">
        <f aca="false">MAX(0,D1821-E1821)</f>
        <v>0</v>
      </c>
      <c r="O1821" s="21" t="n">
        <f aca="false">IF(D1821&lt;=E1821,1,0)</f>
        <v>1</v>
      </c>
      <c r="P1821" s="23" t="n">
        <f aca="false">G1821+H1821</f>
        <v>82.56</v>
      </c>
      <c r="Q1821" s="23" t="n">
        <f aca="false">G1821*INDEX(Assumptions!$B$8:$B$16,MATCH(F1821,Assumptions!$A$8:$A$16,0))</f>
        <v>43.19</v>
      </c>
      <c r="R1821" s="23" t="n">
        <f aca="false">H1821*Assumptions!$B$3</f>
        <v>12.516</v>
      </c>
      <c r="S1821" s="23" t="n">
        <f aca="false">G1821-Q1821-R1821</f>
        <v>5.99400000000001</v>
      </c>
      <c r="T1821" s="21" t="str">
        <f aca="false">IF(M1821&lt;=7,"0-7 days",IF(M1821&lt;=14,"8-14 days",IF(M1821&lt;=21,"15-21 days","22+ days")))</f>
        <v>8-14 days</v>
      </c>
    </row>
    <row r="1822" customFormat="false" ht="15" hidden="false" customHeight="false" outlineLevel="0" collapsed="false">
      <c r="A1822" s="21" t="s">
        <v>1888</v>
      </c>
      <c r="B1822" s="21" t="s">
        <v>62</v>
      </c>
      <c r="C1822" s="22" t="n">
        <v>43313</v>
      </c>
      <c r="D1822" s="22" t="n">
        <v>43326</v>
      </c>
      <c r="E1822" s="22" t="n">
        <v>43332</v>
      </c>
      <c r="F1822" s="21" t="s">
        <v>64</v>
      </c>
      <c r="G1822" s="23" t="n">
        <v>169.36</v>
      </c>
      <c r="H1822" s="23" t="n">
        <v>22.2</v>
      </c>
      <c r="I1822" s="21" t="s">
        <v>45</v>
      </c>
      <c r="J1822" s="21" t="n">
        <v>5</v>
      </c>
      <c r="K1822" s="21" t="s">
        <v>46</v>
      </c>
      <c r="L1822" s="24" t="n">
        <f aca="false">DATE(YEAR(C1822),MONTH(C1822),1)</f>
        <v>43313</v>
      </c>
      <c r="M1822" s="21" t="n">
        <f aca="false">D1822-C1822</f>
        <v>13</v>
      </c>
      <c r="N1822" s="21" t="n">
        <f aca="false">MAX(0,D1822-E1822)</f>
        <v>0</v>
      </c>
      <c r="O1822" s="21" t="n">
        <f aca="false">IF(D1822&lt;=E1822,1,0)</f>
        <v>1</v>
      </c>
      <c r="P1822" s="23" t="n">
        <f aca="false">G1822+H1822</f>
        <v>191.56</v>
      </c>
      <c r="Q1822" s="23" t="n">
        <f aca="false">G1822*INDEX(Assumptions!$B$8:$B$16,MATCH(F1822,Assumptions!$A$8:$A$16,0))</f>
        <v>111.7776</v>
      </c>
      <c r="R1822" s="23" t="n">
        <f aca="false">H1822*Assumptions!$B$3</f>
        <v>13.32</v>
      </c>
      <c r="S1822" s="23" t="n">
        <f aca="false">G1822-Q1822-R1822</f>
        <v>44.2624</v>
      </c>
      <c r="T1822" s="21" t="str">
        <f aca="false">IF(M1822&lt;=7,"0-7 days",IF(M1822&lt;=14,"8-14 days",IF(M1822&lt;=21,"15-21 days","22+ days")))</f>
        <v>8-14 days</v>
      </c>
    </row>
    <row r="1823" customFormat="false" ht="15" hidden="false" customHeight="false" outlineLevel="0" collapsed="false">
      <c r="A1823" s="21" t="s">
        <v>1889</v>
      </c>
      <c r="B1823" s="21" t="s">
        <v>134</v>
      </c>
      <c r="C1823" s="22" t="n">
        <v>43313</v>
      </c>
      <c r="D1823" s="22" t="n">
        <v>43326</v>
      </c>
      <c r="E1823" s="22" t="n">
        <v>43338</v>
      </c>
      <c r="F1823" s="21" t="s">
        <v>67</v>
      </c>
      <c r="G1823" s="23" t="n">
        <v>90.35</v>
      </c>
      <c r="H1823" s="23" t="n">
        <v>18.57</v>
      </c>
      <c r="I1823" s="21" t="s">
        <v>45</v>
      </c>
      <c r="J1823" s="21" t="n">
        <v>5</v>
      </c>
      <c r="K1823" s="21" t="s">
        <v>46</v>
      </c>
      <c r="L1823" s="24" t="n">
        <f aca="false">DATE(YEAR(C1823),MONTH(C1823),1)</f>
        <v>43313</v>
      </c>
      <c r="M1823" s="21" t="n">
        <f aca="false">D1823-C1823</f>
        <v>13</v>
      </c>
      <c r="N1823" s="21" t="n">
        <f aca="false">MAX(0,D1823-E1823)</f>
        <v>0</v>
      </c>
      <c r="O1823" s="21" t="n">
        <f aca="false">IF(D1823&lt;=E1823,1,0)</f>
        <v>1</v>
      </c>
      <c r="P1823" s="23" t="n">
        <f aca="false">G1823+H1823</f>
        <v>108.92</v>
      </c>
      <c r="Q1823" s="23" t="n">
        <f aca="false">G1823*INDEX(Assumptions!$B$8:$B$16,MATCH(F1823,Assumptions!$A$8:$A$16,0))</f>
        <v>56.017</v>
      </c>
      <c r="R1823" s="23" t="n">
        <f aca="false">H1823*Assumptions!$B$3</f>
        <v>11.142</v>
      </c>
      <c r="S1823" s="23" t="n">
        <f aca="false">G1823-Q1823-R1823</f>
        <v>23.191</v>
      </c>
      <c r="T1823" s="21" t="str">
        <f aca="false">IF(M1823&lt;=7,"0-7 days",IF(M1823&lt;=14,"8-14 days",IF(M1823&lt;=21,"15-21 days","22+ days")))</f>
        <v>8-14 days</v>
      </c>
    </row>
    <row r="1824" customFormat="false" ht="15" hidden="false" customHeight="false" outlineLevel="0" collapsed="false">
      <c r="A1824" s="21" t="s">
        <v>1890</v>
      </c>
      <c r="B1824" s="21" t="s">
        <v>19</v>
      </c>
      <c r="C1824" s="22" t="n">
        <v>43314</v>
      </c>
      <c r="D1824" s="22" t="n">
        <v>43320</v>
      </c>
      <c r="E1824" s="22" t="n">
        <v>43330</v>
      </c>
      <c r="F1824" s="21" t="s">
        <v>49</v>
      </c>
      <c r="G1824" s="23" t="n">
        <v>48.12</v>
      </c>
      <c r="H1824" s="23" t="n">
        <v>17.49</v>
      </c>
      <c r="I1824" s="21" t="s">
        <v>50</v>
      </c>
      <c r="J1824" s="21" t="n">
        <v>5</v>
      </c>
      <c r="K1824" s="21" t="s">
        <v>46</v>
      </c>
      <c r="L1824" s="24" t="n">
        <f aca="false">DATE(YEAR(C1824),MONTH(C1824),1)</f>
        <v>43313</v>
      </c>
      <c r="M1824" s="21" t="n">
        <f aca="false">D1824-C1824</f>
        <v>6</v>
      </c>
      <c r="N1824" s="21" t="n">
        <f aca="false">MAX(0,D1824-E1824)</f>
        <v>0</v>
      </c>
      <c r="O1824" s="21" t="n">
        <f aca="false">IF(D1824&lt;=E1824,1,0)</f>
        <v>1</v>
      </c>
      <c r="P1824" s="23" t="n">
        <f aca="false">G1824+H1824</f>
        <v>65.61</v>
      </c>
      <c r="Q1824" s="23" t="n">
        <f aca="false">G1824*INDEX(Assumptions!$B$8:$B$16,MATCH(F1824,Assumptions!$A$8:$A$16,0))</f>
        <v>27.9096</v>
      </c>
      <c r="R1824" s="23" t="n">
        <f aca="false">H1824*Assumptions!$B$3</f>
        <v>10.494</v>
      </c>
      <c r="S1824" s="23" t="n">
        <f aca="false">G1824-Q1824-R1824</f>
        <v>9.7164</v>
      </c>
      <c r="T1824" s="21" t="str">
        <f aca="false">IF(M1824&lt;=7,"0-7 days",IF(M1824&lt;=14,"8-14 days",IF(M1824&lt;=21,"15-21 days","22+ days")))</f>
        <v>0-7 days</v>
      </c>
    </row>
    <row r="1825" customFormat="false" ht="15" hidden="false" customHeight="false" outlineLevel="0" collapsed="false">
      <c r="A1825" s="21" t="s">
        <v>1891</v>
      </c>
      <c r="B1825" s="21" t="s">
        <v>19</v>
      </c>
      <c r="C1825" s="22" t="n">
        <v>43314</v>
      </c>
      <c r="D1825" s="22" t="n">
        <v>43320</v>
      </c>
      <c r="E1825" s="22" t="n">
        <v>43328</v>
      </c>
      <c r="F1825" s="21" t="s">
        <v>53</v>
      </c>
      <c r="G1825" s="23" t="n">
        <v>626.72</v>
      </c>
      <c r="H1825" s="23" t="n">
        <v>30.9</v>
      </c>
      <c r="I1825" s="21" t="s">
        <v>60</v>
      </c>
      <c r="J1825" s="21" t="n">
        <v>4</v>
      </c>
      <c r="K1825" s="21" t="s">
        <v>46</v>
      </c>
      <c r="L1825" s="24" t="n">
        <f aca="false">DATE(YEAR(C1825),MONTH(C1825),1)</f>
        <v>43313</v>
      </c>
      <c r="M1825" s="21" t="n">
        <f aca="false">D1825-C1825</f>
        <v>6</v>
      </c>
      <c r="N1825" s="21" t="n">
        <f aca="false">MAX(0,D1825-E1825)</f>
        <v>0</v>
      </c>
      <c r="O1825" s="21" t="n">
        <f aca="false">IF(D1825&lt;=E1825,1,0)</f>
        <v>1</v>
      </c>
      <c r="P1825" s="23" t="n">
        <f aca="false">G1825+H1825</f>
        <v>657.62</v>
      </c>
      <c r="Q1825" s="23" t="n">
        <f aca="false">G1825*INDEX(Assumptions!$B$8:$B$16,MATCH(F1825,Assumptions!$A$8:$A$16,0))</f>
        <v>463.7728</v>
      </c>
      <c r="R1825" s="23" t="n">
        <f aca="false">H1825*Assumptions!$B$3</f>
        <v>18.54</v>
      </c>
      <c r="S1825" s="23" t="n">
        <f aca="false">G1825-Q1825-R1825</f>
        <v>144.4072</v>
      </c>
      <c r="T1825" s="21" t="str">
        <f aca="false">IF(M1825&lt;=7,"0-7 days",IF(M1825&lt;=14,"8-14 days",IF(M1825&lt;=21,"15-21 days","22+ days")))</f>
        <v>0-7 days</v>
      </c>
    </row>
    <row r="1826" customFormat="false" ht="15" hidden="false" customHeight="false" outlineLevel="0" collapsed="false">
      <c r="A1826" s="21" t="s">
        <v>1892</v>
      </c>
      <c r="B1826" s="21" t="s">
        <v>62</v>
      </c>
      <c r="C1826" s="22" t="n">
        <v>43314</v>
      </c>
      <c r="D1826" s="22" t="n">
        <v>43331</v>
      </c>
      <c r="E1826" s="22" t="n">
        <v>43336</v>
      </c>
      <c r="F1826" s="21" t="s">
        <v>67</v>
      </c>
      <c r="G1826" s="23" t="n">
        <v>72.45</v>
      </c>
      <c r="H1826" s="23" t="n">
        <v>22.69</v>
      </c>
      <c r="I1826" s="21" t="s">
        <v>45</v>
      </c>
      <c r="J1826" s="21" t="n">
        <v>4</v>
      </c>
      <c r="K1826" s="21" t="s">
        <v>46</v>
      </c>
      <c r="L1826" s="24" t="n">
        <f aca="false">DATE(YEAR(C1826),MONTH(C1826),1)</f>
        <v>43313</v>
      </c>
      <c r="M1826" s="21" t="n">
        <f aca="false">D1826-C1826</f>
        <v>17</v>
      </c>
      <c r="N1826" s="21" t="n">
        <f aca="false">MAX(0,D1826-E1826)</f>
        <v>0</v>
      </c>
      <c r="O1826" s="21" t="n">
        <f aca="false">IF(D1826&lt;=E1826,1,0)</f>
        <v>1</v>
      </c>
      <c r="P1826" s="23" t="n">
        <f aca="false">G1826+H1826</f>
        <v>95.14</v>
      </c>
      <c r="Q1826" s="23" t="n">
        <f aca="false">G1826*INDEX(Assumptions!$B$8:$B$16,MATCH(F1826,Assumptions!$A$8:$A$16,0))</f>
        <v>44.919</v>
      </c>
      <c r="R1826" s="23" t="n">
        <f aca="false">H1826*Assumptions!$B$3</f>
        <v>13.614</v>
      </c>
      <c r="S1826" s="23" t="n">
        <f aca="false">G1826-Q1826-R1826</f>
        <v>13.917</v>
      </c>
      <c r="T1826" s="21" t="str">
        <f aca="false">IF(M1826&lt;=7,"0-7 days",IF(M1826&lt;=14,"8-14 days",IF(M1826&lt;=21,"15-21 days","22+ days")))</f>
        <v>15-21 days</v>
      </c>
    </row>
    <row r="1827" customFormat="false" ht="15" hidden="false" customHeight="false" outlineLevel="0" collapsed="false">
      <c r="A1827" s="21" t="s">
        <v>1893</v>
      </c>
      <c r="B1827" s="21" t="s">
        <v>174</v>
      </c>
      <c r="C1827" s="22" t="n">
        <v>43314</v>
      </c>
      <c r="D1827" s="22" t="n">
        <v>43327</v>
      </c>
      <c r="E1827" s="22" t="n">
        <v>43349</v>
      </c>
      <c r="F1827" s="21" t="s">
        <v>49</v>
      </c>
      <c r="G1827" s="23" t="n">
        <v>60.71</v>
      </c>
      <c r="H1827" s="23" t="n">
        <v>29.13</v>
      </c>
      <c r="I1827" s="21" t="s">
        <v>60</v>
      </c>
      <c r="J1827" s="21" t="n">
        <v>4</v>
      </c>
      <c r="K1827" s="21" t="s">
        <v>46</v>
      </c>
      <c r="L1827" s="24" t="n">
        <f aca="false">DATE(YEAR(C1827),MONTH(C1827),1)</f>
        <v>43313</v>
      </c>
      <c r="M1827" s="21" t="n">
        <f aca="false">D1827-C1827</f>
        <v>13</v>
      </c>
      <c r="N1827" s="21" t="n">
        <f aca="false">MAX(0,D1827-E1827)</f>
        <v>0</v>
      </c>
      <c r="O1827" s="21" t="n">
        <f aca="false">IF(D1827&lt;=E1827,1,0)</f>
        <v>1</v>
      </c>
      <c r="P1827" s="23" t="n">
        <f aca="false">G1827+H1827</f>
        <v>89.84</v>
      </c>
      <c r="Q1827" s="23" t="n">
        <f aca="false">G1827*INDEX(Assumptions!$B$8:$B$16,MATCH(F1827,Assumptions!$A$8:$A$16,0))</f>
        <v>35.2118</v>
      </c>
      <c r="R1827" s="23" t="n">
        <f aca="false">H1827*Assumptions!$B$3</f>
        <v>17.478</v>
      </c>
      <c r="S1827" s="23" t="n">
        <f aca="false">G1827-Q1827-R1827</f>
        <v>8.02020000000001</v>
      </c>
      <c r="T1827" s="21" t="str">
        <f aca="false">IF(M1827&lt;=7,"0-7 days",IF(M1827&lt;=14,"8-14 days",IF(M1827&lt;=21,"15-21 days","22+ days")))</f>
        <v>8-14 days</v>
      </c>
    </row>
    <row r="1828" customFormat="false" ht="15" hidden="false" customHeight="false" outlineLevel="0" collapsed="false">
      <c r="A1828" s="21" t="s">
        <v>1894</v>
      </c>
      <c r="B1828" s="21" t="s">
        <v>19</v>
      </c>
      <c r="C1828" s="22" t="n">
        <v>43314</v>
      </c>
      <c r="D1828" s="22" t="n">
        <v>43321</v>
      </c>
      <c r="E1828" s="22" t="n">
        <v>43330</v>
      </c>
      <c r="F1828" s="21" t="s">
        <v>49</v>
      </c>
      <c r="G1828" s="23" t="n">
        <v>68.22</v>
      </c>
      <c r="H1828" s="23" t="n">
        <v>12.92</v>
      </c>
      <c r="I1828" s="21" t="s">
        <v>45</v>
      </c>
      <c r="J1828" s="21" t="n">
        <v>4</v>
      </c>
      <c r="K1828" s="21" t="s">
        <v>46</v>
      </c>
      <c r="L1828" s="24" t="n">
        <f aca="false">DATE(YEAR(C1828),MONTH(C1828),1)</f>
        <v>43313</v>
      </c>
      <c r="M1828" s="21" t="n">
        <f aca="false">D1828-C1828</f>
        <v>7</v>
      </c>
      <c r="N1828" s="21" t="n">
        <f aca="false">MAX(0,D1828-E1828)</f>
        <v>0</v>
      </c>
      <c r="O1828" s="21" t="n">
        <f aca="false">IF(D1828&lt;=E1828,1,0)</f>
        <v>1</v>
      </c>
      <c r="P1828" s="23" t="n">
        <f aca="false">G1828+H1828</f>
        <v>81.14</v>
      </c>
      <c r="Q1828" s="23" t="n">
        <f aca="false">G1828*INDEX(Assumptions!$B$8:$B$16,MATCH(F1828,Assumptions!$A$8:$A$16,0))</f>
        <v>39.5676</v>
      </c>
      <c r="R1828" s="23" t="n">
        <f aca="false">H1828*Assumptions!$B$3</f>
        <v>7.752</v>
      </c>
      <c r="S1828" s="23" t="n">
        <f aca="false">G1828-Q1828-R1828</f>
        <v>20.9004</v>
      </c>
      <c r="T1828" s="21" t="str">
        <f aca="false">IF(M1828&lt;=7,"0-7 days",IF(M1828&lt;=14,"8-14 days",IF(M1828&lt;=21,"15-21 days","22+ days")))</f>
        <v>0-7 days</v>
      </c>
    </row>
    <row r="1829" customFormat="false" ht="15" hidden="false" customHeight="false" outlineLevel="0" collapsed="false">
      <c r="A1829" s="21" t="s">
        <v>1895</v>
      </c>
      <c r="B1829" s="21" t="s">
        <v>19</v>
      </c>
      <c r="C1829" s="22" t="n">
        <v>43314</v>
      </c>
      <c r="D1829" s="22" t="n">
        <v>43321</v>
      </c>
      <c r="E1829" s="22" t="n">
        <v>43328</v>
      </c>
      <c r="F1829" s="21" t="s">
        <v>49</v>
      </c>
      <c r="G1829" s="23" t="n">
        <v>65.62</v>
      </c>
      <c r="H1829" s="23" t="n">
        <v>12.64</v>
      </c>
      <c r="I1829" s="21" t="s">
        <v>45</v>
      </c>
      <c r="J1829" s="21" t="n">
        <v>4</v>
      </c>
      <c r="K1829" s="21" t="s">
        <v>46</v>
      </c>
      <c r="L1829" s="24" t="n">
        <f aca="false">DATE(YEAR(C1829),MONTH(C1829),1)</f>
        <v>43313</v>
      </c>
      <c r="M1829" s="21" t="n">
        <f aca="false">D1829-C1829</f>
        <v>7</v>
      </c>
      <c r="N1829" s="21" t="n">
        <f aca="false">MAX(0,D1829-E1829)</f>
        <v>0</v>
      </c>
      <c r="O1829" s="21" t="n">
        <f aca="false">IF(D1829&lt;=E1829,1,0)</f>
        <v>1</v>
      </c>
      <c r="P1829" s="23" t="n">
        <f aca="false">G1829+H1829</f>
        <v>78.26</v>
      </c>
      <c r="Q1829" s="23" t="n">
        <f aca="false">G1829*INDEX(Assumptions!$B$8:$B$16,MATCH(F1829,Assumptions!$A$8:$A$16,0))</f>
        <v>38.0596</v>
      </c>
      <c r="R1829" s="23" t="n">
        <f aca="false">H1829*Assumptions!$B$3</f>
        <v>7.584</v>
      </c>
      <c r="S1829" s="23" t="n">
        <f aca="false">G1829-Q1829-R1829</f>
        <v>19.9764</v>
      </c>
      <c r="T1829" s="21" t="str">
        <f aca="false">IF(M1829&lt;=7,"0-7 days",IF(M1829&lt;=14,"8-14 days",IF(M1829&lt;=21,"15-21 days","22+ days")))</f>
        <v>0-7 days</v>
      </c>
    </row>
    <row r="1830" customFormat="false" ht="15" hidden="false" customHeight="false" outlineLevel="0" collapsed="false">
      <c r="A1830" s="21" t="s">
        <v>1896</v>
      </c>
      <c r="B1830" s="21" t="s">
        <v>55</v>
      </c>
      <c r="C1830" s="22" t="n">
        <v>43314</v>
      </c>
      <c r="D1830" s="22" t="n">
        <v>43322</v>
      </c>
      <c r="E1830" s="22" t="n">
        <v>43338</v>
      </c>
      <c r="F1830" s="21" t="s">
        <v>53</v>
      </c>
      <c r="G1830" s="23" t="n">
        <v>110.69</v>
      </c>
      <c r="H1830" s="23" t="n">
        <v>17.95</v>
      </c>
      <c r="I1830" s="21" t="s">
        <v>60</v>
      </c>
      <c r="J1830" s="21" t="n">
        <v>5</v>
      </c>
      <c r="K1830" s="21" t="s">
        <v>46</v>
      </c>
      <c r="L1830" s="24" t="n">
        <f aca="false">DATE(YEAR(C1830),MONTH(C1830),1)</f>
        <v>43313</v>
      </c>
      <c r="M1830" s="21" t="n">
        <f aca="false">D1830-C1830</f>
        <v>8</v>
      </c>
      <c r="N1830" s="21" t="n">
        <f aca="false">MAX(0,D1830-E1830)</f>
        <v>0</v>
      </c>
      <c r="O1830" s="21" t="n">
        <f aca="false">IF(D1830&lt;=E1830,1,0)</f>
        <v>1</v>
      </c>
      <c r="P1830" s="23" t="n">
        <f aca="false">G1830+H1830</f>
        <v>128.64</v>
      </c>
      <c r="Q1830" s="23" t="n">
        <f aca="false">G1830*INDEX(Assumptions!$B$8:$B$16,MATCH(F1830,Assumptions!$A$8:$A$16,0))</f>
        <v>81.9106</v>
      </c>
      <c r="R1830" s="23" t="n">
        <f aca="false">H1830*Assumptions!$B$3</f>
        <v>10.77</v>
      </c>
      <c r="S1830" s="23" t="n">
        <f aca="false">G1830-Q1830-R1830</f>
        <v>18.0094</v>
      </c>
      <c r="T1830" s="21" t="str">
        <f aca="false">IF(M1830&lt;=7,"0-7 days",IF(M1830&lt;=14,"8-14 days",IF(M1830&lt;=21,"15-21 days","22+ days")))</f>
        <v>8-14 days</v>
      </c>
    </row>
    <row r="1831" customFormat="false" ht="15" hidden="false" customHeight="false" outlineLevel="0" collapsed="false">
      <c r="A1831" s="21" t="s">
        <v>1897</v>
      </c>
      <c r="B1831" s="21" t="s">
        <v>62</v>
      </c>
      <c r="C1831" s="22" t="n">
        <v>43314</v>
      </c>
      <c r="D1831" s="22" t="n">
        <v>43318</v>
      </c>
      <c r="E1831" s="22" t="n">
        <v>43335</v>
      </c>
      <c r="F1831" s="21" t="s">
        <v>57</v>
      </c>
      <c r="G1831" s="23" t="n">
        <v>105.65</v>
      </c>
      <c r="H1831" s="23" t="n">
        <v>26.91</v>
      </c>
      <c r="I1831" s="21" t="s">
        <v>45</v>
      </c>
      <c r="J1831" s="21" t="n">
        <v>2</v>
      </c>
      <c r="K1831" s="21" t="s">
        <v>46</v>
      </c>
      <c r="L1831" s="24" t="n">
        <f aca="false">DATE(YEAR(C1831),MONTH(C1831),1)</f>
        <v>43313</v>
      </c>
      <c r="M1831" s="21" t="n">
        <f aca="false">D1831-C1831</f>
        <v>4</v>
      </c>
      <c r="N1831" s="21" t="n">
        <f aca="false">MAX(0,D1831-E1831)</f>
        <v>0</v>
      </c>
      <c r="O1831" s="21" t="n">
        <f aca="false">IF(D1831&lt;=E1831,1,0)</f>
        <v>1</v>
      </c>
      <c r="P1831" s="23" t="n">
        <f aca="false">G1831+H1831</f>
        <v>132.56</v>
      </c>
      <c r="Q1831" s="23" t="n">
        <f aca="false">G1831*INDEX(Assumptions!$B$8:$B$16,MATCH(F1831,Assumptions!$A$8:$A$16,0))</f>
        <v>71.842</v>
      </c>
      <c r="R1831" s="23" t="n">
        <f aca="false">H1831*Assumptions!$B$3</f>
        <v>16.146</v>
      </c>
      <c r="S1831" s="23" t="n">
        <f aca="false">G1831-Q1831-R1831</f>
        <v>17.662</v>
      </c>
      <c r="T1831" s="21" t="str">
        <f aca="false">IF(M1831&lt;=7,"0-7 days",IF(M1831&lt;=14,"8-14 days",IF(M1831&lt;=21,"15-21 days","22+ days")))</f>
        <v>0-7 days</v>
      </c>
    </row>
    <row r="1832" customFormat="false" ht="15" hidden="false" customHeight="false" outlineLevel="0" collapsed="false">
      <c r="A1832" s="21" t="s">
        <v>1898</v>
      </c>
      <c r="B1832" s="21" t="s">
        <v>19</v>
      </c>
      <c r="C1832" s="22" t="n">
        <v>43315</v>
      </c>
      <c r="D1832" s="22" t="n">
        <v>43318</v>
      </c>
      <c r="E1832" s="22" t="n">
        <v>43328</v>
      </c>
      <c r="F1832" s="21" t="s">
        <v>67</v>
      </c>
      <c r="G1832" s="23" t="n">
        <v>80.64</v>
      </c>
      <c r="H1832" s="23" t="n">
        <v>14.85</v>
      </c>
      <c r="I1832" s="21" t="s">
        <v>45</v>
      </c>
      <c r="J1832" s="21" t="n">
        <v>4</v>
      </c>
      <c r="K1832" s="21" t="s">
        <v>46</v>
      </c>
      <c r="L1832" s="24" t="n">
        <f aca="false">DATE(YEAR(C1832),MONTH(C1832),1)</f>
        <v>43313</v>
      </c>
      <c r="M1832" s="21" t="n">
        <f aca="false">D1832-C1832</f>
        <v>3</v>
      </c>
      <c r="N1832" s="21" t="n">
        <f aca="false">MAX(0,D1832-E1832)</f>
        <v>0</v>
      </c>
      <c r="O1832" s="21" t="n">
        <f aca="false">IF(D1832&lt;=E1832,1,0)</f>
        <v>1</v>
      </c>
      <c r="P1832" s="23" t="n">
        <f aca="false">G1832+H1832</f>
        <v>95.49</v>
      </c>
      <c r="Q1832" s="23" t="n">
        <f aca="false">G1832*INDEX(Assumptions!$B$8:$B$16,MATCH(F1832,Assumptions!$A$8:$A$16,0))</f>
        <v>49.9968</v>
      </c>
      <c r="R1832" s="23" t="n">
        <f aca="false">H1832*Assumptions!$B$3</f>
        <v>8.91</v>
      </c>
      <c r="S1832" s="23" t="n">
        <f aca="false">G1832-Q1832-R1832</f>
        <v>21.7332</v>
      </c>
      <c r="T1832" s="21" t="str">
        <f aca="false">IF(M1832&lt;=7,"0-7 days",IF(M1832&lt;=14,"8-14 days",IF(M1832&lt;=21,"15-21 days","22+ days")))</f>
        <v>0-7 days</v>
      </c>
    </row>
    <row r="1833" customFormat="false" ht="15" hidden="false" customHeight="false" outlineLevel="0" collapsed="false">
      <c r="A1833" s="21" t="s">
        <v>1899</v>
      </c>
      <c r="B1833" s="21" t="s">
        <v>19</v>
      </c>
      <c r="C1833" s="22" t="n">
        <v>43315</v>
      </c>
      <c r="D1833" s="22" t="n">
        <v>43322</v>
      </c>
      <c r="E1833" s="22" t="n">
        <v>43330</v>
      </c>
      <c r="F1833" s="21" t="s">
        <v>67</v>
      </c>
      <c r="G1833" s="23" t="n">
        <v>196.95</v>
      </c>
      <c r="H1833" s="23" t="n">
        <v>21.47</v>
      </c>
      <c r="I1833" s="21" t="s">
        <v>50</v>
      </c>
      <c r="J1833" s="21" t="n">
        <v>5</v>
      </c>
      <c r="K1833" s="21" t="s">
        <v>46</v>
      </c>
      <c r="L1833" s="24" t="n">
        <f aca="false">DATE(YEAR(C1833),MONTH(C1833),1)</f>
        <v>43313</v>
      </c>
      <c r="M1833" s="21" t="n">
        <f aca="false">D1833-C1833</f>
        <v>7</v>
      </c>
      <c r="N1833" s="21" t="n">
        <f aca="false">MAX(0,D1833-E1833)</f>
        <v>0</v>
      </c>
      <c r="O1833" s="21" t="n">
        <f aca="false">IF(D1833&lt;=E1833,1,0)</f>
        <v>1</v>
      </c>
      <c r="P1833" s="23" t="n">
        <f aca="false">G1833+H1833</f>
        <v>218.42</v>
      </c>
      <c r="Q1833" s="23" t="n">
        <f aca="false">G1833*INDEX(Assumptions!$B$8:$B$16,MATCH(F1833,Assumptions!$A$8:$A$16,0))</f>
        <v>122.109</v>
      </c>
      <c r="R1833" s="23" t="n">
        <f aca="false">H1833*Assumptions!$B$3</f>
        <v>12.882</v>
      </c>
      <c r="S1833" s="23" t="n">
        <f aca="false">G1833-Q1833-R1833</f>
        <v>61.959</v>
      </c>
      <c r="T1833" s="21" t="str">
        <f aca="false">IF(M1833&lt;=7,"0-7 days",IF(M1833&lt;=14,"8-14 days",IF(M1833&lt;=21,"15-21 days","22+ days")))</f>
        <v>0-7 days</v>
      </c>
    </row>
    <row r="1834" customFormat="false" ht="15" hidden="false" customHeight="false" outlineLevel="0" collapsed="false">
      <c r="A1834" s="21" t="s">
        <v>1900</v>
      </c>
      <c r="B1834" s="21" t="s">
        <v>19</v>
      </c>
      <c r="C1834" s="22" t="n">
        <v>43315</v>
      </c>
      <c r="D1834" s="22" t="n">
        <v>43324</v>
      </c>
      <c r="E1834" s="22" t="n">
        <v>43329</v>
      </c>
      <c r="F1834" s="21" t="s">
        <v>53</v>
      </c>
      <c r="G1834" s="23" t="n">
        <v>67.23</v>
      </c>
      <c r="H1834" s="23" t="n">
        <v>20.78</v>
      </c>
      <c r="I1834" s="21" t="s">
        <v>60</v>
      </c>
      <c r="J1834" s="21" t="n">
        <v>4</v>
      </c>
      <c r="K1834" s="21" t="s">
        <v>46</v>
      </c>
      <c r="L1834" s="24" t="n">
        <f aca="false">DATE(YEAR(C1834),MONTH(C1834),1)</f>
        <v>43313</v>
      </c>
      <c r="M1834" s="21" t="n">
        <f aca="false">D1834-C1834</f>
        <v>9</v>
      </c>
      <c r="N1834" s="21" t="n">
        <f aca="false">MAX(0,D1834-E1834)</f>
        <v>0</v>
      </c>
      <c r="O1834" s="21" t="n">
        <f aca="false">IF(D1834&lt;=E1834,1,0)</f>
        <v>1</v>
      </c>
      <c r="P1834" s="23" t="n">
        <f aca="false">G1834+H1834</f>
        <v>88.01</v>
      </c>
      <c r="Q1834" s="23" t="n">
        <f aca="false">G1834*INDEX(Assumptions!$B$8:$B$16,MATCH(F1834,Assumptions!$A$8:$A$16,0))</f>
        <v>49.7502</v>
      </c>
      <c r="R1834" s="23" t="n">
        <f aca="false">H1834*Assumptions!$B$3</f>
        <v>12.468</v>
      </c>
      <c r="S1834" s="23" t="n">
        <f aca="false">G1834-Q1834-R1834</f>
        <v>5.0118</v>
      </c>
      <c r="T1834" s="21" t="str">
        <f aca="false">IF(M1834&lt;=7,"0-7 days",IF(M1834&lt;=14,"8-14 days",IF(M1834&lt;=21,"15-21 days","22+ days")))</f>
        <v>8-14 days</v>
      </c>
    </row>
    <row r="1835" customFormat="false" ht="15" hidden="false" customHeight="false" outlineLevel="0" collapsed="false">
      <c r="A1835" s="21" t="s">
        <v>1901</v>
      </c>
      <c r="B1835" s="21" t="s">
        <v>52</v>
      </c>
      <c r="C1835" s="22" t="n">
        <v>43315</v>
      </c>
      <c r="D1835" s="22" t="n">
        <v>43334</v>
      </c>
      <c r="E1835" s="22" t="n">
        <v>43337</v>
      </c>
      <c r="F1835" s="21" t="s">
        <v>44</v>
      </c>
      <c r="G1835" s="23" t="n">
        <v>92.64</v>
      </c>
      <c r="H1835" s="23" t="n">
        <v>24.24</v>
      </c>
      <c r="I1835" s="21" t="s">
        <v>45</v>
      </c>
      <c r="J1835" s="21" t="n">
        <v>4</v>
      </c>
      <c r="K1835" s="21" t="s">
        <v>46</v>
      </c>
      <c r="L1835" s="24" t="n">
        <f aca="false">DATE(YEAR(C1835),MONTH(C1835),1)</f>
        <v>43313</v>
      </c>
      <c r="M1835" s="21" t="n">
        <f aca="false">D1835-C1835</f>
        <v>19</v>
      </c>
      <c r="N1835" s="21" t="n">
        <f aca="false">MAX(0,D1835-E1835)</f>
        <v>0</v>
      </c>
      <c r="O1835" s="21" t="n">
        <f aca="false">IF(D1835&lt;=E1835,1,0)</f>
        <v>1</v>
      </c>
      <c r="P1835" s="23" t="n">
        <f aca="false">G1835+H1835</f>
        <v>116.88</v>
      </c>
      <c r="Q1835" s="23" t="n">
        <f aca="false">G1835*INDEX(Assumptions!$B$8:$B$16,MATCH(F1835,Assumptions!$A$8:$A$16,0))</f>
        <v>55.584</v>
      </c>
      <c r="R1835" s="23" t="n">
        <f aca="false">H1835*Assumptions!$B$3</f>
        <v>14.544</v>
      </c>
      <c r="S1835" s="23" t="n">
        <f aca="false">G1835-Q1835-R1835</f>
        <v>22.512</v>
      </c>
      <c r="T1835" s="21" t="str">
        <f aca="false">IF(M1835&lt;=7,"0-7 days",IF(M1835&lt;=14,"8-14 days",IF(M1835&lt;=21,"15-21 days","22+ days")))</f>
        <v>15-21 days</v>
      </c>
    </row>
    <row r="1836" customFormat="false" ht="15" hidden="false" customHeight="false" outlineLevel="0" collapsed="false">
      <c r="A1836" s="21" t="s">
        <v>1902</v>
      </c>
      <c r="B1836" s="21" t="s">
        <v>55</v>
      </c>
      <c r="C1836" s="22" t="n">
        <v>43315</v>
      </c>
      <c r="D1836" s="22" t="n">
        <v>43324</v>
      </c>
      <c r="E1836" s="22" t="n">
        <v>43340</v>
      </c>
      <c r="F1836" s="21" t="s">
        <v>53</v>
      </c>
      <c r="G1836" s="23" t="n">
        <v>95.56</v>
      </c>
      <c r="H1836" s="23" t="n">
        <v>18.26</v>
      </c>
      <c r="I1836" s="21" t="s">
        <v>45</v>
      </c>
      <c r="J1836" s="21" t="n">
        <v>4</v>
      </c>
      <c r="K1836" s="21" t="s">
        <v>46</v>
      </c>
      <c r="L1836" s="24" t="n">
        <f aca="false">DATE(YEAR(C1836),MONTH(C1836),1)</f>
        <v>43313</v>
      </c>
      <c r="M1836" s="21" t="n">
        <f aca="false">D1836-C1836</f>
        <v>9</v>
      </c>
      <c r="N1836" s="21" t="n">
        <f aca="false">MAX(0,D1836-E1836)</f>
        <v>0</v>
      </c>
      <c r="O1836" s="21" t="n">
        <f aca="false">IF(D1836&lt;=E1836,1,0)</f>
        <v>1</v>
      </c>
      <c r="P1836" s="23" t="n">
        <f aca="false">G1836+H1836</f>
        <v>113.82</v>
      </c>
      <c r="Q1836" s="23" t="n">
        <f aca="false">G1836*INDEX(Assumptions!$B$8:$B$16,MATCH(F1836,Assumptions!$A$8:$A$16,0))</f>
        <v>70.7144</v>
      </c>
      <c r="R1836" s="23" t="n">
        <f aca="false">H1836*Assumptions!$B$3</f>
        <v>10.956</v>
      </c>
      <c r="S1836" s="23" t="n">
        <f aca="false">G1836-Q1836-R1836</f>
        <v>13.8896</v>
      </c>
      <c r="T1836" s="21" t="str">
        <f aca="false">IF(M1836&lt;=7,"0-7 days",IF(M1836&lt;=14,"8-14 days",IF(M1836&lt;=21,"15-21 days","22+ days")))</f>
        <v>8-14 days</v>
      </c>
    </row>
    <row r="1837" customFormat="false" ht="15" hidden="false" customHeight="false" outlineLevel="0" collapsed="false">
      <c r="A1837" s="21" t="s">
        <v>1903</v>
      </c>
      <c r="B1837" s="21" t="s">
        <v>19</v>
      </c>
      <c r="C1837" s="22" t="n">
        <v>43315</v>
      </c>
      <c r="D1837" s="22" t="n">
        <v>43322</v>
      </c>
      <c r="E1837" s="22" t="n">
        <v>43331</v>
      </c>
      <c r="F1837" s="21" t="s">
        <v>57</v>
      </c>
      <c r="G1837" s="23" t="n">
        <v>171.38</v>
      </c>
      <c r="H1837" s="23" t="n">
        <v>17.01</v>
      </c>
      <c r="I1837" s="21" t="s">
        <v>45</v>
      </c>
      <c r="J1837" s="21" t="n">
        <v>3</v>
      </c>
      <c r="K1837" s="21" t="s">
        <v>46</v>
      </c>
      <c r="L1837" s="24" t="n">
        <f aca="false">DATE(YEAR(C1837),MONTH(C1837),1)</f>
        <v>43313</v>
      </c>
      <c r="M1837" s="21" t="n">
        <f aca="false">D1837-C1837</f>
        <v>7</v>
      </c>
      <c r="N1837" s="21" t="n">
        <f aca="false">MAX(0,D1837-E1837)</f>
        <v>0</v>
      </c>
      <c r="O1837" s="21" t="n">
        <f aca="false">IF(D1837&lt;=E1837,1,0)</f>
        <v>1</v>
      </c>
      <c r="P1837" s="23" t="n">
        <f aca="false">G1837+H1837</f>
        <v>188.39</v>
      </c>
      <c r="Q1837" s="23" t="n">
        <f aca="false">G1837*INDEX(Assumptions!$B$8:$B$16,MATCH(F1837,Assumptions!$A$8:$A$16,0))</f>
        <v>116.5384</v>
      </c>
      <c r="R1837" s="23" t="n">
        <f aca="false">H1837*Assumptions!$B$3</f>
        <v>10.206</v>
      </c>
      <c r="S1837" s="23" t="n">
        <f aca="false">G1837-Q1837-R1837</f>
        <v>44.6356</v>
      </c>
      <c r="T1837" s="21" t="str">
        <f aca="false">IF(M1837&lt;=7,"0-7 days",IF(M1837&lt;=14,"8-14 days",IF(M1837&lt;=21,"15-21 days","22+ days")))</f>
        <v>0-7 days</v>
      </c>
    </row>
    <row r="1838" customFormat="false" ht="15" hidden="false" customHeight="false" outlineLevel="0" collapsed="false">
      <c r="A1838" s="21" t="s">
        <v>1904</v>
      </c>
      <c r="B1838" s="21" t="s">
        <v>52</v>
      </c>
      <c r="C1838" s="22" t="n">
        <v>43316</v>
      </c>
      <c r="D1838" s="22" t="n">
        <v>43330</v>
      </c>
      <c r="E1838" s="22" t="n">
        <v>43340</v>
      </c>
      <c r="F1838" s="21" t="s">
        <v>57</v>
      </c>
      <c r="G1838" s="23" t="n">
        <v>140.14</v>
      </c>
      <c r="H1838" s="23" t="n">
        <v>23.65</v>
      </c>
      <c r="I1838" s="21" t="s">
        <v>45</v>
      </c>
      <c r="J1838" s="21" t="n">
        <v>5</v>
      </c>
      <c r="K1838" s="21" t="s">
        <v>46</v>
      </c>
      <c r="L1838" s="24" t="n">
        <f aca="false">DATE(YEAR(C1838),MONTH(C1838),1)</f>
        <v>43313</v>
      </c>
      <c r="M1838" s="21" t="n">
        <f aca="false">D1838-C1838</f>
        <v>14</v>
      </c>
      <c r="N1838" s="21" t="n">
        <f aca="false">MAX(0,D1838-E1838)</f>
        <v>0</v>
      </c>
      <c r="O1838" s="21" t="n">
        <f aca="false">IF(D1838&lt;=E1838,1,0)</f>
        <v>1</v>
      </c>
      <c r="P1838" s="23" t="n">
        <f aca="false">G1838+H1838</f>
        <v>163.79</v>
      </c>
      <c r="Q1838" s="23" t="n">
        <f aca="false">G1838*INDEX(Assumptions!$B$8:$B$16,MATCH(F1838,Assumptions!$A$8:$A$16,0))</f>
        <v>95.2952</v>
      </c>
      <c r="R1838" s="23" t="n">
        <f aca="false">H1838*Assumptions!$B$3</f>
        <v>14.19</v>
      </c>
      <c r="S1838" s="23" t="n">
        <f aca="false">G1838-Q1838-R1838</f>
        <v>30.6548</v>
      </c>
      <c r="T1838" s="21" t="str">
        <f aca="false">IF(M1838&lt;=7,"0-7 days",IF(M1838&lt;=14,"8-14 days",IF(M1838&lt;=21,"15-21 days","22+ days")))</f>
        <v>8-14 days</v>
      </c>
    </row>
    <row r="1839" customFormat="false" ht="15" hidden="false" customHeight="false" outlineLevel="0" collapsed="false">
      <c r="A1839" s="21" t="s">
        <v>1905</v>
      </c>
      <c r="B1839" s="21" t="s">
        <v>62</v>
      </c>
      <c r="C1839" s="22" t="n">
        <v>43316</v>
      </c>
      <c r="D1839" s="22" t="n">
        <v>43327</v>
      </c>
      <c r="E1839" s="22" t="n">
        <v>43341</v>
      </c>
      <c r="F1839" s="21" t="s">
        <v>59</v>
      </c>
      <c r="G1839" s="23" t="n">
        <v>217.66</v>
      </c>
      <c r="H1839" s="23" t="n">
        <v>25.93</v>
      </c>
      <c r="I1839" s="21" t="s">
        <v>45</v>
      </c>
      <c r="J1839" s="21" t="n">
        <v>5</v>
      </c>
      <c r="K1839" s="21" t="s">
        <v>46</v>
      </c>
      <c r="L1839" s="24" t="n">
        <f aca="false">DATE(YEAR(C1839),MONTH(C1839),1)</f>
        <v>43313</v>
      </c>
      <c r="M1839" s="21" t="n">
        <f aca="false">D1839-C1839</f>
        <v>11</v>
      </c>
      <c r="N1839" s="21" t="n">
        <f aca="false">MAX(0,D1839-E1839)</f>
        <v>0</v>
      </c>
      <c r="O1839" s="21" t="n">
        <f aca="false">IF(D1839&lt;=E1839,1,0)</f>
        <v>1</v>
      </c>
      <c r="P1839" s="23" t="n">
        <f aca="false">G1839+H1839</f>
        <v>243.59</v>
      </c>
      <c r="Q1839" s="23" t="n">
        <f aca="false">G1839*INDEX(Assumptions!$B$8:$B$16,MATCH(F1839,Assumptions!$A$8:$A$16,0))</f>
        <v>139.3024</v>
      </c>
      <c r="R1839" s="23" t="n">
        <f aca="false">H1839*Assumptions!$B$3</f>
        <v>15.558</v>
      </c>
      <c r="S1839" s="23" t="n">
        <f aca="false">G1839-Q1839-R1839</f>
        <v>62.7996</v>
      </c>
      <c r="T1839" s="21" t="str">
        <f aca="false">IF(M1839&lt;=7,"0-7 days",IF(M1839&lt;=14,"8-14 days",IF(M1839&lt;=21,"15-21 days","22+ days")))</f>
        <v>8-14 days</v>
      </c>
    </row>
    <row r="1840" customFormat="false" ht="15" hidden="false" customHeight="false" outlineLevel="0" collapsed="false">
      <c r="A1840" s="21" t="s">
        <v>1906</v>
      </c>
      <c r="B1840" s="21" t="s">
        <v>174</v>
      </c>
      <c r="C1840" s="22" t="n">
        <v>43316</v>
      </c>
      <c r="D1840" s="22" t="n">
        <v>43339</v>
      </c>
      <c r="E1840" s="22" t="n">
        <v>43346</v>
      </c>
      <c r="F1840" s="21" t="s">
        <v>67</v>
      </c>
      <c r="G1840" s="23" t="n">
        <v>69.53</v>
      </c>
      <c r="H1840" s="23" t="n">
        <v>37.69</v>
      </c>
      <c r="I1840" s="21" t="s">
        <v>60</v>
      </c>
      <c r="J1840" s="21" t="n">
        <v>3</v>
      </c>
      <c r="K1840" s="21" t="s">
        <v>46</v>
      </c>
      <c r="L1840" s="24" t="n">
        <f aca="false">DATE(YEAR(C1840),MONTH(C1840),1)</f>
        <v>43313</v>
      </c>
      <c r="M1840" s="21" t="n">
        <f aca="false">D1840-C1840</f>
        <v>23</v>
      </c>
      <c r="N1840" s="21" t="n">
        <f aca="false">MAX(0,D1840-E1840)</f>
        <v>0</v>
      </c>
      <c r="O1840" s="21" t="n">
        <f aca="false">IF(D1840&lt;=E1840,1,0)</f>
        <v>1</v>
      </c>
      <c r="P1840" s="23" t="n">
        <f aca="false">G1840+H1840</f>
        <v>107.22</v>
      </c>
      <c r="Q1840" s="23" t="n">
        <f aca="false">G1840*INDEX(Assumptions!$B$8:$B$16,MATCH(F1840,Assumptions!$A$8:$A$16,0))</f>
        <v>43.1086</v>
      </c>
      <c r="R1840" s="23" t="n">
        <f aca="false">H1840*Assumptions!$B$3</f>
        <v>22.614</v>
      </c>
      <c r="S1840" s="23" t="n">
        <f aca="false">G1840-Q1840-R1840</f>
        <v>3.8074</v>
      </c>
      <c r="T1840" s="21" t="str">
        <f aca="false">IF(M1840&lt;=7,"0-7 days",IF(M1840&lt;=14,"8-14 days",IF(M1840&lt;=21,"15-21 days","22+ days")))</f>
        <v>22+ days</v>
      </c>
    </row>
    <row r="1841" customFormat="false" ht="15" hidden="false" customHeight="false" outlineLevel="0" collapsed="false">
      <c r="A1841" s="21" t="s">
        <v>1907</v>
      </c>
      <c r="B1841" s="21" t="s">
        <v>19</v>
      </c>
      <c r="C1841" s="22" t="n">
        <v>43316</v>
      </c>
      <c r="D1841" s="22" t="n">
        <v>43322</v>
      </c>
      <c r="E1841" s="22" t="n">
        <v>43337</v>
      </c>
      <c r="F1841" s="21" t="s">
        <v>49</v>
      </c>
      <c r="G1841" s="23" t="n">
        <v>81.74</v>
      </c>
      <c r="H1841" s="23" t="n">
        <v>12.86</v>
      </c>
      <c r="I1841" s="21" t="s">
        <v>45</v>
      </c>
      <c r="J1841" s="21" t="n">
        <v>4</v>
      </c>
      <c r="K1841" s="21" t="s">
        <v>46</v>
      </c>
      <c r="L1841" s="24" t="n">
        <f aca="false">DATE(YEAR(C1841),MONTH(C1841),1)</f>
        <v>43313</v>
      </c>
      <c r="M1841" s="21" t="n">
        <f aca="false">D1841-C1841</f>
        <v>6</v>
      </c>
      <c r="N1841" s="21" t="n">
        <f aca="false">MAX(0,D1841-E1841)</f>
        <v>0</v>
      </c>
      <c r="O1841" s="21" t="n">
        <f aca="false">IF(D1841&lt;=E1841,1,0)</f>
        <v>1</v>
      </c>
      <c r="P1841" s="23" t="n">
        <f aca="false">G1841+H1841</f>
        <v>94.6</v>
      </c>
      <c r="Q1841" s="23" t="n">
        <f aca="false">G1841*INDEX(Assumptions!$B$8:$B$16,MATCH(F1841,Assumptions!$A$8:$A$16,0))</f>
        <v>47.4092</v>
      </c>
      <c r="R1841" s="23" t="n">
        <f aca="false">H1841*Assumptions!$B$3</f>
        <v>7.716</v>
      </c>
      <c r="S1841" s="23" t="n">
        <f aca="false">G1841-Q1841-R1841</f>
        <v>26.6148</v>
      </c>
      <c r="T1841" s="21" t="str">
        <f aca="false">IF(M1841&lt;=7,"0-7 days",IF(M1841&lt;=14,"8-14 days",IF(M1841&lt;=21,"15-21 days","22+ days")))</f>
        <v>0-7 days</v>
      </c>
    </row>
    <row r="1842" customFormat="false" ht="15" hidden="false" customHeight="false" outlineLevel="0" collapsed="false">
      <c r="A1842" s="21" t="s">
        <v>1908</v>
      </c>
      <c r="B1842" s="21" t="s">
        <v>55</v>
      </c>
      <c r="C1842" s="22" t="n">
        <v>43316</v>
      </c>
      <c r="D1842" s="22" t="n">
        <v>43323</v>
      </c>
      <c r="E1842" s="22" t="n">
        <v>43344</v>
      </c>
      <c r="F1842" s="21" t="s">
        <v>64</v>
      </c>
      <c r="G1842" s="23" t="n">
        <v>91.39</v>
      </c>
      <c r="H1842" s="23" t="n">
        <v>25.05</v>
      </c>
      <c r="I1842" s="21" t="s">
        <v>45</v>
      </c>
      <c r="J1842" s="21" t="n">
        <v>4</v>
      </c>
      <c r="K1842" s="21" t="s">
        <v>46</v>
      </c>
      <c r="L1842" s="24" t="n">
        <f aca="false">DATE(YEAR(C1842),MONTH(C1842),1)</f>
        <v>43313</v>
      </c>
      <c r="M1842" s="21" t="n">
        <f aca="false">D1842-C1842</f>
        <v>7</v>
      </c>
      <c r="N1842" s="21" t="n">
        <f aca="false">MAX(0,D1842-E1842)</f>
        <v>0</v>
      </c>
      <c r="O1842" s="21" t="n">
        <f aca="false">IF(D1842&lt;=E1842,1,0)</f>
        <v>1</v>
      </c>
      <c r="P1842" s="23" t="n">
        <f aca="false">G1842+H1842</f>
        <v>116.44</v>
      </c>
      <c r="Q1842" s="23" t="n">
        <f aca="false">G1842*INDEX(Assumptions!$B$8:$B$16,MATCH(F1842,Assumptions!$A$8:$A$16,0))</f>
        <v>60.3174</v>
      </c>
      <c r="R1842" s="23" t="n">
        <f aca="false">H1842*Assumptions!$B$3</f>
        <v>15.03</v>
      </c>
      <c r="S1842" s="23" t="n">
        <f aca="false">G1842-Q1842-R1842</f>
        <v>16.0426</v>
      </c>
      <c r="T1842" s="21" t="str">
        <f aca="false">IF(M1842&lt;=7,"0-7 days",IF(M1842&lt;=14,"8-14 days",IF(M1842&lt;=21,"15-21 days","22+ days")))</f>
        <v>0-7 days</v>
      </c>
    </row>
    <row r="1843" customFormat="false" ht="15" hidden="false" customHeight="false" outlineLevel="0" collapsed="false">
      <c r="A1843" s="21" t="s">
        <v>1909</v>
      </c>
      <c r="B1843" s="21" t="s">
        <v>19</v>
      </c>
      <c r="C1843" s="22" t="n">
        <v>43317</v>
      </c>
      <c r="D1843" s="22" t="n">
        <v>43324</v>
      </c>
      <c r="E1843" s="22" t="n">
        <v>43333</v>
      </c>
      <c r="F1843" s="21" t="s">
        <v>59</v>
      </c>
      <c r="G1843" s="23" t="n">
        <v>85.79</v>
      </c>
      <c r="H1843" s="23" t="n">
        <v>12.68</v>
      </c>
      <c r="I1843" s="21" t="s">
        <v>45</v>
      </c>
      <c r="J1843" s="21" t="n">
        <v>4</v>
      </c>
      <c r="K1843" s="21" t="s">
        <v>46</v>
      </c>
      <c r="L1843" s="24" t="n">
        <f aca="false">DATE(YEAR(C1843),MONTH(C1843),1)</f>
        <v>43313</v>
      </c>
      <c r="M1843" s="21" t="n">
        <f aca="false">D1843-C1843</f>
        <v>7</v>
      </c>
      <c r="N1843" s="21" t="n">
        <f aca="false">MAX(0,D1843-E1843)</f>
        <v>0</v>
      </c>
      <c r="O1843" s="21" t="n">
        <f aca="false">IF(D1843&lt;=E1843,1,0)</f>
        <v>1</v>
      </c>
      <c r="P1843" s="23" t="n">
        <f aca="false">G1843+H1843</f>
        <v>98.47</v>
      </c>
      <c r="Q1843" s="23" t="n">
        <f aca="false">G1843*INDEX(Assumptions!$B$8:$B$16,MATCH(F1843,Assumptions!$A$8:$A$16,0))</f>
        <v>54.9056</v>
      </c>
      <c r="R1843" s="23" t="n">
        <f aca="false">H1843*Assumptions!$B$3</f>
        <v>7.608</v>
      </c>
      <c r="S1843" s="23" t="n">
        <f aca="false">G1843-Q1843-R1843</f>
        <v>23.2764</v>
      </c>
      <c r="T1843" s="21" t="str">
        <f aca="false">IF(M1843&lt;=7,"0-7 days",IF(M1843&lt;=14,"8-14 days",IF(M1843&lt;=21,"15-21 days","22+ days")))</f>
        <v>0-7 days</v>
      </c>
    </row>
    <row r="1844" customFormat="false" ht="15" hidden="false" customHeight="false" outlineLevel="0" collapsed="false">
      <c r="A1844" s="21" t="s">
        <v>1910</v>
      </c>
      <c r="B1844" s="21" t="s">
        <v>19</v>
      </c>
      <c r="C1844" s="22" t="n">
        <v>43317</v>
      </c>
      <c r="D1844" s="22" t="n">
        <v>43321</v>
      </c>
      <c r="E1844" s="22" t="n">
        <v>43331</v>
      </c>
      <c r="F1844" s="21" t="s">
        <v>53</v>
      </c>
      <c r="G1844" s="23" t="n">
        <v>114.12</v>
      </c>
      <c r="H1844" s="23" t="n">
        <v>21.46</v>
      </c>
      <c r="I1844" s="21" t="s">
        <v>45</v>
      </c>
      <c r="J1844" s="21" t="n">
        <v>3</v>
      </c>
      <c r="K1844" s="21" t="s">
        <v>46</v>
      </c>
      <c r="L1844" s="24" t="n">
        <f aca="false">DATE(YEAR(C1844),MONTH(C1844),1)</f>
        <v>43313</v>
      </c>
      <c r="M1844" s="21" t="n">
        <f aca="false">D1844-C1844</f>
        <v>4</v>
      </c>
      <c r="N1844" s="21" t="n">
        <f aca="false">MAX(0,D1844-E1844)</f>
        <v>0</v>
      </c>
      <c r="O1844" s="21" t="n">
        <f aca="false">IF(D1844&lt;=E1844,1,0)</f>
        <v>1</v>
      </c>
      <c r="P1844" s="23" t="n">
        <f aca="false">G1844+H1844</f>
        <v>135.58</v>
      </c>
      <c r="Q1844" s="23" t="n">
        <f aca="false">G1844*INDEX(Assumptions!$B$8:$B$16,MATCH(F1844,Assumptions!$A$8:$A$16,0))</f>
        <v>84.4488</v>
      </c>
      <c r="R1844" s="23" t="n">
        <f aca="false">H1844*Assumptions!$B$3</f>
        <v>12.876</v>
      </c>
      <c r="S1844" s="23" t="n">
        <f aca="false">G1844-Q1844-R1844</f>
        <v>16.7952</v>
      </c>
      <c r="T1844" s="21" t="str">
        <f aca="false">IF(M1844&lt;=7,"0-7 days",IF(M1844&lt;=14,"8-14 days",IF(M1844&lt;=21,"15-21 days","22+ days")))</f>
        <v>0-7 days</v>
      </c>
    </row>
    <row r="1845" customFormat="false" ht="15" hidden="false" customHeight="false" outlineLevel="0" collapsed="false">
      <c r="A1845" s="21" t="s">
        <v>1911</v>
      </c>
      <c r="B1845" s="21" t="s">
        <v>156</v>
      </c>
      <c r="C1845" s="22" t="n">
        <v>43317</v>
      </c>
      <c r="D1845" s="22" t="n">
        <v>43334</v>
      </c>
      <c r="E1845" s="22" t="n">
        <v>43342</v>
      </c>
      <c r="F1845" s="21" t="s">
        <v>111</v>
      </c>
      <c r="G1845" s="23" t="n">
        <v>32.8</v>
      </c>
      <c r="H1845" s="23" t="n">
        <v>18.07</v>
      </c>
      <c r="I1845" s="21" t="s">
        <v>45</v>
      </c>
      <c r="J1845" s="21" t="n">
        <v>4</v>
      </c>
      <c r="K1845" s="21" t="s">
        <v>46</v>
      </c>
      <c r="L1845" s="24" t="n">
        <f aca="false">DATE(YEAR(C1845),MONTH(C1845),1)</f>
        <v>43313</v>
      </c>
      <c r="M1845" s="21" t="n">
        <f aca="false">D1845-C1845</f>
        <v>17</v>
      </c>
      <c r="N1845" s="21" t="n">
        <f aca="false">MAX(0,D1845-E1845)</f>
        <v>0</v>
      </c>
      <c r="O1845" s="21" t="n">
        <f aca="false">IF(D1845&lt;=E1845,1,0)</f>
        <v>1</v>
      </c>
      <c r="P1845" s="23" t="n">
        <f aca="false">G1845+H1845</f>
        <v>50.87</v>
      </c>
      <c r="Q1845" s="23" t="n">
        <f aca="false">G1845*INDEX(Assumptions!$B$8:$B$16,MATCH(F1845,Assumptions!$A$8:$A$16,0))</f>
        <v>20.664</v>
      </c>
      <c r="R1845" s="23" t="n">
        <f aca="false">H1845*Assumptions!$B$3</f>
        <v>10.842</v>
      </c>
      <c r="S1845" s="23" t="n">
        <f aca="false">G1845-Q1845-R1845</f>
        <v>1.294</v>
      </c>
      <c r="T1845" s="21" t="str">
        <f aca="false">IF(M1845&lt;=7,"0-7 days",IF(M1845&lt;=14,"8-14 days",IF(M1845&lt;=21,"15-21 days","22+ days")))</f>
        <v>15-21 days</v>
      </c>
    </row>
    <row r="1846" customFormat="false" ht="15" hidden="false" customHeight="false" outlineLevel="0" collapsed="false">
      <c r="A1846" s="21" t="s">
        <v>1912</v>
      </c>
      <c r="B1846" s="21" t="s">
        <v>62</v>
      </c>
      <c r="C1846" s="22" t="n">
        <v>43317</v>
      </c>
      <c r="D1846" s="22" t="n">
        <v>43325</v>
      </c>
      <c r="E1846" s="22" t="n">
        <v>43340</v>
      </c>
      <c r="F1846" s="21" t="s">
        <v>67</v>
      </c>
      <c r="G1846" s="23" t="n">
        <v>71.73</v>
      </c>
      <c r="H1846" s="23" t="n">
        <v>25.2</v>
      </c>
      <c r="I1846" s="21" t="s">
        <v>45</v>
      </c>
      <c r="J1846" s="21" t="n">
        <v>5</v>
      </c>
      <c r="K1846" s="21" t="s">
        <v>46</v>
      </c>
      <c r="L1846" s="24" t="n">
        <f aca="false">DATE(YEAR(C1846),MONTH(C1846),1)</f>
        <v>43313</v>
      </c>
      <c r="M1846" s="21" t="n">
        <f aca="false">D1846-C1846</f>
        <v>8</v>
      </c>
      <c r="N1846" s="21" t="n">
        <f aca="false">MAX(0,D1846-E1846)</f>
        <v>0</v>
      </c>
      <c r="O1846" s="21" t="n">
        <f aca="false">IF(D1846&lt;=E1846,1,0)</f>
        <v>1</v>
      </c>
      <c r="P1846" s="23" t="n">
        <f aca="false">G1846+H1846</f>
        <v>96.93</v>
      </c>
      <c r="Q1846" s="23" t="n">
        <f aca="false">G1846*INDEX(Assumptions!$B$8:$B$16,MATCH(F1846,Assumptions!$A$8:$A$16,0))</f>
        <v>44.4726</v>
      </c>
      <c r="R1846" s="23" t="n">
        <f aca="false">H1846*Assumptions!$B$3</f>
        <v>15.12</v>
      </c>
      <c r="S1846" s="23" t="n">
        <f aca="false">G1846-Q1846-R1846</f>
        <v>12.1374</v>
      </c>
      <c r="T1846" s="21" t="str">
        <f aca="false">IF(M1846&lt;=7,"0-7 days",IF(M1846&lt;=14,"8-14 days",IF(M1846&lt;=21,"15-21 days","22+ days")))</f>
        <v>8-14 days</v>
      </c>
    </row>
    <row r="1847" customFormat="false" ht="15" hidden="false" customHeight="false" outlineLevel="0" collapsed="false">
      <c r="A1847" s="21" t="s">
        <v>1913</v>
      </c>
      <c r="B1847" s="21" t="s">
        <v>55</v>
      </c>
      <c r="C1847" s="22" t="n">
        <v>43318</v>
      </c>
      <c r="D1847" s="22" t="n">
        <v>43328</v>
      </c>
      <c r="E1847" s="22" t="n">
        <v>43345</v>
      </c>
      <c r="F1847" s="21" t="s">
        <v>57</v>
      </c>
      <c r="G1847" s="23" t="n">
        <v>188.72</v>
      </c>
      <c r="H1847" s="23" t="n">
        <v>22.27</v>
      </c>
      <c r="I1847" s="21" t="s">
        <v>45</v>
      </c>
      <c r="J1847" s="21" t="n">
        <v>4</v>
      </c>
      <c r="K1847" s="21" t="s">
        <v>46</v>
      </c>
      <c r="L1847" s="24" t="n">
        <f aca="false">DATE(YEAR(C1847),MONTH(C1847),1)</f>
        <v>43313</v>
      </c>
      <c r="M1847" s="21" t="n">
        <f aca="false">D1847-C1847</f>
        <v>10</v>
      </c>
      <c r="N1847" s="21" t="n">
        <f aca="false">MAX(0,D1847-E1847)</f>
        <v>0</v>
      </c>
      <c r="O1847" s="21" t="n">
        <f aca="false">IF(D1847&lt;=E1847,1,0)</f>
        <v>1</v>
      </c>
      <c r="P1847" s="23" t="n">
        <f aca="false">G1847+H1847</f>
        <v>210.99</v>
      </c>
      <c r="Q1847" s="23" t="n">
        <f aca="false">G1847*INDEX(Assumptions!$B$8:$B$16,MATCH(F1847,Assumptions!$A$8:$A$16,0))</f>
        <v>128.3296</v>
      </c>
      <c r="R1847" s="23" t="n">
        <f aca="false">H1847*Assumptions!$B$3</f>
        <v>13.362</v>
      </c>
      <c r="S1847" s="23" t="n">
        <f aca="false">G1847-Q1847-R1847</f>
        <v>47.0284</v>
      </c>
      <c r="T1847" s="21" t="str">
        <f aca="false">IF(M1847&lt;=7,"0-7 days",IF(M1847&lt;=14,"8-14 days",IF(M1847&lt;=21,"15-21 days","22+ days")))</f>
        <v>8-14 days</v>
      </c>
    </row>
    <row r="1848" customFormat="false" ht="15" hidden="false" customHeight="false" outlineLevel="0" collapsed="false">
      <c r="A1848" s="21" t="s">
        <v>1914</v>
      </c>
      <c r="B1848" s="21" t="s">
        <v>55</v>
      </c>
      <c r="C1848" s="22" t="n">
        <v>43318</v>
      </c>
      <c r="D1848" s="22" t="n">
        <v>43338</v>
      </c>
      <c r="E1848" s="22" t="n">
        <v>43343</v>
      </c>
      <c r="F1848" s="21" t="s">
        <v>49</v>
      </c>
      <c r="G1848" s="23" t="n">
        <v>49.91</v>
      </c>
      <c r="H1848" s="23" t="n">
        <v>16.85</v>
      </c>
      <c r="I1848" s="21" t="s">
        <v>45</v>
      </c>
      <c r="J1848" s="21" t="n">
        <v>4</v>
      </c>
      <c r="K1848" s="21" t="s">
        <v>46</v>
      </c>
      <c r="L1848" s="24" t="n">
        <f aca="false">DATE(YEAR(C1848),MONTH(C1848),1)</f>
        <v>43313</v>
      </c>
      <c r="M1848" s="21" t="n">
        <f aca="false">D1848-C1848</f>
        <v>20</v>
      </c>
      <c r="N1848" s="21" t="n">
        <f aca="false">MAX(0,D1848-E1848)</f>
        <v>0</v>
      </c>
      <c r="O1848" s="21" t="n">
        <f aca="false">IF(D1848&lt;=E1848,1,0)</f>
        <v>1</v>
      </c>
      <c r="P1848" s="23" t="n">
        <f aca="false">G1848+H1848</f>
        <v>66.76</v>
      </c>
      <c r="Q1848" s="23" t="n">
        <f aca="false">G1848*INDEX(Assumptions!$B$8:$B$16,MATCH(F1848,Assumptions!$A$8:$A$16,0))</f>
        <v>28.9478</v>
      </c>
      <c r="R1848" s="23" t="n">
        <f aca="false">H1848*Assumptions!$B$3</f>
        <v>10.11</v>
      </c>
      <c r="S1848" s="23" t="n">
        <f aca="false">G1848-Q1848-R1848</f>
        <v>10.8522</v>
      </c>
      <c r="T1848" s="21" t="str">
        <f aca="false">IF(M1848&lt;=7,"0-7 days",IF(M1848&lt;=14,"8-14 days",IF(M1848&lt;=21,"15-21 days","22+ days")))</f>
        <v>15-21 days</v>
      </c>
    </row>
    <row r="1849" customFormat="false" ht="15" hidden="false" customHeight="false" outlineLevel="0" collapsed="false">
      <c r="A1849" s="21" t="s">
        <v>1915</v>
      </c>
      <c r="B1849" s="21" t="s">
        <v>19</v>
      </c>
      <c r="C1849" s="22" t="n">
        <v>43318</v>
      </c>
      <c r="D1849" s="22" t="n">
        <v>43324</v>
      </c>
      <c r="E1849" s="22" t="n">
        <v>43333</v>
      </c>
      <c r="F1849" s="21" t="s">
        <v>64</v>
      </c>
      <c r="G1849" s="23" t="n">
        <v>151.07</v>
      </c>
      <c r="H1849" s="23" t="n">
        <v>20.75</v>
      </c>
      <c r="I1849" s="21" t="s">
        <v>60</v>
      </c>
      <c r="J1849" s="21" t="n">
        <v>5</v>
      </c>
      <c r="K1849" s="21" t="s">
        <v>46</v>
      </c>
      <c r="L1849" s="24" t="n">
        <f aca="false">DATE(YEAR(C1849),MONTH(C1849),1)</f>
        <v>43313</v>
      </c>
      <c r="M1849" s="21" t="n">
        <f aca="false">D1849-C1849</f>
        <v>6</v>
      </c>
      <c r="N1849" s="21" t="n">
        <f aca="false">MAX(0,D1849-E1849)</f>
        <v>0</v>
      </c>
      <c r="O1849" s="21" t="n">
        <f aca="false">IF(D1849&lt;=E1849,1,0)</f>
        <v>1</v>
      </c>
      <c r="P1849" s="23" t="n">
        <f aca="false">G1849+H1849</f>
        <v>171.82</v>
      </c>
      <c r="Q1849" s="23" t="n">
        <f aca="false">G1849*INDEX(Assumptions!$B$8:$B$16,MATCH(F1849,Assumptions!$A$8:$A$16,0))</f>
        <v>99.7062</v>
      </c>
      <c r="R1849" s="23" t="n">
        <f aca="false">H1849*Assumptions!$B$3</f>
        <v>12.45</v>
      </c>
      <c r="S1849" s="23" t="n">
        <f aca="false">G1849-Q1849-R1849</f>
        <v>38.9138</v>
      </c>
      <c r="T1849" s="21" t="str">
        <f aca="false">IF(M1849&lt;=7,"0-7 days",IF(M1849&lt;=14,"8-14 days",IF(M1849&lt;=21,"15-21 days","22+ days")))</f>
        <v>0-7 days</v>
      </c>
    </row>
    <row r="1850" customFormat="false" ht="15" hidden="false" customHeight="false" outlineLevel="0" collapsed="false">
      <c r="A1850" s="21" t="s">
        <v>1916</v>
      </c>
      <c r="B1850" s="21" t="s">
        <v>19</v>
      </c>
      <c r="C1850" s="22" t="n">
        <v>43318</v>
      </c>
      <c r="D1850" s="22" t="n">
        <v>43327</v>
      </c>
      <c r="E1850" s="22" t="n">
        <v>43333</v>
      </c>
      <c r="F1850" s="21" t="s">
        <v>67</v>
      </c>
      <c r="G1850" s="23" t="n">
        <v>102.56</v>
      </c>
      <c r="H1850" s="23" t="n">
        <v>18.93</v>
      </c>
      <c r="I1850" s="21" t="s">
        <v>45</v>
      </c>
      <c r="J1850" s="21" t="n">
        <v>3</v>
      </c>
      <c r="K1850" s="21" t="s">
        <v>46</v>
      </c>
      <c r="L1850" s="24" t="n">
        <f aca="false">DATE(YEAR(C1850),MONTH(C1850),1)</f>
        <v>43313</v>
      </c>
      <c r="M1850" s="21" t="n">
        <f aca="false">D1850-C1850</f>
        <v>9</v>
      </c>
      <c r="N1850" s="21" t="n">
        <f aca="false">MAX(0,D1850-E1850)</f>
        <v>0</v>
      </c>
      <c r="O1850" s="21" t="n">
        <f aca="false">IF(D1850&lt;=E1850,1,0)</f>
        <v>1</v>
      </c>
      <c r="P1850" s="23" t="n">
        <f aca="false">G1850+H1850</f>
        <v>121.49</v>
      </c>
      <c r="Q1850" s="23" t="n">
        <f aca="false">G1850*INDEX(Assumptions!$B$8:$B$16,MATCH(F1850,Assumptions!$A$8:$A$16,0))</f>
        <v>63.5872</v>
      </c>
      <c r="R1850" s="23" t="n">
        <f aca="false">H1850*Assumptions!$B$3</f>
        <v>11.358</v>
      </c>
      <c r="S1850" s="23" t="n">
        <f aca="false">G1850-Q1850-R1850</f>
        <v>27.6148</v>
      </c>
      <c r="T1850" s="21" t="str">
        <f aca="false">IF(M1850&lt;=7,"0-7 days",IF(M1850&lt;=14,"8-14 days",IF(M1850&lt;=21,"15-21 days","22+ days")))</f>
        <v>8-14 days</v>
      </c>
    </row>
    <row r="1851" customFormat="false" ht="15" hidden="false" customHeight="false" outlineLevel="0" collapsed="false">
      <c r="A1851" s="21" t="s">
        <v>1917</v>
      </c>
      <c r="B1851" s="21" t="s">
        <v>19</v>
      </c>
      <c r="C1851" s="22" t="n">
        <v>43318</v>
      </c>
      <c r="D1851" s="22" t="n">
        <v>43329</v>
      </c>
      <c r="E1851" s="22" t="n">
        <v>43334</v>
      </c>
      <c r="F1851" s="21" t="s">
        <v>67</v>
      </c>
      <c r="G1851" s="23" t="n">
        <v>60.87</v>
      </c>
      <c r="H1851" s="23" t="n">
        <v>15.13</v>
      </c>
      <c r="I1851" s="21" t="s">
        <v>45</v>
      </c>
      <c r="J1851" s="21" t="n">
        <v>5</v>
      </c>
      <c r="K1851" s="21" t="s">
        <v>46</v>
      </c>
      <c r="L1851" s="24" t="n">
        <f aca="false">DATE(YEAR(C1851),MONTH(C1851),1)</f>
        <v>43313</v>
      </c>
      <c r="M1851" s="21" t="n">
        <f aca="false">D1851-C1851</f>
        <v>11</v>
      </c>
      <c r="N1851" s="21" t="n">
        <f aca="false">MAX(0,D1851-E1851)</f>
        <v>0</v>
      </c>
      <c r="O1851" s="21" t="n">
        <f aca="false">IF(D1851&lt;=E1851,1,0)</f>
        <v>1</v>
      </c>
      <c r="P1851" s="23" t="n">
        <f aca="false">G1851+H1851</f>
        <v>76</v>
      </c>
      <c r="Q1851" s="23" t="n">
        <f aca="false">G1851*INDEX(Assumptions!$B$8:$B$16,MATCH(F1851,Assumptions!$A$8:$A$16,0))</f>
        <v>37.7394</v>
      </c>
      <c r="R1851" s="23" t="n">
        <f aca="false">H1851*Assumptions!$B$3</f>
        <v>9.078</v>
      </c>
      <c r="S1851" s="23" t="n">
        <f aca="false">G1851-Q1851-R1851</f>
        <v>14.0526</v>
      </c>
      <c r="T1851" s="21" t="str">
        <f aca="false">IF(M1851&lt;=7,"0-7 days",IF(M1851&lt;=14,"8-14 days",IF(M1851&lt;=21,"15-21 days","22+ days")))</f>
        <v>8-14 days</v>
      </c>
    </row>
    <row r="1852" customFormat="false" ht="15" hidden="false" customHeight="false" outlineLevel="0" collapsed="false">
      <c r="A1852" s="21" t="s">
        <v>1918</v>
      </c>
      <c r="B1852" s="21" t="s">
        <v>48</v>
      </c>
      <c r="C1852" s="22" t="n">
        <v>43318</v>
      </c>
      <c r="D1852" s="22" t="n">
        <v>43333</v>
      </c>
      <c r="E1852" s="22" t="n">
        <v>43338</v>
      </c>
      <c r="F1852" s="21" t="s">
        <v>67</v>
      </c>
      <c r="G1852" s="23" t="n">
        <v>136.81</v>
      </c>
      <c r="H1852" s="23" t="n">
        <v>25.59</v>
      </c>
      <c r="I1852" s="21" t="s">
        <v>50</v>
      </c>
      <c r="J1852" s="21" t="n">
        <v>3</v>
      </c>
      <c r="K1852" s="21" t="s">
        <v>46</v>
      </c>
      <c r="L1852" s="24" t="n">
        <f aca="false">DATE(YEAR(C1852),MONTH(C1852),1)</f>
        <v>43313</v>
      </c>
      <c r="M1852" s="21" t="n">
        <f aca="false">D1852-C1852</f>
        <v>15</v>
      </c>
      <c r="N1852" s="21" t="n">
        <f aca="false">MAX(0,D1852-E1852)</f>
        <v>0</v>
      </c>
      <c r="O1852" s="21" t="n">
        <f aca="false">IF(D1852&lt;=E1852,1,0)</f>
        <v>1</v>
      </c>
      <c r="P1852" s="23" t="n">
        <f aca="false">G1852+H1852</f>
        <v>162.4</v>
      </c>
      <c r="Q1852" s="23" t="n">
        <f aca="false">G1852*INDEX(Assumptions!$B$8:$B$16,MATCH(F1852,Assumptions!$A$8:$A$16,0))</f>
        <v>84.8222</v>
      </c>
      <c r="R1852" s="23" t="n">
        <f aca="false">H1852*Assumptions!$B$3</f>
        <v>15.354</v>
      </c>
      <c r="S1852" s="23" t="n">
        <f aca="false">G1852-Q1852-R1852</f>
        <v>36.6338</v>
      </c>
      <c r="T1852" s="21" t="str">
        <f aca="false">IF(M1852&lt;=7,"0-7 days",IF(M1852&lt;=14,"8-14 days",IF(M1852&lt;=21,"15-21 days","22+ days")))</f>
        <v>15-21 days</v>
      </c>
    </row>
    <row r="1853" customFormat="false" ht="15" hidden="false" customHeight="false" outlineLevel="0" collapsed="false">
      <c r="A1853" s="21" t="s">
        <v>1919</v>
      </c>
      <c r="B1853" s="21" t="s">
        <v>19</v>
      </c>
      <c r="C1853" s="22" t="n">
        <v>43319</v>
      </c>
      <c r="D1853" s="22" t="n">
        <v>43331</v>
      </c>
      <c r="E1853" s="22" t="n">
        <v>43335</v>
      </c>
      <c r="F1853" s="21" t="s">
        <v>64</v>
      </c>
      <c r="G1853" s="23" t="n">
        <v>90.45</v>
      </c>
      <c r="H1853" s="23" t="n">
        <v>12.82</v>
      </c>
      <c r="I1853" s="21" t="s">
        <v>45</v>
      </c>
      <c r="J1853" s="21" t="n">
        <v>5</v>
      </c>
      <c r="K1853" s="21" t="s">
        <v>46</v>
      </c>
      <c r="L1853" s="24" t="n">
        <f aca="false">DATE(YEAR(C1853),MONTH(C1853),1)</f>
        <v>43313</v>
      </c>
      <c r="M1853" s="21" t="n">
        <f aca="false">D1853-C1853</f>
        <v>12</v>
      </c>
      <c r="N1853" s="21" t="n">
        <f aca="false">MAX(0,D1853-E1853)</f>
        <v>0</v>
      </c>
      <c r="O1853" s="21" t="n">
        <f aca="false">IF(D1853&lt;=E1853,1,0)</f>
        <v>1</v>
      </c>
      <c r="P1853" s="23" t="n">
        <f aca="false">G1853+H1853</f>
        <v>103.27</v>
      </c>
      <c r="Q1853" s="23" t="n">
        <f aca="false">G1853*INDEX(Assumptions!$B$8:$B$16,MATCH(F1853,Assumptions!$A$8:$A$16,0))</f>
        <v>59.697</v>
      </c>
      <c r="R1853" s="23" t="n">
        <f aca="false">H1853*Assumptions!$B$3</f>
        <v>7.692</v>
      </c>
      <c r="S1853" s="23" t="n">
        <f aca="false">G1853-Q1853-R1853</f>
        <v>23.061</v>
      </c>
      <c r="T1853" s="21" t="str">
        <f aca="false">IF(M1853&lt;=7,"0-7 days",IF(M1853&lt;=14,"8-14 days",IF(M1853&lt;=21,"15-21 days","22+ days")))</f>
        <v>8-14 days</v>
      </c>
    </row>
    <row r="1854" customFormat="false" ht="15" hidden="false" customHeight="false" outlineLevel="0" collapsed="false">
      <c r="A1854" s="21" t="s">
        <v>1920</v>
      </c>
      <c r="B1854" s="21" t="s">
        <v>55</v>
      </c>
      <c r="C1854" s="22" t="n">
        <v>43319</v>
      </c>
      <c r="D1854" s="22" t="n">
        <v>43334</v>
      </c>
      <c r="E1854" s="22" t="n">
        <v>43343</v>
      </c>
      <c r="F1854" s="21" t="s">
        <v>49</v>
      </c>
      <c r="G1854" s="23" t="n">
        <v>34.42</v>
      </c>
      <c r="H1854" s="23" t="n">
        <v>27.13</v>
      </c>
      <c r="I1854" s="21" t="s">
        <v>45</v>
      </c>
      <c r="J1854" s="21" t="n">
        <v>4</v>
      </c>
      <c r="K1854" s="21" t="s">
        <v>46</v>
      </c>
      <c r="L1854" s="24" t="n">
        <f aca="false">DATE(YEAR(C1854),MONTH(C1854),1)</f>
        <v>43313</v>
      </c>
      <c r="M1854" s="21" t="n">
        <f aca="false">D1854-C1854</f>
        <v>15</v>
      </c>
      <c r="N1854" s="21" t="n">
        <f aca="false">MAX(0,D1854-E1854)</f>
        <v>0</v>
      </c>
      <c r="O1854" s="21" t="n">
        <f aca="false">IF(D1854&lt;=E1854,1,0)</f>
        <v>1</v>
      </c>
      <c r="P1854" s="23" t="n">
        <f aca="false">G1854+H1854</f>
        <v>61.55</v>
      </c>
      <c r="Q1854" s="23" t="n">
        <f aca="false">G1854*INDEX(Assumptions!$B$8:$B$16,MATCH(F1854,Assumptions!$A$8:$A$16,0))</f>
        <v>19.9636</v>
      </c>
      <c r="R1854" s="23" t="n">
        <f aca="false">H1854*Assumptions!$B$3</f>
        <v>16.278</v>
      </c>
      <c r="S1854" s="23" t="n">
        <f aca="false">G1854-Q1854-R1854</f>
        <v>-1.8216</v>
      </c>
      <c r="T1854" s="21" t="str">
        <f aca="false">IF(M1854&lt;=7,"0-7 days",IF(M1854&lt;=14,"8-14 days",IF(M1854&lt;=21,"15-21 days","22+ days")))</f>
        <v>15-21 days</v>
      </c>
    </row>
    <row r="1855" customFormat="false" ht="15" hidden="false" customHeight="false" outlineLevel="0" collapsed="false">
      <c r="A1855" s="21" t="s">
        <v>1921</v>
      </c>
      <c r="B1855" s="21" t="s">
        <v>55</v>
      </c>
      <c r="C1855" s="22" t="n">
        <v>43319</v>
      </c>
      <c r="D1855" s="22" t="n">
        <v>43329</v>
      </c>
      <c r="E1855" s="22" t="n">
        <v>43341</v>
      </c>
      <c r="F1855" s="21" t="s">
        <v>44</v>
      </c>
      <c r="G1855" s="23" t="n">
        <v>110.54</v>
      </c>
      <c r="H1855" s="23" t="n">
        <v>22.35</v>
      </c>
      <c r="I1855" s="21" t="s">
        <v>45</v>
      </c>
      <c r="J1855" s="21" t="n">
        <v>4</v>
      </c>
      <c r="K1855" s="21" t="s">
        <v>46</v>
      </c>
      <c r="L1855" s="24" t="n">
        <f aca="false">DATE(YEAR(C1855),MONTH(C1855),1)</f>
        <v>43313</v>
      </c>
      <c r="M1855" s="21" t="n">
        <f aca="false">D1855-C1855</f>
        <v>10</v>
      </c>
      <c r="N1855" s="21" t="n">
        <f aca="false">MAX(0,D1855-E1855)</f>
        <v>0</v>
      </c>
      <c r="O1855" s="21" t="n">
        <f aca="false">IF(D1855&lt;=E1855,1,0)</f>
        <v>1</v>
      </c>
      <c r="P1855" s="23" t="n">
        <f aca="false">G1855+H1855</f>
        <v>132.89</v>
      </c>
      <c r="Q1855" s="23" t="n">
        <f aca="false">G1855*INDEX(Assumptions!$B$8:$B$16,MATCH(F1855,Assumptions!$A$8:$A$16,0))</f>
        <v>66.324</v>
      </c>
      <c r="R1855" s="23" t="n">
        <f aca="false">H1855*Assumptions!$B$3</f>
        <v>13.41</v>
      </c>
      <c r="S1855" s="23" t="n">
        <f aca="false">G1855-Q1855-R1855</f>
        <v>30.806</v>
      </c>
      <c r="T1855" s="21" t="str">
        <f aca="false">IF(M1855&lt;=7,"0-7 days",IF(M1855&lt;=14,"8-14 days",IF(M1855&lt;=21,"15-21 days","22+ days")))</f>
        <v>8-14 days</v>
      </c>
    </row>
    <row r="1856" customFormat="false" ht="15" hidden="false" customHeight="false" outlineLevel="0" collapsed="false">
      <c r="A1856" s="21" t="s">
        <v>1922</v>
      </c>
      <c r="B1856" s="21" t="s">
        <v>55</v>
      </c>
      <c r="C1856" s="22" t="n">
        <v>43319</v>
      </c>
      <c r="D1856" s="22" t="n">
        <v>43329</v>
      </c>
      <c r="E1856" s="22" t="n">
        <v>43345</v>
      </c>
      <c r="F1856" s="21" t="s">
        <v>44</v>
      </c>
      <c r="G1856" s="23" t="n">
        <v>102.1</v>
      </c>
      <c r="H1856" s="23" t="n">
        <v>24.69</v>
      </c>
      <c r="I1856" s="21" t="s">
        <v>60</v>
      </c>
      <c r="J1856" s="21" t="n">
        <v>5</v>
      </c>
      <c r="K1856" s="21" t="s">
        <v>46</v>
      </c>
      <c r="L1856" s="24" t="n">
        <f aca="false">DATE(YEAR(C1856),MONTH(C1856),1)</f>
        <v>43313</v>
      </c>
      <c r="M1856" s="21" t="n">
        <f aca="false">D1856-C1856</f>
        <v>10</v>
      </c>
      <c r="N1856" s="21" t="n">
        <f aca="false">MAX(0,D1856-E1856)</f>
        <v>0</v>
      </c>
      <c r="O1856" s="21" t="n">
        <f aca="false">IF(D1856&lt;=E1856,1,0)</f>
        <v>1</v>
      </c>
      <c r="P1856" s="23" t="n">
        <f aca="false">G1856+H1856</f>
        <v>126.79</v>
      </c>
      <c r="Q1856" s="23" t="n">
        <f aca="false">G1856*INDEX(Assumptions!$B$8:$B$16,MATCH(F1856,Assumptions!$A$8:$A$16,0))</f>
        <v>61.26</v>
      </c>
      <c r="R1856" s="23" t="n">
        <f aca="false">H1856*Assumptions!$B$3</f>
        <v>14.814</v>
      </c>
      <c r="S1856" s="23" t="n">
        <f aca="false">G1856-Q1856-R1856</f>
        <v>26.026</v>
      </c>
      <c r="T1856" s="21" t="str">
        <f aca="false">IF(M1856&lt;=7,"0-7 days",IF(M1856&lt;=14,"8-14 days",IF(M1856&lt;=21,"15-21 days","22+ days")))</f>
        <v>8-14 days</v>
      </c>
    </row>
    <row r="1857" customFormat="false" ht="15" hidden="false" customHeight="false" outlineLevel="0" collapsed="false">
      <c r="A1857" s="21" t="s">
        <v>1923</v>
      </c>
      <c r="B1857" s="21" t="s">
        <v>19</v>
      </c>
      <c r="C1857" s="22" t="n">
        <v>43319</v>
      </c>
      <c r="D1857" s="22" t="n">
        <v>43333</v>
      </c>
      <c r="E1857" s="22" t="n">
        <v>43336</v>
      </c>
      <c r="F1857" s="21" t="s">
        <v>64</v>
      </c>
      <c r="G1857" s="23" t="n">
        <v>124.67</v>
      </c>
      <c r="H1857" s="23" t="n">
        <v>19.94</v>
      </c>
      <c r="I1857" s="21" t="s">
        <v>45</v>
      </c>
      <c r="J1857" s="21" t="n">
        <v>5</v>
      </c>
      <c r="K1857" s="21" t="s">
        <v>46</v>
      </c>
      <c r="L1857" s="24" t="n">
        <f aca="false">DATE(YEAR(C1857),MONTH(C1857),1)</f>
        <v>43313</v>
      </c>
      <c r="M1857" s="21" t="n">
        <f aca="false">D1857-C1857</f>
        <v>14</v>
      </c>
      <c r="N1857" s="21" t="n">
        <f aca="false">MAX(0,D1857-E1857)</f>
        <v>0</v>
      </c>
      <c r="O1857" s="21" t="n">
        <f aca="false">IF(D1857&lt;=E1857,1,0)</f>
        <v>1</v>
      </c>
      <c r="P1857" s="23" t="n">
        <f aca="false">G1857+H1857</f>
        <v>144.61</v>
      </c>
      <c r="Q1857" s="23" t="n">
        <f aca="false">G1857*INDEX(Assumptions!$B$8:$B$16,MATCH(F1857,Assumptions!$A$8:$A$16,0))</f>
        <v>82.2822</v>
      </c>
      <c r="R1857" s="23" t="n">
        <f aca="false">H1857*Assumptions!$B$3</f>
        <v>11.964</v>
      </c>
      <c r="S1857" s="23" t="n">
        <f aca="false">G1857-Q1857-R1857</f>
        <v>30.4238</v>
      </c>
      <c r="T1857" s="21" t="str">
        <f aca="false">IF(M1857&lt;=7,"0-7 days",IF(M1857&lt;=14,"8-14 days",IF(M1857&lt;=21,"15-21 days","22+ days")))</f>
        <v>8-14 days</v>
      </c>
    </row>
    <row r="1858" customFormat="false" ht="15" hidden="false" customHeight="false" outlineLevel="0" collapsed="false">
      <c r="A1858" s="21" t="s">
        <v>1924</v>
      </c>
      <c r="B1858" s="21" t="s">
        <v>77</v>
      </c>
      <c r="C1858" s="22" t="n">
        <v>43320</v>
      </c>
      <c r="D1858" s="22" t="n">
        <v>43331</v>
      </c>
      <c r="E1858" s="22" t="n">
        <v>43343</v>
      </c>
      <c r="F1858" s="21" t="s">
        <v>44</v>
      </c>
      <c r="G1858" s="23" t="n">
        <v>73.6</v>
      </c>
      <c r="H1858" s="23" t="n">
        <v>31.68</v>
      </c>
      <c r="I1858" s="21" t="s">
        <v>60</v>
      </c>
      <c r="J1858" s="21" t="n">
        <v>5</v>
      </c>
      <c r="K1858" s="21" t="s">
        <v>46</v>
      </c>
      <c r="L1858" s="24" t="n">
        <f aca="false">DATE(YEAR(C1858),MONTH(C1858),1)</f>
        <v>43313</v>
      </c>
      <c r="M1858" s="21" t="n">
        <f aca="false">D1858-C1858</f>
        <v>11</v>
      </c>
      <c r="N1858" s="21" t="n">
        <f aca="false">MAX(0,D1858-E1858)</f>
        <v>0</v>
      </c>
      <c r="O1858" s="21" t="n">
        <f aca="false">IF(D1858&lt;=E1858,1,0)</f>
        <v>1</v>
      </c>
      <c r="P1858" s="23" t="n">
        <f aca="false">G1858+H1858</f>
        <v>105.28</v>
      </c>
      <c r="Q1858" s="23" t="n">
        <f aca="false">G1858*INDEX(Assumptions!$B$8:$B$16,MATCH(F1858,Assumptions!$A$8:$A$16,0))</f>
        <v>44.16</v>
      </c>
      <c r="R1858" s="23" t="n">
        <f aca="false">H1858*Assumptions!$B$3</f>
        <v>19.008</v>
      </c>
      <c r="S1858" s="23" t="n">
        <f aca="false">G1858-Q1858-R1858</f>
        <v>10.432</v>
      </c>
      <c r="T1858" s="21" t="str">
        <f aca="false">IF(M1858&lt;=7,"0-7 days",IF(M1858&lt;=14,"8-14 days",IF(M1858&lt;=21,"15-21 days","22+ days")))</f>
        <v>8-14 days</v>
      </c>
    </row>
    <row r="1859" customFormat="false" ht="15" hidden="false" customHeight="false" outlineLevel="0" collapsed="false">
      <c r="A1859" s="21" t="s">
        <v>1925</v>
      </c>
      <c r="B1859" s="21" t="s">
        <v>19</v>
      </c>
      <c r="C1859" s="22" t="n">
        <v>43320</v>
      </c>
      <c r="D1859" s="22" t="n">
        <v>43334</v>
      </c>
      <c r="E1859" s="22" t="n">
        <v>43331</v>
      </c>
      <c r="F1859" s="21" t="s">
        <v>67</v>
      </c>
      <c r="G1859" s="23" t="n">
        <v>53.37</v>
      </c>
      <c r="H1859" s="23" t="n">
        <v>14.83</v>
      </c>
      <c r="I1859" s="21" t="s">
        <v>45</v>
      </c>
      <c r="J1859" s="21" t="n">
        <v>4</v>
      </c>
      <c r="K1859" s="21" t="s">
        <v>46</v>
      </c>
      <c r="L1859" s="24" t="n">
        <f aca="false">DATE(YEAR(C1859),MONTH(C1859),1)</f>
        <v>43313</v>
      </c>
      <c r="M1859" s="21" t="n">
        <f aca="false">D1859-C1859</f>
        <v>14</v>
      </c>
      <c r="N1859" s="21" t="n">
        <f aca="false">MAX(0,D1859-E1859)</f>
        <v>3</v>
      </c>
      <c r="O1859" s="21" t="n">
        <f aca="false">IF(D1859&lt;=E1859,1,0)</f>
        <v>0</v>
      </c>
      <c r="P1859" s="23" t="n">
        <f aca="false">G1859+H1859</f>
        <v>68.2</v>
      </c>
      <c r="Q1859" s="23" t="n">
        <f aca="false">G1859*INDEX(Assumptions!$B$8:$B$16,MATCH(F1859,Assumptions!$A$8:$A$16,0))</f>
        <v>33.0894</v>
      </c>
      <c r="R1859" s="23" t="n">
        <f aca="false">H1859*Assumptions!$B$3</f>
        <v>8.898</v>
      </c>
      <c r="S1859" s="23" t="n">
        <f aca="false">G1859-Q1859-R1859</f>
        <v>11.3826</v>
      </c>
      <c r="T1859" s="21" t="str">
        <f aca="false">IF(M1859&lt;=7,"0-7 days",IF(M1859&lt;=14,"8-14 days",IF(M1859&lt;=21,"15-21 days","22+ days")))</f>
        <v>8-14 days</v>
      </c>
    </row>
    <row r="1860" customFormat="false" ht="15" hidden="false" customHeight="false" outlineLevel="0" collapsed="false">
      <c r="A1860" s="21" t="s">
        <v>1926</v>
      </c>
      <c r="B1860" s="21" t="s">
        <v>156</v>
      </c>
      <c r="C1860" s="22" t="n">
        <v>43321</v>
      </c>
      <c r="D1860" s="22" t="n">
        <v>43334</v>
      </c>
      <c r="E1860" s="22" t="n">
        <v>43346</v>
      </c>
      <c r="F1860" s="21" t="s">
        <v>49</v>
      </c>
      <c r="G1860" s="23" t="n">
        <v>93.52</v>
      </c>
      <c r="H1860" s="23" t="n">
        <v>26.31</v>
      </c>
      <c r="I1860" s="21" t="s">
        <v>45</v>
      </c>
      <c r="J1860" s="21" t="n">
        <v>4</v>
      </c>
      <c r="K1860" s="21" t="s">
        <v>46</v>
      </c>
      <c r="L1860" s="24" t="n">
        <f aca="false">DATE(YEAR(C1860),MONTH(C1860),1)</f>
        <v>43313</v>
      </c>
      <c r="M1860" s="21" t="n">
        <f aca="false">D1860-C1860</f>
        <v>13</v>
      </c>
      <c r="N1860" s="21" t="n">
        <f aca="false">MAX(0,D1860-E1860)</f>
        <v>0</v>
      </c>
      <c r="O1860" s="21" t="n">
        <f aca="false">IF(D1860&lt;=E1860,1,0)</f>
        <v>1</v>
      </c>
      <c r="P1860" s="23" t="n">
        <f aca="false">G1860+H1860</f>
        <v>119.83</v>
      </c>
      <c r="Q1860" s="23" t="n">
        <f aca="false">G1860*INDEX(Assumptions!$B$8:$B$16,MATCH(F1860,Assumptions!$A$8:$A$16,0))</f>
        <v>54.2416</v>
      </c>
      <c r="R1860" s="23" t="n">
        <f aca="false">H1860*Assumptions!$B$3</f>
        <v>15.786</v>
      </c>
      <c r="S1860" s="23" t="n">
        <f aca="false">G1860-Q1860-R1860</f>
        <v>23.4924</v>
      </c>
      <c r="T1860" s="21" t="str">
        <f aca="false">IF(M1860&lt;=7,"0-7 days",IF(M1860&lt;=14,"8-14 days",IF(M1860&lt;=21,"15-21 days","22+ days")))</f>
        <v>8-14 days</v>
      </c>
    </row>
    <row r="1861" customFormat="false" ht="15" hidden="false" customHeight="false" outlineLevel="0" collapsed="false">
      <c r="A1861" s="21" t="s">
        <v>1927</v>
      </c>
      <c r="B1861" s="21" t="s">
        <v>134</v>
      </c>
      <c r="C1861" s="22" t="n">
        <v>43321</v>
      </c>
      <c r="D1861" s="22" t="n">
        <v>43332</v>
      </c>
      <c r="E1861" s="22" t="n">
        <v>43345</v>
      </c>
      <c r="F1861" s="21" t="s">
        <v>49</v>
      </c>
      <c r="G1861" s="23" t="n">
        <v>88.08</v>
      </c>
      <c r="H1861" s="23" t="n">
        <v>30.4</v>
      </c>
      <c r="I1861" s="21" t="s">
        <v>45</v>
      </c>
      <c r="J1861" s="21" t="n">
        <v>4</v>
      </c>
      <c r="K1861" s="21" t="s">
        <v>46</v>
      </c>
      <c r="L1861" s="24" t="n">
        <f aca="false">DATE(YEAR(C1861),MONTH(C1861),1)</f>
        <v>43313</v>
      </c>
      <c r="M1861" s="21" t="n">
        <f aca="false">D1861-C1861</f>
        <v>11</v>
      </c>
      <c r="N1861" s="21" t="n">
        <f aca="false">MAX(0,D1861-E1861)</f>
        <v>0</v>
      </c>
      <c r="O1861" s="21" t="n">
        <f aca="false">IF(D1861&lt;=E1861,1,0)</f>
        <v>1</v>
      </c>
      <c r="P1861" s="23" t="n">
        <f aca="false">G1861+H1861</f>
        <v>118.48</v>
      </c>
      <c r="Q1861" s="23" t="n">
        <f aca="false">G1861*INDEX(Assumptions!$B$8:$B$16,MATCH(F1861,Assumptions!$A$8:$A$16,0))</f>
        <v>51.0864</v>
      </c>
      <c r="R1861" s="23" t="n">
        <f aca="false">H1861*Assumptions!$B$3</f>
        <v>18.24</v>
      </c>
      <c r="S1861" s="23" t="n">
        <f aca="false">G1861-Q1861-R1861</f>
        <v>18.7536</v>
      </c>
      <c r="T1861" s="21" t="str">
        <f aca="false">IF(M1861&lt;=7,"0-7 days",IF(M1861&lt;=14,"8-14 days",IF(M1861&lt;=21,"15-21 days","22+ days")))</f>
        <v>8-14 days</v>
      </c>
    </row>
    <row r="1862" customFormat="false" ht="15" hidden="false" customHeight="false" outlineLevel="0" collapsed="false">
      <c r="A1862" s="21" t="s">
        <v>1928</v>
      </c>
      <c r="B1862" s="21" t="s">
        <v>62</v>
      </c>
      <c r="C1862" s="22" t="n">
        <v>43321</v>
      </c>
      <c r="D1862" s="22" t="n">
        <v>43335</v>
      </c>
      <c r="E1862" s="22" t="n">
        <v>43347</v>
      </c>
      <c r="F1862" s="21" t="s">
        <v>64</v>
      </c>
      <c r="G1862" s="23" t="n">
        <v>289.97</v>
      </c>
      <c r="H1862" s="23" t="n">
        <v>28.44</v>
      </c>
      <c r="I1862" s="21" t="s">
        <v>45</v>
      </c>
      <c r="J1862" s="21" t="n">
        <v>5</v>
      </c>
      <c r="K1862" s="21" t="s">
        <v>46</v>
      </c>
      <c r="L1862" s="24" t="n">
        <f aca="false">DATE(YEAR(C1862),MONTH(C1862),1)</f>
        <v>43313</v>
      </c>
      <c r="M1862" s="21" t="n">
        <f aca="false">D1862-C1862</f>
        <v>14</v>
      </c>
      <c r="N1862" s="21" t="n">
        <f aca="false">MAX(0,D1862-E1862)</f>
        <v>0</v>
      </c>
      <c r="O1862" s="21" t="n">
        <f aca="false">IF(D1862&lt;=E1862,1,0)</f>
        <v>1</v>
      </c>
      <c r="P1862" s="23" t="n">
        <f aca="false">G1862+H1862</f>
        <v>318.41</v>
      </c>
      <c r="Q1862" s="23" t="n">
        <f aca="false">G1862*INDEX(Assumptions!$B$8:$B$16,MATCH(F1862,Assumptions!$A$8:$A$16,0))</f>
        <v>191.3802</v>
      </c>
      <c r="R1862" s="23" t="n">
        <f aca="false">H1862*Assumptions!$B$3</f>
        <v>17.064</v>
      </c>
      <c r="S1862" s="23" t="n">
        <f aca="false">G1862-Q1862-R1862</f>
        <v>81.5258</v>
      </c>
      <c r="T1862" s="21" t="str">
        <f aca="false">IF(M1862&lt;=7,"0-7 days",IF(M1862&lt;=14,"8-14 days",IF(M1862&lt;=21,"15-21 days","22+ days")))</f>
        <v>8-14 days</v>
      </c>
    </row>
    <row r="1863" customFormat="false" ht="15" hidden="false" customHeight="false" outlineLevel="0" collapsed="false">
      <c r="A1863" s="21" t="s">
        <v>1929</v>
      </c>
      <c r="B1863" s="21" t="s">
        <v>55</v>
      </c>
      <c r="C1863" s="22" t="n">
        <v>43321</v>
      </c>
      <c r="D1863" s="22" t="n">
        <v>43333</v>
      </c>
      <c r="E1863" s="22" t="n">
        <v>43343</v>
      </c>
      <c r="F1863" s="21" t="s">
        <v>59</v>
      </c>
      <c r="G1863" s="23" t="n">
        <v>119.84</v>
      </c>
      <c r="H1863" s="23" t="n">
        <v>25.31</v>
      </c>
      <c r="I1863" s="21" t="s">
        <v>45</v>
      </c>
      <c r="J1863" s="21" t="n">
        <v>5</v>
      </c>
      <c r="K1863" s="21" t="s">
        <v>46</v>
      </c>
      <c r="L1863" s="24" t="n">
        <f aca="false">DATE(YEAR(C1863),MONTH(C1863),1)</f>
        <v>43313</v>
      </c>
      <c r="M1863" s="21" t="n">
        <f aca="false">D1863-C1863</f>
        <v>12</v>
      </c>
      <c r="N1863" s="21" t="n">
        <f aca="false">MAX(0,D1863-E1863)</f>
        <v>0</v>
      </c>
      <c r="O1863" s="21" t="n">
        <f aca="false">IF(D1863&lt;=E1863,1,0)</f>
        <v>1</v>
      </c>
      <c r="P1863" s="23" t="n">
        <f aca="false">G1863+H1863</f>
        <v>145.15</v>
      </c>
      <c r="Q1863" s="23" t="n">
        <f aca="false">G1863*INDEX(Assumptions!$B$8:$B$16,MATCH(F1863,Assumptions!$A$8:$A$16,0))</f>
        <v>76.6976</v>
      </c>
      <c r="R1863" s="23" t="n">
        <f aca="false">H1863*Assumptions!$B$3</f>
        <v>15.186</v>
      </c>
      <c r="S1863" s="23" t="n">
        <f aca="false">G1863-Q1863-R1863</f>
        <v>27.9564</v>
      </c>
      <c r="T1863" s="21" t="str">
        <f aca="false">IF(M1863&lt;=7,"0-7 days",IF(M1863&lt;=14,"8-14 days",IF(M1863&lt;=21,"15-21 days","22+ days")))</f>
        <v>8-14 days</v>
      </c>
    </row>
    <row r="1864" customFormat="false" ht="15" hidden="false" customHeight="false" outlineLevel="0" collapsed="false">
      <c r="A1864" s="21" t="s">
        <v>1930</v>
      </c>
      <c r="B1864" s="21" t="s">
        <v>62</v>
      </c>
      <c r="C1864" s="22" t="n">
        <v>43321</v>
      </c>
      <c r="D1864" s="22" t="n">
        <v>43332</v>
      </c>
      <c r="E1864" s="22" t="n">
        <v>43343</v>
      </c>
      <c r="F1864" s="21" t="s">
        <v>49</v>
      </c>
      <c r="G1864" s="23" t="n">
        <v>247.73</v>
      </c>
      <c r="H1864" s="23" t="n">
        <v>29.62</v>
      </c>
      <c r="I1864" s="21" t="s">
        <v>60</v>
      </c>
      <c r="J1864" s="21" t="n">
        <v>5</v>
      </c>
      <c r="K1864" s="21" t="s">
        <v>46</v>
      </c>
      <c r="L1864" s="24" t="n">
        <f aca="false">DATE(YEAR(C1864),MONTH(C1864),1)</f>
        <v>43313</v>
      </c>
      <c r="M1864" s="21" t="n">
        <f aca="false">D1864-C1864</f>
        <v>11</v>
      </c>
      <c r="N1864" s="21" t="n">
        <f aca="false">MAX(0,D1864-E1864)</f>
        <v>0</v>
      </c>
      <c r="O1864" s="21" t="n">
        <f aca="false">IF(D1864&lt;=E1864,1,0)</f>
        <v>1</v>
      </c>
      <c r="P1864" s="23" t="n">
        <f aca="false">G1864+H1864</f>
        <v>277.35</v>
      </c>
      <c r="Q1864" s="23" t="n">
        <f aca="false">G1864*INDEX(Assumptions!$B$8:$B$16,MATCH(F1864,Assumptions!$A$8:$A$16,0))</f>
        <v>143.6834</v>
      </c>
      <c r="R1864" s="23" t="n">
        <f aca="false">H1864*Assumptions!$B$3</f>
        <v>17.772</v>
      </c>
      <c r="S1864" s="23" t="n">
        <f aca="false">G1864-Q1864-R1864</f>
        <v>86.2746</v>
      </c>
      <c r="T1864" s="21" t="str">
        <f aca="false">IF(M1864&lt;=7,"0-7 days",IF(M1864&lt;=14,"8-14 days",IF(M1864&lt;=21,"15-21 days","22+ days")))</f>
        <v>8-14 days</v>
      </c>
    </row>
    <row r="1865" customFormat="false" ht="15" hidden="false" customHeight="false" outlineLevel="0" collapsed="false">
      <c r="A1865" s="21" t="s">
        <v>1931</v>
      </c>
      <c r="B1865" s="21" t="s">
        <v>55</v>
      </c>
      <c r="C1865" s="22" t="n">
        <v>43321</v>
      </c>
      <c r="D1865" s="22" t="n">
        <v>43338</v>
      </c>
      <c r="E1865" s="22" t="n">
        <v>43345</v>
      </c>
      <c r="F1865" s="21" t="s">
        <v>111</v>
      </c>
      <c r="G1865" s="23" t="n">
        <v>28.67</v>
      </c>
      <c r="H1865" s="23" t="n">
        <v>25.46</v>
      </c>
      <c r="I1865" s="21" t="s">
        <v>60</v>
      </c>
      <c r="J1865" s="21" t="n">
        <v>5</v>
      </c>
      <c r="K1865" s="21" t="s">
        <v>46</v>
      </c>
      <c r="L1865" s="24" t="n">
        <f aca="false">DATE(YEAR(C1865),MONTH(C1865),1)</f>
        <v>43313</v>
      </c>
      <c r="M1865" s="21" t="n">
        <f aca="false">D1865-C1865</f>
        <v>17</v>
      </c>
      <c r="N1865" s="21" t="n">
        <f aca="false">MAX(0,D1865-E1865)</f>
        <v>0</v>
      </c>
      <c r="O1865" s="21" t="n">
        <f aca="false">IF(D1865&lt;=E1865,1,0)</f>
        <v>1</v>
      </c>
      <c r="P1865" s="23" t="n">
        <f aca="false">G1865+H1865</f>
        <v>54.13</v>
      </c>
      <c r="Q1865" s="23" t="n">
        <f aca="false">G1865*INDEX(Assumptions!$B$8:$B$16,MATCH(F1865,Assumptions!$A$8:$A$16,0))</f>
        <v>18.0621</v>
      </c>
      <c r="R1865" s="23" t="n">
        <f aca="false">H1865*Assumptions!$B$3</f>
        <v>15.276</v>
      </c>
      <c r="S1865" s="23" t="n">
        <f aca="false">G1865-Q1865-R1865</f>
        <v>-4.6681</v>
      </c>
      <c r="T1865" s="21" t="str">
        <f aca="false">IF(M1865&lt;=7,"0-7 days",IF(M1865&lt;=14,"8-14 days",IF(M1865&lt;=21,"15-21 days","22+ days")))</f>
        <v>15-21 days</v>
      </c>
    </row>
    <row r="1866" customFormat="false" ht="15" hidden="false" customHeight="false" outlineLevel="0" collapsed="false">
      <c r="A1866" s="21" t="s">
        <v>1932</v>
      </c>
      <c r="B1866" s="21" t="s">
        <v>62</v>
      </c>
      <c r="C1866" s="22" t="n">
        <v>43322</v>
      </c>
      <c r="D1866" s="22" t="n">
        <v>43335</v>
      </c>
      <c r="E1866" s="22" t="n">
        <v>43342</v>
      </c>
      <c r="F1866" s="21" t="s">
        <v>64</v>
      </c>
      <c r="G1866" s="23" t="n">
        <v>195.57</v>
      </c>
      <c r="H1866" s="23" t="n">
        <v>18.17</v>
      </c>
      <c r="I1866" s="21" t="s">
        <v>45</v>
      </c>
      <c r="J1866" s="21" t="n">
        <v>5</v>
      </c>
      <c r="K1866" s="21" t="s">
        <v>46</v>
      </c>
      <c r="L1866" s="24" t="n">
        <f aca="false">DATE(YEAR(C1866),MONTH(C1866),1)</f>
        <v>43313</v>
      </c>
      <c r="M1866" s="21" t="n">
        <f aca="false">D1866-C1866</f>
        <v>13</v>
      </c>
      <c r="N1866" s="21" t="n">
        <f aca="false">MAX(0,D1866-E1866)</f>
        <v>0</v>
      </c>
      <c r="O1866" s="21" t="n">
        <f aca="false">IF(D1866&lt;=E1866,1,0)</f>
        <v>1</v>
      </c>
      <c r="P1866" s="23" t="n">
        <f aca="false">G1866+H1866</f>
        <v>213.74</v>
      </c>
      <c r="Q1866" s="23" t="n">
        <f aca="false">G1866*INDEX(Assumptions!$B$8:$B$16,MATCH(F1866,Assumptions!$A$8:$A$16,0))</f>
        <v>129.0762</v>
      </c>
      <c r="R1866" s="23" t="n">
        <f aca="false">H1866*Assumptions!$B$3</f>
        <v>10.902</v>
      </c>
      <c r="S1866" s="23" t="n">
        <f aca="false">G1866-Q1866-R1866</f>
        <v>55.5918</v>
      </c>
      <c r="T1866" s="21" t="str">
        <f aca="false">IF(M1866&lt;=7,"0-7 days",IF(M1866&lt;=14,"8-14 days",IF(M1866&lt;=21,"15-21 days","22+ days")))</f>
        <v>8-14 days</v>
      </c>
    </row>
    <row r="1867" customFormat="false" ht="15" hidden="false" customHeight="false" outlineLevel="0" collapsed="false">
      <c r="A1867" s="21" t="s">
        <v>1933</v>
      </c>
      <c r="B1867" s="21" t="s">
        <v>19</v>
      </c>
      <c r="C1867" s="22" t="n">
        <v>43322</v>
      </c>
      <c r="D1867" s="22" t="n">
        <v>43337</v>
      </c>
      <c r="E1867" s="22" t="n">
        <v>43337</v>
      </c>
      <c r="F1867" s="21" t="s">
        <v>79</v>
      </c>
      <c r="G1867" s="23" t="n">
        <v>237.73</v>
      </c>
      <c r="H1867" s="23" t="n">
        <v>22.83</v>
      </c>
      <c r="I1867" s="21" t="s">
        <v>45</v>
      </c>
      <c r="J1867" s="21" t="n">
        <v>3</v>
      </c>
      <c r="K1867" s="21" t="s">
        <v>46</v>
      </c>
      <c r="L1867" s="24" t="n">
        <f aca="false">DATE(YEAR(C1867),MONTH(C1867),1)</f>
        <v>43313</v>
      </c>
      <c r="M1867" s="21" t="n">
        <f aca="false">D1867-C1867</f>
        <v>15</v>
      </c>
      <c r="N1867" s="21" t="n">
        <f aca="false">MAX(0,D1867-E1867)</f>
        <v>0</v>
      </c>
      <c r="O1867" s="21" t="n">
        <f aca="false">IF(D1867&lt;=E1867,1,0)</f>
        <v>1</v>
      </c>
      <c r="P1867" s="23" t="n">
        <f aca="false">G1867+H1867</f>
        <v>260.56</v>
      </c>
      <c r="Q1867" s="23" t="n">
        <f aca="false">G1867*INDEX(Assumptions!$B$8:$B$16,MATCH(F1867,Assumptions!$A$8:$A$16,0))</f>
        <v>166.411</v>
      </c>
      <c r="R1867" s="23" t="n">
        <f aca="false">H1867*Assumptions!$B$3</f>
        <v>13.698</v>
      </c>
      <c r="S1867" s="23" t="n">
        <f aca="false">G1867-Q1867-R1867</f>
        <v>57.621</v>
      </c>
      <c r="T1867" s="21" t="str">
        <f aca="false">IF(M1867&lt;=7,"0-7 days",IF(M1867&lt;=14,"8-14 days",IF(M1867&lt;=21,"15-21 days","22+ days")))</f>
        <v>15-21 days</v>
      </c>
    </row>
    <row r="1868" customFormat="false" ht="15" hidden="false" customHeight="false" outlineLevel="0" collapsed="false">
      <c r="A1868" s="21" t="s">
        <v>1934</v>
      </c>
      <c r="B1868" s="21" t="s">
        <v>19</v>
      </c>
      <c r="C1868" s="22" t="n">
        <v>43322</v>
      </c>
      <c r="D1868" s="22" t="n">
        <v>43329</v>
      </c>
      <c r="E1868" s="22" t="n">
        <v>43340</v>
      </c>
      <c r="F1868" s="21" t="s">
        <v>64</v>
      </c>
      <c r="G1868" s="23" t="n">
        <v>158.23</v>
      </c>
      <c r="H1868" s="23" t="n">
        <v>18.63</v>
      </c>
      <c r="I1868" s="21" t="s">
        <v>104</v>
      </c>
      <c r="J1868" s="21" t="n">
        <v>4</v>
      </c>
      <c r="K1868" s="21" t="s">
        <v>46</v>
      </c>
      <c r="L1868" s="24" t="n">
        <f aca="false">DATE(YEAR(C1868),MONTH(C1868),1)</f>
        <v>43313</v>
      </c>
      <c r="M1868" s="21" t="n">
        <f aca="false">D1868-C1868</f>
        <v>7</v>
      </c>
      <c r="N1868" s="21" t="n">
        <f aca="false">MAX(0,D1868-E1868)</f>
        <v>0</v>
      </c>
      <c r="O1868" s="21" t="n">
        <f aca="false">IF(D1868&lt;=E1868,1,0)</f>
        <v>1</v>
      </c>
      <c r="P1868" s="23" t="n">
        <f aca="false">G1868+H1868</f>
        <v>176.86</v>
      </c>
      <c r="Q1868" s="23" t="n">
        <f aca="false">G1868*INDEX(Assumptions!$B$8:$B$16,MATCH(F1868,Assumptions!$A$8:$A$16,0))</f>
        <v>104.4318</v>
      </c>
      <c r="R1868" s="23" t="n">
        <f aca="false">H1868*Assumptions!$B$3</f>
        <v>11.178</v>
      </c>
      <c r="S1868" s="23" t="n">
        <f aca="false">G1868-Q1868-R1868</f>
        <v>42.6202</v>
      </c>
      <c r="T1868" s="21" t="str">
        <f aca="false">IF(M1868&lt;=7,"0-7 days",IF(M1868&lt;=14,"8-14 days",IF(M1868&lt;=21,"15-21 days","22+ days")))</f>
        <v>0-7 days</v>
      </c>
    </row>
    <row r="1869" customFormat="false" ht="15" hidden="false" customHeight="false" outlineLevel="0" collapsed="false">
      <c r="A1869" s="21" t="s">
        <v>1935</v>
      </c>
      <c r="B1869" s="21" t="s">
        <v>156</v>
      </c>
      <c r="C1869" s="22" t="n">
        <v>43322</v>
      </c>
      <c r="D1869" s="22" t="n">
        <v>43332</v>
      </c>
      <c r="E1869" s="22" t="n">
        <v>43349</v>
      </c>
      <c r="F1869" s="21" t="s">
        <v>59</v>
      </c>
      <c r="G1869" s="23" t="n">
        <v>105.12</v>
      </c>
      <c r="H1869" s="23" t="n">
        <v>19.33</v>
      </c>
      <c r="I1869" s="21" t="s">
        <v>50</v>
      </c>
      <c r="J1869" s="21" t="n">
        <v>4</v>
      </c>
      <c r="K1869" s="21" t="s">
        <v>46</v>
      </c>
      <c r="L1869" s="24" t="n">
        <f aca="false">DATE(YEAR(C1869),MONTH(C1869),1)</f>
        <v>43313</v>
      </c>
      <c r="M1869" s="21" t="n">
        <f aca="false">D1869-C1869</f>
        <v>10</v>
      </c>
      <c r="N1869" s="21" t="n">
        <f aca="false">MAX(0,D1869-E1869)</f>
        <v>0</v>
      </c>
      <c r="O1869" s="21" t="n">
        <f aca="false">IF(D1869&lt;=E1869,1,0)</f>
        <v>1</v>
      </c>
      <c r="P1869" s="23" t="n">
        <f aca="false">G1869+H1869</f>
        <v>124.45</v>
      </c>
      <c r="Q1869" s="23" t="n">
        <f aca="false">G1869*INDEX(Assumptions!$B$8:$B$16,MATCH(F1869,Assumptions!$A$8:$A$16,0))</f>
        <v>67.2768</v>
      </c>
      <c r="R1869" s="23" t="n">
        <f aca="false">H1869*Assumptions!$B$3</f>
        <v>11.598</v>
      </c>
      <c r="S1869" s="23" t="n">
        <f aca="false">G1869-Q1869-R1869</f>
        <v>26.2452</v>
      </c>
      <c r="T1869" s="21" t="str">
        <f aca="false">IF(M1869&lt;=7,"0-7 days",IF(M1869&lt;=14,"8-14 days",IF(M1869&lt;=21,"15-21 days","22+ days")))</f>
        <v>8-14 days</v>
      </c>
    </row>
    <row r="1870" customFormat="false" ht="15" hidden="false" customHeight="false" outlineLevel="0" collapsed="false">
      <c r="A1870" s="21" t="s">
        <v>1936</v>
      </c>
      <c r="B1870" s="21" t="s">
        <v>62</v>
      </c>
      <c r="C1870" s="22" t="n">
        <v>43322</v>
      </c>
      <c r="D1870" s="22" t="n">
        <v>43333</v>
      </c>
      <c r="E1870" s="22" t="n">
        <v>43341</v>
      </c>
      <c r="F1870" s="21" t="s">
        <v>111</v>
      </c>
      <c r="G1870" s="23" t="n">
        <v>92.06</v>
      </c>
      <c r="H1870" s="23" t="n">
        <v>29.55</v>
      </c>
      <c r="I1870" s="21" t="s">
        <v>60</v>
      </c>
      <c r="J1870" s="21" t="n">
        <v>5</v>
      </c>
      <c r="K1870" s="21" t="s">
        <v>46</v>
      </c>
      <c r="L1870" s="24" t="n">
        <f aca="false">DATE(YEAR(C1870),MONTH(C1870),1)</f>
        <v>43313</v>
      </c>
      <c r="M1870" s="21" t="n">
        <f aca="false">D1870-C1870</f>
        <v>11</v>
      </c>
      <c r="N1870" s="21" t="n">
        <f aca="false">MAX(0,D1870-E1870)</f>
        <v>0</v>
      </c>
      <c r="O1870" s="21" t="n">
        <f aca="false">IF(D1870&lt;=E1870,1,0)</f>
        <v>1</v>
      </c>
      <c r="P1870" s="23" t="n">
        <f aca="false">G1870+H1870</f>
        <v>121.61</v>
      </c>
      <c r="Q1870" s="23" t="n">
        <f aca="false">G1870*INDEX(Assumptions!$B$8:$B$16,MATCH(F1870,Assumptions!$A$8:$A$16,0))</f>
        <v>57.9978</v>
      </c>
      <c r="R1870" s="23" t="n">
        <f aca="false">H1870*Assumptions!$B$3</f>
        <v>17.73</v>
      </c>
      <c r="S1870" s="23" t="n">
        <f aca="false">G1870-Q1870-R1870</f>
        <v>16.3322</v>
      </c>
      <c r="T1870" s="21" t="str">
        <f aca="false">IF(M1870&lt;=7,"0-7 days",IF(M1870&lt;=14,"8-14 days",IF(M1870&lt;=21,"15-21 days","22+ days")))</f>
        <v>8-14 days</v>
      </c>
    </row>
    <row r="1871" customFormat="false" ht="15" hidden="false" customHeight="false" outlineLevel="0" collapsed="false">
      <c r="A1871" s="21" t="s">
        <v>1937</v>
      </c>
      <c r="B1871" s="21" t="s">
        <v>19</v>
      </c>
      <c r="C1871" s="22" t="n">
        <v>43323</v>
      </c>
      <c r="D1871" s="22" t="n">
        <v>43329</v>
      </c>
      <c r="E1871" s="22" t="n">
        <v>43335</v>
      </c>
      <c r="F1871" s="21" t="s">
        <v>64</v>
      </c>
      <c r="G1871" s="23" t="n">
        <v>157.92</v>
      </c>
      <c r="H1871" s="23" t="n">
        <v>21.43</v>
      </c>
      <c r="I1871" s="21" t="s">
        <v>45</v>
      </c>
      <c r="J1871" s="21" t="n">
        <v>4</v>
      </c>
      <c r="K1871" s="21" t="s">
        <v>46</v>
      </c>
      <c r="L1871" s="24" t="n">
        <f aca="false">DATE(YEAR(C1871),MONTH(C1871),1)</f>
        <v>43313</v>
      </c>
      <c r="M1871" s="21" t="n">
        <f aca="false">D1871-C1871</f>
        <v>6</v>
      </c>
      <c r="N1871" s="21" t="n">
        <f aca="false">MAX(0,D1871-E1871)</f>
        <v>0</v>
      </c>
      <c r="O1871" s="21" t="n">
        <f aca="false">IF(D1871&lt;=E1871,1,0)</f>
        <v>1</v>
      </c>
      <c r="P1871" s="23" t="n">
        <f aca="false">G1871+H1871</f>
        <v>179.35</v>
      </c>
      <c r="Q1871" s="23" t="n">
        <f aca="false">G1871*INDEX(Assumptions!$B$8:$B$16,MATCH(F1871,Assumptions!$A$8:$A$16,0))</f>
        <v>104.2272</v>
      </c>
      <c r="R1871" s="23" t="n">
        <f aca="false">H1871*Assumptions!$B$3</f>
        <v>12.858</v>
      </c>
      <c r="S1871" s="23" t="n">
        <f aca="false">G1871-Q1871-R1871</f>
        <v>40.8348</v>
      </c>
      <c r="T1871" s="21" t="str">
        <f aca="false">IF(M1871&lt;=7,"0-7 days",IF(M1871&lt;=14,"8-14 days",IF(M1871&lt;=21,"15-21 days","22+ days")))</f>
        <v>0-7 days</v>
      </c>
    </row>
    <row r="1872" customFormat="false" ht="15" hidden="false" customHeight="false" outlineLevel="0" collapsed="false">
      <c r="A1872" s="21" t="s">
        <v>1938</v>
      </c>
      <c r="B1872" s="21" t="s">
        <v>19</v>
      </c>
      <c r="C1872" s="22" t="n">
        <v>43323</v>
      </c>
      <c r="D1872" s="22" t="n">
        <v>43333</v>
      </c>
      <c r="E1872" s="22" t="n">
        <v>43341</v>
      </c>
      <c r="F1872" s="21" t="s">
        <v>59</v>
      </c>
      <c r="G1872" s="23" t="n">
        <v>46.02</v>
      </c>
      <c r="H1872" s="23" t="n">
        <v>16.41</v>
      </c>
      <c r="I1872" s="21" t="s">
        <v>45</v>
      </c>
      <c r="J1872" s="21" t="n">
        <v>4</v>
      </c>
      <c r="K1872" s="21" t="s">
        <v>46</v>
      </c>
      <c r="L1872" s="24" t="n">
        <f aca="false">DATE(YEAR(C1872),MONTH(C1872),1)</f>
        <v>43313</v>
      </c>
      <c r="M1872" s="21" t="n">
        <f aca="false">D1872-C1872</f>
        <v>10</v>
      </c>
      <c r="N1872" s="21" t="n">
        <f aca="false">MAX(0,D1872-E1872)</f>
        <v>0</v>
      </c>
      <c r="O1872" s="21" t="n">
        <f aca="false">IF(D1872&lt;=E1872,1,0)</f>
        <v>1</v>
      </c>
      <c r="P1872" s="23" t="n">
        <f aca="false">G1872+H1872</f>
        <v>62.43</v>
      </c>
      <c r="Q1872" s="23" t="n">
        <f aca="false">G1872*INDEX(Assumptions!$B$8:$B$16,MATCH(F1872,Assumptions!$A$8:$A$16,0))</f>
        <v>29.4528</v>
      </c>
      <c r="R1872" s="23" t="n">
        <f aca="false">H1872*Assumptions!$B$3</f>
        <v>9.846</v>
      </c>
      <c r="S1872" s="23" t="n">
        <f aca="false">G1872-Q1872-R1872</f>
        <v>6.7212</v>
      </c>
      <c r="T1872" s="21" t="str">
        <f aca="false">IF(M1872&lt;=7,"0-7 days",IF(M1872&lt;=14,"8-14 days",IF(M1872&lt;=21,"15-21 days","22+ days")))</f>
        <v>8-14 days</v>
      </c>
    </row>
    <row r="1873" customFormat="false" ht="15" hidden="false" customHeight="false" outlineLevel="0" collapsed="false">
      <c r="A1873" s="21" t="s">
        <v>1939</v>
      </c>
      <c r="B1873" s="21" t="s">
        <v>19</v>
      </c>
      <c r="C1873" s="22" t="n">
        <v>43323</v>
      </c>
      <c r="D1873" s="22" t="n">
        <v>43338</v>
      </c>
      <c r="E1873" s="22" t="n">
        <v>43343</v>
      </c>
      <c r="F1873" s="21" t="s">
        <v>67</v>
      </c>
      <c r="G1873" s="23" t="n">
        <v>189.07</v>
      </c>
      <c r="H1873" s="23" t="n">
        <v>21.88</v>
      </c>
      <c r="I1873" s="21" t="s">
        <v>60</v>
      </c>
      <c r="J1873" s="21" t="n">
        <v>5</v>
      </c>
      <c r="K1873" s="21" t="s">
        <v>46</v>
      </c>
      <c r="L1873" s="24" t="n">
        <f aca="false">DATE(YEAR(C1873),MONTH(C1873),1)</f>
        <v>43313</v>
      </c>
      <c r="M1873" s="21" t="n">
        <f aca="false">D1873-C1873</f>
        <v>15</v>
      </c>
      <c r="N1873" s="21" t="n">
        <f aca="false">MAX(0,D1873-E1873)</f>
        <v>0</v>
      </c>
      <c r="O1873" s="21" t="n">
        <f aca="false">IF(D1873&lt;=E1873,1,0)</f>
        <v>1</v>
      </c>
      <c r="P1873" s="23" t="n">
        <f aca="false">G1873+H1873</f>
        <v>210.95</v>
      </c>
      <c r="Q1873" s="23" t="n">
        <f aca="false">G1873*INDEX(Assumptions!$B$8:$B$16,MATCH(F1873,Assumptions!$A$8:$A$16,0))</f>
        <v>117.2234</v>
      </c>
      <c r="R1873" s="23" t="n">
        <f aca="false">H1873*Assumptions!$B$3</f>
        <v>13.128</v>
      </c>
      <c r="S1873" s="23" t="n">
        <f aca="false">G1873-Q1873-R1873</f>
        <v>58.7186</v>
      </c>
      <c r="T1873" s="21" t="str">
        <f aca="false">IF(M1873&lt;=7,"0-7 days",IF(M1873&lt;=14,"8-14 days",IF(M1873&lt;=21,"15-21 days","22+ days")))</f>
        <v>15-21 days</v>
      </c>
    </row>
    <row r="1874" customFormat="false" ht="15" hidden="false" customHeight="false" outlineLevel="0" collapsed="false">
      <c r="A1874" s="21" t="s">
        <v>1940</v>
      </c>
      <c r="B1874" s="21" t="s">
        <v>19</v>
      </c>
      <c r="C1874" s="22" t="n">
        <v>43323</v>
      </c>
      <c r="D1874" s="22" t="n">
        <v>43331</v>
      </c>
      <c r="E1874" s="22" t="n">
        <v>43339</v>
      </c>
      <c r="F1874" s="21" t="s">
        <v>111</v>
      </c>
      <c r="G1874" s="23" t="n">
        <v>92.66</v>
      </c>
      <c r="H1874" s="23" t="n">
        <v>14.79</v>
      </c>
      <c r="I1874" s="21" t="s">
        <v>104</v>
      </c>
      <c r="J1874" s="21" t="n">
        <v>4</v>
      </c>
      <c r="K1874" s="21" t="s">
        <v>46</v>
      </c>
      <c r="L1874" s="24" t="n">
        <f aca="false">DATE(YEAR(C1874),MONTH(C1874),1)</f>
        <v>43313</v>
      </c>
      <c r="M1874" s="21" t="n">
        <f aca="false">D1874-C1874</f>
        <v>8</v>
      </c>
      <c r="N1874" s="21" t="n">
        <f aca="false">MAX(0,D1874-E1874)</f>
        <v>0</v>
      </c>
      <c r="O1874" s="21" t="n">
        <f aca="false">IF(D1874&lt;=E1874,1,0)</f>
        <v>1</v>
      </c>
      <c r="P1874" s="23" t="n">
        <f aca="false">G1874+H1874</f>
        <v>107.45</v>
      </c>
      <c r="Q1874" s="23" t="n">
        <f aca="false">G1874*INDEX(Assumptions!$B$8:$B$16,MATCH(F1874,Assumptions!$A$8:$A$16,0))</f>
        <v>58.3758</v>
      </c>
      <c r="R1874" s="23" t="n">
        <f aca="false">H1874*Assumptions!$B$3</f>
        <v>8.874</v>
      </c>
      <c r="S1874" s="23" t="n">
        <f aca="false">G1874-Q1874-R1874</f>
        <v>25.4102</v>
      </c>
      <c r="T1874" s="21" t="str">
        <f aca="false">IF(M1874&lt;=7,"0-7 days",IF(M1874&lt;=14,"8-14 days",IF(M1874&lt;=21,"15-21 days","22+ days")))</f>
        <v>8-14 days</v>
      </c>
    </row>
    <row r="1875" customFormat="false" ht="15" hidden="false" customHeight="false" outlineLevel="0" collapsed="false">
      <c r="A1875" s="21" t="s">
        <v>1941</v>
      </c>
      <c r="B1875" s="21" t="s">
        <v>55</v>
      </c>
      <c r="C1875" s="22" t="n">
        <v>43323</v>
      </c>
      <c r="D1875" s="22" t="n">
        <v>43338</v>
      </c>
      <c r="E1875" s="22" t="n">
        <v>43349</v>
      </c>
      <c r="F1875" s="21" t="s">
        <v>111</v>
      </c>
      <c r="G1875" s="23" t="n">
        <v>52.09</v>
      </c>
      <c r="H1875" s="23" t="n">
        <v>17.21</v>
      </c>
      <c r="I1875" s="21" t="s">
        <v>45</v>
      </c>
      <c r="J1875" s="21" t="n">
        <v>4</v>
      </c>
      <c r="K1875" s="21" t="s">
        <v>46</v>
      </c>
      <c r="L1875" s="24" t="n">
        <f aca="false">DATE(YEAR(C1875),MONTH(C1875),1)</f>
        <v>43313</v>
      </c>
      <c r="M1875" s="21" t="n">
        <f aca="false">D1875-C1875</f>
        <v>15</v>
      </c>
      <c r="N1875" s="21" t="n">
        <f aca="false">MAX(0,D1875-E1875)</f>
        <v>0</v>
      </c>
      <c r="O1875" s="21" t="n">
        <f aca="false">IF(D1875&lt;=E1875,1,0)</f>
        <v>1</v>
      </c>
      <c r="P1875" s="23" t="n">
        <f aca="false">G1875+H1875</f>
        <v>69.3</v>
      </c>
      <c r="Q1875" s="23" t="n">
        <f aca="false">G1875*INDEX(Assumptions!$B$8:$B$16,MATCH(F1875,Assumptions!$A$8:$A$16,0))</f>
        <v>32.8167</v>
      </c>
      <c r="R1875" s="23" t="n">
        <f aca="false">H1875*Assumptions!$B$3</f>
        <v>10.326</v>
      </c>
      <c r="S1875" s="23" t="n">
        <f aca="false">G1875-Q1875-R1875</f>
        <v>8.9473</v>
      </c>
      <c r="T1875" s="21" t="str">
        <f aca="false">IF(M1875&lt;=7,"0-7 days",IF(M1875&lt;=14,"8-14 days",IF(M1875&lt;=21,"15-21 days","22+ days")))</f>
        <v>15-21 days</v>
      </c>
    </row>
    <row r="1876" customFormat="false" ht="15" hidden="false" customHeight="false" outlineLevel="0" collapsed="false">
      <c r="A1876" s="21" t="s">
        <v>1942</v>
      </c>
      <c r="B1876" s="21" t="s">
        <v>19</v>
      </c>
      <c r="C1876" s="22" t="n">
        <v>43324</v>
      </c>
      <c r="D1876" s="22" t="n">
        <v>43330</v>
      </c>
      <c r="E1876" s="22" t="n">
        <v>43343</v>
      </c>
      <c r="F1876" s="21" t="s">
        <v>79</v>
      </c>
      <c r="G1876" s="23" t="n">
        <v>74.89</v>
      </c>
      <c r="H1876" s="23" t="n">
        <v>13.49</v>
      </c>
      <c r="I1876" s="21" t="s">
        <v>60</v>
      </c>
      <c r="J1876" s="21" t="n">
        <v>5</v>
      </c>
      <c r="K1876" s="21" t="s">
        <v>46</v>
      </c>
      <c r="L1876" s="24" t="n">
        <f aca="false">DATE(YEAR(C1876),MONTH(C1876),1)</f>
        <v>43313</v>
      </c>
      <c r="M1876" s="21" t="n">
        <f aca="false">D1876-C1876</f>
        <v>6</v>
      </c>
      <c r="N1876" s="21" t="n">
        <f aca="false">MAX(0,D1876-E1876)</f>
        <v>0</v>
      </c>
      <c r="O1876" s="21" t="n">
        <f aca="false">IF(D1876&lt;=E1876,1,0)</f>
        <v>1</v>
      </c>
      <c r="P1876" s="23" t="n">
        <f aca="false">G1876+H1876</f>
        <v>88.38</v>
      </c>
      <c r="Q1876" s="23" t="n">
        <f aca="false">G1876*INDEX(Assumptions!$B$8:$B$16,MATCH(F1876,Assumptions!$A$8:$A$16,0))</f>
        <v>52.423</v>
      </c>
      <c r="R1876" s="23" t="n">
        <f aca="false">H1876*Assumptions!$B$3</f>
        <v>8.094</v>
      </c>
      <c r="S1876" s="23" t="n">
        <f aca="false">G1876-Q1876-R1876</f>
        <v>14.373</v>
      </c>
      <c r="T1876" s="21" t="str">
        <f aca="false">IF(M1876&lt;=7,"0-7 days",IF(M1876&lt;=14,"8-14 days",IF(M1876&lt;=21,"15-21 days","22+ days")))</f>
        <v>0-7 days</v>
      </c>
    </row>
    <row r="1877" customFormat="false" ht="15" hidden="false" customHeight="false" outlineLevel="0" collapsed="false">
      <c r="A1877" s="21" t="s">
        <v>1943</v>
      </c>
      <c r="B1877" s="21" t="s">
        <v>93</v>
      </c>
      <c r="C1877" s="22" t="n">
        <v>43324</v>
      </c>
      <c r="D1877" s="22" t="n">
        <v>43338</v>
      </c>
      <c r="E1877" s="22" t="n">
        <v>43353</v>
      </c>
      <c r="F1877" s="21" t="s">
        <v>67</v>
      </c>
      <c r="G1877" s="23" t="n">
        <v>60.12</v>
      </c>
      <c r="H1877" s="23" t="n">
        <v>27.26</v>
      </c>
      <c r="I1877" s="21" t="s">
        <v>60</v>
      </c>
      <c r="J1877" s="21" t="n">
        <v>3</v>
      </c>
      <c r="K1877" s="21" t="s">
        <v>46</v>
      </c>
      <c r="L1877" s="24" t="n">
        <f aca="false">DATE(YEAR(C1877),MONTH(C1877),1)</f>
        <v>43313</v>
      </c>
      <c r="M1877" s="21" t="n">
        <f aca="false">D1877-C1877</f>
        <v>14</v>
      </c>
      <c r="N1877" s="21" t="n">
        <f aca="false">MAX(0,D1877-E1877)</f>
        <v>0</v>
      </c>
      <c r="O1877" s="21" t="n">
        <f aca="false">IF(D1877&lt;=E1877,1,0)</f>
        <v>1</v>
      </c>
      <c r="P1877" s="23" t="n">
        <f aca="false">G1877+H1877</f>
        <v>87.38</v>
      </c>
      <c r="Q1877" s="23" t="n">
        <f aca="false">G1877*INDEX(Assumptions!$B$8:$B$16,MATCH(F1877,Assumptions!$A$8:$A$16,0))</f>
        <v>37.2744</v>
      </c>
      <c r="R1877" s="23" t="n">
        <f aca="false">H1877*Assumptions!$B$3</f>
        <v>16.356</v>
      </c>
      <c r="S1877" s="23" t="n">
        <f aca="false">G1877-Q1877-R1877</f>
        <v>6.4896</v>
      </c>
      <c r="T1877" s="21" t="str">
        <f aca="false">IF(M1877&lt;=7,"0-7 days",IF(M1877&lt;=14,"8-14 days",IF(M1877&lt;=21,"15-21 days","22+ days")))</f>
        <v>8-14 days</v>
      </c>
    </row>
    <row r="1878" customFormat="false" ht="15" hidden="false" customHeight="false" outlineLevel="0" collapsed="false">
      <c r="A1878" s="21" t="s">
        <v>1944</v>
      </c>
      <c r="B1878" s="21" t="s">
        <v>19</v>
      </c>
      <c r="C1878" s="22" t="n">
        <v>43324</v>
      </c>
      <c r="D1878" s="22" t="n">
        <v>43329</v>
      </c>
      <c r="E1878" s="22" t="n">
        <v>43339</v>
      </c>
      <c r="F1878" s="21" t="s">
        <v>49</v>
      </c>
      <c r="G1878" s="23" t="n">
        <v>50.08</v>
      </c>
      <c r="H1878" s="23" t="n">
        <v>11.71</v>
      </c>
      <c r="I1878" s="21" t="s">
        <v>45</v>
      </c>
      <c r="J1878" s="21" t="n">
        <v>4</v>
      </c>
      <c r="K1878" s="21" t="s">
        <v>46</v>
      </c>
      <c r="L1878" s="24" t="n">
        <f aca="false">DATE(YEAR(C1878),MONTH(C1878),1)</f>
        <v>43313</v>
      </c>
      <c r="M1878" s="21" t="n">
        <f aca="false">D1878-C1878</f>
        <v>5</v>
      </c>
      <c r="N1878" s="21" t="n">
        <f aca="false">MAX(0,D1878-E1878)</f>
        <v>0</v>
      </c>
      <c r="O1878" s="21" t="n">
        <f aca="false">IF(D1878&lt;=E1878,1,0)</f>
        <v>1</v>
      </c>
      <c r="P1878" s="23" t="n">
        <f aca="false">G1878+H1878</f>
        <v>61.79</v>
      </c>
      <c r="Q1878" s="23" t="n">
        <f aca="false">G1878*INDEX(Assumptions!$B$8:$B$16,MATCH(F1878,Assumptions!$A$8:$A$16,0))</f>
        <v>29.0464</v>
      </c>
      <c r="R1878" s="23" t="n">
        <f aca="false">H1878*Assumptions!$B$3</f>
        <v>7.026</v>
      </c>
      <c r="S1878" s="23" t="n">
        <f aca="false">G1878-Q1878-R1878</f>
        <v>14.0076</v>
      </c>
      <c r="T1878" s="21" t="str">
        <f aca="false">IF(M1878&lt;=7,"0-7 days",IF(M1878&lt;=14,"8-14 days",IF(M1878&lt;=21,"15-21 days","22+ days")))</f>
        <v>0-7 days</v>
      </c>
    </row>
    <row r="1879" customFormat="false" ht="15" hidden="false" customHeight="false" outlineLevel="0" collapsed="false">
      <c r="A1879" s="21" t="s">
        <v>1945</v>
      </c>
      <c r="B1879" s="21" t="s">
        <v>19</v>
      </c>
      <c r="C1879" s="22" t="n">
        <v>43325</v>
      </c>
      <c r="D1879" s="22" t="n">
        <v>43330</v>
      </c>
      <c r="E1879" s="22" t="n">
        <v>43340</v>
      </c>
      <c r="F1879" s="21" t="s">
        <v>57</v>
      </c>
      <c r="G1879" s="23" t="n">
        <v>149.55</v>
      </c>
      <c r="H1879" s="23" t="n">
        <v>22.52</v>
      </c>
      <c r="I1879" s="21" t="s">
        <v>45</v>
      </c>
      <c r="J1879" s="21" t="n">
        <v>5</v>
      </c>
      <c r="K1879" s="21" t="s">
        <v>46</v>
      </c>
      <c r="L1879" s="24" t="n">
        <f aca="false">DATE(YEAR(C1879),MONTH(C1879),1)</f>
        <v>43313</v>
      </c>
      <c r="M1879" s="21" t="n">
        <f aca="false">D1879-C1879</f>
        <v>5</v>
      </c>
      <c r="N1879" s="21" t="n">
        <f aca="false">MAX(0,D1879-E1879)</f>
        <v>0</v>
      </c>
      <c r="O1879" s="21" t="n">
        <f aca="false">IF(D1879&lt;=E1879,1,0)</f>
        <v>1</v>
      </c>
      <c r="P1879" s="23" t="n">
        <f aca="false">G1879+H1879</f>
        <v>172.07</v>
      </c>
      <c r="Q1879" s="23" t="n">
        <f aca="false">G1879*INDEX(Assumptions!$B$8:$B$16,MATCH(F1879,Assumptions!$A$8:$A$16,0))</f>
        <v>101.694</v>
      </c>
      <c r="R1879" s="23" t="n">
        <f aca="false">H1879*Assumptions!$B$3</f>
        <v>13.512</v>
      </c>
      <c r="S1879" s="23" t="n">
        <f aca="false">G1879-Q1879-R1879</f>
        <v>34.344</v>
      </c>
      <c r="T1879" s="21" t="str">
        <f aca="false">IF(M1879&lt;=7,"0-7 days",IF(M1879&lt;=14,"8-14 days",IF(M1879&lt;=21,"15-21 days","22+ days")))</f>
        <v>0-7 days</v>
      </c>
    </row>
    <row r="1880" customFormat="false" ht="15" hidden="false" customHeight="false" outlineLevel="0" collapsed="false">
      <c r="A1880" s="21" t="s">
        <v>1946</v>
      </c>
      <c r="B1880" s="21" t="s">
        <v>62</v>
      </c>
      <c r="C1880" s="22" t="n">
        <v>43325</v>
      </c>
      <c r="D1880" s="22" t="n">
        <v>43332</v>
      </c>
      <c r="E1880" s="22" t="n">
        <v>43346</v>
      </c>
      <c r="F1880" s="21" t="s">
        <v>53</v>
      </c>
      <c r="G1880" s="23" t="n">
        <v>271.57</v>
      </c>
      <c r="H1880" s="23" t="n">
        <v>32.23</v>
      </c>
      <c r="I1880" s="21" t="s">
        <v>50</v>
      </c>
      <c r="J1880" s="21" t="n">
        <v>4</v>
      </c>
      <c r="K1880" s="21" t="s">
        <v>46</v>
      </c>
      <c r="L1880" s="24" t="n">
        <f aca="false">DATE(YEAR(C1880),MONTH(C1880),1)</f>
        <v>43313</v>
      </c>
      <c r="M1880" s="21" t="n">
        <f aca="false">D1880-C1880</f>
        <v>7</v>
      </c>
      <c r="N1880" s="21" t="n">
        <f aca="false">MAX(0,D1880-E1880)</f>
        <v>0</v>
      </c>
      <c r="O1880" s="21" t="n">
        <f aca="false">IF(D1880&lt;=E1880,1,0)</f>
        <v>1</v>
      </c>
      <c r="P1880" s="23" t="n">
        <f aca="false">G1880+H1880</f>
        <v>303.8</v>
      </c>
      <c r="Q1880" s="23" t="n">
        <f aca="false">G1880*INDEX(Assumptions!$B$8:$B$16,MATCH(F1880,Assumptions!$A$8:$A$16,0))</f>
        <v>200.9618</v>
      </c>
      <c r="R1880" s="23" t="n">
        <f aca="false">H1880*Assumptions!$B$3</f>
        <v>19.338</v>
      </c>
      <c r="S1880" s="23" t="n">
        <f aca="false">G1880-Q1880-R1880</f>
        <v>51.2702</v>
      </c>
      <c r="T1880" s="21" t="str">
        <f aca="false">IF(M1880&lt;=7,"0-7 days",IF(M1880&lt;=14,"8-14 days",IF(M1880&lt;=21,"15-21 days","22+ days")))</f>
        <v>0-7 days</v>
      </c>
    </row>
    <row r="1881" customFormat="false" ht="15" hidden="false" customHeight="false" outlineLevel="0" collapsed="false">
      <c r="A1881" s="21" t="s">
        <v>1947</v>
      </c>
      <c r="B1881" s="21" t="s">
        <v>62</v>
      </c>
      <c r="C1881" s="22" t="n">
        <v>43325</v>
      </c>
      <c r="D1881" s="22" t="n">
        <v>43341</v>
      </c>
      <c r="E1881" s="22" t="n">
        <v>43346</v>
      </c>
      <c r="F1881" s="21" t="s">
        <v>59</v>
      </c>
      <c r="G1881" s="23" t="n">
        <v>91.66</v>
      </c>
      <c r="H1881" s="23" t="n">
        <v>20.13</v>
      </c>
      <c r="I1881" s="21" t="s">
        <v>45</v>
      </c>
      <c r="J1881" s="21" t="n">
        <v>3</v>
      </c>
      <c r="K1881" s="21" t="s">
        <v>46</v>
      </c>
      <c r="L1881" s="24" t="n">
        <f aca="false">DATE(YEAR(C1881),MONTH(C1881),1)</f>
        <v>43313</v>
      </c>
      <c r="M1881" s="21" t="n">
        <f aca="false">D1881-C1881</f>
        <v>16</v>
      </c>
      <c r="N1881" s="21" t="n">
        <f aca="false">MAX(0,D1881-E1881)</f>
        <v>0</v>
      </c>
      <c r="O1881" s="21" t="n">
        <f aca="false">IF(D1881&lt;=E1881,1,0)</f>
        <v>1</v>
      </c>
      <c r="P1881" s="23" t="n">
        <f aca="false">G1881+H1881</f>
        <v>111.79</v>
      </c>
      <c r="Q1881" s="23" t="n">
        <f aca="false">G1881*INDEX(Assumptions!$B$8:$B$16,MATCH(F1881,Assumptions!$A$8:$A$16,0))</f>
        <v>58.6624</v>
      </c>
      <c r="R1881" s="23" t="n">
        <f aca="false">H1881*Assumptions!$B$3</f>
        <v>12.078</v>
      </c>
      <c r="S1881" s="23" t="n">
        <f aca="false">G1881-Q1881-R1881</f>
        <v>20.9196</v>
      </c>
      <c r="T1881" s="21" t="str">
        <f aca="false">IF(M1881&lt;=7,"0-7 days",IF(M1881&lt;=14,"8-14 days",IF(M1881&lt;=21,"15-21 days","22+ days")))</f>
        <v>15-21 days</v>
      </c>
    </row>
    <row r="1882" customFormat="false" ht="15" hidden="false" customHeight="false" outlineLevel="0" collapsed="false">
      <c r="A1882" s="21" t="s">
        <v>1948</v>
      </c>
      <c r="B1882" s="21" t="s">
        <v>19</v>
      </c>
      <c r="C1882" s="22" t="n">
        <v>43325</v>
      </c>
      <c r="D1882" s="22" t="n">
        <v>43334</v>
      </c>
      <c r="E1882" s="22" t="n">
        <v>43339</v>
      </c>
      <c r="F1882" s="21" t="s">
        <v>44</v>
      </c>
      <c r="G1882" s="23" t="n">
        <v>230.74</v>
      </c>
      <c r="H1882" s="23" t="n">
        <v>24.8</v>
      </c>
      <c r="I1882" s="21" t="s">
        <v>45</v>
      </c>
      <c r="J1882" s="21" t="n">
        <v>4</v>
      </c>
      <c r="K1882" s="21" t="s">
        <v>46</v>
      </c>
      <c r="L1882" s="24" t="n">
        <f aca="false">DATE(YEAR(C1882),MONTH(C1882),1)</f>
        <v>43313</v>
      </c>
      <c r="M1882" s="21" t="n">
        <f aca="false">D1882-C1882</f>
        <v>9</v>
      </c>
      <c r="N1882" s="21" t="n">
        <f aca="false">MAX(0,D1882-E1882)</f>
        <v>0</v>
      </c>
      <c r="O1882" s="21" t="n">
        <f aca="false">IF(D1882&lt;=E1882,1,0)</f>
        <v>1</v>
      </c>
      <c r="P1882" s="23" t="n">
        <f aca="false">G1882+H1882</f>
        <v>255.54</v>
      </c>
      <c r="Q1882" s="23" t="n">
        <f aca="false">G1882*INDEX(Assumptions!$B$8:$B$16,MATCH(F1882,Assumptions!$A$8:$A$16,0))</f>
        <v>138.444</v>
      </c>
      <c r="R1882" s="23" t="n">
        <f aca="false">H1882*Assumptions!$B$3</f>
        <v>14.88</v>
      </c>
      <c r="S1882" s="23" t="n">
        <f aca="false">G1882-Q1882-R1882</f>
        <v>77.416</v>
      </c>
      <c r="T1882" s="21" t="str">
        <f aca="false">IF(M1882&lt;=7,"0-7 days",IF(M1882&lt;=14,"8-14 days",IF(M1882&lt;=21,"15-21 days","22+ days")))</f>
        <v>8-14 days</v>
      </c>
    </row>
    <row r="1883" customFormat="false" ht="15" hidden="false" customHeight="false" outlineLevel="0" collapsed="false">
      <c r="A1883" s="21" t="s">
        <v>1949</v>
      </c>
      <c r="B1883" s="21" t="s">
        <v>201</v>
      </c>
      <c r="C1883" s="22" t="n">
        <v>43325</v>
      </c>
      <c r="D1883" s="22" t="n">
        <v>43331</v>
      </c>
      <c r="E1883" s="22" t="n">
        <v>43359</v>
      </c>
      <c r="F1883" s="21" t="s">
        <v>59</v>
      </c>
      <c r="G1883" s="23" t="n">
        <v>44.89</v>
      </c>
      <c r="H1883" s="23" t="n">
        <v>32.51</v>
      </c>
      <c r="I1883" s="21" t="s">
        <v>45</v>
      </c>
      <c r="J1883" s="21" t="n">
        <v>5</v>
      </c>
      <c r="K1883" s="21" t="s">
        <v>46</v>
      </c>
      <c r="L1883" s="24" t="n">
        <f aca="false">DATE(YEAR(C1883),MONTH(C1883),1)</f>
        <v>43313</v>
      </c>
      <c r="M1883" s="21" t="n">
        <f aca="false">D1883-C1883</f>
        <v>6</v>
      </c>
      <c r="N1883" s="21" t="n">
        <f aca="false">MAX(0,D1883-E1883)</f>
        <v>0</v>
      </c>
      <c r="O1883" s="21" t="n">
        <f aca="false">IF(D1883&lt;=E1883,1,0)</f>
        <v>1</v>
      </c>
      <c r="P1883" s="23" t="n">
        <f aca="false">G1883+H1883</f>
        <v>77.4</v>
      </c>
      <c r="Q1883" s="23" t="n">
        <f aca="false">G1883*INDEX(Assumptions!$B$8:$B$16,MATCH(F1883,Assumptions!$A$8:$A$16,0))</f>
        <v>28.7296</v>
      </c>
      <c r="R1883" s="23" t="n">
        <f aca="false">H1883*Assumptions!$B$3</f>
        <v>19.506</v>
      </c>
      <c r="S1883" s="23" t="n">
        <f aca="false">G1883-Q1883-R1883</f>
        <v>-3.3456</v>
      </c>
      <c r="T1883" s="21" t="str">
        <f aca="false">IF(M1883&lt;=7,"0-7 days",IF(M1883&lt;=14,"8-14 days",IF(M1883&lt;=21,"15-21 days","22+ days")))</f>
        <v>0-7 days</v>
      </c>
    </row>
    <row r="1884" customFormat="false" ht="15" hidden="false" customHeight="false" outlineLevel="0" collapsed="false">
      <c r="A1884" s="21" t="s">
        <v>1950</v>
      </c>
      <c r="B1884" s="21" t="s">
        <v>19</v>
      </c>
      <c r="C1884" s="22" t="n">
        <v>43325</v>
      </c>
      <c r="D1884" s="22" t="n">
        <v>43334</v>
      </c>
      <c r="E1884" s="22" t="n">
        <v>43344</v>
      </c>
      <c r="F1884" s="21" t="s">
        <v>53</v>
      </c>
      <c r="G1884" s="23" t="n">
        <v>98.51</v>
      </c>
      <c r="H1884" s="23" t="n">
        <v>15.9</v>
      </c>
      <c r="I1884" s="21" t="s">
        <v>60</v>
      </c>
      <c r="J1884" s="21" t="n">
        <v>4</v>
      </c>
      <c r="K1884" s="21" t="s">
        <v>46</v>
      </c>
      <c r="L1884" s="24" t="n">
        <f aca="false">DATE(YEAR(C1884),MONTH(C1884),1)</f>
        <v>43313</v>
      </c>
      <c r="M1884" s="21" t="n">
        <f aca="false">D1884-C1884</f>
        <v>9</v>
      </c>
      <c r="N1884" s="21" t="n">
        <f aca="false">MAX(0,D1884-E1884)</f>
        <v>0</v>
      </c>
      <c r="O1884" s="21" t="n">
        <f aca="false">IF(D1884&lt;=E1884,1,0)</f>
        <v>1</v>
      </c>
      <c r="P1884" s="23" t="n">
        <f aca="false">G1884+H1884</f>
        <v>114.41</v>
      </c>
      <c r="Q1884" s="23" t="n">
        <f aca="false">G1884*INDEX(Assumptions!$B$8:$B$16,MATCH(F1884,Assumptions!$A$8:$A$16,0))</f>
        <v>72.8974</v>
      </c>
      <c r="R1884" s="23" t="n">
        <f aca="false">H1884*Assumptions!$B$3</f>
        <v>9.54</v>
      </c>
      <c r="S1884" s="23" t="n">
        <f aca="false">G1884-Q1884-R1884</f>
        <v>16.0726</v>
      </c>
      <c r="T1884" s="21" t="str">
        <f aca="false">IF(M1884&lt;=7,"0-7 days",IF(M1884&lt;=14,"8-14 days",IF(M1884&lt;=21,"15-21 days","22+ days")))</f>
        <v>8-14 days</v>
      </c>
    </row>
    <row r="1885" customFormat="false" ht="15" hidden="false" customHeight="false" outlineLevel="0" collapsed="false">
      <c r="A1885" s="21" t="s">
        <v>1951</v>
      </c>
      <c r="B1885" s="21" t="s">
        <v>19</v>
      </c>
      <c r="C1885" s="22" t="n">
        <v>43325</v>
      </c>
      <c r="D1885" s="22" t="n">
        <v>43334</v>
      </c>
      <c r="E1885" s="22" t="n">
        <v>43341</v>
      </c>
      <c r="F1885" s="21" t="s">
        <v>67</v>
      </c>
      <c r="G1885" s="23" t="n">
        <v>92.11</v>
      </c>
      <c r="H1885" s="23" t="n">
        <v>17.11</v>
      </c>
      <c r="I1885" s="21" t="s">
        <v>45</v>
      </c>
      <c r="J1885" s="21" t="n">
        <v>5</v>
      </c>
      <c r="K1885" s="21" t="s">
        <v>46</v>
      </c>
      <c r="L1885" s="24" t="n">
        <f aca="false">DATE(YEAR(C1885),MONTH(C1885),1)</f>
        <v>43313</v>
      </c>
      <c r="M1885" s="21" t="n">
        <f aca="false">D1885-C1885</f>
        <v>9</v>
      </c>
      <c r="N1885" s="21" t="n">
        <f aca="false">MAX(0,D1885-E1885)</f>
        <v>0</v>
      </c>
      <c r="O1885" s="21" t="n">
        <f aca="false">IF(D1885&lt;=E1885,1,0)</f>
        <v>1</v>
      </c>
      <c r="P1885" s="23" t="n">
        <f aca="false">G1885+H1885</f>
        <v>109.22</v>
      </c>
      <c r="Q1885" s="23" t="n">
        <f aca="false">G1885*INDEX(Assumptions!$B$8:$B$16,MATCH(F1885,Assumptions!$A$8:$A$16,0))</f>
        <v>57.1082</v>
      </c>
      <c r="R1885" s="23" t="n">
        <f aca="false">H1885*Assumptions!$B$3</f>
        <v>10.266</v>
      </c>
      <c r="S1885" s="23" t="n">
        <f aca="false">G1885-Q1885-R1885</f>
        <v>24.7358</v>
      </c>
      <c r="T1885" s="21" t="str">
        <f aca="false">IF(M1885&lt;=7,"0-7 days",IF(M1885&lt;=14,"8-14 days",IF(M1885&lt;=21,"15-21 days","22+ days")))</f>
        <v>8-14 days</v>
      </c>
    </row>
    <row r="1886" customFormat="false" ht="15" hidden="false" customHeight="false" outlineLevel="0" collapsed="false">
      <c r="A1886" s="21" t="s">
        <v>1952</v>
      </c>
      <c r="B1886" s="21" t="s">
        <v>103</v>
      </c>
      <c r="C1886" s="22" t="n">
        <v>43325</v>
      </c>
      <c r="D1886" s="22" t="n">
        <v>43342</v>
      </c>
      <c r="E1886" s="22" t="n">
        <v>43348</v>
      </c>
      <c r="F1886" s="21" t="s">
        <v>59</v>
      </c>
      <c r="G1886" s="23" t="n">
        <v>64.71</v>
      </c>
      <c r="H1886" s="23" t="n">
        <v>23.49</v>
      </c>
      <c r="I1886" s="21" t="s">
        <v>45</v>
      </c>
      <c r="J1886" s="21" t="n">
        <v>5</v>
      </c>
      <c r="K1886" s="21" t="s">
        <v>46</v>
      </c>
      <c r="L1886" s="24" t="n">
        <f aca="false">DATE(YEAR(C1886),MONTH(C1886),1)</f>
        <v>43313</v>
      </c>
      <c r="M1886" s="21" t="n">
        <f aca="false">D1886-C1886</f>
        <v>17</v>
      </c>
      <c r="N1886" s="21" t="n">
        <f aca="false">MAX(0,D1886-E1886)</f>
        <v>0</v>
      </c>
      <c r="O1886" s="21" t="n">
        <f aca="false">IF(D1886&lt;=E1886,1,0)</f>
        <v>1</v>
      </c>
      <c r="P1886" s="23" t="n">
        <f aca="false">G1886+H1886</f>
        <v>88.2</v>
      </c>
      <c r="Q1886" s="23" t="n">
        <f aca="false">G1886*INDEX(Assumptions!$B$8:$B$16,MATCH(F1886,Assumptions!$A$8:$A$16,0))</f>
        <v>41.4144</v>
      </c>
      <c r="R1886" s="23" t="n">
        <f aca="false">H1886*Assumptions!$B$3</f>
        <v>14.094</v>
      </c>
      <c r="S1886" s="23" t="n">
        <f aca="false">G1886-Q1886-R1886</f>
        <v>9.2016</v>
      </c>
      <c r="T1886" s="21" t="str">
        <f aca="false">IF(M1886&lt;=7,"0-7 days",IF(M1886&lt;=14,"8-14 days",IF(M1886&lt;=21,"15-21 days","22+ days")))</f>
        <v>15-21 days</v>
      </c>
    </row>
    <row r="1887" customFormat="false" ht="15" hidden="false" customHeight="false" outlineLevel="0" collapsed="false">
      <c r="A1887" s="21" t="s">
        <v>1953</v>
      </c>
      <c r="B1887" s="21" t="s">
        <v>174</v>
      </c>
      <c r="C1887" s="22" t="n">
        <v>43325</v>
      </c>
      <c r="D1887" s="22" t="n">
        <v>43347</v>
      </c>
      <c r="E1887" s="22" t="n">
        <v>43355</v>
      </c>
      <c r="F1887" s="21" t="s">
        <v>111</v>
      </c>
      <c r="G1887" s="23" t="n">
        <v>34.43</v>
      </c>
      <c r="H1887" s="23" t="n">
        <v>29.37</v>
      </c>
      <c r="I1887" s="21" t="s">
        <v>60</v>
      </c>
      <c r="J1887" s="21" t="n">
        <v>3</v>
      </c>
      <c r="K1887" s="21" t="s">
        <v>46</v>
      </c>
      <c r="L1887" s="24" t="n">
        <f aca="false">DATE(YEAR(C1887),MONTH(C1887),1)</f>
        <v>43313</v>
      </c>
      <c r="M1887" s="21" t="n">
        <f aca="false">D1887-C1887</f>
        <v>22</v>
      </c>
      <c r="N1887" s="21" t="n">
        <f aca="false">MAX(0,D1887-E1887)</f>
        <v>0</v>
      </c>
      <c r="O1887" s="21" t="n">
        <f aca="false">IF(D1887&lt;=E1887,1,0)</f>
        <v>1</v>
      </c>
      <c r="P1887" s="23" t="n">
        <f aca="false">G1887+H1887</f>
        <v>63.8</v>
      </c>
      <c r="Q1887" s="23" t="n">
        <f aca="false">G1887*INDEX(Assumptions!$B$8:$B$16,MATCH(F1887,Assumptions!$A$8:$A$16,0))</f>
        <v>21.6909</v>
      </c>
      <c r="R1887" s="23" t="n">
        <f aca="false">H1887*Assumptions!$B$3</f>
        <v>17.622</v>
      </c>
      <c r="S1887" s="23" t="n">
        <f aca="false">G1887-Q1887-R1887</f>
        <v>-4.8829</v>
      </c>
      <c r="T1887" s="21" t="str">
        <f aca="false">IF(M1887&lt;=7,"0-7 days",IF(M1887&lt;=14,"8-14 days",IF(M1887&lt;=21,"15-21 days","22+ days")))</f>
        <v>22+ days</v>
      </c>
    </row>
    <row r="1888" customFormat="false" ht="15" hidden="false" customHeight="false" outlineLevel="0" collapsed="false">
      <c r="A1888" s="21" t="s">
        <v>1954</v>
      </c>
      <c r="B1888" s="21" t="s">
        <v>62</v>
      </c>
      <c r="C1888" s="22" t="n">
        <v>43325</v>
      </c>
      <c r="D1888" s="22" t="n">
        <v>43333</v>
      </c>
      <c r="E1888" s="22" t="n">
        <v>43346</v>
      </c>
      <c r="F1888" s="21" t="s">
        <v>64</v>
      </c>
      <c r="G1888" s="23" t="n">
        <v>288.97</v>
      </c>
      <c r="H1888" s="23" t="n">
        <v>25.72</v>
      </c>
      <c r="I1888" s="21" t="s">
        <v>45</v>
      </c>
      <c r="J1888" s="21" t="n">
        <v>3</v>
      </c>
      <c r="K1888" s="21" t="s">
        <v>46</v>
      </c>
      <c r="L1888" s="24" t="n">
        <f aca="false">DATE(YEAR(C1888),MONTH(C1888),1)</f>
        <v>43313</v>
      </c>
      <c r="M1888" s="21" t="n">
        <f aca="false">D1888-C1888</f>
        <v>8</v>
      </c>
      <c r="N1888" s="21" t="n">
        <f aca="false">MAX(0,D1888-E1888)</f>
        <v>0</v>
      </c>
      <c r="O1888" s="21" t="n">
        <f aca="false">IF(D1888&lt;=E1888,1,0)</f>
        <v>1</v>
      </c>
      <c r="P1888" s="23" t="n">
        <f aca="false">G1888+H1888</f>
        <v>314.69</v>
      </c>
      <c r="Q1888" s="23" t="n">
        <f aca="false">G1888*INDEX(Assumptions!$B$8:$B$16,MATCH(F1888,Assumptions!$A$8:$A$16,0))</f>
        <v>190.7202</v>
      </c>
      <c r="R1888" s="23" t="n">
        <f aca="false">H1888*Assumptions!$B$3</f>
        <v>15.432</v>
      </c>
      <c r="S1888" s="23" t="n">
        <f aca="false">G1888-Q1888-R1888</f>
        <v>82.8178</v>
      </c>
      <c r="T1888" s="21" t="str">
        <f aca="false">IF(M1888&lt;=7,"0-7 days",IF(M1888&lt;=14,"8-14 days",IF(M1888&lt;=21,"15-21 days","22+ days")))</f>
        <v>8-14 days</v>
      </c>
    </row>
    <row r="1889" customFormat="false" ht="15" hidden="false" customHeight="false" outlineLevel="0" collapsed="false">
      <c r="A1889" s="21" t="s">
        <v>1955</v>
      </c>
      <c r="B1889" s="21" t="s">
        <v>19</v>
      </c>
      <c r="C1889" s="22" t="n">
        <v>43326</v>
      </c>
      <c r="D1889" s="22" t="n">
        <v>43331</v>
      </c>
      <c r="E1889" s="22" t="n">
        <v>43339</v>
      </c>
      <c r="F1889" s="21" t="s">
        <v>49</v>
      </c>
      <c r="G1889" s="23" t="n">
        <v>62.91</v>
      </c>
      <c r="H1889" s="23" t="n">
        <v>14.57</v>
      </c>
      <c r="I1889" s="21" t="s">
        <v>45</v>
      </c>
      <c r="J1889" s="21" t="n">
        <v>5</v>
      </c>
      <c r="K1889" s="21" t="s">
        <v>46</v>
      </c>
      <c r="L1889" s="24" t="n">
        <f aca="false">DATE(YEAR(C1889),MONTH(C1889),1)</f>
        <v>43313</v>
      </c>
      <c r="M1889" s="21" t="n">
        <f aca="false">D1889-C1889</f>
        <v>5</v>
      </c>
      <c r="N1889" s="21" t="n">
        <f aca="false">MAX(0,D1889-E1889)</f>
        <v>0</v>
      </c>
      <c r="O1889" s="21" t="n">
        <f aca="false">IF(D1889&lt;=E1889,1,0)</f>
        <v>1</v>
      </c>
      <c r="P1889" s="23" t="n">
        <f aca="false">G1889+H1889</f>
        <v>77.48</v>
      </c>
      <c r="Q1889" s="23" t="n">
        <f aca="false">G1889*INDEX(Assumptions!$B$8:$B$16,MATCH(F1889,Assumptions!$A$8:$A$16,0))</f>
        <v>36.4878</v>
      </c>
      <c r="R1889" s="23" t="n">
        <f aca="false">H1889*Assumptions!$B$3</f>
        <v>8.742</v>
      </c>
      <c r="S1889" s="23" t="n">
        <f aca="false">G1889-Q1889-R1889</f>
        <v>17.6802</v>
      </c>
      <c r="T1889" s="21" t="str">
        <f aca="false">IF(M1889&lt;=7,"0-7 days",IF(M1889&lt;=14,"8-14 days",IF(M1889&lt;=21,"15-21 days","22+ days")))</f>
        <v>0-7 days</v>
      </c>
    </row>
    <row r="1890" customFormat="false" ht="15" hidden="false" customHeight="false" outlineLevel="0" collapsed="false">
      <c r="A1890" s="21" t="s">
        <v>1956</v>
      </c>
      <c r="B1890" s="21" t="s">
        <v>62</v>
      </c>
      <c r="C1890" s="22" t="n">
        <v>43326</v>
      </c>
      <c r="D1890" s="22" t="n">
        <v>43341</v>
      </c>
      <c r="E1890" s="22" t="n">
        <v>43346</v>
      </c>
      <c r="F1890" s="21" t="s">
        <v>111</v>
      </c>
      <c r="G1890" s="23" t="n">
        <v>40.19</v>
      </c>
      <c r="H1890" s="23" t="n">
        <v>21.26</v>
      </c>
      <c r="I1890" s="21" t="s">
        <v>45</v>
      </c>
      <c r="J1890" s="21" t="n">
        <v>5</v>
      </c>
      <c r="K1890" s="21" t="s">
        <v>46</v>
      </c>
      <c r="L1890" s="24" t="n">
        <f aca="false">DATE(YEAR(C1890),MONTH(C1890),1)</f>
        <v>43313</v>
      </c>
      <c r="M1890" s="21" t="n">
        <f aca="false">D1890-C1890</f>
        <v>15</v>
      </c>
      <c r="N1890" s="21" t="n">
        <f aca="false">MAX(0,D1890-E1890)</f>
        <v>0</v>
      </c>
      <c r="O1890" s="21" t="n">
        <f aca="false">IF(D1890&lt;=E1890,1,0)</f>
        <v>1</v>
      </c>
      <c r="P1890" s="23" t="n">
        <f aca="false">G1890+H1890</f>
        <v>61.45</v>
      </c>
      <c r="Q1890" s="23" t="n">
        <f aca="false">G1890*INDEX(Assumptions!$B$8:$B$16,MATCH(F1890,Assumptions!$A$8:$A$16,0))</f>
        <v>25.3197</v>
      </c>
      <c r="R1890" s="23" t="n">
        <f aca="false">H1890*Assumptions!$B$3</f>
        <v>12.756</v>
      </c>
      <c r="S1890" s="23" t="n">
        <f aca="false">G1890-Q1890-R1890</f>
        <v>2.1143</v>
      </c>
      <c r="T1890" s="21" t="str">
        <f aca="false">IF(M1890&lt;=7,"0-7 days",IF(M1890&lt;=14,"8-14 days",IF(M1890&lt;=21,"15-21 days","22+ days")))</f>
        <v>15-21 days</v>
      </c>
    </row>
    <row r="1891" customFormat="false" ht="15" hidden="false" customHeight="false" outlineLevel="0" collapsed="false">
      <c r="A1891" s="21" t="s">
        <v>1957</v>
      </c>
      <c r="B1891" s="21" t="s">
        <v>93</v>
      </c>
      <c r="C1891" s="22" t="n">
        <v>43326</v>
      </c>
      <c r="D1891" s="22" t="n">
        <v>43341</v>
      </c>
      <c r="E1891" s="22" t="n">
        <v>43354</v>
      </c>
      <c r="F1891" s="21" t="s">
        <v>64</v>
      </c>
      <c r="G1891" s="23" t="n">
        <v>119.72</v>
      </c>
      <c r="H1891" s="23" t="n">
        <v>32.1</v>
      </c>
      <c r="I1891" s="21" t="s">
        <v>45</v>
      </c>
      <c r="J1891" s="21" t="n">
        <v>5</v>
      </c>
      <c r="K1891" s="21" t="s">
        <v>46</v>
      </c>
      <c r="L1891" s="24" t="n">
        <f aca="false">DATE(YEAR(C1891),MONTH(C1891),1)</f>
        <v>43313</v>
      </c>
      <c r="M1891" s="21" t="n">
        <f aca="false">D1891-C1891</f>
        <v>15</v>
      </c>
      <c r="N1891" s="21" t="n">
        <f aca="false">MAX(0,D1891-E1891)</f>
        <v>0</v>
      </c>
      <c r="O1891" s="21" t="n">
        <f aca="false">IF(D1891&lt;=E1891,1,0)</f>
        <v>1</v>
      </c>
      <c r="P1891" s="23" t="n">
        <f aca="false">G1891+H1891</f>
        <v>151.82</v>
      </c>
      <c r="Q1891" s="23" t="n">
        <f aca="false">G1891*INDEX(Assumptions!$B$8:$B$16,MATCH(F1891,Assumptions!$A$8:$A$16,0))</f>
        <v>79.0152</v>
      </c>
      <c r="R1891" s="23" t="n">
        <f aca="false">H1891*Assumptions!$B$3</f>
        <v>19.26</v>
      </c>
      <c r="S1891" s="23" t="n">
        <f aca="false">G1891-Q1891-R1891</f>
        <v>21.4448</v>
      </c>
      <c r="T1891" s="21" t="str">
        <f aca="false">IF(M1891&lt;=7,"0-7 days",IF(M1891&lt;=14,"8-14 days",IF(M1891&lt;=21,"15-21 days","22+ days")))</f>
        <v>15-21 days</v>
      </c>
    </row>
    <row r="1892" customFormat="false" ht="15" hidden="false" customHeight="false" outlineLevel="0" collapsed="false">
      <c r="A1892" s="21" t="s">
        <v>1958</v>
      </c>
      <c r="B1892" s="21" t="s">
        <v>52</v>
      </c>
      <c r="C1892" s="22" t="n">
        <v>43327</v>
      </c>
      <c r="D1892" s="22" t="n">
        <v>43346</v>
      </c>
      <c r="E1892" s="22" t="n">
        <v>43351</v>
      </c>
      <c r="F1892" s="21" t="s">
        <v>111</v>
      </c>
      <c r="G1892" s="23" t="n">
        <v>195.05</v>
      </c>
      <c r="H1892" s="23" t="n">
        <v>29.28</v>
      </c>
      <c r="I1892" s="21" t="s">
        <v>60</v>
      </c>
      <c r="J1892" s="21" t="n">
        <v>5</v>
      </c>
      <c r="K1892" s="21" t="s">
        <v>46</v>
      </c>
      <c r="L1892" s="24" t="n">
        <f aca="false">DATE(YEAR(C1892),MONTH(C1892),1)</f>
        <v>43313</v>
      </c>
      <c r="M1892" s="21" t="n">
        <f aca="false">D1892-C1892</f>
        <v>19</v>
      </c>
      <c r="N1892" s="21" t="n">
        <f aca="false">MAX(0,D1892-E1892)</f>
        <v>0</v>
      </c>
      <c r="O1892" s="21" t="n">
        <f aca="false">IF(D1892&lt;=E1892,1,0)</f>
        <v>1</v>
      </c>
      <c r="P1892" s="23" t="n">
        <f aca="false">G1892+H1892</f>
        <v>224.33</v>
      </c>
      <c r="Q1892" s="23" t="n">
        <f aca="false">G1892*INDEX(Assumptions!$B$8:$B$16,MATCH(F1892,Assumptions!$A$8:$A$16,0))</f>
        <v>122.8815</v>
      </c>
      <c r="R1892" s="23" t="n">
        <f aca="false">H1892*Assumptions!$B$3</f>
        <v>17.568</v>
      </c>
      <c r="S1892" s="23" t="n">
        <f aca="false">G1892-Q1892-R1892</f>
        <v>54.6005</v>
      </c>
      <c r="T1892" s="21" t="str">
        <f aca="false">IF(M1892&lt;=7,"0-7 days",IF(M1892&lt;=14,"8-14 days",IF(M1892&lt;=21,"15-21 days","22+ days")))</f>
        <v>15-21 days</v>
      </c>
    </row>
    <row r="1893" customFormat="false" ht="15" hidden="false" customHeight="false" outlineLevel="0" collapsed="false">
      <c r="A1893" s="21" t="s">
        <v>1959</v>
      </c>
      <c r="B1893" s="21" t="s">
        <v>19</v>
      </c>
      <c r="C1893" s="22" t="n">
        <v>43327</v>
      </c>
      <c r="D1893" s="22" t="n">
        <v>43335</v>
      </c>
      <c r="E1893" s="22" t="n">
        <v>43340</v>
      </c>
      <c r="F1893" s="21" t="s">
        <v>59</v>
      </c>
      <c r="G1893" s="23" t="n">
        <v>256.07</v>
      </c>
      <c r="H1893" s="23" t="n">
        <v>20.22</v>
      </c>
      <c r="I1893" s="21" t="s">
        <v>60</v>
      </c>
      <c r="J1893" s="21" t="n">
        <v>4</v>
      </c>
      <c r="K1893" s="21" t="s">
        <v>46</v>
      </c>
      <c r="L1893" s="24" t="n">
        <f aca="false">DATE(YEAR(C1893),MONTH(C1893),1)</f>
        <v>43313</v>
      </c>
      <c r="M1893" s="21" t="n">
        <f aca="false">D1893-C1893</f>
        <v>8</v>
      </c>
      <c r="N1893" s="21" t="n">
        <f aca="false">MAX(0,D1893-E1893)</f>
        <v>0</v>
      </c>
      <c r="O1893" s="21" t="n">
        <f aca="false">IF(D1893&lt;=E1893,1,0)</f>
        <v>1</v>
      </c>
      <c r="P1893" s="23" t="n">
        <f aca="false">G1893+H1893</f>
        <v>276.29</v>
      </c>
      <c r="Q1893" s="23" t="n">
        <f aca="false">G1893*INDEX(Assumptions!$B$8:$B$16,MATCH(F1893,Assumptions!$A$8:$A$16,0))</f>
        <v>163.8848</v>
      </c>
      <c r="R1893" s="23" t="n">
        <f aca="false">H1893*Assumptions!$B$3</f>
        <v>12.132</v>
      </c>
      <c r="S1893" s="23" t="n">
        <f aca="false">G1893-Q1893-R1893</f>
        <v>80.0532</v>
      </c>
      <c r="T1893" s="21" t="str">
        <f aca="false">IF(M1893&lt;=7,"0-7 days",IF(M1893&lt;=14,"8-14 days",IF(M1893&lt;=21,"15-21 days","22+ days")))</f>
        <v>8-14 days</v>
      </c>
    </row>
    <row r="1894" customFormat="false" ht="15" hidden="false" customHeight="false" outlineLevel="0" collapsed="false">
      <c r="A1894" s="21" t="s">
        <v>1960</v>
      </c>
      <c r="B1894" s="21" t="s">
        <v>55</v>
      </c>
      <c r="C1894" s="22" t="n">
        <v>43327</v>
      </c>
      <c r="D1894" s="22" t="n">
        <v>43344</v>
      </c>
      <c r="E1894" s="22" t="n">
        <v>43351</v>
      </c>
      <c r="F1894" s="21" t="s">
        <v>64</v>
      </c>
      <c r="G1894" s="23" t="n">
        <v>104.22</v>
      </c>
      <c r="H1894" s="23" t="n">
        <v>31.05</v>
      </c>
      <c r="I1894" s="21" t="s">
        <v>60</v>
      </c>
      <c r="J1894" s="21" t="n">
        <v>4</v>
      </c>
      <c r="K1894" s="21" t="s">
        <v>46</v>
      </c>
      <c r="L1894" s="24" t="n">
        <f aca="false">DATE(YEAR(C1894),MONTH(C1894),1)</f>
        <v>43313</v>
      </c>
      <c r="M1894" s="21" t="n">
        <f aca="false">D1894-C1894</f>
        <v>17</v>
      </c>
      <c r="N1894" s="21" t="n">
        <f aca="false">MAX(0,D1894-E1894)</f>
        <v>0</v>
      </c>
      <c r="O1894" s="21" t="n">
        <f aca="false">IF(D1894&lt;=E1894,1,0)</f>
        <v>1</v>
      </c>
      <c r="P1894" s="23" t="n">
        <f aca="false">G1894+H1894</f>
        <v>135.27</v>
      </c>
      <c r="Q1894" s="23" t="n">
        <f aca="false">G1894*INDEX(Assumptions!$B$8:$B$16,MATCH(F1894,Assumptions!$A$8:$A$16,0))</f>
        <v>68.7852</v>
      </c>
      <c r="R1894" s="23" t="n">
        <f aca="false">H1894*Assumptions!$B$3</f>
        <v>18.63</v>
      </c>
      <c r="S1894" s="23" t="n">
        <f aca="false">G1894-Q1894-R1894</f>
        <v>16.8048</v>
      </c>
      <c r="T1894" s="21" t="str">
        <f aca="false">IF(M1894&lt;=7,"0-7 days",IF(M1894&lt;=14,"8-14 days",IF(M1894&lt;=21,"15-21 days","22+ days")))</f>
        <v>15-21 days</v>
      </c>
    </row>
    <row r="1895" customFormat="false" ht="15" hidden="false" customHeight="false" outlineLevel="0" collapsed="false">
      <c r="A1895" s="21" t="s">
        <v>1961</v>
      </c>
      <c r="B1895" s="21" t="s">
        <v>19</v>
      </c>
      <c r="C1895" s="22" t="n">
        <v>43327</v>
      </c>
      <c r="D1895" s="22" t="n">
        <v>43336</v>
      </c>
      <c r="E1895" s="22" t="n">
        <v>43344</v>
      </c>
      <c r="F1895" s="21" t="s">
        <v>111</v>
      </c>
      <c r="G1895" s="23" t="n">
        <v>59.96</v>
      </c>
      <c r="H1895" s="23" t="n">
        <v>14.42</v>
      </c>
      <c r="I1895" s="21" t="s">
        <v>45</v>
      </c>
      <c r="J1895" s="21" t="n">
        <v>5</v>
      </c>
      <c r="K1895" s="21" t="s">
        <v>46</v>
      </c>
      <c r="L1895" s="24" t="n">
        <f aca="false">DATE(YEAR(C1895),MONTH(C1895),1)</f>
        <v>43313</v>
      </c>
      <c r="M1895" s="21" t="n">
        <f aca="false">D1895-C1895</f>
        <v>9</v>
      </c>
      <c r="N1895" s="21" t="n">
        <f aca="false">MAX(0,D1895-E1895)</f>
        <v>0</v>
      </c>
      <c r="O1895" s="21" t="n">
        <f aca="false">IF(D1895&lt;=E1895,1,0)</f>
        <v>1</v>
      </c>
      <c r="P1895" s="23" t="n">
        <f aca="false">G1895+H1895</f>
        <v>74.38</v>
      </c>
      <c r="Q1895" s="23" t="n">
        <f aca="false">G1895*INDEX(Assumptions!$B$8:$B$16,MATCH(F1895,Assumptions!$A$8:$A$16,0))</f>
        <v>37.7748</v>
      </c>
      <c r="R1895" s="23" t="n">
        <f aca="false">H1895*Assumptions!$B$3</f>
        <v>8.652</v>
      </c>
      <c r="S1895" s="23" t="n">
        <f aca="false">G1895-Q1895-R1895</f>
        <v>13.5332</v>
      </c>
      <c r="T1895" s="21" t="str">
        <f aca="false">IF(M1895&lt;=7,"0-7 days",IF(M1895&lt;=14,"8-14 days",IF(M1895&lt;=21,"15-21 days","22+ days")))</f>
        <v>8-14 days</v>
      </c>
    </row>
    <row r="1896" customFormat="false" ht="15" hidden="false" customHeight="false" outlineLevel="0" collapsed="false">
      <c r="A1896" s="21" t="s">
        <v>1962</v>
      </c>
      <c r="B1896" s="21" t="s">
        <v>19</v>
      </c>
      <c r="C1896" s="22" t="n">
        <v>43327</v>
      </c>
      <c r="D1896" s="22" t="n">
        <v>43340</v>
      </c>
      <c r="E1896" s="22" t="n">
        <v>43342</v>
      </c>
      <c r="F1896" s="21" t="s">
        <v>49</v>
      </c>
      <c r="G1896" s="23" t="n">
        <v>60.51</v>
      </c>
      <c r="H1896" s="23" t="n">
        <v>15.16</v>
      </c>
      <c r="I1896" s="21" t="s">
        <v>45</v>
      </c>
      <c r="J1896" s="21" t="n">
        <v>5</v>
      </c>
      <c r="K1896" s="21" t="s">
        <v>46</v>
      </c>
      <c r="L1896" s="24" t="n">
        <f aca="false">DATE(YEAR(C1896),MONTH(C1896),1)</f>
        <v>43313</v>
      </c>
      <c r="M1896" s="21" t="n">
        <f aca="false">D1896-C1896</f>
        <v>13</v>
      </c>
      <c r="N1896" s="21" t="n">
        <f aca="false">MAX(0,D1896-E1896)</f>
        <v>0</v>
      </c>
      <c r="O1896" s="21" t="n">
        <f aca="false">IF(D1896&lt;=E1896,1,0)</f>
        <v>1</v>
      </c>
      <c r="P1896" s="23" t="n">
        <f aca="false">G1896+H1896</f>
        <v>75.67</v>
      </c>
      <c r="Q1896" s="23" t="n">
        <f aca="false">G1896*INDEX(Assumptions!$B$8:$B$16,MATCH(F1896,Assumptions!$A$8:$A$16,0))</f>
        <v>35.0958</v>
      </c>
      <c r="R1896" s="23" t="n">
        <f aca="false">H1896*Assumptions!$B$3</f>
        <v>9.096</v>
      </c>
      <c r="S1896" s="23" t="n">
        <f aca="false">G1896-Q1896-R1896</f>
        <v>16.3182</v>
      </c>
      <c r="T1896" s="21" t="str">
        <f aca="false">IF(M1896&lt;=7,"0-7 days",IF(M1896&lt;=14,"8-14 days",IF(M1896&lt;=21,"15-21 days","22+ days")))</f>
        <v>8-14 days</v>
      </c>
    </row>
    <row r="1897" customFormat="false" ht="15" hidden="false" customHeight="false" outlineLevel="0" collapsed="false">
      <c r="A1897" s="21" t="s">
        <v>1963</v>
      </c>
      <c r="B1897" s="21" t="s">
        <v>19</v>
      </c>
      <c r="C1897" s="22" t="n">
        <v>43328</v>
      </c>
      <c r="D1897" s="22" t="n">
        <v>43337</v>
      </c>
      <c r="E1897" s="22" t="n">
        <v>43343</v>
      </c>
      <c r="F1897" s="21" t="s">
        <v>67</v>
      </c>
      <c r="G1897" s="23" t="n">
        <v>43.23</v>
      </c>
      <c r="H1897" s="23" t="n">
        <v>20.13</v>
      </c>
      <c r="I1897" s="21" t="s">
        <v>45</v>
      </c>
      <c r="J1897" s="21" t="n">
        <v>4</v>
      </c>
      <c r="K1897" s="21" t="s">
        <v>46</v>
      </c>
      <c r="L1897" s="24" t="n">
        <f aca="false">DATE(YEAR(C1897),MONTH(C1897),1)</f>
        <v>43313</v>
      </c>
      <c r="M1897" s="21" t="n">
        <f aca="false">D1897-C1897</f>
        <v>9</v>
      </c>
      <c r="N1897" s="21" t="n">
        <f aca="false">MAX(0,D1897-E1897)</f>
        <v>0</v>
      </c>
      <c r="O1897" s="21" t="n">
        <f aca="false">IF(D1897&lt;=E1897,1,0)</f>
        <v>1</v>
      </c>
      <c r="P1897" s="23" t="n">
        <f aca="false">G1897+H1897</f>
        <v>63.36</v>
      </c>
      <c r="Q1897" s="23" t="n">
        <f aca="false">G1897*INDEX(Assumptions!$B$8:$B$16,MATCH(F1897,Assumptions!$A$8:$A$16,0))</f>
        <v>26.8026</v>
      </c>
      <c r="R1897" s="23" t="n">
        <f aca="false">H1897*Assumptions!$B$3</f>
        <v>12.078</v>
      </c>
      <c r="S1897" s="23" t="n">
        <f aca="false">G1897-Q1897-R1897</f>
        <v>4.3494</v>
      </c>
      <c r="T1897" s="21" t="str">
        <f aca="false">IF(M1897&lt;=7,"0-7 days",IF(M1897&lt;=14,"8-14 days",IF(M1897&lt;=21,"15-21 days","22+ days")))</f>
        <v>8-14 days</v>
      </c>
    </row>
    <row r="1898" customFormat="false" ht="15" hidden="false" customHeight="false" outlineLevel="0" collapsed="false">
      <c r="A1898" s="21" t="s">
        <v>1964</v>
      </c>
      <c r="B1898" s="21" t="s">
        <v>134</v>
      </c>
      <c r="C1898" s="22" t="n">
        <v>43328</v>
      </c>
      <c r="D1898" s="22" t="n">
        <v>43340</v>
      </c>
      <c r="E1898" s="22" t="n">
        <v>43352</v>
      </c>
      <c r="F1898" s="21" t="s">
        <v>49</v>
      </c>
      <c r="G1898" s="23" t="n">
        <v>70.37</v>
      </c>
      <c r="H1898" s="23" t="n">
        <v>22.29</v>
      </c>
      <c r="I1898" s="21" t="s">
        <v>45</v>
      </c>
      <c r="J1898" s="21" t="n">
        <v>4</v>
      </c>
      <c r="K1898" s="21" t="s">
        <v>46</v>
      </c>
      <c r="L1898" s="24" t="n">
        <f aca="false">DATE(YEAR(C1898),MONTH(C1898),1)</f>
        <v>43313</v>
      </c>
      <c r="M1898" s="21" t="n">
        <f aca="false">D1898-C1898</f>
        <v>12</v>
      </c>
      <c r="N1898" s="21" t="n">
        <f aca="false">MAX(0,D1898-E1898)</f>
        <v>0</v>
      </c>
      <c r="O1898" s="21" t="n">
        <f aca="false">IF(D1898&lt;=E1898,1,0)</f>
        <v>1</v>
      </c>
      <c r="P1898" s="23" t="n">
        <f aca="false">G1898+H1898</f>
        <v>92.66</v>
      </c>
      <c r="Q1898" s="23" t="n">
        <f aca="false">G1898*INDEX(Assumptions!$B$8:$B$16,MATCH(F1898,Assumptions!$A$8:$A$16,0))</f>
        <v>40.8146</v>
      </c>
      <c r="R1898" s="23" t="n">
        <f aca="false">H1898*Assumptions!$B$3</f>
        <v>13.374</v>
      </c>
      <c r="S1898" s="23" t="n">
        <f aca="false">G1898-Q1898-R1898</f>
        <v>16.1814</v>
      </c>
      <c r="T1898" s="21" t="str">
        <f aca="false">IF(M1898&lt;=7,"0-7 days",IF(M1898&lt;=14,"8-14 days",IF(M1898&lt;=21,"15-21 days","22+ days")))</f>
        <v>8-14 days</v>
      </c>
    </row>
    <row r="1899" customFormat="false" ht="15" hidden="false" customHeight="false" outlineLevel="0" collapsed="false">
      <c r="A1899" s="21" t="s">
        <v>1965</v>
      </c>
      <c r="B1899" s="21" t="s">
        <v>48</v>
      </c>
      <c r="C1899" s="22" t="n">
        <v>43328</v>
      </c>
      <c r="D1899" s="22" t="n">
        <v>43338</v>
      </c>
      <c r="E1899" s="22" t="n">
        <v>43349</v>
      </c>
      <c r="F1899" s="21" t="s">
        <v>44</v>
      </c>
      <c r="G1899" s="23" t="n">
        <v>77.71</v>
      </c>
      <c r="H1899" s="23" t="n">
        <v>27.15</v>
      </c>
      <c r="I1899" s="21" t="s">
        <v>45</v>
      </c>
      <c r="J1899" s="21" t="n">
        <v>5</v>
      </c>
      <c r="K1899" s="21" t="s">
        <v>46</v>
      </c>
      <c r="L1899" s="24" t="n">
        <f aca="false">DATE(YEAR(C1899),MONTH(C1899),1)</f>
        <v>43313</v>
      </c>
      <c r="M1899" s="21" t="n">
        <f aca="false">D1899-C1899</f>
        <v>10</v>
      </c>
      <c r="N1899" s="21" t="n">
        <f aca="false">MAX(0,D1899-E1899)</f>
        <v>0</v>
      </c>
      <c r="O1899" s="21" t="n">
        <f aca="false">IF(D1899&lt;=E1899,1,0)</f>
        <v>1</v>
      </c>
      <c r="P1899" s="23" t="n">
        <f aca="false">G1899+H1899</f>
        <v>104.86</v>
      </c>
      <c r="Q1899" s="23" t="n">
        <f aca="false">G1899*INDEX(Assumptions!$B$8:$B$16,MATCH(F1899,Assumptions!$A$8:$A$16,0))</f>
        <v>46.626</v>
      </c>
      <c r="R1899" s="23" t="n">
        <f aca="false">H1899*Assumptions!$B$3</f>
        <v>16.29</v>
      </c>
      <c r="S1899" s="23" t="n">
        <f aca="false">G1899-Q1899-R1899</f>
        <v>14.794</v>
      </c>
      <c r="T1899" s="21" t="str">
        <f aca="false">IF(M1899&lt;=7,"0-7 days",IF(M1899&lt;=14,"8-14 days",IF(M1899&lt;=21,"15-21 days","22+ days")))</f>
        <v>8-14 days</v>
      </c>
    </row>
    <row r="1900" customFormat="false" ht="15" hidden="false" customHeight="false" outlineLevel="0" collapsed="false">
      <c r="A1900" s="21" t="s">
        <v>1966</v>
      </c>
      <c r="B1900" s="21" t="s">
        <v>19</v>
      </c>
      <c r="C1900" s="22" t="n">
        <v>43328</v>
      </c>
      <c r="D1900" s="22" t="n">
        <v>43332</v>
      </c>
      <c r="E1900" s="22" t="n">
        <v>43342</v>
      </c>
      <c r="F1900" s="21" t="s">
        <v>64</v>
      </c>
      <c r="G1900" s="23" t="n">
        <v>203.37</v>
      </c>
      <c r="H1900" s="23" t="n">
        <v>14.84</v>
      </c>
      <c r="I1900" s="21" t="s">
        <v>50</v>
      </c>
      <c r="J1900" s="21" t="n">
        <v>5</v>
      </c>
      <c r="K1900" s="21" t="s">
        <v>46</v>
      </c>
      <c r="L1900" s="24" t="n">
        <f aca="false">DATE(YEAR(C1900),MONTH(C1900),1)</f>
        <v>43313</v>
      </c>
      <c r="M1900" s="21" t="n">
        <f aca="false">D1900-C1900</f>
        <v>4</v>
      </c>
      <c r="N1900" s="21" t="n">
        <f aca="false">MAX(0,D1900-E1900)</f>
        <v>0</v>
      </c>
      <c r="O1900" s="21" t="n">
        <f aca="false">IF(D1900&lt;=E1900,1,0)</f>
        <v>1</v>
      </c>
      <c r="P1900" s="23" t="n">
        <f aca="false">G1900+H1900</f>
        <v>218.21</v>
      </c>
      <c r="Q1900" s="23" t="n">
        <f aca="false">G1900*INDEX(Assumptions!$B$8:$B$16,MATCH(F1900,Assumptions!$A$8:$A$16,0))</f>
        <v>134.2242</v>
      </c>
      <c r="R1900" s="23" t="n">
        <f aca="false">H1900*Assumptions!$B$3</f>
        <v>8.904</v>
      </c>
      <c r="S1900" s="23" t="n">
        <f aca="false">G1900-Q1900-R1900</f>
        <v>60.2418</v>
      </c>
      <c r="T1900" s="21" t="str">
        <f aca="false">IF(M1900&lt;=7,"0-7 days",IF(M1900&lt;=14,"8-14 days",IF(M1900&lt;=21,"15-21 days","22+ days")))</f>
        <v>0-7 days</v>
      </c>
    </row>
    <row r="1901" customFormat="false" ht="15" hidden="false" customHeight="false" outlineLevel="0" collapsed="false">
      <c r="A1901" s="21" t="s">
        <v>1967</v>
      </c>
      <c r="B1901" s="21" t="s">
        <v>62</v>
      </c>
      <c r="C1901" s="22" t="n">
        <v>43328</v>
      </c>
      <c r="D1901" s="22" t="n">
        <v>43335</v>
      </c>
      <c r="E1901" s="22" t="n">
        <v>43349</v>
      </c>
      <c r="F1901" s="21" t="s">
        <v>49</v>
      </c>
      <c r="G1901" s="23" t="n">
        <v>56</v>
      </c>
      <c r="H1901" s="23" t="n">
        <v>16.94</v>
      </c>
      <c r="I1901" s="21" t="s">
        <v>45</v>
      </c>
      <c r="J1901" s="21" t="n">
        <v>3</v>
      </c>
      <c r="K1901" s="21" t="s">
        <v>46</v>
      </c>
      <c r="L1901" s="24" t="n">
        <f aca="false">DATE(YEAR(C1901),MONTH(C1901),1)</f>
        <v>43313</v>
      </c>
      <c r="M1901" s="21" t="n">
        <f aca="false">D1901-C1901</f>
        <v>7</v>
      </c>
      <c r="N1901" s="21" t="n">
        <f aca="false">MAX(0,D1901-E1901)</f>
        <v>0</v>
      </c>
      <c r="O1901" s="21" t="n">
        <f aca="false">IF(D1901&lt;=E1901,1,0)</f>
        <v>1</v>
      </c>
      <c r="P1901" s="23" t="n">
        <f aca="false">G1901+H1901</f>
        <v>72.94</v>
      </c>
      <c r="Q1901" s="23" t="n">
        <f aca="false">G1901*INDEX(Assumptions!$B$8:$B$16,MATCH(F1901,Assumptions!$A$8:$A$16,0))</f>
        <v>32.48</v>
      </c>
      <c r="R1901" s="23" t="n">
        <f aca="false">H1901*Assumptions!$B$3</f>
        <v>10.164</v>
      </c>
      <c r="S1901" s="23" t="n">
        <f aca="false">G1901-Q1901-R1901</f>
        <v>13.356</v>
      </c>
      <c r="T1901" s="21" t="str">
        <f aca="false">IF(M1901&lt;=7,"0-7 days",IF(M1901&lt;=14,"8-14 days",IF(M1901&lt;=21,"15-21 days","22+ days")))</f>
        <v>0-7 days</v>
      </c>
    </row>
    <row r="1902" customFormat="false" ht="15" hidden="false" customHeight="false" outlineLevel="0" collapsed="false">
      <c r="A1902" s="21" t="s">
        <v>1968</v>
      </c>
      <c r="B1902" s="21" t="s">
        <v>52</v>
      </c>
      <c r="C1902" s="22" t="n">
        <v>43329</v>
      </c>
      <c r="D1902" s="22" t="n">
        <v>43345</v>
      </c>
      <c r="E1902" s="22" t="n">
        <v>43350</v>
      </c>
      <c r="F1902" s="21" t="s">
        <v>64</v>
      </c>
      <c r="G1902" s="23" t="n">
        <v>180.51</v>
      </c>
      <c r="H1902" s="23" t="n">
        <v>22.54</v>
      </c>
      <c r="I1902" s="21" t="s">
        <v>45</v>
      </c>
      <c r="J1902" s="21" t="n">
        <v>3</v>
      </c>
      <c r="K1902" s="21" t="s">
        <v>46</v>
      </c>
      <c r="L1902" s="24" t="n">
        <f aca="false">DATE(YEAR(C1902),MONTH(C1902),1)</f>
        <v>43313</v>
      </c>
      <c r="M1902" s="21" t="n">
        <f aca="false">D1902-C1902</f>
        <v>16</v>
      </c>
      <c r="N1902" s="21" t="n">
        <f aca="false">MAX(0,D1902-E1902)</f>
        <v>0</v>
      </c>
      <c r="O1902" s="21" t="n">
        <f aca="false">IF(D1902&lt;=E1902,1,0)</f>
        <v>1</v>
      </c>
      <c r="P1902" s="23" t="n">
        <f aca="false">G1902+H1902</f>
        <v>203.05</v>
      </c>
      <c r="Q1902" s="23" t="n">
        <f aca="false">G1902*INDEX(Assumptions!$B$8:$B$16,MATCH(F1902,Assumptions!$A$8:$A$16,0))</f>
        <v>119.1366</v>
      </c>
      <c r="R1902" s="23" t="n">
        <f aca="false">H1902*Assumptions!$B$3</f>
        <v>13.524</v>
      </c>
      <c r="S1902" s="23" t="n">
        <f aca="false">G1902-Q1902-R1902</f>
        <v>47.8494</v>
      </c>
      <c r="T1902" s="21" t="str">
        <f aca="false">IF(M1902&lt;=7,"0-7 days",IF(M1902&lt;=14,"8-14 days",IF(M1902&lt;=21,"15-21 days","22+ days")))</f>
        <v>15-21 days</v>
      </c>
    </row>
    <row r="1903" customFormat="false" ht="15" hidden="false" customHeight="false" outlineLevel="0" collapsed="false">
      <c r="A1903" s="21" t="s">
        <v>1969</v>
      </c>
      <c r="B1903" s="21" t="s">
        <v>19</v>
      </c>
      <c r="C1903" s="22" t="n">
        <v>43329</v>
      </c>
      <c r="D1903" s="22" t="n">
        <v>43335</v>
      </c>
      <c r="E1903" s="22" t="n">
        <v>43345</v>
      </c>
      <c r="F1903" s="21" t="s">
        <v>49</v>
      </c>
      <c r="G1903" s="23" t="n">
        <v>48.24</v>
      </c>
      <c r="H1903" s="23" t="n">
        <v>19.77</v>
      </c>
      <c r="I1903" s="21" t="s">
        <v>50</v>
      </c>
      <c r="J1903" s="21" t="n">
        <v>5</v>
      </c>
      <c r="K1903" s="21" t="s">
        <v>46</v>
      </c>
      <c r="L1903" s="24" t="n">
        <f aca="false">DATE(YEAR(C1903),MONTH(C1903),1)</f>
        <v>43313</v>
      </c>
      <c r="M1903" s="21" t="n">
        <f aca="false">D1903-C1903</f>
        <v>6</v>
      </c>
      <c r="N1903" s="21" t="n">
        <f aca="false">MAX(0,D1903-E1903)</f>
        <v>0</v>
      </c>
      <c r="O1903" s="21" t="n">
        <f aca="false">IF(D1903&lt;=E1903,1,0)</f>
        <v>1</v>
      </c>
      <c r="P1903" s="23" t="n">
        <f aca="false">G1903+H1903</f>
        <v>68.01</v>
      </c>
      <c r="Q1903" s="23" t="n">
        <f aca="false">G1903*INDEX(Assumptions!$B$8:$B$16,MATCH(F1903,Assumptions!$A$8:$A$16,0))</f>
        <v>27.9792</v>
      </c>
      <c r="R1903" s="23" t="n">
        <f aca="false">H1903*Assumptions!$B$3</f>
        <v>11.862</v>
      </c>
      <c r="S1903" s="23" t="n">
        <f aca="false">G1903-Q1903-R1903</f>
        <v>8.3988</v>
      </c>
      <c r="T1903" s="21" t="str">
        <f aca="false">IF(M1903&lt;=7,"0-7 days",IF(M1903&lt;=14,"8-14 days",IF(M1903&lt;=21,"15-21 days","22+ days")))</f>
        <v>0-7 days</v>
      </c>
    </row>
    <row r="1904" customFormat="false" ht="15" hidden="false" customHeight="false" outlineLevel="0" collapsed="false">
      <c r="A1904" s="21" t="s">
        <v>1970</v>
      </c>
      <c r="B1904" s="21" t="s">
        <v>103</v>
      </c>
      <c r="C1904" s="22" t="n">
        <v>43329</v>
      </c>
      <c r="D1904" s="22" t="n">
        <v>43347</v>
      </c>
      <c r="E1904" s="22" t="n">
        <v>43352</v>
      </c>
      <c r="F1904" s="21" t="s">
        <v>67</v>
      </c>
      <c r="G1904" s="23" t="n">
        <v>52.01</v>
      </c>
      <c r="H1904" s="23" t="n">
        <v>30.17</v>
      </c>
      <c r="I1904" s="21" t="s">
        <v>60</v>
      </c>
      <c r="J1904" s="21" t="n">
        <v>4</v>
      </c>
      <c r="K1904" s="21" t="s">
        <v>46</v>
      </c>
      <c r="L1904" s="24" t="n">
        <f aca="false">DATE(YEAR(C1904),MONTH(C1904),1)</f>
        <v>43313</v>
      </c>
      <c r="M1904" s="21" t="n">
        <f aca="false">D1904-C1904</f>
        <v>18</v>
      </c>
      <c r="N1904" s="21" t="n">
        <f aca="false">MAX(0,D1904-E1904)</f>
        <v>0</v>
      </c>
      <c r="O1904" s="21" t="n">
        <f aca="false">IF(D1904&lt;=E1904,1,0)</f>
        <v>1</v>
      </c>
      <c r="P1904" s="23" t="n">
        <f aca="false">G1904+H1904</f>
        <v>82.18</v>
      </c>
      <c r="Q1904" s="23" t="n">
        <f aca="false">G1904*INDEX(Assumptions!$B$8:$B$16,MATCH(F1904,Assumptions!$A$8:$A$16,0))</f>
        <v>32.2462</v>
      </c>
      <c r="R1904" s="23" t="n">
        <f aca="false">H1904*Assumptions!$B$3</f>
        <v>18.102</v>
      </c>
      <c r="S1904" s="23" t="n">
        <f aca="false">G1904-Q1904-R1904</f>
        <v>1.6618</v>
      </c>
      <c r="T1904" s="21" t="str">
        <f aca="false">IF(M1904&lt;=7,"0-7 days",IF(M1904&lt;=14,"8-14 days",IF(M1904&lt;=21,"15-21 days","22+ days")))</f>
        <v>15-21 days</v>
      </c>
    </row>
    <row r="1905" customFormat="false" ht="15" hidden="false" customHeight="false" outlineLevel="0" collapsed="false">
      <c r="A1905" s="21" t="s">
        <v>1971</v>
      </c>
      <c r="B1905" s="21" t="s">
        <v>55</v>
      </c>
      <c r="C1905" s="22" t="n">
        <v>43329</v>
      </c>
      <c r="D1905" s="22" t="n">
        <v>43364</v>
      </c>
      <c r="E1905" s="22" t="n">
        <v>43353</v>
      </c>
      <c r="F1905" s="21" t="s">
        <v>53</v>
      </c>
      <c r="G1905" s="23" t="n">
        <v>85.36</v>
      </c>
      <c r="H1905" s="23" t="n">
        <v>23.97</v>
      </c>
      <c r="I1905" s="21" t="s">
        <v>45</v>
      </c>
      <c r="J1905" s="21" t="n">
        <v>1</v>
      </c>
      <c r="K1905" s="21" t="s">
        <v>46</v>
      </c>
      <c r="L1905" s="24" t="n">
        <f aca="false">DATE(YEAR(C1905),MONTH(C1905),1)</f>
        <v>43313</v>
      </c>
      <c r="M1905" s="21" t="n">
        <f aca="false">D1905-C1905</f>
        <v>35</v>
      </c>
      <c r="N1905" s="21" t="n">
        <f aca="false">MAX(0,D1905-E1905)</f>
        <v>11</v>
      </c>
      <c r="O1905" s="21" t="n">
        <f aca="false">IF(D1905&lt;=E1905,1,0)</f>
        <v>0</v>
      </c>
      <c r="P1905" s="23" t="n">
        <f aca="false">G1905+H1905</f>
        <v>109.33</v>
      </c>
      <c r="Q1905" s="23" t="n">
        <f aca="false">G1905*INDEX(Assumptions!$B$8:$B$16,MATCH(F1905,Assumptions!$A$8:$A$16,0))</f>
        <v>63.1664</v>
      </c>
      <c r="R1905" s="23" t="n">
        <f aca="false">H1905*Assumptions!$B$3</f>
        <v>14.382</v>
      </c>
      <c r="S1905" s="23" t="n">
        <f aca="false">G1905-Q1905-R1905</f>
        <v>7.8116</v>
      </c>
      <c r="T1905" s="21" t="str">
        <f aca="false">IF(M1905&lt;=7,"0-7 days",IF(M1905&lt;=14,"8-14 days",IF(M1905&lt;=21,"15-21 days","22+ days")))</f>
        <v>22+ days</v>
      </c>
    </row>
    <row r="1906" customFormat="false" ht="15" hidden="false" customHeight="false" outlineLevel="0" collapsed="false">
      <c r="A1906" s="21" t="s">
        <v>1972</v>
      </c>
      <c r="B1906" s="21" t="s">
        <v>19</v>
      </c>
      <c r="C1906" s="22" t="n">
        <v>43329</v>
      </c>
      <c r="D1906" s="22" t="n">
        <v>43335</v>
      </c>
      <c r="E1906" s="22" t="n">
        <v>43346</v>
      </c>
      <c r="F1906" s="21" t="s">
        <v>59</v>
      </c>
      <c r="G1906" s="23" t="n">
        <v>85.87</v>
      </c>
      <c r="H1906" s="23" t="n">
        <v>12.74</v>
      </c>
      <c r="I1906" s="21" t="s">
        <v>60</v>
      </c>
      <c r="J1906" s="21" t="n">
        <v>4</v>
      </c>
      <c r="K1906" s="21" t="s">
        <v>46</v>
      </c>
      <c r="L1906" s="24" t="n">
        <f aca="false">DATE(YEAR(C1906),MONTH(C1906),1)</f>
        <v>43313</v>
      </c>
      <c r="M1906" s="21" t="n">
        <f aca="false">D1906-C1906</f>
        <v>6</v>
      </c>
      <c r="N1906" s="21" t="n">
        <f aca="false">MAX(0,D1906-E1906)</f>
        <v>0</v>
      </c>
      <c r="O1906" s="21" t="n">
        <f aca="false">IF(D1906&lt;=E1906,1,0)</f>
        <v>1</v>
      </c>
      <c r="P1906" s="23" t="n">
        <f aca="false">G1906+H1906</f>
        <v>98.61</v>
      </c>
      <c r="Q1906" s="23" t="n">
        <f aca="false">G1906*INDEX(Assumptions!$B$8:$B$16,MATCH(F1906,Assumptions!$A$8:$A$16,0))</f>
        <v>54.9568</v>
      </c>
      <c r="R1906" s="23" t="n">
        <f aca="false">H1906*Assumptions!$B$3</f>
        <v>7.644</v>
      </c>
      <c r="S1906" s="23" t="n">
        <f aca="false">G1906-Q1906-R1906</f>
        <v>23.2692</v>
      </c>
      <c r="T1906" s="21" t="str">
        <f aca="false">IF(M1906&lt;=7,"0-7 days",IF(M1906&lt;=14,"8-14 days",IF(M1906&lt;=21,"15-21 days","22+ days")))</f>
        <v>0-7 days</v>
      </c>
    </row>
    <row r="1907" customFormat="false" ht="15" hidden="false" customHeight="false" outlineLevel="0" collapsed="false">
      <c r="A1907" s="21" t="s">
        <v>1973</v>
      </c>
      <c r="B1907" s="21" t="s">
        <v>62</v>
      </c>
      <c r="C1907" s="22" t="n">
        <v>43329</v>
      </c>
      <c r="D1907" s="22" t="n">
        <v>43347</v>
      </c>
      <c r="E1907" s="22" t="n">
        <v>43352</v>
      </c>
      <c r="F1907" s="21" t="s">
        <v>53</v>
      </c>
      <c r="G1907" s="23" t="n">
        <v>85.34</v>
      </c>
      <c r="H1907" s="23" t="n">
        <v>23.39</v>
      </c>
      <c r="I1907" s="21" t="s">
        <v>45</v>
      </c>
      <c r="J1907" s="21" t="n">
        <v>4</v>
      </c>
      <c r="K1907" s="21" t="s">
        <v>46</v>
      </c>
      <c r="L1907" s="24" t="n">
        <f aca="false">DATE(YEAR(C1907),MONTH(C1907),1)</f>
        <v>43313</v>
      </c>
      <c r="M1907" s="21" t="n">
        <f aca="false">D1907-C1907</f>
        <v>18</v>
      </c>
      <c r="N1907" s="21" t="n">
        <f aca="false">MAX(0,D1907-E1907)</f>
        <v>0</v>
      </c>
      <c r="O1907" s="21" t="n">
        <f aca="false">IF(D1907&lt;=E1907,1,0)</f>
        <v>1</v>
      </c>
      <c r="P1907" s="23" t="n">
        <f aca="false">G1907+H1907</f>
        <v>108.73</v>
      </c>
      <c r="Q1907" s="23" t="n">
        <f aca="false">G1907*INDEX(Assumptions!$B$8:$B$16,MATCH(F1907,Assumptions!$A$8:$A$16,0))</f>
        <v>63.1516</v>
      </c>
      <c r="R1907" s="23" t="n">
        <f aca="false">H1907*Assumptions!$B$3</f>
        <v>14.034</v>
      </c>
      <c r="S1907" s="23" t="n">
        <f aca="false">G1907-Q1907-R1907</f>
        <v>8.1544</v>
      </c>
      <c r="T1907" s="21" t="str">
        <f aca="false">IF(M1907&lt;=7,"0-7 days",IF(M1907&lt;=14,"8-14 days",IF(M1907&lt;=21,"15-21 days","22+ days")))</f>
        <v>15-21 days</v>
      </c>
    </row>
    <row r="1908" customFormat="false" ht="15" hidden="false" customHeight="false" outlineLevel="0" collapsed="false">
      <c r="A1908" s="21" t="s">
        <v>1974</v>
      </c>
      <c r="B1908" s="21" t="s">
        <v>19</v>
      </c>
      <c r="C1908" s="22" t="n">
        <v>43330</v>
      </c>
      <c r="D1908" s="22" t="n">
        <v>43335</v>
      </c>
      <c r="E1908" s="22" t="n">
        <v>43345</v>
      </c>
      <c r="F1908" s="21" t="s">
        <v>67</v>
      </c>
      <c r="G1908" s="23" t="n">
        <v>54.63</v>
      </c>
      <c r="H1908" s="23" t="n">
        <v>16.39</v>
      </c>
      <c r="I1908" s="21" t="s">
        <v>45</v>
      </c>
      <c r="J1908" s="21" t="n">
        <v>5</v>
      </c>
      <c r="K1908" s="21" t="s">
        <v>46</v>
      </c>
      <c r="L1908" s="24" t="n">
        <f aca="false">DATE(YEAR(C1908),MONTH(C1908),1)</f>
        <v>43313</v>
      </c>
      <c r="M1908" s="21" t="n">
        <f aca="false">D1908-C1908</f>
        <v>5</v>
      </c>
      <c r="N1908" s="21" t="n">
        <f aca="false">MAX(0,D1908-E1908)</f>
        <v>0</v>
      </c>
      <c r="O1908" s="21" t="n">
        <f aca="false">IF(D1908&lt;=E1908,1,0)</f>
        <v>1</v>
      </c>
      <c r="P1908" s="23" t="n">
        <f aca="false">G1908+H1908</f>
        <v>71.02</v>
      </c>
      <c r="Q1908" s="23" t="n">
        <f aca="false">G1908*INDEX(Assumptions!$B$8:$B$16,MATCH(F1908,Assumptions!$A$8:$A$16,0))</f>
        <v>33.8706</v>
      </c>
      <c r="R1908" s="23" t="n">
        <f aca="false">H1908*Assumptions!$B$3</f>
        <v>9.834</v>
      </c>
      <c r="S1908" s="23" t="n">
        <f aca="false">G1908-Q1908-R1908</f>
        <v>10.9254</v>
      </c>
      <c r="T1908" s="21" t="str">
        <f aca="false">IF(M1908&lt;=7,"0-7 days",IF(M1908&lt;=14,"8-14 days",IF(M1908&lt;=21,"15-21 days","22+ days")))</f>
        <v>0-7 days</v>
      </c>
    </row>
    <row r="1909" customFormat="false" ht="15" hidden="false" customHeight="false" outlineLevel="0" collapsed="false">
      <c r="A1909" s="21" t="s">
        <v>1975</v>
      </c>
      <c r="B1909" s="21" t="s">
        <v>19</v>
      </c>
      <c r="C1909" s="22" t="n">
        <v>43330</v>
      </c>
      <c r="D1909" s="22" t="n">
        <v>43336</v>
      </c>
      <c r="E1909" s="22" t="n">
        <v>43344</v>
      </c>
      <c r="F1909" s="21" t="s">
        <v>67</v>
      </c>
      <c r="G1909" s="23" t="n">
        <v>58.96</v>
      </c>
      <c r="H1909" s="23" t="n">
        <v>18.24</v>
      </c>
      <c r="I1909" s="21" t="s">
        <v>45</v>
      </c>
      <c r="J1909" s="21" t="n">
        <v>5</v>
      </c>
      <c r="K1909" s="21" t="s">
        <v>46</v>
      </c>
      <c r="L1909" s="24" t="n">
        <f aca="false">DATE(YEAR(C1909),MONTH(C1909),1)</f>
        <v>43313</v>
      </c>
      <c r="M1909" s="21" t="n">
        <f aca="false">D1909-C1909</f>
        <v>6</v>
      </c>
      <c r="N1909" s="21" t="n">
        <f aca="false">MAX(0,D1909-E1909)</f>
        <v>0</v>
      </c>
      <c r="O1909" s="21" t="n">
        <f aca="false">IF(D1909&lt;=E1909,1,0)</f>
        <v>1</v>
      </c>
      <c r="P1909" s="23" t="n">
        <f aca="false">G1909+H1909</f>
        <v>77.2</v>
      </c>
      <c r="Q1909" s="23" t="n">
        <f aca="false">G1909*INDEX(Assumptions!$B$8:$B$16,MATCH(F1909,Assumptions!$A$8:$A$16,0))</f>
        <v>36.5552</v>
      </c>
      <c r="R1909" s="23" t="n">
        <f aca="false">H1909*Assumptions!$B$3</f>
        <v>10.944</v>
      </c>
      <c r="S1909" s="23" t="n">
        <f aca="false">G1909-Q1909-R1909</f>
        <v>11.4608</v>
      </c>
      <c r="T1909" s="21" t="str">
        <f aca="false">IF(M1909&lt;=7,"0-7 days",IF(M1909&lt;=14,"8-14 days",IF(M1909&lt;=21,"15-21 days","22+ days")))</f>
        <v>0-7 days</v>
      </c>
    </row>
    <row r="1910" customFormat="false" ht="15" hidden="false" customHeight="false" outlineLevel="0" collapsed="false">
      <c r="A1910" s="21" t="s">
        <v>1976</v>
      </c>
      <c r="B1910" s="21" t="s">
        <v>19</v>
      </c>
      <c r="C1910" s="22" t="n">
        <v>43330</v>
      </c>
      <c r="D1910" s="22" t="n">
        <v>43341</v>
      </c>
      <c r="E1910" s="22" t="n">
        <v>43346</v>
      </c>
      <c r="F1910" s="21" t="s">
        <v>44</v>
      </c>
      <c r="G1910" s="23" t="n">
        <v>247.11</v>
      </c>
      <c r="H1910" s="23" t="n">
        <v>24.73</v>
      </c>
      <c r="I1910" s="21" t="s">
        <v>60</v>
      </c>
      <c r="J1910" s="21" t="n">
        <v>5</v>
      </c>
      <c r="K1910" s="21" t="s">
        <v>46</v>
      </c>
      <c r="L1910" s="24" t="n">
        <f aca="false">DATE(YEAR(C1910),MONTH(C1910),1)</f>
        <v>43313</v>
      </c>
      <c r="M1910" s="21" t="n">
        <f aca="false">D1910-C1910</f>
        <v>11</v>
      </c>
      <c r="N1910" s="21" t="n">
        <f aca="false">MAX(0,D1910-E1910)</f>
        <v>0</v>
      </c>
      <c r="O1910" s="21" t="n">
        <f aca="false">IF(D1910&lt;=E1910,1,0)</f>
        <v>1</v>
      </c>
      <c r="P1910" s="23" t="n">
        <f aca="false">G1910+H1910</f>
        <v>271.84</v>
      </c>
      <c r="Q1910" s="23" t="n">
        <f aca="false">G1910*INDEX(Assumptions!$B$8:$B$16,MATCH(F1910,Assumptions!$A$8:$A$16,0))</f>
        <v>148.266</v>
      </c>
      <c r="R1910" s="23" t="n">
        <f aca="false">H1910*Assumptions!$B$3</f>
        <v>14.838</v>
      </c>
      <c r="S1910" s="23" t="n">
        <f aca="false">G1910-Q1910-R1910</f>
        <v>84.006</v>
      </c>
      <c r="T1910" s="21" t="str">
        <f aca="false">IF(M1910&lt;=7,"0-7 days",IF(M1910&lt;=14,"8-14 days",IF(M1910&lt;=21,"15-21 days","22+ days")))</f>
        <v>8-14 days</v>
      </c>
    </row>
    <row r="1911" customFormat="false" ht="15" hidden="false" customHeight="false" outlineLevel="0" collapsed="false">
      <c r="A1911" s="21" t="s">
        <v>1977</v>
      </c>
      <c r="B1911" s="21" t="s">
        <v>19</v>
      </c>
      <c r="C1911" s="22" t="n">
        <v>43330</v>
      </c>
      <c r="D1911" s="22" t="n">
        <v>43335</v>
      </c>
      <c r="E1911" s="22" t="n">
        <v>43344</v>
      </c>
      <c r="F1911" s="21" t="s">
        <v>79</v>
      </c>
      <c r="G1911" s="23" t="n">
        <v>52.45</v>
      </c>
      <c r="H1911" s="23" t="n">
        <v>14.39</v>
      </c>
      <c r="I1911" s="21" t="s">
        <v>45</v>
      </c>
      <c r="J1911" s="21" t="n">
        <v>5</v>
      </c>
      <c r="K1911" s="21" t="s">
        <v>46</v>
      </c>
      <c r="L1911" s="24" t="n">
        <f aca="false">DATE(YEAR(C1911),MONTH(C1911),1)</f>
        <v>43313</v>
      </c>
      <c r="M1911" s="21" t="n">
        <f aca="false">D1911-C1911</f>
        <v>5</v>
      </c>
      <c r="N1911" s="21" t="n">
        <f aca="false">MAX(0,D1911-E1911)</f>
        <v>0</v>
      </c>
      <c r="O1911" s="21" t="n">
        <f aca="false">IF(D1911&lt;=E1911,1,0)</f>
        <v>1</v>
      </c>
      <c r="P1911" s="23" t="n">
        <f aca="false">G1911+H1911</f>
        <v>66.84</v>
      </c>
      <c r="Q1911" s="23" t="n">
        <f aca="false">G1911*INDEX(Assumptions!$B$8:$B$16,MATCH(F1911,Assumptions!$A$8:$A$16,0))</f>
        <v>36.715</v>
      </c>
      <c r="R1911" s="23" t="n">
        <f aca="false">H1911*Assumptions!$B$3</f>
        <v>8.634</v>
      </c>
      <c r="S1911" s="23" t="n">
        <f aca="false">G1911-Q1911-R1911</f>
        <v>7.10100000000001</v>
      </c>
      <c r="T1911" s="21" t="str">
        <f aca="false">IF(M1911&lt;=7,"0-7 days",IF(M1911&lt;=14,"8-14 days",IF(M1911&lt;=21,"15-21 days","22+ days")))</f>
        <v>0-7 days</v>
      </c>
    </row>
    <row r="1912" customFormat="false" ht="15" hidden="false" customHeight="false" outlineLevel="0" collapsed="false">
      <c r="A1912" s="21" t="s">
        <v>1978</v>
      </c>
      <c r="B1912" s="21" t="s">
        <v>19</v>
      </c>
      <c r="C1912" s="22" t="n">
        <v>43330</v>
      </c>
      <c r="D1912" s="22" t="n">
        <v>43336</v>
      </c>
      <c r="E1912" s="22" t="n">
        <v>43344</v>
      </c>
      <c r="F1912" s="21" t="s">
        <v>79</v>
      </c>
      <c r="G1912" s="23" t="n">
        <v>178.67</v>
      </c>
      <c r="H1912" s="23" t="n">
        <v>21.82</v>
      </c>
      <c r="I1912" s="21" t="s">
        <v>45</v>
      </c>
      <c r="J1912" s="21" t="n">
        <v>5</v>
      </c>
      <c r="K1912" s="21" t="s">
        <v>46</v>
      </c>
      <c r="L1912" s="24" t="n">
        <f aca="false">DATE(YEAR(C1912),MONTH(C1912),1)</f>
        <v>43313</v>
      </c>
      <c r="M1912" s="21" t="n">
        <f aca="false">D1912-C1912</f>
        <v>6</v>
      </c>
      <c r="N1912" s="21" t="n">
        <f aca="false">MAX(0,D1912-E1912)</f>
        <v>0</v>
      </c>
      <c r="O1912" s="21" t="n">
        <f aca="false">IF(D1912&lt;=E1912,1,0)</f>
        <v>1</v>
      </c>
      <c r="P1912" s="23" t="n">
        <f aca="false">G1912+H1912</f>
        <v>200.49</v>
      </c>
      <c r="Q1912" s="23" t="n">
        <f aca="false">G1912*INDEX(Assumptions!$B$8:$B$16,MATCH(F1912,Assumptions!$A$8:$A$16,0))</f>
        <v>125.069</v>
      </c>
      <c r="R1912" s="23" t="n">
        <f aca="false">H1912*Assumptions!$B$3</f>
        <v>13.092</v>
      </c>
      <c r="S1912" s="23" t="n">
        <f aca="false">G1912-Q1912-R1912</f>
        <v>40.509</v>
      </c>
      <c r="T1912" s="21" t="str">
        <f aca="false">IF(M1912&lt;=7,"0-7 days",IF(M1912&lt;=14,"8-14 days",IF(M1912&lt;=21,"15-21 days","22+ days")))</f>
        <v>0-7 days</v>
      </c>
    </row>
    <row r="1913" customFormat="false" ht="15" hidden="false" customHeight="false" outlineLevel="0" collapsed="false">
      <c r="A1913" s="21" t="s">
        <v>1979</v>
      </c>
      <c r="B1913" s="21" t="s">
        <v>52</v>
      </c>
      <c r="C1913" s="22" t="n">
        <v>43330</v>
      </c>
      <c r="D1913" s="22" t="n">
        <v>43359</v>
      </c>
      <c r="E1913" s="22" t="n">
        <v>43354</v>
      </c>
      <c r="F1913" s="21" t="s">
        <v>53</v>
      </c>
      <c r="G1913" s="23" t="n">
        <v>178.53</v>
      </c>
      <c r="H1913" s="23" t="n">
        <v>23.8</v>
      </c>
      <c r="I1913" s="21" t="s">
        <v>45</v>
      </c>
      <c r="J1913" s="21" t="n">
        <v>1</v>
      </c>
      <c r="K1913" s="21" t="s">
        <v>46</v>
      </c>
      <c r="L1913" s="24" t="n">
        <f aca="false">DATE(YEAR(C1913),MONTH(C1913),1)</f>
        <v>43313</v>
      </c>
      <c r="M1913" s="21" t="n">
        <f aca="false">D1913-C1913</f>
        <v>29</v>
      </c>
      <c r="N1913" s="21" t="n">
        <f aca="false">MAX(0,D1913-E1913)</f>
        <v>5</v>
      </c>
      <c r="O1913" s="21" t="n">
        <f aca="false">IF(D1913&lt;=E1913,1,0)</f>
        <v>0</v>
      </c>
      <c r="P1913" s="23" t="n">
        <f aca="false">G1913+H1913</f>
        <v>202.33</v>
      </c>
      <c r="Q1913" s="23" t="n">
        <f aca="false">G1913*INDEX(Assumptions!$B$8:$B$16,MATCH(F1913,Assumptions!$A$8:$A$16,0))</f>
        <v>132.1122</v>
      </c>
      <c r="R1913" s="23" t="n">
        <f aca="false">H1913*Assumptions!$B$3</f>
        <v>14.28</v>
      </c>
      <c r="S1913" s="23" t="n">
        <f aca="false">G1913-Q1913-R1913</f>
        <v>32.1378</v>
      </c>
      <c r="T1913" s="21" t="str">
        <f aca="false">IF(M1913&lt;=7,"0-7 days",IF(M1913&lt;=14,"8-14 days",IF(M1913&lt;=21,"15-21 days","22+ days")))</f>
        <v>22+ days</v>
      </c>
    </row>
    <row r="1914" customFormat="false" ht="15" hidden="false" customHeight="false" outlineLevel="0" collapsed="false">
      <c r="A1914" s="21" t="s">
        <v>1980</v>
      </c>
      <c r="B1914" s="21" t="s">
        <v>48</v>
      </c>
      <c r="C1914" s="22" t="n">
        <v>43331</v>
      </c>
      <c r="D1914" s="22" t="n">
        <v>43355</v>
      </c>
      <c r="E1914" s="22" t="n">
        <v>43352</v>
      </c>
      <c r="F1914" s="21" t="s">
        <v>64</v>
      </c>
      <c r="G1914" s="23" t="n">
        <v>333.34</v>
      </c>
      <c r="H1914" s="23" t="n">
        <v>22.63</v>
      </c>
      <c r="I1914" s="21" t="s">
        <v>45</v>
      </c>
      <c r="J1914" s="21" t="n">
        <v>3</v>
      </c>
      <c r="K1914" s="21" t="s">
        <v>46</v>
      </c>
      <c r="L1914" s="24" t="n">
        <f aca="false">DATE(YEAR(C1914),MONTH(C1914),1)</f>
        <v>43313</v>
      </c>
      <c r="M1914" s="21" t="n">
        <f aca="false">D1914-C1914</f>
        <v>24</v>
      </c>
      <c r="N1914" s="21" t="n">
        <f aca="false">MAX(0,D1914-E1914)</f>
        <v>3</v>
      </c>
      <c r="O1914" s="21" t="n">
        <f aca="false">IF(D1914&lt;=E1914,1,0)</f>
        <v>0</v>
      </c>
      <c r="P1914" s="23" t="n">
        <f aca="false">G1914+H1914</f>
        <v>355.97</v>
      </c>
      <c r="Q1914" s="23" t="n">
        <f aca="false">G1914*INDEX(Assumptions!$B$8:$B$16,MATCH(F1914,Assumptions!$A$8:$A$16,0))</f>
        <v>220.0044</v>
      </c>
      <c r="R1914" s="23" t="n">
        <f aca="false">H1914*Assumptions!$B$3</f>
        <v>13.578</v>
      </c>
      <c r="S1914" s="23" t="n">
        <f aca="false">G1914-Q1914-R1914</f>
        <v>99.7576</v>
      </c>
      <c r="T1914" s="21" t="str">
        <f aca="false">IF(M1914&lt;=7,"0-7 days",IF(M1914&lt;=14,"8-14 days",IF(M1914&lt;=21,"15-21 days","22+ days")))</f>
        <v>22+ days</v>
      </c>
    </row>
    <row r="1915" customFormat="false" ht="15" hidden="false" customHeight="false" outlineLevel="0" collapsed="false">
      <c r="A1915" s="21" t="s">
        <v>1981</v>
      </c>
      <c r="B1915" s="21" t="s">
        <v>19</v>
      </c>
      <c r="C1915" s="22" t="n">
        <v>43331</v>
      </c>
      <c r="D1915" s="22" t="n">
        <v>43340</v>
      </c>
      <c r="E1915" s="22" t="n">
        <v>43348</v>
      </c>
      <c r="F1915" s="21" t="s">
        <v>49</v>
      </c>
      <c r="G1915" s="23" t="n">
        <v>57.96</v>
      </c>
      <c r="H1915" s="23" t="n">
        <v>11.84</v>
      </c>
      <c r="I1915" s="21" t="s">
        <v>45</v>
      </c>
      <c r="J1915" s="21" t="n">
        <v>5</v>
      </c>
      <c r="K1915" s="21" t="s">
        <v>46</v>
      </c>
      <c r="L1915" s="24" t="n">
        <f aca="false">DATE(YEAR(C1915),MONTH(C1915),1)</f>
        <v>43313</v>
      </c>
      <c r="M1915" s="21" t="n">
        <f aca="false">D1915-C1915</f>
        <v>9</v>
      </c>
      <c r="N1915" s="21" t="n">
        <f aca="false">MAX(0,D1915-E1915)</f>
        <v>0</v>
      </c>
      <c r="O1915" s="21" t="n">
        <f aca="false">IF(D1915&lt;=E1915,1,0)</f>
        <v>1</v>
      </c>
      <c r="P1915" s="23" t="n">
        <f aca="false">G1915+H1915</f>
        <v>69.8</v>
      </c>
      <c r="Q1915" s="23" t="n">
        <f aca="false">G1915*INDEX(Assumptions!$B$8:$B$16,MATCH(F1915,Assumptions!$A$8:$A$16,0))</f>
        <v>33.6168</v>
      </c>
      <c r="R1915" s="23" t="n">
        <f aca="false">H1915*Assumptions!$B$3</f>
        <v>7.104</v>
      </c>
      <c r="S1915" s="23" t="n">
        <f aca="false">G1915-Q1915-R1915</f>
        <v>17.2392</v>
      </c>
      <c r="T1915" s="21" t="str">
        <f aca="false">IF(M1915&lt;=7,"0-7 days",IF(M1915&lt;=14,"8-14 days",IF(M1915&lt;=21,"15-21 days","22+ days")))</f>
        <v>8-14 days</v>
      </c>
    </row>
    <row r="1916" customFormat="false" ht="15" hidden="false" customHeight="false" outlineLevel="0" collapsed="false">
      <c r="A1916" s="21" t="s">
        <v>1982</v>
      </c>
      <c r="B1916" s="21" t="s">
        <v>93</v>
      </c>
      <c r="C1916" s="22" t="n">
        <v>43331</v>
      </c>
      <c r="D1916" s="22" t="n">
        <v>43346</v>
      </c>
      <c r="E1916" s="22" t="n">
        <v>43363</v>
      </c>
      <c r="F1916" s="21" t="s">
        <v>53</v>
      </c>
      <c r="G1916" s="23" t="n">
        <v>153.29</v>
      </c>
      <c r="H1916" s="23" t="n">
        <v>28.82</v>
      </c>
      <c r="I1916" s="21" t="s">
        <v>60</v>
      </c>
      <c r="J1916" s="21" t="n">
        <v>3</v>
      </c>
      <c r="K1916" s="21" t="s">
        <v>46</v>
      </c>
      <c r="L1916" s="24" t="n">
        <f aca="false">DATE(YEAR(C1916),MONTH(C1916),1)</f>
        <v>43313</v>
      </c>
      <c r="M1916" s="21" t="n">
        <f aca="false">D1916-C1916</f>
        <v>15</v>
      </c>
      <c r="N1916" s="21" t="n">
        <f aca="false">MAX(0,D1916-E1916)</f>
        <v>0</v>
      </c>
      <c r="O1916" s="21" t="n">
        <f aca="false">IF(D1916&lt;=E1916,1,0)</f>
        <v>1</v>
      </c>
      <c r="P1916" s="23" t="n">
        <f aca="false">G1916+H1916</f>
        <v>182.11</v>
      </c>
      <c r="Q1916" s="23" t="n">
        <f aca="false">G1916*INDEX(Assumptions!$B$8:$B$16,MATCH(F1916,Assumptions!$A$8:$A$16,0))</f>
        <v>113.4346</v>
      </c>
      <c r="R1916" s="23" t="n">
        <f aca="false">H1916*Assumptions!$B$3</f>
        <v>17.292</v>
      </c>
      <c r="S1916" s="23" t="n">
        <f aca="false">G1916-Q1916-R1916</f>
        <v>22.5634</v>
      </c>
      <c r="T1916" s="21" t="str">
        <f aca="false">IF(M1916&lt;=7,"0-7 days",IF(M1916&lt;=14,"8-14 days",IF(M1916&lt;=21,"15-21 days","22+ days")))</f>
        <v>15-21 days</v>
      </c>
    </row>
    <row r="1917" customFormat="false" ht="15" hidden="false" customHeight="false" outlineLevel="0" collapsed="false">
      <c r="A1917" s="21" t="s">
        <v>1983</v>
      </c>
      <c r="B1917" s="21" t="s">
        <v>174</v>
      </c>
      <c r="C1917" s="22" t="n">
        <v>43331</v>
      </c>
      <c r="D1917" s="22" t="n">
        <v>43349</v>
      </c>
      <c r="E1917" s="22" t="n">
        <v>43365</v>
      </c>
      <c r="F1917" s="21" t="s">
        <v>49</v>
      </c>
      <c r="G1917" s="23" t="n">
        <v>134.63</v>
      </c>
      <c r="H1917" s="23" t="n">
        <v>46.97</v>
      </c>
      <c r="I1917" s="21" t="s">
        <v>50</v>
      </c>
      <c r="J1917" s="21" t="n">
        <v>5</v>
      </c>
      <c r="K1917" s="21" t="s">
        <v>46</v>
      </c>
      <c r="L1917" s="24" t="n">
        <f aca="false">DATE(YEAR(C1917),MONTH(C1917),1)</f>
        <v>43313</v>
      </c>
      <c r="M1917" s="21" t="n">
        <f aca="false">D1917-C1917</f>
        <v>18</v>
      </c>
      <c r="N1917" s="21" t="n">
        <f aca="false">MAX(0,D1917-E1917)</f>
        <v>0</v>
      </c>
      <c r="O1917" s="21" t="n">
        <f aca="false">IF(D1917&lt;=E1917,1,0)</f>
        <v>1</v>
      </c>
      <c r="P1917" s="23" t="n">
        <f aca="false">G1917+H1917</f>
        <v>181.6</v>
      </c>
      <c r="Q1917" s="23" t="n">
        <f aca="false">G1917*INDEX(Assumptions!$B$8:$B$16,MATCH(F1917,Assumptions!$A$8:$A$16,0))</f>
        <v>78.0854</v>
      </c>
      <c r="R1917" s="23" t="n">
        <f aca="false">H1917*Assumptions!$B$3</f>
        <v>28.182</v>
      </c>
      <c r="S1917" s="23" t="n">
        <f aca="false">G1917-Q1917-R1917</f>
        <v>28.3626</v>
      </c>
      <c r="T1917" s="21" t="str">
        <f aca="false">IF(M1917&lt;=7,"0-7 days",IF(M1917&lt;=14,"8-14 days",IF(M1917&lt;=21,"15-21 days","22+ days")))</f>
        <v>15-21 days</v>
      </c>
    </row>
    <row r="1918" customFormat="false" ht="15" hidden="false" customHeight="false" outlineLevel="0" collapsed="false">
      <c r="A1918" s="21" t="s">
        <v>1984</v>
      </c>
      <c r="B1918" s="21" t="s">
        <v>55</v>
      </c>
      <c r="C1918" s="22" t="n">
        <v>43331</v>
      </c>
      <c r="D1918" s="22" t="n">
        <v>43352</v>
      </c>
      <c r="E1918" s="22" t="n">
        <v>43356</v>
      </c>
      <c r="F1918" s="21" t="s">
        <v>64</v>
      </c>
      <c r="G1918" s="23" t="n">
        <v>147.3</v>
      </c>
      <c r="H1918" s="23" t="n">
        <v>29.93</v>
      </c>
      <c r="I1918" s="21" t="s">
        <v>60</v>
      </c>
      <c r="J1918" s="21" t="n">
        <v>3</v>
      </c>
      <c r="K1918" s="21" t="s">
        <v>46</v>
      </c>
      <c r="L1918" s="24" t="n">
        <f aca="false">DATE(YEAR(C1918),MONTH(C1918),1)</f>
        <v>43313</v>
      </c>
      <c r="M1918" s="21" t="n">
        <f aca="false">D1918-C1918</f>
        <v>21</v>
      </c>
      <c r="N1918" s="21" t="n">
        <f aca="false">MAX(0,D1918-E1918)</f>
        <v>0</v>
      </c>
      <c r="O1918" s="21" t="n">
        <f aca="false">IF(D1918&lt;=E1918,1,0)</f>
        <v>1</v>
      </c>
      <c r="P1918" s="23" t="n">
        <f aca="false">G1918+H1918</f>
        <v>177.23</v>
      </c>
      <c r="Q1918" s="23" t="n">
        <f aca="false">G1918*INDEX(Assumptions!$B$8:$B$16,MATCH(F1918,Assumptions!$A$8:$A$16,0))</f>
        <v>97.218</v>
      </c>
      <c r="R1918" s="23" t="n">
        <f aca="false">H1918*Assumptions!$B$3</f>
        <v>17.958</v>
      </c>
      <c r="S1918" s="23" t="n">
        <f aca="false">G1918-Q1918-R1918</f>
        <v>32.124</v>
      </c>
      <c r="T1918" s="21" t="str">
        <f aca="false">IF(M1918&lt;=7,"0-7 days",IF(M1918&lt;=14,"8-14 days",IF(M1918&lt;=21,"15-21 days","22+ days")))</f>
        <v>15-21 days</v>
      </c>
    </row>
    <row r="1919" customFormat="false" ht="15" hidden="false" customHeight="false" outlineLevel="0" collapsed="false">
      <c r="A1919" s="21" t="s">
        <v>1985</v>
      </c>
      <c r="B1919" s="21" t="s">
        <v>19</v>
      </c>
      <c r="C1919" s="22" t="n">
        <v>43331</v>
      </c>
      <c r="D1919" s="22" t="n">
        <v>43342</v>
      </c>
      <c r="E1919" s="22" t="n">
        <v>43347</v>
      </c>
      <c r="F1919" s="21" t="s">
        <v>49</v>
      </c>
      <c r="G1919" s="23" t="n">
        <v>69.2</v>
      </c>
      <c r="H1919" s="23" t="n">
        <v>13.36</v>
      </c>
      <c r="I1919" s="21" t="s">
        <v>45</v>
      </c>
      <c r="J1919" s="21" t="n">
        <v>4</v>
      </c>
      <c r="K1919" s="21" t="s">
        <v>46</v>
      </c>
      <c r="L1919" s="24" t="n">
        <f aca="false">DATE(YEAR(C1919),MONTH(C1919),1)</f>
        <v>43313</v>
      </c>
      <c r="M1919" s="21" t="n">
        <f aca="false">D1919-C1919</f>
        <v>11</v>
      </c>
      <c r="N1919" s="21" t="n">
        <f aca="false">MAX(0,D1919-E1919)</f>
        <v>0</v>
      </c>
      <c r="O1919" s="21" t="n">
        <f aca="false">IF(D1919&lt;=E1919,1,0)</f>
        <v>1</v>
      </c>
      <c r="P1919" s="23" t="n">
        <f aca="false">G1919+H1919</f>
        <v>82.56</v>
      </c>
      <c r="Q1919" s="23" t="n">
        <f aca="false">G1919*INDEX(Assumptions!$B$8:$B$16,MATCH(F1919,Assumptions!$A$8:$A$16,0))</f>
        <v>40.136</v>
      </c>
      <c r="R1919" s="23" t="n">
        <f aca="false">H1919*Assumptions!$B$3</f>
        <v>8.016</v>
      </c>
      <c r="S1919" s="23" t="n">
        <f aca="false">G1919-Q1919-R1919</f>
        <v>21.048</v>
      </c>
      <c r="T1919" s="21" t="str">
        <f aca="false">IF(M1919&lt;=7,"0-7 days",IF(M1919&lt;=14,"8-14 days",IF(M1919&lt;=21,"15-21 days","22+ days")))</f>
        <v>8-14 days</v>
      </c>
    </row>
    <row r="1920" customFormat="false" ht="15" hidden="false" customHeight="false" outlineLevel="0" collapsed="false">
      <c r="A1920" s="21" t="s">
        <v>1986</v>
      </c>
      <c r="B1920" s="21" t="s">
        <v>55</v>
      </c>
      <c r="C1920" s="22" t="n">
        <v>43331</v>
      </c>
      <c r="D1920" s="22" t="n">
        <v>43335</v>
      </c>
      <c r="E1920" s="22" t="n">
        <v>43355</v>
      </c>
      <c r="F1920" s="21" t="s">
        <v>67</v>
      </c>
      <c r="G1920" s="23" t="n">
        <v>72.36</v>
      </c>
      <c r="H1920" s="23" t="n">
        <v>20.85</v>
      </c>
      <c r="I1920" s="21" t="s">
        <v>45</v>
      </c>
      <c r="J1920" s="21" t="n">
        <v>5</v>
      </c>
      <c r="K1920" s="21" t="s">
        <v>46</v>
      </c>
      <c r="L1920" s="24" t="n">
        <f aca="false">DATE(YEAR(C1920),MONTH(C1920),1)</f>
        <v>43313</v>
      </c>
      <c r="M1920" s="21" t="n">
        <f aca="false">D1920-C1920</f>
        <v>4</v>
      </c>
      <c r="N1920" s="21" t="n">
        <f aca="false">MAX(0,D1920-E1920)</f>
        <v>0</v>
      </c>
      <c r="O1920" s="21" t="n">
        <f aca="false">IF(D1920&lt;=E1920,1,0)</f>
        <v>1</v>
      </c>
      <c r="P1920" s="23" t="n">
        <f aca="false">G1920+H1920</f>
        <v>93.21</v>
      </c>
      <c r="Q1920" s="23" t="n">
        <f aca="false">G1920*INDEX(Assumptions!$B$8:$B$16,MATCH(F1920,Assumptions!$A$8:$A$16,0))</f>
        <v>44.8632</v>
      </c>
      <c r="R1920" s="23" t="n">
        <f aca="false">H1920*Assumptions!$B$3</f>
        <v>12.51</v>
      </c>
      <c r="S1920" s="23" t="n">
        <f aca="false">G1920-Q1920-R1920</f>
        <v>14.9868</v>
      </c>
      <c r="T1920" s="21" t="str">
        <f aca="false">IF(M1920&lt;=7,"0-7 days",IF(M1920&lt;=14,"8-14 days",IF(M1920&lt;=21,"15-21 days","22+ days")))</f>
        <v>0-7 days</v>
      </c>
    </row>
    <row r="1921" customFormat="false" ht="15" hidden="false" customHeight="false" outlineLevel="0" collapsed="false">
      <c r="A1921" s="21" t="s">
        <v>1987</v>
      </c>
      <c r="B1921" s="21" t="s">
        <v>19</v>
      </c>
      <c r="C1921" s="22" t="n">
        <v>43331</v>
      </c>
      <c r="D1921" s="22" t="n">
        <v>43336</v>
      </c>
      <c r="E1921" s="22" t="n">
        <v>43349</v>
      </c>
      <c r="F1921" s="21" t="s">
        <v>49</v>
      </c>
      <c r="G1921" s="23" t="n">
        <v>90.32</v>
      </c>
      <c r="H1921" s="23" t="n">
        <v>18.34</v>
      </c>
      <c r="I1921" s="21" t="s">
        <v>45</v>
      </c>
      <c r="J1921" s="21" t="n">
        <v>3</v>
      </c>
      <c r="K1921" s="21" t="s">
        <v>46</v>
      </c>
      <c r="L1921" s="24" t="n">
        <f aca="false">DATE(YEAR(C1921),MONTH(C1921),1)</f>
        <v>43313</v>
      </c>
      <c r="M1921" s="21" t="n">
        <f aca="false">D1921-C1921</f>
        <v>5</v>
      </c>
      <c r="N1921" s="21" t="n">
        <f aca="false">MAX(0,D1921-E1921)</f>
        <v>0</v>
      </c>
      <c r="O1921" s="21" t="n">
        <f aca="false">IF(D1921&lt;=E1921,1,0)</f>
        <v>1</v>
      </c>
      <c r="P1921" s="23" t="n">
        <f aca="false">G1921+H1921</f>
        <v>108.66</v>
      </c>
      <c r="Q1921" s="23" t="n">
        <f aca="false">G1921*INDEX(Assumptions!$B$8:$B$16,MATCH(F1921,Assumptions!$A$8:$A$16,0))</f>
        <v>52.3856</v>
      </c>
      <c r="R1921" s="23" t="n">
        <f aca="false">H1921*Assumptions!$B$3</f>
        <v>11.004</v>
      </c>
      <c r="S1921" s="23" t="n">
        <f aca="false">G1921-Q1921-R1921</f>
        <v>26.9304</v>
      </c>
      <c r="T1921" s="21" t="str">
        <f aca="false">IF(M1921&lt;=7,"0-7 days",IF(M1921&lt;=14,"8-14 days",IF(M1921&lt;=21,"15-21 days","22+ days")))</f>
        <v>0-7 days</v>
      </c>
    </row>
    <row r="1922" customFormat="false" ht="15" hidden="false" customHeight="false" outlineLevel="0" collapsed="false">
      <c r="A1922" s="21" t="s">
        <v>1988</v>
      </c>
      <c r="B1922" s="21" t="s">
        <v>19</v>
      </c>
      <c r="C1922" s="22" t="n">
        <v>43331</v>
      </c>
      <c r="D1922" s="22" t="n">
        <v>43339</v>
      </c>
      <c r="E1922" s="22" t="n">
        <v>43345</v>
      </c>
      <c r="F1922" s="21" t="s">
        <v>111</v>
      </c>
      <c r="G1922" s="23" t="n">
        <v>63.88</v>
      </c>
      <c r="H1922" s="23" t="n">
        <v>17.15</v>
      </c>
      <c r="I1922" s="21" t="s">
        <v>45</v>
      </c>
      <c r="J1922" s="21" t="n">
        <v>5</v>
      </c>
      <c r="K1922" s="21" t="s">
        <v>46</v>
      </c>
      <c r="L1922" s="24" t="n">
        <f aca="false">DATE(YEAR(C1922),MONTH(C1922),1)</f>
        <v>43313</v>
      </c>
      <c r="M1922" s="21" t="n">
        <f aca="false">D1922-C1922</f>
        <v>8</v>
      </c>
      <c r="N1922" s="21" t="n">
        <f aca="false">MAX(0,D1922-E1922)</f>
        <v>0</v>
      </c>
      <c r="O1922" s="21" t="n">
        <f aca="false">IF(D1922&lt;=E1922,1,0)</f>
        <v>1</v>
      </c>
      <c r="P1922" s="23" t="n">
        <f aca="false">G1922+H1922</f>
        <v>81.03</v>
      </c>
      <c r="Q1922" s="23" t="n">
        <f aca="false">G1922*INDEX(Assumptions!$B$8:$B$16,MATCH(F1922,Assumptions!$A$8:$A$16,0))</f>
        <v>40.2444</v>
      </c>
      <c r="R1922" s="23" t="n">
        <f aca="false">H1922*Assumptions!$B$3</f>
        <v>10.29</v>
      </c>
      <c r="S1922" s="23" t="n">
        <f aca="false">G1922-Q1922-R1922</f>
        <v>13.3456</v>
      </c>
      <c r="T1922" s="21" t="str">
        <f aca="false">IF(M1922&lt;=7,"0-7 days",IF(M1922&lt;=14,"8-14 days",IF(M1922&lt;=21,"15-21 days","22+ days")))</f>
        <v>8-14 days</v>
      </c>
    </row>
    <row r="1923" customFormat="false" ht="15" hidden="false" customHeight="false" outlineLevel="0" collapsed="false">
      <c r="A1923" s="21" t="s">
        <v>1989</v>
      </c>
      <c r="B1923" s="21" t="s">
        <v>52</v>
      </c>
      <c r="C1923" s="22" t="n">
        <v>43332</v>
      </c>
      <c r="D1923" s="22" t="n">
        <v>43356</v>
      </c>
      <c r="E1923" s="22" t="n">
        <v>43354</v>
      </c>
      <c r="F1923" s="21" t="s">
        <v>44</v>
      </c>
      <c r="G1923" s="23" t="n">
        <v>107.43</v>
      </c>
      <c r="H1923" s="23" t="n">
        <v>19.86</v>
      </c>
      <c r="I1923" s="21" t="s">
        <v>45</v>
      </c>
      <c r="J1923" s="21" t="n">
        <v>4</v>
      </c>
      <c r="K1923" s="21" t="s">
        <v>46</v>
      </c>
      <c r="L1923" s="24" t="n">
        <f aca="false">DATE(YEAR(C1923),MONTH(C1923),1)</f>
        <v>43313</v>
      </c>
      <c r="M1923" s="21" t="n">
        <f aca="false">D1923-C1923</f>
        <v>24</v>
      </c>
      <c r="N1923" s="21" t="n">
        <f aca="false">MAX(0,D1923-E1923)</f>
        <v>2</v>
      </c>
      <c r="O1923" s="21" t="n">
        <f aca="false">IF(D1923&lt;=E1923,1,0)</f>
        <v>0</v>
      </c>
      <c r="P1923" s="23" t="n">
        <f aca="false">G1923+H1923</f>
        <v>127.29</v>
      </c>
      <c r="Q1923" s="23" t="n">
        <f aca="false">G1923*INDEX(Assumptions!$B$8:$B$16,MATCH(F1923,Assumptions!$A$8:$A$16,0))</f>
        <v>64.458</v>
      </c>
      <c r="R1923" s="23" t="n">
        <f aca="false">H1923*Assumptions!$B$3</f>
        <v>11.916</v>
      </c>
      <c r="S1923" s="23" t="n">
        <f aca="false">G1923-Q1923-R1923</f>
        <v>31.056</v>
      </c>
      <c r="T1923" s="21" t="str">
        <f aca="false">IF(M1923&lt;=7,"0-7 days",IF(M1923&lt;=14,"8-14 days",IF(M1923&lt;=21,"15-21 days","22+ days")))</f>
        <v>22+ days</v>
      </c>
    </row>
    <row r="1924" customFormat="false" ht="15" hidden="false" customHeight="false" outlineLevel="0" collapsed="false">
      <c r="A1924" s="21" t="s">
        <v>1990</v>
      </c>
      <c r="B1924" s="21" t="s">
        <v>19</v>
      </c>
      <c r="C1924" s="22" t="n">
        <v>43332</v>
      </c>
      <c r="D1924" s="22" t="n">
        <v>43341</v>
      </c>
      <c r="E1924" s="22" t="n">
        <v>43346</v>
      </c>
      <c r="F1924" s="21" t="s">
        <v>57</v>
      </c>
      <c r="G1924" s="23" t="n">
        <v>109.9</v>
      </c>
      <c r="H1924" s="23" t="n">
        <v>16.27</v>
      </c>
      <c r="I1924" s="21" t="s">
        <v>45</v>
      </c>
      <c r="J1924" s="21" t="n">
        <v>5</v>
      </c>
      <c r="K1924" s="21" t="s">
        <v>46</v>
      </c>
      <c r="L1924" s="24" t="n">
        <f aca="false">DATE(YEAR(C1924),MONTH(C1924),1)</f>
        <v>43313</v>
      </c>
      <c r="M1924" s="21" t="n">
        <f aca="false">D1924-C1924</f>
        <v>9</v>
      </c>
      <c r="N1924" s="21" t="n">
        <f aca="false">MAX(0,D1924-E1924)</f>
        <v>0</v>
      </c>
      <c r="O1924" s="21" t="n">
        <f aca="false">IF(D1924&lt;=E1924,1,0)</f>
        <v>1</v>
      </c>
      <c r="P1924" s="23" t="n">
        <f aca="false">G1924+H1924</f>
        <v>126.17</v>
      </c>
      <c r="Q1924" s="23" t="n">
        <f aca="false">G1924*INDEX(Assumptions!$B$8:$B$16,MATCH(F1924,Assumptions!$A$8:$A$16,0))</f>
        <v>74.732</v>
      </c>
      <c r="R1924" s="23" t="n">
        <f aca="false">H1924*Assumptions!$B$3</f>
        <v>9.762</v>
      </c>
      <c r="S1924" s="23" t="n">
        <f aca="false">G1924-Q1924-R1924</f>
        <v>25.406</v>
      </c>
      <c r="T1924" s="21" t="str">
        <f aca="false">IF(M1924&lt;=7,"0-7 days",IF(M1924&lt;=14,"8-14 days",IF(M1924&lt;=21,"15-21 days","22+ days")))</f>
        <v>8-14 days</v>
      </c>
    </row>
    <row r="1925" customFormat="false" ht="15" hidden="false" customHeight="false" outlineLevel="0" collapsed="false">
      <c r="A1925" s="21" t="s">
        <v>1991</v>
      </c>
      <c r="B1925" s="21" t="s">
        <v>52</v>
      </c>
      <c r="C1925" s="22" t="n">
        <v>43332</v>
      </c>
      <c r="D1925" s="22" t="n">
        <v>43344</v>
      </c>
      <c r="E1925" s="22" t="n">
        <v>43356</v>
      </c>
      <c r="F1925" s="21" t="s">
        <v>53</v>
      </c>
      <c r="G1925" s="23" t="n">
        <v>40.9</v>
      </c>
      <c r="H1925" s="23" t="n">
        <v>29.12</v>
      </c>
      <c r="I1925" s="21" t="s">
        <v>60</v>
      </c>
      <c r="J1925" s="21" t="n">
        <v>4</v>
      </c>
      <c r="K1925" s="21" t="s">
        <v>46</v>
      </c>
      <c r="L1925" s="24" t="n">
        <f aca="false">DATE(YEAR(C1925),MONTH(C1925),1)</f>
        <v>43313</v>
      </c>
      <c r="M1925" s="21" t="n">
        <f aca="false">D1925-C1925</f>
        <v>12</v>
      </c>
      <c r="N1925" s="21" t="n">
        <f aca="false">MAX(0,D1925-E1925)</f>
        <v>0</v>
      </c>
      <c r="O1925" s="21" t="n">
        <f aca="false">IF(D1925&lt;=E1925,1,0)</f>
        <v>1</v>
      </c>
      <c r="P1925" s="23" t="n">
        <f aca="false">G1925+H1925</f>
        <v>70.02</v>
      </c>
      <c r="Q1925" s="23" t="n">
        <f aca="false">G1925*INDEX(Assumptions!$B$8:$B$16,MATCH(F1925,Assumptions!$A$8:$A$16,0))</f>
        <v>30.266</v>
      </c>
      <c r="R1925" s="23" t="n">
        <f aca="false">H1925*Assumptions!$B$3</f>
        <v>17.472</v>
      </c>
      <c r="S1925" s="23" t="n">
        <f aca="false">G1925-Q1925-R1925</f>
        <v>-6.838</v>
      </c>
      <c r="T1925" s="21" t="str">
        <f aca="false">IF(M1925&lt;=7,"0-7 days",IF(M1925&lt;=14,"8-14 days",IF(M1925&lt;=21,"15-21 days","22+ days")))</f>
        <v>8-14 days</v>
      </c>
    </row>
    <row r="1926" customFormat="false" ht="15" hidden="false" customHeight="false" outlineLevel="0" collapsed="false">
      <c r="A1926" s="21" t="s">
        <v>1992</v>
      </c>
      <c r="B1926" s="21" t="s">
        <v>19</v>
      </c>
      <c r="C1926" s="22" t="n">
        <v>43332</v>
      </c>
      <c r="D1926" s="22" t="n">
        <v>43344</v>
      </c>
      <c r="E1926" s="22" t="n">
        <v>43347</v>
      </c>
      <c r="F1926" s="21" t="s">
        <v>44</v>
      </c>
      <c r="G1926" s="23" t="n">
        <v>80.56</v>
      </c>
      <c r="H1926" s="23" t="n">
        <v>22.32</v>
      </c>
      <c r="I1926" s="21" t="s">
        <v>60</v>
      </c>
      <c r="J1926" s="21" t="n">
        <v>4</v>
      </c>
      <c r="K1926" s="21" t="s">
        <v>46</v>
      </c>
      <c r="L1926" s="24" t="n">
        <f aca="false">DATE(YEAR(C1926),MONTH(C1926),1)</f>
        <v>43313</v>
      </c>
      <c r="M1926" s="21" t="n">
        <f aca="false">D1926-C1926</f>
        <v>12</v>
      </c>
      <c r="N1926" s="21" t="n">
        <f aca="false">MAX(0,D1926-E1926)</f>
        <v>0</v>
      </c>
      <c r="O1926" s="21" t="n">
        <f aca="false">IF(D1926&lt;=E1926,1,0)</f>
        <v>1</v>
      </c>
      <c r="P1926" s="23" t="n">
        <f aca="false">G1926+H1926</f>
        <v>102.88</v>
      </c>
      <c r="Q1926" s="23" t="n">
        <f aca="false">G1926*INDEX(Assumptions!$B$8:$B$16,MATCH(F1926,Assumptions!$A$8:$A$16,0))</f>
        <v>48.336</v>
      </c>
      <c r="R1926" s="23" t="n">
        <f aca="false">H1926*Assumptions!$B$3</f>
        <v>13.392</v>
      </c>
      <c r="S1926" s="23" t="n">
        <f aca="false">G1926-Q1926-R1926</f>
        <v>18.832</v>
      </c>
      <c r="T1926" s="21" t="str">
        <f aca="false">IF(M1926&lt;=7,"0-7 days",IF(M1926&lt;=14,"8-14 days",IF(M1926&lt;=21,"15-21 days","22+ days")))</f>
        <v>8-14 days</v>
      </c>
    </row>
    <row r="1927" customFormat="false" ht="15" hidden="false" customHeight="false" outlineLevel="0" collapsed="false">
      <c r="A1927" s="21" t="s">
        <v>1993</v>
      </c>
      <c r="B1927" s="21" t="s">
        <v>156</v>
      </c>
      <c r="C1927" s="22" t="n">
        <v>43332</v>
      </c>
      <c r="D1927" s="22" t="n">
        <v>43351</v>
      </c>
      <c r="E1927" s="22" t="n">
        <v>43355</v>
      </c>
      <c r="F1927" s="21" t="s">
        <v>111</v>
      </c>
      <c r="G1927" s="23" t="n">
        <v>149.5</v>
      </c>
      <c r="H1927" s="23" t="n">
        <v>31.93</v>
      </c>
      <c r="I1927" s="21" t="s">
        <v>45</v>
      </c>
      <c r="J1927" s="21" t="n">
        <v>5</v>
      </c>
      <c r="K1927" s="21" t="s">
        <v>46</v>
      </c>
      <c r="L1927" s="24" t="n">
        <f aca="false">DATE(YEAR(C1927),MONTH(C1927),1)</f>
        <v>43313</v>
      </c>
      <c r="M1927" s="21" t="n">
        <f aca="false">D1927-C1927</f>
        <v>19</v>
      </c>
      <c r="N1927" s="21" t="n">
        <f aca="false">MAX(0,D1927-E1927)</f>
        <v>0</v>
      </c>
      <c r="O1927" s="21" t="n">
        <f aca="false">IF(D1927&lt;=E1927,1,0)</f>
        <v>1</v>
      </c>
      <c r="P1927" s="23" t="n">
        <f aca="false">G1927+H1927</f>
        <v>181.43</v>
      </c>
      <c r="Q1927" s="23" t="n">
        <f aca="false">G1927*INDEX(Assumptions!$B$8:$B$16,MATCH(F1927,Assumptions!$A$8:$A$16,0))</f>
        <v>94.185</v>
      </c>
      <c r="R1927" s="23" t="n">
        <f aca="false">H1927*Assumptions!$B$3</f>
        <v>19.158</v>
      </c>
      <c r="S1927" s="23" t="n">
        <f aca="false">G1927-Q1927-R1927</f>
        <v>36.157</v>
      </c>
      <c r="T1927" s="21" t="str">
        <f aca="false">IF(M1927&lt;=7,"0-7 days",IF(M1927&lt;=14,"8-14 days",IF(M1927&lt;=21,"15-21 days","22+ days")))</f>
        <v>15-21 days</v>
      </c>
    </row>
    <row r="1928" customFormat="false" ht="15" hidden="false" customHeight="false" outlineLevel="0" collapsed="false">
      <c r="A1928" s="21" t="s">
        <v>1994</v>
      </c>
      <c r="B1928" s="21" t="s">
        <v>19</v>
      </c>
      <c r="C1928" s="22" t="n">
        <v>43333</v>
      </c>
      <c r="D1928" s="22" t="n">
        <v>43343</v>
      </c>
      <c r="E1928" s="22" t="n">
        <v>43349</v>
      </c>
      <c r="F1928" s="21" t="s">
        <v>53</v>
      </c>
      <c r="G1928" s="23" t="n">
        <v>224.24</v>
      </c>
      <c r="H1928" s="23" t="n">
        <v>16.84</v>
      </c>
      <c r="I1928" s="21" t="s">
        <v>60</v>
      </c>
      <c r="J1928" s="21" t="n">
        <v>5</v>
      </c>
      <c r="K1928" s="21" t="s">
        <v>46</v>
      </c>
      <c r="L1928" s="24" t="n">
        <f aca="false">DATE(YEAR(C1928),MONTH(C1928),1)</f>
        <v>43313</v>
      </c>
      <c r="M1928" s="21" t="n">
        <f aca="false">D1928-C1928</f>
        <v>10</v>
      </c>
      <c r="N1928" s="21" t="n">
        <f aca="false">MAX(0,D1928-E1928)</f>
        <v>0</v>
      </c>
      <c r="O1928" s="21" t="n">
        <f aca="false">IF(D1928&lt;=E1928,1,0)</f>
        <v>1</v>
      </c>
      <c r="P1928" s="23" t="n">
        <f aca="false">G1928+H1928</f>
        <v>241.08</v>
      </c>
      <c r="Q1928" s="23" t="n">
        <f aca="false">G1928*INDEX(Assumptions!$B$8:$B$16,MATCH(F1928,Assumptions!$A$8:$A$16,0))</f>
        <v>165.9376</v>
      </c>
      <c r="R1928" s="23" t="n">
        <f aca="false">H1928*Assumptions!$B$3</f>
        <v>10.104</v>
      </c>
      <c r="S1928" s="23" t="n">
        <f aca="false">G1928-Q1928-R1928</f>
        <v>48.1984</v>
      </c>
      <c r="T1928" s="21" t="str">
        <f aca="false">IF(M1928&lt;=7,"0-7 days",IF(M1928&lt;=14,"8-14 days",IF(M1928&lt;=21,"15-21 days","22+ days")))</f>
        <v>8-14 days</v>
      </c>
    </row>
    <row r="1929" customFormat="false" ht="15" hidden="false" customHeight="false" outlineLevel="0" collapsed="false">
      <c r="A1929" s="21" t="s">
        <v>1995</v>
      </c>
      <c r="B1929" s="21" t="s">
        <v>19</v>
      </c>
      <c r="C1929" s="22" t="n">
        <v>43333</v>
      </c>
      <c r="D1929" s="22" t="n">
        <v>43342</v>
      </c>
      <c r="E1929" s="22" t="n">
        <v>43351</v>
      </c>
      <c r="F1929" s="21" t="s">
        <v>49</v>
      </c>
      <c r="G1929" s="23" t="n">
        <v>74.87</v>
      </c>
      <c r="H1929" s="23" t="n">
        <v>14.82</v>
      </c>
      <c r="I1929" s="21" t="s">
        <v>45</v>
      </c>
      <c r="J1929" s="21" t="n">
        <v>5</v>
      </c>
      <c r="K1929" s="21" t="s">
        <v>46</v>
      </c>
      <c r="L1929" s="24" t="n">
        <f aca="false">DATE(YEAR(C1929),MONTH(C1929),1)</f>
        <v>43313</v>
      </c>
      <c r="M1929" s="21" t="n">
        <f aca="false">D1929-C1929</f>
        <v>9</v>
      </c>
      <c r="N1929" s="21" t="n">
        <f aca="false">MAX(0,D1929-E1929)</f>
        <v>0</v>
      </c>
      <c r="O1929" s="21" t="n">
        <f aca="false">IF(D1929&lt;=E1929,1,0)</f>
        <v>1</v>
      </c>
      <c r="P1929" s="23" t="n">
        <f aca="false">G1929+H1929</f>
        <v>89.69</v>
      </c>
      <c r="Q1929" s="23" t="n">
        <f aca="false">G1929*INDEX(Assumptions!$B$8:$B$16,MATCH(F1929,Assumptions!$A$8:$A$16,0))</f>
        <v>43.4246</v>
      </c>
      <c r="R1929" s="23" t="n">
        <f aca="false">H1929*Assumptions!$B$3</f>
        <v>8.892</v>
      </c>
      <c r="S1929" s="23" t="n">
        <f aca="false">G1929-Q1929-R1929</f>
        <v>22.5534</v>
      </c>
      <c r="T1929" s="21" t="str">
        <f aca="false">IF(M1929&lt;=7,"0-7 days",IF(M1929&lt;=14,"8-14 days",IF(M1929&lt;=21,"15-21 days","22+ days")))</f>
        <v>8-14 days</v>
      </c>
    </row>
    <row r="1930" customFormat="false" ht="15" hidden="false" customHeight="false" outlineLevel="0" collapsed="false">
      <c r="A1930" s="21" t="s">
        <v>1996</v>
      </c>
      <c r="B1930" s="21" t="s">
        <v>48</v>
      </c>
      <c r="C1930" s="22" t="n">
        <v>43333</v>
      </c>
      <c r="D1930" s="22" t="n">
        <v>43341</v>
      </c>
      <c r="E1930" s="22" t="n">
        <v>43350</v>
      </c>
      <c r="F1930" s="21" t="s">
        <v>53</v>
      </c>
      <c r="G1930" s="23" t="n">
        <v>82.22</v>
      </c>
      <c r="H1930" s="23" t="n">
        <v>27.05</v>
      </c>
      <c r="I1930" s="21" t="s">
        <v>45</v>
      </c>
      <c r="J1930" s="21" t="n">
        <v>4</v>
      </c>
      <c r="K1930" s="21" t="s">
        <v>46</v>
      </c>
      <c r="L1930" s="24" t="n">
        <f aca="false">DATE(YEAR(C1930),MONTH(C1930),1)</f>
        <v>43313</v>
      </c>
      <c r="M1930" s="21" t="n">
        <f aca="false">D1930-C1930</f>
        <v>8</v>
      </c>
      <c r="N1930" s="21" t="n">
        <f aca="false">MAX(0,D1930-E1930)</f>
        <v>0</v>
      </c>
      <c r="O1930" s="21" t="n">
        <f aca="false">IF(D1930&lt;=E1930,1,0)</f>
        <v>1</v>
      </c>
      <c r="P1930" s="23" t="n">
        <f aca="false">G1930+H1930</f>
        <v>109.27</v>
      </c>
      <c r="Q1930" s="23" t="n">
        <f aca="false">G1930*INDEX(Assumptions!$B$8:$B$16,MATCH(F1930,Assumptions!$A$8:$A$16,0))</f>
        <v>60.8428</v>
      </c>
      <c r="R1930" s="23" t="n">
        <f aca="false">H1930*Assumptions!$B$3</f>
        <v>16.23</v>
      </c>
      <c r="S1930" s="23" t="n">
        <f aca="false">G1930-Q1930-R1930</f>
        <v>5.1472</v>
      </c>
      <c r="T1930" s="21" t="str">
        <f aca="false">IF(M1930&lt;=7,"0-7 days",IF(M1930&lt;=14,"8-14 days",IF(M1930&lt;=21,"15-21 days","22+ days")))</f>
        <v>8-14 days</v>
      </c>
    </row>
    <row r="1931" customFormat="false" ht="15" hidden="false" customHeight="false" outlineLevel="0" collapsed="false">
      <c r="A1931" s="21" t="s">
        <v>1997</v>
      </c>
      <c r="B1931" s="21" t="s">
        <v>19</v>
      </c>
      <c r="C1931" s="22" t="n">
        <v>43333</v>
      </c>
      <c r="D1931" s="22" t="n">
        <v>43341</v>
      </c>
      <c r="E1931" s="22" t="n">
        <v>43352</v>
      </c>
      <c r="F1931" s="21" t="s">
        <v>67</v>
      </c>
      <c r="G1931" s="23" t="n">
        <v>178.83</v>
      </c>
      <c r="H1931" s="23" t="n">
        <v>18.44</v>
      </c>
      <c r="I1931" s="21" t="s">
        <v>60</v>
      </c>
      <c r="J1931" s="21" t="n">
        <v>5</v>
      </c>
      <c r="K1931" s="21" t="s">
        <v>46</v>
      </c>
      <c r="L1931" s="24" t="n">
        <f aca="false">DATE(YEAR(C1931),MONTH(C1931),1)</f>
        <v>43313</v>
      </c>
      <c r="M1931" s="21" t="n">
        <f aca="false">D1931-C1931</f>
        <v>8</v>
      </c>
      <c r="N1931" s="21" t="n">
        <f aca="false">MAX(0,D1931-E1931)</f>
        <v>0</v>
      </c>
      <c r="O1931" s="21" t="n">
        <f aca="false">IF(D1931&lt;=E1931,1,0)</f>
        <v>1</v>
      </c>
      <c r="P1931" s="23" t="n">
        <f aca="false">G1931+H1931</f>
        <v>197.27</v>
      </c>
      <c r="Q1931" s="23" t="n">
        <f aca="false">G1931*INDEX(Assumptions!$B$8:$B$16,MATCH(F1931,Assumptions!$A$8:$A$16,0))</f>
        <v>110.8746</v>
      </c>
      <c r="R1931" s="23" t="n">
        <f aca="false">H1931*Assumptions!$B$3</f>
        <v>11.064</v>
      </c>
      <c r="S1931" s="23" t="n">
        <f aca="false">G1931-Q1931-R1931</f>
        <v>56.8914</v>
      </c>
      <c r="T1931" s="21" t="str">
        <f aca="false">IF(M1931&lt;=7,"0-7 days",IF(M1931&lt;=14,"8-14 days",IF(M1931&lt;=21,"15-21 days","22+ days")))</f>
        <v>8-14 days</v>
      </c>
    </row>
    <row r="1932" customFormat="false" ht="15" hidden="false" customHeight="false" outlineLevel="0" collapsed="false">
      <c r="A1932" s="21" t="s">
        <v>1998</v>
      </c>
      <c r="B1932" s="21" t="s">
        <v>174</v>
      </c>
      <c r="C1932" s="22" t="n">
        <v>43333</v>
      </c>
      <c r="D1932" s="22" t="n">
        <v>43358</v>
      </c>
      <c r="E1932" s="22" t="n">
        <v>43365</v>
      </c>
      <c r="F1932" s="21" t="s">
        <v>67</v>
      </c>
      <c r="G1932" s="23" t="n">
        <v>121.33</v>
      </c>
      <c r="H1932" s="23" t="n">
        <v>26.68</v>
      </c>
      <c r="I1932" s="21" t="s">
        <v>45</v>
      </c>
      <c r="J1932" s="21" t="n">
        <v>4</v>
      </c>
      <c r="K1932" s="21" t="s">
        <v>46</v>
      </c>
      <c r="L1932" s="24" t="n">
        <f aca="false">DATE(YEAR(C1932),MONTH(C1932),1)</f>
        <v>43313</v>
      </c>
      <c r="M1932" s="21" t="n">
        <f aca="false">D1932-C1932</f>
        <v>25</v>
      </c>
      <c r="N1932" s="21" t="n">
        <f aca="false">MAX(0,D1932-E1932)</f>
        <v>0</v>
      </c>
      <c r="O1932" s="21" t="n">
        <f aca="false">IF(D1932&lt;=E1932,1,0)</f>
        <v>1</v>
      </c>
      <c r="P1932" s="23" t="n">
        <f aca="false">G1932+H1932</f>
        <v>148.01</v>
      </c>
      <c r="Q1932" s="23" t="n">
        <f aca="false">G1932*INDEX(Assumptions!$B$8:$B$16,MATCH(F1932,Assumptions!$A$8:$A$16,0))</f>
        <v>75.2246</v>
      </c>
      <c r="R1932" s="23" t="n">
        <f aca="false">H1932*Assumptions!$B$3</f>
        <v>16.008</v>
      </c>
      <c r="S1932" s="23" t="n">
        <f aca="false">G1932-Q1932-R1932</f>
        <v>30.0974</v>
      </c>
      <c r="T1932" s="21" t="str">
        <f aca="false">IF(M1932&lt;=7,"0-7 days",IF(M1932&lt;=14,"8-14 days",IF(M1932&lt;=21,"15-21 days","22+ days")))</f>
        <v>22+ days</v>
      </c>
    </row>
    <row r="1933" customFormat="false" ht="15" hidden="false" customHeight="false" outlineLevel="0" collapsed="false">
      <c r="A1933" s="21" t="s">
        <v>1999</v>
      </c>
      <c r="B1933" s="21" t="s">
        <v>156</v>
      </c>
      <c r="C1933" s="22" t="n">
        <v>43333</v>
      </c>
      <c r="D1933" s="22" t="n">
        <v>43348</v>
      </c>
      <c r="E1933" s="22" t="n">
        <v>43358</v>
      </c>
      <c r="F1933" s="21" t="s">
        <v>111</v>
      </c>
      <c r="G1933" s="23" t="n">
        <v>125.69</v>
      </c>
      <c r="H1933" s="23" t="n">
        <v>24.11</v>
      </c>
      <c r="I1933" s="21" t="s">
        <v>45</v>
      </c>
      <c r="J1933" s="21" t="n">
        <v>4</v>
      </c>
      <c r="K1933" s="21" t="s">
        <v>46</v>
      </c>
      <c r="L1933" s="24" t="n">
        <f aca="false">DATE(YEAR(C1933),MONTH(C1933),1)</f>
        <v>43313</v>
      </c>
      <c r="M1933" s="21" t="n">
        <f aca="false">D1933-C1933</f>
        <v>15</v>
      </c>
      <c r="N1933" s="21" t="n">
        <f aca="false">MAX(0,D1933-E1933)</f>
        <v>0</v>
      </c>
      <c r="O1933" s="21" t="n">
        <f aca="false">IF(D1933&lt;=E1933,1,0)</f>
        <v>1</v>
      </c>
      <c r="P1933" s="23" t="n">
        <f aca="false">G1933+H1933</f>
        <v>149.8</v>
      </c>
      <c r="Q1933" s="23" t="n">
        <f aca="false">G1933*INDEX(Assumptions!$B$8:$B$16,MATCH(F1933,Assumptions!$A$8:$A$16,0))</f>
        <v>79.1847</v>
      </c>
      <c r="R1933" s="23" t="n">
        <f aca="false">H1933*Assumptions!$B$3</f>
        <v>14.466</v>
      </c>
      <c r="S1933" s="23" t="n">
        <f aca="false">G1933-Q1933-R1933</f>
        <v>32.0393</v>
      </c>
      <c r="T1933" s="21" t="str">
        <f aca="false">IF(M1933&lt;=7,"0-7 days",IF(M1933&lt;=14,"8-14 days",IF(M1933&lt;=21,"15-21 days","22+ days")))</f>
        <v>15-21 days</v>
      </c>
    </row>
    <row r="1934" customFormat="false" ht="15" hidden="false" customHeight="false" outlineLevel="0" collapsed="false">
      <c r="A1934" s="21" t="s">
        <v>2000</v>
      </c>
      <c r="B1934" s="21" t="s">
        <v>93</v>
      </c>
      <c r="C1934" s="22" t="n">
        <v>43333</v>
      </c>
      <c r="D1934" s="22" t="n">
        <v>43351</v>
      </c>
      <c r="E1934" s="22" t="n">
        <v>43363</v>
      </c>
      <c r="F1934" s="21" t="s">
        <v>49</v>
      </c>
      <c r="G1934" s="23" t="n">
        <v>31.36</v>
      </c>
      <c r="H1934" s="23" t="n">
        <v>29.91</v>
      </c>
      <c r="I1934" s="21" t="s">
        <v>45</v>
      </c>
      <c r="J1934" s="21" t="n">
        <v>4</v>
      </c>
      <c r="K1934" s="21" t="s">
        <v>46</v>
      </c>
      <c r="L1934" s="24" t="n">
        <f aca="false">DATE(YEAR(C1934),MONTH(C1934),1)</f>
        <v>43313</v>
      </c>
      <c r="M1934" s="21" t="n">
        <f aca="false">D1934-C1934</f>
        <v>18</v>
      </c>
      <c r="N1934" s="21" t="n">
        <f aca="false">MAX(0,D1934-E1934)</f>
        <v>0</v>
      </c>
      <c r="O1934" s="21" t="n">
        <f aca="false">IF(D1934&lt;=E1934,1,0)</f>
        <v>1</v>
      </c>
      <c r="P1934" s="23" t="n">
        <f aca="false">G1934+H1934</f>
        <v>61.27</v>
      </c>
      <c r="Q1934" s="23" t="n">
        <f aca="false">G1934*INDEX(Assumptions!$B$8:$B$16,MATCH(F1934,Assumptions!$A$8:$A$16,0))</f>
        <v>18.1888</v>
      </c>
      <c r="R1934" s="23" t="n">
        <f aca="false">H1934*Assumptions!$B$3</f>
        <v>17.946</v>
      </c>
      <c r="S1934" s="23" t="n">
        <f aca="false">G1934-Q1934-R1934</f>
        <v>-4.7748</v>
      </c>
      <c r="T1934" s="21" t="str">
        <f aca="false">IF(M1934&lt;=7,"0-7 days",IF(M1934&lt;=14,"8-14 days",IF(M1934&lt;=21,"15-21 days","22+ days")))</f>
        <v>15-21 days</v>
      </c>
    </row>
    <row r="1935" customFormat="false" ht="15" hidden="false" customHeight="false" outlineLevel="0" collapsed="false">
      <c r="A1935" s="21" t="s">
        <v>2001</v>
      </c>
      <c r="B1935" s="21" t="s">
        <v>19</v>
      </c>
      <c r="C1935" s="22" t="n">
        <v>43333</v>
      </c>
      <c r="D1935" s="22" t="n">
        <v>43338</v>
      </c>
      <c r="E1935" s="22" t="n">
        <v>43346</v>
      </c>
      <c r="F1935" s="21" t="s">
        <v>64</v>
      </c>
      <c r="G1935" s="23" t="n">
        <v>102.25</v>
      </c>
      <c r="H1935" s="23" t="n">
        <v>18.27</v>
      </c>
      <c r="I1935" s="21" t="s">
        <v>60</v>
      </c>
      <c r="J1935" s="21" t="n">
        <v>5</v>
      </c>
      <c r="K1935" s="21" t="s">
        <v>46</v>
      </c>
      <c r="L1935" s="24" t="n">
        <f aca="false">DATE(YEAR(C1935),MONTH(C1935),1)</f>
        <v>43313</v>
      </c>
      <c r="M1935" s="21" t="n">
        <f aca="false">D1935-C1935</f>
        <v>5</v>
      </c>
      <c r="N1935" s="21" t="n">
        <f aca="false">MAX(0,D1935-E1935)</f>
        <v>0</v>
      </c>
      <c r="O1935" s="21" t="n">
        <f aca="false">IF(D1935&lt;=E1935,1,0)</f>
        <v>1</v>
      </c>
      <c r="P1935" s="23" t="n">
        <f aca="false">G1935+H1935</f>
        <v>120.52</v>
      </c>
      <c r="Q1935" s="23" t="n">
        <f aca="false">G1935*INDEX(Assumptions!$B$8:$B$16,MATCH(F1935,Assumptions!$A$8:$A$16,0))</f>
        <v>67.485</v>
      </c>
      <c r="R1935" s="23" t="n">
        <f aca="false">H1935*Assumptions!$B$3</f>
        <v>10.962</v>
      </c>
      <c r="S1935" s="23" t="n">
        <f aca="false">G1935-Q1935-R1935</f>
        <v>23.803</v>
      </c>
      <c r="T1935" s="21" t="str">
        <f aca="false">IF(M1935&lt;=7,"0-7 days",IF(M1935&lt;=14,"8-14 days",IF(M1935&lt;=21,"15-21 days","22+ days")))</f>
        <v>0-7 days</v>
      </c>
    </row>
    <row r="1936" customFormat="false" ht="15" hidden="false" customHeight="false" outlineLevel="0" collapsed="false">
      <c r="A1936" s="21" t="s">
        <v>2002</v>
      </c>
      <c r="B1936" s="21" t="s">
        <v>134</v>
      </c>
      <c r="C1936" s="22" t="n">
        <v>43333</v>
      </c>
      <c r="D1936" s="22" t="n">
        <v>43352</v>
      </c>
      <c r="E1936" s="22" t="n">
        <v>43358</v>
      </c>
      <c r="F1936" s="21" t="s">
        <v>59</v>
      </c>
      <c r="G1936" s="23" t="n">
        <v>218.8</v>
      </c>
      <c r="H1936" s="23" t="n">
        <v>33.67</v>
      </c>
      <c r="I1936" s="21" t="s">
        <v>60</v>
      </c>
      <c r="J1936" s="21" t="n">
        <v>4</v>
      </c>
      <c r="K1936" s="21" t="s">
        <v>46</v>
      </c>
      <c r="L1936" s="24" t="n">
        <f aca="false">DATE(YEAR(C1936),MONTH(C1936),1)</f>
        <v>43313</v>
      </c>
      <c r="M1936" s="21" t="n">
        <f aca="false">D1936-C1936</f>
        <v>19</v>
      </c>
      <c r="N1936" s="21" t="n">
        <f aca="false">MAX(0,D1936-E1936)</f>
        <v>0</v>
      </c>
      <c r="O1936" s="21" t="n">
        <f aca="false">IF(D1936&lt;=E1936,1,0)</f>
        <v>1</v>
      </c>
      <c r="P1936" s="23" t="n">
        <f aca="false">G1936+H1936</f>
        <v>252.47</v>
      </c>
      <c r="Q1936" s="23" t="n">
        <f aca="false">G1936*INDEX(Assumptions!$B$8:$B$16,MATCH(F1936,Assumptions!$A$8:$A$16,0))</f>
        <v>140.032</v>
      </c>
      <c r="R1936" s="23" t="n">
        <f aca="false">H1936*Assumptions!$B$3</f>
        <v>20.202</v>
      </c>
      <c r="S1936" s="23" t="n">
        <f aca="false">G1936-Q1936-R1936</f>
        <v>58.566</v>
      </c>
      <c r="T1936" s="21" t="str">
        <f aca="false">IF(M1936&lt;=7,"0-7 days",IF(M1936&lt;=14,"8-14 days",IF(M1936&lt;=21,"15-21 days","22+ days")))</f>
        <v>15-21 days</v>
      </c>
    </row>
    <row r="1937" customFormat="false" ht="15" hidden="false" customHeight="false" outlineLevel="0" collapsed="false">
      <c r="A1937" s="21" t="s">
        <v>2003</v>
      </c>
      <c r="B1937" s="21" t="s">
        <v>19</v>
      </c>
      <c r="C1937" s="22" t="n">
        <v>43333</v>
      </c>
      <c r="D1937" s="22" t="n">
        <v>43351</v>
      </c>
      <c r="E1937" s="22" t="n">
        <v>43349</v>
      </c>
      <c r="F1937" s="21" t="s">
        <v>59</v>
      </c>
      <c r="G1937" s="23" t="n">
        <v>92.57</v>
      </c>
      <c r="H1937" s="23" t="n">
        <v>14.95</v>
      </c>
      <c r="I1937" s="21" t="s">
        <v>45</v>
      </c>
      <c r="J1937" s="21" t="n">
        <v>2</v>
      </c>
      <c r="K1937" s="21" t="s">
        <v>46</v>
      </c>
      <c r="L1937" s="24" t="n">
        <f aca="false">DATE(YEAR(C1937),MONTH(C1937),1)</f>
        <v>43313</v>
      </c>
      <c r="M1937" s="21" t="n">
        <f aca="false">D1937-C1937</f>
        <v>18</v>
      </c>
      <c r="N1937" s="21" t="n">
        <f aca="false">MAX(0,D1937-E1937)</f>
        <v>2</v>
      </c>
      <c r="O1937" s="21" t="n">
        <f aca="false">IF(D1937&lt;=E1937,1,0)</f>
        <v>0</v>
      </c>
      <c r="P1937" s="23" t="n">
        <f aca="false">G1937+H1937</f>
        <v>107.52</v>
      </c>
      <c r="Q1937" s="23" t="n">
        <f aca="false">G1937*INDEX(Assumptions!$B$8:$B$16,MATCH(F1937,Assumptions!$A$8:$A$16,0))</f>
        <v>59.2448</v>
      </c>
      <c r="R1937" s="23" t="n">
        <f aca="false">H1937*Assumptions!$B$3</f>
        <v>8.97</v>
      </c>
      <c r="S1937" s="23" t="n">
        <f aca="false">G1937-Q1937-R1937</f>
        <v>24.3552</v>
      </c>
      <c r="T1937" s="21" t="str">
        <f aca="false">IF(M1937&lt;=7,"0-7 days",IF(M1937&lt;=14,"8-14 days",IF(M1937&lt;=21,"15-21 days","22+ days")))</f>
        <v>15-21 days</v>
      </c>
    </row>
    <row r="1938" customFormat="false" ht="15" hidden="false" customHeight="false" outlineLevel="0" collapsed="false">
      <c r="A1938" s="21" t="s">
        <v>2004</v>
      </c>
      <c r="B1938" s="21" t="s">
        <v>19</v>
      </c>
      <c r="C1938" s="22" t="n">
        <v>43333</v>
      </c>
      <c r="D1938" s="22" t="n">
        <v>43338</v>
      </c>
      <c r="E1938" s="22" t="n">
        <v>43348</v>
      </c>
      <c r="F1938" s="21" t="s">
        <v>59</v>
      </c>
      <c r="G1938" s="23" t="n">
        <v>49.61</v>
      </c>
      <c r="H1938" s="23" t="n">
        <v>17.81</v>
      </c>
      <c r="I1938" s="21" t="s">
        <v>45</v>
      </c>
      <c r="J1938" s="21" t="n">
        <v>5</v>
      </c>
      <c r="K1938" s="21" t="s">
        <v>46</v>
      </c>
      <c r="L1938" s="24" t="n">
        <f aca="false">DATE(YEAR(C1938),MONTH(C1938),1)</f>
        <v>43313</v>
      </c>
      <c r="M1938" s="21" t="n">
        <f aca="false">D1938-C1938</f>
        <v>5</v>
      </c>
      <c r="N1938" s="21" t="n">
        <f aca="false">MAX(0,D1938-E1938)</f>
        <v>0</v>
      </c>
      <c r="O1938" s="21" t="n">
        <f aca="false">IF(D1938&lt;=E1938,1,0)</f>
        <v>1</v>
      </c>
      <c r="P1938" s="23" t="n">
        <f aca="false">G1938+H1938</f>
        <v>67.42</v>
      </c>
      <c r="Q1938" s="23" t="n">
        <f aca="false">G1938*INDEX(Assumptions!$B$8:$B$16,MATCH(F1938,Assumptions!$A$8:$A$16,0))</f>
        <v>31.7504</v>
      </c>
      <c r="R1938" s="23" t="n">
        <f aca="false">H1938*Assumptions!$B$3</f>
        <v>10.686</v>
      </c>
      <c r="S1938" s="23" t="n">
        <f aca="false">G1938-Q1938-R1938</f>
        <v>7.1736</v>
      </c>
      <c r="T1938" s="21" t="str">
        <f aca="false">IF(M1938&lt;=7,"0-7 days",IF(M1938&lt;=14,"8-14 days",IF(M1938&lt;=21,"15-21 days","22+ days")))</f>
        <v>0-7 days</v>
      </c>
    </row>
    <row r="1939" customFormat="false" ht="15" hidden="false" customHeight="false" outlineLevel="0" collapsed="false">
      <c r="A1939" s="21" t="s">
        <v>2005</v>
      </c>
      <c r="B1939" s="21" t="s">
        <v>55</v>
      </c>
      <c r="C1939" s="22" t="n">
        <v>43334</v>
      </c>
      <c r="D1939" s="22" t="n">
        <v>43358</v>
      </c>
      <c r="E1939" s="22" t="n">
        <v>43357</v>
      </c>
      <c r="F1939" s="21" t="s">
        <v>53</v>
      </c>
      <c r="G1939" s="23" t="n">
        <v>52.89</v>
      </c>
      <c r="H1939" s="23" t="n">
        <v>22.43</v>
      </c>
      <c r="I1939" s="21" t="s">
        <v>45</v>
      </c>
      <c r="J1939" s="21" t="n">
        <v>3</v>
      </c>
      <c r="K1939" s="21" t="s">
        <v>46</v>
      </c>
      <c r="L1939" s="24" t="n">
        <f aca="false">DATE(YEAR(C1939),MONTH(C1939),1)</f>
        <v>43313</v>
      </c>
      <c r="M1939" s="21" t="n">
        <f aca="false">D1939-C1939</f>
        <v>24</v>
      </c>
      <c r="N1939" s="21" t="n">
        <f aca="false">MAX(0,D1939-E1939)</f>
        <v>1</v>
      </c>
      <c r="O1939" s="21" t="n">
        <f aca="false">IF(D1939&lt;=E1939,1,0)</f>
        <v>0</v>
      </c>
      <c r="P1939" s="23" t="n">
        <f aca="false">G1939+H1939</f>
        <v>75.32</v>
      </c>
      <c r="Q1939" s="23" t="n">
        <f aca="false">G1939*INDEX(Assumptions!$B$8:$B$16,MATCH(F1939,Assumptions!$A$8:$A$16,0))</f>
        <v>39.1386</v>
      </c>
      <c r="R1939" s="23" t="n">
        <f aca="false">H1939*Assumptions!$B$3</f>
        <v>13.458</v>
      </c>
      <c r="S1939" s="23" t="n">
        <f aca="false">G1939-Q1939-R1939</f>
        <v>0.293400000000004</v>
      </c>
      <c r="T1939" s="21" t="str">
        <f aca="false">IF(M1939&lt;=7,"0-7 days",IF(M1939&lt;=14,"8-14 days",IF(M1939&lt;=21,"15-21 days","22+ days")))</f>
        <v>22+ days</v>
      </c>
    </row>
    <row r="1940" customFormat="false" ht="15" hidden="false" customHeight="false" outlineLevel="0" collapsed="false">
      <c r="A1940" s="21" t="s">
        <v>2006</v>
      </c>
      <c r="B1940" s="21" t="s">
        <v>19</v>
      </c>
      <c r="C1940" s="22" t="n">
        <v>43334</v>
      </c>
      <c r="D1940" s="22" t="n">
        <v>43337</v>
      </c>
      <c r="E1940" s="22" t="n">
        <v>43352</v>
      </c>
      <c r="F1940" s="21" t="s">
        <v>111</v>
      </c>
      <c r="G1940" s="23" t="n">
        <v>86.99</v>
      </c>
      <c r="H1940" s="23" t="n">
        <v>14.35</v>
      </c>
      <c r="I1940" s="21" t="s">
        <v>60</v>
      </c>
      <c r="J1940" s="21" t="n">
        <v>5</v>
      </c>
      <c r="K1940" s="21" t="s">
        <v>46</v>
      </c>
      <c r="L1940" s="24" t="n">
        <f aca="false">DATE(YEAR(C1940),MONTH(C1940),1)</f>
        <v>43313</v>
      </c>
      <c r="M1940" s="21" t="n">
        <f aca="false">D1940-C1940</f>
        <v>3</v>
      </c>
      <c r="N1940" s="21" t="n">
        <f aca="false">MAX(0,D1940-E1940)</f>
        <v>0</v>
      </c>
      <c r="O1940" s="21" t="n">
        <f aca="false">IF(D1940&lt;=E1940,1,0)</f>
        <v>1</v>
      </c>
      <c r="P1940" s="23" t="n">
        <f aca="false">G1940+H1940</f>
        <v>101.34</v>
      </c>
      <c r="Q1940" s="23" t="n">
        <f aca="false">G1940*INDEX(Assumptions!$B$8:$B$16,MATCH(F1940,Assumptions!$A$8:$A$16,0))</f>
        <v>54.8037</v>
      </c>
      <c r="R1940" s="23" t="n">
        <f aca="false">H1940*Assumptions!$B$3</f>
        <v>8.61</v>
      </c>
      <c r="S1940" s="23" t="n">
        <f aca="false">G1940-Q1940-R1940</f>
        <v>23.5763</v>
      </c>
      <c r="T1940" s="21" t="str">
        <f aca="false">IF(M1940&lt;=7,"0-7 days",IF(M1940&lt;=14,"8-14 days",IF(M1940&lt;=21,"15-21 days","22+ days")))</f>
        <v>0-7 days</v>
      </c>
    </row>
    <row r="1941" customFormat="false" ht="15" hidden="false" customHeight="false" outlineLevel="0" collapsed="false">
      <c r="A1941" s="21" t="s">
        <v>2007</v>
      </c>
      <c r="B1941" s="21" t="s">
        <v>19</v>
      </c>
      <c r="C1941" s="22" t="n">
        <v>43334</v>
      </c>
      <c r="D1941" s="22" t="n">
        <v>43345</v>
      </c>
      <c r="E1941" s="22" t="n">
        <v>43349</v>
      </c>
      <c r="F1941" s="21" t="s">
        <v>57</v>
      </c>
      <c r="G1941" s="23" t="n">
        <v>37.07</v>
      </c>
      <c r="H1941" s="23" t="n">
        <v>15.19</v>
      </c>
      <c r="I1941" s="21" t="s">
        <v>60</v>
      </c>
      <c r="J1941" s="21" t="n">
        <v>4</v>
      </c>
      <c r="K1941" s="21" t="s">
        <v>46</v>
      </c>
      <c r="L1941" s="24" t="n">
        <f aca="false">DATE(YEAR(C1941),MONTH(C1941),1)</f>
        <v>43313</v>
      </c>
      <c r="M1941" s="21" t="n">
        <f aca="false">D1941-C1941</f>
        <v>11</v>
      </c>
      <c r="N1941" s="21" t="n">
        <f aca="false">MAX(0,D1941-E1941)</f>
        <v>0</v>
      </c>
      <c r="O1941" s="21" t="n">
        <f aca="false">IF(D1941&lt;=E1941,1,0)</f>
        <v>1</v>
      </c>
      <c r="P1941" s="23" t="n">
        <f aca="false">G1941+H1941</f>
        <v>52.26</v>
      </c>
      <c r="Q1941" s="23" t="n">
        <f aca="false">G1941*INDEX(Assumptions!$B$8:$B$16,MATCH(F1941,Assumptions!$A$8:$A$16,0))</f>
        <v>25.2076</v>
      </c>
      <c r="R1941" s="23" t="n">
        <f aca="false">H1941*Assumptions!$B$3</f>
        <v>9.114</v>
      </c>
      <c r="S1941" s="23" t="n">
        <f aca="false">G1941-Q1941-R1941</f>
        <v>2.7484</v>
      </c>
      <c r="T1941" s="21" t="str">
        <f aca="false">IF(M1941&lt;=7,"0-7 days",IF(M1941&lt;=14,"8-14 days",IF(M1941&lt;=21,"15-21 days","22+ days")))</f>
        <v>8-14 days</v>
      </c>
    </row>
    <row r="1942" customFormat="false" ht="15" hidden="false" customHeight="false" outlineLevel="0" collapsed="false">
      <c r="A1942" s="21" t="s">
        <v>2008</v>
      </c>
      <c r="B1942" s="21" t="s">
        <v>19</v>
      </c>
      <c r="C1942" s="22" t="n">
        <v>43334</v>
      </c>
      <c r="D1942" s="22" t="n">
        <v>43349</v>
      </c>
      <c r="E1942" s="22" t="n">
        <v>43349</v>
      </c>
      <c r="F1942" s="21" t="s">
        <v>44</v>
      </c>
      <c r="G1942" s="23" t="n">
        <v>114.25</v>
      </c>
      <c r="H1942" s="23" t="n">
        <v>21.33</v>
      </c>
      <c r="I1942" s="21" t="s">
        <v>60</v>
      </c>
      <c r="J1942" s="21" t="n">
        <v>3</v>
      </c>
      <c r="K1942" s="21" t="s">
        <v>46</v>
      </c>
      <c r="L1942" s="24" t="n">
        <f aca="false">DATE(YEAR(C1942),MONTH(C1942),1)</f>
        <v>43313</v>
      </c>
      <c r="M1942" s="21" t="n">
        <f aca="false">D1942-C1942</f>
        <v>15</v>
      </c>
      <c r="N1942" s="21" t="n">
        <f aca="false">MAX(0,D1942-E1942)</f>
        <v>0</v>
      </c>
      <c r="O1942" s="21" t="n">
        <f aca="false">IF(D1942&lt;=E1942,1,0)</f>
        <v>1</v>
      </c>
      <c r="P1942" s="23" t="n">
        <f aca="false">G1942+H1942</f>
        <v>135.58</v>
      </c>
      <c r="Q1942" s="23" t="n">
        <f aca="false">G1942*INDEX(Assumptions!$B$8:$B$16,MATCH(F1942,Assumptions!$A$8:$A$16,0))</f>
        <v>68.55</v>
      </c>
      <c r="R1942" s="23" t="n">
        <f aca="false">H1942*Assumptions!$B$3</f>
        <v>12.798</v>
      </c>
      <c r="S1942" s="23" t="n">
        <f aca="false">G1942-Q1942-R1942</f>
        <v>32.902</v>
      </c>
      <c r="T1942" s="21" t="str">
        <f aca="false">IF(M1942&lt;=7,"0-7 days",IF(M1942&lt;=14,"8-14 days",IF(M1942&lt;=21,"15-21 days","22+ days")))</f>
        <v>15-21 days</v>
      </c>
    </row>
    <row r="1943" customFormat="false" ht="15" hidden="false" customHeight="false" outlineLevel="0" collapsed="false">
      <c r="A1943" s="21" t="s">
        <v>2009</v>
      </c>
      <c r="B1943" s="21" t="s">
        <v>134</v>
      </c>
      <c r="C1943" s="22" t="n">
        <v>43334</v>
      </c>
      <c r="D1943" s="22" t="n">
        <v>43346</v>
      </c>
      <c r="E1943" s="22" t="n">
        <v>43361</v>
      </c>
      <c r="F1943" s="21" t="s">
        <v>111</v>
      </c>
      <c r="G1943" s="23" t="n">
        <v>46.17</v>
      </c>
      <c r="H1943" s="23" t="n">
        <v>29.22</v>
      </c>
      <c r="I1943" s="21" t="s">
        <v>45</v>
      </c>
      <c r="J1943" s="21" t="n">
        <v>4</v>
      </c>
      <c r="K1943" s="21" t="s">
        <v>46</v>
      </c>
      <c r="L1943" s="24" t="n">
        <f aca="false">DATE(YEAR(C1943),MONTH(C1943),1)</f>
        <v>43313</v>
      </c>
      <c r="M1943" s="21" t="n">
        <f aca="false">D1943-C1943</f>
        <v>12</v>
      </c>
      <c r="N1943" s="21" t="n">
        <f aca="false">MAX(0,D1943-E1943)</f>
        <v>0</v>
      </c>
      <c r="O1943" s="21" t="n">
        <f aca="false">IF(D1943&lt;=E1943,1,0)</f>
        <v>1</v>
      </c>
      <c r="P1943" s="23" t="n">
        <f aca="false">G1943+H1943</f>
        <v>75.39</v>
      </c>
      <c r="Q1943" s="23" t="n">
        <f aca="false">G1943*INDEX(Assumptions!$B$8:$B$16,MATCH(F1943,Assumptions!$A$8:$A$16,0))</f>
        <v>29.0871</v>
      </c>
      <c r="R1943" s="23" t="n">
        <f aca="false">H1943*Assumptions!$B$3</f>
        <v>17.532</v>
      </c>
      <c r="S1943" s="23" t="n">
        <f aca="false">G1943-Q1943-R1943</f>
        <v>-0.449099999999998</v>
      </c>
      <c r="T1943" s="21" t="str">
        <f aca="false">IF(M1943&lt;=7,"0-7 days",IF(M1943&lt;=14,"8-14 days",IF(M1943&lt;=21,"15-21 days","22+ days")))</f>
        <v>8-14 days</v>
      </c>
    </row>
    <row r="1944" customFormat="false" ht="15" hidden="false" customHeight="false" outlineLevel="0" collapsed="false">
      <c r="A1944" s="21" t="s">
        <v>2010</v>
      </c>
      <c r="B1944" s="21" t="s">
        <v>19</v>
      </c>
      <c r="C1944" s="22" t="n">
        <v>43334</v>
      </c>
      <c r="D1944" s="22" t="n">
        <v>43343</v>
      </c>
      <c r="E1944" s="22" t="n">
        <v>43351</v>
      </c>
      <c r="F1944" s="21" t="s">
        <v>79</v>
      </c>
      <c r="G1944" s="23" t="n">
        <v>125.31</v>
      </c>
      <c r="H1944" s="23" t="n">
        <v>20.27</v>
      </c>
      <c r="I1944" s="21" t="s">
        <v>60</v>
      </c>
      <c r="J1944" s="21" t="n">
        <v>5</v>
      </c>
      <c r="K1944" s="21" t="s">
        <v>46</v>
      </c>
      <c r="L1944" s="24" t="n">
        <f aca="false">DATE(YEAR(C1944),MONTH(C1944),1)</f>
        <v>43313</v>
      </c>
      <c r="M1944" s="21" t="n">
        <f aca="false">D1944-C1944</f>
        <v>9</v>
      </c>
      <c r="N1944" s="21" t="n">
        <f aca="false">MAX(0,D1944-E1944)</f>
        <v>0</v>
      </c>
      <c r="O1944" s="21" t="n">
        <f aca="false">IF(D1944&lt;=E1944,1,0)</f>
        <v>1</v>
      </c>
      <c r="P1944" s="23" t="n">
        <f aca="false">G1944+H1944</f>
        <v>145.58</v>
      </c>
      <c r="Q1944" s="23" t="n">
        <f aca="false">G1944*INDEX(Assumptions!$B$8:$B$16,MATCH(F1944,Assumptions!$A$8:$A$16,0))</f>
        <v>87.717</v>
      </c>
      <c r="R1944" s="23" t="n">
        <f aca="false">H1944*Assumptions!$B$3</f>
        <v>12.162</v>
      </c>
      <c r="S1944" s="23" t="n">
        <f aca="false">G1944-Q1944-R1944</f>
        <v>25.431</v>
      </c>
      <c r="T1944" s="21" t="str">
        <f aca="false">IF(M1944&lt;=7,"0-7 days",IF(M1944&lt;=14,"8-14 days",IF(M1944&lt;=21,"15-21 days","22+ days")))</f>
        <v>8-14 days</v>
      </c>
    </row>
    <row r="1945" customFormat="false" ht="15" hidden="false" customHeight="false" outlineLevel="0" collapsed="false">
      <c r="A1945" s="21" t="s">
        <v>2011</v>
      </c>
      <c r="B1945" s="21" t="s">
        <v>201</v>
      </c>
      <c r="C1945" s="22" t="n">
        <v>43334</v>
      </c>
      <c r="D1945" s="22" t="n">
        <v>43359</v>
      </c>
      <c r="E1945" s="22" t="n">
        <v>43369</v>
      </c>
      <c r="F1945" s="21" t="s">
        <v>44</v>
      </c>
      <c r="G1945" s="23" t="n">
        <v>83.82</v>
      </c>
      <c r="H1945" s="23" t="n">
        <v>27.26</v>
      </c>
      <c r="I1945" s="21" t="s">
        <v>50</v>
      </c>
      <c r="J1945" s="21" t="n">
        <v>4</v>
      </c>
      <c r="K1945" s="21" t="s">
        <v>46</v>
      </c>
      <c r="L1945" s="24" t="n">
        <f aca="false">DATE(YEAR(C1945),MONTH(C1945),1)</f>
        <v>43313</v>
      </c>
      <c r="M1945" s="21" t="n">
        <f aca="false">D1945-C1945</f>
        <v>25</v>
      </c>
      <c r="N1945" s="21" t="n">
        <f aca="false">MAX(0,D1945-E1945)</f>
        <v>0</v>
      </c>
      <c r="O1945" s="21" t="n">
        <f aca="false">IF(D1945&lt;=E1945,1,0)</f>
        <v>1</v>
      </c>
      <c r="P1945" s="23" t="n">
        <f aca="false">G1945+H1945</f>
        <v>111.08</v>
      </c>
      <c r="Q1945" s="23" t="n">
        <f aca="false">G1945*INDEX(Assumptions!$B$8:$B$16,MATCH(F1945,Assumptions!$A$8:$A$16,0))</f>
        <v>50.292</v>
      </c>
      <c r="R1945" s="23" t="n">
        <f aca="false">H1945*Assumptions!$B$3</f>
        <v>16.356</v>
      </c>
      <c r="S1945" s="23" t="n">
        <f aca="false">G1945-Q1945-R1945</f>
        <v>17.172</v>
      </c>
      <c r="T1945" s="21" t="str">
        <f aca="false">IF(M1945&lt;=7,"0-7 days",IF(M1945&lt;=14,"8-14 days",IF(M1945&lt;=21,"15-21 days","22+ days")))</f>
        <v>22+ days</v>
      </c>
    </row>
    <row r="1946" customFormat="false" ht="15" hidden="false" customHeight="false" outlineLevel="0" collapsed="false">
      <c r="A1946" s="21" t="s">
        <v>2012</v>
      </c>
      <c r="B1946" s="21" t="s">
        <v>19</v>
      </c>
      <c r="C1946" s="22" t="n">
        <v>43334</v>
      </c>
      <c r="D1946" s="22" t="n">
        <v>43354</v>
      </c>
      <c r="E1946" s="22" t="n">
        <v>43345</v>
      </c>
      <c r="F1946" s="21" t="s">
        <v>44</v>
      </c>
      <c r="G1946" s="23" t="n">
        <v>79.69</v>
      </c>
      <c r="H1946" s="23" t="n">
        <v>13.04</v>
      </c>
      <c r="I1946" s="21" t="s">
        <v>45</v>
      </c>
      <c r="J1946" s="21" t="n">
        <v>4</v>
      </c>
      <c r="K1946" s="21" t="s">
        <v>46</v>
      </c>
      <c r="L1946" s="24" t="n">
        <f aca="false">DATE(YEAR(C1946),MONTH(C1946),1)</f>
        <v>43313</v>
      </c>
      <c r="M1946" s="21" t="n">
        <f aca="false">D1946-C1946</f>
        <v>20</v>
      </c>
      <c r="N1946" s="21" t="n">
        <f aca="false">MAX(0,D1946-E1946)</f>
        <v>9</v>
      </c>
      <c r="O1946" s="21" t="n">
        <f aca="false">IF(D1946&lt;=E1946,1,0)</f>
        <v>0</v>
      </c>
      <c r="P1946" s="23" t="n">
        <f aca="false">G1946+H1946</f>
        <v>92.73</v>
      </c>
      <c r="Q1946" s="23" t="n">
        <f aca="false">G1946*INDEX(Assumptions!$B$8:$B$16,MATCH(F1946,Assumptions!$A$8:$A$16,0))</f>
        <v>47.814</v>
      </c>
      <c r="R1946" s="23" t="n">
        <f aca="false">H1946*Assumptions!$B$3</f>
        <v>7.824</v>
      </c>
      <c r="S1946" s="23" t="n">
        <f aca="false">G1946-Q1946-R1946</f>
        <v>24.052</v>
      </c>
      <c r="T1946" s="21" t="str">
        <f aca="false">IF(M1946&lt;=7,"0-7 days",IF(M1946&lt;=14,"8-14 days",IF(M1946&lt;=21,"15-21 days","22+ days")))</f>
        <v>15-21 days</v>
      </c>
    </row>
    <row r="1947" customFormat="false" ht="15" hidden="false" customHeight="false" outlineLevel="0" collapsed="false">
      <c r="A1947" s="21" t="s">
        <v>2013</v>
      </c>
      <c r="B1947" s="21" t="s">
        <v>55</v>
      </c>
      <c r="C1947" s="22" t="n">
        <v>43335</v>
      </c>
      <c r="D1947" s="22" t="n">
        <v>43347</v>
      </c>
      <c r="E1947" s="22" t="n">
        <v>43363</v>
      </c>
      <c r="F1947" s="21" t="s">
        <v>64</v>
      </c>
      <c r="G1947" s="23" t="n">
        <v>151.52</v>
      </c>
      <c r="H1947" s="23" t="n">
        <v>21.19</v>
      </c>
      <c r="I1947" s="21" t="s">
        <v>50</v>
      </c>
      <c r="J1947" s="21" t="n">
        <v>4</v>
      </c>
      <c r="K1947" s="21" t="s">
        <v>46</v>
      </c>
      <c r="L1947" s="24" t="n">
        <f aca="false">DATE(YEAR(C1947),MONTH(C1947),1)</f>
        <v>43313</v>
      </c>
      <c r="M1947" s="21" t="n">
        <f aca="false">D1947-C1947</f>
        <v>12</v>
      </c>
      <c r="N1947" s="21" t="n">
        <f aca="false">MAX(0,D1947-E1947)</f>
        <v>0</v>
      </c>
      <c r="O1947" s="21" t="n">
        <f aca="false">IF(D1947&lt;=E1947,1,0)</f>
        <v>1</v>
      </c>
      <c r="P1947" s="23" t="n">
        <f aca="false">G1947+H1947</f>
        <v>172.71</v>
      </c>
      <c r="Q1947" s="23" t="n">
        <f aca="false">G1947*INDEX(Assumptions!$B$8:$B$16,MATCH(F1947,Assumptions!$A$8:$A$16,0))</f>
        <v>100.0032</v>
      </c>
      <c r="R1947" s="23" t="n">
        <f aca="false">H1947*Assumptions!$B$3</f>
        <v>12.714</v>
      </c>
      <c r="S1947" s="23" t="n">
        <f aca="false">G1947-Q1947-R1947</f>
        <v>38.8028</v>
      </c>
      <c r="T1947" s="21" t="str">
        <f aca="false">IF(M1947&lt;=7,"0-7 days",IF(M1947&lt;=14,"8-14 days",IF(M1947&lt;=21,"15-21 days","22+ days")))</f>
        <v>8-14 days</v>
      </c>
    </row>
    <row r="1948" customFormat="false" ht="15" hidden="false" customHeight="false" outlineLevel="0" collapsed="false">
      <c r="A1948" s="21" t="s">
        <v>2014</v>
      </c>
      <c r="B1948" s="21" t="s">
        <v>134</v>
      </c>
      <c r="C1948" s="22" t="n">
        <v>43335</v>
      </c>
      <c r="D1948" s="22" t="n">
        <v>43351</v>
      </c>
      <c r="E1948" s="22" t="n">
        <v>43361</v>
      </c>
      <c r="F1948" s="21" t="s">
        <v>44</v>
      </c>
      <c r="G1948" s="23" t="n">
        <v>202.48</v>
      </c>
      <c r="H1948" s="23" t="n">
        <v>19.5</v>
      </c>
      <c r="I1948" s="21" t="s">
        <v>60</v>
      </c>
      <c r="J1948" s="21" t="n">
        <v>3</v>
      </c>
      <c r="K1948" s="21" t="s">
        <v>46</v>
      </c>
      <c r="L1948" s="24" t="n">
        <f aca="false">DATE(YEAR(C1948),MONTH(C1948),1)</f>
        <v>43313</v>
      </c>
      <c r="M1948" s="21" t="n">
        <f aca="false">D1948-C1948</f>
        <v>16</v>
      </c>
      <c r="N1948" s="21" t="n">
        <f aca="false">MAX(0,D1948-E1948)</f>
        <v>0</v>
      </c>
      <c r="O1948" s="21" t="n">
        <f aca="false">IF(D1948&lt;=E1948,1,0)</f>
        <v>1</v>
      </c>
      <c r="P1948" s="23" t="n">
        <f aca="false">G1948+H1948</f>
        <v>221.98</v>
      </c>
      <c r="Q1948" s="23" t="n">
        <f aca="false">G1948*INDEX(Assumptions!$B$8:$B$16,MATCH(F1948,Assumptions!$A$8:$A$16,0))</f>
        <v>121.488</v>
      </c>
      <c r="R1948" s="23" t="n">
        <f aca="false">H1948*Assumptions!$B$3</f>
        <v>11.7</v>
      </c>
      <c r="S1948" s="23" t="n">
        <f aca="false">G1948-Q1948-R1948</f>
        <v>69.292</v>
      </c>
      <c r="T1948" s="21" t="str">
        <f aca="false">IF(M1948&lt;=7,"0-7 days",IF(M1948&lt;=14,"8-14 days",IF(M1948&lt;=21,"15-21 days","22+ days")))</f>
        <v>15-21 days</v>
      </c>
    </row>
    <row r="1949" customFormat="false" ht="15" hidden="false" customHeight="false" outlineLevel="0" collapsed="false">
      <c r="A1949" s="21" t="s">
        <v>2015</v>
      </c>
      <c r="B1949" s="21" t="s">
        <v>19</v>
      </c>
      <c r="C1949" s="22" t="n">
        <v>43335</v>
      </c>
      <c r="D1949" s="22" t="n">
        <v>43346</v>
      </c>
      <c r="E1949" s="22" t="n">
        <v>43350</v>
      </c>
      <c r="F1949" s="21" t="s">
        <v>111</v>
      </c>
      <c r="G1949" s="23" t="n">
        <v>62.62</v>
      </c>
      <c r="H1949" s="23" t="n">
        <v>14.41</v>
      </c>
      <c r="I1949" s="21" t="s">
        <v>60</v>
      </c>
      <c r="J1949" s="21" t="n">
        <v>4</v>
      </c>
      <c r="K1949" s="21" t="s">
        <v>46</v>
      </c>
      <c r="L1949" s="24" t="n">
        <f aca="false">DATE(YEAR(C1949),MONTH(C1949),1)</f>
        <v>43313</v>
      </c>
      <c r="M1949" s="21" t="n">
        <f aca="false">D1949-C1949</f>
        <v>11</v>
      </c>
      <c r="N1949" s="21" t="n">
        <f aca="false">MAX(0,D1949-E1949)</f>
        <v>0</v>
      </c>
      <c r="O1949" s="21" t="n">
        <f aca="false">IF(D1949&lt;=E1949,1,0)</f>
        <v>1</v>
      </c>
      <c r="P1949" s="23" t="n">
        <f aca="false">G1949+H1949</f>
        <v>77.03</v>
      </c>
      <c r="Q1949" s="23" t="n">
        <f aca="false">G1949*INDEX(Assumptions!$B$8:$B$16,MATCH(F1949,Assumptions!$A$8:$A$16,0))</f>
        <v>39.4506</v>
      </c>
      <c r="R1949" s="23" t="n">
        <f aca="false">H1949*Assumptions!$B$3</f>
        <v>8.646</v>
      </c>
      <c r="S1949" s="23" t="n">
        <f aca="false">G1949-Q1949-R1949</f>
        <v>14.5234</v>
      </c>
      <c r="T1949" s="21" t="str">
        <f aca="false">IF(M1949&lt;=7,"0-7 days",IF(M1949&lt;=14,"8-14 days",IF(M1949&lt;=21,"15-21 days","22+ days")))</f>
        <v>8-14 days</v>
      </c>
    </row>
    <row r="1950" customFormat="false" ht="15" hidden="false" customHeight="false" outlineLevel="0" collapsed="false">
      <c r="A1950" s="21" t="s">
        <v>2016</v>
      </c>
      <c r="B1950" s="21" t="s">
        <v>19</v>
      </c>
      <c r="C1950" s="22" t="n">
        <v>43335</v>
      </c>
      <c r="D1950" s="22" t="n">
        <v>43342</v>
      </c>
      <c r="E1950" s="22" t="n">
        <v>43353</v>
      </c>
      <c r="F1950" s="21" t="s">
        <v>64</v>
      </c>
      <c r="G1950" s="23" t="n">
        <v>112.46</v>
      </c>
      <c r="H1950" s="23" t="n">
        <v>19.58</v>
      </c>
      <c r="I1950" s="21" t="s">
        <v>45</v>
      </c>
      <c r="J1950" s="21" t="n">
        <v>5</v>
      </c>
      <c r="K1950" s="21" t="s">
        <v>46</v>
      </c>
      <c r="L1950" s="24" t="n">
        <f aca="false">DATE(YEAR(C1950),MONTH(C1950),1)</f>
        <v>43313</v>
      </c>
      <c r="M1950" s="21" t="n">
        <f aca="false">D1950-C1950</f>
        <v>7</v>
      </c>
      <c r="N1950" s="21" t="n">
        <f aca="false">MAX(0,D1950-E1950)</f>
        <v>0</v>
      </c>
      <c r="O1950" s="21" t="n">
        <f aca="false">IF(D1950&lt;=E1950,1,0)</f>
        <v>1</v>
      </c>
      <c r="P1950" s="23" t="n">
        <f aca="false">G1950+H1950</f>
        <v>132.04</v>
      </c>
      <c r="Q1950" s="23" t="n">
        <f aca="false">G1950*INDEX(Assumptions!$B$8:$B$16,MATCH(F1950,Assumptions!$A$8:$A$16,0))</f>
        <v>74.2236</v>
      </c>
      <c r="R1950" s="23" t="n">
        <f aca="false">H1950*Assumptions!$B$3</f>
        <v>11.748</v>
      </c>
      <c r="S1950" s="23" t="n">
        <f aca="false">G1950-Q1950-R1950</f>
        <v>26.4884</v>
      </c>
      <c r="T1950" s="21" t="str">
        <f aca="false">IF(M1950&lt;=7,"0-7 days",IF(M1950&lt;=14,"8-14 days",IF(M1950&lt;=21,"15-21 days","22+ days")))</f>
        <v>0-7 days</v>
      </c>
    </row>
    <row r="1951" customFormat="false" ht="15" hidden="false" customHeight="false" outlineLevel="0" collapsed="false">
      <c r="A1951" s="21" t="s">
        <v>2017</v>
      </c>
      <c r="B1951" s="21" t="s">
        <v>19</v>
      </c>
      <c r="C1951" s="22" t="n">
        <v>43335</v>
      </c>
      <c r="D1951" s="22" t="n">
        <v>43340</v>
      </c>
      <c r="E1951" s="22" t="n">
        <v>43352</v>
      </c>
      <c r="F1951" s="21" t="s">
        <v>44</v>
      </c>
      <c r="G1951" s="23" t="n">
        <v>57.48</v>
      </c>
      <c r="H1951" s="23" t="n">
        <v>16.58</v>
      </c>
      <c r="I1951" s="21" t="s">
        <v>45</v>
      </c>
      <c r="J1951" s="21" t="n">
        <v>4</v>
      </c>
      <c r="K1951" s="21" t="s">
        <v>46</v>
      </c>
      <c r="L1951" s="24" t="n">
        <f aca="false">DATE(YEAR(C1951),MONTH(C1951),1)</f>
        <v>43313</v>
      </c>
      <c r="M1951" s="21" t="n">
        <f aca="false">D1951-C1951</f>
        <v>5</v>
      </c>
      <c r="N1951" s="21" t="n">
        <f aca="false">MAX(0,D1951-E1951)</f>
        <v>0</v>
      </c>
      <c r="O1951" s="21" t="n">
        <f aca="false">IF(D1951&lt;=E1951,1,0)</f>
        <v>1</v>
      </c>
      <c r="P1951" s="23" t="n">
        <f aca="false">G1951+H1951</f>
        <v>74.06</v>
      </c>
      <c r="Q1951" s="23" t="n">
        <f aca="false">G1951*INDEX(Assumptions!$B$8:$B$16,MATCH(F1951,Assumptions!$A$8:$A$16,0))</f>
        <v>34.488</v>
      </c>
      <c r="R1951" s="23" t="n">
        <f aca="false">H1951*Assumptions!$B$3</f>
        <v>9.948</v>
      </c>
      <c r="S1951" s="23" t="n">
        <f aca="false">G1951-Q1951-R1951</f>
        <v>13.044</v>
      </c>
      <c r="T1951" s="21" t="str">
        <f aca="false">IF(M1951&lt;=7,"0-7 days",IF(M1951&lt;=14,"8-14 days",IF(M1951&lt;=21,"15-21 days","22+ days")))</f>
        <v>0-7 days</v>
      </c>
    </row>
    <row r="1952" customFormat="false" ht="15" hidden="false" customHeight="false" outlineLevel="0" collapsed="false">
      <c r="A1952" s="21" t="s">
        <v>2018</v>
      </c>
      <c r="B1952" s="21" t="s">
        <v>62</v>
      </c>
      <c r="C1952" s="22" t="n">
        <v>43335</v>
      </c>
      <c r="D1952" s="22" t="n">
        <v>43349</v>
      </c>
      <c r="E1952" s="22" t="n">
        <v>43354</v>
      </c>
      <c r="F1952" s="21" t="s">
        <v>49</v>
      </c>
      <c r="G1952" s="23" t="n">
        <v>230.4</v>
      </c>
      <c r="H1952" s="23" t="n">
        <v>26.91</v>
      </c>
      <c r="I1952" s="21" t="s">
        <v>45</v>
      </c>
      <c r="J1952" s="21" t="n">
        <v>5</v>
      </c>
      <c r="K1952" s="21" t="s">
        <v>46</v>
      </c>
      <c r="L1952" s="24" t="n">
        <f aca="false">DATE(YEAR(C1952),MONTH(C1952),1)</f>
        <v>43313</v>
      </c>
      <c r="M1952" s="21" t="n">
        <f aca="false">D1952-C1952</f>
        <v>14</v>
      </c>
      <c r="N1952" s="21" t="n">
        <f aca="false">MAX(0,D1952-E1952)</f>
        <v>0</v>
      </c>
      <c r="O1952" s="21" t="n">
        <f aca="false">IF(D1952&lt;=E1952,1,0)</f>
        <v>1</v>
      </c>
      <c r="P1952" s="23" t="n">
        <f aca="false">G1952+H1952</f>
        <v>257.31</v>
      </c>
      <c r="Q1952" s="23" t="n">
        <f aca="false">G1952*INDEX(Assumptions!$B$8:$B$16,MATCH(F1952,Assumptions!$A$8:$A$16,0))</f>
        <v>133.632</v>
      </c>
      <c r="R1952" s="23" t="n">
        <f aca="false">H1952*Assumptions!$B$3</f>
        <v>16.146</v>
      </c>
      <c r="S1952" s="23" t="n">
        <f aca="false">G1952-Q1952-R1952</f>
        <v>80.622</v>
      </c>
      <c r="T1952" s="21" t="str">
        <f aca="false">IF(M1952&lt;=7,"0-7 days",IF(M1952&lt;=14,"8-14 days",IF(M1952&lt;=21,"15-21 days","22+ days")))</f>
        <v>8-14 days</v>
      </c>
    </row>
    <row r="1953" customFormat="false" ht="15" hidden="false" customHeight="false" outlineLevel="0" collapsed="false">
      <c r="A1953" s="21" t="s">
        <v>2019</v>
      </c>
      <c r="B1953" s="21" t="s">
        <v>156</v>
      </c>
      <c r="C1953" s="22" t="n">
        <v>43335</v>
      </c>
      <c r="D1953" s="22" t="n">
        <v>43361</v>
      </c>
      <c r="E1953" s="22" t="n">
        <v>43359</v>
      </c>
      <c r="F1953" s="21" t="s">
        <v>64</v>
      </c>
      <c r="G1953" s="23" t="n">
        <v>364.53</v>
      </c>
      <c r="H1953" s="23" t="n">
        <v>24.64</v>
      </c>
      <c r="I1953" s="21" t="s">
        <v>45</v>
      </c>
      <c r="J1953" s="21" t="n">
        <v>1</v>
      </c>
      <c r="K1953" s="21" t="s">
        <v>46</v>
      </c>
      <c r="L1953" s="24" t="n">
        <f aca="false">DATE(YEAR(C1953),MONTH(C1953),1)</f>
        <v>43313</v>
      </c>
      <c r="M1953" s="21" t="n">
        <f aca="false">D1953-C1953</f>
        <v>26</v>
      </c>
      <c r="N1953" s="21" t="n">
        <f aca="false">MAX(0,D1953-E1953)</f>
        <v>2</v>
      </c>
      <c r="O1953" s="21" t="n">
        <f aca="false">IF(D1953&lt;=E1953,1,0)</f>
        <v>0</v>
      </c>
      <c r="P1953" s="23" t="n">
        <f aca="false">G1953+H1953</f>
        <v>389.17</v>
      </c>
      <c r="Q1953" s="23" t="n">
        <f aca="false">G1953*INDEX(Assumptions!$B$8:$B$16,MATCH(F1953,Assumptions!$A$8:$A$16,0))</f>
        <v>240.5898</v>
      </c>
      <c r="R1953" s="23" t="n">
        <f aca="false">H1953*Assumptions!$B$3</f>
        <v>14.784</v>
      </c>
      <c r="S1953" s="23" t="n">
        <f aca="false">G1953-Q1953-R1953</f>
        <v>109.1562</v>
      </c>
      <c r="T1953" s="21" t="str">
        <f aca="false">IF(M1953&lt;=7,"0-7 days",IF(M1953&lt;=14,"8-14 days",IF(M1953&lt;=21,"15-21 days","22+ days")))</f>
        <v>22+ days</v>
      </c>
    </row>
    <row r="1954" customFormat="false" ht="15" hidden="false" customHeight="false" outlineLevel="0" collapsed="false">
      <c r="A1954" s="21" t="s">
        <v>2020</v>
      </c>
      <c r="B1954" s="21" t="s">
        <v>55</v>
      </c>
      <c r="C1954" s="22" t="n">
        <v>43335</v>
      </c>
      <c r="D1954" s="22" t="n">
        <v>43355</v>
      </c>
      <c r="E1954" s="22" t="n">
        <v>43361</v>
      </c>
      <c r="F1954" s="21" t="s">
        <v>44</v>
      </c>
      <c r="G1954" s="23" t="n">
        <v>42.31</v>
      </c>
      <c r="H1954" s="23" t="n">
        <v>22.29</v>
      </c>
      <c r="I1954" s="21" t="s">
        <v>45</v>
      </c>
      <c r="J1954" s="21" t="n">
        <v>4</v>
      </c>
      <c r="K1954" s="21" t="s">
        <v>46</v>
      </c>
      <c r="L1954" s="24" t="n">
        <f aca="false">DATE(YEAR(C1954),MONTH(C1954),1)</f>
        <v>43313</v>
      </c>
      <c r="M1954" s="21" t="n">
        <f aca="false">D1954-C1954</f>
        <v>20</v>
      </c>
      <c r="N1954" s="21" t="n">
        <f aca="false">MAX(0,D1954-E1954)</f>
        <v>0</v>
      </c>
      <c r="O1954" s="21" t="n">
        <f aca="false">IF(D1954&lt;=E1954,1,0)</f>
        <v>1</v>
      </c>
      <c r="P1954" s="23" t="n">
        <f aca="false">G1954+H1954</f>
        <v>64.6</v>
      </c>
      <c r="Q1954" s="23" t="n">
        <f aca="false">G1954*INDEX(Assumptions!$B$8:$B$16,MATCH(F1954,Assumptions!$A$8:$A$16,0))</f>
        <v>25.386</v>
      </c>
      <c r="R1954" s="23" t="n">
        <f aca="false">H1954*Assumptions!$B$3</f>
        <v>13.374</v>
      </c>
      <c r="S1954" s="23" t="n">
        <f aca="false">G1954-Q1954-R1954</f>
        <v>3.55</v>
      </c>
      <c r="T1954" s="21" t="str">
        <f aca="false">IF(M1954&lt;=7,"0-7 days",IF(M1954&lt;=14,"8-14 days",IF(M1954&lt;=21,"15-21 days","22+ days")))</f>
        <v>15-21 days</v>
      </c>
    </row>
    <row r="1955" customFormat="false" ht="15" hidden="false" customHeight="false" outlineLevel="0" collapsed="false">
      <c r="A1955" s="21" t="s">
        <v>2021</v>
      </c>
      <c r="B1955" s="21" t="s">
        <v>93</v>
      </c>
      <c r="C1955" s="22" t="n">
        <v>43336</v>
      </c>
      <c r="D1955" s="22" t="n">
        <v>43361</v>
      </c>
      <c r="E1955" s="22" t="n">
        <v>43366</v>
      </c>
      <c r="F1955" s="21" t="s">
        <v>44</v>
      </c>
      <c r="G1955" s="23" t="n">
        <v>119.56</v>
      </c>
      <c r="H1955" s="23" t="n">
        <v>39.27</v>
      </c>
      <c r="I1955" s="21" t="s">
        <v>60</v>
      </c>
      <c r="J1955" s="21" t="n">
        <v>4</v>
      </c>
      <c r="K1955" s="21" t="s">
        <v>46</v>
      </c>
      <c r="L1955" s="24" t="n">
        <f aca="false">DATE(YEAR(C1955),MONTH(C1955),1)</f>
        <v>43313</v>
      </c>
      <c r="M1955" s="21" t="n">
        <f aca="false">D1955-C1955</f>
        <v>25</v>
      </c>
      <c r="N1955" s="21" t="n">
        <f aca="false">MAX(0,D1955-E1955)</f>
        <v>0</v>
      </c>
      <c r="O1955" s="21" t="n">
        <f aca="false">IF(D1955&lt;=E1955,1,0)</f>
        <v>1</v>
      </c>
      <c r="P1955" s="23" t="n">
        <f aca="false">G1955+H1955</f>
        <v>158.83</v>
      </c>
      <c r="Q1955" s="23" t="n">
        <f aca="false">G1955*INDEX(Assumptions!$B$8:$B$16,MATCH(F1955,Assumptions!$A$8:$A$16,0))</f>
        <v>71.736</v>
      </c>
      <c r="R1955" s="23" t="n">
        <f aca="false">H1955*Assumptions!$B$3</f>
        <v>23.562</v>
      </c>
      <c r="S1955" s="23" t="n">
        <f aca="false">G1955-Q1955-R1955</f>
        <v>24.262</v>
      </c>
      <c r="T1955" s="21" t="str">
        <f aca="false">IF(M1955&lt;=7,"0-7 days",IF(M1955&lt;=14,"8-14 days",IF(M1955&lt;=21,"15-21 days","22+ days")))</f>
        <v>22+ days</v>
      </c>
    </row>
    <row r="1956" customFormat="false" ht="15" hidden="false" customHeight="false" outlineLevel="0" collapsed="false">
      <c r="A1956" s="21" t="s">
        <v>2022</v>
      </c>
      <c r="B1956" s="21" t="s">
        <v>62</v>
      </c>
      <c r="C1956" s="22" t="n">
        <v>43336</v>
      </c>
      <c r="D1956" s="22" t="n">
        <v>43350</v>
      </c>
      <c r="E1956" s="22" t="n">
        <v>43359</v>
      </c>
      <c r="F1956" s="21" t="s">
        <v>59</v>
      </c>
      <c r="G1956" s="23" t="n">
        <v>26.94</v>
      </c>
      <c r="H1956" s="23" t="n">
        <v>24.62</v>
      </c>
      <c r="I1956" s="21" t="s">
        <v>45</v>
      </c>
      <c r="J1956" s="21" t="n">
        <v>5</v>
      </c>
      <c r="K1956" s="21" t="s">
        <v>46</v>
      </c>
      <c r="L1956" s="24" t="n">
        <f aca="false">DATE(YEAR(C1956),MONTH(C1956),1)</f>
        <v>43313</v>
      </c>
      <c r="M1956" s="21" t="n">
        <f aca="false">D1956-C1956</f>
        <v>14</v>
      </c>
      <c r="N1956" s="21" t="n">
        <f aca="false">MAX(0,D1956-E1956)</f>
        <v>0</v>
      </c>
      <c r="O1956" s="21" t="n">
        <f aca="false">IF(D1956&lt;=E1956,1,0)</f>
        <v>1</v>
      </c>
      <c r="P1956" s="23" t="n">
        <f aca="false">G1956+H1956</f>
        <v>51.56</v>
      </c>
      <c r="Q1956" s="23" t="n">
        <f aca="false">G1956*INDEX(Assumptions!$B$8:$B$16,MATCH(F1956,Assumptions!$A$8:$A$16,0))</f>
        <v>17.2416</v>
      </c>
      <c r="R1956" s="23" t="n">
        <f aca="false">H1956*Assumptions!$B$3</f>
        <v>14.772</v>
      </c>
      <c r="S1956" s="23" t="n">
        <f aca="false">G1956-Q1956-R1956</f>
        <v>-5.0736</v>
      </c>
      <c r="T1956" s="21" t="str">
        <f aca="false">IF(M1956&lt;=7,"0-7 days",IF(M1956&lt;=14,"8-14 days",IF(M1956&lt;=21,"15-21 days","22+ days")))</f>
        <v>8-14 days</v>
      </c>
    </row>
    <row r="1957" customFormat="false" ht="15" hidden="false" customHeight="false" outlineLevel="0" collapsed="false">
      <c r="A1957" s="21" t="s">
        <v>2023</v>
      </c>
      <c r="B1957" s="21" t="s">
        <v>19</v>
      </c>
      <c r="C1957" s="22" t="n">
        <v>43336</v>
      </c>
      <c r="D1957" s="22" t="n">
        <v>43344</v>
      </c>
      <c r="E1957" s="22" t="n">
        <v>43349</v>
      </c>
      <c r="F1957" s="21" t="s">
        <v>67</v>
      </c>
      <c r="G1957" s="23" t="n">
        <v>81.97</v>
      </c>
      <c r="H1957" s="23" t="n">
        <v>15.61</v>
      </c>
      <c r="I1957" s="21" t="s">
        <v>45</v>
      </c>
      <c r="J1957" s="21" t="n">
        <v>5</v>
      </c>
      <c r="K1957" s="21" t="s">
        <v>46</v>
      </c>
      <c r="L1957" s="24" t="n">
        <f aca="false">DATE(YEAR(C1957),MONTH(C1957),1)</f>
        <v>43313</v>
      </c>
      <c r="M1957" s="21" t="n">
        <f aca="false">D1957-C1957</f>
        <v>8</v>
      </c>
      <c r="N1957" s="21" t="n">
        <f aca="false">MAX(0,D1957-E1957)</f>
        <v>0</v>
      </c>
      <c r="O1957" s="21" t="n">
        <f aca="false">IF(D1957&lt;=E1957,1,0)</f>
        <v>1</v>
      </c>
      <c r="P1957" s="23" t="n">
        <f aca="false">G1957+H1957</f>
        <v>97.58</v>
      </c>
      <c r="Q1957" s="23" t="n">
        <f aca="false">G1957*INDEX(Assumptions!$B$8:$B$16,MATCH(F1957,Assumptions!$A$8:$A$16,0))</f>
        <v>50.8214</v>
      </c>
      <c r="R1957" s="23" t="n">
        <f aca="false">H1957*Assumptions!$B$3</f>
        <v>9.366</v>
      </c>
      <c r="S1957" s="23" t="n">
        <f aca="false">G1957-Q1957-R1957</f>
        <v>21.7826</v>
      </c>
      <c r="T1957" s="21" t="str">
        <f aca="false">IF(M1957&lt;=7,"0-7 days",IF(M1957&lt;=14,"8-14 days",IF(M1957&lt;=21,"15-21 days","22+ days")))</f>
        <v>8-14 days</v>
      </c>
    </row>
    <row r="1958" customFormat="false" ht="15" hidden="false" customHeight="false" outlineLevel="0" collapsed="false">
      <c r="A1958" s="21" t="s">
        <v>2024</v>
      </c>
      <c r="B1958" s="21" t="s">
        <v>19</v>
      </c>
      <c r="C1958" s="22" t="n">
        <v>43336</v>
      </c>
      <c r="D1958" s="22" t="n">
        <v>43342</v>
      </c>
      <c r="E1958" s="22" t="n">
        <v>43353</v>
      </c>
      <c r="F1958" s="21" t="s">
        <v>67</v>
      </c>
      <c r="G1958" s="23" t="n">
        <v>81.39</v>
      </c>
      <c r="H1958" s="23" t="n">
        <v>20.31</v>
      </c>
      <c r="I1958" s="21" t="s">
        <v>60</v>
      </c>
      <c r="J1958" s="21" t="n">
        <v>3</v>
      </c>
      <c r="K1958" s="21" t="s">
        <v>46</v>
      </c>
      <c r="L1958" s="24" t="n">
        <f aca="false">DATE(YEAR(C1958),MONTH(C1958),1)</f>
        <v>43313</v>
      </c>
      <c r="M1958" s="21" t="n">
        <f aca="false">D1958-C1958</f>
        <v>6</v>
      </c>
      <c r="N1958" s="21" t="n">
        <f aca="false">MAX(0,D1958-E1958)</f>
        <v>0</v>
      </c>
      <c r="O1958" s="21" t="n">
        <f aca="false">IF(D1958&lt;=E1958,1,0)</f>
        <v>1</v>
      </c>
      <c r="P1958" s="23" t="n">
        <f aca="false">G1958+H1958</f>
        <v>101.7</v>
      </c>
      <c r="Q1958" s="23" t="n">
        <f aca="false">G1958*INDEX(Assumptions!$B$8:$B$16,MATCH(F1958,Assumptions!$A$8:$A$16,0))</f>
        <v>50.4618</v>
      </c>
      <c r="R1958" s="23" t="n">
        <f aca="false">H1958*Assumptions!$B$3</f>
        <v>12.186</v>
      </c>
      <c r="S1958" s="23" t="n">
        <f aca="false">G1958-Q1958-R1958</f>
        <v>18.7422</v>
      </c>
      <c r="T1958" s="21" t="str">
        <f aca="false">IF(M1958&lt;=7,"0-7 days",IF(M1958&lt;=14,"8-14 days",IF(M1958&lt;=21,"15-21 days","22+ days")))</f>
        <v>0-7 days</v>
      </c>
    </row>
    <row r="1959" customFormat="false" ht="15" hidden="false" customHeight="false" outlineLevel="0" collapsed="false">
      <c r="A1959" s="21" t="s">
        <v>2025</v>
      </c>
      <c r="B1959" s="21" t="s">
        <v>62</v>
      </c>
      <c r="C1959" s="22" t="n">
        <v>43336</v>
      </c>
      <c r="D1959" s="22" t="n">
        <v>43341</v>
      </c>
      <c r="E1959" s="22" t="n">
        <v>43357</v>
      </c>
      <c r="F1959" s="21" t="s">
        <v>79</v>
      </c>
      <c r="G1959" s="23" t="n">
        <v>161.01</v>
      </c>
      <c r="H1959" s="23" t="n">
        <v>26.82</v>
      </c>
      <c r="I1959" s="21" t="s">
        <v>45</v>
      </c>
      <c r="J1959" s="21" t="n">
        <v>4</v>
      </c>
      <c r="K1959" s="21" t="s">
        <v>46</v>
      </c>
      <c r="L1959" s="24" t="n">
        <f aca="false">DATE(YEAR(C1959),MONTH(C1959),1)</f>
        <v>43313</v>
      </c>
      <c r="M1959" s="21" t="n">
        <f aca="false">D1959-C1959</f>
        <v>5</v>
      </c>
      <c r="N1959" s="21" t="n">
        <f aca="false">MAX(0,D1959-E1959)</f>
        <v>0</v>
      </c>
      <c r="O1959" s="21" t="n">
        <f aca="false">IF(D1959&lt;=E1959,1,0)</f>
        <v>1</v>
      </c>
      <c r="P1959" s="23" t="n">
        <f aca="false">G1959+H1959</f>
        <v>187.83</v>
      </c>
      <c r="Q1959" s="23" t="n">
        <f aca="false">G1959*INDEX(Assumptions!$B$8:$B$16,MATCH(F1959,Assumptions!$A$8:$A$16,0))</f>
        <v>112.707</v>
      </c>
      <c r="R1959" s="23" t="n">
        <f aca="false">H1959*Assumptions!$B$3</f>
        <v>16.092</v>
      </c>
      <c r="S1959" s="23" t="n">
        <f aca="false">G1959-Q1959-R1959</f>
        <v>32.211</v>
      </c>
      <c r="T1959" s="21" t="str">
        <f aca="false">IF(M1959&lt;=7,"0-7 days",IF(M1959&lt;=14,"8-14 days",IF(M1959&lt;=21,"15-21 days","22+ days")))</f>
        <v>0-7 days</v>
      </c>
    </row>
    <row r="1960" customFormat="false" ht="15" hidden="false" customHeight="false" outlineLevel="0" collapsed="false">
      <c r="A1960" s="21" t="s">
        <v>2026</v>
      </c>
      <c r="B1960" s="21" t="s">
        <v>19</v>
      </c>
      <c r="C1960" s="22" t="n">
        <v>43336</v>
      </c>
      <c r="D1960" s="22" t="n">
        <v>43347</v>
      </c>
      <c r="E1960" s="22" t="n">
        <v>43351</v>
      </c>
      <c r="F1960" s="21" t="s">
        <v>111</v>
      </c>
      <c r="G1960" s="23" t="n">
        <v>106.14</v>
      </c>
      <c r="H1960" s="23" t="n">
        <v>15.65</v>
      </c>
      <c r="I1960" s="21" t="s">
        <v>45</v>
      </c>
      <c r="J1960" s="21" t="n">
        <v>2</v>
      </c>
      <c r="K1960" s="21" t="s">
        <v>46</v>
      </c>
      <c r="L1960" s="24" t="n">
        <f aca="false">DATE(YEAR(C1960),MONTH(C1960),1)</f>
        <v>43313</v>
      </c>
      <c r="M1960" s="21" t="n">
        <f aca="false">D1960-C1960</f>
        <v>11</v>
      </c>
      <c r="N1960" s="21" t="n">
        <f aca="false">MAX(0,D1960-E1960)</f>
        <v>0</v>
      </c>
      <c r="O1960" s="21" t="n">
        <f aca="false">IF(D1960&lt;=E1960,1,0)</f>
        <v>1</v>
      </c>
      <c r="P1960" s="23" t="n">
        <f aca="false">G1960+H1960</f>
        <v>121.79</v>
      </c>
      <c r="Q1960" s="23" t="n">
        <f aca="false">G1960*INDEX(Assumptions!$B$8:$B$16,MATCH(F1960,Assumptions!$A$8:$A$16,0))</f>
        <v>66.8682</v>
      </c>
      <c r="R1960" s="23" t="n">
        <f aca="false">H1960*Assumptions!$B$3</f>
        <v>9.39</v>
      </c>
      <c r="S1960" s="23" t="n">
        <f aca="false">G1960-Q1960-R1960</f>
        <v>29.8818</v>
      </c>
      <c r="T1960" s="21" t="str">
        <f aca="false">IF(M1960&lt;=7,"0-7 days",IF(M1960&lt;=14,"8-14 days",IF(M1960&lt;=21,"15-21 days","22+ days")))</f>
        <v>8-14 days</v>
      </c>
    </row>
    <row r="1961" customFormat="false" ht="15" hidden="false" customHeight="false" outlineLevel="0" collapsed="false">
      <c r="A1961" s="21" t="s">
        <v>2027</v>
      </c>
      <c r="B1961" s="21" t="s">
        <v>19</v>
      </c>
      <c r="C1961" s="22" t="n">
        <v>43337</v>
      </c>
      <c r="D1961" s="22" t="n">
        <v>43349</v>
      </c>
      <c r="E1961" s="22" t="n">
        <v>43348</v>
      </c>
      <c r="F1961" s="21" t="s">
        <v>67</v>
      </c>
      <c r="G1961" s="23" t="n">
        <v>17.64</v>
      </c>
      <c r="H1961" s="23" t="n">
        <v>18.49</v>
      </c>
      <c r="I1961" s="21" t="s">
        <v>45</v>
      </c>
      <c r="J1961" s="21" t="n">
        <v>2</v>
      </c>
      <c r="K1961" s="21" t="s">
        <v>46</v>
      </c>
      <c r="L1961" s="24" t="n">
        <f aca="false">DATE(YEAR(C1961),MONTH(C1961),1)</f>
        <v>43313</v>
      </c>
      <c r="M1961" s="21" t="n">
        <f aca="false">D1961-C1961</f>
        <v>12</v>
      </c>
      <c r="N1961" s="21" t="n">
        <f aca="false">MAX(0,D1961-E1961)</f>
        <v>1</v>
      </c>
      <c r="O1961" s="21" t="n">
        <f aca="false">IF(D1961&lt;=E1961,1,0)</f>
        <v>0</v>
      </c>
      <c r="P1961" s="23" t="n">
        <f aca="false">G1961+H1961</f>
        <v>36.13</v>
      </c>
      <c r="Q1961" s="23" t="n">
        <f aca="false">G1961*INDEX(Assumptions!$B$8:$B$16,MATCH(F1961,Assumptions!$A$8:$A$16,0))</f>
        <v>10.9368</v>
      </c>
      <c r="R1961" s="23" t="n">
        <f aca="false">H1961*Assumptions!$B$3</f>
        <v>11.094</v>
      </c>
      <c r="S1961" s="23" t="n">
        <f aca="false">G1961-Q1961-R1961</f>
        <v>-4.3908</v>
      </c>
      <c r="T1961" s="21" t="str">
        <f aca="false">IF(M1961&lt;=7,"0-7 days",IF(M1961&lt;=14,"8-14 days",IF(M1961&lt;=21,"15-21 days","22+ days")))</f>
        <v>8-14 days</v>
      </c>
    </row>
    <row r="1962" customFormat="false" ht="15" hidden="false" customHeight="false" outlineLevel="0" collapsed="false">
      <c r="A1962" s="21" t="s">
        <v>2028</v>
      </c>
      <c r="B1962" s="21" t="s">
        <v>55</v>
      </c>
      <c r="C1962" s="22" t="n">
        <v>43337</v>
      </c>
      <c r="D1962" s="22" t="n">
        <v>43349</v>
      </c>
      <c r="E1962" s="22" t="n">
        <v>43361</v>
      </c>
      <c r="F1962" s="21" t="s">
        <v>53</v>
      </c>
      <c r="G1962" s="23" t="n">
        <v>29.51</v>
      </c>
      <c r="H1962" s="23" t="n">
        <v>16.06</v>
      </c>
      <c r="I1962" s="21" t="s">
        <v>45</v>
      </c>
      <c r="J1962" s="21" t="n">
        <v>4</v>
      </c>
      <c r="K1962" s="21" t="s">
        <v>46</v>
      </c>
      <c r="L1962" s="24" t="n">
        <f aca="false">DATE(YEAR(C1962),MONTH(C1962),1)</f>
        <v>43313</v>
      </c>
      <c r="M1962" s="21" t="n">
        <f aca="false">D1962-C1962</f>
        <v>12</v>
      </c>
      <c r="N1962" s="21" t="n">
        <f aca="false">MAX(0,D1962-E1962)</f>
        <v>0</v>
      </c>
      <c r="O1962" s="21" t="n">
        <f aca="false">IF(D1962&lt;=E1962,1,0)</f>
        <v>1</v>
      </c>
      <c r="P1962" s="23" t="n">
        <f aca="false">G1962+H1962</f>
        <v>45.57</v>
      </c>
      <c r="Q1962" s="23" t="n">
        <f aca="false">G1962*INDEX(Assumptions!$B$8:$B$16,MATCH(F1962,Assumptions!$A$8:$A$16,0))</f>
        <v>21.8374</v>
      </c>
      <c r="R1962" s="23" t="n">
        <f aca="false">H1962*Assumptions!$B$3</f>
        <v>9.636</v>
      </c>
      <c r="S1962" s="23" t="n">
        <f aca="false">G1962-Q1962-R1962</f>
        <v>-1.9634</v>
      </c>
      <c r="T1962" s="21" t="str">
        <f aca="false">IF(M1962&lt;=7,"0-7 days",IF(M1962&lt;=14,"8-14 days",IF(M1962&lt;=21,"15-21 days","22+ days")))</f>
        <v>8-14 days</v>
      </c>
    </row>
    <row r="1963" customFormat="false" ht="15" hidden="false" customHeight="false" outlineLevel="0" collapsed="false">
      <c r="A1963" s="21" t="s">
        <v>2029</v>
      </c>
      <c r="B1963" s="21" t="s">
        <v>19</v>
      </c>
      <c r="C1963" s="22" t="n">
        <v>43337</v>
      </c>
      <c r="D1963" s="22" t="n">
        <v>43346</v>
      </c>
      <c r="E1963" s="22" t="n">
        <v>43353</v>
      </c>
      <c r="F1963" s="21" t="s">
        <v>53</v>
      </c>
      <c r="G1963" s="23" t="n">
        <v>179.26</v>
      </c>
      <c r="H1963" s="23" t="n">
        <v>22.82</v>
      </c>
      <c r="I1963" s="21" t="s">
        <v>60</v>
      </c>
      <c r="J1963" s="21" t="n">
        <v>5</v>
      </c>
      <c r="K1963" s="21" t="s">
        <v>46</v>
      </c>
      <c r="L1963" s="24" t="n">
        <f aca="false">DATE(YEAR(C1963),MONTH(C1963),1)</f>
        <v>43313</v>
      </c>
      <c r="M1963" s="21" t="n">
        <f aca="false">D1963-C1963</f>
        <v>9</v>
      </c>
      <c r="N1963" s="21" t="n">
        <f aca="false">MAX(0,D1963-E1963)</f>
        <v>0</v>
      </c>
      <c r="O1963" s="21" t="n">
        <f aca="false">IF(D1963&lt;=E1963,1,0)</f>
        <v>1</v>
      </c>
      <c r="P1963" s="23" t="n">
        <f aca="false">G1963+H1963</f>
        <v>202.08</v>
      </c>
      <c r="Q1963" s="23" t="n">
        <f aca="false">G1963*INDEX(Assumptions!$B$8:$B$16,MATCH(F1963,Assumptions!$A$8:$A$16,0))</f>
        <v>132.6524</v>
      </c>
      <c r="R1963" s="23" t="n">
        <f aca="false">H1963*Assumptions!$B$3</f>
        <v>13.692</v>
      </c>
      <c r="S1963" s="23" t="n">
        <f aca="false">G1963-Q1963-R1963</f>
        <v>32.9156</v>
      </c>
      <c r="T1963" s="21" t="str">
        <f aca="false">IF(M1963&lt;=7,"0-7 days",IF(M1963&lt;=14,"8-14 days",IF(M1963&lt;=21,"15-21 days","22+ days")))</f>
        <v>8-14 days</v>
      </c>
    </row>
    <row r="1964" customFormat="false" ht="15" hidden="false" customHeight="false" outlineLevel="0" collapsed="false">
      <c r="A1964" s="21" t="s">
        <v>2030</v>
      </c>
      <c r="B1964" s="21" t="s">
        <v>62</v>
      </c>
      <c r="C1964" s="22" t="n">
        <v>43337</v>
      </c>
      <c r="D1964" s="22" t="n">
        <v>43355</v>
      </c>
      <c r="E1964" s="22" t="n">
        <v>43363</v>
      </c>
      <c r="F1964" s="21" t="s">
        <v>67</v>
      </c>
      <c r="G1964" s="23" t="n">
        <v>57.58</v>
      </c>
      <c r="H1964" s="23" t="n">
        <v>23.2</v>
      </c>
      <c r="I1964" s="21" t="s">
        <v>45</v>
      </c>
      <c r="J1964" s="21" t="n">
        <v>3</v>
      </c>
      <c r="K1964" s="21" t="s">
        <v>46</v>
      </c>
      <c r="L1964" s="24" t="n">
        <f aca="false">DATE(YEAR(C1964),MONTH(C1964),1)</f>
        <v>43313</v>
      </c>
      <c r="M1964" s="21" t="n">
        <f aca="false">D1964-C1964</f>
        <v>18</v>
      </c>
      <c r="N1964" s="21" t="n">
        <f aca="false">MAX(0,D1964-E1964)</f>
        <v>0</v>
      </c>
      <c r="O1964" s="21" t="n">
        <f aca="false">IF(D1964&lt;=E1964,1,0)</f>
        <v>1</v>
      </c>
      <c r="P1964" s="23" t="n">
        <f aca="false">G1964+H1964</f>
        <v>80.78</v>
      </c>
      <c r="Q1964" s="23" t="n">
        <f aca="false">G1964*INDEX(Assumptions!$B$8:$B$16,MATCH(F1964,Assumptions!$A$8:$A$16,0))</f>
        <v>35.6996</v>
      </c>
      <c r="R1964" s="23" t="n">
        <f aca="false">H1964*Assumptions!$B$3</f>
        <v>13.92</v>
      </c>
      <c r="S1964" s="23" t="n">
        <f aca="false">G1964-Q1964-R1964</f>
        <v>7.9604</v>
      </c>
      <c r="T1964" s="21" t="str">
        <f aca="false">IF(M1964&lt;=7,"0-7 days",IF(M1964&lt;=14,"8-14 days",IF(M1964&lt;=21,"15-21 days","22+ days")))</f>
        <v>15-21 days</v>
      </c>
    </row>
    <row r="1965" customFormat="false" ht="15" hidden="false" customHeight="false" outlineLevel="0" collapsed="false">
      <c r="A1965" s="21" t="s">
        <v>2031</v>
      </c>
      <c r="B1965" s="21" t="s">
        <v>62</v>
      </c>
      <c r="C1965" s="22" t="n">
        <v>43337</v>
      </c>
      <c r="D1965" s="22" t="n">
        <v>43346</v>
      </c>
      <c r="E1965" s="22" t="n">
        <v>43359</v>
      </c>
      <c r="F1965" s="21" t="s">
        <v>79</v>
      </c>
      <c r="G1965" s="23" t="n">
        <v>280.45</v>
      </c>
      <c r="H1965" s="23" t="n">
        <v>20.03</v>
      </c>
      <c r="I1965" s="21" t="s">
        <v>45</v>
      </c>
      <c r="J1965" s="21" t="n">
        <v>4</v>
      </c>
      <c r="K1965" s="21" t="s">
        <v>46</v>
      </c>
      <c r="L1965" s="24" t="n">
        <f aca="false">DATE(YEAR(C1965),MONTH(C1965),1)</f>
        <v>43313</v>
      </c>
      <c r="M1965" s="21" t="n">
        <f aca="false">D1965-C1965</f>
        <v>9</v>
      </c>
      <c r="N1965" s="21" t="n">
        <f aca="false">MAX(0,D1965-E1965)</f>
        <v>0</v>
      </c>
      <c r="O1965" s="21" t="n">
        <f aca="false">IF(D1965&lt;=E1965,1,0)</f>
        <v>1</v>
      </c>
      <c r="P1965" s="23" t="n">
        <f aca="false">G1965+H1965</f>
        <v>300.48</v>
      </c>
      <c r="Q1965" s="23" t="n">
        <f aca="false">G1965*INDEX(Assumptions!$B$8:$B$16,MATCH(F1965,Assumptions!$A$8:$A$16,0))</f>
        <v>196.315</v>
      </c>
      <c r="R1965" s="23" t="n">
        <f aca="false">H1965*Assumptions!$B$3</f>
        <v>12.018</v>
      </c>
      <c r="S1965" s="23" t="n">
        <f aca="false">G1965-Q1965-R1965</f>
        <v>72.117</v>
      </c>
      <c r="T1965" s="21" t="str">
        <f aca="false">IF(M1965&lt;=7,"0-7 days",IF(M1965&lt;=14,"8-14 days",IF(M1965&lt;=21,"15-21 days","22+ days")))</f>
        <v>8-14 days</v>
      </c>
    </row>
    <row r="1966" customFormat="false" ht="15" hidden="false" customHeight="false" outlineLevel="0" collapsed="false">
      <c r="A1966" s="21" t="s">
        <v>2032</v>
      </c>
      <c r="B1966" s="21" t="s">
        <v>19</v>
      </c>
      <c r="C1966" s="22" t="n">
        <v>43337</v>
      </c>
      <c r="D1966" s="22" t="n">
        <v>43344</v>
      </c>
      <c r="E1966" s="22" t="n">
        <v>43353</v>
      </c>
      <c r="F1966" s="21" t="s">
        <v>59</v>
      </c>
      <c r="G1966" s="23" t="n">
        <v>100.09</v>
      </c>
      <c r="H1966" s="23" t="n">
        <v>13.17</v>
      </c>
      <c r="I1966" s="21" t="s">
        <v>60</v>
      </c>
      <c r="J1966" s="21" t="n">
        <v>5</v>
      </c>
      <c r="K1966" s="21" t="s">
        <v>46</v>
      </c>
      <c r="L1966" s="24" t="n">
        <f aca="false">DATE(YEAR(C1966),MONTH(C1966),1)</f>
        <v>43313</v>
      </c>
      <c r="M1966" s="21" t="n">
        <f aca="false">D1966-C1966</f>
        <v>7</v>
      </c>
      <c r="N1966" s="21" t="n">
        <f aca="false">MAX(0,D1966-E1966)</f>
        <v>0</v>
      </c>
      <c r="O1966" s="21" t="n">
        <f aca="false">IF(D1966&lt;=E1966,1,0)</f>
        <v>1</v>
      </c>
      <c r="P1966" s="23" t="n">
        <f aca="false">G1966+H1966</f>
        <v>113.26</v>
      </c>
      <c r="Q1966" s="23" t="n">
        <f aca="false">G1966*INDEX(Assumptions!$B$8:$B$16,MATCH(F1966,Assumptions!$A$8:$A$16,0))</f>
        <v>64.0576</v>
      </c>
      <c r="R1966" s="23" t="n">
        <f aca="false">H1966*Assumptions!$B$3</f>
        <v>7.902</v>
      </c>
      <c r="S1966" s="23" t="n">
        <f aca="false">G1966-Q1966-R1966</f>
        <v>28.1304</v>
      </c>
      <c r="T1966" s="21" t="str">
        <f aca="false">IF(M1966&lt;=7,"0-7 days",IF(M1966&lt;=14,"8-14 days",IF(M1966&lt;=21,"15-21 days","22+ days")))</f>
        <v>0-7 days</v>
      </c>
    </row>
    <row r="1967" customFormat="false" ht="15" hidden="false" customHeight="false" outlineLevel="0" collapsed="false">
      <c r="A1967" s="21" t="s">
        <v>2033</v>
      </c>
      <c r="B1967" s="21" t="s">
        <v>55</v>
      </c>
      <c r="C1967" s="22" t="n">
        <v>43337</v>
      </c>
      <c r="D1967" s="22" t="n">
        <v>43350</v>
      </c>
      <c r="E1967" s="22" t="n">
        <v>43363</v>
      </c>
      <c r="F1967" s="21" t="s">
        <v>53</v>
      </c>
      <c r="G1967" s="23" t="n">
        <v>40.89</v>
      </c>
      <c r="H1967" s="23" t="n">
        <v>29.85</v>
      </c>
      <c r="I1967" s="21" t="s">
        <v>60</v>
      </c>
      <c r="J1967" s="21" t="n">
        <v>5</v>
      </c>
      <c r="K1967" s="21" t="s">
        <v>46</v>
      </c>
      <c r="L1967" s="24" t="n">
        <f aca="false">DATE(YEAR(C1967),MONTH(C1967),1)</f>
        <v>43313</v>
      </c>
      <c r="M1967" s="21" t="n">
        <f aca="false">D1967-C1967</f>
        <v>13</v>
      </c>
      <c r="N1967" s="21" t="n">
        <f aca="false">MAX(0,D1967-E1967)</f>
        <v>0</v>
      </c>
      <c r="O1967" s="21" t="n">
        <f aca="false">IF(D1967&lt;=E1967,1,0)</f>
        <v>1</v>
      </c>
      <c r="P1967" s="23" t="n">
        <f aca="false">G1967+H1967</f>
        <v>70.74</v>
      </c>
      <c r="Q1967" s="23" t="n">
        <f aca="false">G1967*INDEX(Assumptions!$B$8:$B$16,MATCH(F1967,Assumptions!$A$8:$A$16,0))</f>
        <v>30.2586</v>
      </c>
      <c r="R1967" s="23" t="n">
        <f aca="false">H1967*Assumptions!$B$3</f>
        <v>17.91</v>
      </c>
      <c r="S1967" s="23" t="n">
        <f aca="false">G1967-Q1967-R1967</f>
        <v>-7.2786</v>
      </c>
      <c r="T1967" s="21" t="str">
        <f aca="false">IF(M1967&lt;=7,"0-7 days",IF(M1967&lt;=14,"8-14 days",IF(M1967&lt;=21,"15-21 days","22+ days")))</f>
        <v>8-14 days</v>
      </c>
    </row>
    <row r="1968" customFormat="false" ht="15" hidden="false" customHeight="false" outlineLevel="0" collapsed="false">
      <c r="A1968" s="21" t="s">
        <v>2034</v>
      </c>
      <c r="B1968" s="21" t="s">
        <v>55</v>
      </c>
      <c r="C1968" s="22" t="n">
        <v>43337</v>
      </c>
      <c r="D1968" s="22" t="n">
        <v>43355</v>
      </c>
      <c r="E1968" s="22" t="n">
        <v>43364</v>
      </c>
      <c r="F1968" s="21" t="s">
        <v>64</v>
      </c>
      <c r="G1968" s="23" t="n">
        <v>156.72</v>
      </c>
      <c r="H1968" s="23" t="n">
        <v>20.19</v>
      </c>
      <c r="I1968" s="21" t="s">
        <v>45</v>
      </c>
      <c r="J1968" s="21" t="n">
        <v>5</v>
      </c>
      <c r="K1968" s="21" t="s">
        <v>46</v>
      </c>
      <c r="L1968" s="24" t="n">
        <f aca="false">DATE(YEAR(C1968),MONTH(C1968),1)</f>
        <v>43313</v>
      </c>
      <c r="M1968" s="21" t="n">
        <f aca="false">D1968-C1968</f>
        <v>18</v>
      </c>
      <c r="N1968" s="21" t="n">
        <f aca="false">MAX(0,D1968-E1968)</f>
        <v>0</v>
      </c>
      <c r="O1968" s="21" t="n">
        <f aca="false">IF(D1968&lt;=E1968,1,0)</f>
        <v>1</v>
      </c>
      <c r="P1968" s="23" t="n">
        <f aca="false">G1968+H1968</f>
        <v>176.91</v>
      </c>
      <c r="Q1968" s="23" t="n">
        <f aca="false">G1968*INDEX(Assumptions!$B$8:$B$16,MATCH(F1968,Assumptions!$A$8:$A$16,0))</f>
        <v>103.4352</v>
      </c>
      <c r="R1968" s="23" t="n">
        <f aca="false">H1968*Assumptions!$B$3</f>
        <v>12.114</v>
      </c>
      <c r="S1968" s="23" t="n">
        <f aca="false">G1968-Q1968-R1968</f>
        <v>41.1708</v>
      </c>
      <c r="T1968" s="21" t="str">
        <f aca="false">IF(M1968&lt;=7,"0-7 days",IF(M1968&lt;=14,"8-14 days",IF(M1968&lt;=21,"15-21 days","22+ days")))</f>
        <v>15-21 days</v>
      </c>
    </row>
    <row r="1969" customFormat="false" ht="15" hidden="false" customHeight="false" outlineLevel="0" collapsed="false">
      <c r="A1969" s="21" t="s">
        <v>2035</v>
      </c>
      <c r="B1969" s="21" t="s">
        <v>19</v>
      </c>
      <c r="C1969" s="22" t="n">
        <v>43337</v>
      </c>
      <c r="D1969" s="22" t="n">
        <v>43347</v>
      </c>
      <c r="E1969" s="22" t="n">
        <v>43350</v>
      </c>
      <c r="F1969" s="21" t="s">
        <v>79</v>
      </c>
      <c r="G1969" s="23" t="n">
        <v>108.37</v>
      </c>
      <c r="H1969" s="23" t="n">
        <v>14.82</v>
      </c>
      <c r="I1969" s="21" t="s">
        <v>45</v>
      </c>
      <c r="J1969" s="21" t="n">
        <v>5</v>
      </c>
      <c r="K1969" s="21" t="s">
        <v>46</v>
      </c>
      <c r="L1969" s="24" t="n">
        <f aca="false">DATE(YEAR(C1969),MONTH(C1969),1)</f>
        <v>43313</v>
      </c>
      <c r="M1969" s="21" t="n">
        <f aca="false">D1969-C1969</f>
        <v>10</v>
      </c>
      <c r="N1969" s="21" t="n">
        <f aca="false">MAX(0,D1969-E1969)</f>
        <v>0</v>
      </c>
      <c r="O1969" s="21" t="n">
        <f aca="false">IF(D1969&lt;=E1969,1,0)</f>
        <v>1</v>
      </c>
      <c r="P1969" s="23" t="n">
        <f aca="false">G1969+H1969</f>
        <v>123.19</v>
      </c>
      <c r="Q1969" s="23" t="n">
        <f aca="false">G1969*INDEX(Assumptions!$B$8:$B$16,MATCH(F1969,Assumptions!$A$8:$A$16,0))</f>
        <v>75.859</v>
      </c>
      <c r="R1969" s="23" t="n">
        <f aca="false">H1969*Assumptions!$B$3</f>
        <v>8.892</v>
      </c>
      <c r="S1969" s="23" t="n">
        <f aca="false">G1969-Q1969-R1969</f>
        <v>23.619</v>
      </c>
      <c r="T1969" s="21" t="str">
        <f aca="false">IF(M1969&lt;=7,"0-7 days",IF(M1969&lt;=14,"8-14 days",IF(M1969&lt;=21,"15-21 days","22+ days")))</f>
        <v>8-14 days</v>
      </c>
    </row>
    <row r="1970" customFormat="false" ht="15" hidden="false" customHeight="false" outlineLevel="0" collapsed="false">
      <c r="A1970" s="21" t="s">
        <v>2036</v>
      </c>
      <c r="B1970" s="21" t="s">
        <v>19</v>
      </c>
      <c r="C1970" s="22" t="n">
        <v>43338</v>
      </c>
      <c r="D1970" s="22" t="n">
        <v>43344</v>
      </c>
      <c r="E1970" s="22" t="n">
        <v>43350</v>
      </c>
      <c r="F1970" s="21" t="s">
        <v>64</v>
      </c>
      <c r="G1970" s="23" t="n">
        <v>180.51</v>
      </c>
      <c r="H1970" s="23" t="n">
        <v>18.7</v>
      </c>
      <c r="I1970" s="21" t="s">
        <v>45</v>
      </c>
      <c r="J1970" s="21" t="n">
        <v>4</v>
      </c>
      <c r="K1970" s="21" t="s">
        <v>46</v>
      </c>
      <c r="L1970" s="24" t="n">
        <f aca="false">DATE(YEAR(C1970),MONTH(C1970),1)</f>
        <v>43313</v>
      </c>
      <c r="M1970" s="21" t="n">
        <f aca="false">D1970-C1970</f>
        <v>6</v>
      </c>
      <c r="N1970" s="21" t="n">
        <f aca="false">MAX(0,D1970-E1970)</f>
        <v>0</v>
      </c>
      <c r="O1970" s="21" t="n">
        <f aca="false">IF(D1970&lt;=E1970,1,0)</f>
        <v>1</v>
      </c>
      <c r="P1970" s="23" t="n">
        <f aca="false">G1970+H1970</f>
        <v>199.21</v>
      </c>
      <c r="Q1970" s="23" t="n">
        <f aca="false">G1970*INDEX(Assumptions!$B$8:$B$16,MATCH(F1970,Assumptions!$A$8:$A$16,0))</f>
        <v>119.1366</v>
      </c>
      <c r="R1970" s="23" t="n">
        <f aca="false">H1970*Assumptions!$B$3</f>
        <v>11.22</v>
      </c>
      <c r="S1970" s="23" t="n">
        <f aca="false">G1970-Q1970-R1970</f>
        <v>50.1534</v>
      </c>
      <c r="T1970" s="21" t="str">
        <f aca="false">IF(M1970&lt;=7,"0-7 days",IF(M1970&lt;=14,"8-14 days",IF(M1970&lt;=21,"15-21 days","22+ days")))</f>
        <v>0-7 days</v>
      </c>
    </row>
    <row r="1971" customFormat="false" ht="15" hidden="false" customHeight="false" outlineLevel="0" collapsed="false">
      <c r="A1971" s="21" t="s">
        <v>2037</v>
      </c>
      <c r="B1971" s="21" t="s">
        <v>19</v>
      </c>
      <c r="C1971" s="22" t="n">
        <v>43338</v>
      </c>
      <c r="D1971" s="22" t="n">
        <v>43344</v>
      </c>
      <c r="E1971" s="22" t="n">
        <v>43353</v>
      </c>
      <c r="F1971" s="21" t="s">
        <v>44</v>
      </c>
      <c r="G1971" s="23" t="n">
        <v>36.68</v>
      </c>
      <c r="H1971" s="23" t="n">
        <v>11.29</v>
      </c>
      <c r="I1971" s="21" t="s">
        <v>45</v>
      </c>
      <c r="J1971" s="21" t="n">
        <v>4</v>
      </c>
      <c r="K1971" s="21" t="s">
        <v>46</v>
      </c>
      <c r="L1971" s="24" t="n">
        <f aca="false">DATE(YEAR(C1971),MONTH(C1971),1)</f>
        <v>43313</v>
      </c>
      <c r="M1971" s="21" t="n">
        <f aca="false">D1971-C1971</f>
        <v>6</v>
      </c>
      <c r="N1971" s="21" t="n">
        <f aca="false">MAX(0,D1971-E1971)</f>
        <v>0</v>
      </c>
      <c r="O1971" s="21" t="n">
        <f aca="false">IF(D1971&lt;=E1971,1,0)</f>
        <v>1</v>
      </c>
      <c r="P1971" s="23" t="n">
        <f aca="false">G1971+H1971</f>
        <v>47.97</v>
      </c>
      <c r="Q1971" s="23" t="n">
        <f aca="false">G1971*INDEX(Assumptions!$B$8:$B$16,MATCH(F1971,Assumptions!$A$8:$A$16,0))</f>
        <v>22.008</v>
      </c>
      <c r="R1971" s="23" t="n">
        <f aca="false">H1971*Assumptions!$B$3</f>
        <v>6.774</v>
      </c>
      <c r="S1971" s="23" t="n">
        <f aca="false">G1971-Q1971-R1971</f>
        <v>7.898</v>
      </c>
      <c r="T1971" s="21" t="str">
        <f aca="false">IF(M1971&lt;=7,"0-7 days",IF(M1971&lt;=14,"8-14 days",IF(M1971&lt;=21,"15-21 days","22+ days")))</f>
        <v>0-7 days</v>
      </c>
    </row>
    <row r="1972" customFormat="false" ht="15" hidden="false" customHeight="false" outlineLevel="0" collapsed="false">
      <c r="A1972" s="21" t="s">
        <v>2038</v>
      </c>
      <c r="B1972" s="21" t="s">
        <v>93</v>
      </c>
      <c r="C1972" s="22" t="n">
        <v>43338</v>
      </c>
      <c r="D1972" s="22" t="n">
        <v>43361</v>
      </c>
      <c r="E1972" s="22" t="n">
        <v>43366</v>
      </c>
      <c r="F1972" s="21" t="s">
        <v>111</v>
      </c>
      <c r="G1972" s="23" t="n">
        <v>203.52</v>
      </c>
      <c r="H1972" s="23" t="n">
        <v>28.67</v>
      </c>
      <c r="I1972" s="21" t="s">
        <v>45</v>
      </c>
      <c r="J1972" s="21" t="n">
        <v>3</v>
      </c>
      <c r="K1972" s="21" t="s">
        <v>46</v>
      </c>
      <c r="L1972" s="24" t="n">
        <f aca="false">DATE(YEAR(C1972),MONTH(C1972),1)</f>
        <v>43313</v>
      </c>
      <c r="M1972" s="21" t="n">
        <f aca="false">D1972-C1972</f>
        <v>23</v>
      </c>
      <c r="N1972" s="21" t="n">
        <f aca="false">MAX(0,D1972-E1972)</f>
        <v>0</v>
      </c>
      <c r="O1972" s="21" t="n">
        <f aca="false">IF(D1972&lt;=E1972,1,0)</f>
        <v>1</v>
      </c>
      <c r="P1972" s="23" t="n">
        <f aca="false">G1972+H1972</f>
        <v>232.19</v>
      </c>
      <c r="Q1972" s="23" t="n">
        <f aca="false">G1972*INDEX(Assumptions!$B$8:$B$16,MATCH(F1972,Assumptions!$A$8:$A$16,0))</f>
        <v>128.2176</v>
      </c>
      <c r="R1972" s="23" t="n">
        <f aca="false">H1972*Assumptions!$B$3</f>
        <v>17.202</v>
      </c>
      <c r="S1972" s="23" t="n">
        <f aca="false">G1972-Q1972-R1972</f>
        <v>58.1004</v>
      </c>
      <c r="T1972" s="21" t="str">
        <f aca="false">IF(M1972&lt;=7,"0-7 days",IF(M1972&lt;=14,"8-14 days",IF(M1972&lt;=21,"15-21 days","22+ days")))</f>
        <v>22+ days</v>
      </c>
    </row>
    <row r="1973" customFormat="false" ht="15" hidden="false" customHeight="false" outlineLevel="0" collapsed="false">
      <c r="A1973" s="21" t="s">
        <v>2039</v>
      </c>
      <c r="B1973" s="21" t="s">
        <v>62</v>
      </c>
      <c r="C1973" s="22" t="n">
        <v>43338</v>
      </c>
      <c r="D1973" s="22" t="n">
        <v>43354</v>
      </c>
      <c r="E1973" s="22" t="n">
        <v>43357</v>
      </c>
      <c r="F1973" s="21" t="s">
        <v>53</v>
      </c>
      <c r="G1973" s="23" t="n">
        <v>65.39</v>
      </c>
      <c r="H1973" s="23" t="n">
        <v>24.26</v>
      </c>
      <c r="I1973" s="21" t="s">
        <v>45</v>
      </c>
      <c r="J1973" s="21" t="n">
        <v>4</v>
      </c>
      <c r="K1973" s="21" t="s">
        <v>46</v>
      </c>
      <c r="L1973" s="24" t="n">
        <f aca="false">DATE(YEAR(C1973),MONTH(C1973),1)</f>
        <v>43313</v>
      </c>
      <c r="M1973" s="21" t="n">
        <f aca="false">D1973-C1973</f>
        <v>16</v>
      </c>
      <c r="N1973" s="21" t="n">
        <f aca="false">MAX(0,D1973-E1973)</f>
        <v>0</v>
      </c>
      <c r="O1973" s="21" t="n">
        <f aca="false">IF(D1973&lt;=E1973,1,0)</f>
        <v>1</v>
      </c>
      <c r="P1973" s="23" t="n">
        <f aca="false">G1973+H1973</f>
        <v>89.65</v>
      </c>
      <c r="Q1973" s="23" t="n">
        <f aca="false">G1973*INDEX(Assumptions!$B$8:$B$16,MATCH(F1973,Assumptions!$A$8:$A$16,0))</f>
        <v>48.3886</v>
      </c>
      <c r="R1973" s="23" t="n">
        <f aca="false">H1973*Assumptions!$B$3</f>
        <v>14.556</v>
      </c>
      <c r="S1973" s="23" t="n">
        <f aca="false">G1973-Q1973-R1973</f>
        <v>2.4454</v>
      </c>
      <c r="T1973" s="21" t="str">
        <f aca="false">IF(M1973&lt;=7,"0-7 days",IF(M1973&lt;=14,"8-14 days",IF(M1973&lt;=21,"15-21 days","22+ days")))</f>
        <v>15-21 days</v>
      </c>
    </row>
    <row r="1974" customFormat="false" ht="15" hidden="false" customHeight="false" outlineLevel="0" collapsed="false">
      <c r="A1974" s="21" t="s">
        <v>2040</v>
      </c>
      <c r="B1974" s="21" t="s">
        <v>19</v>
      </c>
      <c r="C1974" s="22" t="n">
        <v>43338</v>
      </c>
      <c r="D1974" s="22" t="n">
        <v>43346</v>
      </c>
      <c r="E1974" s="22" t="n">
        <v>43352</v>
      </c>
      <c r="F1974" s="21" t="s">
        <v>67</v>
      </c>
      <c r="G1974" s="23" t="n">
        <v>112.7</v>
      </c>
      <c r="H1974" s="23" t="n">
        <v>15.98</v>
      </c>
      <c r="I1974" s="21" t="s">
        <v>45</v>
      </c>
      <c r="J1974" s="21" t="n">
        <v>5</v>
      </c>
      <c r="K1974" s="21" t="s">
        <v>46</v>
      </c>
      <c r="L1974" s="24" t="n">
        <f aca="false">DATE(YEAR(C1974),MONTH(C1974),1)</f>
        <v>43313</v>
      </c>
      <c r="M1974" s="21" t="n">
        <f aca="false">D1974-C1974</f>
        <v>8</v>
      </c>
      <c r="N1974" s="21" t="n">
        <f aca="false">MAX(0,D1974-E1974)</f>
        <v>0</v>
      </c>
      <c r="O1974" s="21" t="n">
        <f aca="false">IF(D1974&lt;=E1974,1,0)</f>
        <v>1</v>
      </c>
      <c r="P1974" s="23" t="n">
        <f aca="false">G1974+H1974</f>
        <v>128.68</v>
      </c>
      <c r="Q1974" s="23" t="n">
        <f aca="false">G1974*INDEX(Assumptions!$B$8:$B$16,MATCH(F1974,Assumptions!$A$8:$A$16,0))</f>
        <v>69.874</v>
      </c>
      <c r="R1974" s="23" t="n">
        <f aca="false">H1974*Assumptions!$B$3</f>
        <v>9.588</v>
      </c>
      <c r="S1974" s="23" t="n">
        <f aca="false">G1974-Q1974-R1974</f>
        <v>33.238</v>
      </c>
      <c r="T1974" s="21" t="str">
        <f aca="false">IF(M1974&lt;=7,"0-7 days",IF(M1974&lt;=14,"8-14 days",IF(M1974&lt;=21,"15-21 days","22+ days")))</f>
        <v>8-14 days</v>
      </c>
    </row>
    <row r="1975" customFormat="false" ht="15" hidden="false" customHeight="false" outlineLevel="0" collapsed="false">
      <c r="A1975" s="21" t="s">
        <v>2041</v>
      </c>
      <c r="B1975" s="21" t="s">
        <v>19</v>
      </c>
      <c r="C1975" s="22" t="n">
        <v>43338</v>
      </c>
      <c r="D1975" s="22" t="n">
        <v>43344</v>
      </c>
      <c r="E1975" s="22" t="n">
        <v>43352</v>
      </c>
      <c r="F1975" s="21" t="s">
        <v>67</v>
      </c>
      <c r="G1975" s="23" t="n">
        <v>71.57</v>
      </c>
      <c r="H1975" s="23" t="n">
        <v>19.4</v>
      </c>
      <c r="I1975" s="21" t="s">
        <v>50</v>
      </c>
      <c r="J1975" s="21" t="n">
        <v>4</v>
      </c>
      <c r="K1975" s="21" t="s">
        <v>46</v>
      </c>
      <c r="L1975" s="24" t="n">
        <f aca="false">DATE(YEAR(C1975),MONTH(C1975),1)</f>
        <v>43313</v>
      </c>
      <c r="M1975" s="21" t="n">
        <f aca="false">D1975-C1975</f>
        <v>6</v>
      </c>
      <c r="N1975" s="21" t="n">
        <f aca="false">MAX(0,D1975-E1975)</f>
        <v>0</v>
      </c>
      <c r="O1975" s="21" t="n">
        <f aca="false">IF(D1975&lt;=E1975,1,0)</f>
        <v>1</v>
      </c>
      <c r="P1975" s="23" t="n">
        <f aca="false">G1975+H1975</f>
        <v>90.97</v>
      </c>
      <c r="Q1975" s="23" t="n">
        <f aca="false">G1975*INDEX(Assumptions!$B$8:$B$16,MATCH(F1975,Assumptions!$A$8:$A$16,0))</f>
        <v>44.3734</v>
      </c>
      <c r="R1975" s="23" t="n">
        <f aca="false">H1975*Assumptions!$B$3</f>
        <v>11.64</v>
      </c>
      <c r="S1975" s="23" t="n">
        <f aca="false">G1975-Q1975-R1975</f>
        <v>15.5566</v>
      </c>
      <c r="T1975" s="21" t="str">
        <f aca="false">IF(M1975&lt;=7,"0-7 days",IF(M1975&lt;=14,"8-14 days",IF(M1975&lt;=21,"15-21 days","22+ days")))</f>
        <v>0-7 days</v>
      </c>
    </row>
    <row r="1976" customFormat="false" ht="15" hidden="false" customHeight="false" outlineLevel="0" collapsed="false">
      <c r="A1976" s="21" t="s">
        <v>2042</v>
      </c>
      <c r="B1976" s="21" t="s">
        <v>48</v>
      </c>
      <c r="C1976" s="22" t="n">
        <v>43338</v>
      </c>
      <c r="D1976" s="22" t="n">
        <v>43363</v>
      </c>
      <c r="E1976" s="22" t="n">
        <v>43360</v>
      </c>
      <c r="F1976" s="21" t="s">
        <v>67</v>
      </c>
      <c r="G1976" s="23" t="n">
        <v>65.93</v>
      </c>
      <c r="H1976" s="23" t="n">
        <v>19.58</v>
      </c>
      <c r="I1976" s="21" t="s">
        <v>45</v>
      </c>
      <c r="J1976" s="21" t="n">
        <v>3</v>
      </c>
      <c r="K1976" s="21" t="s">
        <v>46</v>
      </c>
      <c r="L1976" s="24" t="n">
        <f aca="false">DATE(YEAR(C1976),MONTH(C1976),1)</f>
        <v>43313</v>
      </c>
      <c r="M1976" s="21" t="n">
        <f aca="false">D1976-C1976</f>
        <v>25</v>
      </c>
      <c r="N1976" s="21" t="n">
        <f aca="false">MAX(0,D1976-E1976)</f>
        <v>3</v>
      </c>
      <c r="O1976" s="21" t="n">
        <f aca="false">IF(D1976&lt;=E1976,1,0)</f>
        <v>0</v>
      </c>
      <c r="P1976" s="23" t="n">
        <f aca="false">G1976+H1976</f>
        <v>85.51</v>
      </c>
      <c r="Q1976" s="23" t="n">
        <f aca="false">G1976*INDEX(Assumptions!$B$8:$B$16,MATCH(F1976,Assumptions!$A$8:$A$16,0))</f>
        <v>40.8766</v>
      </c>
      <c r="R1976" s="23" t="n">
        <f aca="false">H1976*Assumptions!$B$3</f>
        <v>11.748</v>
      </c>
      <c r="S1976" s="23" t="n">
        <f aca="false">G1976-Q1976-R1976</f>
        <v>13.3054</v>
      </c>
      <c r="T1976" s="21" t="str">
        <f aca="false">IF(M1976&lt;=7,"0-7 days",IF(M1976&lt;=14,"8-14 days",IF(M1976&lt;=21,"15-21 days","22+ days")))</f>
        <v>22+ days</v>
      </c>
    </row>
    <row r="1977" customFormat="false" ht="15" hidden="false" customHeight="false" outlineLevel="0" collapsed="false">
      <c r="A1977" s="21" t="s">
        <v>2043</v>
      </c>
      <c r="B1977" s="21" t="s">
        <v>19</v>
      </c>
      <c r="C1977" s="22" t="n">
        <v>43339</v>
      </c>
      <c r="D1977" s="22" t="n">
        <v>43344</v>
      </c>
      <c r="E1977" s="22" t="n">
        <v>43352</v>
      </c>
      <c r="F1977" s="21" t="s">
        <v>111</v>
      </c>
      <c r="G1977" s="23" t="n">
        <v>51.19</v>
      </c>
      <c r="H1977" s="23" t="n">
        <v>14.42</v>
      </c>
      <c r="I1977" s="21" t="s">
        <v>45</v>
      </c>
      <c r="J1977" s="21" t="n">
        <v>4</v>
      </c>
      <c r="K1977" s="21" t="s">
        <v>46</v>
      </c>
      <c r="L1977" s="24" t="n">
        <f aca="false">DATE(YEAR(C1977),MONTH(C1977),1)</f>
        <v>43313</v>
      </c>
      <c r="M1977" s="21" t="n">
        <f aca="false">D1977-C1977</f>
        <v>5</v>
      </c>
      <c r="N1977" s="21" t="n">
        <f aca="false">MAX(0,D1977-E1977)</f>
        <v>0</v>
      </c>
      <c r="O1977" s="21" t="n">
        <f aca="false">IF(D1977&lt;=E1977,1,0)</f>
        <v>1</v>
      </c>
      <c r="P1977" s="23" t="n">
        <f aca="false">G1977+H1977</f>
        <v>65.61</v>
      </c>
      <c r="Q1977" s="23" t="n">
        <f aca="false">G1977*INDEX(Assumptions!$B$8:$B$16,MATCH(F1977,Assumptions!$A$8:$A$16,0))</f>
        <v>32.2497</v>
      </c>
      <c r="R1977" s="23" t="n">
        <f aca="false">H1977*Assumptions!$B$3</f>
        <v>8.652</v>
      </c>
      <c r="S1977" s="23" t="n">
        <f aca="false">G1977-Q1977-R1977</f>
        <v>10.2883</v>
      </c>
      <c r="T1977" s="21" t="str">
        <f aca="false">IF(M1977&lt;=7,"0-7 days",IF(M1977&lt;=14,"8-14 days",IF(M1977&lt;=21,"15-21 days","22+ days")))</f>
        <v>0-7 days</v>
      </c>
    </row>
    <row r="1978" customFormat="false" ht="15" hidden="false" customHeight="false" outlineLevel="0" collapsed="false">
      <c r="A1978" s="21" t="s">
        <v>2044</v>
      </c>
      <c r="B1978" s="21" t="s">
        <v>62</v>
      </c>
      <c r="C1978" s="22" t="n">
        <v>43339</v>
      </c>
      <c r="D1978" s="22" t="n">
        <v>43348</v>
      </c>
      <c r="E1978" s="22" t="n">
        <v>43358</v>
      </c>
      <c r="F1978" s="21" t="s">
        <v>44</v>
      </c>
      <c r="G1978" s="23" t="n">
        <v>170.75</v>
      </c>
      <c r="H1978" s="23" t="n">
        <v>24.16</v>
      </c>
      <c r="I1978" s="21" t="s">
        <v>45</v>
      </c>
      <c r="J1978" s="21" t="n">
        <v>5</v>
      </c>
      <c r="K1978" s="21" t="s">
        <v>46</v>
      </c>
      <c r="L1978" s="24" t="n">
        <f aca="false">DATE(YEAR(C1978),MONTH(C1978),1)</f>
        <v>43313</v>
      </c>
      <c r="M1978" s="21" t="n">
        <f aca="false">D1978-C1978</f>
        <v>9</v>
      </c>
      <c r="N1978" s="21" t="n">
        <f aca="false">MAX(0,D1978-E1978)</f>
        <v>0</v>
      </c>
      <c r="O1978" s="21" t="n">
        <f aca="false">IF(D1978&lt;=E1978,1,0)</f>
        <v>1</v>
      </c>
      <c r="P1978" s="23" t="n">
        <f aca="false">G1978+H1978</f>
        <v>194.91</v>
      </c>
      <c r="Q1978" s="23" t="n">
        <f aca="false">G1978*INDEX(Assumptions!$B$8:$B$16,MATCH(F1978,Assumptions!$A$8:$A$16,0))</f>
        <v>102.45</v>
      </c>
      <c r="R1978" s="23" t="n">
        <f aca="false">H1978*Assumptions!$B$3</f>
        <v>14.496</v>
      </c>
      <c r="S1978" s="23" t="n">
        <f aca="false">G1978-Q1978-R1978</f>
        <v>53.804</v>
      </c>
      <c r="T1978" s="21" t="str">
        <f aca="false">IF(M1978&lt;=7,"0-7 days",IF(M1978&lt;=14,"8-14 days",IF(M1978&lt;=21,"15-21 days","22+ days")))</f>
        <v>8-14 days</v>
      </c>
    </row>
    <row r="1979" customFormat="false" ht="15" hidden="false" customHeight="false" outlineLevel="0" collapsed="false">
      <c r="A1979" s="21" t="s">
        <v>2045</v>
      </c>
      <c r="B1979" s="21" t="s">
        <v>55</v>
      </c>
      <c r="C1979" s="22" t="n">
        <v>43339</v>
      </c>
      <c r="D1979" s="22" t="n">
        <v>43357</v>
      </c>
      <c r="E1979" s="22" t="n">
        <v>43364</v>
      </c>
      <c r="F1979" s="21" t="s">
        <v>44</v>
      </c>
      <c r="G1979" s="23" t="n">
        <v>61.19</v>
      </c>
      <c r="H1979" s="23" t="n">
        <v>26.7</v>
      </c>
      <c r="I1979" s="21" t="s">
        <v>45</v>
      </c>
      <c r="J1979" s="21" t="n">
        <v>5</v>
      </c>
      <c r="K1979" s="21" t="s">
        <v>46</v>
      </c>
      <c r="L1979" s="24" t="n">
        <f aca="false">DATE(YEAR(C1979),MONTH(C1979),1)</f>
        <v>43313</v>
      </c>
      <c r="M1979" s="21" t="n">
        <f aca="false">D1979-C1979</f>
        <v>18</v>
      </c>
      <c r="N1979" s="21" t="n">
        <f aca="false">MAX(0,D1979-E1979)</f>
        <v>0</v>
      </c>
      <c r="O1979" s="21" t="n">
        <f aca="false">IF(D1979&lt;=E1979,1,0)</f>
        <v>1</v>
      </c>
      <c r="P1979" s="23" t="n">
        <f aca="false">G1979+H1979</f>
        <v>87.89</v>
      </c>
      <c r="Q1979" s="23" t="n">
        <f aca="false">G1979*INDEX(Assumptions!$B$8:$B$16,MATCH(F1979,Assumptions!$A$8:$A$16,0))</f>
        <v>36.714</v>
      </c>
      <c r="R1979" s="23" t="n">
        <f aca="false">H1979*Assumptions!$B$3</f>
        <v>16.02</v>
      </c>
      <c r="S1979" s="23" t="n">
        <f aca="false">G1979-Q1979-R1979</f>
        <v>8.456</v>
      </c>
      <c r="T1979" s="21" t="str">
        <f aca="false">IF(M1979&lt;=7,"0-7 days",IF(M1979&lt;=14,"8-14 days",IF(M1979&lt;=21,"15-21 days","22+ days")))</f>
        <v>15-21 days</v>
      </c>
    </row>
    <row r="1980" customFormat="false" ht="15" hidden="false" customHeight="false" outlineLevel="0" collapsed="false">
      <c r="A1980" s="21" t="s">
        <v>2046</v>
      </c>
      <c r="B1980" s="21" t="s">
        <v>62</v>
      </c>
      <c r="C1980" s="22" t="n">
        <v>43339</v>
      </c>
      <c r="D1980" s="22" t="n">
        <v>43359</v>
      </c>
      <c r="E1980" s="22" t="n">
        <v>43357</v>
      </c>
      <c r="F1980" s="21" t="s">
        <v>111</v>
      </c>
      <c r="G1980" s="23" t="n">
        <v>80.15</v>
      </c>
      <c r="H1980" s="23" t="n">
        <v>24.17</v>
      </c>
      <c r="I1980" s="21" t="s">
        <v>45</v>
      </c>
      <c r="J1980" s="21" t="n">
        <v>4</v>
      </c>
      <c r="K1980" s="21" t="s">
        <v>46</v>
      </c>
      <c r="L1980" s="24" t="n">
        <f aca="false">DATE(YEAR(C1980),MONTH(C1980),1)</f>
        <v>43313</v>
      </c>
      <c r="M1980" s="21" t="n">
        <f aca="false">D1980-C1980</f>
        <v>20</v>
      </c>
      <c r="N1980" s="21" t="n">
        <f aca="false">MAX(0,D1980-E1980)</f>
        <v>2</v>
      </c>
      <c r="O1980" s="21" t="n">
        <f aca="false">IF(D1980&lt;=E1980,1,0)</f>
        <v>0</v>
      </c>
      <c r="P1980" s="23" t="n">
        <f aca="false">G1980+H1980</f>
        <v>104.32</v>
      </c>
      <c r="Q1980" s="23" t="n">
        <f aca="false">G1980*INDEX(Assumptions!$B$8:$B$16,MATCH(F1980,Assumptions!$A$8:$A$16,0))</f>
        <v>50.4945</v>
      </c>
      <c r="R1980" s="23" t="n">
        <f aca="false">H1980*Assumptions!$B$3</f>
        <v>14.502</v>
      </c>
      <c r="S1980" s="23" t="n">
        <f aca="false">G1980-Q1980-R1980</f>
        <v>15.1535</v>
      </c>
      <c r="T1980" s="21" t="str">
        <f aca="false">IF(M1980&lt;=7,"0-7 days",IF(M1980&lt;=14,"8-14 days",IF(M1980&lt;=21,"15-21 days","22+ days")))</f>
        <v>15-21 days</v>
      </c>
    </row>
    <row r="1981" customFormat="false" ht="15" hidden="false" customHeight="false" outlineLevel="0" collapsed="false">
      <c r="A1981" s="21" t="s">
        <v>2047</v>
      </c>
      <c r="B1981" s="21" t="s">
        <v>48</v>
      </c>
      <c r="C1981" s="22" t="n">
        <v>43340</v>
      </c>
      <c r="D1981" s="22" t="n">
        <v>43350</v>
      </c>
      <c r="E1981" s="22" t="n">
        <v>43360</v>
      </c>
      <c r="F1981" s="21" t="s">
        <v>59</v>
      </c>
      <c r="G1981" s="23" t="n">
        <v>86.35</v>
      </c>
      <c r="H1981" s="23" t="n">
        <v>19.46</v>
      </c>
      <c r="I1981" s="21" t="s">
        <v>45</v>
      </c>
      <c r="J1981" s="21" t="n">
        <v>5</v>
      </c>
      <c r="K1981" s="21" t="s">
        <v>46</v>
      </c>
      <c r="L1981" s="24" t="n">
        <f aca="false">DATE(YEAR(C1981),MONTH(C1981),1)</f>
        <v>43313</v>
      </c>
      <c r="M1981" s="21" t="n">
        <f aca="false">D1981-C1981</f>
        <v>10</v>
      </c>
      <c r="N1981" s="21" t="n">
        <f aca="false">MAX(0,D1981-E1981)</f>
        <v>0</v>
      </c>
      <c r="O1981" s="21" t="n">
        <f aca="false">IF(D1981&lt;=E1981,1,0)</f>
        <v>1</v>
      </c>
      <c r="P1981" s="23" t="n">
        <f aca="false">G1981+H1981</f>
        <v>105.81</v>
      </c>
      <c r="Q1981" s="23" t="n">
        <f aca="false">G1981*INDEX(Assumptions!$B$8:$B$16,MATCH(F1981,Assumptions!$A$8:$A$16,0))</f>
        <v>55.264</v>
      </c>
      <c r="R1981" s="23" t="n">
        <f aca="false">H1981*Assumptions!$B$3</f>
        <v>11.676</v>
      </c>
      <c r="S1981" s="23" t="n">
        <f aca="false">G1981-Q1981-R1981</f>
        <v>19.41</v>
      </c>
      <c r="T1981" s="21" t="str">
        <f aca="false">IF(M1981&lt;=7,"0-7 days",IF(M1981&lt;=14,"8-14 days",IF(M1981&lt;=21,"15-21 days","22+ days")))</f>
        <v>8-14 days</v>
      </c>
    </row>
    <row r="1982" customFormat="false" ht="15" hidden="false" customHeight="false" outlineLevel="0" collapsed="false">
      <c r="A1982" s="21" t="s">
        <v>2048</v>
      </c>
      <c r="B1982" s="21" t="s">
        <v>52</v>
      </c>
      <c r="C1982" s="22" t="n">
        <v>43340</v>
      </c>
      <c r="D1982" s="22" t="n">
        <v>43350</v>
      </c>
      <c r="E1982" s="22" t="n">
        <v>43361</v>
      </c>
      <c r="F1982" s="21" t="s">
        <v>64</v>
      </c>
      <c r="G1982" s="23" t="n">
        <v>100.53</v>
      </c>
      <c r="H1982" s="23" t="n">
        <v>22.93</v>
      </c>
      <c r="I1982" s="21" t="s">
        <v>60</v>
      </c>
      <c r="J1982" s="21" t="n">
        <v>4</v>
      </c>
      <c r="K1982" s="21" t="s">
        <v>46</v>
      </c>
      <c r="L1982" s="24" t="n">
        <f aca="false">DATE(YEAR(C1982),MONTH(C1982),1)</f>
        <v>43313</v>
      </c>
      <c r="M1982" s="21" t="n">
        <f aca="false">D1982-C1982</f>
        <v>10</v>
      </c>
      <c r="N1982" s="21" t="n">
        <f aca="false">MAX(0,D1982-E1982)</f>
        <v>0</v>
      </c>
      <c r="O1982" s="21" t="n">
        <f aca="false">IF(D1982&lt;=E1982,1,0)</f>
        <v>1</v>
      </c>
      <c r="P1982" s="23" t="n">
        <f aca="false">G1982+H1982</f>
        <v>123.46</v>
      </c>
      <c r="Q1982" s="23" t="n">
        <f aca="false">G1982*INDEX(Assumptions!$B$8:$B$16,MATCH(F1982,Assumptions!$A$8:$A$16,0))</f>
        <v>66.3498</v>
      </c>
      <c r="R1982" s="23" t="n">
        <f aca="false">H1982*Assumptions!$B$3</f>
        <v>13.758</v>
      </c>
      <c r="S1982" s="23" t="n">
        <f aca="false">G1982-Q1982-R1982</f>
        <v>20.4222</v>
      </c>
      <c r="T1982" s="21" t="str">
        <f aca="false">IF(M1982&lt;=7,"0-7 days",IF(M1982&lt;=14,"8-14 days",IF(M1982&lt;=21,"15-21 days","22+ days")))</f>
        <v>8-14 days</v>
      </c>
    </row>
    <row r="1983" customFormat="false" ht="15" hidden="false" customHeight="false" outlineLevel="0" collapsed="false">
      <c r="A1983" s="21" t="s">
        <v>2049</v>
      </c>
      <c r="B1983" s="21" t="s">
        <v>19</v>
      </c>
      <c r="C1983" s="22" t="n">
        <v>43340</v>
      </c>
      <c r="D1983" s="22" t="n">
        <v>43349</v>
      </c>
      <c r="E1983" s="22" t="n">
        <v>43355</v>
      </c>
      <c r="F1983" s="21" t="s">
        <v>79</v>
      </c>
      <c r="G1983" s="23" t="n">
        <v>107.9</v>
      </c>
      <c r="H1983" s="23" t="n">
        <v>17.5</v>
      </c>
      <c r="I1983" s="21" t="s">
        <v>45</v>
      </c>
      <c r="J1983" s="21" t="n">
        <v>5</v>
      </c>
      <c r="K1983" s="21" t="s">
        <v>46</v>
      </c>
      <c r="L1983" s="24" t="n">
        <f aca="false">DATE(YEAR(C1983),MONTH(C1983),1)</f>
        <v>43313</v>
      </c>
      <c r="M1983" s="21" t="n">
        <f aca="false">D1983-C1983</f>
        <v>9</v>
      </c>
      <c r="N1983" s="21" t="n">
        <f aca="false">MAX(0,D1983-E1983)</f>
        <v>0</v>
      </c>
      <c r="O1983" s="21" t="n">
        <f aca="false">IF(D1983&lt;=E1983,1,0)</f>
        <v>1</v>
      </c>
      <c r="P1983" s="23" t="n">
        <f aca="false">G1983+H1983</f>
        <v>125.4</v>
      </c>
      <c r="Q1983" s="23" t="n">
        <f aca="false">G1983*INDEX(Assumptions!$B$8:$B$16,MATCH(F1983,Assumptions!$A$8:$A$16,0))</f>
        <v>75.53</v>
      </c>
      <c r="R1983" s="23" t="n">
        <f aca="false">H1983*Assumptions!$B$3</f>
        <v>10.5</v>
      </c>
      <c r="S1983" s="23" t="n">
        <f aca="false">G1983-Q1983-R1983</f>
        <v>21.87</v>
      </c>
      <c r="T1983" s="21" t="str">
        <f aca="false">IF(M1983&lt;=7,"0-7 days",IF(M1983&lt;=14,"8-14 days",IF(M1983&lt;=21,"15-21 days","22+ days")))</f>
        <v>8-14 days</v>
      </c>
    </row>
    <row r="1984" customFormat="false" ht="15" hidden="false" customHeight="false" outlineLevel="0" collapsed="false">
      <c r="A1984" s="21" t="s">
        <v>2050</v>
      </c>
      <c r="B1984" s="21" t="s">
        <v>93</v>
      </c>
      <c r="C1984" s="22" t="n">
        <v>43340</v>
      </c>
      <c r="D1984" s="22" t="n">
        <v>43353</v>
      </c>
      <c r="E1984" s="22" t="n">
        <v>43374</v>
      </c>
      <c r="F1984" s="21" t="s">
        <v>79</v>
      </c>
      <c r="G1984" s="23" t="n">
        <v>158.66</v>
      </c>
      <c r="H1984" s="23" t="n">
        <v>43.55</v>
      </c>
      <c r="I1984" s="21" t="s">
        <v>60</v>
      </c>
      <c r="J1984" s="21" t="n">
        <v>4</v>
      </c>
      <c r="K1984" s="21" t="s">
        <v>46</v>
      </c>
      <c r="L1984" s="24" t="n">
        <f aca="false">DATE(YEAR(C1984),MONTH(C1984),1)</f>
        <v>43313</v>
      </c>
      <c r="M1984" s="21" t="n">
        <f aca="false">D1984-C1984</f>
        <v>13</v>
      </c>
      <c r="N1984" s="21" t="n">
        <f aca="false">MAX(0,D1984-E1984)</f>
        <v>0</v>
      </c>
      <c r="O1984" s="21" t="n">
        <f aca="false">IF(D1984&lt;=E1984,1,0)</f>
        <v>1</v>
      </c>
      <c r="P1984" s="23" t="n">
        <f aca="false">G1984+H1984</f>
        <v>202.21</v>
      </c>
      <c r="Q1984" s="23" t="n">
        <f aca="false">G1984*INDEX(Assumptions!$B$8:$B$16,MATCH(F1984,Assumptions!$A$8:$A$16,0))</f>
        <v>111.062</v>
      </c>
      <c r="R1984" s="23" t="n">
        <f aca="false">H1984*Assumptions!$B$3</f>
        <v>26.13</v>
      </c>
      <c r="S1984" s="23" t="n">
        <f aca="false">G1984-Q1984-R1984</f>
        <v>21.468</v>
      </c>
      <c r="T1984" s="21" t="str">
        <f aca="false">IF(M1984&lt;=7,"0-7 days",IF(M1984&lt;=14,"8-14 days",IF(M1984&lt;=21,"15-21 days","22+ days")))</f>
        <v>8-14 days</v>
      </c>
    </row>
    <row r="1985" customFormat="false" ht="15" hidden="false" customHeight="false" outlineLevel="0" collapsed="false">
      <c r="A1985" s="21" t="s">
        <v>2051</v>
      </c>
      <c r="B1985" s="21" t="s">
        <v>48</v>
      </c>
      <c r="C1985" s="22" t="n">
        <v>43340</v>
      </c>
      <c r="D1985" s="22" t="n">
        <v>43363</v>
      </c>
      <c r="E1985" s="22" t="n">
        <v>43362</v>
      </c>
      <c r="F1985" s="21" t="s">
        <v>44</v>
      </c>
      <c r="G1985" s="23" t="n">
        <v>211.92</v>
      </c>
      <c r="H1985" s="23" t="n">
        <v>28.95</v>
      </c>
      <c r="I1985" s="21" t="s">
        <v>45</v>
      </c>
      <c r="J1985" s="21" t="n">
        <v>4</v>
      </c>
      <c r="K1985" s="21" t="s">
        <v>46</v>
      </c>
      <c r="L1985" s="24" t="n">
        <f aca="false">DATE(YEAR(C1985),MONTH(C1985),1)</f>
        <v>43313</v>
      </c>
      <c r="M1985" s="21" t="n">
        <f aca="false">D1985-C1985</f>
        <v>23</v>
      </c>
      <c r="N1985" s="21" t="n">
        <f aca="false">MAX(0,D1985-E1985)</f>
        <v>1</v>
      </c>
      <c r="O1985" s="21" t="n">
        <f aca="false">IF(D1985&lt;=E1985,1,0)</f>
        <v>0</v>
      </c>
      <c r="P1985" s="23" t="n">
        <f aca="false">G1985+H1985</f>
        <v>240.87</v>
      </c>
      <c r="Q1985" s="23" t="n">
        <f aca="false">G1985*INDEX(Assumptions!$B$8:$B$16,MATCH(F1985,Assumptions!$A$8:$A$16,0))</f>
        <v>127.152</v>
      </c>
      <c r="R1985" s="23" t="n">
        <f aca="false">H1985*Assumptions!$B$3</f>
        <v>17.37</v>
      </c>
      <c r="S1985" s="23" t="n">
        <f aca="false">G1985-Q1985-R1985</f>
        <v>67.398</v>
      </c>
      <c r="T1985" s="21" t="str">
        <f aca="false">IF(M1985&lt;=7,"0-7 days",IF(M1985&lt;=14,"8-14 days",IF(M1985&lt;=21,"15-21 days","22+ days")))</f>
        <v>22+ days</v>
      </c>
    </row>
    <row r="1986" customFormat="false" ht="15" hidden="false" customHeight="false" outlineLevel="0" collapsed="false">
      <c r="A1986" s="21" t="s">
        <v>2052</v>
      </c>
      <c r="B1986" s="21" t="s">
        <v>55</v>
      </c>
      <c r="C1986" s="22" t="n">
        <v>43340</v>
      </c>
      <c r="D1986" s="22" t="n">
        <v>43356</v>
      </c>
      <c r="E1986" s="22" t="n">
        <v>43366</v>
      </c>
      <c r="F1986" s="21" t="s">
        <v>49</v>
      </c>
      <c r="G1986" s="23" t="n">
        <v>72.45</v>
      </c>
      <c r="H1986" s="23" t="n">
        <v>18.5</v>
      </c>
      <c r="I1986" s="21" t="s">
        <v>45</v>
      </c>
      <c r="J1986" s="21" t="n">
        <v>3</v>
      </c>
      <c r="K1986" s="21" t="s">
        <v>46</v>
      </c>
      <c r="L1986" s="24" t="n">
        <f aca="false">DATE(YEAR(C1986),MONTH(C1986),1)</f>
        <v>43313</v>
      </c>
      <c r="M1986" s="21" t="n">
        <f aca="false">D1986-C1986</f>
        <v>16</v>
      </c>
      <c r="N1986" s="21" t="n">
        <f aca="false">MAX(0,D1986-E1986)</f>
        <v>0</v>
      </c>
      <c r="O1986" s="21" t="n">
        <f aca="false">IF(D1986&lt;=E1986,1,0)</f>
        <v>1</v>
      </c>
      <c r="P1986" s="23" t="n">
        <f aca="false">G1986+H1986</f>
        <v>90.95</v>
      </c>
      <c r="Q1986" s="23" t="n">
        <f aca="false">G1986*INDEX(Assumptions!$B$8:$B$16,MATCH(F1986,Assumptions!$A$8:$A$16,0))</f>
        <v>42.021</v>
      </c>
      <c r="R1986" s="23" t="n">
        <f aca="false">H1986*Assumptions!$B$3</f>
        <v>11.1</v>
      </c>
      <c r="S1986" s="23" t="n">
        <f aca="false">G1986-Q1986-R1986</f>
        <v>19.329</v>
      </c>
      <c r="T1986" s="21" t="str">
        <f aca="false">IF(M1986&lt;=7,"0-7 days",IF(M1986&lt;=14,"8-14 days",IF(M1986&lt;=21,"15-21 days","22+ days")))</f>
        <v>15-21 days</v>
      </c>
    </row>
    <row r="1987" customFormat="false" ht="15" hidden="false" customHeight="false" outlineLevel="0" collapsed="false">
      <c r="A1987" s="21" t="s">
        <v>2053</v>
      </c>
      <c r="B1987" s="21" t="s">
        <v>19</v>
      </c>
      <c r="C1987" s="22" t="n">
        <v>43340</v>
      </c>
      <c r="D1987" s="22" t="n">
        <v>43345</v>
      </c>
      <c r="E1987" s="22" t="n">
        <v>43357</v>
      </c>
      <c r="F1987" s="21" t="s">
        <v>59</v>
      </c>
      <c r="G1987" s="23" t="n">
        <v>88.38</v>
      </c>
      <c r="H1987" s="23" t="n">
        <v>14.7</v>
      </c>
      <c r="I1987" s="21" t="s">
        <v>45</v>
      </c>
      <c r="J1987" s="21" t="n">
        <v>5</v>
      </c>
      <c r="K1987" s="21" t="s">
        <v>46</v>
      </c>
      <c r="L1987" s="24" t="n">
        <f aca="false">DATE(YEAR(C1987),MONTH(C1987),1)</f>
        <v>43313</v>
      </c>
      <c r="M1987" s="21" t="n">
        <f aca="false">D1987-C1987</f>
        <v>5</v>
      </c>
      <c r="N1987" s="21" t="n">
        <f aca="false">MAX(0,D1987-E1987)</f>
        <v>0</v>
      </c>
      <c r="O1987" s="21" t="n">
        <f aca="false">IF(D1987&lt;=E1987,1,0)</f>
        <v>1</v>
      </c>
      <c r="P1987" s="23" t="n">
        <f aca="false">G1987+H1987</f>
        <v>103.08</v>
      </c>
      <c r="Q1987" s="23" t="n">
        <f aca="false">G1987*INDEX(Assumptions!$B$8:$B$16,MATCH(F1987,Assumptions!$A$8:$A$16,0))</f>
        <v>56.5632</v>
      </c>
      <c r="R1987" s="23" t="n">
        <f aca="false">H1987*Assumptions!$B$3</f>
        <v>8.82</v>
      </c>
      <c r="S1987" s="23" t="n">
        <f aca="false">G1987-Q1987-R1987</f>
        <v>22.9968</v>
      </c>
      <c r="T1987" s="21" t="str">
        <f aca="false">IF(M1987&lt;=7,"0-7 days",IF(M1987&lt;=14,"8-14 days",IF(M1987&lt;=21,"15-21 days","22+ days")))</f>
        <v>0-7 days</v>
      </c>
    </row>
    <row r="1988" customFormat="false" ht="15" hidden="false" customHeight="false" outlineLevel="0" collapsed="false">
      <c r="A1988" s="21" t="s">
        <v>2054</v>
      </c>
      <c r="B1988" s="21" t="s">
        <v>19</v>
      </c>
      <c r="C1988" s="22" t="n">
        <v>43340</v>
      </c>
      <c r="D1988" s="22" t="n">
        <v>43353</v>
      </c>
      <c r="E1988" s="22" t="n">
        <v>43358</v>
      </c>
      <c r="F1988" s="21" t="s">
        <v>67</v>
      </c>
      <c r="G1988" s="23" t="n">
        <v>352.09</v>
      </c>
      <c r="H1988" s="23" t="n">
        <v>21.83</v>
      </c>
      <c r="I1988" s="21" t="s">
        <v>45</v>
      </c>
      <c r="J1988" s="21" t="n">
        <v>5</v>
      </c>
      <c r="K1988" s="21" t="s">
        <v>46</v>
      </c>
      <c r="L1988" s="24" t="n">
        <f aca="false">DATE(YEAR(C1988),MONTH(C1988),1)</f>
        <v>43313</v>
      </c>
      <c r="M1988" s="21" t="n">
        <f aca="false">D1988-C1988</f>
        <v>13</v>
      </c>
      <c r="N1988" s="21" t="n">
        <f aca="false">MAX(0,D1988-E1988)</f>
        <v>0</v>
      </c>
      <c r="O1988" s="21" t="n">
        <f aca="false">IF(D1988&lt;=E1988,1,0)</f>
        <v>1</v>
      </c>
      <c r="P1988" s="23" t="n">
        <f aca="false">G1988+H1988</f>
        <v>373.92</v>
      </c>
      <c r="Q1988" s="23" t="n">
        <f aca="false">G1988*INDEX(Assumptions!$B$8:$B$16,MATCH(F1988,Assumptions!$A$8:$A$16,0))</f>
        <v>218.2958</v>
      </c>
      <c r="R1988" s="23" t="n">
        <f aca="false">H1988*Assumptions!$B$3</f>
        <v>13.098</v>
      </c>
      <c r="S1988" s="23" t="n">
        <f aca="false">G1988-Q1988-R1988</f>
        <v>120.6962</v>
      </c>
      <c r="T1988" s="21" t="str">
        <f aca="false">IF(M1988&lt;=7,"0-7 days",IF(M1988&lt;=14,"8-14 days",IF(M1988&lt;=21,"15-21 days","22+ days")))</f>
        <v>8-14 days</v>
      </c>
    </row>
    <row r="1989" customFormat="false" ht="15" hidden="false" customHeight="false" outlineLevel="0" collapsed="false">
      <c r="A1989" s="21" t="s">
        <v>2055</v>
      </c>
      <c r="B1989" s="21" t="s">
        <v>19</v>
      </c>
      <c r="C1989" s="22" t="n">
        <v>43341</v>
      </c>
      <c r="D1989" s="22" t="n">
        <v>43354</v>
      </c>
      <c r="E1989" s="22" t="n">
        <v>43355</v>
      </c>
      <c r="F1989" s="21" t="s">
        <v>111</v>
      </c>
      <c r="G1989" s="23" t="n">
        <v>71.4</v>
      </c>
      <c r="H1989" s="23" t="n">
        <v>13.78</v>
      </c>
      <c r="I1989" s="21" t="s">
        <v>45</v>
      </c>
      <c r="J1989" s="21" t="n">
        <v>5</v>
      </c>
      <c r="K1989" s="21" t="s">
        <v>46</v>
      </c>
      <c r="L1989" s="24" t="n">
        <f aca="false">DATE(YEAR(C1989),MONTH(C1989),1)</f>
        <v>43313</v>
      </c>
      <c r="M1989" s="21" t="n">
        <f aca="false">D1989-C1989</f>
        <v>13</v>
      </c>
      <c r="N1989" s="21" t="n">
        <f aca="false">MAX(0,D1989-E1989)</f>
        <v>0</v>
      </c>
      <c r="O1989" s="21" t="n">
        <f aca="false">IF(D1989&lt;=E1989,1,0)</f>
        <v>1</v>
      </c>
      <c r="P1989" s="23" t="n">
        <f aca="false">G1989+H1989</f>
        <v>85.18</v>
      </c>
      <c r="Q1989" s="23" t="n">
        <f aca="false">G1989*INDEX(Assumptions!$B$8:$B$16,MATCH(F1989,Assumptions!$A$8:$A$16,0))</f>
        <v>44.982</v>
      </c>
      <c r="R1989" s="23" t="n">
        <f aca="false">H1989*Assumptions!$B$3</f>
        <v>8.268</v>
      </c>
      <c r="S1989" s="23" t="n">
        <f aca="false">G1989-Q1989-R1989</f>
        <v>18.15</v>
      </c>
      <c r="T1989" s="21" t="str">
        <f aca="false">IF(M1989&lt;=7,"0-7 days",IF(M1989&lt;=14,"8-14 days",IF(M1989&lt;=21,"15-21 days","22+ days")))</f>
        <v>8-14 days</v>
      </c>
    </row>
    <row r="1990" customFormat="false" ht="15" hidden="false" customHeight="false" outlineLevel="0" collapsed="false">
      <c r="A1990" s="21" t="s">
        <v>2056</v>
      </c>
      <c r="B1990" s="21" t="s">
        <v>55</v>
      </c>
      <c r="C1990" s="22" t="n">
        <v>43341</v>
      </c>
      <c r="D1990" s="22" t="n">
        <v>43355</v>
      </c>
      <c r="E1990" s="22" t="n">
        <v>43367</v>
      </c>
      <c r="F1990" s="21" t="s">
        <v>67</v>
      </c>
      <c r="G1990" s="23" t="n">
        <v>116.06</v>
      </c>
      <c r="H1990" s="23" t="n">
        <v>21.56</v>
      </c>
      <c r="I1990" s="21" t="s">
        <v>45</v>
      </c>
      <c r="J1990" s="21" t="n">
        <v>5</v>
      </c>
      <c r="K1990" s="21" t="s">
        <v>46</v>
      </c>
      <c r="L1990" s="24" t="n">
        <f aca="false">DATE(YEAR(C1990),MONTH(C1990),1)</f>
        <v>43313</v>
      </c>
      <c r="M1990" s="21" t="n">
        <f aca="false">D1990-C1990</f>
        <v>14</v>
      </c>
      <c r="N1990" s="21" t="n">
        <f aca="false">MAX(0,D1990-E1990)</f>
        <v>0</v>
      </c>
      <c r="O1990" s="21" t="n">
        <f aca="false">IF(D1990&lt;=E1990,1,0)</f>
        <v>1</v>
      </c>
      <c r="P1990" s="23" t="n">
        <f aca="false">G1990+H1990</f>
        <v>137.62</v>
      </c>
      <c r="Q1990" s="23" t="n">
        <f aca="false">G1990*INDEX(Assumptions!$B$8:$B$16,MATCH(F1990,Assumptions!$A$8:$A$16,0))</f>
        <v>71.9572</v>
      </c>
      <c r="R1990" s="23" t="n">
        <f aca="false">H1990*Assumptions!$B$3</f>
        <v>12.936</v>
      </c>
      <c r="S1990" s="23" t="n">
        <f aca="false">G1990-Q1990-R1990</f>
        <v>31.1668</v>
      </c>
      <c r="T1990" s="21" t="str">
        <f aca="false">IF(M1990&lt;=7,"0-7 days",IF(M1990&lt;=14,"8-14 days",IF(M1990&lt;=21,"15-21 days","22+ days")))</f>
        <v>8-14 days</v>
      </c>
    </row>
    <row r="1991" customFormat="false" ht="15" hidden="false" customHeight="false" outlineLevel="0" collapsed="false">
      <c r="A1991" s="21" t="s">
        <v>2057</v>
      </c>
      <c r="B1991" s="21" t="s">
        <v>19</v>
      </c>
      <c r="C1991" s="22" t="n">
        <v>43342</v>
      </c>
      <c r="D1991" s="22" t="n">
        <v>43350</v>
      </c>
      <c r="E1991" s="22" t="n">
        <v>43356</v>
      </c>
      <c r="F1991" s="21" t="s">
        <v>53</v>
      </c>
      <c r="G1991" s="23" t="n">
        <v>85.59</v>
      </c>
      <c r="H1991" s="23" t="n">
        <v>12.27</v>
      </c>
      <c r="I1991" s="21" t="s">
        <v>45</v>
      </c>
      <c r="J1991" s="21" t="n">
        <v>5</v>
      </c>
      <c r="K1991" s="21" t="s">
        <v>46</v>
      </c>
      <c r="L1991" s="24" t="n">
        <f aca="false">DATE(YEAR(C1991),MONTH(C1991),1)</f>
        <v>43313</v>
      </c>
      <c r="M1991" s="21" t="n">
        <f aca="false">D1991-C1991</f>
        <v>8</v>
      </c>
      <c r="N1991" s="21" t="n">
        <f aca="false">MAX(0,D1991-E1991)</f>
        <v>0</v>
      </c>
      <c r="O1991" s="21" t="n">
        <f aca="false">IF(D1991&lt;=E1991,1,0)</f>
        <v>1</v>
      </c>
      <c r="P1991" s="23" t="n">
        <f aca="false">G1991+H1991</f>
        <v>97.86</v>
      </c>
      <c r="Q1991" s="23" t="n">
        <f aca="false">G1991*INDEX(Assumptions!$B$8:$B$16,MATCH(F1991,Assumptions!$A$8:$A$16,0))</f>
        <v>63.3366</v>
      </c>
      <c r="R1991" s="23" t="n">
        <f aca="false">H1991*Assumptions!$B$3</f>
        <v>7.362</v>
      </c>
      <c r="S1991" s="23" t="n">
        <f aca="false">G1991-Q1991-R1991</f>
        <v>14.8914</v>
      </c>
      <c r="T1991" s="21" t="str">
        <f aca="false">IF(M1991&lt;=7,"0-7 days",IF(M1991&lt;=14,"8-14 days",IF(M1991&lt;=21,"15-21 days","22+ days")))</f>
        <v>8-14 days</v>
      </c>
    </row>
    <row r="1992" customFormat="false" ht="15" hidden="false" customHeight="false" outlineLevel="0" collapsed="false">
      <c r="A1992" s="21" t="s">
        <v>2058</v>
      </c>
      <c r="B1992" s="21" t="s">
        <v>19</v>
      </c>
      <c r="C1992" s="22" t="n">
        <v>43342</v>
      </c>
      <c r="D1992" s="22" t="n">
        <v>43349</v>
      </c>
      <c r="E1992" s="22" t="n">
        <v>43359</v>
      </c>
      <c r="F1992" s="21" t="s">
        <v>59</v>
      </c>
      <c r="G1992" s="23" t="n">
        <v>238.65</v>
      </c>
      <c r="H1992" s="23" t="n">
        <v>25.05</v>
      </c>
      <c r="I1992" s="21" t="s">
        <v>60</v>
      </c>
      <c r="J1992" s="21" t="n">
        <v>5</v>
      </c>
      <c r="K1992" s="21" t="s">
        <v>46</v>
      </c>
      <c r="L1992" s="24" t="n">
        <f aca="false">DATE(YEAR(C1992),MONTH(C1992),1)</f>
        <v>43313</v>
      </c>
      <c r="M1992" s="21" t="n">
        <f aca="false">D1992-C1992</f>
        <v>7</v>
      </c>
      <c r="N1992" s="21" t="n">
        <f aca="false">MAX(0,D1992-E1992)</f>
        <v>0</v>
      </c>
      <c r="O1992" s="21" t="n">
        <f aca="false">IF(D1992&lt;=E1992,1,0)</f>
        <v>1</v>
      </c>
      <c r="P1992" s="23" t="n">
        <f aca="false">G1992+H1992</f>
        <v>263.7</v>
      </c>
      <c r="Q1992" s="23" t="n">
        <f aca="false">G1992*INDEX(Assumptions!$B$8:$B$16,MATCH(F1992,Assumptions!$A$8:$A$16,0))</f>
        <v>152.736</v>
      </c>
      <c r="R1992" s="23" t="n">
        <f aca="false">H1992*Assumptions!$B$3</f>
        <v>15.03</v>
      </c>
      <c r="S1992" s="23" t="n">
        <f aca="false">G1992-Q1992-R1992</f>
        <v>70.884</v>
      </c>
      <c r="T1992" s="21" t="str">
        <f aca="false">IF(M1992&lt;=7,"0-7 days",IF(M1992&lt;=14,"8-14 days",IF(M1992&lt;=21,"15-21 days","22+ days")))</f>
        <v>0-7 days</v>
      </c>
    </row>
    <row r="1993" customFormat="false" ht="15" hidden="false" customHeight="false" outlineLevel="0" collapsed="false">
      <c r="A1993" s="21" t="s">
        <v>2059</v>
      </c>
      <c r="B1993" s="21" t="s">
        <v>93</v>
      </c>
      <c r="C1993" s="22" t="n">
        <v>43342</v>
      </c>
      <c r="D1993" s="22" t="n">
        <v>43355</v>
      </c>
      <c r="E1993" s="22" t="n">
        <v>43368</v>
      </c>
      <c r="F1993" s="21" t="s">
        <v>111</v>
      </c>
      <c r="G1993" s="23" t="n">
        <v>59.27</v>
      </c>
      <c r="H1993" s="23" t="n">
        <v>34.75</v>
      </c>
      <c r="I1993" s="21" t="s">
        <v>45</v>
      </c>
      <c r="J1993" s="21" t="n">
        <v>3</v>
      </c>
      <c r="K1993" s="21" t="s">
        <v>46</v>
      </c>
      <c r="L1993" s="24" t="n">
        <f aca="false">DATE(YEAR(C1993),MONTH(C1993),1)</f>
        <v>43313</v>
      </c>
      <c r="M1993" s="21" t="n">
        <f aca="false">D1993-C1993</f>
        <v>13</v>
      </c>
      <c r="N1993" s="21" t="n">
        <f aca="false">MAX(0,D1993-E1993)</f>
        <v>0</v>
      </c>
      <c r="O1993" s="21" t="n">
        <f aca="false">IF(D1993&lt;=E1993,1,0)</f>
        <v>1</v>
      </c>
      <c r="P1993" s="23" t="n">
        <f aca="false">G1993+H1993</f>
        <v>94.02</v>
      </c>
      <c r="Q1993" s="23" t="n">
        <f aca="false">G1993*INDEX(Assumptions!$B$8:$B$16,MATCH(F1993,Assumptions!$A$8:$A$16,0))</f>
        <v>37.3401</v>
      </c>
      <c r="R1993" s="23" t="n">
        <f aca="false">H1993*Assumptions!$B$3</f>
        <v>20.85</v>
      </c>
      <c r="S1993" s="23" t="n">
        <f aca="false">G1993-Q1993-R1993</f>
        <v>1.07990000000001</v>
      </c>
      <c r="T1993" s="21" t="str">
        <f aca="false">IF(M1993&lt;=7,"0-7 days",IF(M1993&lt;=14,"8-14 days",IF(M1993&lt;=21,"15-21 days","22+ days")))</f>
        <v>8-14 days</v>
      </c>
    </row>
    <row r="1994" customFormat="false" ht="15" hidden="false" customHeight="false" outlineLevel="0" collapsed="false">
      <c r="A1994" s="21" t="s">
        <v>2060</v>
      </c>
      <c r="B1994" s="21" t="s">
        <v>19</v>
      </c>
      <c r="C1994" s="22" t="n">
        <v>43342</v>
      </c>
      <c r="D1994" s="22" t="n">
        <v>43350</v>
      </c>
      <c r="E1994" s="22" t="n">
        <v>43359</v>
      </c>
      <c r="F1994" s="21" t="s">
        <v>64</v>
      </c>
      <c r="G1994" s="23" t="n">
        <v>190.37</v>
      </c>
      <c r="H1994" s="23" t="n">
        <v>22.41</v>
      </c>
      <c r="I1994" s="21" t="s">
        <v>60</v>
      </c>
      <c r="J1994" s="21" t="n">
        <v>5</v>
      </c>
      <c r="K1994" s="21" t="s">
        <v>46</v>
      </c>
      <c r="L1994" s="24" t="n">
        <f aca="false">DATE(YEAR(C1994),MONTH(C1994),1)</f>
        <v>43313</v>
      </c>
      <c r="M1994" s="21" t="n">
        <f aca="false">D1994-C1994</f>
        <v>8</v>
      </c>
      <c r="N1994" s="21" t="n">
        <f aca="false">MAX(0,D1994-E1994)</f>
        <v>0</v>
      </c>
      <c r="O1994" s="21" t="n">
        <f aca="false">IF(D1994&lt;=E1994,1,0)</f>
        <v>1</v>
      </c>
      <c r="P1994" s="23" t="n">
        <f aca="false">G1994+H1994</f>
        <v>212.78</v>
      </c>
      <c r="Q1994" s="23" t="n">
        <f aca="false">G1994*INDEX(Assumptions!$B$8:$B$16,MATCH(F1994,Assumptions!$A$8:$A$16,0))</f>
        <v>125.6442</v>
      </c>
      <c r="R1994" s="23" t="n">
        <f aca="false">H1994*Assumptions!$B$3</f>
        <v>13.446</v>
      </c>
      <c r="S1994" s="23" t="n">
        <f aca="false">G1994-Q1994-R1994</f>
        <v>51.2798</v>
      </c>
      <c r="T1994" s="21" t="str">
        <f aca="false">IF(M1994&lt;=7,"0-7 days",IF(M1994&lt;=14,"8-14 days",IF(M1994&lt;=21,"15-21 days","22+ days")))</f>
        <v>8-14 days</v>
      </c>
    </row>
    <row r="1995" customFormat="false" ht="15" hidden="false" customHeight="false" outlineLevel="0" collapsed="false">
      <c r="A1995" s="21" t="s">
        <v>2061</v>
      </c>
      <c r="B1995" s="21" t="s">
        <v>48</v>
      </c>
      <c r="C1995" s="22" t="n">
        <v>43342</v>
      </c>
      <c r="D1995" s="22" t="n">
        <v>43350</v>
      </c>
      <c r="E1995" s="22" t="n">
        <v>43360</v>
      </c>
      <c r="F1995" s="21" t="s">
        <v>67</v>
      </c>
      <c r="G1995" s="23" t="n">
        <v>59.17</v>
      </c>
      <c r="H1995" s="23" t="n">
        <v>22.26</v>
      </c>
      <c r="I1995" s="21" t="s">
        <v>45</v>
      </c>
      <c r="J1995" s="21" t="n">
        <v>5</v>
      </c>
      <c r="K1995" s="21" t="s">
        <v>46</v>
      </c>
      <c r="L1995" s="24" t="n">
        <f aca="false">DATE(YEAR(C1995),MONTH(C1995),1)</f>
        <v>43313</v>
      </c>
      <c r="M1995" s="21" t="n">
        <f aca="false">D1995-C1995</f>
        <v>8</v>
      </c>
      <c r="N1995" s="21" t="n">
        <f aca="false">MAX(0,D1995-E1995)</f>
        <v>0</v>
      </c>
      <c r="O1995" s="21" t="n">
        <f aca="false">IF(D1995&lt;=E1995,1,0)</f>
        <v>1</v>
      </c>
      <c r="P1995" s="23" t="n">
        <f aca="false">G1995+H1995</f>
        <v>81.43</v>
      </c>
      <c r="Q1995" s="23" t="n">
        <f aca="false">G1995*INDEX(Assumptions!$B$8:$B$16,MATCH(F1995,Assumptions!$A$8:$A$16,0))</f>
        <v>36.6854</v>
      </c>
      <c r="R1995" s="23" t="n">
        <f aca="false">H1995*Assumptions!$B$3</f>
        <v>13.356</v>
      </c>
      <c r="S1995" s="23" t="n">
        <f aca="false">G1995-Q1995-R1995</f>
        <v>9.1286</v>
      </c>
      <c r="T1995" s="21" t="str">
        <f aca="false">IF(M1995&lt;=7,"0-7 days",IF(M1995&lt;=14,"8-14 days",IF(M1995&lt;=21,"15-21 days","22+ days")))</f>
        <v>8-14 days</v>
      </c>
    </row>
    <row r="1996" customFormat="false" ht="15" hidden="false" customHeight="false" outlineLevel="0" collapsed="false">
      <c r="A1996" s="21" t="s">
        <v>2062</v>
      </c>
      <c r="B1996" s="21" t="s">
        <v>93</v>
      </c>
      <c r="C1996" s="22" t="n">
        <v>43342</v>
      </c>
      <c r="D1996" s="22" t="n">
        <v>43364</v>
      </c>
      <c r="E1996" s="22" t="n">
        <v>43375</v>
      </c>
      <c r="F1996" s="21" t="s">
        <v>49</v>
      </c>
      <c r="G1996" s="23" t="n">
        <v>104.44</v>
      </c>
      <c r="H1996" s="23" t="n">
        <v>28.58</v>
      </c>
      <c r="I1996" s="21" t="s">
        <v>45</v>
      </c>
      <c r="J1996" s="21" t="n">
        <v>5</v>
      </c>
      <c r="K1996" s="21" t="s">
        <v>46</v>
      </c>
      <c r="L1996" s="24" t="n">
        <f aca="false">DATE(YEAR(C1996),MONTH(C1996),1)</f>
        <v>43313</v>
      </c>
      <c r="M1996" s="21" t="n">
        <f aca="false">D1996-C1996</f>
        <v>22</v>
      </c>
      <c r="N1996" s="21" t="n">
        <f aca="false">MAX(0,D1996-E1996)</f>
        <v>0</v>
      </c>
      <c r="O1996" s="21" t="n">
        <f aca="false">IF(D1996&lt;=E1996,1,0)</f>
        <v>1</v>
      </c>
      <c r="P1996" s="23" t="n">
        <f aca="false">G1996+H1996</f>
        <v>133.02</v>
      </c>
      <c r="Q1996" s="23" t="n">
        <f aca="false">G1996*INDEX(Assumptions!$B$8:$B$16,MATCH(F1996,Assumptions!$A$8:$A$16,0))</f>
        <v>60.5752</v>
      </c>
      <c r="R1996" s="23" t="n">
        <f aca="false">H1996*Assumptions!$B$3</f>
        <v>17.148</v>
      </c>
      <c r="S1996" s="23" t="n">
        <f aca="false">G1996-Q1996-R1996</f>
        <v>26.7168</v>
      </c>
      <c r="T1996" s="21" t="str">
        <f aca="false">IF(M1996&lt;=7,"0-7 days",IF(M1996&lt;=14,"8-14 days",IF(M1996&lt;=21,"15-21 days","22+ days")))</f>
        <v>22+ days</v>
      </c>
    </row>
    <row r="1997" customFormat="false" ht="15" hidden="false" customHeight="false" outlineLevel="0" collapsed="false">
      <c r="A1997" s="21" t="s">
        <v>2063</v>
      </c>
      <c r="B1997" s="21" t="s">
        <v>48</v>
      </c>
      <c r="C1997" s="22" t="n">
        <v>43342</v>
      </c>
      <c r="D1997" s="22" t="n">
        <v>43347</v>
      </c>
      <c r="E1997" s="22" t="n">
        <v>43363</v>
      </c>
      <c r="F1997" s="21" t="s">
        <v>79</v>
      </c>
      <c r="G1997" s="23" t="n">
        <v>119.77</v>
      </c>
      <c r="H1997" s="23" t="n">
        <v>26.34</v>
      </c>
      <c r="I1997" s="21" t="s">
        <v>60</v>
      </c>
      <c r="J1997" s="21" t="n">
        <v>4</v>
      </c>
      <c r="K1997" s="21" t="s">
        <v>46</v>
      </c>
      <c r="L1997" s="24" t="n">
        <f aca="false">DATE(YEAR(C1997),MONTH(C1997),1)</f>
        <v>43313</v>
      </c>
      <c r="M1997" s="21" t="n">
        <f aca="false">D1997-C1997</f>
        <v>5</v>
      </c>
      <c r="N1997" s="21" t="n">
        <f aca="false">MAX(0,D1997-E1997)</f>
        <v>0</v>
      </c>
      <c r="O1997" s="21" t="n">
        <f aca="false">IF(D1997&lt;=E1997,1,0)</f>
        <v>1</v>
      </c>
      <c r="P1997" s="23" t="n">
        <f aca="false">G1997+H1997</f>
        <v>146.11</v>
      </c>
      <c r="Q1997" s="23" t="n">
        <f aca="false">G1997*INDEX(Assumptions!$B$8:$B$16,MATCH(F1997,Assumptions!$A$8:$A$16,0))</f>
        <v>83.839</v>
      </c>
      <c r="R1997" s="23" t="n">
        <f aca="false">H1997*Assumptions!$B$3</f>
        <v>15.804</v>
      </c>
      <c r="S1997" s="23" t="n">
        <f aca="false">G1997-Q1997-R1997</f>
        <v>20.127</v>
      </c>
      <c r="T1997" s="21" t="str">
        <f aca="false">IF(M1997&lt;=7,"0-7 days",IF(M1997&lt;=14,"8-14 days",IF(M1997&lt;=21,"15-21 days","22+ days")))</f>
        <v>0-7 days</v>
      </c>
    </row>
    <row r="1998" customFormat="false" ht="15" hidden="false" customHeight="false" outlineLevel="0" collapsed="false">
      <c r="A1998" s="21" t="s">
        <v>2064</v>
      </c>
      <c r="B1998" s="21" t="s">
        <v>19</v>
      </c>
      <c r="C1998" s="22" t="n">
        <v>43343</v>
      </c>
      <c r="D1998" s="22" t="n">
        <v>43349</v>
      </c>
      <c r="E1998" s="22" t="n">
        <v>43358</v>
      </c>
      <c r="F1998" s="21" t="s">
        <v>79</v>
      </c>
      <c r="G1998" s="23" t="n">
        <v>168.26</v>
      </c>
      <c r="H1998" s="23" t="n">
        <v>19.21</v>
      </c>
      <c r="I1998" s="21" t="s">
        <v>45</v>
      </c>
      <c r="J1998" s="21" t="n">
        <v>4</v>
      </c>
      <c r="K1998" s="21" t="s">
        <v>46</v>
      </c>
      <c r="L1998" s="24" t="n">
        <f aca="false">DATE(YEAR(C1998),MONTH(C1998),1)</f>
        <v>43313</v>
      </c>
      <c r="M1998" s="21" t="n">
        <f aca="false">D1998-C1998</f>
        <v>6</v>
      </c>
      <c r="N1998" s="21" t="n">
        <f aca="false">MAX(0,D1998-E1998)</f>
        <v>0</v>
      </c>
      <c r="O1998" s="21" t="n">
        <f aca="false">IF(D1998&lt;=E1998,1,0)</f>
        <v>1</v>
      </c>
      <c r="P1998" s="23" t="n">
        <f aca="false">G1998+H1998</f>
        <v>187.47</v>
      </c>
      <c r="Q1998" s="23" t="n">
        <f aca="false">G1998*INDEX(Assumptions!$B$8:$B$16,MATCH(F1998,Assumptions!$A$8:$A$16,0))</f>
        <v>117.782</v>
      </c>
      <c r="R1998" s="23" t="n">
        <f aca="false">H1998*Assumptions!$B$3</f>
        <v>11.526</v>
      </c>
      <c r="S1998" s="23" t="n">
        <f aca="false">G1998-Q1998-R1998</f>
        <v>38.952</v>
      </c>
      <c r="T1998" s="21" t="str">
        <f aca="false">IF(M1998&lt;=7,"0-7 days",IF(M1998&lt;=14,"8-14 days",IF(M1998&lt;=21,"15-21 days","22+ days")))</f>
        <v>0-7 days</v>
      </c>
    </row>
    <row r="1999" customFormat="false" ht="15" hidden="false" customHeight="false" outlineLevel="0" collapsed="false">
      <c r="A1999" s="21" t="s">
        <v>2065</v>
      </c>
      <c r="B1999" s="21" t="s">
        <v>62</v>
      </c>
      <c r="C1999" s="22" t="n">
        <v>43343</v>
      </c>
      <c r="D1999" s="22" t="n">
        <v>43357</v>
      </c>
      <c r="E1999" s="22" t="n">
        <v>43361</v>
      </c>
      <c r="F1999" s="21" t="s">
        <v>111</v>
      </c>
      <c r="G1999" s="23" t="n">
        <v>94.47</v>
      </c>
      <c r="H1999" s="23" t="n">
        <v>26.59</v>
      </c>
      <c r="I1999" s="21" t="s">
        <v>60</v>
      </c>
      <c r="J1999" s="21" t="n">
        <v>5</v>
      </c>
      <c r="K1999" s="21" t="s">
        <v>46</v>
      </c>
      <c r="L1999" s="24" t="n">
        <f aca="false">DATE(YEAR(C1999),MONTH(C1999),1)</f>
        <v>43313</v>
      </c>
      <c r="M1999" s="21" t="n">
        <f aca="false">D1999-C1999</f>
        <v>14</v>
      </c>
      <c r="N1999" s="21" t="n">
        <f aca="false">MAX(0,D1999-E1999)</f>
        <v>0</v>
      </c>
      <c r="O1999" s="21" t="n">
        <f aca="false">IF(D1999&lt;=E1999,1,0)</f>
        <v>1</v>
      </c>
      <c r="P1999" s="23" t="n">
        <f aca="false">G1999+H1999</f>
        <v>121.06</v>
      </c>
      <c r="Q1999" s="23" t="n">
        <f aca="false">G1999*INDEX(Assumptions!$B$8:$B$16,MATCH(F1999,Assumptions!$A$8:$A$16,0))</f>
        <v>59.5161</v>
      </c>
      <c r="R1999" s="23" t="n">
        <f aca="false">H1999*Assumptions!$B$3</f>
        <v>15.954</v>
      </c>
      <c r="S1999" s="23" t="n">
        <f aca="false">G1999-Q1999-R1999</f>
        <v>18.9999</v>
      </c>
      <c r="T1999" s="21" t="str">
        <f aca="false">IF(M1999&lt;=7,"0-7 days",IF(M1999&lt;=14,"8-14 days",IF(M1999&lt;=21,"15-21 days","22+ days")))</f>
        <v>8-14 days</v>
      </c>
    </row>
    <row r="2000" customFormat="false" ht="15" hidden="false" customHeight="false" outlineLevel="0" collapsed="false">
      <c r="A2000" s="21" t="s">
        <v>2066</v>
      </c>
      <c r="B2000" s="21" t="s">
        <v>19</v>
      </c>
      <c r="C2000" s="22" t="n">
        <v>43343</v>
      </c>
      <c r="D2000" s="22" t="n">
        <v>43358</v>
      </c>
      <c r="E2000" s="22" t="n">
        <v>43356</v>
      </c>
      <c r="F2000" s="21" t="s">
        <v>49</v>
      </c>
      <c r="G2000" s="23" t="n">
        <v>128.34</v>
      </c>
      <c r="H2000" s="23" t="n">
        <v>18.24</v>
      </c>
      <c r="I2000" s="21" t="s">
        <v>45</v>
      </c>
      <c r="J2000" s="21" t="n">
        <v>1</v>
      </c>
      <c r="K2000" s="21" t="s">
        <v>46</v>
      </c>
      <c r="L2000" s="24" t="n">
        <f aca="false">DATE(YEAR(C2000),MONTH(C2000),1)</f>
        <v>43313</v>
      </c>
      <c r="M2000" s="21" t="n">
        <f aca="false">D2000-C2000</f>
        <v>15</v>
      </c>
      <c r="N2000" s="21" t="n">
        <f aca="false">MAX(0,D2000-E2000)</f>
        <v>2</v>
      </c>
      <c r="O2000" s="21" t="n">
        <f aca="false">IF(D2000&lt;=E2000,1,0)</f>
        <v>0</v>
      </c>
      <c r="P2000" s="23" t="n">
        <f aca="false">G2000+H2000</f>
        <v>146.58</v>
      </c>
      <c r="Q2000" s="23" t="n">
        <f aca="false">G2000*INDEX(Assumptions!$B$8:$B$16,MATCH(F2000,Assumptions!$A$8:$A$16,0))</f>
        <v>74.4372</v>
      </c>
      <c r="R2000" s="23" t="n">
        <f aca="false">H2000*Assumptions!$B$3</f>
        <v>10.944</v>
      </c>
      <c r="S2000" s="23" t="n">
        <f aca="false">G2000-Q2000-R2000</f>
        <v>42.9588</v>
      </c>
      <c r="T2000" s="21" t="str">
        <f aca="false">IF(M2000&lt;=7,"0-7 days",IF(M2000&lt;=14,"8-14 days",IF(M2000&lt;=21,"15-21 days","22+ days")))</f>
        <v>15-21 days</v>
      </c>
    </row>
    <row r="2001" customFormat="false" ht="15" hidden="false" customHeight="false" outlineLevel="0" collapsed="false">
      <c r="A2001" s="21" t="s">
        <v>2067</v>
      </c>
      <c r="B2001" s="21" t="s">
        <v>93</v>
      </c>
      <c r="C2001" s="22" t="n">
        <v>43343</v>
      </c>
      <c r="D2001" s="22" t="n">
        <v>43368</v>
      </c>
      <c r="E2001" s="22" t="n">
        <v>43377</v>
      </c>
      <c r="F2001" s="21" t="s">
        <v>79</v>
      </c>
      <c r="G2001" s="23" t="n">
        <v>102.59</v>
      </c>
      <c r="H2001" s="23" t="n">
        <v>30.81</v>
      </c>
      <c r="I2001" s="21" t="s">
        <v>45</v>
      </c>
      <c r="J2001" s="21" t="n">
        <v>3</v>
      </c>
      <c r="K2001" s="21" t="s">
        <v>46</v>
      </c>
      <c r="L2001" s="24" t="n">
        <f aca="false">DATE(YEAR(C2001),MONTH(C2001),1)</f>
        <v>43313</v>
      </c>
      <c r="M2001" s="21" t="n">
        <f aca="false">D2001-C2001</f>
        <v>25</v>
      </c>
      <c r="N2001" s="21" t="n">
        <f aca="false">MAX(0,D2001-E2001)</f>
        <v>0</v>
      </c>
      <c r="O2001" s="21" t="n">
        <f aca="false">IF(D2001&lt;=E2001,1,0)</f>
        <v>1</v>
      </c>
      <c r="P2001" s="23" t="n">
        <f aca="false">G2001+H2001</f>
        <v>133.4</v>
      </c>
      <c r="Q2001" s="23" t="n">
        <f aca="false">G2001*INDEX(Assumptions!$B$8:$B$16,MATCH(F2001,Assumptions!$A$8:$A$16,0))</f>
        <v>71.813</v>
      </c>
      <c r="R2001" s="23" t="n">
        <f aca="false">H2001*Assumptions!$B$3</f>
        <v>18.486</v>
      </c>
      <c r="S2001" s="23" t="n">
        <f aca="false">G2001-Q2001-R2001</f>
        <v>12.291</v>
      </c>
      <c r="T2001" s="21" t="str">
        <f aca="false">IF(M2001&lt;=7,"0-7 days",IF(M2001&lt;=14,"8-14 days",IF(M2001&lt;=21,"15-21 days","22+ days")))</f>
        <v>22+ days</v>
      </c>
    </row>
  </sheetData>
  <autoFilter ref="A1:T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22.05" hidden="false" customHeight="false" outlineLevel="0" collapsed="false">
      <c r="A1" s="1" t="s">
        <v>2068</v>
      </c>
    </row>
    <row r="3" customFormat="false" ht="15" hidden="false" customHeight="false" outlineLevel="0" collapsed="false">
      <c r="A3" s="0" t="s">
        <v>2069</v>
      </c>
      <c r="B3" s="25" t="n">
        <v>0.6</v>
      </c>
      <c r="C3" s="26" t="s">
        <v>2070</v>
      </c>
    </row>
    <row r="5" customFormat="false" ht="15" hidden="false" customHeight="false" outlineLevel="0" collapsed="false">
      <c r="A5" s="13" t="s">
        <v>2071</v>
      </c>
    </row>
    <row r="7" customFormat="false" ht="31.5" hidden="false" customHeight="true" outlineLevel="0" collapsed="false">
      <c r="A7" s="3" t="s">
        <v>2072</v>
      </c>
      <c r="B7" s="3" t="s">
        <v>2073</v>
      </c>
    </row>
    <row r="8" customFormat="false" ht="15" hidden="false" customHeight="false" outlineLevel="0" collapsed="false">
      <c r="A8" s="21" t="s">
        <v>67</v>
      </c>
      <c r="B8" s="25" t="n">
        <v>0.62</v>
      </c>
    </row>
    <row r="9" customFormat="false" ht="15" hidden="false" customHeight="false" outlineLevel="0" collapsed="false">
      <c r="A9" s="21" t="s">
        <v>49</v>
      </c>
      <c r="B9" s="25" t="n">
        <v>0.58</v>
      </c>
    </row>
    <row r="10" customFormat="false" ht="15" hidden="false" customHeight="false" outlineLevel="0" collapsed="false">
      <c r="A10" s="21" t="s">
        <v>59</v>
      </c>
      <c r="B10" s="25" t="n">
        <v>0.64</v>
      </c>
    </row>
    <row r="11" customFormat="false" ht="15" hidden="false" customHeight="false" outlineLevel="0" collapsed="false">
      <c r="A11" s="21" t="s">
        <v>79</v>
      </c>
      <c r="B11" s="25" t="n">
        <v>0.7</v>
      </c>
    </row>
    <row r="12" customFormat="false" ht="15" hidden="false" customHeight="false" outlineLevel="0" collapsed="false">
      <c r="A12" s="21" t="s">
        <v>53</v>
      </c>
      <c r="B12" s="25" t="n">
        <v>0.74</v>
      </c>
    </row>
    <row r="13" customFormat="false" ht="15" hidden="false" customHeight="false" outlineLevel="0" collapsed="false">
      <c r="A13" s="21" t="s">
        <v>64</v>
      </c>
      <c r="B13" s="25" t="n">
        <v>0.66</v>
      </c>
    </row>
    <row r="14" customFormat="false" ht="15" hidden="false" customHeight="false" outlineLevel="0" collapsed="false">
      <c r="A14" s="21" t="s">
        <v>111</v>
      </c>
      <c r="B14" s="25" t="n">
        <v>0.63</v>
      </c>
    </row>
    <row r="15" customFormat="false" ht="15" hidden="false" customHeight="false" outlineLevel="0" collapsed="false">
      <c r="A15" s="21" t="s">
        <v>44</v>
      </c>
      <c r="B15" s="25" t="n">
        <v>0.6</v>
      </c>
    </row>
    <row r="16" customFormat="false" ht="15" hidden="false" customHeight="false" outlineLevel="0" collapsed="false">
      <c r="A16" s="21" t="s">
        <v>57</v>
      </c>
      <c r="B16" s="25" t="n">
        <v>0.68</v>
      </c>
    </row>
    <row r="19" customFormat="false" ht="15" hidden="false" customHeight="false" outlineLevel="0" collapsed="false">
      <c r="A19" s="2" t="s">
        <v>2074</v>
      </c>
    </row>
    <row r="21" customFormat="false" ht="15" hidden="false" customHeight="false" outlineLevel="0" collapsed="false">
      <c r="A21" s="21" t="s">
        <v>2075</v>
      </c>
    </row>
    <row r="22" customFormat="false" ht="15" hidden="false" customHeight="false" outlineLevel="0" collapsed="false">
      <c r="A22" s="21" t="s">
        <v>2076</v>
      </c>
    </row>
    <row r="23" customFormat="false" ht="15" hidden="false" customHeight="false" outlineLevel="0" collapsed="false">
      <c r="A23" s="21" t="s">
        <v>2077</v>
      </c>
    </row>
    <row r="24" customFormat="false" ht="15" hidden="false" customHeight="false" outlineLevel="0" collapsed="false">
      <c r="A24" s="21" t="s">
        <v>2078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1" customFormat="false" ht="22.05" hidden="false" customHeight="false" outlineLevel="0" collapsed="false">
      <c r="A1" s="1" t="s">
        <v>2079</v>
      </c>
    </row>
    <row r="2" customFormat="false" ht="15" hidden="false" customHeight="false" outlineLevel="0" collapsed="false">
      <c r="A2" s="2" t="s">
        <v>2080</v>
      </c>
    </row>
    <row r="4" customFormat="false" ht="31.5" hidden="false" customHeight="true" outlineLevel="0" collapsed="false">
      <c r="A4" s="3" t="s">
        <v>2081</v>
      </c>
      <c r="B4" s="3" t="s">
        <v>20</v>
      </c>
      <c r="C4" s="3" t="s">
        <v>2082</v>
      </c>
      <c r="D4" s="3" t="s">
        <v>3</v>
      </c>
      <c r="E4" s="3" t="s">
        <v>4</v>
      </c>
      <c r="F4" s="3" t="s">
        <v>5</v>
      </c>
      <c r="G4" s="3" t="s">
        <v>2083</v>
      </c>
      <c r="H4" s="3" t="s">
        <v>2084</v>
      </c>
      <c r="I4" s="3" t="s">
        <v>2085</v>
      </c>
      <c r="J4" s="3" t="s">
        <v>6</v>
      </c>
      <c r="K4" s="3" t="s">
        <v>7</v>
      </c>
      <c r="L4" s="3" t="s">
        <v>2086</v>
      </c>
      <c r="M4" s="3" t="s">
        <v>2087</v>
      </c>
      <c r="N4" s="3" t="s">
        <v>2088</v>
      </c>
      <c r="O4" s="3" t="s">
        <v>2089</v>
      </c>
    </row>
    <row r="5" customFormat="false" ht="15" hidden="false" customHeight="false" outlineLevel="0" collapsed="false">
      <c r="A5" s="27" t="s">
        <v>19</v>
      </c>
      <c r="B5" s="28" t="n">
        <f aca="false">COUNTIFS(Data!$B$2:$B$2001,A5)</f>
        <v>909</v>
      </c>
      <c r="C5" s="29" t="n">
        <f aca="false">B5/$B$17</f>
        <v>0.4545</v>
      </c>
      <c r="D5" s="30" t="n">
        <f aca="false">SUMIFS(Data!$P$2:$P$2001,Data!$B$2:$B$2001,A5)</f>
        <v>115617.11</v>
      </c>
      <c r="E5" s="30" t="n">
        <f aca="false">SUMIFS(Data!$S$2:$S$2001,Data!$B$2:$B$2001,A5)</f>
        <v>25250.6045</v>
      </c>
      <c r="F5" s="29" t="n">
        <f aca="false">IFERROR(E5/D5,0)</f>
        <v>0.218398509528564</v>
      </c>
      <c r="G5" s="30" t="n">
        <f aca="false">IFERROR(E5/B5,0)</f>
        <v>27.7784427942794</v>
      </c>
      <c r="H5" s="30" t="n">
        <f aca="false">IFERROR(D5/B5,0)</f>
        <v>127.191540154015</v>
      </c>
      <c r="I5" s="30" t="n">
        <f aca="false">IFERROR(AVERAGEIFS(Data!$H$2:$H$2001,Data!$B$2:$B$2001,A5),0)</f>
        <v>17.8223872387239</v>
      </c>
      <c r="J5" s="31" t="n">
        <f aca="false">IFERROR(AVERAGEIFS(Data!$M$2:$M$2001,Data!$B$2:$B$2001,A5),0)</f>
        <v>8.65676567656766</v>
      </c>
      <c r="K5" s="29" t="n">
        <f aca="false">IFERROR(SUMIFS(Data!$O$2:$O$2001,Data!$B$2:$B$2001,A5)/B5,0)</f>
        <v>0.946094609460946</v>
      </c>
      <c r="L5" s="27" t="n">
        <f aca="false">RANK(B5,$B$5:$B$16)</f>
        <v>1</v>
      </c>
      <c r="M5" s="27" t="n">
        <f aca="false">RANK(F5,$F$5:$F$16)</f>
        <v>1</v>
      </c>
      <c r="N5" s="27" t="n">
        <f aca="false">M5-L5</f>
        <v>0</v>
      </c>
      <c r="O5" s="27" t="str">
        <f aca="false">IF(AND(L5&lt;=4,M5&gt;=7),"High volume, low margin",IF(AND(L5&gt;=7,M5&lt;=4),"Low volume, high margin",""))</f>
        <v/>
      </c>
    </row>
    <row r="6" customFormat="false" ht="15" hidden="false" customHeight="false" outlineLevel="0" collapsed="false">
      <c r="A6" s="27" t="s">
        <v>55</v>
      </c>
      <c r="B6" s="28" t="n">
        <f aca="false">COUNTIFS(Data!$B$2:$B$2001,A6)</f>
        <v>252</v>
      </c>
      <c r="C6" s="29" t="n">
        <f aca="false">B6/$B$17</f>
        <v>0.126</v>
      </c>
      <c r="D6" s="30" t="n">
        <f aca="false">SUMIFS(Data!$P$2:$P$2001,Data!$B$2:$B$2001,A6)</f>
        <v>32089.61</v>
      </c>
      <c r="E6" s="30" t="n">
        <f aca="false">SUMIFS(Data!$S$2:$S$2001,Data!$B$2:$B$2001,A6)</f>
        <v>5451.465</v>
      </c>
      <c r="F6" s="29" t="n">
        <f aca="false">IFERROR(E6/D6,0)</f>
        <v>0.169882557002095</v>
      </c>
      <c r="G6" s="30" t="n">
        <f aca="false">IFERROR(E6/B6,0)</f>
        <v>21.6327976190476</v>
      </c>
      <c r="H6" s="30" t="n">
        <f aca="false">IFERROR(D6/B6,0)</f>
        <v>127.339722222222</v>
      </c>
      <c r="I6" s="30" t="n">
        <f aca="false">IFERROR(AVERAGEIFS(Data!$H$2:$H$2001,Data!$B$2:$B$2001,A6),0)</f>
        <v>23.9982936507937</v>
      </c>
      <c r="J6" s="31" t="n">
        <f aca="false">IFERROR(AVERAGEIFS(Data!$M$2:$M$2001,Data!$B$2:$B$2001,A6),0)</f>
        <v>16.3214285714286</v>
      </c>
      <c r="K6" s="29" t="n">
        <f aca="false">IFERROR(SUMIFS(Data!$O$2:$O$2001,Data!$B$2:$B$2001,A6)/B6,0)</f>
        <v>0.900793650793651</v>
      </c>
      <c r="L6" s="27" t="n">
        <f aca="false">RANK(B6,$B$5:$B$16)</f>
        <v>2</v>
      </c>
      <c r="M6" s="27" t="n">
        <f aca="false">RANK(F6,$F$5:$F$16)</f>
        <v>8</v>
      </c>
      <c r="N6" s="27" t="n">
        <f aca="false">M6-L6</f>
        <v>6</v>
      </c>
      <c r="O6" s="27" t="str">
        <f aca="false">IF(AND(L6&lt;=4,M6&gt;=7),"High volume, low margin",IF(AND(L6&gt;=7,M6&lt;=4),"Low volume, high margin",""))</f>
        <v>High volume, low margin</v>
      </c>
    </row>
    <row r="7" customFormat="false" ht="15" hidden="false" customHeight="false" outlineLevel="0" collapsed="false">
      <c r="A7" s="27" t="s">
        <v>62</v>
      </c>
      <c r="B7" s="28" t="n">
        <f aca="false">COUNTIFS(Data!$B$2:$B$2001,A7)</f>
        <v>241</v>
      </c>
      <c r="C7" s="29" t="n">
        <f aca="false">B7/$B$17</f>
        <v>0.1205</v>
      </c>
      <c r="D7" s="30" t="n">
        <f aca="false">SUMIFS(Data!$P$2:$P$2001,Data!$B$2:$B$2001,A7)</f>
        <v>31045.7</v>
      </c>
      <c r="E7" s="30" t="n">
        <f aca="false">SUMIFS(Data!$S$2:$S$2001,Data!$B$2:$B$2001,A7)</f>
        <v>5486.7233</v>
      </c>
      <c r="F7" s="29" t="n">
        <f aca="false">IFERROR(E7/D7,0)</f>
        <v>0.176730539172897</v>
      </c>
      <c r="G7" s="30" t="n">
        <f aca="false">IFERROR(E7/B7,0)</f>
        <v>22.7664867219917</v>
      </c>
      <c r="H7" s="30" t="n">
        <f aca="false">IFERROR(D7/B7,0)</f>
        <v>128.820331950207</v>
      </c>
      <c r="I7" s="30" t="n">
        <f aca="false">IFERROR(AVERAGEIFS(Data!$H$2:$H$2001,Data!$B$2:$B$2001,A7),0)</f>
        <v>23.3063485477178</v>
      </c>
      <c r="J7" s="31" t="n">
        <f aca="false">IFERROR(AVERAGEIFS(Data!$M$2:$M$2001,Data!$B$2:$B$2001,A7),0)</f>
        <v>12.5394190871369</v>
      </c>
      <c r="K7" s="29" t="n">
        <f aca="false">IFERROR(SUMIFS(Data!$O$2:$O$2001,Data!$B$2:$B$2001,A7)/B7,0)</f>
        <v>0.95850622406639</v>
      </c>
      <c r="L7" s="27" t="n">
        <f aca="false">RANK(B7,$B$5:$B$16)</f>
        <v>3</v>
      </c>
      <c r="M7" s="27" t="n">
        <f aca="false">RANK(F7,$F$5:$F$16)</f>
        <v>6</v>
      </c>
      <c r="N7" s="27" t="n">
        <f aca="false">M7-L7</f>
        <v>3</v>
      </c>
      <c r="O7" s="27" t="str">
        <f aca="false">IF(AND(L7&lt;=4,M7&gt;=7),"High volume, low margin",IF(AND(L7&gt;=7,M7&lt;=4),"Low volume, high margin",""))</f>
        <v/>
      </c>
    </row>
    <row r="8" customFormat="false" ht="15" hidden="false" customHeight="false" outlineLevel="0" collapsed="false">
      <c r="A8" s="27" t="s">
        <v>52</v>
      </c>
      <c r="B8" s="28" t="n">
        <f aca="false">COUNTIFS(Data!$B$2:$B$2001,A8)</f>
        <v>110</v>
      </c>
      <c r="C8" s="29" t="n">
        <f aca="false">B8/$B$17</f>
        <v>0.055</v>
      </c>
      <c r="D8" s="30" t="n">
        <f aca="false">SUMIFS(Data!$P$2:$P$2001,Data!$B$2:$B$2001,A8)</f>
        <v>15610.33</v>
      </c>
      <c r="E8" s="30" t="n">
        <f aca="false">SUMIFS(Data!$S$2:$S$2001,Data!$B$2:$B$2001,A8)</f>
        <v>2729.7099</v>
      </c>
      <c r="F8" s="29" t="n">
        <f aca="false">IFERROR(E8/D8,0)</f>
        <v>0.174865611425255</v>
      </c>
      <c r="G8" s="30" t="n">
        <f aca="false">IFERROR(E8/B8,0)</f>
        <v>24.8155445454545</v>
      </c>
      <c r="H8" s="30" t="n">
        <f aca="false">IFERROR(D8/B8,0)</f>
        <v>141.912090909091</v>
      </c>
      <c r="I8" s="30" t="n">
        <f aca="false">IFERROR(AVERAGEIFS(Data!$H$2:$H$2001,Data!$B$2:$B$2001,A8),0)</f>
        <v>24.362</v>
      </c>
      <c r="J8" s="31" t="n">
        <f aca="false">IFERROR(AVERAGEIFS(Data!$M$2:$M$2001,Data!$B$2:$B$2001,A8),0)</f>
        <v>16.3636363636364</v>
      </c>
      <c r="K8" s="29" t="n">
        <f aca="false">IFERROR(SUMIFS(Data!$O$2:$O$2001,Data!$B$2:$B$2001,A8)/B8,0)</f>
        <v>0.872727272727273</v>
      </c>
      <c r="L8" s="27" t="n">
        <f aca="false">RANK(B8,$B$5:$B$16)</f>
        <v>5</v>
      </c>
      <c r="M8" s="27" t="n">
        <f aca="false">RANK(F8,$F$5:$F$16)</f>
        <v>7</v>
      </c>
      <c r="N8" s="27" t="n">
        <f aca="false">M8-L8</f>
        <v>2</v>
      </c>
      <c r="O8" s="27" t="str">
        <f aca="false">IF(AND(L8&lt;=4,M8&gt;=7),"High volume, low margin",IF(AND(L8&gt;=7,M8&lt;=4),"Low volume, high margin",""))</f>
        <v/>
      </c>
    </row>
    <row r="9" customFormat="false" ht="15" hidden="false" customHeight="false" outlineLevel="0" collapsed="false">
      <c r="A9" s="27" t="s">
        <v>48</v>
      </c>
      <c r="B9" s="28" t="n">
        <f aca="false">COUNTIFS(Data!$B$2:$B$2001,A9)</f>
        <v>115</v>
      </c>
      <c r="C9" s="29" t="n">
        <f aca="false">B9/$B$17</f>
        <v>0.0575</v>
      </c>
      <c r="D9" s="30" t="n">
        <f aca="false">SUMIFS(Data!$P$2:$P$2001,Data!$B$2:$B$2001,A9)</f>
        <v>16873.04</v>
      </c>
      <c r="E9" s="30" t="n">
        <f aca="false">SUMIFS(Data!$S$2:$S$2001,Data!$B$2:$B$2001,A9)</f>
        <v>3163.2744</v>
      </c>
      <c r="F9" s="29" t="n">
        <f aca="false">IFERROR(E9/D9,0)</f>
        <v>0.187475072660291</v>
      </c>
      <c r="G9" s="30" t="n">
        <f aca="false">IFERROR(E9/B9,0)</f>
        <v>27.5067339130435</v>
      </c>
      <c r="H9" s="30" t="n">
        <f aca="false">IFERROR(D9/B9,0)</f>
        <v>146.722086956522</v>
      </c>
      <c r="I9" s="30" t="n">
        <f aca="false">IFERROR(AVERAGEIFS(Data!$H$2:$H$2001,Data!$B$2:$B$2001,A9),0)</f>
        <v>23.4545217391304</v>
      </c>
      <c r="J9" s="31" t="n">
        <f aca="false">IFERROR(AVERAGEIFS(Data!$M$2:$M$2001,Data!$B$2:$B$2001,A9),0)</f>
        <v>13.1652173913043</v>
      </c>
      <c r="K9" s="29" t="n">
        <f aca="false">IFERROR(SUMIFS(Data!$O$2:$O$2001,Data!$B$2:$B$2001,A9)/B9,0)</f>
        <v>0.88695652173913</v>
      </c>
      <c r="L9" s="27" t="n">
        <f aca="false">RANK(B9,$B$5:$B$16)</f>
        <v>4</v>
      </c>
      <c r="M9" s="27" t="n">
        <f aca="false">RANK(F9,$F$5:$F$16)</f>
        <v>4</v>
      </c>
      <c r="N9" s="27" t="n">
        <f aca="false">M9-L9</f>
        <v>0</v>
      </c>
      <c r="O9" s="27" t="str">
        <f aca="false">IF(AND(L9&lt;=4,M9&gt;=7),"High volume, low margin",IF(AND(L9&gt;=7,M9&lt;=4),"Low volume, high margin",""))</f>
        <v/>
      </c>
    </row>
    <row r="10" customFormat="false" ht="15" hidden="false" customHeight="false" outlineLevel="0" collapsed="false">
      <c r="A10" s="27" t="s">
        <v>134</v>
      </c>
      <c r="B10" s="28" t="n">
        <f aca="false">COUNTIFS(Data!$B$2:$B$2001,A10)</f>
        <v>96</v>
      </c>
      <c r="C10" s="29" t="n">
        <f aca="false">B10/$B$17</f>
        <v>0.048</v>
      </c>
      <c r="D10" s="30" t="n">
        <f aca="false">SUMIFS(Data!$P$2:$P$2001,Data!$B$2:$B$2001,A10)</f>
        <v>13452.91</v>
      </c>
      <c r="E10" s="30" t="n">
        <f aca="false">SUMIFS(Data!$S$2:$S$2001,Data!$B$2:$B$2001,A10)</f>
        <v>2562.6194</v>
      </c>
      <c r="F10" s="29" t="n">
        <f aca="false">IFERROR(E10/D10,0)</f>
        <v>0.190488110007426</v>
      </c>
      <c r="G10" s="30" t="n">
        <f aca="false">IFERROR(E10/B10,0)</f>
        <v>26.6939520833333</v>
      </c>
      <c r="H10" s="30" t="n">
        <f aca="false">IFERROR(D10/B10,0)</f>
        <v>140.134479166667</v>
      </c>
      <c r="I10" s="30" t="n">
        <f aca="false">IFERROR(AVERAGEIFS(Data!$H$2:$H$2001,Data!$B$2:$B$2001,A10),0)</f>
        <v>24.1398958333333</v>
      </c>
      <c r="J10" s="31" t="n">
        <f aca="false">IFERROR(AVERAGEIFS(Data!$M$2:$M$2001,Data!$B$2:$B$2001,A10),0)</f>
        <v>14.7916666666667</v>
      </c>
      <c r="K10" s="29" t="n">
        <f aca="false">IFERROR(SUMIFS(Data!$O$2:$O$2001,Data!$B$2:$B$2001,A10)/B10,0)</f>
        <v>0.927083333333333</v>
      </c>
      <c r="L10" s="27" t="n">
        <f aca="false">RANK(B10,$B$5:$B$16)</f>
        <v>6</v>
      </c>
      <c r="M10" s="27" t="n">
        <f aca="false">RANK(F10,$F$5:$F$16)</f>
        <v>3</v>
      </c>
      <c r="N10" s="27" t="n">
        <f aca="false">M10-L10</f>
        <v>-3</v>
      </c>
      <c r="O10" s="27" t="str">
        <f aca="false">IF(AND(L10&lt;=4,M10&gt;=7),"High volume, low margin",IF(AND(L10&gt;=7,M10&lt;=4),"Low volume, high margin",""))</f>
        <v/>
      </c>
    </row>
    <row r="11" customFormat="false" ht="15" hidden="false" customHeight="false" outlineLevel="0" collapsed="false">
      <c r="A11" s="27" t="s">
        <v>93</v>
      </c>
      <c r="B11" s="28" t="n">
        <f aca="false">COUNTIFS(Data!$B$2:$B$2001,A11)</f>
        <v>65</v>
      </c>
      <c r="C11" s="29" t="n">
        <f aca="false">B11/$B$17</f>
        <v>0.0325</v>
      </c>
      <c r="D11" s="30" t="n">
        <f aca="false">SUMIFS(Data!$P$2:$P$2001,Data!$B$2:$B$2001,A11)</f>
        <v>8267.86</v>
      </c>
      <c r="E11" s="30" t="n">
        <f aca="false">SUMIFS(Data!$S$2:$S$2001,Data!$B$2:$B$2001,A11)</f>
        <v>937.0956</v>
      </c>
      <c r="F11" s="29" t="n">
        <f aca="false">IFERROR(E11/D11,0)</f>
        <v>0.113341977246833</v>
      </c>
      <c r="G11" s="30" t="n">
        <f aca="false">IFERROR(E11/B11,0)</f>
        <v>14.4168553846154</v>
      </c>
      <c r="H11" s="30" t="n">
        <f aca="false">IFERROR(D11/B11,0)</f>
        <v>127.197846153846</v>
      </c>
      <c r="I11" s="30" t="n">
        <f aca="false">IFERROR(AVERAGEIFS(Data!$H$2:$H$2001,Data!$B$2:$B$2001,A11),0)</f>
        <v>32.0663076923077</v>
      </c>
      <c r="J11" s="31" t="n">
        <f aca="false">IFERROR(AVERAGEIFS(Data!$M$2:$M$2001,Data!$B$2:$B$2001,A11),0)</f>
        <v>20.2307692307692</v>
      </c>
      <c r="K11" s="29" t="n">
        <f aca="false">IFERROR(SUMIFS(Data!$O$2:$O$2001,Data!$B$2:$B$2001,A11)/B11,0)</f>
        <v>0.938461538461539</v>
      </c>
      <c r="L11" s="27" t="n">
        <f aca="false">RANK(B11,$B$5:$B$16)</f>
        <v>7</v>
      </c>
      <c r="M11" s="27" t="n">
        <f aca="false">RANK(F11,$F$5:$F$16)</f>
        <v>12</v>
      </c>
      <c r="N11" s="27" t="n">
        <f aca="false">M11-L11</f>
        <v>5</v>
      </c>
      <c r="O11" s="27" t="str">
        <f aca="false">IF(AND(L11&lt;=4,M11&gt;=7),"High volume, low margin",IF(AND(L11&gt;=7,M11&lt;=4),"Low volume, high margin",""))</f>
        <v/>
      </c>
    </row>
    <row r="12" customFormat="false" ht="15" hidden="false" customHeight="false" outlineLevel="0" collapsed="false">
      <c r="A12" s="27" t="s">
        <v>103</v>
      </c>
      <c r="B12" s="28" t="n">
        <f aca="false">COUNTIFS(Data!$B$2:$B$2001,A12)</f>
        <v>52</v>
      </c>
      <c r="C12" s="29" t="n">
        <f aca="false">B12/$B$17</f>
        <v>0.026</v>
      </c>
      <c r="D12" s="30" t="n">
        <f aca="false">SUMIFS(Data!$P$2:$P$2001,Data!$B$2:$B$2001,A12)</f>
        <v>7697.46</v>
      </c>
      <c r="E12" s="30" t="n">
        <f aca="false">SUMIFS(Data!$S$2:$S$2001,Data!$B$2:$B$2001,A12)</f>
        <v>1537.265</v>
      </c>
      <c r="F12" s="29" t="n">
        <f aca="false">IFERROR(E12/D12,0)</f>
        <v>0.199710683784001</v>
      </c>
      <c r="G12" s="30" t="n">
        <f aca="false">IFERROR(E12/B12,0)</f>
        <v>29.5627884615385</v>
      </c>
      <c r="H12" s="30" t="n">
        <f aca="false">IFERROR(D12/B12,0)</f>
        <v>148.028076923077</v>
      </c>
      <c r="I12" s="30" t="n">
        <f aca="false">IFERROR(AVERAGEIFS(Data!$H$2:$H$2001,Data!$B$2:$B$2001,A12),0)</f>
        <v>24.0157692307692</v>
      </c>
      <c r="J12" s="31" t="n">
        <f aca="false">IFERROR(AVERAGEIFS(Data!$M$2:$M$2001,Data!$B$2:$B$2001,A12),0)</f>
        <v>13.6730769230769</v>
      </c>
      <c r="K12" s="29" t="n">
        <f aca="false">IFERROR(SUMIFS(Data!$O$2:$O$2001,Data!$B$2:$B$2001,A12)/B12,0)</f>
        <v>0.961538461538462</v>
      </c>
      <c r="L12" s="27" t="n">
        <f aca="false">RANK(B12,$B$5:$B$16)</f>
        <v>9</v>
      </c>
      <c r="M12" s="27" t="n">
        <f aca="false">RANK(F12,$F$5:$F$16)</f>
        <v>2</v>
      </c>
      <c r="N12" s="27" t="n">
        <f aca="false">M12-L12</f>
        <v>-7</v>
      </c>
      <c r="O12" s="27" t="str">
        <f aca="false">IF(AND(L12&lt;=4,M12&gt;=7),"High volume, low margin",IF(AND(L12&gt;=7,M12&lt;=4),"Low volume, high margin",""))</f>
        <v>Low volume, high margin</v>
      </c>
    </row>
    <row r="13" customFormat="false" ht="15" hidden="false" customHeight="false" outlineLevel="0" collapsed="false">
      <c r="A13" s="27" t="s">
        <v>156</v>
      </c>
      <c r="B13" s="28" t="n">
        <f aca="false">COUNTIFS(Data!$B$2:$B$2001,A13)</f>
        <v>60</v>
      </c>
      <c r="C13" s="29" t="n">
        <f aca="false">B13/$B$17</f>
        <v>0.03</v>
      </c>
      <c r="D13" s="30" t="n">
        <f aca="false">SUMIFS(Data!$P$2:$P$2001,Data!$B$2:$B$2001,A13)</f>
        <v>9527.25</v>
      </c>
      <c r="E13" s="30" t="n">
        <f aca="false">SUMIFS(Data!$S$2:$S$2001,Data!$B$2:$B$2001,A13)</f>
        <v>1708.0977</v>
      </c>
      <c r="F13" s="29" t="n">
        <f aca="false">IFERROR(E13/D13,0)</f>
        <v>0.179285491616154</v>
      </c>
      <c r="G13" s="30" t="n">
        <f aca="false">IFERROR(E13/B13,0)</f>
        <v>28.468295</v>
      </c>
      <c r="H13" s="30" t="n">
        <f aca="false">IFERROR(D13/B13,0)</f>
        <v>158.7875</v>
      </c>
      <c r="I13" s="30" t="n">
        <f aca="false">IFERROR(AVERAGEIFS(Data!$H$2:$H$2001,Data!$B$2:$B$2001,A13),0)</f>
        <v>26.8116666666667</v>
      </c>
      <c r="J13" s="31" t="n">
        <f aca="false">IFERROR(AVERAGEIFS(Data!$M$2:$M$2001,Data!$B$2:$B$2001,A13),0)</f>
        <v>17.7</v>
      </c>
      <c r="K13" s="29" t="n">
        <f aca="false">IFERROR(SUMIFS(Data!$O$2:$O$2001,Data!$B$2:$B$2001,A13)/B13,0)</f>
        <v>0.816666666666667</v>
      </c>
      <c r="L13" s="27" t="n">
        <f aca="false">RANK(B13,$B$5:$B$16)</f>
        <v>8</v>
      </c>
      <c r="M13" s="27" t="n">
        <f aca="false">RANK(F13,$F$5:$F$16)</f>
        <v>5</v>
      </c>
      <c r="N13" s="27" t="n">
        <f aca="false">M13-L13</f>
        <v>-3</v>
      </c>
      <c r="O13" s="27" t="str">
        <f aca="false">IF(AND(L13&lt;=4,M13&gt;=7),"High volume, low margin",IF(AND(L13&gt;=7,M13&lt;=4),"Low volume, high margin",""))</f>
        <v/>
      </c>
    </row>
    <row r="14" customFormat="false" ht="15" hidden="false" customHeight="false" outlineLevel="0" collapsed="false">
      <c r="A14" s="27" t="s">
        <v>77</v>
      </c>
      <c r="B14" s="28" t="n">
        <f aca="false">COUNTIFS(Data!$B$2:$B$2001,A14)</f>
        <v>33</v>
      </c>
      <c r="C14" s="29" t="n">
        <f aca="false">B14/$B$17</f>
        <v>0.0165</v>
      </c>
      <c r="D14" s="30" t="n">
        <f aca="false">SUMIFS(Data!$P$2:$P$2001,Data!$B$2:$B$2001,A14)</f>
        <v>4059.07</v>
      </c>
      <c r="E14" s="30" t="n">
        <f aca="false">SUMIFS(Data!$S$2:$S$2001,Data!$B$2:$B$2001,A14)</f>
        <v>680.598</v>
      </c>
      <c r="F14" s="29" t="n">
        <f aca="false">IFERROR(E14/D14,0)</f>
        <v>0.167673383311941</v>
      </c>
      <c r="G14" s="30" t="n">
        <f aca="false">IFERROR(E14/B14,0)</f>
        <v>20.6241818181818</v>
      </c>
      <c r="H14" s="30" t="n">
        <f aca="false">IFERROR(D14/B14,0)</f>
        <v>123.002121212121</v>
      </c>
      <c r="I14" s="30" t="n">
        <f aca="false">IFERROR(AVERAGEIFS(Data!$H$2:$H$2001,Data!$B$2:$B$2001,A14),0)</f>
        <v>25.1281818181818</v>
      </c>
      <c r="J14" s="31" t="n">
        <f aca="false">IFERROR(AVERAGEIFS(Data!$M$2:$M$2001,Data!$B$2:$B$2001,A14),0)</f>
        <v>15.969696969697</v>
      </c>
      <c r="K14" s="29" t="n">
        <f aca="false">IFERROR(SUMIFS(Data!$O$2:$O$2001,Data!$B$2:$B$2001,A14)/B14,0)</f>
        <v>0.848484848484849</v>
      </c>
      <c r="L14" s="27" t="n">
        <f aca="false">RANK(B14,$B$5:$B$16)</f>
        <v>11</v>
      </c>
      <c r="M14" s="27" t="n">
        <f aca="false">RANK(F14,$F$5:$F$16)</f>
        <v>9</v>
      </c>
      <c r="N14" s="27" t="n">
        <f aca="false">M14-L14</f>
        <v>-2</v>
      </c>
      <c r="O14" s="27" t="str">
        <f aca="false">IF(AND(L14&lt;=4,M14&gt;=7),"High volume, low margin",IF(AND(L14&gt;=7,M14&lt;=4),"Low volume, high margin",""))</f>
        <v/>
      </c>
    </row>
    <row r="15" customFormat="false" ht="15" hidden="false" customHeight="false" outlineLevel="0" collapsed="false">
      <c r="A15" s="27" t="s">
        <v>174</v>
      </c>
      <c r="B15" s="28" t="n">
        <f aca="false">COUNTIFS(Data!$B$2:$B$2001,A15)</f>
        <v>42</v>
      </c>
      <c r="C15" s="29" t="n">
        <f aca="false">B15/$B$17</f>
        <v>0.021</v>
      </c>
      <c r="D15" s="30" t="n">
        <f aca="false">SUMIFS(Data!$P$2:$P$2001,Data!$B$2:$B$2001,A15)</f>
        <v>6527.81</v>
      </c>
      <c r="E15" s="30" t="n">
        <f aca="false">SUMIFS(Data!$S$2:$S$2001,Data!$B$2:$B$2001,A15)</f>
        <v>787.2045</v>
      </c>
      <c r="F15" s="29" t="n">
        <f aca="false">IFERROR(E15/D15,0)</f>
        <v>0.120592434522451</v>
      </c>
      <c r="G15" s="30" t="n">
        <f aca="false">IFERROR(E15/B15,0)</f>
        <v>18.7429642857143</v>
      </c>
      <c r="H15" s="30" t="n">
        <f aca="false">IFERROR(D15/B15,0)</f>
        <v>155.424047619048</v>
      </c>
      <c r="I15" s="30" t="n">
        <f aca="false">IFERROR(AVERAGEIFS(Data!$H$2:$H$2001,Data!$B$2:$B$2001,A15),0)</f>
        <v>37.2707142857143</v>
      </c>
      <c r="J15" s="31" t="n">
        <f aca="false">IFERROR(AVERAGEIFS(Data!$M$2:$M$2001,Data!$B$2:$B$2001,A15),0)</f>
        <v>23.5</v>
      </c>
      <c r="K15" s="29" t="n">
        <f aca="false">IFERROR(SUMIFS(Data!$O$2:$O$2001,Data!$B$2:$B$2001,A15)/B15,0)</f>
        <v>0.904761904761905</v>
      </c>
      <c r="L15" s="27" t="n">
        <f aca="false">RANK(B15,$B$5:$B$16)</f>
        <v>10</v>
      </c>
      <c r="M15" s="27" t="n">
        <f aca="false">RANK(F15,$F$5:$F$16)</f>
        <v>11</v>
      </c>
      <c r="N15" s="27" t="n">
        <f aca="false">M15-L15</f>
        <v>1</v>
      </c>
      <c r="O15" s="27" t="str">
        <f aca="false">IF(AND(L15&lt;=4,M15&gt;=7),"High volume, low margin",IF(AND(L15&gt;=7,M15&lt;=4),"Low volume, high margin",""))</f>
        <v/>
      </c>
    </row>
    <row r="16" customFormat="false" ht="15" hidden="false" customHeight="false" outlineLevel="0" collapsed="false">
      <c r="A16" s="27" t="s">
        <v>201</v>
      </c>
      <c r="B16" s="28" t="n">
        <f aca="false">COUNTIFS(Data!$B$2:$B$2001,A16)</f>
        <v>25</v>
      </c>
      <c r="C16" s="29" t="n">
        <f aca="false">B16/$B$17</f>
        <v>0.0125</v>
      </c>
      <c r="D16" s="30" t="n">
        <f aca="false">SUMIFS(Data!$P$2:$P$2001,Data!$B$2:$B$2001,A16)</f>
        <v>4157.51</v>
      </c>
      <c r="E16" s="30" t="n">
        <f aca="false">SUMIFS(Data!$S$2:$S$2001,Data!$B$2:$B$2001,A16)</f>
        <v>561.9106</v>
      </c>
      <c r="F16" s="29" t="n">
        <f aca="false">IFERROR(E16/D16,0)</f>
        <v>0.13515556186275</v>
      </c>
      <c r="G16" s="30" t="n">
        <f aca="false">IFERROR(E16/B16,0)</f>
        <v>22.476424</v>
      </c>
      <c r="H16" s="30" t="n">
        <f aca="false">IFERROR(D16/B16,0)</f>
        <v>166.3004</v>
      </c>
      <c r="I16" s="30" t="n">
        <f aca="false">IFERROR(AVERAGEIFS(Data!$H$2:$H$2001,Data!$B$2:$B$2001,A16),0)</f>
        <v>40.014</v>
      </c>
      <c r="J16" s="31" t="n">
        <f aca="false">IFERROR(AVERAGEIFS(Data!$M$2:$M$2001,Data!$B$2:$B$2001,A16),0)</f>
        <v>22.4</v>
      </c>
      <c r="K16" s="29" t="n">
        <f aca="false">IFERROR(SUMIFS(Data!$O$2:$O$2001,Data!$B$2:$B$2001,A16)/B16,0)</f>
        <v>0.96</v>
      </c>
      <c r="L16" s="27" t="n">
        <f aca="false">RANK(B16,$B$5:$B$16)</f>
        <v>12</v>
      </c>
      <c r="M16" s="27" t="n">
        <f aca="false">RANK(F16,$F$5:$F$16)</f>
        <v>10</v>
      </c>
      <c r="N16" s="27" t="n">
        <f aca="false">M16-L16</f>
        <v>-2</v>
      </c>
      <c r="O16" s="27" t="str">
        <f aca="false">IF(AND(L16&lt;=4,M16&gt;=7),"High volume, low margin",IF(AND(L16&gt;=7,M16&lt;=4),"Low volume, high margin",""))</f>
        <v/>
      </c>
    </row>
    <row r="17" customFormat="false" ht="15" hidden="false" customHeight="false" outlineLevel="0" collapsed="false">
      <c r="A17" s="32" t="s">
        <v>2090</v>
      </c>
      <c r="B17" s="33" t="n">
        <f aca="false">SUM(B5:B16)</f>
        <v>2000</v>
      </c>
      <c r="C17" s="34" t="n">
        <f aca="false">SUM(C5:C16)</f>
        <v>1</v>
      </c>
      <c r="D17" s="35" t="n">
        <f aca="false">SUM(D5:D16)</f>
        <v>264925.66</v>
      </c>
      <c r="E17" s="35" t="n">
        <f aca="false">SUM(E5:E16)</f>
        <v>50856.5679</v>
      </c>
      <c r="F17" s="34" t="n">
        <f aca="false">E17/D17</f>
        <v>0.191965428716871</v>
      </c>
      <c r="G17" s="35" t="n">
        <f aca="false">E17/B17</f>
        <v>25.42828395</v>
      </c>
      <c r="H17" s="35" t="n">
        <f aca="false">D17/B17</f>
        <v>132.46283</v>
      </c>
      <c r="I17" s="35" t="n">
        <f aca="false">AVERAGE(Data!$H$2:$H$2001)</f>
        <v>21.948125</v>
      </c>
      <c r="J17" s="36" t="n">
        <f aca="false">AVERAGE(Data!$M$2:$M$2001)</f>
        <v>12.45</v>
      </c>
      <c r="K17" s="34" t="n">
        <f aca="false">SUM(Data!$O$2:$O$2001)/B17</f>
        <v>0.9275</v>
      </c>
      <c r="L17" s="32"/>
      <c r="M17" s="32"/>
      <c r="N17" s="32"/>
      <c r="O17" s="32"/>
    </row>
    <row r="19" customFormat="false" ht="15" hidden="false" customHeight="false" outlineLevel="0" collapsed="false">
      <c r="A19" s="2" t="s">
        <v>2091</v>
      </c>
    </row>
  </sheetData>
  <conditionalFormatting sqref="B5:B16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{992A3E62-A7C0-4160-B549-15EB9FE3B065}</x14:id>
        </ext>
      </extLst>
    </cfRule>
  </conditionalFormatting>
  <conditionalFormatting sqref="F5:F1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J16">
    <cfRule type="colorScale" priority="4">
      <colorScale>
        <cfvo type="min" val="0"/>
        <cfvo type="max" val="0"/>
        <color rgb="FF63BE7B"/>
        <color rgb="FFF8696B"/>
      </colorScale>
    </cfRule>
  </conditionalFormatting>
  <conditionalFormatting sqref="K5:K16">
    <cfRule type="colorScale" priority="5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2A3E62-A7C0-4160-B549-15EB9FE3B065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B5:B16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2.05" hidden="false" customHeight="false" outlineLevel="0" collapsed="false">
      <c r="A1" s="1" t="s">
        <v>2092</v>
      </c>
    </row>
    <row r="2" customFormat="false" ht="15" hidden="false" customHeight="false" outlineLevel="0" collapsed="false">
      <c r="A2" s="2" t="s">
        <v>2093</v>
      </c>
    </row>
    <row r="4" customFormat="false" ht="31.5" hidden="false" customHeight="true" outlineLevel="0" collapsed="false">
      <c r="A4" s="3" t="s">
        <v>2094</v>
      </c>
      <c r="B4" s="3" t="s">
        <v>20</v>
      </c>
      <c r="C4" s="3" t="s">
        <v>3</v>
      </c>
      <c r="D4" s="3" t="s">
        <v>4</v>
      </c>
      <c r="E4" s="3" t="s">
        <v>5</v>
      </c>
      <c r="F4" s="3" t="s">
        <v>2095</v>
      </c>
      <c r="G4" s="3" t="s">
        <v>2096</v>
      </c>
      <c r="H4" s="3" t="s">
        <v>2097</v>
      </c>
      <c r="I4" s="3" t="s">
        <v>6</v>
      </c>
      <c r="J4" s="3" t="s">
        <v>2098</v>
      </c>
    </row>
    <row r="5" customFormat="false" ht="15" hidden="false" customHeight="false" outlineLevel="0" collapsed="false">
      <c r="A5" s="37" t="n">
        <v>42736</v>
      </c>
      <c r="B5" s="38" t="n">
        <f aca="false">COUNTIFS(Data!$L$2:$L$2001,A5)</f>
        <v>19</v>
      </c>
      <c r="C5" s="28" t="n">
        <f aca="false">SUMIFS(Data!$P$2:$P$2001,Data!$L$2:$L$2001,A5)</f>
        <v>2172.54</v>
      </c>
      <c r="D5" s="28" t="n">
        <f aca="false">SUMIFS(Data!$S$2:$S$2001,Data!$L$2:$L$2001,A5)</f>
        <v>430.0502</v>
      </c>
      <c r="E5" s="29" t="n">
        <f aca="false">IFERROR(D5/C5,0)</f>
        <v>0.197948116030085</v>
      </c>
      <c r="F5" s="29" t="str">
        <f aca="false">""</f>
        <v/>
      </c>
      <c r="G5" s="31" t="str">
        <f aca="false">""</f>
        <v/>
      </c>
      <c r="H5" s="28" t="n">
        <f aca="false">SUM($C$5:C5)</f>
        <v>2172.54</v>
      </c>
      <c r="I5" s="31" t="n">
        <f aca="false">IFERROR(AVERAGEIFS(Data!$M$2:$M$2001,Data!$L$2:$L$2001,A5),0)</f>
        <v>12.3157894736842</v>
      </c>
      <c r="J5" s="27" t="str">
        <f aca="false">IF(B5=MAX($B$5:$B$24),"Peak month",IF(B5=MIN($B$5:$B$24),"Lowest month",""))</f>
        <v>Lowest month</v>
      </c>
    </row>
    <row r="6" customFormat="false" ht="15" hidden="false" customHeight="false" outlineLevel="0" collapsed="false">
      <c r="A6" s="39" t="n">
        <f aca="false">EDATE(A5,1)</f>
        <v>42767</v>
      </c>
      <c r="B6" s="38" t="n">
        <f aca="false">COUNTIFS(Data!$L$2:$L$2001,A6)</f>
        <v>32</v>
      </c>
      <c r="C6" s="28" t="n">
        <f aca="false">SUMIFS(Data!$P$2:$P$2001,Data!$L$2:$L$2001,A6)</f>
        <v>3758.18</v>
      </c>
      <c r="D6" s="28" t="n">
        <f aca="false">SUMIFS(Data!$S$2:$S$2001,Data!$L$2:$L$2001,A6)</f>
        <v>625.6623</v>
      </c>
      <c r="E6" s="29" t="n">
        <f aca="false">IFERROR(D6/C6,0)</f>
        <v>0.16648013134017</v>
      </c>
      <c r="F6" s="29" t="n">
        <f aca="false">IFERROR(B6/B5-1,"")</f>
        <v>0.684210526315789</v>
      </c>
      <c r="G6" s="31" t="str">
        <f aca="false">""</f>
        <v/>
      </c>
      <c r="H6" s="28" t="n">
        <f aca="false">SUM($C$5:C6)</f>
        <v>5930.72</v>
      </c>
      <c r="I6" s="31" t="n">
        <f aca="false">IFERROR(AVERAGEIFS(Data!$M$2:$M$2001,Data!$L$2:$L$2001,A6),0)</f>
        <v>11.59375</v>
      </c>
      <c r="J6" s="27" t="str">
        <f aca="false">IF(B6=MAX($B$5:$B$24),"Peak month",IF(B6=MIN($B$5:$B$24),"Lowest month",""))</f>
        <v/>
      </c>
    </row>
    <row r="7" customFormat="false" ht="15" hidden="false" customHeight="false" outlineLevel="0" collapsed="false">
      <c r="A7" s="39" t="n">
        <f aca="false">EDATE(A6,1)</f>
        <v>42795</v>
      </c>
      <c r="B7" s="38" t="n">
        <f aca="false">COUNTIFS(Data!$L$2:$L$2001,A7)</f>
        <v>23</v>
      </c>
      <c r="C7" s="28" t="n">
        <f aca="false">SUMIFS(Data!$P$2:$P$2001,Data!$L$2:$L$2001,A7)</f>
        <v>2771.36</v>
      </c>
      <c r="D7" s="28" t="n">
        <f aca="false">SUMIFS(Data!$S$2:$S$2001,Data!$L$2:$L$2001,A7)</f>
        <v>497.0758</v>
      </c>
      <c r="E7" s="29" t="n">
        <f aca="false">IFERROR(D7/C7,0)</f>
        <v>0.179361685237573</v>
      </c>
      <c r="F7" s="29" t="n">
        <f aca="false">IFERROR(B7/B6-1,"")</f>
        <v>-0.28125</v>
      </c>
      <c r="G7" s="31" t="n">
        <f aca="false">AVERAGE(B5:B7)</f>
        <v>24.6666666666667</v>
      </c>
      <c r="H7" s="28" t="n">
        <f aca="false">SUM($C$5:C7)</f>
        <v>8702.08</v>
      </c>
      <c r="I7" s="31" t="n">
        <f aca="false">IFERROR(AVERAGEIFS(Data!$M$2:$M$2001,Data!$L$2:$L$2001,A7),0)</f>
        <v>11.6521739130435</v>
      </c>
      <c r="J7" s="27" t="str">
        <f aca="false">IF(B7=MAX($B$5:$B$24),"Peak month",IF(B7=MIN($B$5:$B$24),"Lowest month",""))</f>
        <v/>
      </c>
    </row>
    <row r="8" customFormat="false" ht="15" hidden="false" customHeight="false" outlineLevel="0" collapsed="false">
      <c r="A8" s="39" t="n">
        <f aca="false">EDATE(A7,1)</f>
        <v>42826</v>
      </c>
      <c r="B8" s="38" t="n">
        <f aca="false">COUNTIFS(Data!$L$2:$L$2001,A8)</f>
        <v>50</v>
      </c>
      <c r="C8" s="28" t="n">
        <f aca="false">SUMIFS(Data!$P$2:$P$2001,Data!$L$2:$L$2001,A8)</f>
        <v>6716.63</v>
      </c>
      <c r="D8" s="28" t="n">
        <f aca="false">SUMIFS(Data!$S$2:$S$2001,Data!$L$2:$L$2001,A8)</f>
        <v>1223.0632</v>
      </c>
      <c r="E8" s="29" t="n">
        <f aca="false">IFERROR(D8/C8,0)</f>
        <v>0.182094770740684</v>
      </c>
      <c r="F8" s="29" t="n">
        <f aca="false">IFERROR(B8/B7-1,"")</f>
        <v>1.17391304347826</v>
      </c>
      <c r="G8" s="31" t="n">
        <f aca="false">AVERAGE(B6:B8)</f>
        <v>35</v>
      </c>
      <c r="H8" s="28" t="n">
        <f aca="false">SUM($C$5:C8)</f>
        <v>15418.71</v>
      </c>
      <c r="I8" s="31" t="n">
        <f aca="false">IFERROR(AVERAGEIFS(Data!$M$2:$M$2001,Data!$L$2:$L$2001,A8),0)</f>
        <v>12.06</v>
      </c>
      <c r="J8" s="27" t="str">
        <f aca="false">IF(B8=MAX($B$5:$B$24),"Peak month",IF(B8=MIN($B$5:$B$24),"Lowest month",""))</f>
        <v/>
      </c>
    </row>
    <row r="9" customFormat="false" ht="15" hidden="false" customHeight="false" outlineLevel="0" collapsed="false">
      <c r="A9" s="39" t="n">
        <f aca="false">EDATE(A8,1)</f>
        <v>42856</v>
      </c>
      <c r="B9" s="38" t="n">
        <f aca="false">COUNTIFS(Data!$L$2:$L$2001,A9)</f>
        <v>50</v>
      </c>
      <c r="C9" s="28" t="n">
        <f aca="false">SUMIFS(Data!$P$2:$P$2001,Data!$L$2:$L$2001,A9)</f>
        <v>6607.42</v>
      </c>
      <c r="D9" s="28" t="n">
        <f aca="false">SUMIFS(Data!$S$2:$S$2001,Data!$L$2:$L$2001,A9)</f>
        <v>1236.3609</v>
      </c>
      <c r="E9" s="29" t="n">
        <f aca="false">IFERROR(D9/C9,0)</f>
        <v>0.187117044171553</v>
      </c>
      <c r="F9" s="29" t="n">
        <f aca="false">IFERROR(B9/B8-1,"")</f>
        <v>0</v>
      </c>
      <c r="G9" s="31" t="n">
        <f aca="false">AVERAGE(B7:B9)</f>
        <v>41</v>
      </c>
      <c r="H9" s="28" t="n">
        <f aca="false">SUM($C$5:C9)</f>
        <v>22026.13</v>
      </c>
      <c r="I9" s="31" t="n">
        <f aca="false">IFERROR(AVERAGEIFS(Data!$M$2:$M$2001,Data!$L$2:$L$2001,A9),0)</f>
        <v>14.08</v>
      </c>
      <c r="J9" s="27" t="str">
        <f aca="false">IF(B9=MAX($B$5:$B$24),"Peak month",IF(B9=MIN($B$5:$B$24),"Lowest month",""))</f>
        <v/>
      </c>
    </row>
    <row r="10" customFormat="false" ht="15" hidden="false" customHeight="false" outlineLevel="0" collapsed="false">
      <c r="A10" s="39" t="n">
        <f aca="false">EDATE(A9,1)</f>
        <v>42887</v>
      </c>
      <c r="B10" s="38" t="n">
        <f aca="false">COUNTIFS(Data!$L$2:$L$2001,A10)</f>
        <v>62</v>
      </c>
      <c r="C10" s="28" t="n">
        <f aca="false">SUMIFS(Data!$P$2:$P$2001,Data!$L$2:$L$2001,A10)</f>
        <v>7950.55</v>
      </c>
      <c r="D10" s="28" t="n">
        <f aca="false">SUMIFS(Data!$S$2:$S$2001,Data!$L$2:$L$2001,A10)</f>
        <v>1494.4801</v>
      </c>
      <c r="E10" s="29" t="n">
        <f aca="false">IFERROR(D10/C10,0)</f>
        <v>0.18797191389275</v>
      </c>
      <c r="F10" s="29" t="n">
        <f aca="false">IFERROR(B10/B9-1,"")</f>
        <v>0.24</v>
      </c>
      <c r="G10" s="31" t="n">
        <f aca="false">AVERAGE(B8:B10)</f>
        <v>54</v>
      </c>
      <c r="H10" s="28" t="n">
        <f aca="false">SUM($C$5:C10)</f>
        <v>29976.68</v>
      </c>
      <c r="I10" s="31" t="n">
        <f aca="false">IFERROR(AVERAGEIFS(Data!$M$2:$M$2001,Data!$L$2:$L$2001,A10),0)</f>
        <v>11.741935483871</v>
      </c>
      <c r="J10" s="27" t="str">
        <f aca="false">IF(B10=MAX($B$5:$B$24),"Peak month",IF(B10=MIN($B$5:$B$24),"Lowest month",""))</f>
        <v/>
      </c>
    </row>
    <row r="11" customFormat="false" ht="15" hidden="false" customHeight="false" outlineLevel="0" collapsed="false">
      <c r="A11" s="39" t="n">
        <f aca="false">EDATE(A10,1)</f>
        <v>42917</v>
      </c>
      <c r="B11" s="38" t="n">
        <f aca="false">COUNTIFS(Data!$L$2:$L$2001,A11)</f>
        <v>86</v>
      </c>
      <c r="C11" s="28" t="n">
        <f aca="false">SUMIFS(Data!$P$2:$P$2001,Data!$L$2:$L$2001,A11)</f>
        <v>11224.26</v>
      </c>
      <c r="D11" s="28" t="n">
        <f aca="false">SUMIFS(Data!$S$2:$S$2001,Data!$L$2:$L$2001,A11)</f>
        <v>2302.3632</v>
      </c>
      <c r="E11" s="29" t="n">
        <f aca="false">IFERROR(D11/C11,0)</f>
        <v>0.205123829989683</v>
      </c>
      <c r="F11" s="29" t="n">
        <f aca="false">IFERROR(B11/B10-1,"")</f>
        <v>0.387096774193549</v>
      </c>
      <c r="G11" s="31" t="n">
        <f aca="false">AVERAGE(B9:B11)</f>
        <v>66</v>
      </c>
      <c r="H11" s="28" t="n">
        <f aca="false">SUM($C$5:C11)</f>
        <v>41200.94</v>
      </c>
      <c r="I11" s="31" t="n">
        <f aca="false">IFERROR(AVERAGEIFS(Data!$M$2:$M$2001,Data!$L$2:$L$2001,A11),0)</f>
        <v>12.4418604651163</v>
      </c>
      <c r="J11" s="27" t="str">
        <f aca="false">IF(B11=MAX($B$5:$B$24),"Peak month",IF(B11=MIN($B$5:$B$24),"Lowest month",""))</f>
        <v/>
      </c>
    </row>
    <row r="12" customFormat="false" ht="15" hidden="false" customHeight="false" outlineLevel="0" collapsed="false">
      <c r="A12" s="39" t="n">
        <f aca="false">EDATE(A11,1)</f>
        <v>42948</v>
      </c>
      <c r="B12" s="38" t="n">
        <f aca="false">COUNTIFS(Data!$L$2:$L$2001,A12)</f>
        <v>94</v>
      </c>
      <c r="C12" s="28" t="n">
        <f aca="false">SUMIFS(Data!$P$2:$P$2001,Data!$L$2:$L$2001,A12)</f>
        <v>11209.59</v>
      </c>
      <c r="D12" s="28" t="n">
        <f aca="false">SUMIFS(Data!$S$2:$S$2001,Data!$L$2:$L$2001,A12)</f>
        <v>1998.6299</v>
      </c>
      <c r="E12" s="29" t="n">
        <f aca="false">IFERROR(D12/C12,0)</f>
        <v>0.178296431894476</v>
      </c>
      <c r="F12" s="29" t="n">
        <f aca="false">IFERROR(B12/B11-1,"")</f>
        <v>0.0930232558139534</v>
      </c>
      <c r="G12" s="31" t="n">
        <f aca="false">AVERAGE(B10:B12)</f>
        <v>80.6666666666667</v>
      </c>
      <c r="H12" s="28" t="n">
        <f aca="false">SUM($C$5:C12)</f>
        <v>52410.53</v>
      </c>
      <c r="I12" s="31" t="n">
        <f aca="false">IFERROR(AVERAGEIFS(Data!$M$2:$M$2001,Data!$L$2:$L$2001,A12),0)</f>
        <v>11.8510638297872</v>
      </c>
      <c r="J12" s="27" t="str">
        <f aca="false">IF(B12=MAX($B$5:$B$24),"Peak month",IF(B12=MIN($B$5:$B$24),"Lowest month",""))</f>
        <v/>
      </c>
    </row>
    <row r="13" customFormat="false" ht="15" hidden="false" customHeight="false" outlineLevel="0" collapsed="false">
      <c r="A13" s="39" t="n">
        <f aca="false">EDATE(A12,1)</f>
        <v>42979</v>
      </c>
      <c r="B13" s="38" t="n">
        <f aca="false">COUNTIFS(Data!$L$2:$L$2001,A13)</f>
        <v>76</v>
      </c>
      <c r="C13" s="28" t="n">
        <f aca="false">SUMIFS(Data!$P$2:$P$2001,Data!$L$2:$L$2001,A13)</f>
        <v>9815</v>
      </c>
      <c r="D13" s="28" t="n">
        <f aca="false">SUMIFS(Data!$S$2:$S$2001,Data!$L$2:$L$2001,A13)</f>
        <v>1868.7309</v>
      </c>
      <c r="E13" s="29" t="n">
        <f aca="false">IFERROR(D13/C13,0)</f>
        <v>0.190395404992359</v>
      </c>
      <c r="F13" s="29" t="n">
        <f aca="false">IFERROR(B13/B12-1,"")</f>
        <v>-0.191489361702128</v>
      </c>
      <c r="G13" s="31" t="n">
        <f aca="false">AVERAGE(B11:B13)</f>
        <v>85.3333333333333</v>
      </c>
      <c r="H13" s="28" t="n">
        <f aca="false">SUM($C$5:C13)</f>
        <v>62225.53</v>
      </c>
      <c r="I13" s="31" t="n">
        <f aca="false">IFERROR(AVERAGEIFS(Data!$M$2:$M$2001,Data!$L$2:$L$2001,A13),0)</f>
        <v>13.0526315789474</v>
      </c>
      <c r="J13" s="27" t="str">
        <f aca="false">IF(B13=MAX($B$5:$B$24),"Peak month",IF(B13=MIN($B$5:$B$24),"Lowest month",""))</f>
        <v/>
      </c>
    </row>
    <row r="14" customFormat="false" ht="15" hidden="false" customHeight="false" outlineLevel="0" collapsed="false">
      <c r="A14" s="39" t="n">
        <f aca="false">EDATE(A13,1)</f>
        <v>43009</v>
      </c>
      <c r="B14" s="38" t="n">
        <f aca="false">COUNTIFS(Data!$L$2:$L$2001,A14)</f>
        <v>93</v>
      </c>
      <c r="C14" s="28" t="n">
        <f aca="false">SUMIFS(Data!$P$2:$P$2001,Data!$L$2:$L$2001,A14)</f>
        <v>12961.28</v>
      </c>
      <c r="D14" s="28" t="n">
        <f aca="false">SUMIFS(Data!$S$2:$S$2001,Data!$L$2:$L$2001,A14)</f>
        <v>2459.5793</v>
      </c>
      <c r="E14" s="29" t="n">
        <f aca="false">IFERROR(D14/C14,0)</f>
        <v>0.189763611309994</v>
      </c>
      <c r="F14" s="29" t="n">
        <f aca="false">IFERROR(B14/B13-1,"")</f>
        <v>0.223684210526316</v>
      </c>
      <c r="G14" s="31" t="n">
        <f aca="false">AVERAGE(B12:B14)</f>
        <v>87.6666666666667</v>
      </c>
      <c r="H14" s="28" t="n">
        <f aca="false">SUM($C$5:C14)</f>
        <v>75186.81</v>
      </c>
      <c r="I14" s="31" t="n">
        <f aca="false">IFERROR(AVERAGEIFS(Data!$M$2:$M$2001,Data!$L$2:$L$2001,A14),0)</f>
        <v>13.4838709677419</v>
      </c>
      <c r="J14" s="27" t="str">
        <f aca="false">IF(B14=MAX($B$5:$B$24),"Peak month",IF(B14=MIN($B$5:$B$24),"Lowest month",""))</f>
        <v/>
      </c>
    </row>
    <row r="15" customFormat="false" ht="15" hidden="false" customHeight="false" outlineLevel="0" collapsed="false">
      <c r="A15" s="39" t="n">
        <f aca="false">EDATE(A14,1)</f>
        <v>43040</v>
      </c>
      <c r="B15" s="38" t="n">
        <f aca="false">COUNTIFS(Data!$L$2:$L$2001,A15)</f>
        <v>162</v>
      </c>
      <c r="C15" s="28" t="n">
        <f aca="false">SUMIFS(Data!$P$2:$P$2001,Data!$L$2:$L$2001,A15)</f>
        <v>22385.65</v>
      </c>
      <c r="D15" s="28" t="n">
        <f aca="false">SUMIFS(Data!$S$2:$S$2001,Data!$L$2:$L$2001,A15)</f>
        <v>4342.0319</v>
      </c>
      <c r="E15" s="29" t="n">
        <f aca="false">IFERROR(D15/C15,0)</f>
        <v>0.193964968629457</v>
      </c>
      <c r="F15" s="29" t="n">
        <f aca="false">IFERROR(B15/B14-1,"")</f>
        <v>0.741935483870968</v>
      </c>
      <c r="G15" s="31" t="n">
        <f aca="false">AVERAGE(B13:B15)</f>
        <v>110.333333333333</v>
      </c>
      <c r="H15" s="28" t="n">
        <f aca="false">SUM($C$5:C15)</f>
        <v>97572.46</v>
      </c>
      <c r="I15" s="31" t="n">
        <f aca="false">IFERROR(AVERAGEIFS(Data!$M$2:$M$2001,Data!$L$2:$L$2001,A15),0)</f>
        <v>12.2469135802469</v>
      </c>
      <c r="J15" s="27" t="str">
        <f aca="false">IF(B15=MAX($B$5:$B$24),"Peak month",IF(B15=MIN($B$5:$B$24),"Lowest month",""))</f>
        <v/>
      </c>
    </row>
    <row r="16" customFormat="false" ht="15" hidden="false" customHeight="false" outlineLevel="0" collapsed="false">
      <c r="A16" s="39" t="n">
        <f aca="false">EDATE(A15,1)</f>
        <v>43070</v>
      </c>
      <c r="B16" s="38" t="n">
        <f aca="false">COUNTIFS(Data!$L$2:$L$2001,A16)</f>
        <v>130</v>
      </c>
      <c r="C16" s="28" t="n">
        <f aca="false">SUMIFS(Data!$P$2:$P$2001,Data!$L$2:$L$2001,A16)</f>
        <v>17841.41</v>
      </c>
      <c r="D16" s="28" t="n">
        <f aca="false">SUMIFS(Data!$S$2:$S$2001,Data!$L$2:$L$2001,A16)</f>
        <v>3479.1945</v>
      </c>
      <c r="E16" s="29" t="n">
        <f aca="false">IFERROR(D16/C16,0)</f>
        <v>0.195006700703588</v>
      </c>
      <c r="F16" s="29" t="n">
        <f aca="false">IFERROR(B16/B15-1,"")</f>
        <v>-0.197530864197531</v>
      </c>
      <c r="G16" s="31" t="n">
        <f aca="false">AVERAGE(B14:B16)</f>
        <v>128.333333333333</v>
      </c>
      <c r="H16" s="28" t="n">
        <f aca="false">SUM($C$5:C16)</f>
        <v>115413.87</v>
      </c>
      <c r="I16" s="31" t="n">
        <f aca="false">IFERROR(AVERAGEIFS(Data!$M$2:$M$2001,Data!$L$2:$L$2001,A16),0)</f>
        <v>13.2846153846154</v>
      </c>
      <c r="J16" s="27" t="str">
        <f aca="false">IF(B16=MAX($B$5:$B$24),"Peak month",IF(B16=MIN($B$5:$B$24),"Lowest month",""))</f>
        <v/>
      </c>
    </row>
    <row r="17" customFormat="false" ht="15" hidden="false" customHeight="false" outlineLevel="0" collapsed="false">
      <c r="A17" s="39" t="n">
        <f aca="false">EDATE(A16,1)</f>
        <v>43101</v>
      </c>
      <c r="B17" s="38" t="n">
        <f aca="false">COUNTIFS(Data!$L$2:$L$2001,A17)</f>
        <v>110</v>
      </c>
      <c r="C17" s="28" t="n">
        <f aca="false">SUMIFS(Data!$P$2:$P$2001,Data!$L$2:$L$2001,A17)</f>
        <v>14582.56</v>
      </c>
      <c r="D17" s="28" t="n">
        <f aca="false">SUMIFS(Data!$S$2:$S$2001,Data!$L$2:$L$2001,A17)</f>
        <v>2686.1614</v>
      </c>
      <c r="E17" s="29" t="n">
        <f aca="false">IFERROR(D17/C17,0)</f>
        <v>0.184203692630101</v>
      </c>
      <c r="F17" s="29" t="n">
        <f aca="false">IFERROR(B17/B16-1,"")</f>
        <v>-0.153846153846154</v>
      </c>
      <c r="G17" s="31" t="n">
        <f aca="false">AVERAGE(B15:B17)</f>
        <v>134</v>
      </c>
      <c r="H17" s="28" t="n">
        <f aca="false">SUM($C$5:C17)</f>
        <v>129996.43</v>
      </c>
      <c r="I17" s="31" t="n">
        <f aca="false">IFERROR(AVERAGEIFS(Data!$M$2:$M$2001,Data!$L$2:$L$2001,A17),0)</f>
        <v>12.1363636363636</v>
      </c>
      <c r="J17" s="27" t="str">
        <f aca="false">IF(B17=MAX($B$5:$B$24),"Peak month",IF(B17=MIN($B$5:$B$24),"Lowest month",""))</f>
        <v/>
      </c>
    </row>
    <row r="18" customFormat="false" ht="15" hidden="false" customHeight="false" outlineLevel="0" collapsed="false">
      <c r="A18" s="39" t="n">
        <f aca="false">EDATE(A17,1)</f>
        <v>43132</v>
      </c>
      <c r="B18" s="38" t="n">
        <f aca="false">COUNTIFS(Data!$L$2:$L$2001,A18)</f>
        <v>118</v>
      </c>
      <c r="C18" s="28" t="n">
        <f aca="false">SUMIFS(Data!$P$2:$P$2001,Data!$L$2:$L$2001,A18)</f>
        <v>15315.65</v>
      </c>
      <c r="D18" s="28" t="n">
        <f aca="false">SUMIFS(Data!$S$2:$S$2001,Data!$L$2:$L$2001,A18)</f>
        <v>2961.8738</v>
      </c>
      <c r="E18" s="29" t="n">
        <f aca="false">IFERROR(D18/C18,0)</f>
        <v>0.193388710240832</v>
      </c>
      <c r="F18" s="29" t="n">
        <f aca="false">IFERROR(B18/B17-1,"")</f>
        <v>0.0727272727272728</v>
      </c>
      <c r="G18" s="31" t="n">
        <f aca="false">AVERAGE(B16:B18)</f>
        <v>119.333333333333</v>
      </c>
      <c r="H18" s="28" t="n">
        <f aca="false">SUM($C$5:C18)</f>
        <v>145312.08</v>
      </c>
      <c r="I18" s="31" t="n">
        <f aca="false">IFERROR(AVERAGEIFS(Data!$M$2:$M$2001,Data!$L$2:$L$2001,A18),0)</f>
        <v>12.2372881355932</v>
      </c>
      <c r="J18" s="27" t="str">
        <f aca="false">IF(B18=MAX($B$5:$B$24),"Peak month",IF(B18=MIN($B$5:$B$24),"Lowest month",""))</f>
        <v/>
      </c>
    </row>
    <row r="19" customFormat="false" ht="15" hidden="false" customHeight="false" outlineLevel="0" collapsed="false">
      <c r="A19" s="39" t="n">
        <f aca="false">EDATE(A18,1)</f>
        <v>43160</v>
      </c>
      <c r="B19" s="38" t="n">
        <f aca="false">COUNTIFS(Data!$L$2:$L$2001,A19)</f>
        <v>130</v>
      </c>
      <c r="C19" s="28" t="n">
        <f aca="false">SUMIFS(Data!$P$2:$P$2001,Data!$L$2:$L$2001,A19)</f>
        <v>17123.16</v>
      </c>
      <c r="D19" s="28" t="n">
        <f aca="false">SUMIFS(Data!$S$2:$S$2001,Data!$L$2:$L$2001,A19)</f>
        <v>3258.3267</v>
      </c>
      <c r="E19" s="29" t="n">
        <f aca="false">IFERROR(D19/C19,0)</f>
        <v>0.190287698065077</v>
      </c>
      <c r="F19" s="29" t="n">
        <f aca="false">IFERROR(B19/B18-1,"")</f>
        <v>0.101694915254237</v>
      </c>
      <c r="G19" s="31" t="n">
        <f aca="false">AVERAGE(B17:B19)</f>
        <v>119.333333333333</v>
      </c>
      <c r="H19" s="28" t="n">
        <f aca="false">SUM($C$5:C19)</f>
        <v>162435.24</v>
      </c>
      <c r="I19" s="31" t="n">
        <f aca="false">IFERROR(AVERAGEIFS(Data!$M$2:$M$2001,Data!$L$2:$L$2001,A19),0)</f>
        <v>12.4769230769231</v>
      </c>
      <c r="J19" s="27" t="str">
        <f aca="false">IF(B19=MAX($B$5:$B$24),"Peak month",IF(B19=MIN($B$5:$B$24),"Lowest month",""))</f>
        <v/>
      </c>
    </row>
    <row r="20" customFormat="false" ht="15" hidden="false" customHeight="false" outlineLevel="0" collapsed="false">
      <c r="A20" s="39" t="n">
        <f aca="false">EDATE(A19,1)</f>
        <v>43191</v>
      </c>
      <c r="B20" s="38" t="n">
        <f aca="false">COUNTIFS(Data!$L$2:$L$2001,A20)</f>
        <v>119</v>
      </c>
      <c r="C20" s="28" t="n">
        <f aca="false">SUMIFS(Data!$P$2:$P$2001,Data!$L$2:$L$2001,A20)</f>
        <v>16952.45</v>
      </c>
      <c r="D20" s="28" t="n">
        <f aca="false">SUMIFS(Data!$S$2:$S$2001,Data!$L$2:$L$2001,A20)</f>
        <v>3524.8287</v>
      </c>
      <c r="E20" s="29" t="n">
        <f aca="false">IFERROR(D20/C20,0)</f>
        <v>0.207924441599887</v>
      </c>
      <c r="F20" s="29" t="n">
        <f aca="false">IFERROR(B20/B19-1,"")</f>
        <v>-0.0846153846153847</v>
      </c>
      <c r="G20" s="31" t="n">
        <f aca="false">AVERAGE(B18:B20)</f>
        <v>122.333333333333</v>
      </c>
      <c r="H20" s="28" t="n">
        <f aca="false">SUM($C$5:C20)</f>
        <v>179387.69</v>
      </c>
      <c r="I20" s="31" t="n">
        <f aca="false">IFERROR(AVERAGEIFS(Data!$M$2:$M$2001,Data!$L$2:$L$2001,A20),0)</f>
        <v>12.0924369747899</v>
      </c>
      <c r="J20" s="27" t="str">
        <f aca="false">IF(B20=MAX($B$5:$B$24),"Peak month",IF(B20=MIN($B$5:$B$24),"Lowest month",""))</f>
        <v/>
      </c>
    </row>
    <row r="21" customFormat="false" ht="15" hidden="false" customHeight="false" outlineLevel="0" collapsed="false">
      <c r="A21" s="39" t="n">
        <f aca="false">EDATE(A20,1)</f>
        <v>43221</v>
      </c>
      <c r="B21" s="38" t="n">
        <f aca="false">COUNTIFS(Data!$L$2:$L$2001,A21)</f>
        <v>144</v>
      </c>
      <c r="C21" s="28" t="n">
        <f aca="false">SUMIFS(Data!$P$2:$P$2001,Data!$L$2:$L$2001,A21)</f>
        <v>17742.95</v>
      </c>
      <c r="D21" s="28" t="n">
        <f aca="false">SUMIFS(Data!$S$2:$S$2001,Data!$L$2:$L$2001,A21)</f>
        <v>3299.1081</v>
      </c>
      <c r="E21" s="29" t="n">
        <f aca="false">IFERROR(D21/C21,0)</f>
        <v>0.185939096937093</v>
      </c>
      <c r="F21" s="29" t="n">
        <f aca="false">IFERROR(B21/B20-1,"")</f>
        <v>0.210084033613445</v>
      </c>
      <c r="G21" s="31" t="n">
        <f aca="false">AVERAGE(B19:B21)</f>
        <v>131</v>
      </c>
      <c r="H21" s="28" t="n">
        <f aca="false">SUM($C$5:C21)</f>
        <v>197130.64</v>
      </c>
      <c r="I21" s="31" t="n">
        <f aca="false">IFERROR(AVERAGEIFS(Data!$M$2:$M$2001,Data!$L$2:$L$2001,A21),0)</f>
        <v>13</v>
      </c>
      <c r="J21" s="27" t="str">
        <f aca="false">IF(B21=MAX($B$5:$B$24),"Peak month",IF(B21=MIN($B$5:$B$24),"Lowest month",""))</f>
        <v/>
      </c>
    </row>
    <row r="22" customFormat="false" ht="15" hidden="false" customHeight="false" outlineLevel="0" collapsed="false">
      <c r="A22" s="39" t="n">
        <f aca="false">EDATE(A21,1)</f>
        <v>43252</v>
      </c>
      <c r="B22" s="38" t="n">
        <f aca="false">COUNTIFS(Data!$L$2:$L$2001,A22)</f>
        <v>159</v>
      </c>
      <c r="C22" s="28" t="n">
        <f aca="false">SUMIFS(Data!$P$2:$P$2001,Data!$L$2:$L$2001,A22)</f>
        <v>20909.41</v>
      </c>
      <c r="D22" s="28" t="n">
        <f aca="false">SUMIFS(Data!$S$2:$S$2001,Data!$L$2:$L$2001,A22)</f>
        <v>3949.9766</v>
      </c>
      <c r="E22" s="29" t="n">
        <f aca="false">IFERROR(D22/C22,0)</f>
        <v>0.188909041431585</v>
      </c>
      <c r="F22" s="29" t="n">
        <f aca="false">IFERROR(B22/B21-1,"")</f>
        <v>0.104166666666667</v>
      </c>
      <c r="G22" s="31" t="n">
        <f aca="false">AVERAGE(B20:B22)</f>
        <v>140.666666666667</v>
      </c>
      <c r="H22" s="28" t="n">
        <f aca="false">SUM($C$5:C22)</f>
        <v>218040.05</v>
      </c>
      <c r="I22" s="31" t="n">
        <f aca="false">IFERROR(AVERAGEIFS(Data!$M$2:$M$2001,Data!$L$2:$L$2001,A22),0)</f>
        <v>12.2012578616352</v>
      </c>
      <c r="J22" s="27" t="str">
        <f aca="false">IF(B22=MAX($B$5:$B$24),"Peak month",IF(B22=MIN($B$5:$B$24),"Lowest month",""))</f>
        <v/>
      </c>
    </row>
    <row r="23" customFormat="false" ht="15" hidden="false" customHeight="false" outlineLevel="0" collapsed="false">
      <c r="A23" s="39" t="n">
        <f aca="false">EDATE(A22,1)</f>
        <v>43282</v>
      </c>
      <c r="B23" s="38" t="n">
        <f aca="false">COUNTIFS(Data!$L$2:$L$2001,A23)</f>
        <v>155</v>
      </c>
      <c r="C23" s="28" t="n">
        <f aca="false">SUMIFS(Data!$P$2:$P$2001,Data!$L$2:$L$2001,A23)</f>
        <v>21264.66</v>
      </c>
      <c r="D23" s="28" t="n">
        <f aca="false">SUMIFS(Data!$S$2:$S$2001,Data!$L$2:$L$2001,A23)</f>
        <v>4147.4508</v>
      </c>
      <c r="E23" s="29" t="n">
        <f aca="false">IFERROR(D23/C23,0)</f>
        <v>0.195039600915322</v>
      </c>
      <c r="F23" s="29" t="n">
        <f aca="false">IFERROR(B23/B22-1,"")</f>
        <v>-0.0251572327044025</v>
      </c>
      <c r="G23" s="31" t="n">
        <f aca="false">AVERAGE(B21:B23)</f>
        <v>152.666666666667</v>
      </c>
      <c r="H23" s="28" t="n">
        <f aca="false">SUM($C$5:C23)</f>
        <v>239304.71</v>
      </c>
      <c r="I23" s="31" t="n">
        <f aca="false">IFERROR(AVERAGEIFS(Data!$M$2:$M$2001,Data!$L$2:$L$2001,A23),0)</f>
        <v>12.4258064516129</v>
      </c>
      <c r="J23" s="27" t="str">
        <f aca="false">IF(B23=MAX($B$5:$B$24),"Peak month",IF(B23=MIN($B$5:$B$24),"Lowest month",""))</f>
        <v/>
      </c>
    </row>
    <row r="24" customFormat="false" ht="15" hidden="false" customHeight="false" outlineLevel="0" collapsed="false">
      <c r="A24" s="39" t="n">
        <f aca="false">EDATE(A23,1)</f>
        <v>43313</v>
      </c>
      <c r="B24" s="38" t="n">
        <f aca="false">COUNTIFS(Data!$L$2:$L$2001,A24)</f>
        <v>188</v>
      </c>
      <c r="C24" s="28" t="n">
        <f aca="false">SUMIFS(Data!$P$2:$P$2001,Data!$L$2:$L$2001,A24)</f>
        <v>25620.95</v>
      </c>
      <c r="D24" s="28" t="n">
        <f aca="false">SUMIFS(Data!$S$2:$S$2001,Data!$L$2:$L$2001,A24)</f>
        <v>5071.6196</v>
      </c>
      <c r="E24" s="29" t="n">
        <f aca="false">IFERROR(D24/C24,0)</f>
        <v>0.1979481479024</v>
      </c>
      <c r="F24" s="29" t="n">
        <f aca="false">IFERROR(B24/B23-1,"")</f>
        <v>0.212903225806452</v>
      </c>
      <c r="G24" s="31" t="n">
        <f aca="false">AVERAGE(B22:B24)</f>
        <v>167.333333333333</v>
      </c>
      <c r="H24" s="28" t="n">
        <f aca="false">SUM($C$5:C24)</f>
        <v>264925.66</v>
      </c>
      <c r="I24" s="31" t="n">
        <f aca="false">IFERROR(AVERAGEIFS(Data!$M$2:$M$2001,Data!$L$2:$L$2001,A24),0)</f>
        <v>12.0904255319149</v>
      </c>
      <c r="J24" s="27" t="str">
        <f aca="false">IF(B24=MAX($B$5:$B$24),"Peak month",IF(B24=MIN($B$5:$B$24),"Lowest month",""))</f>
        <v>Peak month</v>
      </c>
    </row>
  </sheetData>
  <conditionalFormatting sqref="B5:B24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{F3ABDABC-B362-4513-B2B3-DABE2D2C2C83}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ABDABC-B362-4513-B2B3-DABE2D2C2C83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B5:B24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8"/>
  </cols>
  <sheetData>
    <row r="1" customFormat="false" ht="22.05" hidden="false" customHeight="false" outlineLevel="0" collapsed="false">
      <c r="A1" s="1" t="s">
        <v>2099</v>
      </c>
    </row>
    <row r="2" customFormat="false" ht="15" hidden="false" customHeight="false" outlineLevel="0" collapsed="false">
      <c r="A2" s="2" t="s">
        <v>2100</v>
      </c>
    </row>
    <row r="4" customFormat="false" ht="31.5" hidden="false" customHeight="true" outlineLevel="0" collapsed="false">
      <c r="A4" s="3" t="s">
        <v>2101</v>
      </c>
      <c r="B4" s="3" t="s">
        <v>20</v>
      </c>
      <c r="C4" s="3" t="s">
        <v>2102</v>
      </c>
      <c r="D4" s="3" t="s">
        <v>8</v>
      </c>
      <c r="E4" s="3" t="s">
        <v>2103</v>
      </c>
      <c r="F4" s="3" t="s">
        <v>2104</v>
      </c>
    </row>
    <row r="5" customFormat="false" ht="15" hidden="false" customHeight="false" outlineLevel="0" collapsed="false">
      <c r="A5" s="27" t="s">
        <v>2105</v>
      </c>
      <c r="B5" s="28" t="n">
        <f aca="false">COUNTIFS(Data!$T$2:$T$2001,A5)</f>
        <v>468</v>
      </c>
      <c r="C5" s="29" t="n">
        <f aca="false">B5/SUM($B$5:$B$8)</f>
        <v>0.234</v>
      </c>
      <c r="D5" s="40" t="n">
        <f aca="false">IFERROR(AVERAGEIFS(Data!$J$2:$J$2001,Data!$T$2:$T$2001,A5),0)</f>
        <v>4.42307692307692</v>
      </c>
      <c r="E5" s="30" t="n">
        <f aca="false">IFERROR(AVERAGEIFS(Data!$S$2:$S$2001,Data!$T$2:$T$2001,A5),0)</f>
        <v>24.8163480769231</v>
      </c>
      <c r="F5" s="29" t="n">
        <f aca="false">IFERROR(1-SUMIFS(Data!$O$2:$O$2001,Data!$T$2:$T$2001,A5)/B5,0)</f>
        <v>0</v>
      </c>
    </row>
    <row r="6" customFormat="false" ht="15" hidden="false" customHeight="false" outlineLevel="0" collapsed="false">
      <c r="A6" s="27" t="s">
        <v>2106</v>
      </c>
      <c r="B6" s="28" t="n">
        <f aca="false">COUNTIFS(Data!$T$2:$T$2001,A6)</f>
        <v>949</v>
      </c>
      <c r="C6" s="29" t="n">
        <f aca="false">B6/SUM($B$5:$B$8)</f>
        <v>0.4745</v>
      </c>
      <c r="D6" s="40" t="n">
        <f aca="false">IFERROR(AVERAGEIFS(Data!$J$2:$J$2001,Data!$T$2:$T$2001,A6),0)</f>
        <v>4.38777660695469</v>
      </c>
      <c r="E6" s="30" t="n">
        <f aca="false">IFERROR(AVERAGEIFS(Data!$S$2:$S$2001,Data!$T$2:$T$2001,A6),0)</f>
        <v>26.4077147523709</v>
      </c>
      <c r="F6" s="29" t="n">
        <f aca="false">IFERROR(1-SUMIFS(Data!$O$2:$O$2001,Data!$T$2:$T$2001,A6)/B6,0)</f>
        <v>0.0136986301369864</v>
      </c>
    </row>
    <row r="7" customFormat="false" ht="15" hidden="false" customHeight="false" outlineLevel="0" collapsed="false">
      <c r="A7" s="27" t="s">
        <v>2107</v>
      </c>
      <c r="B7" s="28" t="n">
        <f aca="false">COUNTIFS(Data!$T$2:$T$2001,A7)</f>
        <v>404</v>
      </c>
      <c r="C7" s="29" t="n">
        <f aca="false">B7/SUM($B$5:$B$8)</f>
        <v>0.202</v>
      </c>
      <c r="D7" s="40" t="n">
        <f aca="false">IFERROR(AVERAGEIFS(Data!$J$2:$J$2001,Data!$T$2:$T$2001,A7),0)</f>
        <v>4.04207920792079</v>
      </c>
      <c r="E7" s="30" t="n">
        <f aca="false">IFERROR(AVERAGEIFS(Data!$S$2:$S$2001,Data!$T$2:$T$2001,A7),0)</f>
        <v>23.6958767326733</v>
      </c>
      <c r="F7" s="29" t="n">
        <f aca="false">IFERROR(1-SUMIFS(Data!$O$2:$O$2001,Data!$T$2:$T$2001,A7)/B7,0)</f>
        <v>0.0891089108910891</v>
      </c>
    </row>
    <row r="8" customFormat="false" ht="15" hidden="false" customHeight="false" outlineLevel="0" collapsed="false">
      <c r="A8" s="27" t="s">
        <v>2108</v>
      </c>
      <c r="B8" s="28" t="n">
        <f aca="false">COUNTIFS(Data!$T$2:$T$2001,A8)</f>
        <v>179</v>
      </c>
      <c r="C8" s="29" t="n">
        <f aca="false">B8/SUM($B$5:$B$8)</f>
        <v>0.0895</v>
      </c>
      <c r="D8" s="40" t="n">
        <f aca="false">IFERROR(AVERAGEIFS(Data!$J$2:$J$2001,Data!$T$2:$T$2001,A8),0)</f>
        <v>3.13966480446927</v>
      </c>
      <c r="E8" s="30" t="n">
        <f aca="false">IFERROR(AVERAGEIFS(Data!$S$2:$S$2001,Data!$T$2:$T$2001,A8),0)</f>
        <v>25.745594972067</v>
      </c>
      <c r="F8" s="29" t="n">
        <f aca="false">IFERROR(1-SUMIFS(Data!$O$2:$O$2001,Data!$T$2:$T$2001,A8)/B8,0)</f>
        <v>0.536312849162011</v>
      </c>
    </row>
    <row r="11" customFormat="false" ht="31.5" hidden="false" customHeight="true" outlineLevel="0" collapsed="false">
      <c r="A11" s="3" t="s">
        <v>2109</v>
      </c>
      <c r="B11" s="3" t="s">
        <v>20</v>
      </c>
      <c r="C11" s="3" t="s">
        <v>2102</v>
      </c>
      <c r="D11" s="3" t="s">
        <v>8</v>
      </c>
      <c r="E11" s="3" t="s">
        <v>2103</v>
      </c>
      <c r="F11" s="3" t="s">
        <v>2110</v>
      </c>
    </row>
    <row r="12" customFormat="false" ht="15" hidden="false" customHeight="false" outlineLevel="0" collapsed="false">
      <c r="A12" s="27" t="s">
        <v>2111</v>
      </c>
      <c r="B12" s="28" t="n">
        <f aca="false">COUNTIFS(Data!$O$2:$O$2001,1)</f>
        <v>1855</v>
      </c>
      <c r="C12" s="29" t="n">
        <f aca="false">B12/SUM($B$12:$B$13)</f>
        <v>0.9275</v>
      </c>
      <c r="D12" s="40" t="n">
        <f aca="false">IFERROR(AVERAGEIFS(Data!$J$2:$J$2001,Data!$O$2:$O$2001,1),0)</f>
        <v>4.33584905660377</v>
      </c>
      <c r="E12" s="30" t="n">
        <f aca="false">IFERROR(AVERAGEIFS(Data!$S$2:$S$2001,Data!$O$2:$O$2001,1),0)</f>
        <v>25.2179316981132</v>
      </c>
      <c r="F12" s="31" t="n">
        <f aca="false">IFERROR(AVERAGEIFS(Data!$N$2:$N$2001,Data!$O$2:$O$2001,1),0)</f>
        <v>0</v>
      </c>
    </row>
    <row r="13" customFormat="false" ht="15" hidden="false" customHeight="false" outlineLevel="0" collapsed="false">
      <c r="A13" s="27" t="s">
        <v>2112</v>
      </c>
      <c r="B13" s="28" t="n">
        <f aca="false">COUNTIFS(Data!$O$2:$O$2001,0)</f>
        <v>145</v>
      </c>
      <c r="C13" s="29" t="n">
        <f aca="false">B13/SUM($B$12:$B$13)</f>
        <v>0.0725</v>
      </c>
      <c r="D13" s="40" t="n">
        <f aca="false">IFERROR(AVERAGEIFS(Data!$J$2:$J$2001,Data!$O$2:$O$2001,0),0)</f>
        <v>2.66206896551724</v>
      </c>
      <c r="E13" s="30" t="n">
        <f aca="false">IFERROR(AVERAGEIFS(Data!$S$2:$S$2001,Data!$O$2:$O$2001,0),0)</f>
        <v>28.1193420689655</v>
      </c>
      <c r="F13" s="31" t="n">
        <f aca="false">IFERROR(AVERAGEIFS(Data!$N$2:$N$2001,Data!$O$2:$O$2001,0),0)</f>
        <v>4.88275862068966</v>
      </c>
    </row>
    <row r="14" customFormat="false" ht="15" hidden="false" customHeight="false" outlineLevel="0" collapsed="false">
      <c r="A14" s="13" t="s">
        <v>2113</v>
      </c>
      <c r="D14" s="41" t="n">
        <f aca="false">D12-D13</f>
        <v>1.67378009108653</v>
      </c>
    </row>
    <row r="17" customFormat="false" ht="31.5" hidden="false" customHeight="true" outlineLevel="0" collapsed="false">
      <c r="A17" s="3" t="s">
        <v>2081</v>
      </c>
      <c r="B17" s="3" t="s">
        <v>6</v>
      </c>
      <c r="C17" s="3" t="s">
        <v>7</v>
      </c>
      <c r="D17" s="3" t="s">
        <v>2114</v>
      </c>
      <c r="E17" s="3" t="s">
        <v>8</v>
      </c>
      <c r="F17" s="3" t="s">
        <v>2115</v>
      </c>
    </row>
    <row r="18" customFormat="false" ht="15" hidden="false" customHeight="false" outlineLevel="0" collapsed="false">
      <c r="A18" s="27" t="s">
        <v>19</v>
      </c>
      <c r="B18" s="31" t="n">
        <f aca="false">IFERROR(AVERAGEIFS(Data!$M$2:$M$2001,Data!$B$2:$B$2001,A18),0)</f>
        <v>8.65676567656766</v>
      </c>
      <c r="C18" s="29" t="n">
        <f aca="false">IFERROR(SUMIFS(Data!$O$2:$O$2001,Data!$B$2:$B$2001,A18)/COUNTIFS(Data!$B$2:$B$2001,A18),0)</f>
        <v>0.946094609460946</v>
      </c>
      <c r="D18" s="31" t="n">
        <f aca="false">IFERROR(AVERAGEIFS(Data!$N$2:$N$2001,Data!$B$2:$B$2001,A18,Data!$O$2:$O$2001,0),0)</f>
        <v>3.42857142857143</v>
      </c>
      <c r="E18" s="40" t="n">
        <f aca="false">IFERROR(AVERAGEIFS(Data!$J$2:$J$2001,Data!$B$2:$B$2001,A18),0)</f>
        <v>4.34213421342134</v>
      </c>
      <c r="F18" s="27" t="str">
        <f aca="false">IF(B18&gt;=$B$30*1.25,"High",IF(B18&gt;=$B$30,"Medium","Low"))</f>
        <v>Low</v>
      </c>
    </row>
    <row r="19" customFormat="false" ht="15" hidden="false" customHeight="false" outlineLevel="0" collapsed="false">
      <c r="A19" s="27" t="s">
        <v>55</v>
      </c>
      <c r="B19" s="31" t="n">
        <f aca="false">IFERROR(AVERAGEIFS(Data!$M$2:$M$2001,Data!$B$2:$B$2001,A19),0)</f>
        <v>16.3214285714286</v>
      </c>
      <c r="C19" s="29" t="n">
        <f aca="false">IFERROR(SUMIFS(Data!$O$2:$O$2001,Data!$B$2:$B$2001,A19)/COUNTIFS(Data!$B$2:$B$2001,A19),0)</f>
        <v>0.900793650793651</v>
      </c>
      <c r="D19" s="31" t="n">
        <f aca="false">IFERROR(AVERAGEIFS(Data!$N$2:$N$2001,Data!$B$2:$B$2001,A19,Data!$O$2:$O$2001,0),0)</f>
        <v>5.84</v>
      </c>
      <c r="E19" s="40" t="n">
        <f aca="false">IFERROR(AVERAGEIFS(Data!$J$2:$J$2001,Data!$B$2:$B$2001,A19),0)</f>
        <v>4.00793650793651</v>
      </c>
      <c r="F19" s="27" t="str">
        <f aca="false">IF(B19&gt;=$B$30*1.25,"High",IF(B19&gt;=$B$30,"Medium","Low"))</f>
        <v>High</v>
      </c>
    </row>
    <row r="20" customFormat="false" ht="15" hidden="false" customHeight="false" outlineLevel="0" collapsed="false">
      <c r="A20" s="27" t="s">
        <v>62</v>
      </c>
      <c r="B20" s="31" t="n">
        <f aca="false">IFERROR(AVERAGEIFS(Data!$M$2:$M$2001,Data!$B$2:$B$2001,A20),0)</f>
        <v>12.5394190871369</v>
      </c>
      <c r="C20" s="29" t="n">
        <f aca="false">IFERROR(SUMIFS(Data!$O$2:$O$2001,Data!$B$2:$B$2001,A20)/COUNTIFS(Data!$B$2:$B$2001,A20),0)</f>
        <v>0.95850622406639</v>
      </c>
      <c r="D20" s="31" t="n">
        <f aca="false">IFERROR(AVERAGEIFS(Data!$N$2:$N$2001,Data!$B$2:$B$2001,A20,Data!$O$2:$O$2001,0),0)</f>
        <v>4.4</v>
      </c>
      <c r="E20" s="40" t="n">
        <f aca="false">IFERROR(AVERAGEIFS(Data!$J$2:$J$2001,Data!$B$2:$B$2001,A20),0)</f>
        <v>4.35269709543568</v>
      </c>
      <c r="F20" s="27" t="str">
        <f aca="false">IF(B20&gt;=$B$30*1.25,"High",IF(B20&gt;=$B$30,"Medium","Low"))</f>
        <v>Medium</v>
      </c>
    </row>
    <row r="21" customFormat="false" ht="15" hidden="false" customHeight="false" outlineLevel="0" collapsed="false">
      <c r="A21" s="27" t="s">
        <v>52</v>
      </c>
      <c r="B21" s="31" t="n">
        <f aca="false">IFERROR(AVERAGEIFS(Data!$M$2:$M$2001,Data!$B$2:$B$2001,A21),0)</f>
        <v>16.3636363636364</v>
      </c>
      <c r="C21" s="29" t="n">
        <f aca="false">IFERROR(SUMIFS(Data!$O$2:$O$2001,Data!$B$2:$B$2001,A21)/COUNTIFS(Data!$B$2:$B$2001,A21),0)</f>
        <v>0.872727272727273</v>
      </c>
      <c r="D21" s="31" t="n">
        <f aca="false">IFERROR(AVERAGEIFS(Data!$N$2:$N$2001,Data!$B$2:$B$2001,A21,Data!$O$2:$O$2001,0),0)</f>
        <v>5.85714285714286</v>
      </c>
      <c r="E21" s="40" t="n">
        <f aca="false">IFERROR(AVERAGEIFS(Data!$J$2:$J$2001,Data!$B$2:$B$2001,A21),0)</f>
        <v>3.89090909090909</v>
      </c>
      <c r="F21" s="27" t="str">
        <f aca="false">IF(B21&gt;=$B$30*1.25,"High",IF(B21&gt;=$B$30,"Medium","Low"))</f>
        <v>High</v>
      </c>
    </row>
    <row r="22" customFormat="false" ht="15" hidden="false" customHeight="false" outlineLevel="0" collapsed="false">
      <c r="A22" s="27" t="s">
        <v>48</v>
      </c>
      <c r="B22" s="31" t="n">
        <f aca="false">IFERROR(AVERAGEIFS(Data!$M$2:$M$2001,Data!$B$2:$B$2001,A22),0)</f>
        <v>13.1652173913043</v>
      </c>
      <c r="C22" s="29" t="n">
        <f aca="false">IFERROR(SUMIFS(Data!$O$2:$O$2001,Data!$B$2:$B$2001,A22)/COUNTIFS(Data!$B$2:$B$2001,A22),0)</f>
        <v>0.88695652173913</v>
      </c>
      <c r="D22" s="31" t="n">
        <f aca="false">IFERROR(AVERAGEIFS(Data!$N$2:$N$2001,Data!$B$2:$B$2001,A22,Data!$O$2:$O$2001,0),0)</f>
        <v>3.92307692307692</v>
      </c>
      <c r="E22" s="40" t="n">
        <f aca="false">IFERROR(AVERAGEIFS(Data!$J$2:$J$2001,Data!$B$2:$B$2001,A22),0)</f>
        <v>4.22608695652174</v>
      </c>
      <c r="F22" s="27" t="str">
        <f aca="false">IF(B22&gt;=$B$30*1.25,"High",IF(B22&gt;=$B$30,"Medium","Low"))</f>
        <v>Medium</v>
      </c>
    </row>
    <row r="23" customFormat="false" ht="15" hidden="false" customHeight="false" outlineLevel="0" collapsed="false">
      <c r="A23" s="27" t="s">
        <v>134</v>
      </c>
      <c r="B23" s="31" t="n">
        <f aca="false">IFERROR(AVERAGEIFS(Data!$M$2:$M$2001,Data!$B$2:$B$2001,A23),0)</f>
        <v>14.7916666666667</v>
      </c>
      <c r="C23" s="29" t="n">
        <f aca="false">IFERROR(SUMIFS(Data!$O$2:$O$2001,Data!$B$2:$B$2001,A23)/COUNTIFS(Data!$B$2:$B$2001,A23),0)</f>
        <v>0.927083333333333</v>
      </c>
      <c r="D23" s="31" t="n">
        <f aca="false">IFERROR(AVERAGEIFS(Data!$N$2:$N$2001,Data!$B$2:$B$2001,A23,Data!$O$2:$O$2001,0),0)</f>
        <v>4.57142857142857</v>
      </c>
      <c r="E23" s="40" t="n">
        <f aca="false">IFERROR(AVERAGEIFS(Data!$J$2:$J$2001,Data!$B$2:$B$2001,A23),0)</f>
        <v>4.15625</v>
      </c>
      <c r="F23" s="27" t="str">
        <f aca="false">IF(B23&gt;=$B$30*1.25,"High",IF(B23&gt;=$B$30,"Medium","Low"))</f>
        <v>Medium</v>
      </c>
    </row>
    <row r="24" customFormat="false" ht="15" hidden="false" customHeight="false" outlineLevel="0" collapsed="false">
      <c r="A24" s="27" t="s">
        <v>93</v>
      </c>
      <c r="B24" s="31" t="n">
        <f aca="false">IFERROR(AVERAGEIFS(Data!$M$2:$M$2001,Data!$B$2:$B$2001,A24),0)</f>
        <v>20.2307692307692</v>
      </c>
      <c r="C24" s="29" t="n">
        <f aca="false">IFERROR(SUMIFS(Data!$O$2:$O$2001,Data!$B$2:$B$2001,A24)/COUNTIFS(Data!$B$2:$B$2001,A24),0)</f>
        <v>0.938461538461539</v>
      </c>
      <c r="D24" s="31" t="n">
        <f aca="false">IFERROR(AVERAGEIFS(Data!$N$2:$N$2001,Data!$B$2:$B$2001,A24,Data!$O$2:$O$2001,0),0)</f>
        <v>6.5</v>
      </c>
      <c r="E24" s="40" t="n">
        <f aca="false">IFERROR(AVERAGEIFS(Data!$J$2:$J$2001,Data!$B$2:$B$2001,A24),0)</f>
        <v>3.90769230769231</v>
      </c>
      <c r="F24" s="27" t="str">
        <f aca="false">IF(B24&gt;=$B$30*1.25,"High",IF(B24&gt;=$B$30,"Medium","Low"))</f>
        <v>High</v>
      </c>
    </row>
    <row r="25" customFormat="false" ht="15" hidden="false" customHeight="false" outlineLevel="0" collapsed="false">
      <c r="A25" s="27" t="s">
        <v>103</v>
      </c>
      <c r="B25" s="31" t="n">
        <f aca="false">IFERROR(AVERAGEIFS(Data!$M$2:$M$2001,Data!$B$2:$B$2001,A25),0)</f>
        <v>13.6730769230769</v>
      </c>
      <c r="C25" s="29" t="n">
        <f aca="false">IFERROR(SUMIFS(Data!$O$2:$O$2001,Data!$B$2:$B$2001,A25)/COUNTIFS(Data!$B$2:$B$2001,A25),0)</f>
        <v>0.961538461538462</v>
      </c>
      <c r="D25" s="31" t="n">
        <f aca="false">IFERROR(AVERAGEIFS(Data!$N$2:$N$2001,Data!$B$2:$B$2001,A25,Data!$O$2:$O$2001,0),0)</f>
        <v>2</v>
      </c>
      <c r="E25" s="40" t="n">
        <f aca="false">IFERROR(AVERAGEIFS(Data!$J$2:$J$2001,Data!$B$2:$B$2001,A25),0)</f>
        <v>4.32692307692308</v>
      </c>
      <c r="F25" s="27" t="str">
        <f aca="false">IF(B25&gt;=$B$30*1.25,"High",IF(B25&gt;=$B$30,"Medium","Low"))</f>
        <v>Medium</v>
      </c>
    </row>
    <row r="26" customFormat="false" ht="15" hidden="false" customHeight="false" outlineLevel="0" collapsed="false">
      <c r="A26" s="27" t="s">
        <v>156</v>
      </c>
      <c r="B26" s="31" t="n">
        <f aca="false">IFERROR(AVERAGEIFS(Data!$M$2:$M$2001,Data!$B$2:$B$2001,A26),0)</f>
        <v>17.7</v>
      </c>
      <c r="C26" s="29" t="n">
        <f aca="false">IFERROR(SUMIFS(Data!$O$2:$O$2001,Data!$B$2:$B$2001,A26)/COUNTIFS(Data!$B$2:$B$2001,A26),0)</f>
        <v>0.816666666666667</v>
      </c>
      <c r="D26" s="31" t="n">
        <f aca="false">IFERROR(AVERAGEIFS(Data!$N$2:$N$2001,Data!$B$2:$B$2001,A26,Data!$O$2:$O$2001,0),0)</f>
        <v>6.81818181818182</v>
      </c>
      <c r="E26" s="40" t="n">
        <f aca="false">IFERROR(AVERAGEIFS(Data!$J$2:$J$2001,Data!$B$2:$B$2001,A26),0)</f>
        <v>3.95</v>
      </c>
      <c r="F26" s="27" t="str">
        <f aca="false">IF(B26&gt;=$B$30*1.25,"High",IF(B26&gt;=$B$30,"Medium","Low"))</f>
        <v>High</v>
      </c>
    </row>
    <row r="27" customFormat="false" ht="15" hidden="false" customHeight="false" outlineLevel="0" collapsed="false">
      <c r="A27" s="27" t="s">
        <v>77</v>
      </c>
      <c r="B27" s="31" t="n">
        <f aca="false">IFERROR(AVERAGEIFS(Data!$M$2:$M$2001,Data!$B$2:$B$2001,A27),0)</f>
        <v>15.969696969697</v>
      </c>
      <c r="C27" s="29" t="n">
        <f aca="false">IFERROR(SUMIFS(Data!$O$2:$O$2001,Data!$B$2:$B$2001,A27)/COUNTIFS(Data!$B$2:$B$2001,A27),0)</f>
        <v>0.848484848484849</v>
      </c>
      <c r="D27" s="31" t="n">
        <f aca="false">IFERROR(AVERAGEIFS(Data!$N$2:$N$2001,Data!$B$2:$B$2001,A27,Data!$O$2:$O$2001,0),0)</f>
        <v>4.4</v>
      </c>
      <c r="E27" s="40" t="n">
        <f aca="false">IFERROR(AVERAGEIFS(Data!$J$2:$J$2001,Data!$B$2:$B$2001,A27),0)</f>
        <v>4</v>
      </c>
      <c r="F27" s="27" t="str">
        <f aca="false">IF(B27&gt;=$B$30*1.25,"High",IF(B27&gt;=$B$30,"Medium","Low"))</f>
        <v>High</v>
      </c>
    </row>
    <row r="28" customFormat="false" ht="15" hidden="false" customHeight="false" outlineLevel="0" collapsed="false">
      <c r="A28" s="27" t="s">
        <v>174</v>
      </c>
      <c r="B28" s="31" t="n">
        <f aca="false">IFERROR(AVERAGEIFS(Data!$M$2:$M$2001,Data!$B$2:$B$2001,A28),0)</f>
        <v>23.5</v>
      </c>
      <c r="C28" s="29" t="n">
        <f aca="false">IFERROR(SUMIFS(Data!$O$2:$O$2001,Data!$B$2:$B$2001,A28)/COUNTIFS(Data!$B$2:$B$2001,A28),0)</f>
        <v>0.904761904761905</v>
      </c>
      <c r="D28" s="31" t="n">
        <f aca="false">IFERROR(AVERAGEIFS(Data!$N$2:$N$2001,Data!$B$2:$B$2001,A28,Data!$O$2:$O$2001,0),0)</f>
        <v>14.25</v>
      </c>
      <c r="E28" s="40" t="n">
        <f aca="false">IFERROR(AVERAGEIFS(Data!$J$2:$J$2001,Data!$B$2:$B$2001,A28),0)</f>
        <v>3.85714285714286</v>
      </c>
      <c r="F28" s="27" t="str">
        <f aca="false">IF(B28&gt;=$B$30*1.25,"High",IF(B28&gt;=$B$30,"Medium","Low"))</f>
        <v>High</v>
      </c>
    </row>
    <row r="29" customFormat="false" ht="15" hidden="false" customHeight="false" outlineLevel="0" collapsed="false">
      <c r="A29" s="27" t="s">
        <v>201</v>
      </c>
      <c r="B29" s="31" t="n">
        <f aca="false">IFERROR(AVERAGEIFS(Data!$M$2:$M$2001,Data!$B$2:$B$2001,A29),0)</f>
        <v>22.4</v>
      </c>
      <c r="C29" s="29" t="n">
        <f aca="false">IFERROR(SUMIFS(Data!$O$2:$O$2001,Data!$B$2:$B$2001,A29)/COUNTIFS(Data!$B$2:$B$2001,A29),0)</f>
        <v>0.96</v>
      </c>
      <c r="D29" s="31" t="n">
        <f aca="false">IFERROR(AVERAGEIFS(Data!$N$2:$N$2001,Data!$B$2:$B$2001,A29,Data!$O$2:$O$2001,0),0)</f>
        <v>1</v>
      </c>
      <c r="E29" s="40" t="n">
        <f aca="false">IFERROR(AVERAGEIFS(Data!$J$2:$J$2001,Data!$B$2:$B$2001,A29),0)</f>
        <v>4</v>
      </c>
      <c r="F29" s="27" t="str">
        <f aca="false">IF(B29&gt;=$B$30*1.25,"High",IF(B29&gt;=$B$30,"Medium","Low"))</f>
        <v>High</v>
      </c>
    </row>
    <row r="30" customFormat="false" ht="15" hidden="false" customHeight="false" outlineLevel="0" collapsed="false">
      <c r="A30" s="13" t="s">
        <v>2116</v>
      </c>
      <c r="B30" s="42" t="n">
        <f aca="false">AVERAGE(Data!$M$2:$M$2001)</f>
        <v>12.45</v>
      </c>
    </row>
    <row r="31" customFormat="false" ht="15" hidden="false" customHeight="false" outlineLevel="0" collapsed="false">
      <c r="A31" s="2" t="s">
        <v>2117</v>
      </c>
    </row>
  </sheetData>
  <conditionalFormatting sqref="B18:B29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C18:C29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1"/>
  </cols>
  <sheetData>
    <row r="1" customFormat="false" ht="22.05" hidden="false" customHeight="false" outlineLevel="0" collapsed="false">
      <c r="A1" s="1" t="s">
        <v>2118</v>
      </c>
    </row>
    <row r="2" customFormat="false" ht="15" hidden="false" customHeight="false" outlineLevel="0" collapsed="false">
      <c r="A2" s="2" t="s">
        <v>2119</v>
      </c>
    </row>
    <row r="4" customFormat="false" ht="31.5" hidden="false" customHeight="true" outlineLevel="0" collapsed="false">
      <c r="A4" s="3" t="s">
        <v>2072</v>
      </c>
      <c r="B4" s="3" t="s">
        <v>20</v>
      </c>
      <c r="C4" s="3" t="s">
        <v>3</v>
      </c>
      <c r="D4" s="3" t="s">
        <v>4</v>
      </c>
      <c r="E4" s="3" t="s">
        <v>5</v>
      </c>
      <c r="F4" s="3" t="s">
        <v>2120</v>
      </c>
      <c r="G4" s="3" t="s">
        <v>2121</v>
      </c>
      <c r="H4" s="3" t="s">
        <v>2073</v>
      </c>
      <c r="I4" s="3" t="s">
        <v>2122</v>
      </c>
    </row>
    <row r="5" customFormat="false" ht="15" hidden="false" customHeight="false" outlineLevel="0" collapsed="false">
      <c r="A5" s="27" t="s">
        <v>67</v>
      </c>
      <c r="B5" s="28" t="n">
        <f aca="false">COUNTIFS(Data!$F$2:$F$2001,A5)</f>
        <v>353</v>
      </c>
      <c r="C5" s="28" t="n">
        <f aca="false">SUMIFS(Data!$P$2:$P$2001,Data!$F$2:$F$2001,A5)</f>
        <v>40417.9</v>
      </c>
      <c r="D5" s="28" t="n">
        <f aca="false">SUMIFS(Data!$S$2:$S$2001,Data!$F$2:$F$2001,A5)</f>
        <v>8067.847</v>
      </c>
      <c r="E5" s="29" t="n">
        <f aca="false">IFERROR(D5/C5,0)</f>
        <v>0.199610741775303</v>
      </c>
      <c r="F5" s="30" t="n">
        <f aca="false">IFERROR(AVERAGEIFS(Data!$G$2:$G$2001,Data!$F$2:$F$2001,A5),0)</f>
        <v>93.4225212464589</v>
      </c>
      <c r="G5" s="40" t="n">
        <f aca="false">IFERROR(AVERAGEIFS(Data!$J$2:$J$2001,Data!$F$2:$F$2001,A5),0)</f>
        <v>4.26628895184136</v>
      </c>
      <c r="H5" s="43" t="n">
        <f aca="false">INDEX(Assumptions!$B$8:$B$16,MATCH(A5,Assumptions!$A$8:$A$16,0))</f>
        <v>0.62</v>
      </c>
      <c r="I5" s="27" t="n">
        <f aca="false">RANK(D5,$D$5:$D$13)</f>
        <v>2</v>
      </c>
    </row>
    <row r="6" customFormat="false" ht="15" hidden="false" customHeight="false" outlineLevel="0" collapsed="false">
      <c r="A6" s="27" t="s">
        <v>49</v>
      </c>
      <c r="B6" s="28" t="n">
        <f aca="false">COUNTIFS(Data!$F$2:$F$2001,A6)</f>
        <v>296</v>
      </c>
      <c r="C6" s="28" t="n">
        <f aca="false">SUMIFS(Data!$P$2:$P$2001,Data!$F$2:$F$2001,A6)</f>
        <v>35451.86</v>
      </c>
      <c r="D6" s="28" t="n">
        <f aca="false">SUMIFS(Data!$S$2:$S$2001,Data!$F$2:$F$2001,A6)</f>
        <v>8255.589</v>
      </c>
      <c r="E6" s="29" t="n">
        <f aca="false">IFERROR(D6/C6,0)</f>
        <v>0.232867584380622</v>
      </c>
      <c r="F6" s="30" t="n">
        <f aca="false">IFERROR(AVERAGEIFS(Data!$G$2:$G$2001,Data!$F$2:$F$2001,A6),0)</f>
        <v>97.7964527027027</v>
      </c>
      <c r="G6" s="40" t="n">
        <f aca="false">IFERROR(AVERAGEIFS(Data!$J$2:$J$2001,Data!$F$2:$F$2001,A6),0)</f>
        <v>4.18243243243243</v>
      </c>
      <c r="H6" s="43" t="n">
        <f aca="false">INDEX(Assumptions!$B$8:$B$16,MATCH(A6,Assumptions!$A$8:$A$16,0))</f>
        <v>0.58</v>
      </c>
      <c r="I6" s="27" t="n">
        <f aca="false">RANK(D6,$D$5:$D$13)</f>
        <v>1</v>
      </c>
    </row>
    <row r="7" customFormat="false" ht="15" hidden="false" customHeight="false" outlineLevel="0" collapsed="false">
      <c r="A7" s="27" t="s">
        <v>59</v>
      </c>
      <c r="B7" s="28" t="n">
        <f aca="false">COUNTIFS(Data!$F$2:$F$2001,A7)</f>
        <v>248</v>
      </c>
      <c r="C7" s="28" t="n">
        <f aca="false">SUMIFS(Data!$P$2:$P$2001,Data!$F$2:$F$2001,A7)</f>
        <v>31386.84</v>
      </c>
      <c r="D7" s="28" t="n">
        <f aca="false">SUMIFS(Data!$S$2:$S$2001,Data!$F$2:$F$2001,A7)</f>
        <v>6050.9328</v>
      </c>
      <c r="E7" s="29" t="n">
        <f aca="false">IFERROR(D7/C7,0)</f>
        <v>0.192785664310265</v>
      </c>
      <c r="F7" s="30" t="n">
        <f aca="false">IFERROR(AVERAGEIFS(Data!$G$2:$G$2001,Data!$F$2:$F$2001,A7),0)</f>
        <v>104.515443548387</v>
      </c>
      <c r="G7" s="40" t="n">
        <f aca="false">IFERROR(AVERAGEIFS(Data!$J$2:$J$2001,Data!$F$2:$F$2001,A7),0)</f>
        <v>4.24596774193548</v>
      </c>
      <c r="H7" s="43" t="n">
        <f aca="false">INDEX(Assumptions!$B$8:$B$16,MATCH(A7,Assumptions!$A$8:$A$16,0))</f>
        <v>0.64</v>
      </c>
      <c r="I7" s="27" t="n">
        <f aca="false">RANK(D7,$D$5:$D$13)</f>
        <v>4</v>
      </c>
    </row>
    <row r="8" customFormat="false" ht="15" hidden="false" customHeight="false" outlineLevel="0" collapsed="false">
      <c r="A8" s="27" t="s">
        <v>79</v>
      </c>
      <c r="B8" s="28" t="n">
        <f aca="false">COUNTIFS(Data!$F$2:$F$2001,A8)</f>
        <v>218</v>
      </c>
      <c r="C8" s="28" t="n">
        <f aca="false">SUMIFS(Data!$P$2:$P$2001,Data!$F$2:$F$2001,A8)</f>
        <v>29964.94</v>
      </c>
      <c r="D8" s="28" t="n">
        <f aca="false">SUMIFS(Data!$S$2:$S$2001,Data!$F$2:$F$2001,A8)</f>
        <v>4792.062</v>
      </c>
      <c r="E8" s="29" t="n">
        <f aca="false">IFERROR(D8/C8,0)</f>
        <v>0.159922295856424</v>
      </c>
      <c r="F8" s="30" t="n">
        <f aca="false">IFERROR(AVERAGEIFS(Data!$G$2:$G$2001,Data!$F$2:$F$2001,A8),0)</f>
        <v>116.060275229358</v>
      </c>
      <c r="G8" s="40" t="n">
        <f aca="false">IFERROR(AVERAGEIFS(Data!$J$2:$J$2001,Data!$F$2:$F$2001,A8),0)</f>
        <v>4.17889908256881</v>
      </c>
      <c r="H8" s="43" t="n">
        <f aca="false">INDEX(Assumptions!$B$8:$B$16,MATCH(A8,Assumptions!$A$8:$A$16,0))</f>
        <v>0.7</v>
      </c>
      <c r="I8" s="27" t="n">
        <f aca="false">RANK(D8,$D$5:$D$13)</f>
        <v>5</v>
      </c>
    </row>
    <row r="9" customFormat="false" ht="15" hidden="false" customHeight="false" outlineLevel="0" collapsed="false">
      <c r="A9" s="27" t="s">
        <v>53</v>
      </c>
      <c r="B9" s="28" t="n">
        <f aca="false">COUNTIFS(Data!$F$2:$F$2001,A9)</f>
        <v>203</v>
      </c>
      <c r="C9" s="28" t="n">
        <f aca="false">SUMIFS(Data!$P$2:$P$2001,Data!$F$2:$F$2001,A9)</f>
        <v>33621.59</v>
      </c>
      <c r="D9" s="28" t="n">
        <f aca="false">SUMIFS(Data!$S$2:$S$2001,Data!$F$2:$F$2001,A9)</f>
        <v>4712.7456</v>
      </c>
      <c r="E9" s="29" t="n">
        <f aca="false">IFERROR(D9/C9,0)</f>
        <v>0.140170218005752</v>
      </c>
      <c r="F9" s="30" t="n">
        <f aca="false">IFERROR(AVERAGEIFS(Data!$G$2:$G$2001,Data!$F$2:$F$2001,A9),0)</f>
        <v>142.546108374384</v>
      </c>
      <c r="G9" s="40" t="n">
        <f aca="false">IFERROR(AVERAGEIFS(Data!$J$2:$J$2001,Data!$F$2:$F$2001,A9),0)</f>
        <v>4.17241379310345</v>
      </c>
      <c r="H9" s="43" t="n">
        <f aca="false">INDEX(Assumptions!$B$8:$B$16,MATCH(A9,Assumptions!$A$8:$A$16,0))</f>
        <v>0.74</v>
      </c>
      <c r="I9" s="27" t="n">
        <f aca="false">RANK(D9,$D$5:$D$13)</f>
        <v>6</v>
      </c>
    </row>
    <row r="10" customFormat="false" ht="15" hidden="false" customHeight="false" outlineLevel="0" collapsed="false">
      <c r="A10" s="27" t="s">
        <v>64</v>
      </c>
      <c r="B10" s="28" t="n">
        <f aca="false">COUNTIFS(Data!$F$2:$F$2001,A10)</f>
        <v>188</v>
      </c>
      <c r="C10" s="28" t="n">
        <f aca="false">SUMIFS(Data!$P$2:$P$2001,Data!$F$2:$F$2001,A10)</f>
        <v>35149.83</v>
      </c>
      <c r="D10" s="28" t="n">
        <f aca="false">SUMIFS(Data!$S$2:$S$2001,Data!$F$2:$F$2001,A10)</f>
        <v>7898.7432</v>
      </c>
      <c r="E10" s="29" t="n">
        <f aca="false">IFERROR(D10/C10,0)</f>
        <v>0.22471639834389</v>
      </c>
      <c r="F10" s="30" t="n">
        <f aca="false">IFERROR(AVERAGEIFS(Data!$G$2:$G$2001,Data!$F$2:$F$2001,A10),0)</f>
        <v>164.037127659574</v>
      </c>
      <c r="G10" s="40" t="n">
        <f aca="false">IFERROR(AVERAGEIFS(Data!$J$2:$J$2001,Data!$F$2:$F$2001,A10),0)</f>
        <v>4.1968085106383</v>
      </c>
      <c r="H10" s="43" t="n">
        <f aca="false">INDEX(Assumptions!$B$8:$B$16,MATCH(A10,Assumptions!$A$8:$A$16,0))</f>
        <v>0.66</v>
      </c>
      <c r="I10" s="27" t="n">
        <f aca="false">RANK(D10,$D$5:$D$13)</f>
        <v>3</v>
      </c>
    </row>
    <row r="11" customFormat="false" ht="15" hidden="false" customHeight="false" outlineLevel="0" collapsed="false">
      <c r="A11" s="27" t="s">
        <v>111</v>
      </c>
      <c r="B11" s="28" t="n">
        <f aca="false">COUNTIFS(Data!$F$2:$F$2001,A11)</f>
        <v>219</v>
      </c>
      <c r="C11" s="28" t="n">
        <f aca="false">SUMIFS(Data!$P$2:$P$2001,Data!$F$2:$F$2001,A11)</f>
        <v>23840.83</v>
      </c>
      <c r="D11" s="28" t="n">
        <f aca="false">SUMIFS(Data!$S$2:$S$2001,Data!$F$2:$F$2001,A11)</f>
        <v>4143.1075</v>
      </c>
      <c r="E11" s="29" t="n">
        <f aca="false">IFERROR(D11/C11,0)</f>
        <v>0.173782015978471</v>
      </c>
      <c r="F11" s="30" t="n">
        <f aca="false">IFERROR(AVERAGEIFS(Data!$G$2:$G$2001,Data!$F$2:$F$2001,A11),0)</f>
        <v>86.8408675799087</v>
      </c>
      <c r="G11" s="40" t="n">
        <f aca="false">IFERROR(AVERAGEIFS(Data!$J$2:$J$2001,Data!$F$2:$F$2001,A11),0)</f>
        <v>4.19634703196347</v>
      </c>
      <c r="H11" s="43" t="n">
        <f aca="false">INDEX(Assumptions!$B$8:$B$16,MATCH(A11,Assumptions!$A$8:$A$16,0))</f>
        <v>0.63</v>
      </c>
      <c r="I11" s="27" t="n">
        <f aca="false">RANK(D11,$D$5:$D$13)</f>
        <v>7</v>
      </c>
    </row>
    <row r="12" customFormat="false" ht="15" hidden="false" customHeight="false" outlineLevel="0" collapsed="false">
      <c r="A12" s="27" t="s">
        <v>44</v>
      </c>
      <c r="B12" s="28" t="n">
        <f aca="false">COUNTIFS(Data!$F$2:$F$2001,A12)</f>
        <v>155</v>
      </c>
      <c r="C12" s="28" t="n">
        <f aca="false">SUMIFS(Data!$P$2:$P$2001,Data!$F$2:$F$2001,A12)</f>
        <v>18719.23</v>
      </c>
      <c r="D12" s="28" t="n">
        <f aca="false">SUMIFS(Data!$S$2:$S$2001,Data!$F$2:$F$2001,A12)</f>
        <v>4133.422</v>
      </c>
      <c r="E12" s="29" t="n">
        <f aca="false">IFERROR(D12/C12,0)</f>
        <v>0.2208115397909</v>
      </c>
      <c r="F12" s="30" t="n">
        <f aca="false">IFERROR(AVERAGEIFS(Data!$G$2:$G$2001,Data!$F$2:$F$2001,A12),0)</f>
        <v>99.1287741935484</v>
      </c>
      <c r="G12" s="40" t="n">
        <f aca="false">IFERROR(AVERAGEIFS(Data!$J$2:$J$2001,Data!$F$2:$F$2001,A12),0)</f>
        <v>4.21935483870968</v>
      </c>
      <c r="H12" s="43" t="n">
        <f aca="false">INDEX(Assumptions!$B$8:$B$16,MATCH(A12,Assumptions!$A$8:$A$16,0))</f>
        <v>0.6</v>
      </c>
      <c r="I12" s="27" t="n">
        <f aca="false">RANK(D12,$D$5:$D$13)</f>
        <v>8</v>
      </c>
    </row>
    <row r="13" customFormat="false" ht="15" hidden="false" customHeight="false" outlineLevel="0" collapsed="false">
      <c r="A13" s="27" t="s">
        <v>57</v>
      </c>
      <c r="B13" s="28" t="n">
        <f aca="false">COUNTIFS(Data!$F$2:$F$2001,A13)</f>
        <v>120</v>
      </c>
      <c r="C13" s="28" t="n">
        <f aca="false">SUMIFS(Data!$P$2:$P$2001,Data!$F$2:$F$2001,A13)</f>
        <v>16372.64</v>
      </c>
      <c r="D13" s="28" t="n">
        <f aca="false">SUMIFS(Data!$S$2:$S$2001,Data!$F$2:$F$2001,A13)</f>
        <v>2802.1188</v>
      </c>
      <c r="E13" s="29" t="n">
        <f aca="false">IFERROR(D13/C13,0)</f>
        <v>0.171146424767173</v>
      </c>
      <c r="F13" s="30" t="n">
        <f aca="false">IFERROR(AVERAGEIFS(Data!$G$2:$G$2001,Data!$F$2:$F$2001,A13),0)</f>
        <v>114.36325</v>
      </c>
      <c r="G13" s="40" t="n">
        <f aca="false">IFERROR(AVERAGEIFS(Data!$J$2:$J$2001,Data!$F$2:$F$2001,A13),0)</f>
        <v>4.26666666666667</v>
      </c>
      <c r="H13" s="43" t="n">
        <f aca="false">INDEX(Assumptions!$B$8:$B$16,MATCH(A13,Assumptions!$A$8:$A$16,0))</f>
        <v>0.68</v>
      </c>
      <c r="I13" s="27" t="n">
        <f aca="false">RANK(D13,$D$5:$D$13)</f>
        <v>9</v>
      </c>
    </row>
  </sheetData>
  <conditionalFormatting sqref="D5:D13">
    <cfRule type="dataBar" priority="2">
      <dataBar showValue="1" minLength="10" maxLength="90"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{78A7C4CD-4A25-4789-8214-E080728A6A13}</x14:id>
        </ext>
      </extLst>
    </cfRule>
  </conditionalFormatting>
  <conditionalFormatting sqref="E5:E13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A7C4CD-4A25-4789-8214-E080728A6A13}">
            <x14:dataBar minLength="10" maxLength="90" axisPosition="none" gradient="true">
              <x14:cfvo type="min"/>
              <x14:cfvo type="max"/>
              <x14:negativeFillColor rgb="FF63BE7B"/>
              <x14:axisColor rgb="FF000000"/>
            </x14:dataBar>
          </x14:cfRule>
          <xm:sqref>D5:D13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2026-10-18T17:56:10Z</dcterms:created>
  <dc:creator>openpyxl</dc:creator>
  <dc:description/>
  <dc:language>en-US</dc:language>
  <cp:lastModifiedBy/>
  <dcterms:modified xsi:type="dcterms:W3CDTF">2026-10-18T17:56:13Z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