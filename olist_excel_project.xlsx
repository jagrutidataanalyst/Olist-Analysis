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6c08aac5841e5ea/Desktop/Resume_projects/excel_porject_resume/"/>
    </mc:Choice>
  </mc:AlternateContent>
  <xr:revisionPtr revIDLastSave="4" documentId="13_ncr:1_{4DA8D393-9F3A-445D-ACFA-D934987A1D26}" xr6:coauthVersionLast="47" xr6:coauthVersionMax="47" xr10:uidLastSave="{BA2FDDA0-9378-4A4A-88F3-804698E88008}"/>
  <bookViews>
    <workbookView xWindow="-108" yWindow="-108" windowWidth="23256" windowHeight="12456" tabRatio="500" firstSheet="3" activeTab="6" xr2:uid="{00000000-000D-0000-FFFF-FFFF00000000}"/>
  </bookViews>
  <sheets>
    <sheet name="Data" sheetId="2" r:id="rId1"/>
    <sheet name="Assumptions" sheetId="3" r:id="rId2"/>
    <sheet name="State Analysis" sheetId="4" r:id="rId3"/>
    <sheet name="Monthly Trend" sheetId="5" r:id="rId4"/>
    <sheet name="Delivery Analysis" sheetId="6" r:id="rId5"/>
    <sheet name="Category Analysis" sheetId="7" r:id="rId6"/>
    <sheet name="Dashboard" sheetId="1" r:id="rId7"/>
  </sheets>
  <definedNames>
    <definedName name="_xlnm._FilterDatabase" localSheetId="0" hidden="1">Data!$A$1:$T$2001</definedName>
  </definedNames>
  <calcPr calcId="191029" iterateDelta="1E-4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M4" i="2" l="1"/>
  <c r="AM5" i="2"/>
  <c r="AM6" i="2"/>
  <c r="AM7" i="2"/>
  <c r="AM8" i="2"/>
  <c r="AM9" i="2"/>
  <c r="AM10" i="2"/>
  <c r="AM11" i="2"/>
  <c r="AM12" i="2"/>
  <c r="AM13" i="2"/>
  <c r="AM3" i="2"/>
  <c r="AM14" i="2"/>
  <c r="L5" i="4"/>
  <c r="AL14" i="2"/>
  <c r="AI4" i="2"/>
  <c r="AI5" i="2"/>
  <c r="AI6" i="2"/>
  <c r="AI7" i="2"/>
  <c r="AI8" i="2"/>
  <c r="AI9" i="2"/>
  <c r="AI10" i="2"/>
  <c r="AI11" i="2"/>
  <c r="AI12" i="2"/>
  <c r="AI13" i="2"/>
  <c r="AI14" i="2"/>
  <c r="AI3" i="2"/>
  <c r="AH4" i="2"/>
  <c r="AH5" i="2"/>
  <c r="AH6" i="2"/>
  <c r="AH7" i="2"/>
  <c r="AH8" i="2"/>
  <c r="AH9" i="2"/>
  <c r="AH10" i="2"/>
  <c r="AH11" i="2"/>
  <c r="AH12" i="2"/>
  <c r="AH13" i="2"/>
  <c r="AH14" i="2"/>
  <c r="AH3" i="2"/>
  <c r="AH15" i="2"/>
  <c r="AG4" i="2"/>
  <c r="AG5" i="2"/>
  <c r="AG6" i="2"/>
  <c r="AG7" i="2"/>
  <c r="AG8" i="2"/>
  <c r="AG9" i="2"/>
  <c r="AG10" i="2"/>
  <c r="AG11" i="2"/>
  <c r="AG12" i="2"/>
  <c r="AG13" i="2"/>
  <c r="AG14" i="2"/>
  <c r="AG3" i="2"/>
  <c r="AF4" i="2"/>
  <c r="AF5" i="2"/>
  <c r="AF6" i="2"/>
  <c r="AF7" i="2"/>
  <c r="AF8" i="2"/>
  <c r="AF9" i="2"/>
  <c r="AF10" i="2"/>
  <c r="AF11" i="2"/>
  <c r="AF12" i="2"/>
  <c r="AF13" i="2"/>
  <c r="AF14" i="2"/>
  <c r="X5" i="2"/>
  <c r="X6" i="2"/>
  <c r="X7" i="2"/>
  <c r="W2" i="2" a="1"/>
  <c r="H13" i="7"/>
  <c r="G13" i="7"/>
  <c r="F13" i="7"/>
  <c r="B13" i="7"/>
  <c r="H12" i="7"/>
  <c r="G12" i="7"/>
  <c r="F12" i="7"/>
  <c r="B12" i="7"/>
  <c r="H11" i="7"/>
  <c r="G11" i="7"/>
  <c r="F11" i="7"/>
  <c r="B11" i="7"/>
  <c r="H10" i="7"/>
  <c r="G10" i="7"/>
  <c r="F10" i="7"/>
  <c r="B10" i="7"/>
  <c r="H9" i="7"/>
  <c r="G9" i="7"/>
  <c r="F9" i="7"/>
  <c r="B9" i="7"/>
  <c r="H8" i="7"/>
  <c r="G8" i="7"/>
  <c r="F8" i="7"/>
  <c r="B8" i="7"/>
  <c r="H7" i="7"/>
  <c r="G7" i="7"/>
  <c r="F7" i="7"/>
  <c r="B7" i="7"/>
  <c r="H6" i="7"/>
  <c r="G6" i="7"/>
  <c r="F6" i="7"/>
  <c r="B6" i="7"/>
  <c r="H5" i="7"/>
  <c r="G5" i="7"/>
  <c r="F5" i="7"/>
  <c r="B5" i="7"/>
  <c r="E29" i="6"/>
  <c r="E28" i="6"/>
  <c r="E27" i="6"/>
  <c r="E26" i="6"/>
  <c r="E25" i="6"/>
  <c r="E24" i="6"/>
  <c r="E23" i="6"/>
  <c r="E22" i="6"/>
  <c r="E21" i="6"/>
  <c r="E20" i="6"/>
  <c r="E19" i="6"/>
  <c r="E18" i="6"/>
  <c r="G6" i="5"/>
  <c r="A6" i="5"/>
  <c r="A7" i="5" s="1"/>
  <c r="A8" i="5" s="1"/>
  <c r="G5" i="5"/>
  <c r="F5" i="5"/>
  <c r="I17" i="4"/>
  <c r="I16" i="4"/>
  <c r="B16" i="4"/>
  <c r="I15" i="4"/>
  <c r="B15" i="4"/>
  <c r="I14" i="4"/>
  <c r="B14" i="4"/>
  <c r="I13" i="4"/>
  <c r="B13" i="4"/>
  <c r="I12" i="4"/>
  <c r="B12" i="4"/>
  <c r="I11" i="4"/>
  <c r="B11" i="4"/>
  <c r="I10" i="4"/>
  <c r="B10" i="4"/>
  <c r="I9" i="4"/>
  <c r="B9" i="4"/>
  <c r="I8" i="4"/>
  <c r="B8" i="4"/>
  <c r="I7" i="4"/>
  <c r="B7" i="4"/>
  <c r="I6" i="4"/>
  <c r="B6" i="4"/>
  <c r="I5" i="4"/>
  <c r="B5" i="4"/>
  <c r="R2001" i="2"/>
  <c r="Q2001" i="2"/>
  <c r="S2001" i="2" s="1"/>
  <c r="P2001" i="2"/>
  <c r="O2001" i="2"/>
  <c r="N2001" i="2"/>
  <c r="M2001" i="2"/>
  <c r="T2001" i="2" s="1"/>
  <c r="L2001" i="2"/>
  <c r="S2000" i="2"/>
  <c r="R2000" i="2"/>
  <c r="Q2000" i="2"/>
  <c r="P2000" i="2"/>
  <c r="O2000" i="2"/>
  <c r="N2000" i="2"/>
  <c r="M2000" i="2"/>
  <c r="T2000" i="2" s="1"/>
  <c r="L2000" i="2"/>
  <c r="R1999" i="2"/>
  <c r="Q1999" i="2"/>
  <c r="P1999" i="2"/>
  <c r="O1999" i="2"/>
  <c r="N1999" i="2"/>
  <c r="M1999" i="2"/>
  <c r="T1999" i="2" s="1"/>
  <c r="L1999" i="2"/>
  <c r="R1998" i="2"/>
  <c r="Q1998" i="2"/>
  <c r="S1998" i="2" s="1"/>
  <c r="P1998" i="2"/>
  <c r="O1998" i="2"/>
  <c r="N1998" i="2"/>
  <c r="M1998" i="2"/>
  <c r="T1998" i="2" s="1"/>
  <c r="L1998" i="2"/>
  <c r="R1997" i="2"/>
  <c r="Q1997" i="2"/>
  <c r="P1997" i="2"/>
  <c r="O1997" i="2"/>
  <c r="N1997" i="2"/>
  <c r="M1997" i="2"/>
  <c r="T1997" i="2" s="1"/>
  <c r="L1997" i="2"/>
  <c r="R1996" i="2"/>
  <c r="Q1996" i="2"/>
  <c r="S1996" i="2" s="1"/>
  <c r="P1996" i="2"/>
  <c r="O1996" i="2"/>
  <c r="N1996" i="2"/>
  <c r="M1996" i="2"/>
  <c r="T1996" i="2" s="1"/>
  <c r="L1996" i="2"/>
  <c r="R1995" i="2"/>
  <c r="Q1995" i="2"/>
  <c r="S1995" i="2" s="1"/>
  <c r="P1995" i="2"/>
  <c r="O1995" i="2"/>
  <c r="N1995" i="2"/>
  <c r="M1995" i="2"/>
  <c r="T1995" i="2" s="1"/>
  <c r="L1995" i="2"/>
  <c r="R1994" i="2"/>
  <c r="Q1994" i="2"/>
  <c r="P1994" i="2"/>
  <c r="O1994" i="2"/>
  <c r="N1994" i="2"/>
  <c r="M1994" i="2"/>
  <c r="T1994" i="2" s="1"/>
  <c r="L1994" i="2"/>
  <c r="R1993" i="2"/>
  <c r="Q1993" i="2"/>
  <c r="P1993" i="2"/>
  <c r="O1993" i="2"/>
  <c r="N1993" i="2"/>
  <c r="M1993" i="2"/>
  <c r="T1993" i="2" s="1"/>
  <c r="L1993" i="2"/>
  <c r="R1992" i="2"/>
  <c r="Q1992" i="2"/>
  <c r="S1992" i="2" s="1"/>
  <c r="P1992" i="2"/>
  <c r="O1992" i="2"/>
  <c r="N1992" i="2"/>
  <c r="M1992" i="2"/>
  <c r="T1992" i="2" s="1"/>
  <c r="L1992" i="2"/>
  <c r="R1991" i="2"/>
  <c r="Q1991" i="2"/>
  <c r="P1991" i="2"/>
  <c r="O1991" i="2"/>
  <c r="N1991" i="2"/>
  <c r="M1991" i="2"/>
  <c r="T1991" i="2" s="1"/>
  <c r="L1991" i="2"/>
  <c r="R1990" i="2"/>
  <c r="Q1990" i="2"/>
  <c r="S1990" i="2" s="1"/>
  <c r="P1990" i="2"/>
  <c r="O1990" i="2"/>
  <c r="N1990" i="2"/>
  <c r="M1990" i="2"/>
  <c r="T1990" i="2" s="1"/>
  <c r="L1990" i="2"/>
  <c r="R1989" i="2"/>
  <c r="Q1989" i="2"/>
  <c r="S1989" i="2" s="1"/>
  <c r="P1989" i="2"/>
  <c r="O1989" i="2"/>
  <c r="N1989" i="2"/>
  <c r="M1989" i="2"/>
  <c r="T1989" i="2" s="1"/>
  <c r="L1989" i="2"/>
  <c r="S1988" i="2"/>
  <c r="R1988" i="2"/>
  <c r="Q1988" i="2"/>
  <c r="P1988" i="2"/>
  <c r="O1988" i="2"/>
  <c r="N1988" i="2"/>
  <c r="M1988" i="2"/>
  <c r="T1988" i="2" s="1"/>
  <c r="L1988" i="2"/>
  <c r="R1987" i="2"/>
  <c r="Q1987" i="2"/>
  <c r="P1987" i="2"/>
  <c r="O1987" i="2"/>
  <c r="N1987" i="2"/>
  <c r="M1987" i="2"/>
  <c r="T1987" i="2" s="1"/>
  <c r="L1987" i="2"/>
  <c r="R1986" i="2"/>
  <c r="Q1986" i="2"/>
  <c r="P1986" i="2"/>
  <c r="O1986" i="2"/>
  <c r="N1986" i="2"/>
  <c r="M1986" i="2"/>
  <c r="T1986" i="2" s="1"/>
  <c r="L1986" i="2"/>
  <c r="T1985" i="2"/>
  <c r="R1985" i="2"/>
  <c r="Q1985" i="2"/>
  <c r="S1985" i="2" s="1"/>
  <c r="P1985" i="2"/>
  <c r="O1985" i="2"/>
  <c r="N1985" i="2"/>
  <c r="M1985" i="2"/>
  <c r="L1985" i="2"/>
  <c r="R1984" i="2"/>
  <c r="S1984" i="2" s="1"/>
  <c r="Q1984" i="2"/>
  <c r="P1984" i="2"/>
  <c r="O1984" i="2"/>
  <c r="N1984" i="2"/>
  <c r="M1984" i="2"/>
  <c r="T1984" i="2" s="1"/>
  <c r="L1984" i="2"/>
  <c r="R1983" i="2"/>
  <c r="Q1983" i="2"/>
  <c r="P1983" i="2"/>
  <c r="O1983" i="2"/>
  <c r="N1983" i="2"/>
  <c r="M1983" i="2"/>
  <c r="T1983" i="2" s="1"/>
  <c r="L1983" i="2"/>
  <c r="R1982" i="2"/>
  <c r="S1982" i="2" s="1"/>
  <c r="Q1982" i="2"/>
  <c r="P1982" i="2"/>
  <c r="O1982" i="2"/>
  <c r="N1982" i="2"/>
  <c r="M1982" i="2"/>
  <c r="T1982" i="2" s="1"/>
  <c r="L1982" i="2"/>
  <c r="S1981" i="2"/>
  <c r="R1981" i="2"/>
  <c r="Q1981" i="2"/>
  <c r="P1981" i="2"/>
  <c r="O1981" i="2"/>
  <c r="N1981" i="2"/>
  <c r="M1981" i="2"/>
  <c r="T1981" i="2" s="1"/>
  <c r="L1981" i="2"/>
  <c r="R1980" i="2"/>
  <c r="Q1980" i="2"/>
  <c r="P1980" i="2"/>
  <c r="O1980" i="2"/>
  <c r="N1980" i="2"/>
  <c r="M1980" i="2"/>
  <c r="T1980" i="2" s="1"/>
  <c r="L1980" i="2"/>
  <c r="R1979" i="2"/>
  <c r="Q1979" i="2"/>
  <c r="P1979" i="2"/>
  <c r="O1979" i="2"/>
  <c r="N1979" i="2"/>
  <c r="M1979" i="2"/>
  <c r="T1979" i="2" s="1"/>
  <c r="L1979" i="2"/>
  <c r="R1978" i="2"/>
  <c r="Q1978" i="2"/>
  <c r="P1978" i="2"/>
  <c r="O1978" i="2"/>
  <c r="N1978" i="2"/>
  <c r="M1978" i="2"/>
  <c r="T1978" i="2" s="1"/>
  <c r="L1978" i="2"/>
  <c r="R1977" i="2"/>
  <c r="S1977" i="2" s="1"/>
  <c r="Q1977" i="2"/>
  <c r="P1977" i="2"/>
  <c r="O1977" i="2"/>
  <c r="N1977" i="2"/>
  <c r="M1977" i="2"/>
  <c r="T1977" i="2" s="1"/>
  <c r="L1977" i="2"/>
  <c r="R1976" i="2"/>
  <c r="S1976" i="2" s="1"/>
  <c r="Q1976" i="2"/>
  <c r="P1976" i="2"/>
  <c r="O1976" i="2"/>
  <c r="N1976" i="2"/>
  <c r="M1976" i="2"/>
  <c r="T1976" i="2" s="1"/>
  <c r="L1976" i="2"/>
  <c r="R1975" i="2"/>
  <c r="Q1975" i="2"/>
  <c r="S1975" i="2" s="1"/>
  <c r="P1975" i="2"/>
  <c r="O1975" i="2"/>
  <c r="N1975" i="2"/>
  <c r="M1975" i="2"/>
  <c r="T1975" i="2" s="1"/>
  <c r="L1975" i="2"/>
  <c r="R1974" i="2"/>
  <c r="Q1974" i="2"/>
  <c r="P1974" i="2"/>
  <c r="O1974" i="2"/>
  <c r="N1974" i="2"/>
  <c r="M1974" i="2"/>
  <c r="T1974" i="2" s="1"/>
  <c r="L1974" i="2"/>
  <c r="T1973" i="2"/>
  <c r="R1973" i="2"/>
  <c r="S1973" i="2" s="1"/>
  <c r="Q1973" i="2"/>
  <c r="P1973" i="2"/>
  <c r="O1973" i="2"/>
  <c r="N1973" i="2"/>
  <c r="M1973" i="2"/>
  <c r="L1973" i="2"/>
  <c r="R1972" i="2"/>
  <c r="Q1972" i="2"/>
  <c r="P1972" i="2"/>
  <c r="O1972" i="2"/>
  <c r="N1972" i="2"/>
  <c r="M1972" i="2"/>
  <c r="T1972" i="2" s="1"/>
  <c r="L1972" i="2"/>
  <c r="R1971" i="2"/>
  <c r="Q1971" i="2"/>
  <c r="P1971" i="2"/>
  <c r="O1971" i="2"/>
  <c r="N1971" i="2"/>
  <c r="M1971" i="2"/>
  <c r="T1971" i="2" s="1"/>
  <c r="L1971" i="2"/>
  <c r="T1970" i="2"/>
  <c r="R1970" i="2"/>
  <c r="Q1970" i="2"/>
  <c r="S1970" i="2" s="1"/>
  <c r="P1970" i="2"/>
  <c r="O1970" i="2"/>
  <c r="N1970" i="2"/>
  <c r="M1970" i="2"/>
  <c r="L1970" i="2"/>
  <c r="R1969" i="2"/>
  <c r="S1969" i="2" s="1"/>
  <c r="Q1969" i="2"/>
  <c r="P1969" i="2"/>
  <c r="O1969" i="2"/>
  <c r="N1969" i="2"/>
  <c r="M1969" i="2"/>
  <c r="T1969" i="2" s="1"/>
  <c r="L1969" i="2"/>
  <c r="R1968" i="2"/>
  <c r="Q1968" i="2"/>
  <c r="P1968" i="2"/>
  <c r="O1968" i="2"/>
  <c r="N1968" i="2"/>
  <c r="M1968" i="2"/>
  <c r="T1968" i="2" s="1"/>
  <c r="L1968" i="2"/>
  <c r="R1967" i="2"/>
  <c r="Q1967" i="2"/>
  <c r="P1967" i="2"/>
  <c r="O1967" i="2"/>
  <c r="N1967" i="2"/>
  <c r="M1967" i="2"/>
  <c r="T1967" i="2" s="1"/>
  <c r="L1967" i="2"/>
  <c r="R1966" i="2"/>
  <c r="Q1966" i="2"/>
  <c r="S1966" i="2" s="1"/>
  <c r="P1966" i="2"/>
  <c r="O1966" i="2"/>
  <c r="N1966" i="2"/>
  <c r="M1966" i="2"/>
  <c r="T1966" i="2" s="1"/>
  <c r="L1966" i="2"/>
  <c r="T1965" i="2"/>
  <c r="R1965" i="2"/>
  <c r="Q1965" i="2"/>
  <c r="P1965" i="2"/>
  <c r="O1965" i="2"/>
  <c r="N1965" i="2"/>
  <c r="M1965" i="2"/>
  <c r="L1965" i="2"/>
  <c r="R1964" i="2"/>
  <c r="Q1964" i="2"/>
  <c r="P1964" i="2"/>
  <c r="O1964" i="2"/>
  <c r="N1964" i="2"/>
  <c r="M1964" i="2"/>
  <c r="T1964" i="2" s="1"/>
  <c r="L1964" i="2"/>
  <c r="R1963" i="2"/>
  <c r="Q1963" i="2"/>
  <c r="P1963" i="2"/>
  <c r="O1963" i="2"/>
  <c r="N1963" i="2"/>
  <c r="M1963" i="2"/>
  <c r="T1963" i="2" s="1"/>
  <c r="L1963" i="2"/>
  <c r="T1962" i="2"/>
  <c r="R1962" i="2"/>
  <c r="Q1962" i="2"/>
  <c r="S1962" i="2" s="1"/>
  <c r="P1962" i="2"/>
  <c r="O1962" i="2"/>
  <c r="N1962" i="2"/>
  <c r="M1962" i="2"/>
  <c r="L1962" i="2"/>
  <c r="R1961" i="2"/>
  <c r="Q1961" i="2"/>
  <c r="P1961" i="2"/>
  <c r="O1961" i="2"/>
  <c r="N1961" i="2"/>
  <c r="M1961" i="2"/>
  <c r="T1961" i="2" s="1"/>
  <c r="L1961" i="2"/>
  <c r="R1960" i="2"/>
  <c r="Q1960" i="2"/>
  <c r="P1960" i="2"/>
  <c r="O1960" i="2"/>
  <c r="N1960" i="2"/>
  <c r="M1960" i="2"/>
  <c r="T1960" i="2" s="1"/>
  <c r="L1960" i="2"/>
  <c r="R1959" i="2"/>
  <c r="Q1959" i="2"/>
  <c r="P1959" i="2"/>
  <c r="O1959" i="2"/>
  <c r="N1959" i="2"/>
  <c r="M1959" i="2"/>
  <c r="T1959" i="2" s="1"/>
  <c r="L1959" i="2"/>
  <c r="R1958" i="2"/>
  <c r="S1958" i="2" s="1"/>
  <c r="Q1958" i="2"/>
  <c r="P1958" i="2"/>
  <c r="O1958" i="2"/>
  <c r="N1958" i="2"/>
  <c r="M1958" i="2"/>
  <c r="T1958" i="2" s="1"/>
  <c r="L1958" i="2"/>
  <c r="T1957" i="2"/>
  <c r="R1957" i="2"/>
  <c r="Q1957" i="2"/>
  <c r="P1957" i="2"/>
  <c r="O1957" i="2"/>
  <c r="N1957" i="2"/>
  <c r="M1957" i="2"/>
  <c r="L1957" i="2"/>
  <c r="R1956" i="2"/>
  <c r="S1956" i="2" s="1"/>
  <c r="Q1956" i="2"/>
  <c r="P1956" i="2"/>
  <c r="O1956" i="2"/>
  <c r="N1956" i="2"/>
  <c r="M1956" i="2"/>
  <c r="T1956" i="2" s="1"/>
  <c r="L1956" i="2"/>
  <c r="R1955" i="2"/>
  <c r="Q1955" i="2"/>
  <c r="P1955" i="2"/>
  <c r="O1955" i="2"/>
  <c r="N1955" i="2"/>
  <c r="M1955" i="2"/>
  <c r="T1955" i="2" s="1"/>
  <c r="L1955" i="2"/>
  <c r="S1954" i="2"/>
  <c r="R1954" i="2"/>
  <c r="Q1954" i="2"/>
  <c r="P1954" i="2"/>
  <c r="O1954" i="2"/>
  <c r="N1954" i="2"/>
  <c r="M1954" i="2"/>
  <c r="T1954" i="2" s="1"/>
  <c r="L1954" i="2"/>
  <c r="R1953" i="2"/>
  <c r="Q1953" i="2"/>
  <c r="S1953" i="2" s="1"/>
  <c r="P1953" i="2"/>
  <c r="O1953" i="2"/>
  <c r="N1953" i="2"/>
  <c r="M1953" i="2"/>
  <c r="T1953" i="2" s="1"/>
  <c r="L1953" i="2"/>
  <c r="R1952" i="2"/>
  <c r="Q1952" i="2"/>
  <c r="S1952" i="2" s="1"/>
  <c r="P1952" i="2"/>
  <c r="O1952" i="2"/>
  <c r="N1952" i="2"/>
  <c r="M1952" i="2"/>
  <c r="T1952" i="2" s="1"/>
  <c r="L1952" i="2"/>
  <c r="R1951" i="2"/>
  <c r="Q1951" i="2"/>
  <c r="P1951" i="2"/>
  <c r="O1951" i="2"/>
  <c r="N1951" i="2"/>
  <c r="M1951" i="2"/>
  <c r="T1951" i="2" s="1"/>
  <c r="L1951" i="2"/>
  <c r="R1950" i="2"/>
  <c r="Q1950" i="2"/>
  <c r="P1950" i="2"/>
  <c r="O1950" i="2"/>
  <c r="N1950" i="2"/>
  <c r="M1950" i="2"/>
  <c r="T1950" i="2" s="1"/>
  <c r="L1950" i="2"/>
  <c r="R1949" i="2"/>
  <c r="Q1949" i="2"/>
  <c r="S1949" i="2" s="1"/>
  <c r="P1949" i="2"/>
  <c r="O1949" i="2"/>
  <c r="N1949" i="2"/>
  <c r="M1949" i="2"/>
  <c r="T1949" i="2" s="1"/>
  <c r="L1949" i="2"/>
  <c r="R1948" i="2"/>
  <c r="Q1948" i="2"/>
  <c r="S1948" i="2" s="1"/>
  <c r="P1948" i="2"/>
  <c r="O1948" i="2"/>
  <c r="N1948" i="2"/>
  <c r="M1948" i="2"/>
  <c r="T1948" i="2" s="1"/>
  <c r="L1948" i="2"/>
  <c r="R1947" i="2"/>
  <c r="Q1947" i="2"/>
  <c r="P1947" i="2"/>
  <c r="O1947" i="2"/>
  <c r="N1947" i="2"/>
  <c r="M1947" i="2"/>
  <c r="T1947" i="2" s="1"/>
  <c r="L1947" i="2"/>
  <c r="R1946" i="2"/>
  <c r="Q1946" i="2"/>
  <c r="P1946" i="2"/>
  <c r="O1946" i="2"/>
  <c r="N1946" i="2"/>
  <c r="M1946" i="2"/>
  <c r="T1946" i="2" s="1"/>
  <c r="L1946" i="2"/>
  <c r="T1945" i="2"/>
  <c r="R1945" i="2"/>
  <c r="S1945" i="2" s="1"/>
  <c r="Q1945" i="2"/>
  <c r="P1945" i="2"/>
  <c r="O1945" i="2"/>
  <c r="N1945" i="2"/>
  <c r="M1945" i="2"/>
  <c r="L1945" i="2"/>
  <c r="T1944" i="2"/>
  <c r="R1944" i="2"/>
  <c r="S1944" i="2" s="1"/>
  <c r="Q1944" i="2"/>
  <c r="P1944" i="2"/>
  <c r="O1944" i="2"/>
  <c r="N1944" i="2"/>
  <c r="M1944" i="2"/>
  <c r="L1944" i="2"/>
  <c r="R1943" i="2"/>
  <c r="Q1943" i="2"/>
  <c r="S1943" i="2" s="1"/>
  <c r="P1943" i="2"/>
  <c r="O1943" i="2"/>
  <c r="N1943" i="2"/>
  <c r="M1943" i="2"/>
  <c r="T1943" i="2" s="1"/>
  <c r="L1943" i="2"/>
  <c r="R1942" i="2"/>
  <c r="Q1942" i="2"/>
  <c r="P1942" i="2"/>
  <c r="O1942" i="2"/>
  <c r="N1942" i="2"/>
  <c r="M1942" i="2"/>
  <c r="T1942" i="2" s="1"/>
  <c r="L1942" i="2"/>
  <c r="S1941" i="2"/>
  <c r="R1941" i="2"/>
  <c r="Q1941" i="2"/>
  <c r="P1941" i="2"/>
  <c r="O1941" i="2"/>
  <c r="N1941" i="2"/>
  <c r="M1941" i="2"/>
  <c r="T1941" i="2" s="1"/>
  <c r="L1941" i="2"/>
  <c r="R1940" i="2"/>
  <c r="Q1940" i="2"/>
  <c r="P1940" i="2"/>
  <c r="O1940" i="2"/>
  <c r="N1940" i="2"/>
  <c r="M1940" i="2"/>
  <c r="T1940" i="2" s="1"/>
  <c r="L1940" i="2"/>
  <c r="R1939" i="2"/>
  <c r="Q1939" i="2"/>
  <c r="P1939" i="2"/>
  <c r="O1939" i="2"/>
  <c r="N1939" i="2"/>
  <c r="M1939" i="2"/>
  <c r="T1939" i="2" s="1"/>
  <c r="L1939" i="2"/>
  <c r="R1938" i="2"/>
  <c r="Q1938" i="2"/>
  <c r="P1938" i="2"/>
  <c r="O1938" i="2"/>
  <c r="N1938" i="2"/>
  <c r="M1938" i="2"/>
  <c r="T1938" i="2" s="1"/>
  <c r="L1938" i="2"/>
  <c r="T1937" i="2"/>
  <c r="R1937" i="2"/>
  <c r="Q1937" i="2"/>
  <c r="S1937" i="2" s="1"/>
  <c r="P1937" i="2"/>
  <c r="O1937" i="2"/>
  <c r="N1937" i="2"/>
  <c r="M1937" i="2"/>
  <c r="L1937" i="2"/>
  <c r="R1936" i="2"/>
  <c r="Q1936" i="2"/>
  <c r="S1936" i="2" s="1"/>
  <c r="P1936" i="2"/>
  <c r="O1936" i="2"/>
  <c r="N1936" i="2"/>
  <c r="M1936" i="2"/>
  <c r="T1936" i="2" s="1"/>
  <c r="L1936" i="2"/>
  <c r="R1935" i="2"/>
  <c r="Q1935" i="2"/>
  <c r="P1935" i="2"/>
  <c r="O1935" i="2"/>
  <c r="N1935" i="2"/>
  <c r="M1935" i="2"/>
  <c r="T1935" i="2" s="1"/>
  <c r="L1935" i="2"/>
  <c r="R1934" i="2"/>
  <c r="S1934" i="2" s="1"/>
  <c r="Q1934" i="2"/>
  <c r="P1934" i="2"/>
  <c r="O1934" i="2"/>
  <c r="N1934" i="2"/>
  <c r="M1934" i="2"/>
  <c r="T1934" i="2" s="1"/>
  <c r="L1934" i="2"/>
  <c r="R1933" i="2"/>
  <c r="S1933" i="2" s="1"/>
  <c r="Q1933" i="2"/>
  <c r="P1933" i="2"/>
  <c r="O1933" i="2"/>
  <c r="N1933" i="2"/>
  <c r="M1933" i="2"/>
  <c r="T1933" i="2" s="1"/>
  <c r="L1933" i="2"/>
  <c r="T1932" i="2"/>
  <c r="R1932" i="2"/>
  <c r="Q1932" i="2"/>
  <c r="S1932" i="2" s="1"/>
  <c r="P1932" i="2"/>
  <c r="O1932" i="2"/>
  <c r="N1932" i="2"/>
  <c r="M1932" i="2"/>
  <c r="L1932" i="2"/>
  <c r="R1931" i="2"/>
  <c r="Q1931" i="2"/>
  <c r="P1931" i="2"/>
  <c r="O1931" i="2"/>
  <c r="N1931" i="2"/>
  <c r="M1931" i="2"/>
  <c r="T1931" i="2" s="1"/>
  <c r="L1931" i="2"/>
  <c r="S1930" i="2"/>
  <c r="R1930" i="2"/>
  <c r="Q1930" i="2"/>
  <c r="P1930" i="2"/>
  <c r="O1930" i="2"/>
  <c r="N1930" i="2"/>
  <c r="M1930" i="2"/>
  <c r="T1930" i="2" s="1"/>
  <c r="L1930" i="2"/>
  <c r="R1929" i="2"/>
  <c r="S1929" i="2" s="1"/>
  <c r="Q1929" i="2"/>
  <c r="P1929" i="2"/>
  <c r="O1929" i="2"/>
  <c r="N1929" i="2"/>
  <c r="M1929" i="2"/>
  <c r="T1929" i="2" s="1"/>
  <c r="L1929" i="2"/>
  <c r="R1928" i="2"/>
  <c r="S1928" i="2" s="1"/>
  <c r="Q1928" i="2"/>
  <c r="P1928" i="2"/>
  <c r="O1928" i="2"/>
  <c r="N1928" i="2"/>
  <c r="M1928" i="2"/>
  <c r="T1928" i="2" s="1"/>
  <c r="L1928" i="2"/>
  <c r="R1927" i="2"/>
  <c r="Q1927" i="2"/>
  <c r="S1927" i="2" s="1"/>
  <c r="P1927" i="2"/>
  <c r="O1927" i="2"/>
  <c r="N1927" i="2"/>
  <c r="M1927" i="2"/>
  <c r="T1927" i="2" s="1"/>
  <c r="L1927" i="2"/>
  <c r="R1926" i="2"/>
  <c r="Q1926" i="2"/>
  <c r="S1926" i="2" s="1"/>
  <c r="P1926" i="2"/>
  <c r="O1926" i="2"/>
  <c r="N1926" i="2"/>
  <c r="M1926" i="2"/>
  <c r="T1926" i="2" s="1"/>
  <c r="L1926" i="2"/>
  <c r="S1925" i="2"/>
  <c r="R1925" i="2"/>
  <c r="Q1925" i="2"/>
  <c r="P1925" i="2"/>
  <c r="O1925" i="2"/>
  <c r="N1925" i="2"/>
  <c r="M1925" i="2"/>
  <c r="T1925" i="2" s="1"/>
  <c r="L1925" i="2"/>
  <c r="T1924" i="2"/>
  <c r="R1924" i="2"/>
  <c r="Q1924" i="2"/>
  <c r="S1924" i="2" s="1"/>
  <c r="P1924" i="2"/>
  <c r="O1924" i="2"/>
  <c r="N1924" i="2"/>
  <c r="M1924" i="2"/>
  <c r="L1924" i="2"/>
  <c r="R1923" i="2"/>
  <c r="Q1923" i="2"/>
  <c r="P1923" i="2"/>
  <c r="O1923" i="2"/>
  <c r="N1923" i="2"/>
  <c r="M1923" i="2"/>
  <c r="T1923" i="2" s="1"/>
  <c r="L1923" i="2"/>
  <c r="S1922" i="2"/>
  <c r="R1922" i="2"/>
  <c r="Q1922" i="2"/>
  <c r="P1922" i="2"/>
  <c r="O1922" i="2"/>
  <c r="N1922" i="2"/>
  <c r="M1922" i="2"/>
  <c r="T1922" i="2" s="1"/>
  <c r="L1922" i="2"/>
  <c r="T1921" i="2"/>
  <c r="R1921" i="2"/>
  <c r="Q1921" i="2"/>
  <c r="P1921" i="2"/>
  <c r="O1921" i="2"/>
  <c r="N1921" i="2"/>
  <c r="M1921" i="2"/>
  <c r="L1921" i="2"/>
  <c r="R1920" i="2"/>
  <c r="Q1920" i="2"/>
  <c r="S1920" i="2" s="1"/>
  <c r="P1920" i="2"/>
  <c r="O1920" i="2"/>
  <c r="N1920" i="2"/>
  <c r="M1920" i="2"/>
  <c r="T1920" i="2" s="1"/>
  <c r="L1920" i="2"/>
  <c r="R1919" i="2"/>
  <c r="Q1919" i="2"/>
  <c r="S1919" i="2" s="1"/>
  <c r="P1919" i="2"/>
  <c r="O1919" i="2"/>
  <c r="N1919" i="2"/>
  <c r="M1919" i="2"/>
  <c r="T1919" i="2" s="1"/>
  <c r="L1919" i="2"/>
  <c r="T1918" i="2"/>
  <c r="R1918" i="2"/>
  <c r="Q1918" i="2"/>
  <c r="P1918" i="2"/>
  <c r="O1918" i="2"/>
  <c r="N1918" i="2"/>
  <c r="M1918" i="2"/>
  <c r="L1918" i="2"/>
  <c r="R1917" i="2"/>
  <c r="Q1917" i="2"/>
  <c r="P1917" i="2"/>
  <c r="O1917" i="2"/>
  <c r="N1917" i="2"/>
  <c r="M1917" i="2"/>
  <c r="T1917" i="2" s="1"/>
  <c r="L1917" i="2"/>
  <c r="R1916" i="2"/>
  <c r="Q1916" i="2"/>
  <c r="P1916" i="2"/>
  <c r="O1916" i="2"/>
  <c r="N1916" i="2"/>
  <c r="M1916" i="2"/>
  <c r="T1916" i="2" s="1"/>
  <c r="L1916" i="2"/>
  <c r="R1915" i="2"/>
  <c r="Q1915" i="2"/>
  <c r="P1915" i="2"/>
  <c r="O1915" i="2"/>
  <c r="N1915" i="2"/>
  <c r="M1915" i="2"/>
  <c r="T1915" i="2" s="1"/>
  <c r="L1915" i="2"/>
  <c r="R1914" i="2"/>
  <c r="Q1914" i="2"/>
  <c r="P1914" i="2"/>
  <c r="O1914" i="2"/>
  <c r="N1914" i="2"/>
  <c r="M1914" i="2"/>
  <c r="T1914" i="2" s="1"/>
  <c r="L1914" i="2"/>
  <c r="T1913" i="2"/>
  <c r="R1913" i="2"/>
  <c r="Q1913" i="2"/>
  <c r="S1913" i="2" s="1"/>
  <c r="P1913" i="2"/>
  <c r="O1913" i="2"/>
  <c r="N1913" i="2"/>
  <c r="M1913" i="2"/>
  <c r="L1913" i="2"/>
  <c r="R1912" i="2"/>
  <c r="Q1912" i="2"/>
  <c r="S1912" i="2" s="1"/>
  <c r="P1912" i="2"/>
  <c r="O1912" i="2"/>
  <c r="N1912" i="2"/>
  <c r="M1912" i="2"/>
  <c r="T1912" i="2" s="1"/>
  <c r="L1912" i="2"/>
  <c r="T1911" i="2"/>
  <c r="R1911" i="2"/>
  <c r="Q1911" i="2"/>
  <c r="S1911" i="2" s="1"/>
  <c r="P1911" i="2"/>
  <c r="O1911" i="2"/>
  <c r="N1911" i="2"/>
  <c r="M1911" i="2"/>
  <c r="L1911" i="2"/>
  <c r="T1910" i="2"/>
  <c r="R1910" i="2"/>
  <c r="Q1910" i="2"/>
  <c r="S1910" i="2" s="1"/>
  <c r="P1910" i="2"/>
  <c r="O1910" i="2"/>
  <c r="N1910" i="2"/>
  <c r="M1910" i="2"/>
  <c r="L1910" i="2"/>
  <c r="R1909" i="2"/>
  <c r="Q1909" i="2"/>
  <c r="P1909" i="2"/>
  <c r="O1909" i="2"/>
  <c r="N1909" i="2"/>
  <c r="M1909" i="2"/>
  <c r="T1909" i="2" s="1"/>
  <c r="L1909" i="2"/>
  <c r="R1908" i="2"/>
  <c r="Q1908" i="2"/>
  <c r="P1908" i="2"/>
  <c r="O1908" i="2"/>
  <c r="N1908" i="2"/>
  <c r="M1908" i="2"/>
  <c r="T1908" i="2" s="1"/>
  <c r="L1908" i="2"/>
  <c r="R1907" i="2"/>
  <c r="Q1907" i="2"/>
  <c r="P1907" i="2"/>
  <c r="O1907" i="2"/>
  <c r="N1907" i="2"/>
  <c r="M1907" i="2"/>
  <c r="T1907" i="2" s="1"/>
  <c r="L1907" i="2"/>
  <c r="R1906" i="2"/>
  <c r="S1906" i="2" s="1"/>
  <c r="Q1906" i="2"/>
  <c r="P1906" i="2"/>
  <c r="O1906" i="2"/>
  <c r="N1906" i="2"/>
  <c r="M1906" i="2"/>
  <c r="T1906" i="2" s="1"/>
  <c r="L1906" i="2"/>
  <c r="T1905" i="2"/>
  <c r="R1905" i="2"/>
  <c r="Q1905" i="2"/>
  <c r="S1905" i="2" s="1"/>
  <c r="P1905" i="2"/>
  <c r="O1905" i="2"/>
  <c r="N1905" i="2"/>
  <c r="M1905" i="2"/>
  <c r="L1905" i="2"/>
  <c r="S1904" i="2"/>
  <c r="R1904" i="2"/>
  <c r="Q1904" i="2"/>
  <c r="P1904" i="2"/>
  <c r="O1904" i="2"/>
  <c r="N1904" i="2"/>
  <c r="M1904" i="2"/>
  <c r="T1904" i="2" s="1"/>
  <c r="L1904" i="2"/>
  <c r="R1903" i="2"/>
  <c r="Q1903" i="2"/>
  <c r="P1903" i="2"/>
  <c r="O1903" i="2"/>
  <c r="N1903" i="2"/>
  <c r="M1903" i="2"/>
  <c r="T1903" i="2" s="1"/>
  <c r="L1903" i="2"/>
  <c r="T1902" i="2"/>
  <c r="R1902" i="2"/>
  <c r="Q1902" i="2"/>
  <c r="S1902" i="2" s="1"/>
  <c r="P1902" i="2"/>
  <c r="O1902" i="2"/>
  <c r="N1902" i="2"/>
  <c r="M1902" i="2"/>
  <c r="L1902" i="2"/>
  <c r="R1901" i="2"/>
  <c r="Q1901" i="2"/>
  <c r="P1901" i="2"/>
  <c r="O1901" i="2"/>
  <c r="N1901" i="2"/>
  <c r="M1901" i="2"/>
  <c r="T1901" i="2" s="1"/>
  <c r="L1901" i="2"/>
  <c r="R1900" i="2"/>
  <c r="Q1900" i="2"/>
  <c r="P1900" i="2"/>
  <c r="O1900" i="2"/>
  <c r="N1900" i="2"/>
  <c r="M1900" i="2"/>
  <c r="T1900" i="2" s="1"/>
  <c r="L1900" i="2"/>
  <c r="R1899" i="2"/>
  <c r="Q1899" i="2"/>
  <c r="S1899" i="2" s="1"/>
  <c r="P1899" i="2"/>
  <c r="O1899" i="2"/>
  <c r="N1899" i="2"/>
  <c r="M1899" i="2"/>
  <c r="T1899" i="2" s="1"/>
  <c r="L1899" i="2"/>
  <c r="R1898" i="2"/>
  <c r="Q1898" i="2"/>
  <c r="P1898" i="2"/>
  <c r="O1898" i="2"/>
  <c r="N1898" i="2"/>
  <c r="M1898" i="2"/>
  <c r="T1898" i="2" s="1"/>
  <c r="L1898" i="2"/>
  <c r="T1897" i="2"/>
  <c r="R1897" i="2"/>
  <c r="Q1897" i="2"/>
  <c r="S1897" i="2" s="1"/>
  <c r="P1897" i="2"/>
  <c r="O1897" i="2"/>
  <c r="N1897" i="2"/>
  <c r="M1897" i="2"/>
  <c r="L1897" i="2"/>
  <c r="R1896" i="2"/>
  <c r="Q1896" i="2"/>
  <c r="S1896" i="2" s="1"/>
  <c r="P1896" i="2"/>
  <c r="O1896" i="2"/>
  <c r="N1896" i="2"/>
  <c r="M1896" i="2"/>
  <c r="T1896" i="2" s="1"/>
  <c r="L1896" i="2"/>
  <c r="T1895" i="2"/>
  <c r="R1895" i="2"/>
  <c r="Q1895" i="2"/>
  <c r="P1895" i="2"/>
  <c r="O1895" i="2"/>
  <c r="N1895" i="2"/>
  <c r="M1895" i="2"/>
  <c r="L1895" i="2"/>
  <c r="R1894" i="2"/>
  <c r="Q1894" i="2"/>
  <c r="S1894" i="2" s="1"/>
  <c r="P1894" i="2"/>
  <c r="O1894" i="2"/>
  <c r="N1894" i="2"/>
  <c r="M1894" i="2"/>
  <c r="T1894" i="2" s="1"/>
  <c r="L1894" i="2"/>
  <c r="R1893" i="2"/>
  <c r="Q1893" i="2"/>
  <c r="S1893" i="2" s="1"/>
  <c r="P1893" i="2"/>
  <c r="O1893" i="2"/>
  <c r="N1893" i="2"/>
  <c r="M1893" i="2"/>
  <c r="T1893" i="2" s="1"/>
  <c r="L1893" i="2"/>
  <c r="T1892" i="2"/>
  <c r="R1892" i="2"/>
  <c r="S1892" i="2" s="1"/>
  <c r="Q1892" i="2"/>
  <c r="P1892" i="2"/>
  <c r="O1892" i="2"/>
  <c r="N1892" i="2"/>
  <c r="M1892" i="2"/>
  <c r="L1892" i="2"/>
  <c r="R1891" i="2"/>
  <c r="Q1891" i="2"/>
  <c r="P1891" i="2"/>
  <c r="O1891" i="2"/>
  <c r="N1891" i="2"/>
  <c r="M1891" i="2"/>
  <c r="T1891" i="2" s="1"/>
  <c r="L1891" i="2"/>
  <c r="R1890" i="2"/>
  <c r="Q1890" i="2"/>
  <c r="S1890" i="2" s="1"/>
  <c r="P1890" i="2"/>
  <c r="O1890" i="2"/>
  <c r="N1890" i="2"/>
  <c r="M1890" i="2"/>
  <c r="T1890" i="2" s="1"/>
  <c r="L1890" i="2"/>
  <c r="R1889" i="2"/>
  <c r="Q1889" i="2"/>
  <c r="S1889" i="2" s="1"/>
  <c r="P1889" i="2"/>
  <c r="O1889" i="2"/>
  <c r="N1889" i="2"/>
  <c r="M1889" i="2"/>
  <c r="T1889" i="2" s="1"/>
  <c r="L1889" i="2"/>
  <c r="R1888" i="2"/>
  <c r="Q1888" i="2"/>
  <c r="P1888" i="2"/>
  <c r="O1888" i="2"/>
  <c r="N1888" i="2"/>
  <c r="M1888" i="2"/>
  <c r="T1888" i="2" s="1"/>
  <c r="L1888" i="2"/>
  <c r="R1887" i="2"/>
  <c r="Q1887" i="2"/>
  <c r="P1887" i="2"/>
  <c r="O1887" i="2"/>
  <c r="N1887" i="2"/>
  <c r="M1887" i="2"/>
  <c r="T1887" i="2" s="1"/>
  <c r="L1887" i="2"/>
  <c r="R1886" i="2"/>
  <c r="Q1886" i="2"/>
  <c r="S1886" i="2" s="1"/>
  <c r="P1886" i="2"/>
  <c r="O1886" i="2"/>
  <c r="N1886" i="2"/>
  <c r="M1886" i="2"/>
  <c r="T1886" i="2" s="1"/>
  <c r="L1886" i="2"/>
  <c r="R1885" i="2"/>
  <c r="S1885" i="2" s="1"/>
  <c r="Q1885" i="2"/>
  <c r="P1885" i="2"/>
  <c r="O1885" i="2"/>
  <c r="N1885" i="2"/>
  <c r="M1885" i="2"/>
  <c r="T1885" i="2" s="1"/>
  <c r="L1885" i="2"/>
  <c r="T1884" i="2"/>
  <c r="R1884" i="2"/>
  <c r="Q1884" i="2"/>
  <c r="P1884" i="2"/>
  <c r="O1884" i="2"/>
  <c r="N1884" i="2"/>
  <c r="M1884" i="2"/>
  <c r="L1884" i="2"/>
  <c r="R1883" i="2"/>
  <c r="Q1883" i="2"/>
  <c r="P1883" i="2"/>
  <c r="O1883" i="2"/>
  <c r="N1883" i="2"/>
  <c r="M1883" i="2"/>
  <c r="T1883" i="2" s="1"/>
  <c r="L1883" i="2"/>
  <c r="R1882" i="2"/>
  <c r="Q1882" i="2"/>
  <c r="S1882" i="2" s="1"/>
  <c r="P1882" i="2"/>
  <c r="O1882" i="2"/>
  <c r="N1882" i="2"/>
  <c r="M1882" i="2"/>
  <c r="T1882" i="2" s="1"/>
  <c r="L1882" i="2"/>
  <c r="R1881" i="2"/>
  <c r="Q1881" i="2"/>
  <c r="P1881" i="2"/>
  <c r="O1881" i="2"/>
  <c r="N1881" i="2"/>
  <c r="M1881" i="2"/>
  <c r="T1881" i="2" s="1"/>
  <c r="L1881" i="2"/>
  <c r="R1880" i="2"/>
  <c r="Q1880" i="2"/>
  <c r="S1880" i="2" s="1"/>
  <c r="P1880" i="2"/>
  <c r="O1880" i="2"/>
  <c r="N1880" i="2"/>
  <c r="M1880" i="2"/>
  <c r="T1880" i="2" s="1"/>
  <c r="L1880" i="2"/>
  <c r="R1879" i="2"/>
  <c r="Q1879" i="2"/>
  <c r="P1879" i="2"/>
  <c r="O1879" i="2"/>
  <c r="N1879" i="2"/>
  <c r="M1879" i="2"/>
  <c r="T1879" i="2" s="1"/>
  <c r="L1879" i="2"/>
  <c r="R1878" i="2"/>
  <c r="Q1878" i="2"/>
  <c r="P1878" i="2"/>
  <c r="O1878" i="2"/>
  <c r="N1878" i="2"/>
  <c r="M1878" i="2"/>
  <c r="T1878" i="2" s="1"/>
  <c r="L1878" i="2"/>
  <c r="R1877" i="2"/>
  <c r="Q1877" i="2"/>
  <c r="S1877" i="2" s="1"/>
  <c r="P1877" i="2"/>
  <c r="O1877" i="2"/>
  <c r="N1877" i="2"/>
  <c r="M1877" i="2"/>
  <c r="T1877" i="2" s="1"/>
  <c r="L1877" i="2"/>
  <c r="R1876" i="2"/>
  <c r="Q1876" i="2"/>
  <c r="S1876" i="2" s="1"/>
  <c r="P1876" i="2"/>
  <c r="O1876" i="2"/>
  <c r="N1876" i="2"/>
  <c r="M1876" i="2"/>
  <c r="T1876" i="2" s="1"/>
  <c r="L1876" i="2"/>
  <c r="R1875" i="2"/>
  <c r="Q1875" i="2"/>
  <c r="P1875" i="2"/>
  <c r="O1875" i="2"/>
  <c r="N1875" i="2"/>
  <c r="M1875" i="2"/>
  <c r="T1875" i="2" s="1"/>
  <c r="L1875" i="2"/>
  <c r="R1874" i="2"/>
  <c r="Q1874" i="2"/>
  <c r="S1874" i="2" s="1"/>
  <c r="P1874" i="2"/>
  <c r="O1874" i="2"/>
  <c r="N1874" i="2"/>
  <c r="M1874" i="2"/>
  <c r="T1874" i="2" s="1"/>
  <c r="L1874" i="2"/>
  <c r="R1873" i="2"/>
  <c r="Q1873" i="2"/>
  <c r="S1873" i="2" s="1"/>
  <c r="P1873" i="2"/>
  <c r="O1873" i="2"/>
  <c r="N1873" i="2"/>
  <c r="M1873" i="2"/>
  <c r="T1873" i="2" s="1"/>
  <c r="L1873" i="2"/>
  <c r="R1872" i="2"/>
  <c r="Q1872" i="2"/>
  <c r="P1872" i="2"/>
  <c r="O1872" i="2"/>
  <c r="N1872" i="2"/>
  <c r="M1872" i="2"/>
  <c r="T1872" i="2" s="1"/>
  <c r="L1872" i="2"/>
  <c r="R1871" i="2"/>
  <c r="Q1871" i="2"/>
  <c r="S1871" i="2" s="1"/>
  <c r="P1871" i="2"/>
  <c r="O1871" i="2"/>
  <c r="N1871" i="2"/>
  <c r="M1871" i="2"/>
  <c r="T1871" i="2" s="1"/>
  <c r="L1871" i="2"/>
  <c r="R1870" i="2"/>
  <c r="Q1870" i="2"/>
  <c r="S1870" i="2" s="1"/>
  <c r="P1870" i="2"/>
  <c r="O1870" i="2"/>
  <c r="N1870" i="2"/>
  <c r="M1870" i="2"/>
  <c r="T1870" i="2" s="1"/>
  <c r="L1870" i="2"/>
  <c r="R1869" i="2"/>
  <c r="Q1869" i="2"/>
  <c r="P1869" i="2"/>
  <c r="O1869" i="2"/>
  <c r="N1869" i="2"/>
  <c r="M1869" i="2"/>
  <c r="T1869" i="2" s="1"/>
  <c r="L1869" i="2"/>
  <c r="R1868" i="2"/>
  <c r="Q1868" i="2"/>
  <c r="S1868" i="2" s="1"/>
  <c r="P1868" i="2"/>
  <c r="O1868" i="2"/>
  <c r="N1868" i="2"/>
  <c r="M1868" i="2"/>
  <c r="T1868" i="2" s="1"/>
  <c r="L1868" i="2"/>
  <c r="R1867" i="2"/>
  <c r="Q1867" i="2"/>
  <c r="P1867" i="2"/>
  <c r="O1867" i="2"/>
  <c r="N1867" i="2"/>
  <c r="M1867" i="2"/>
  <c r="T1867" i="2" s="1"/>
  <c r="L1867" i="2"/>
  <c r="R1866" i="2"/>
  <c r="Q1866" i="2"/>
  <c r="P1866" i="2"/>
  <c r="O1866" i="2"/>
  <c r="N1866" i="2"/>
  <c r="M1866" i="2"/>
  <c r="T1866" i="2" s="1"/>
  <c r="L1866" i="2"/>
  <c r="R1865" i="2"/>
  <c r="Q1865" i="2"/>
  <c r="P1865" i="2"/>
  <c r="O1865" i="2"/>
  <c r="N1865" i="2"/>
  <c r="M1865" i="2"/>
  <c r="T1865" i="2" s="1"/>
  <c r="L1865" i="2"/>
  <c r="R1864" i="2"/>
  <c r="Q1864" i="2"/>
  <c r="P1864" i="2"/>
  <c r="O1864" i="2"/>
  <c r="N1864" i="2"/>
  <c r="M1864" i="2"/>
  <c r="T1864" i="2" s="1"/>
  <c r="L1864" i="2"/>
  <c r="R1863" i="2"/>
  <c r="Q1863" i="2"/>
  <c r="S1863" i="2" s="1"/>
  <c r="P1863" i="2"/>
  <c r="O1863" i="2"/>
  <c r="N1863" i="2"/>
  <c r="M1863" i="2"/>
  <c r="T1863" i="2" s="1"/>
  <c r="L1863" i="2"/>
  <c r="R1862" i="2"/>
  <c r="Q1862" i="2"/>
  <c r="P1862" i="2"/>
  <c r="O1862" i="2"/>
  <c r="N1862" i="2"/>
  <c r="M1862" i="2"/>
  <c r="T1862" i="2" s="1"/>
  <c r="L1862" i="2"/>
  <c r="R1861" i="2"/>
  <c r="Q1861" i="2"/>
  <c r="P1861" i="2"/>
  <c r="O1861" i="2"/>
  <c r="N1861" i="2"/>
  <c r="M1861" i="2"/>
  <c r="T1861" i="2" s="1"/>
  <c r="L1861" i="2"/>
  <c r="R1860" i="2"/>
  <c r="Q1860" i="2"/>
  <c r="P1860" i="2"/>
  <c r="O1860" i="2"/>
  <c r="N1860" i="2"/>
  <c r="M1860" i="2"/>
  <c r="T1860" i="2" s="1"/>
  <c r="L1860" i="2"/>
  <c r="T1859" i="2"/>
  <c r="R1859" i="2"/>
  <c r="Q1859" i="2"/>
  <c r="P1859" i="2"/>
  <c r="O1859" i="2"/>
  <c r="N1859" i="2"/>
  <c r="M1859" i="2"/>
  <c r="L1859" i="2"/>
  <c r="R1858" i="2"/>
  <c r="Q1858" i="2"/>
  <c r="P1858" i="2"/>
  <c r="O1858" i="2"/>
  <c r="N1858" i="2"/>
  <c r="M1858" i="2"/>
  <c r="T1858" i="2" s="1"/>
  <c r="L1858" i="2"/>
  <c r="R1857" i="2"/>
  <c r="Q1857" i="2"/>
  <c r="S1857" i="2" s="1"/>
  <c r="P1857" i="2"/>
  <c r="O1857" i="2"/>
  <c r="N1857" i="2"/>
  <c r="M1857" i="2"/>
  <c r="T1857" i="2" s="1"/>
  <c r="L1857" i="2"/>
  <c r="S1856" i="2"/>
  <c r="R1856" i="2"/>
  <c r="Q1856" i="2"/>
  <c r="P1856" i="2"/>
  <c r="O1856" i="2"/>
  <c r="N1856" i="2"/>
  <c r="M1856" i="2"/>
  <c r="T1856" i="2" s="1"/>
  <c r="L1856" i="2"/>
  <c r="R1855" i="2"/>
  <c r="Q1855" i="2"/>
  <c r="P1855" i="2"/>
  <c r="O1855" i="2"/>
  <c r="N1855" i="2"/>
  <c r="M1855" i="2"/>
  <c r="T1855" i="2" s="1"/>
  <c r="L1855" i="2"/>
  <c r="R1854" i="2"/>
  <c r="Q1854" i="2"/>
  <c r="S1854" i="2" s="1"/>
  <c r="P1854" i="2"/>
  <c r="O1854" i="2"/>
  <c r="N1854" i="2"/>
  <c r="M1854" i="2"/>
  <c r="T1854" i="2" s="1"/>
  <c r="L1854" i="2"/>
  <c r="R1853" i="2"/>
  <c r="Q1853" i="2"/>
  <c r="S1853" i="2" s="1"/>
  <c r="P1853" i="2"/>
  <c r="O1853" i="2"/>
  <c r="N1853" i="2"/>
  <c r="M1853" i="2"/>
  <c r="T1853" i="2" s="1"/>
  <c r="L1853" i="2"/>
  <c r="R1852" i="2"/>
  <c r="Q1852" i="2"/>
  <c r="P1852" i="2"/>
  <c r="O1852" i="2"/>
  <c r="N1852" i="2"/>
  <c r="M1852" i="2"/>
  <c r="T1852" i="2" s="1"/>
  <c r="L1852" i="2"/>
  <c r="R1851" i="2"/>
  <c r="Q1851" i="2"/>
  <c r="S1851" i="2" s="1"/>
  <c r="P1851" i="2"/>
  <c r="O1851" i="2"/>
  <c r="N1851" i="2"/>
  <c r="M1851" i="2"/>
  <c r="T1851" i="2" s="1"/>
  <c r="L1851" i="2"/>
  <c r="R1850" i="2"/>
  <c r="Q1850" i="2"/>
  <c r="P1850" i="2"/>
  <c r="O1850" i="2"/>
  <c r="N1850" i="2"/>
  <c r="M1850" i="2"/>
  <c r="T1850" i="2" s="1"/>
  <c r="L1850" i="2"/>
  <c r="R1849" i="2"/>
  <c r="Q1849" i="2"/>
  <c r="P1849" i="2"/>
  <c r="O1849" i="2"/>
  <c r="N1849" i="2"/>
  <c r="M1849" i="2"/>
  <c r="T1849" i="2" s="1"/>
  <c r="L1849" i="2"/>
  <c r="S1848" i="2"/>
  <c r="R1848" i="2"/>
  <c r="Q1848" i="2"/>
  <c r="P1848" i="2"/>
  <c r="O1848" i="2"/>
  <c r="N1848" i="2"/>
  <c r="M1848" i="2"/>
  <c r="T1848" i="2" s="1"/>
  <c r="L1848" i="2"/>
  <c r="R1847" i="2"/>
  <c r="Q1847" i="2"/>
  <c r="P1847" i="2"/>
  <c r="O1847" i="2"/>
  <c r="N1847" i="2"/>
  <c r="M1847" i="2"/>
  <c r="T1847" i="2" s="1"/>
  <c r="L1847" i="2"/>
  <c r="R1846" i="2"/>
  <c r="Q1846" i="2"/>
  <c r="S1846" i="2" s="1"/>
  <c r="P1846" i="2"/>
  <c r="O1846" i="2"/>
  <c r="N1846" i="2"/>
  <c r="M1846" i="2"/>
  <c r="T1846" i="2" s="1"/>
  <c r="L1846" i="2"/>
  <c r="S1845" i="2"/>
  <c r="R1845" i="2"/>
  <c r="Q1845" i="2"/>
  <c r="P1845" i="2"/>
  <c r="O1845" i="2"/>
  <c r="N1845" i="2"/>
  <c r="M1845" i="2"/>
  <c r="T1845" i="2" s="1"/>
  <c r="L1845" i="2"/>
  <c r="R1844" i="2"/>
  <c r="S1844" i="2" s="1"/>
  <c r="Q1844" i="2"/>
  <c r="P1844" i="2"/>
  <c r="O1844" i="2"/>
  <c r="N1844" i="2"/>
  <c r="M1844" i="2"/>
  <c r="T1844" i="2" s="1"/>
  <c r="L1844" i="2"/>
  <c r="R1843" i="2"/>
  <c r="Q1843" i="2"/>
  <c r="P1843" i="2"/>
  <c r="O1843" i="2"/>
  <c r="N1843" i="2"/>
  <c r="M1843" i="2"/>
  <c r="T1843" i="2" s="1"/>
  <c r="L1843" i="2"/>
  <c r="R1842" i="2"/>
  <c r="Q1842" i="2"/>
  <c r="P1842" i="2"/>
  <c r="O1842" i="2"/>
  <c r="N1842" i="2"/>
  <c r="M1842" i="2"/>
  <c r="T1842" i="2" s="1"/>
  <c r="L1842" i="2"/>
  <c r="T1841" i="2"/>
  <c r="R1841" i="2"/>
  <c r="Q1841" i="2"/>
  <c r="P1841" i="2"/>
  <c r="O1841" i="2"/>
  <c r="N1841" i="2"/>
  <c r="M1841" i="2"/>
  <c r="L1841" i="2"/>
  <c r="R1840" i="2"/>
  <c r="Q1840" i="2"/>
  <c r="P1840" i="2"/>
  <c r="O1840" i="2"/>
  <c r="N1840" i="2"/>
  <c r="M1840" i="2"/>
  <c r="T1840" i="2" s="1"/>
  <c r="L1840" i="2"/>
  <c r="R1839" i="2"/>
  <c r="Q1839" i="2"/>
  <c r="P1839" i="2"/>
  <c r="O1839" i="2"/>
  <c r="N1839" i="2"/>
  <c r="M1839" i="2"/>
  <c r="T1839" i="2" s="1"/>
  <c r="L1839" i="2"/>
  <c r="R1838" i="2"/>
  <c r="Q1838" i="2"/>
  <c r="S1838" i="2" s="1"/>
  <c r="P1838" i="2"/>
  <c r="O1838" i="2"/>
  <c r="N1838" i="2"/>
  <c r="M1838" i="2"/>
  <c r="T1838" i="2" s="1"/>
  <c r="L1838" i="2"/>
  <c r="R1837" i="2"/>
  <c r="S1837" i="2" s="1"/>
  <c r="Q1837" i="2"/>
  <c r="P1837" i="2"/>
  <c r="O1837" i="2"/>
  <c r="N1837" i="2"/>
  <c r="M1837" i="2"/>
  <c r="T1837" i="2" s="1"/>
  <c r="L1837" i="2"/>
  <c r="T1836" i="2"/>
  <c r="R1836" i="2"/>
  <c r="S1836" i="2" s="1"/>
  <c r="Q1836" i="2"/>
  <c r="P1836" i="2"/>
  <c r="O1836" i="2"/>
  <c r="N1836" i="2"/>
  <c r="M1836" i="2"/>
  <c r="L1836" i="2"/>
  <c r="R1835" i="2"/>
  <c r="Q1835" i="2"/>
  <c r="P1835" i="2"/>
  <c r="O1835" i="2"/>
  <c r="N1835" i="2"/>
  <c r="M1835" i="2"/>
  <c r="T1835" i="2" s="1"/>
  <c r="L1835" i="2"/>
  <c r="R1834" i="2"/>
  <c r="S1834" i="2" s="1"/>
  <c r="Q1834" i="2"/>
  <c r="P1834" i="2"/>
  <c r="O1834" i="2"/>
  <c r="N1834" i="2"/>
  <c r="M1834" i="2"/>
  <c r="T1834" i="2" s="1"/>
  <c r="L1834" i="2"/>
  <c r="T1833" i="2"/>
  <c r="R1833" i="2"/>
  <c r="Q1833" i="2"/>
  <c r="S1833" i="2" s="1"/>
  <c r="P1833" i="2"/>
  <c r="O1833" i="2"/>
  <c r="N1833" i="2"/>
  <c r="M1833" i="2"/>
  <c r="L1833" i="2"/>
  <c r="S1832" i="2"/>
  <c r="R1832" i="2"/>
  <c r="Q1832" i="2"/>
  <c r="P1832" i="2"/>
  <c r="O1832" i="2"/>
  <c r="N1832" i="2"/>
  <c r="M1832" i="2"/>
  <c r="T1832" i="2" s="1"/>
  <c r="L1832" i="2"/>
  <c r="R1831" i="2"/>
  <c r="Q1831" i="2"/>
  <c r="P1831" i="2"/>
  <c r="O1831" i="2"/>
  <c r="N1831" i="2"/>
  <c r="M1831" i="2"/>
  <c r="T1831" i="2" s="1"/>
  <c r="L1831" i="2"/>
  <c r="T1830" i="2"/>
  <c r="R1830" i="2"/>
  <c r="S1830" i="2" s="1"/>
  <c r="Q1830" i="2"/>
  <c r="P1830" i="2"/>
  <c r="O1830" i="2"/>
  <c r="N1830" i="2"/>
  <c r="M1830" i="2"/>
  <c r="L1830" i="2"/>
  <c r="R1829" i="2"/>
  <c r="S1829" i="2" s="1"/>
  <c r="Q1829" i="2"/>
  <c r="P1829" i="2"/>
  <c r="O1829" i="2"/>
  <c r="N1829" i="2"/>
  <c r="M1829" i="2"/>
  <c r="T1829" i="2" s="1"/>
  <c r="L1829" i="2"/>
  <c r="R1828" i="2"/>
  <c r="Q1828" i="2"/>
  <c r="P1828" i="2"/>
  <c r="O1828" i="2"/>
  <c r="N1828" i="2"/>
  <c r="M1828" i="2"/>
  <c r="T1828" i="2" s="1"/>
  <c r="L1828" i="2"/>
  <c r="R1827" i="2"/>
  <c r="Q1827" i="2"/>
  <c r="P1827" i="2"/>
  <c r="O1827" i="2"/>
  <c r="N1827" i="2"/>
  <c r="M1827" i="2"/>
  <c r="T1827" i="2" s="1"/>
  <c r="L1827" i="2"/>
  <c r="R1826" i="2"/>
  <c r="Q1826" i="2"/>
  <c r="P1826" i="2"/>
  <c r="O1826" i="2"/>
  <c r="N1826" i="2"/>
  <c r="M1826" i="2"/>
  <c r="T1826" i="2" s="1"/>
  <c r="L1826" i="2"/>
  <c r="R1825" i="2"/>
  <c r="Q1825" i="2"/>
  <c r="P1825" i="2"/>
  <c r="O1825" i="2"/>
  <c r="N1825" i="2"/>
  <c r="M1825" i="2"/>
  <c r="T1825" i="2" s="1"/>
  <c r="L1825" i="2"/>
  <c r="R1824" i="2"/>
  <c r="Q1824" i="2"/>
  <c r="S1824" i="2" s="1"/>
  <c r="P1824" i="2"/>
  <c r="O1824" i="2"/>
  <c r="N1824" i="2"/>
  <c r="M1824" i="2"/>
  <c r="T1824" i="2" s="1"/>
  <c r="L1824" i="2"/>
  <c r="R1823" i="2"/>
  <c r="Q1823" i="2"/>
  <c r="S1823" i="2" s="1"/>
  <c r="P1823" i="2"/>
  <c r="O1823" i="2"/>
  <c r="N1823" i="2"/>
  <c r="M1823" i="2"/>
  <c r="T1823" i="2" s="1"/>
  <c r="L1823" i="2"/>
  <c r="T1822" i="2"/>
  <c r="R1822" i="2"/>
  <c r="Q1822" i="2"/>
  <c r="S1822" i="2" s="1"/>
  <c r="P1822" i="2"/>
  <c r="O1822" i="2"/>
  <c r="N1822" i="2"/>
  <c r="M1822" i="2"/>
  <c r="L1822" i="2"/>
  <c r="R1821" i="2"/>
  <c r="Q1821" i="2"/>
  <c r="S1821" i="2" s="1"/>
  <c r="P1821" i="2"/>
  <c r="O1821" i="2"/>
  <c r="N1821" i="2"/>
  <c r="M1821" i="2"/>
  <c r="T1821" i="2" s="1"/>
  <c r="L1821" i="2"/>
  <c r="R1820" i="2"/>
  <c r="Q1820" i="2"/>
  <c r="P1820" i="2"/>
  <c r="O1820" i="2"/>
  <c r="N1820" i="2"/>
  <c r="M1820" i="2"/>
  <c r="T1820" i="2" s="1"/>
  <c r="L1820" i="2"/>
  <c r="R1819" i="2"/>
  <c r="Q1819" i="2"/>
  <c r="S1819" i="2" s="1"/>
  <c r="P1819" i="2"/>
  <c r="O1819" i="2"/>
  <c r="N1819" i="2"/>
  <c r="M1819" i="2"/>
  <c r="T1819" i="2" s="1"/>
  <c r="L1819" i="2"/>
  <c r="R1818" i="2"/>
  <c r="Q1818" i="2"/>
  <c r="P1818" i="2"/>
  <c r="O1818" i="2"/>
  <c r="N1818" i="2"/>
  <c r="M1818" i="2"/>
  <c r="T1818" i="2" s="1"/>
  <c r="L1818" i="2"/>
  <c r="R1817" i="2"/>
  <c r="Q1817" i="2"/>
  <c r="S1817" i="2" s="1"/>
  <c r="P1817" i="2"/>
  <c r="O1817" i="2"/>
  <c r="N1817" i="2"/>
  <c r="M1817" i="2"/>
  <c r="T1817" i="2" s="1"/>
  <c r="L1817" i="2"/>
  <c r="R1816" i="2"/>
  <c r="Q1816" i="2"/>
  <c r="S1816" i="2" s="1"/>
  <c r="P1816" i="2"/>
  <c r="O1816" i="2"/>
  <c r="N1816" i="2"/>
  <c r="M1816" i="2"/>
  <c r="T1816" i="2" s="1"/>
  <c r="L1816" i="2"/>
  <c r="R1815" i="2"/>
  <c r="Q1815" i="2"/>
  <c r="P1815" i="2"/>
  <c r="O1815" i="2"/>
  <c r="N1815" i="2"/>
  <c r="M1815" i="2"/>
  <c r="T1815" i="2" s="1"/>
  <c r="L1815" i="2"/>
  <c r="R1814" i="2"/>
  <c r="Q1814" i="2"/>
  <c r="S1814" i="2" s="1"/>
  <c r="P1814" i="2"/>
  <c r="O1814" i="2"/>
  <c r="N1814" i="2"/>
  <c r="M1814" i="2"/>
  <c r="T1814" i="2" s="1"/>
  <c r="L1814" i="2"/>
  <c r="R1813" i="2"/>
  <c r="Q1813" i="2"/>
  <c r="P1813" i="2"/>
  <c r="O1813" i="2"/>
  <c r="N1813" i="2"/>
  <c r="M1813" i="2"/>
  <c r="T1813" i="2" s="1"/>
  <c r="L1813" i="2"/>
  <c r="T1812" i="2"/>
  <c r="R1812" i="2"/>
  <c r="Q1812" i="2"/>
  <c r="P1812" i="2"/>
  <c r="O1812" i="2"/>
  <c r="N1812" i="2"/>
  <c r="M1812" i="2"/>
  <c r="L1812" i="2"/>
  <c r="R1811" i="2"/>
  <c r="Q1811" i="2"/>
  <c r="S1811" i="2" s="1"/>
  <c r="P1811" i="2"/>
  <c r="O1811" i="2"/>
  <c r="N1811" i="2"/>
  <c r="M1811" i="2"/>
  <c r="T1811" i="2" s="1"/>
  <c r="L1811" i="2"/>
  <c r="T1810" i="2"/>
  <c r="R1810" i="2"/>
  <c r="Q1810" i="2"/>
  <c r="S1810" i="2" s="1"/>
  <c r="P1810" i="2"/>
  <c r="O1810" i="2"/>
  <c r="N1810" i="2"/>
  <c r="M1810" i="2"/>
  <c r="L1810" i="2"/>
  <c r="T1809" i="2"/>
  <c r="R1809" i="2"/>
  <c r="S1809" i="2" s="1"/>
  <c r="Q1809" i="2"/>
  <c r="P1809" i="2"/>
  <c r="O1809" i="2"/>
  <c r="N1809" i="2"/>
  <c r="M1809" i="2"/>
  <c r="L1809" i="2"/>
  <c r="R1808" i="2"/>
  <c r="Q1808" i="2"/>
  <c r="P1808" i="2"/>
  <c r="O1808" i="2"/>
  <c r="N1808" i="2"/>
  <c r="M1808" i="2"/>
  <c r="T1808" i="2" s="1"/>
  <c r="L1808" i="2"/>
  <c r="R1807" i="2"/>
  <c r="Q1807" i="2"/>
  <c r="S1807" i="2" s="1"/>
  <c r="P1807" i="2"/>
  <c r="O1807" i="2"/>
  <c r="N1807" i="2"/>
  <c r="M1807" i="2"/>
  <c r="T1807" i="2" s="1"/>
  <c r="L1807" i="2"/>
  <c r="R1806" i="2"/>
  <c r="Q1806" i="2"/>
  <c r="P1806" i="2"/>
  <c r="O1806" i="2"/>
  <c r="N1806" i="2"/>
  <c r="M1806" i="2"/>
  <c r="T1806" i="2" s="1"/>
  <c r="L1806" i="2"/>
  <c r="R1805" i="2"/>
  <c r="Q1805" i="2"/>
  <c r="S1805" i="2" s="1"/>
  <c r="P1805" i="2"/>
  <c r="O1805" i="2"/>
  <c r="N1805" i="2"/>
  <c r="M1805" i="2"/>
  <c r="T1805" i="2" s="1"/>
  <c r="L1805" i="2"/>
  <c r="T1804" i="2"/>
  <c r="R1804" i="2"/>
  <c r="Q1804" i="2"/>
  <c r="P1804" i="2"/>
  <c r="O1804" i="2"/>
  <c r="N1804" i="2"/>
  <c r="M1804" i="2"/>
  <c r="L1804" i="2"/>
  <c r="R1803" i="2"/>
  <c r="Q1803" i="2"/>
  <c r="S1803" i="2" s="1"/>
  <c r="P1803" i="2"/>
  <c r="O1803" i="2"/>
  <c r="N1803" i="2"/>
  <c r="M1803" i="2"/>
  <c r="T1803" i="2" s="1"/>
  <c r="L1803" i="2"/>
  <c r="R1802" i="2"/>
  <c r="Q1802" i="2"/>
  <c r="P1802" i="2"/>
  <c r="O1802" i="2"/>
  <c r="N1802" i="2"/>
  <c r="M1802" i="2"/>
  <c r="T1802" i="2" s="1"/>
  <c r="L1802" i="2"/>
  <c r="R1801" i="2"/>
  <c r="Q1801" i="2"/>
  <c r="P1801" i="2"/>
  <c r="O1801" i="2"/>
  <c r="N1801" i="2"/>
  <c r="M1801" i="2"/>
  <c r="T1801" i="2" s="1"/>
  <c r="L1801" i="2"/>
  <c r="R1800" i="2"/>
  <c r="Q1800" i="2"/>
  <c r="P1800" i="2"/>
  <c r="O1800" i="2"/>
  <c r="N1800" i="2"/>
  <c r="M1800" i="2"/>
  <c r="T1800" i="2" s="1"/>
  <c r="L1800" i="2"/>
  <c r="R1799" i="2"/>
  <c r="Q1799" i="2"/>
  <c r="S1799" i="2" s="1"/>
  <c r="P1799" i="2"/>
  <c r="O1799" i="2"/>
  <c r="N1799" i="2"/>
  <c r="M1799" i="2"/>
  <c r="T1799" i="2" s="1"/>
  <c r="L1799" i="2"/>
  <c r="R1798" i="2"/>
  <c r="Q1798" i="2"/>
  <c r="S1798" i="2" s="1"/>
  <c r="P1798" i="2"/>
  <c r="O1798" i="2"/>
  <c r="N1798" i="2"/>
  <c r="M1798" i="2"/>
  <c r="T1798" i="2" s="1"/>
  <c r="L1798" i="2"/>
  <c r="R1797" i="2"/>
  <c r="S1797" i="2" s="1"/>
  <c r="Q1797" i="2"/>
  <c r="P1797" i="2"/>
  <c r="O1797" i="2"/>
  <c r="N1797" i="2"/>
  <c r="M1797" i="2"/>
  <c r="T1797" i="2" s="1"/>
  <c r="L1797" i="2"/>
  <c r="R1796" i="2"/>
  <c r="Q1796" i="2"/>
  <c r="P1796" i="2"/>
  <c r="O1796" i="2"/>
  <c r="N1796" i="2"/>
  <c r="M1796" i="2"/>
  <c r="T1796" i="2" s="1"/>
  <c r="L1796" i="2"/>
  <c r="R1795" i="2"/>
  <c r="Q1795" i="2"/>
  <c r="P1795" i="2"/>
  <c r="O1795" i="2"/>
  <c r="N1795" i="2"/>
  <c r="M1795" i="2"/>
  <c r="T1795" i="2" s="1"/>
  <c r="L1795" i="2"/>
  <c r="T1794" i="2"/>
  <c r="R1794" i="2"/>
  <c r="Q1794" i="2"/>
  <c r="P1794" i="2"/>
  <c r="O1794" i="2"/>
  <c r="N1794" i="2"/>
  <c r="M1794" i="2"/>
  <c r="L1794" i="2"/>
  <c r="R1793" i="2"/>
  <c r="S1793" i="2" s="1"/>
  <c r="Q1793" i="2"/>
  <c r="P1793" i="2"/>
  <c r="O1793" i="2"/>
  <c r="N1793" i="2"/>
  <c r="M1793" i="2"/>
  <c r="T1793" i="2" s="1"/>
  <c r="L1793" i="2"/>
  <c r="R1792" i="2"/>
  <c r="Q1792" i="2"/>
  <c r="P1792" i="2"/>
  <c r="O1792" i="2"/>
  <c r="N1792" i="2"/>
  <c r="M1792" i="2"/>
  <c r="T1792" i="2" s="1"/>
  <c r="L1792" i="2"/>
  <c r="R1791" i="2"/>
  <c r="Q1791" i="2"/>
  <c r="P1791" i="2"/>
  <c r="O1791" i="2"/>
  <c r="N1791" i="2"/>
  <c r="M1791" i="2"/>
  <c r="T1791" i="2" s="1"/>
  <c r="L1791" i="2"/>
  <c r="R1790" i="2"/>
  <c r="Q1790" i="2"/>
  <c r="P1790" i="2"/>
  <c r="O1790" i="2"/>
  <c r="N1790" i="2"/>
  <c r="M1790" i="2"/>
  <c r="T1790" i="2" s="1"/>
  <c r="L1790" i="2"/>
  <c r="T1789" i="2"/>
  <c r="R1789" i="2"/>
  <c r="Q1789" i="2"/>
  <c r="P1789" i="2"/>
  <c r="O1789" i="2"/>
  <c r="N1789" i="2"/>
  <c r="M1789" i="2"/>
  <c r="L1789" i="2"/>
  <c r="T1788" i="2"/>
  <c r="R1788" i="2"/>
  <c r="Q1788" i="2"/>
  <c r="P1788" i="2"/>
  <c r="O1788" i="2"/>
  <c r="N1788" i="2"/>
  <c r="M1788" i="2"/>
  <c r="L1788" i="2"/>
  <c r="R1787" i="2"/>
  <c r="Q1787" i="2"/>
  <c r="P1787" i="2"/>
  <c r="O1787" i="2"/>
  <c r="N1787" i="2"/>
  <c r="M1787" i="2"/>
  <c r="T1787" i="2" s="1"/>
  <c r="L1787" i="2"/>
  <c r="T1786" i="2"/>
  <c r="R1786" i="2"/>
  <c r="Q1786" i="2"/>
  <c r="P1786" i="2"/>
  <c r="O1786" i="2"/>
  <c r="N1786" i="2"/>
  <c r="M1786" i="2"/>
  <c r="L1786" i="2"/>
  <c r="S1785" i="2"/>
  <c r="R1785" i="2"/>
  <c r="Q1785" i="2"/>
  <c r="P1785" i="2"/>
  <c r="O1785" i="2"/>
  <c r="N1785" i="2"/>
  <c r="M1785" i="2"/>
  <c r="T1785" i="2" s="1"/>
  <c r="L1785" i="2"/>
  <c r="R1784" i="2"/>
  <c r="Q1784" i="2"/>
  <c r="P1784" i="2"/>
  <c r="O1784" i="2"/>
  <c r="N1784" i="2"/>
  <c r="M1784" i="2"/>
  <c r="T1784" i="2" s="1"/>
  <c r="L1784" i="2"/>
  <c r="R1783" i="2"/>
  <c r="Q1783" i="2"/>
  <c r="P1783" i="2"/>
  <c r="O1783" i="2"/>
  <c r="N1783" i="2"/>
  <c r="M1783" i="2"/>
  <c r="T1783" i="2" s="1"/>
  <c r="L1783" i="2"/>
  <c r="R1782" i="2"/>
  <c r="Q1782" i="2"/>
  <c r="P1782" i="2"/>
  <c r="O1782" i="2"/>
  <c r="N1782" i="2"/>
  <c r="M1782" i="2"/>
  <c r="T1782" i="2" s="1"/>
  <c r="L1782" i="2"/>
  <c r="R1781" i="2"/>
  <c r="S1781" i="2" s="1"/>
  <c r="Q1781" i="2"/>
  <c r="P1781" i="2"/>
  <c r="O1781" i="2"/>
  <c r="N1781" i="2"/>
  <c r="M1781" i="2"/>
  <c r="T1781" i="2" s="1"/>
  <c r="L1781" i="2"/>
  <c r="T1780" i="2"/>
  <c r="R1780" i="2"/>
  <c r="Q1780" i="2"/>
  <c r="P1780" i="2"/>
  <c r="O1780" i="2"/>
  <c r="N1780" i="2"/>
  <c r="M1780" i="2"/>
  <c r="L1780" i="2"/>
  <c r="R1779" i="2"/>
  <c r="Q1779" i="2"/>
  <c r="S1779" i="2" s="1"/>
  <c r="P1779" i="2"/>
  <c r="O1779" i="2"/>
  <c r="N1779" i="2"/>
  <c r="M1779" i="2"/>
  <c r="T1779" i="2" s="1"/>
  <c r="L1779" i="2"/>
  <c r="R1778" i="2"/>
  <c r="Q1778" i="2"/>
  <c r="S1778" i="2" s="1"/>
  <c r="P1778" i="2"/>
  <c r="O1778" i="2"/>
  <c r="N1778" i="2"/>
  <c r="M1778" i="2"/>
  <c r="T1778" i="2" s="1"/>
  <c r="L1778" i="2"/>
  <c r="R1777" i="2"/>
  <c r="Q1777" i="2"/>
  <c r="P1777" i="2"/>
  <c r="O1777" i="2"/>
  <c r="N1777" i="2"/>
  <c r="M1777" i="2"/>
  <c r="T1777" i="2" s="1"/>
  <c r="L1777" i="2"/>
  <c r="R1776" i="2"/>
  <c r="Q1776" i="2"/>
  <c r="S1776" i="2" s="1"/>
  <c r="P1776" i="2"/>
  <c r="O1776" i="2"/>
  <c r="N1776" i="2"/>
  <c r="M1776" i="2"/>
  <c r="T1776" i="2" s="1"/>
  <c r="L1776" i="2"/>
  <c r="R1775" i="2"/>
  <c r="Q1775" i="2"/>
  <c r="P1775" i="2"/>
  <c r="O1775" i="2"/>
  <c r="N1775" i="2"/>
  <c r="M1775" i="2"/>
  <c r="T1775" i="2" s="1"/>
  <c r="L1775" i="2"/>
  <c r="R1774" i="2"/>
  <c r="Q1774" i="2"/>
  <c r="P1774" i="2"/>
  <c r="O1774" i="2"/>
  <c r="N1774" i="2"/>
  <c r="M1774" i="2"/>
  <c r="T1774" i="2" s="1"/>
  <c r="L1774" i="2"/>
  <c r="R1773" i="2"/>
  <c r="Q1773" i="2"/>
  <c r="S1773" i="2" s="1"/>
  <c r="P1773" i="2"/>
  <c r="O1773" i="2"/>
  <c r="N1773" i="2"/>
  <c r="M1773" i="2"/>
  <c r="T1773" i="2" s="1"/>
  <c r="L1773" i="2"/>
  <c r="R1772" i="2"/>
  <c r="Q1772" i="2"/>
  <c r="P1772" i="2"/>
  <c r="O1772" i="2"/>
  <c r="N1772" i="2"/>
  <c r="M1772" i="2"/>
  <c r="T1772" i="2" s="1"/>
  <c r="L1772" i="2"/>
  <c r="R1771" i="2"/>
  <c r="Q1771" i="2"/>
  <c r="S1771" i="2" s="1"/>
  <c r="P1771" i="2"/>
  <c r="O1771" i="2"/>
  <c r="N1771" i="2"/>
  <c r="M1771" i="2"/>
  <c r="T1771" i="2" s="1"/>
  <c r="L1771" i="2"/>
  <c r="R1770" i="2"/>
  <c r="Q1770" i="2"/>
  <c r="P1770" i="2"/>
  <c r="O1770" i="2"/>
  <c r="N1770" i="2"/>
  <c r="M1770" i="2"/>
  <c r="T1770" i="2" s="1"/>
  <c r="L1770" i="2"/>
  <c r="R1769" i="2"/>
  <c r="Q1769" i="2"/>
  <c r="P1769" i="2"/>
  <c r="O1769" i="2"/>
  <c r="N1769" i="2"/>
  <c r="M1769" i="2"/>
  <c r="T1769" i="2" s="1"/>
  <c r="L1769" i="2"/>
  <c r="R1768" i="2"/>
  <c r="Q1768" i="2"/>
  <c r="P1768" i="2"/>
  <c r="O1768" i="2"/>
  <c r="N1768" i="2"/>
  <c r="M1768" i="2"/>
  <c r="T1768" i="2" s="1"/>
  <c r="L1768" i="2"/>
  <c r="R1767" i="2"/>
  <c r="Q1767" i="2"/>
  <c r="S1767" i="2" s="1"/>
  <c r="P1767" i="2"/>
  <c r="O1767" i="2"/>
  <c r="N1767" i="2"/>
  <c r="M1767" i="2"/>
  <c r="T1767" i="2" s="1"/>
  <c r="L1767" i="2"/>
  <c r="R1766" i="2"/>
  <c r="Q1766" i="2"/>
  <c r="P1766" i="2"/>
  <c r="O1766" i="2"/>
  <c r="N1766" i="2"/>
  <c r="M1766" i="2"/>
  <c r="T1766" i="2" s="1"/>
  <c r="L1766" i="2"/>
  <c r="R1765" i="2"/>
  <c r="Q1765" i="2"/>
  <c r="S1765" i="2" s="1"/>
  <c r="P1765" i="2"/>
  <c r="O1765" i="2"/>
  <c r="N1765" i="2"/>
  <c r="M1765" i="2"/>
  <c r="T1765" i="2" s="1"/>
  <c r="L1765" i="2"/>
  <c r="R1764" i="2"/>
  <c r="Q1764" i="2"/>
  <c r="S1764" i="2" s="1"/>
  <c r="P1764" i="2"/>
  <c r="O1764" i="2"/>
  <c r="N1764" i="2"/>
  <c r="M1764" i="2"/>
  <c r="T1764" i="2" s="1"/>
  <c r="L1764" i="2"/>
  <c r="R1763" i="2"/>
  <c r="Q1763" i="2"/>
  <c r="P1763" i="2"/>
  <c r="O1763" i="2"/>
  <c r="N1763" i="2"/>
  <c r="M1763" i="2"/>
  <c r="T1763" i="2" s="1"/>
  <c r="L1763" i="2"/>
  <c r="R1762" i="2"/>
  <c r="Q1762" i="2"/>
  <c r="S1762" i="2" s="1"/>
  <c r="P1762" i="2"/>
  <c r="O1762" i="2"/>
  <c r="N1762" i="2"/>
  <c r="M1762" i="2"/>
  <c r="T1762" i="2" s="1"/>
  <c r="L1762" i="2"/>
  <c r="S1761" i="2"/>
  <c r="R1761" i="2"/>
  <c r="Q1761" i="2"/>
  <c r="P1761" i="2"/>
  <c r="O1761" i="2"/>
  <c r="N1761" i="2"/>
  <c r="M1761" i="2"/>
  <c r="T1761" i="2" s="1"/>
  <c r="L1761" i="2"/>
  <c r="T1760" i="2"/>
  <c r="R1760" i="2"/>
  <c r="Q1760" i="2"/>
  <c r="P1760" i="2"/>
  <c r="O1760" i="2"/>
  <c r="N1760" i="2"/>
  <c r="M1760" i="2"/>
  <c r="L1760" i="2"/>
  <c r="R1759" i="2"/>
  <c r="Q1759" i="2"/>
  <c r="S1759" i="2" s="1"/>
  <c r="P1759" i="2"/>
  <c r="O1759" i="2"/>
  <c r="N1759" i="2"/>
  <c r="M1759" i="2"/>
  <c r="T1759" i="2" s="1"/>
  <c r="L1759" i="2"/>
  <c r="R1758" i="2"/>
  <c r="Q1758" i="2"/>
  <c r="P1758" i="2"/>
  <c r="O1758" i="2"/>
  <c r="N1758" i="2"/>
  <c r="M1758" i="2"/>
  <c r="T1758" i="2" s="1"/>
  <c r="L1758" i="2"/>
  <c r="T1757" i="2"/>
  <c r="R1757" i="2"/>
  <c r="Q1757" i="2"/>
  <c r="S1757" i="2" s="1"/>
  <c r="P1757" i="2"/>
  <c r="O1757" i="2"/>
  <c r="N1757" i="2"/>
  <c r="M1757" i="2"/>
  <c r="L1757" i="2"/>
  <c r="R1756" i="2"/>
  <c r="Q1756" i="2"/>
  <c r="P1756" i="2"/>
  <c r="O1756" i="2"/>
  <c r="N1756" i="2"/>
  <c r="M1756" i="2"/>
  <c r="T1756" i="2" s="1"/>
  <c r="L1756" i="2"/>
  <c r="R1755" i="2"/>
  <c r="Q1755" i="2"/>
  <c r="S1755" i="2" s="1"/>
  <c r="P1755" i="2"/>
  <c r="O1755" i="2"/>
  <c r="N1755" i="2"/>
  <c r="M1755" i="2"/>
  <c r="T1755" i="2" s="1"/>
  <c r="L1755" i="2"/>
  <c r="R1754" i="2"/>
  <c r="Q1754" i="2"/>
  <c r="S1754" i="2" s="1"/>
  <c r="P1754" i="2"/>
  <c r="O1754" i="2"/>
  <c r="N1754" i="2"/>
  <c r="M1754" i="2"/>
  <c r="T1754" i="2" s="1"/>
  <c r="L1754" i="2"/>
  <c r="R1753" i="2"/>
  <c r="Q1753" i="2"/>
  <c r="S1753" i="2" s="1"/>
  <c r="P1753" i="2"/>
  <c r="O1753" i="2"/>
  <c r="N1753" i="2"/>
  <c r="M1753" i="2"/>
  <c r="T1753" i="2" s="1"/>
  <c r="L1753" i="2"/>
  <c r="T1752" i="2"/>
  <c r="R1752" i="2"/>
  <c r="Q1752" i="2"/>
  <c r="S1752" i="2" s="1"/>
  <c r="P1752" i="2"/>
  <c r="O1752" i="2"/>
  <c r="N1752" i="2"/>
  <c r="M1752" i="2"/>
  <c r="L1752" i="2"/>
  <c r="R1751" i="2"/>
  <c r="Q1751" i="2"/>
  <c r="P1751" i="2"/>
  <c r="O1751" i="2"/>
  <c r="N1751" i="2"/>
  <c r="M1751" i="2"/>
  <c r="T1751" i="2" s="1"/>
  <c r="L1751" i="2"/>
  <c r="R1750" i="2"/>
  <c r="Q1750" i="2"/>
  <c r="S1750" i="2" s="1"/>
  <c r="P1750" i="2"/>
  <c r="O1750" i="2"/>
  <c r="N1750" i="2"/>
  <c r="M1750" i="2"/>
  <c r="T1750" i="2" s="1"/>
  <c r="L1750" i="2"/>
  <c r="R1749" i="2"/>
  <c r="Q1749" i="2"/>
  <c r="S1749" i="2" s="1"/>
  <c r="P1749" i="2"/>
  <c r="O1749" i="2"/>
  <c r="N1749" i="2"/>
  <c r="M1749" i="2"/>
  <c r="T1749" i="2" s="1"/>
  <c r="L1749" i="2"/>
  <c r="R1748" i="2"/>
  <c r="Q1748" i="2"/>
  <c r="S1748" i="2" s="1"/>
  <c r="P1748" i="2"/>
  <c r="O1748" i="2"/>
  <c r="N1748" i="2"/>
  <c r="M1748" i="2"/>
  <c r="T1748" i="2" s="1"/>
  <c r="L1748" i="2"/>
  <c r="R1747" i="2"/>
  <c r="Q1747" i="2"/>
  <c r="S1747" i="2" s="1"/>
  <c r="P1747" i="2"/>
  <c r="O1747" i="2"/>
  <c r="N1747" i="2"/>
  <c r="M1747" i="2"/>
  <c r="T1747" i="2" s="1"/>
  <c r="L1747" i="2"/>
  <c r="R1746" i="2"/>
  <c r="Q1746" i="2"/>
  <c r="P1746" i="2"/>
  <c r="O1746" i="2"/>
  <c r="N1746" i="2"/>
  <c r="M1746" i="2"/>
  <c r="T1746" i="2" s="1"/>
  <c r="L1746" i="2"/>
  <c r="T1745" i="2"/>
  <c r="R1745" i="2"/>
  <c r="S1745" i="2" s="1"/>
  <c r="Q1745" i="2"/>
  <c r="P1745" i="2"/>
  <c r="O1745" i="2"/>
  <c r="N1745" i="2"/>
  <c r="M1745" i="2"/>
  <c r="L1745" i="2"/>
  <c r="R1744" i="2"/>
  <c r="Q1744" i="2"/>
  <c r="S1744" i="2" s="1"/>
  <c r="P1744" i="2"/>
  <c r="O1744" i="2"/>
  <c r="N1744" i="2"/>
  <c r="M1744" i="2"/>
  <c r="T1744" i="2" s="1"/>
  <c r="L1744" i="2"/>
  <c r="R1743" i="2"/>
  <c r="Q1743" i="2"/>
  <c r="P1743" i="2"/>
  <c r="O1743" i="2"/>
  <c r="N1743" i="2"/>
  <c r="M1743" i="2"/>
  <c r="T1743" i="2" s="1"/>
  <c r="L1743" i="2"/>
  <c r="T1742" i="2"/>
  <c r="R1742" i="2"/>
  <c r="Q1742" i="2"/>
  <c r="P1742" i="2"/>
  <c r="O1742" i="2"/>
  <c r="N1742" i="2"/>
  <c r="M1742" i="2"/>
  <c r="L1742" i="2"/>
  <c r="R1741" i="2"/>
  <c r="Q1741" i="2"/>
  <c r="P1741" i="2"/>
  <c r="O1741" i="2"/>
  <c r="N1741" i="2"/>
  <c r="M1741" i="2"/>
  <c r="T1741" i="2" s="1"/>
  <c r="L1741" i="2"/>
  <c r="R1740" i="2"/>
  <c r="Q1740" i="2"/>
  <c r="S1740" i="2" s="1"/>
  <c r="P1740" i="2"/>
  <c r="O1740" i="2"/>
  <c r="N1740" i="2"/>
  <c r="M1740" i="2"/>
  <c r="T1740" i="2" s="1"/>
  <c r="L1740" i="2"/>
  <c r="R1739" i="2"/>
  <c r="Q1739" i="2"/>
  <c r="S1739" i="2" s="1"/>
  <c r="P1739" i="2"/>
  <c r="O1739" i="2"/>
  <c r="N1739" i="2"/>
  <c r="M1739" i="2"/>
  <c r="T1739" i="2" s="1"/>
  <c r="L1739" i="2"/>
  <c r="R1738" i="2"/>
  <c r="Q1738" i="2"/>
  <c r="P1738" i="2"/>
  <c r="O1738" i="2"/>
  <c r="N1738" i="2"/>
  <c r="M1738" i="2"/>
  <c r="T1738" i="2" s="1"/>
  <c r="L1738" i="2"/>
  <c r="T1737" i="2"/>
  <c r="R1737" i="2"/>
  <c r="Q1737" i="2"/>
  <c r="P1737" i="2"/>
  <c r="O1737" i="2"/>
  <c r="N1737" i="2"/>
  <c r="M1737" i="2"/>
  <c r="L1737" i="2"/>
  <c r="T1736" i="2"/>
  <c r="R1736" i="2"/>
  <c r="Q1736" i="2"/>
  <c r="S1736" i="2" s="1"/>
  <c r="P1736" i="2"/>
  <c r="O1736" i="2"/>
  <c r="N1736" i="2"/>
  <c r="M1736" i="2"/>
  <c r="L1736" i="2"/>
  <c r="R1735" i="2"/>
  <c r="Q1735" i="2"/>
  <c r="P1735" i="2"/>
  <c r="O1735" i="2"/>
  <c r="N1735" i="2"/>
  <c r="M1735" i="2"/>
  <c r="T1735" i="2" s="1"/>
  <c r="L1735" i="2"/>
  <c r="T1734" i="2"/>
  <c r="R1734" i="2"/>
  <c r="Q1734" i="2"/>
  <c r="P1734" i="2"/>
  <c r="O1734" i="2"/>
  <c r="N1734" i="2"/>
  <c r="M1734" i="2"/>
  <c r="L1734" i="2"/>
  <c r="R1733" i="2"/>
  <c r="Q1733" i="2"/>
  <c r="P1733" i="2"/>
  <c r="O1733" i="2"/>
  <c r="N1733" i="2"/>
  <c r="M1733" i="2"/>
  <c r="T1733" i="2" s="1"/>
  <c r="L1733" i="2"/>
  <c r="R1732" i="2"/>
  <c r="Q1732" i="2"/>
  <c r="S1732" i="2" s="1"/>
  <c r="P1732" i="2"/>
  <c r="O1732" i="2"/>
  <c r="N1732" i="2"/>
  <c r="M1732" i="2"/>
  <c r="T1732" i="2" s="1"/>
  <c r="L1732" i="2"/>
  <c r="T1731" i="2"/>
  <c r="R1731" i="2"/>
  <c r="Q1731" i="2"/>
  <c r="P1731" i="2"/>
  <c r="O1731" i="2"/>
  <c r="N1731" i="2"/>
  <c r="M1731" i="2"/>
  <c r="L1731" i="2"/>
  <c r="R1730" i="2"/>
  <c r="Q1730" i="2"/>
  <c r="P1730" i="2"/>
  <c r="O1730" i="2"/>
  <c r="N1730" i="2"/>
  <c r="M1730" i="2"/>
  <c r="T1730" i="2" s="1"/>
  <c r="L1730" i="2"/>
  <c r="R1729" i="2"/>
  <c r="Q1729" i="2"/>
  <c r="P1729" i="2"/>
  <c r="O1729" i="2"/>
  <c r="N1729" i="2"/>
  <c r="M1729" i="2"/>
  <c r="T1729" i="2" s="1"/>
  <c r="L1729" i="2"/>
  <c r="T1728" i="2"/>
  <c r="R1728" i="2"/>
  <c r="Q1728" i="2"/>
  <c r="P1728" i="2"/>
  <c r="O1728" i="2"/>
  <c r="N1728" i="2"/>
  <c r="M1728" i="2"/>
  <c r="L1728" i="2"/>
  <c r="R1727" i="2"/>
  <c r="Q1727" i="2"/>
  <c r="P1727" i="2"/>
  <c r="O1727" i="2"/>
  <c r="N1727" i="2"/>
  <c r="M1727" i="2"/>
  <c r="T1727" i="2" s="1"/>
  <c r="L1727" i="2"/>
  <c r="R1726" i="2"/>
  <c r="Q1726" i="2"/>
  <c r="P1726" i="2"/>
  <c r="O1726" i="2"/>
  <c r="N1726" i="2"/>
  <c r="M1726" i="2"/>
  <c r="T1726" i="2" s="1"/>
  <c r="L1726" i="2"/>
  <c r="T1725" i="2"/>
  <c r="R1725" i="2"/>
  <c r="Q1725" i="2"/>
  <c r="P1725" i="2"/>
  <c r="O1725" i="2"/>
  <c r="N1725" i="2"/>
  <c r="M1725" i="2"/>
  <c r="L1725" i="2"/>
  <c r="R1724" i="2"/>
  <c r="Q1724" i="2"/>
  <c r="P1724" i="2"/>
  <c r="O1724" i="2"/>
  <c r="N1724" i="2"/>
  <c r="M1724" i="2"/>
  <c r="T1724" i="2" s="1"/>
  <c r="L1724" i="2"/>
  <c r="R1723" i="2"/>
  <c r="Q1723" i="2"/>
  <c r="P1723" i="2"/>
  <c r="O1723" i="2"/>
  <c r="N1723" i="2"/>
  <c r="M1723" i="2"/>
  <c r="T1723" i="2" s="1"/>
  <c r="L1723" i="2"/>
  <c r="R1722" i="2"/>
  <c r="Q1722" i="2"/>
  <c r="S1722" i="2" s="1"/>
  <c r="P1722" i="2"/>
  <c r="O1722" i="2"/>
  <c r="N1722" i="2"/>
  <c r="M1722" i="2"/>
  <c r="T1722" i="2" s="1"/>
  <c r="L1722" i="2"/>
  <c r="R1721" i="2"/>
  <c r="S1721" i="2" s="1"/>
  <c r="Q1721" i="2"/>
  <c r="P1721" i="2"/>
  <c r="O1721" i="2"/>
  <c r="N1721" i="2"/>
  <c r="M1721" i="2"/>
  <c r="T1721" i="2" s="1"/>
  <c r="L1721" i="2"/>
  <c r="R1720" i="2"/>
  <c r="Q1720" i="2"/>
  <c r="P1720" i="2"/>
  <c r="O1720" i="2"/>
  <c r="N1720" i="2"/>
  <c r="M1720" i="2"/>
  <c r="T1720" i="2" s="1"/>
  <c r="L1720" i="2"/>
  <c r="S1719" i="2"/>
  <c r="R1719" i="2"/>
  <c r="Q1719" i="2"/>
  <c r="P1719" i="2"/>
  <c r="O1719" i="2"/>
  <c r="N1719" i="2"/>
  <c r="M1719" i="2"/>
  <c r="T1719" i="2" s="1"/>
  <c r="L1719" i="2"/>
  <c r="R1718" i="2"/>
  <c r="Q1718" i="2"/>
  <c r="P1718" i="2"/>
  <c r="O1718" i="2"/>
  <c r="N1718" i="2"/>
  <c r="M1718" i="2"/>
  <c r="T1718" i="2" s="1"/>
  <c r="L1718" i="2"/>
  <c r="S1717" i="2"/>
  <c r="R1717" i="2"/>
  <c r="Q1717" i="2"/>
  <c r="P1717" i="2"/>
  <c r="O1717" i="2"/>
  <c r="N1717" i="2"/>
  <c r="M1717" i="2"/>
  <c r="T1717" i="2" s="1"/>
  <c r="L1717" i="2"/>
  <c r="R1716" i="2"/>
  <c r="Q1716" i="2"/>
  <c r="P1716" i="2"/>
  <c r="O1716" i="2"/>
  <c r="N1716" i="2"/>
  <c r="M1716" i="2"/>
  <c r="T1716" i="2" s="1"/>
  <c r="L1716" i="2"/>
  <c r="R1715" i="2"/>
  <c r="Q1715" i="2"/>
  <c r="S1715" i="2" s="1"/>
  <c r="P1715" i="2"/>
  <c r="O1715" i="2"/>
  <c r="N1715" i="2"/>
  <c r="M1715" i="2"/>
  <c r="T1715" i="2" s="1"/>
  <c r="L1715" i="2"/>
  <c r="R1714" i="2"/>
  <c r="S1714" i="2" s="1"/>
  <c r="Q1714" i="2"/>
  <c r="P1714" i="2"/>
  <c r="O1714" i="2"/>
  <c r="N1714" i="2"/>
  <c r="M1714" i="2"/>
  <c r="T1714" i="2" s="1"/>
  <c r="L1714" i="2"/>
  <c r="T1713" i="2"/>
  <c r="R1713" i="2"/>
  <c r="Q1713" i="2"/>
  <c r="S1713" i="2" s="1"/>
  <c r="P1713" i="2"/>
  <c r="O1713" i="2"/>
  <c r="N1713" i="2"/>
  <c r="M1713" i="2"/>
  <c r="L1713" i="2"/>
  <c r="R1712" i="2"/>
  <c r="Q1712" i="2"/>
  <c r="S1712" i="2" s="1"/>
  <c r="P1712" i="2"/>
  <c r="O1712" i="2"/>
  <c r="N1712" i="2"/>
  <c r="M1712" i="2"/>
  <c r="T1712" i="2" s="1"/>
  <c r="L1712" i="2"/>
  <c r="S1711" i="2"/>
  <c r="R1711" i="2"/>
  <c r="Q1711" i="2"/>
  <c r="P1711" i="2"/>
  <c r="O1711" i="2"/>
  <c r="N1711" i="2"/>
  <c r="M1711" i="2"/>
  <c r="T1711" i="2" s="1"/>
  <c r="L1711" i="2"/>
  <c r="T1710" i="2"/>
  <c r="R1710" i="2"/>
  <c r="S1710" i="2" s="1"/>
  <c r="Q1710" i="2"/>
  <c r="P1710" i="2"/>
  <c r="O1710" i="2"/>
  <c r="N1710" i="2"/>
  <c r="M1710" i="2"/>
  <c r="L1710" i="2"/>
  <c r="R1709" i="2"/>
  <c r="Q1709" i="2"/>
  <c r="S1709" i="2" s="1"/>
  <c r="P1709" i="2"/>
  <c r="O1709" i="2"/>
  <c r="N1709" i="2"/>
  <c r="M1709" i="2"/>
  <c r="T1709" i="2" s="1"/>
  <c r="L1709" i="2"/>
  <c r="S1708" i="2"/>
  <c r="R1708" i="2"/>
  <c r="Q1708" i="2"/>
  <c r="P1708" i="2"/>
  <c r="O1708" i="2"/>
  <c r="N1708" i="2"/>
  <c r="M1708" i="2"/>
  <c r="T1708" i="2" s="1"/>
  <c r="L1708" i="2"/>
  <c r="R1707" i="2"/>
  <c r="S1707" i="2" s="1"/>
  <c r="Q1707" i="2"/>
  <c r="P1707" i="2"/>
  <c r="O1707" i="2"/>
  <c r="N1707" i="2"/>
  <c r="M1707" i="2"/>
  <c r="T1707" i="2" s="1"/>
  <c r="L1707" i="2"/>
  <c r="R1706" i="2"/>
  <c r="S1706" i="2" s="1"/>
  <c r="Q1706" i="2"/>
  <c r="P1706" i="2"/>
  <c r="O1706" i="2"/>
  <c r="N1706" i="2"/>
  <c r="M1706" i="2"/>
  <c r="T1706" i="2" s="1"/>
  <c r="L1706" i="2"/>
  <c r="T1705" i="2"/>
  <c r="R1705" i="2"/>
  <c r="Q1705" i="2"/>
  <c r="P1705" i="2"/>
  <c r="O1705" i="2"/>
  <c r="N1705" i="2"/>
  <c r="M1705" i="2"/>
  <c r="L1705" i="2"/>
  <c r="R1704" i="2"/>
  <c r="Q1704" i="2"/>
  <c r="S1704" i="2" s="1"/>
  <c r="P1704" i="2"/>
  <c r="O1704" i="2"/>
  <c r="N1704" i="2"/>
  <c r="M1704" i="2"/>
  <c r="T1704" i="2" s="1"/>
  <c r="L1704" i="2"/>
  <c r="S1703" i="2"/>
  <c r="R1703" i="2"/>
  <c r="Q1703" i="2"/>
  <c r="P1703" i="2"/>
  <c r="O1703" i="2"/>
  <c r="N1703" i="2"/>
  <c r="M1703" i="2"/>
  <c r="T1703" i="2" s="1"/>
  <c r="L1703" i="2"/>
  <c r="S1702" i="2"/>
  <c r="R1702" i="2"/>
  <c r="Q1702" i="2"/>
  <c r="P1702" i="2"/>
  <c r="O1702" i="2"/>
  <c r="N1702" i="2"/>
  <c r="M1702" i="2"/>
  <c r="T1702" i="2" s="1"/>
  <c r="L1702" i="2"/>
  <c r="R1701" i="2"/>
  <c r="Q1701" i="2"/>
  <c r="S1701" i="2" s="1"/>
  <c r="P1701" i="2"/>
  <c r="O1701" i="2"/>
  <c r="N1701" i="2"/>
  <c r="M1701" i="2"/>
  <c r="T1701" i="2" s="1"/>
  <c r="L1701" i="2"/>
  <c r="R1700" i="2"/>
  <c r="Q1700" i="2"/>
  <c r="S1700" i="2" s="1"/>
  <c r="P1700" i="2"/>
  <c r="O1700" i="2"/>
  <c r="N1700" i="2"/>
  <c r="M1700" i="2"/>
  <c r="T1700" i="2" s="1"/>
  <c r="L1700" i="2"/>
  <c r="R1699" i="2"/>
  <c r="S1699" i="2" s="1"/>
  <c r="Q1699" i="2"/>
  <c r="P1699" i="2"/>
  <c r="O1699" i="2"/>
  <c r="N1699" i="2"/>
  <c r="M1699" i="2"/>
  <c r="T1699" i="2" s="1"/>
  <c r="L1699" i="2"/>
  <c r="R1698" i="2"/>
  <c r="Q1698" i="2"/>
  <c r="S1698" i="2" s="1"/>
  <c r="P1698" i="2"/>
  <c r="O1698" i="2"/>
  <c r="N1698" i="2"/>
  <c r="M1698" i="2"/>
  <c r="T1698" i="2" s="1"/>
  <c r="L1698" i="2"/>
  <c r="R1697" i="2"/>
  <c r="Q1697" i="2"/>
  <c r="S1697" i="2" s="1"/>
  <c r="P1697" i="2"/>
  <c r="O1697" i="2"/>
  <c r="N1697" i="2"/>
  <c r="M1697" i="2"/>
  <c r="T1697" i="2" s="1"/>
  <c r="L1697" i="2"/>
  <c r="R1696" i="2"/>
  <c r="Q1696" i="2"/>
  <c r="S1696" i="2" s="1"/>
  <c r="P1696" i="2"/>
  <c r="O1696" i="2"/>
  <c r="N1696" i="2"/>
  <c r="M1696" i="2"/>
  <c r="T1696" i="2" s="1"/>
  <c r="L1696" i="2"/>
  <c r="R1695" i="2"/>
  <c r="Q1695" i="2"/>
  <c r="S1695" i="2" s="1"/>
  <c r="P1695" i="2"/>
  <c r="O1695" i="2"/>
  <c r="N1695" i="2"/>
  <c r="M1695" i="2"/>
  <c r="T1695" i="2" s="1"/>
  <c r="L1695" i="2"/>
  <c r="R1694" i="2"/>
  <c r="Q1694" i="2"/>
  <c r="S1694" i="2" s="1"/>
  <c r="P1694" i="2"/>
  <c r="O1694" i="2"/>
  <c r="N1694" i="2"/>
  <c r="M1694" i="2"/>
  <c r="T1694" i="2" s="1"/>
  <c r="L1694" i="2"/>
  <c r="R1693" i="2"/>
  <c r="Q1693" i="2"/>
  <c r="S1693" i="2" s="1"/>
  <c r="P1693" i="2"/>
  <c r="O1693" i="2"/>
  <c r="N1693" i="2"/>
  <c r="M1693" i="2"/>
  <c r="T1693" i="2" s="1"/>
  <c r="L1693" i="2"/>
  <c r="R1692" i="2"/>
  <c r="Q1692" i="2"/>
  <c r="P1692" i="2"/>
  <c r="O1692" i="2"/>
  <c r="N1692" i="2"/>
  <c r="M1692" i="2"/>
  <c r="T1692" i="2" s="1"/>
  <c r="L1692" i="2"/>
  <c r="R1691" i="2"/>
  <c r="S1691" i="2" s="1"/>
  <c r="Q1691" i="2"/>
  <c r="P1691" i="2"/>
  <c r="O1691" i="2"/>
  <c r="N1691" i="2"/>
  <c r="M1691" i="2"/>
  <c r="T1691" i="2" s="1"/>
  <c r="L1691" i="2"/>
  <c r="T1690" i="2"/>
  <c r="R1690" i="2"/>
  <c r="Q1690" i="2"/>
  <c r="P1690" i="2"/>
  <c r="O1690" i="2"/>
  <c r="N1690" i="2"/>
  <c r="M1690" i="2"/>
  <c r="L1690" i="2"/>
  <c r="R1689" i="2"/>
  <c r="S1689" i="2" s="1"/>
  <c r="Q1689" i="2"/>
  <c r="P1689" i="2"/>
  <c r="O1689" i="2"/>
  <c r="N1689" i="2"/>
  <c r="M1689" i="2"/>
  <c r="T1689" i="2" s="1"/>
  <c r="L1689" i="2"/>
  <c r="R1688" i="2"/>
  <c r="Q1688" i="2"/>
  <c r="S1688" i="2" s="1"/>
  <c r="P1688" i="2"/>
  <c r="O1688" i="2"/>
  <c r="N1688" i="2"/>
  <c r="M1688" i="2"/>
  <c r="T1688" i="2" s="1"/>
  <c r="L1688" i="2"/>
  <c r="R1687" i="2"/>
  <c r="Q1687" i="2"/>
  <c r="S1687" i="2" s="1"/>
  <c r="P1687" i="2"/>
  <c r="O1687" i="2"/>
  <c r="N1687" i="2"/>
  <c r="M1687" i="2"/>
  <c r="T1687" i="2" s="1"/>
  <c r="L1687" i="2"/>
  <c r="S1686" i="2"/>
  <c r="R1686" i="2"/>
  <c r="Q1686" i="2"/>
  <c r="P1686" i="2"/>
  <c r="O1686" i="2"/>
  <c r="N1686" i="2"/>
  <c r="M1686" i="2"/>
  <c r="T1686" i="2" s="1"/>
  <c r="L1686" i="2"/>
  <c r="R1685" i="2"/>
  <c r="Q1685" i="2"/>
  <c r="S1685" i="2" s="1"/>
  <c r="P1685" i="2"/>
  <c r="O1685" i="2"/>
  <c r="N1685" i="2"/>
  <c r="M1685" i="2"/>
  <c r="T1685" i="2" s="1"/>
  <c r="L1685" i="2"/>
  <c r="R1684" i="2"/>
  <c r="Q1684" i="2"/>
  <c r="S1684" i="2" s="1"/>
  <c r="P1684" i="2"/>
  <c r="O1684" i="2"/>
  <c r="N1684" i="2"/>
  <c r="M1684" i="2"/>
  <c r="T1684" i="2" s="1"/>
  <c r="L1684" i="2"/>
  <c r="R1683" i="2"/>
  <c r="Q1683" i="2"/>
  <c r="S1683" i="2" s="1"/>
  <c r="P1683" i="2"/>
  <c r="O1683" i="2"/>
  <c r="N1683" i="2"/>
  <c r="M1683" i="2"/>
  <c r="T1683" i="2" s="1"/>
  <c r="L1683" i="2"/>
  <c r="S1682" i="2"/>
  <c r="R1682" i="2"/>
  <c r="Q1682" i="2"/>
  <c r="P1682" i="2"/>
  <c r="O1682" i="2"/>
  <c r="N1682" i="2"/>
  <c r="M1682" i="2"/>
  <c r="T1682" i="2" s="1"/>
  <c r="L1682" i="2"/>
  <c r="R1681" i="2"/>
  <c r="Q1681" i="2"/>
  <c r="P1681" i="2"/>
  <c r="O1681" i="2"/>
  <c r="N1681" i="2"/>
  <c r="M1681" i="2"/>
  <c r="T1681" i="2" s="1"/>
  <c r="L1681" i="2"/>
  <c r="R1680" i="2"/>
  <c r="Q1680" i="2"/>
  <c r="S1680" i="2" s="1"/>
  <c r="P1680" i="2"/>
  <c r="O1680" i="2"/>
  <c r="N1680" i="2"/>
  <c r="M1680" i="2"/>
  <c r="T1680" i="2" s="1"/>
  <c r="L1680" i="2"/>
  <c r="R1679" i="2"/>
  <c r="Q1679" i="2"/>
  <c r="S1679" i="2" s="1"/>
  <c r="P1679" i="2"/>
  <c r="O1679" i="2"/>
  <c r="N1679" i="2"/>
  <c r="M1679" i="2"/>
  <c r="T1679" i="2" s="1"/>
  <c r="L1679" i="2"/>
  <c r="S1678" i="2"/>
  <c r="R1678" i="2"/>
  <c r="Q1678" i="2"/>
  <c r="P1678" i="2"/>
  <c r="O1678" i="2"/>
  <c r="N1678" i="2"/>
  <c r="M1678" i="2"/>
  <c r="T1678" i="2" s="1"/>
  <c r="L1678" i="2"/>
  <c r="R1677" i="2"/>
  <c r="Q1677" i="2"/>
  <c r="S1677" i="2" s="1"/>
  <c r="P1677" i="2"/>
  <c r="O1677" i="2"/>
  <c r="N1677" i="2"/>
  <c r="M1677" i="2"/>
  <c r="T1677" i="2" s="1"/>
  <c r="L1677" i="2"/>
  <c r="R1676" i="2"/>
  <c r="Q1676" i="2"/>
  <c r="P1676" i="2"/>
  <c r="O1676" i="2"/>
  <c r="N1676" i="2"/>
  <c r="M1676" i="2"/>
  <c r="T1676" i="2" s="1"/>
  <c r="L1676" i="2"/>
  <c r="R1675" i="2"/>
  <c r="S1675" i="2" s="1"/>
  <c r="Q1675" i="2"/>
  <c r="P1675" i="2"/>
  <c r="O1675" i="2"/>
  <c r="N1675" i="2"/>
  <c r="M1675" i="2"/>
  <c r="T1675" i="2" s="1"/>
  <c r="L1675" i="2"/>
  <c r="R1674" i="2"/>
  <c r="Q1674" i="2"/>
  <c r="S1674" i="2" s="1"/>
  <c r="P1674" i="2"/>
  <c r="O1674" i="2"/>
  <c r="N1674" i="2"/>
  <c r="M1674" i="2"/>
  <c r="T1674" i="2" s="1"/>
  <c r="L1674" i="2"/>
  <c r="R1673" i="2"/>
  <c r="S1673" i="2" s="1"/>
  <c r="Q1673" i="2"/>
  <c r="P1673" i="2"/>
  <c r="O1673" i="2"/>
  <c r="N1673" i="2"/>
  <c r="M1673" i="2"/>
  <c r="T1673" i="2" s="1"/>
  <c r="L1673" i="2"/>
  <c r="R1672" i="2"/>
  <c r="Q1672" i="2"/>
  <c r="S1672" i="2" s="1"/>
  <c r="P1672" i="2"/>
  <c r="O1672" i="2"/>
  <c r="N1672" i="2"/>
  <c r="M1672" i="2"/>
  <c r="T1672" i="2" s="1"/>
  <c r="L1672" i="2"/>
  <c r="R1671" i="2"/>
  <c r="Q1671" i="2"/>
  <c r="S1671" i="2" s="1"/>
  <c r="P1671" i="2"/>
  <c r="O1671" i="2"/>
  <c r="N1671" i="2"/>
  <c r="M1671" i="2"/>
  <c r="T1671" i="2" s="1"/>
  <c r="L1671" i="2"/>
  <c r="S1670" i="2"/>
  <c r="R1670" i="2"/>
  <c r="Q1670" i="2"/>
  <c r="P1670" i="2"/>
  <c r="O1670" i="2"/>
  <c r="N1670" i="2"/>
  <c r="M1670" i="2"/>
  <c r="T1670" i="2" s="1"/>
  <c r="L1670" i="2"/>
  <c r="T1669" i="2"/>
  <c r="R1669" i="2"/>
  <c r="S1669" i="2" s="1"/>
  <c r="Q1669" i="2"/>
  <c r="P1669" i="2"/>
  <c r="O1669" i="2"/>
  <c r="N1669" i="2"/>
  <c r="M1669" i="2"/>
  <c r="L1669" i="2"/>
  <c r="R1668" i="2"/>
  <c r="Q1668" i="2"/>
  <c r="S1668" i="2" s="1"/>
  <c r="P1668" i="2"/>
  <c r="O1668" i="2"/>
  <c r="N1668" i="2"/>
  <c r="M1668" i="2"/>
  <c r="T1668" i="2" s="1"/>
  <c r="L1668" i="2"/>
  <c r="R1667" i="2"/>
  <c r="S1667" i="2" s="1"/>
  <c r="Q1667" i="2"/>
  <c r="P1667" i="2"/>
  <c r="O1667" i="2"/>
  <c r="N1667" i="2"/>
  <c r="M1667" i="2"/>
  <c r="T1667" i="2" s="1"/>
  <c r="L1667" i="2"/>
  <c r="R1666" i="2"/>
  <c r="Q1666" i="2"/>
  <c r="P1666" i="2"/>
  <c r="O1666" i="2"/>
  <c r="N1666" i="2"/>
  <c r="M1666" i="2"/>
  <c r="T1666" i="2" s="1"/>
  <c r="L1666" i="2"/>
  <c r="R1665" i="2"/>
  <c r="Q1665" i="2"/>
  <c r="P1665" i="2"/>
  <c r="O1665" i="2"/>
  <c r="N1665" i="2"/>
  <c r="M1665" i="2"/>
  <c r="T1665" i="2" s="1"/>
  <c r="L1665" i="2"/>
  <c r="R1664" i="2"/>
  <c r="Q1664" i="2"/>
  <c r="P1664" i="2"/>
  <c r="O1664" i="2"/>
  <c r="N1664" i="2"/>
  <c r="M1664" i="2"/>
  <c r="T1664" i="2" s="1"/>
  <c r="L1664" i="2"/>
  <c r="R1663" i="2"/>
  <c r="S1663" i="2" s="1"/>
  <c r="Q1663" i="2"/>
  <c r="P1663" i="2"/>
  <c r="O1663" i="2"/>
  <c r="N1663" i="2"/>
  <c r="M1663" i="2"/>
  <c r="T1663" i="2" s="1"/>
  <c r="L1663" i="2"/>
  <c r="R1662" i="2"/>
  <c r="Q1662" i="2"/>
  <c r="P1662" i="2"/>
  <c r="O1662" i="2"/>
  <c r="N1662" i="2"/>
  <c r="M1662" i="2"/>
  <c r="T1662" i="2" s="1"/>
  <c r="L1662" i="2"/>
  <c r="R1661" i="2"/>
  <c r="Q1661" i="2"/>
  <c r="P1661" i="2"/>
  <c r="O1661" i="2"/>
  <c r="N1661" i="2"/>
  <c r="M1661" i="2"/>
  <c r="T1661" i="2" s="1"/>
  <c r="L1661" i="2"/>
  <c r="R1660" i="2"/>
  <c r="Q1660" i="2"/>
  <c r="S1660" i="2" s="1"/>
  <c r="P1660" i="2"/>
  <c r="O1660" i="2"/>
  <c r="N1660" i="2"/>
  <c r="M1660" i="2"/>
  <c r="T1660" i="2" s="1"/>
  <c r="L1660" i="2"/>
  <c r="R1659" i="2"/>
  <c r="S1659" i="2" s="1"/>
  <c r="Q1659" i="2"/>
  <c r="P1659" i="2"/>
  <c r="O1659" i="2"/>
  <c r="N1659" i="2"/>
  <c r="M1659" i="2"/>
  <c r="T1659" i="2" s="1"/>
  <c r="L1659" i="2"/>
  <c r="R1658" i="2"/>
  <c r="Q1658" i="2"/>
  <c r="P1658" i="2"/>
  <c r="O1658" i="2"/>
  <c r="N1658" i="2"/>
  <c r="M1658" i="2"/>
  <c r="T1658" i="2" s="1"/>
  <c r="L1658" i="2"/>
  <c r="R1657" i="2"/>
  <c r="Q1657" i="2"/>
  <c r="P1657" i="2"/>
  <c r="O1657" i="2"/>
  <c r="N1657" i="2"/>
  <c r="M1657" i="2"/>
  <c r="T1657" i="2" s="1"/>
  <c r="L1657" i="2"/>
  <c r="R1656" i="2"/>
  <c r="Q1656" i="2"/>
  <c r="P1656" i="2"/>
  <c r="O1656" i="2"/>
  <c r="N1656" i="2"/>
  <c r="M1656" i="2"/>
  <c r="T1656" i="2" s="1"/>
  <c r="L1656" i="2"/>
  <c r="R1655" i="2"/>
  <c r="Q1655" i="2"/>
  <c r="S1655" i="2" s="1"/>
  <c r="P1655" i="2"/>
  <c r="O1655" i="2"/>
  <c r="N1655" i="2"/>
  <c r="M1655" i="2"/>
  <c r="T1655" i="2" s="1"/>
  <c r="L1655" i="2"/>
  <c r="S1654" i="2"/>
  <c r="R1654" i="2"/>
  <c r="Q1654" i="2"/>
  <c r="P1654" i="2"/>
  <c r="O1654" i="2"/>
  <c r="N1654" i="2"/>
  <c r="M1654" i="2"/>
  <c r="T1654" i="2" s="1"/>
  <c r="L1654" i="2"/>
  <c r="S1653" i="2"/>
  <c r="R1653" i="2"/>
  <c r="Q1653" i="2"/>
  <c r="P1653" i="2"/>
  <c r="O1653" i="2"/>
  <c r="N1653" i="2"/>
  <c r="M1653" i="2"/>
  <c r="T1653" i="2" s="1"/>
  <c r="L1653" i="2"/>
  <c r="R1652" i="2"/>
  <c r="Q1652" i="2"/>
  <c r="S1652" i="2" s="1"/>
  <c r="P1652" i="2"/>
  <c r="O1652" i="2"/>
  <c r="N1652" i="2"/>
  <c r="M1652" i="2"/>
  <c r="T1652" i="2" s="1"/>
  <c r="L1652" i="2"/>
  <c r="R1651" i="2"/>
  <c r="S1651" i="2" s="1"/>
  <c r="Q1651" i="2"/>
  <c r="P1651" i="2"/>
  <c r="O1651" i="2"/>
  <c r="N1651" i="2"/>
  <c r="M1651" i="2"/>
  <c r="T1651" i="2" s="1"/>
  <c r="L1651" i="2"/>
  <c r="S1650" i="2"/>
  <c r="R1650" i="2"/>
  <c r="Q1650" i="2"/>
  <c r="P1650" i="2"/>
  <c r="O1650" i="2"/>
  <c r="N1650" i="2"/>
  <c r="M1650" i="2"/>
  <c r="T1650" i="2" s="1"/>
  <c r="L1650" i="2"/>
  <c r="R1649" i="2"/>
  <c r="Q1649" i="2"/>
  <c r="P1649" i="2"/>
  <c r="O1649" i="2"/>
  <c r="N1649" i="2"/>
  <c r="M1649" i="2"/>
  <c r="T1649" i="2" s="1"/>
  <c r="L1649" i="2"/>
  <c r="S1648" i="2"/>
  <c r="R1648" i="2"/>
  <c r="Q1648" i="2"/>
  <c r="P1648" i="2"/>
  <c r="O1648" i="2"/>
  <c r="N1648" i="2"/>
  <c r="M1648" i="2"/>
  <c r="T1648" i="2" s="1"/>
  <c r="L1648" i="2"/>
  <c r="R1647" i="2"/>
  <c r="S1647" i="2" s="1"/>
  <c r="Q1647" i="2"/>
  <c r="P1647" i="2"/>
  <c r="O1647" i="2"/>
  <c r="N1647" i="2"/>
  <c r="M1647" i="2"/>
  <c r="T1647" i="2" s="1"/>
  <c r="L1647" i="2"/>
  <c r="R1646" i="2"/>
  <c r="Q1646" i="2"/>
  <c r="S1646" i="2" s="1"/>
  <c r="P1646" i="2"/>
  <c r="O1646" i="2"/>
  <c r="N1646" i="2"/>
  <c r="M1646" i="2"/>
  <c r="T1646" i="2" s="1"/>
  <c r="L1646" i="2"/>
  <c r="R1645" i="2"/>
  <c r="Q1645" i="2"/>
  <c r="P1645" i="2"/>
  <c r="O1645" i="2"/>
  <c r="N1645" i="2"/>
  <c r="M1645" i="2"/>
  <c r="T1645" i="2" s="1"/>
  <c r="L1645" i="2"/>
  <c r="R1644" i="2"/>
  <c r="Q1644" i="2"/>
  <c r="P1644" i="2"/>
  <c r="O1644" i="2"/>
  <c r="N1644" i="2"/>
  <c r="M1644" i="2"/>
  <c r="T1644" i="2" s="1"/>
  <c r="L1644" i="2"/>
  <c r="R1643" i="2"/>
  <c r="Q1643" i="2"/>
  <c r="S1643" i="2" s="1"/>
  <c r="P1643" i="2"/>
  <c r="O1643" i="2"/>
  <c r="N1643" i="2"/>
  <c r="M1643" i="2"/>
  <c r="T1643" i="2" s="1"/>
  <c r="L1643" i="2"/>
  <c r="T1642" i="2"/>
  <c r="R1642" i="2"/>
  <c r="Q1642" i="2"/>
  <c r="P1642" i="2"/>
  <c r="O1642" i="2"/>
  <c r="N1642" i="2"/>
  <c r="M1642" i="2"/>
  <c r="L1642" i="2"/>
  <c r="T1641" i="2"/>
  <c r="R1641" i="2"/>
  <c r="Q1641" i="2"/>
  <c r="S1641" i="2" s="1"/>
  <c r="P1641" i="2"/>
  <c r="O1641" i="2"/>
  <c r="N1641" i="2"/>
  <c r="M1641" i="2"/>
  <c r="L1641" i="2"/>
  <c r="R1640" i="2"/>
  <c r="Q1640" i="2"/>
  <c r="S1640" i="2" s="1"/>
  <c r="P1640" i="2"/>
  <c r="O1640" i="2"/>
  <c r="N1640" i="2"/>
  <c r="M1640" i="2"/>
  <c r="T1640" i="2" s="1"/>
  <c r="L1640" i="2"/>
  <c r="S1639" i="2"/>
  <c r="R1639" i="2"/>
  <c r="Q1639" i="2"/>
  <c r="P1639" i="2"/>
  <c r="O1639" i="2"/>
  <c r="N1639" i="2"/>
  <c r="M1639" i="2"/>
  <c r="T1639" i="2" s="1"/>
  <c r="L1639" i="2"/>
  <c r="T1638" i="2"/>
  <c r="R1638" i="2"/>
  <c r="Q1638" i="2"/>
  <c r="S1638" i="2" s="1"/>
  <c r="P1638" i="2"/>
  <c r="O1638" i="2"/>
  <c r="N1638" i="2"/>
  <c r="M1638" i="2"/>
  <c r="L1638" i="2"/>
  <c r="R1637" i="2"/>
  <c r="Q1637" i="2"/>
  <c r="S1637" i="2" s="1"/>
  <c r="P1637" i="2"/>
  <c r="O1637" i="2"/>
  <c r="N1637" i="2"/>
  <c r="M1637" i="2"/>
  <c r="T1637" i="2" s="1"/>
  <c r="L1637" i="2"/>
  <c r="S1636" i="2"/>
  <c r="R1636" i="2"/>
  <c r="Q1636" i="2"/>
  <c r="P1636" i="2"/>
  <c r="O1636" i="2"/>
  <c r="N1636" i="2"/>
  <c r="M1636" i="2"/>
  <c r="T1636" i="2" s="1"/>
  <c r="L1636" i="2"/>
  <c r="R1635" i="2"/>
  <c r="Q1635" i="2"/>
  <c r="P1635" i="2"/>
  <c r="O1635" i="2"/>
  <c r="N1635" i="2"/>
  <c r="M1635" i="2"/>
  <c r="T1635" i="2" s="1"/>
  <c r="L1635" i="2"/>
  <c r="R1634" i="2"/>
  <c r="S1634" i="2" s="1"/>
  <c r="Q1634" i="2"/>
  <c r="P1634" i="2"/>
  <c r="O1634" i="2"/>
  <c r="N1634" i="2"/>
  <c r="M1634" i="2"/>
  <c r="T1634" i="2" s="1"/>
  <c r="L1634" i="2"/>
  <c r="R1633" i="2"/>
  <c r="Q1633" i="2"/>
  <c r="S1633" i="2" s="1"/>
  <c r="P1633" i="2"/>
  <c r="O1633" i="2"/>
  <c r="N1633" i="2"/>
  <c r="M1633" i="2"/>
  <c r="T1633" i="2" s="1"/>
  <c r="L1633" i="2"/>
  <c r="R1632" i="2"/>
  <c r="Q1632" i="2"/>
  <c r="S1632" i="2" s="1"/>
  <c r="P1632" i="2"/>
  <c r="O1632" i="2"/>
  <c r="N1632" i="2"/>
  <c r="M1632" i="2"/>
  <c r="T1632" i="2" s="1"/>
  <c r="L1632" i="2"/>
  <c r="R1631" i="2"/>
  <c r="S1631" i="2" s="1"/>
  <c r="Q1631" i="2"/>
  <c r="P1631" i="2"/>
  <c r="O1631" i="2"/>
  <c r="N1631" i="2"/>
  <c r="M1631" i="2"/>
  <c r="T1631" i="2" s="1"/>
  <c r="L1631" i="2"/>
  <c r="S1630" i="2"/>
  <c r="R1630" i="2"/>
  <c r="Q1630" i="2"/>
  <c r="P1630" i="2"/>
  <c r="O1630" i="2"/>
  <c r="N1630" i="2"/>
  <c r="M1630" i="2"/>
  <c r="T1630" i="2" s="1"/>
  <c r="L1630" i="2"/>
  <c r="R1629" i="2"/>
  <c r="Q1629" i="2"/>
  <c r="S1629" i="2" s="1"/>
  <c r="P1629" i="2"/>
  <c r="O1629" i="2"/>
  <c r="N1629" i="2"/>
  <c r="M1629" i="2"/>
  <c r="T1629" i="2" s="1"/>
  <c r="L1629" i="2"/>
  <c r="R1628" i="2"/>
  <c r="Q1628" i="2"/>
  <c r="P1628" i="2"/>
  <c r="O1628" i="2"/>
  <c r="N1628" i="2"/>
  <c r="M1628" i="2"/>
  <c r="T1628" i="2" s="1"/>
  <c r="L1628" i="2"/>
  <c r="R1627" i="2"/>
  <c r="Q1627" i="2"/>
  <c r="S1627" i="2" s="1"/>
  <c r="P1627" i="2"/>
  <c r="O1627" i="2"/>
  <c r="N1627" i="2"/>
  <c r="M1627" i="2"/>
  <c r="T1627" i="2" s="1"/>
  <c r="L1627" i="2"/>
  <c r="R1626" i="2"/>
  <c r="Q1626" i="2"/>
  <c r="P1626" i="2"/>
  <c r="O1626" i="2"/>
  <c r="N1626" i="2"/>
  <c r="M1626" i="2"/>
  <c r="T1626" i="2" s="1"/>
  <c r="L1626" i="2"/>
  <c r="R1625" i="2"/>
  <c r="Q1625" i="2"/>
  <c r="P1625" i="2"/>
  <c r="O1625" i="2"/>
  <c r="N1625" i="2"/>
  <c r="M1625" i="2"/>
  <c r="T1625" i="2" s="1"/>
  <c r="L1625" i="2"/>
  <c r="R1624" i="2"/>
  <c r="Q1624" i="2"/>
  <c r="S1624" i="2" s="1"/>
  <c r="P1624" i="2"/>
  <c r="O1624" i="2"/>
  <c r="N1624" i="2"/>
  <c r="M1624" i="2"/>
  <c r="T1624" i="2" s="1"/>
  <c r="L1624" i="2"/>
  <c r="R1623" i="2"/>
  <c r="Q1623" i="2"/>
  <c r="P1623" i="2"/>
  <c r="O1623" i="2"/>
  <c r="N1623" i="2"/>
  <c r="M1623" i="2"/>
  <c r="T1623" i="2" s="1"/>
  <c r="L1623" i="2"/>
  <c r="S1622" i="2"/>
  <c r="R1622" i="2"/>
  <c r="Q1622" i="2"/>
  <c r="P1622" i="2"/>
  <c r="O1622" i="2"/>
  <c r="N1622" i="2"/>
  <c r="M1622" i="2"/>
  <c r="T1622" i="2" s="1"/>
  <c r="L1622" i="2"/>
  <c r="T1621" i="2"/>
  <c r="R1621" i="2"/>
  <c r="Q1621" i="2"/>
  <c r="S1621" i="2" s="1"/>
  <c r="P1621" i="2"/>
  <c r="O1621" i="2"/>
  <c r="N1621" i="2"/>
  <c r="M1621" i="2"/>
  <c r="L1621" i="2"/>
  <c r="R1620" i="2"/>
  <c r="Q1620" i="2"/>
  <c r="P1620" i="2"/>
  <c r="O1620" i="2"/>
  <c r="N1620" i="2"/>
  <c r="M1620" i="2"/>
  <c r="T1620" i="2" s="1"/>
  <c r="L1620" i="2"/>
  <c r="S1619" i="2"/>
  <c r="R1619" i="2"/>
  <c r="Q1619" i="2"/>
  <c r="P1619" i="2"/>
  <c r="O1619" i="2"/>
  <c r="N1619" i="2"/>
  <c r="M1619" i="2"/>
  <c r="T1619" i="2" s="1"/>
  <c r="L1619" i="2"/>
  <c r="T1618" i="2"/>
  <c r="R1618" i="2"/>
  <c r="Q1618" i="2"/>
  <c r="S1618" i="2" s="1"/>
  <c r="P1618" i="2"/>
  <c r="O1618" i="2"/>
  <c r="N1618" i="2"/>
  <c r="M1618" i="2"/>
  <c r="L1618" i="2"/>
  <c r="R1617" i="2"/>
  <c r="Q1617" i="2"/>
  <c r="S1617" i="2" s="1"/>
  <c r="P1617" i="2"/>
  <c r="O1617" i="2"/>
  <c r="N1617" i="2"/>
  <c r="M1617" i="2"/>
  <c r="T1617" i="2" s="1"/>
  <c r="L1617" i="2"/>
  <c r="R1616" i="2"/>
  <c r="Q1616" i="2"/>
  <c r="P1616" i="2"/>
  <c r="O1616" i="2"/>
  <c r="N1616" i="2"/>
  <c r="M1616" i="2"/>
  <c r="T1616" i="2" s="1"/>
  <c r="L1616" i="2"/>
  <c r="R1615" i="2"/>
  <c r="Q1615" i="2"/>
  <c r="S1615" i="2" s="1"/>
  <c r="P1615" i="2"/>
  <c r="O1615" i="2"/>
  <c r="N1615" i="2"/>
  <c r="M1615" i="2"/>
  <c r="T1615" i="2" s="1"/>
  <c r="L1615" i="2"/>
  <c r="R1614" i="2"/>
  <c r="S1614" i="2" s="1"/>
  <c r="Q1614" i="2"/>
  <c r="P1614" i="2"/>
  <c r="O1614" i="2"/>
  <c r="N1614" i="2"/>
  <c r="M1614" i="2"/>
  <c r="T1614" i="2" s="1"/>
  <c r="L1614" i="2"/>
  <c r="R1613" i="2"/>
  <c r="Q1613" i="2"/>
  <c r="S1613" i="2" s="1"/>
  <c r="P1613" i="2"/>
  <c r="O1613" i="2"/>
  <c r="N1613" i="2"/>
  <c r="M1613" i="2"/>
  <c r="T1613" i="2" s="1"/>
  <c r="L1613" i="2"/>
  <c r="R1612" i="2"/>
  <c r="S1612" i="2" s="1"/>
  <c r="Q1612" i="2"/>
  <c r="P1612" i="2"/>
  <c r="O1612" i="2"/>
  <c r="N1612" i="2"/>
  <c r="M1612" i="2"/>
  <c r="T1612" i="2" s="1"/>
  <c r="L1612" i="2"/>
  <c r="R1611" i="2"/>
  <c r="Q1611" i="2"/>
  <c r="S1611" i="2" s="1"/>
  <c r="P1611" i="2"/>
  <c r="O1611" i="2"/>
  <c r="N1611" i="2"/>
  <c r="M1611" i="2"/>
  <c r="T1611" i="2" s="1"/>
  <c r="L1611" i="2"/>
  <c r="R1610" i="2"/>
  <c r="Q1610" i="2"/>
  <c r="S1610" i="2" s="1"/>
  <c r="P1610" i="2"/>
  <c r="O1610" i="2"/>
  <c r="N1610" i="2"/>
  <c r="M1610" i="2"/>
  <c r="T1610" i="2" s="1"/>
  <c r="L1610" i="2"/>
  <c r="R1609" i="2"/>
  <c r="Q1609" i="2"/>
  <c r="P1609" i="2"/>
  <c r="O1609" i="2"/>
  <c r="N1609" i="2"/>
  <c r="M1609" i="2"/>
  <c r="T1609" i="2" s="1"/>
  <c r="L1609" i="2"/>
  <c r="R1608" i="2"/>
  <c r="S1608" i="2" s="1"/>
  <c r="Q1608" i="2"/>
  <c r="P1608" i="2"/>
  <c r="O1608" i="2"/>
  <c r="N1608" i="2"/>
  <c r="M1608" i="2"/>
  <c r="T1608" i="2" s="1"/>
  <c r="L1608" i="2"/>
  <c r="R1607" i="2"/>
  <c r="Q1607" i="2"/>
  <c r="S1607" i="2" s="1"/>
  <c r="P1607" i="2"/>
  <c r="O1607" i="2"/>
  <c r="N1607" i="2"/>
  <c r="M1607" i="2"/>
  <c r="T1607" i="2" s="1"/>
  <c r="L1607" i="2"/>
  <c r="R1606" i="2"/>
  <c r="Q1606" i="2"/>
  <c r="S1606" i="2" s="1"/>
  <c r="P1606" i="2"/>
  <c r="O1606" i="2"/>
  <c r="N1606" i="2"/>
  <c r="M1606" i="2"/>
  <c r="T1606" i="2" s="1"/>
  <c r="L1606" i="2"/>
  <c r="R1605" i="2"/>
  <c r="Q1605" i="2"/>
  <c r="S1605" i="2" s="1"/>
  <c r="P1605" i="2"/>
  <c r="O1605" i="2"/>
  <c r="N1605" i="2"/>
  <c r="M1605" i="2"/>
  <c r="T1605" i="2" s="1"/>
  <c r="L1605" i="2"/>
  <c r="R1604" i="2"/>
  <c r="S1604" i="2" s="1"/>
  <c r="Q1604" i="2"/>
  <c r="P1604" i="2"/>
  <c r="O1604" i="2"/>
  <c r="N1604" i="2"/>
  <c r="M1604" i="2"/>
  <c r="T1604" i="2" s="1"/>
  <c r="L1604" i="2"/>
  <c r="R1603" i="2"/>
  <c r="Q1603" i="2"/>
  <c r="S1603" i="2" s="1"/>
  <c r="P1603" i="2"/>
  <c r="O1603" i="2"/>
  <c r="N1603" i="2"/>
  <c r="M1603" i="2"/>
  <c r="T1603" i="2" s="1"/>
  <c r="L1603" i="2"/>
  <c r="R1602" i="2"/>
  <c r="Q1602" i="2"/>
  <c r="P1602" i="2"/>
  <c r="O1602" i="2"/>
  <c r="N1602" i="2"/>
  <c r="M1602" i="2"/>
  <c r="T1602" i="2" s="1"/>
  <c r="L1602" i="2"/>
  <c r="T1601" i="2"/>
  <c r="R1601" i="2"/>
  <c r="Q1601" i="2"/>
  <c r="P1601" i="2"/>
  <c r="O1601" i="2"/>
  <c r="N1601" i="2"/>
  <c r="M1601" i="2"/>
  <c r="L1601" i="2"/>
  <c r="R1600" i="2"/>
  <c r="Q1600" i="2"/>
  <c r="S1600" i="2" s="1"/>
  <c r="P1600" i="2"/>
  <c r="O1600" i="2"/>
  <c r="N1600" i="2"/>
  <c r="M1600" i="2"/>
  <c r="T1600" i="2" s="1"/>
  <c r="L1600" i="2"/>
  <c r="R1599" i="2"/>
  <c r="S1599" i="2" s="1"/>
  <c r="Q1599" i="2"/>
  <c r="P1599" i="2"/>
  <c r="O1599" i="2"/>
  <c r="N1599" i="2"/>
  <c r="M1599" i="2"/>
  <c r="T1599" i="2" s="1"/>
  <c r="L1599" i="2"/>
  <c r="T1598" i="2"/>
  <c r="R1598" i="2"/>
  <c r="Q1598" i="2"/>
  <c r="P1598" i="2"/>
  <c r="O1598" i="2"/>
  <c r="N1598" i="2"/>
  <c r="M1598" i="2"/>
  <c r="L1598" i="2"/>
  <c r="R1597" i="2"/>
  <c r="Q1597" i="2"/>
  <c r="S1597" i="2" s="1"/>
  <c r="P1597" i="2"/>
  <c r="O1597" i="2"/>
  <c r="N1597" i="2"/>
  <c r="M1597" i="2"/>
  <c r="T1597" i="2" s="1"/>
  <c r="L1597" i="2"/>
  <c r="R1596" i="2"/>
  <c r="Q1596" i="2"/>
  <c r="P1596" i="2"/>
  <c r="O1596" i="2"/>
  <c r="N1596" i="2"/>
  <c r="M1596" i="2"/>
  <c r="T1596" i="2" s="1"/>
  <c r="L1596" i="2"/>
  <c r="R1595" i="2"/>
  <c r="Q1595" i="2"/>
  <c r="S1595" i="2" s="1"/>
  <c r="P1595" i="2"/>
  <c r="O1595" i="2"/>
  <c r="N1595" i="2"/>
  <c r="M1595" i="2"/>
  <c r="T1595" i="2" s="1"/>
  <c r="L1595" i="2"/>
  <c r="R1594" i="2"/>
  <c r="Q1594" i="2"/>
  <c r="S1594" i="2" s="1"/>
  <c r="P1594" i="2"/>
  <c r="O1594" i="2"/>
  <c r="N1594" i="2"/>
  <c r="M1594" i="2"/>
  <c r="T1594" i="2" s="1"/>
  <c r="L1594" i="2"/>
  <c r="R1593" i="2"/>
  <c r="Q1593" i="2"/>
  <c r="S1593" i="2" s="1"/>
  <c r="P1593" i="2"/>
  <c r="O1593" i="2"/>
  <c r="N1593" i="2"/>
  <c r="M1593" i="2"/>
  <c r="T1593" i="2" s="1"/>
  <c r="L1593" i="2"/>
  <c r="R1592" i="2"/>
  <c r="Q1592" i="2"/>
  <c r="S1592" i="2" s="1"/>
  <c r="P1592" i="2"/>
  <c r="O1592" i="2"/>
  <c r="N1592" i="2"/>
  <c r="M1592" i="2"/>
  <c r="T1592" i="2" s="1"/>
  <c r="L1592" i="2"/>
  <c r="S1591" i="2"/>
  <c r="R1591" i="2"/>
  <c r="Q1591" i="2"/>
  <c r="P1591" i="2"/>
  <c r="O1591" i="2"/>
  <c r="N1591" i="2"/>
  <c r="M1591" i="2"/>
  <c r="T1591" i="2" s="1"/>
  <c r="L1591" i="2"/>
  <c r="R1590" i="2"/>
  <c r="Q1590" i="2"/>
  <c r="S1590" i="2" s="1"/>
  <c r="P1590" i="2"/>
  <c r="O1590" i="2"/>
  <c r="N1590" i="2"/>
  <c r="M1590" i="2"/>
  <c r="T1590" i="2" s="1"/>
  <c r="L1590" i="2"/>
  <c r="R1589" i="2"/>
  <c r="Q1589" i="2"/>
  <c r="P1589" i="2"/>
  <c r="O1589" i="2"/>
  <c r="N1589" i="2"/>
  <c r="M1589" i="2"/>
  <c r="T1589" i="2" s="1"/>
  <c r="L1589" i="2"/>
  <c r="R1588" i="2"/>
  <c r="Q1588" i="2"/>
  <c r="S1588" i="2" s="1"/>
  <c r="P1588" i="2"/>
  <c r="O1588" i="2"/>
  <c r="N1588" i="2"/>
  <c r="M1588" i="2"/>
  <c r="T1588" i="2" s="1"/>
  <c r="L1588" i="2"/>
  <c r="R1587" i="2"/>
  <c r="S1587" i="2" s="1"/>
  <c r="Q1587" i="2"/>
  <c r="P1587" i="2"/>
  <c r="O1587" i="2"/>
  <c r="N1587" i="2"/>
  <c r="M1587" i="2"/>
  <c r="T1587" i="2" s="1"/>
  <c r="L1587" i="2"/>
  <c r="S1586" i="2"/>
  <c r="R1586" i="2"/>
  <c r="Q1586" i="2"/>
  <c r="P1586" i="2"/>
  <c r="O1586" i="2"/>
  <c r="N1586" i="2"/>
  <c r="M1586" i="2"/>
  <c r="T1586" i="2" s="1"/>
  <c r="L1586" i="2"/>
  <c r="R1585" i="2"/>
  <c r="Q1585" i="2"/>
  <c r="P1585" i="2"/>
  <c r="O1585" i="2"/>
  <c r="N1585" i="2"/>
  <c r="M1585" i="2"/>
  <c r="T1585" i="2" s="1"/>
  <c r="L1585" i="2"/>
  <c r="S1584" i="2"/>
  <c r="R1584" i="2"/>
  <c r="Q1584" i="2"/>
  <c r="P1584" i="2"/>
  <c r="O1584" i="2"/>
  <c r="N1584" i="2"/>
  <c r="M1584" i="2"/>
  <c r="T1584" i="2" s="1"/>
  <c r="L1584" i="2"/>
  <c r="R1583" i="2"/>
  <c r="S1583" i="2" s="1"/>
  <c r="Q1583" i="2"/>
  <c r="P1583" i="2"/>
  <c r="O1583" i="2"/>
  <c r="N1583" i="2"/>
  <c r="M1583" i="2"/>
  <c r="T1583" i="2" s="1"/>
  <c r="L1583" i="2"/>
  <c r="R1582" i="2"/>
  <c r="S1582" i="2" s="1"/>
  <c r="Q1582" i="2"/>
  <c r="P1582" i="2"/>
  <c r="O1582" i="2"/>
  <c r="N1582" i="2"/>
  <c r="M1582" i="2"/>
  <c r="T1582" i="2" s="1"/>
  <c r="L1582" i="2"/>
  <c r="S1581" i="2"/>
  <c r="R1581" i="2"/>
  <c r="Q1581" i="2"/>
  <c r="P1581" i="2"/>
  <c r="O1581" i="2"/>
  <c r="N1581" i="2"/>
  <c r="M1581" i="2"/>
  <c r="T1581" i="2" s="1"/>
  <c r="L1581" i="2"/>
  <c r="R1580" i="2"/>
  <c r="Q1580" i="2"/>
  <c r="S1580" i="2" s="1"/>
  <c r="P1580" i="2"/>
  <c r="O1580" i="2"/>
  <c r="N1580" i="2"/>
  <c r="M1580" i="2"/>
  <c r="T1580" i="2" s="1"/>
  <c r="L1580" i="2"/>
  <c r="R1579" i="2"/>
  <c r="S1579" i="2" s="1"/>
  <c r="Q1579" i="2"/>
  <c r="P1579" i="2"/>
  <c r="O1579" i="2"/>
  <c r="N1579" i="2"/>
  <c r="M1579" i="2"/>
  <c r="T1579" i="2" s="1"/>
  <c r="L1579" i="2"/>
  <c r="R1578" i="2"/>
  <c r="S1578" i="2" s="1"/>
  <c r="Q1578" i="2"/>
  <c r="P1578" i="2"/>
  <c r="O1578" i="2"/>
  <c r="N1578" i="2"/>
  <c r="M1578" i="2"/>
  <c r="T1578" i="2" s="1"/>
  <c r="L1578" i="2"/>
  <c r="T1577" i="2"/>
  <c r="R1577" i="2"/>
  <c r="Q1577" i="2"/>
  <c r="S1577" i="2" s="1"/>
  <c r="P1577" i="2"/>
  <c r="O1577" i="2"/>
  <c r="N1577" i="2"/>
  <c r="M1577" i="2"/>
  <c r="L1577" i="2"/>
  <c r="R1576" i="2"/>
  <c r="Q1576" i="2"/>
  <c r="P1576" i="2"/>
  <c r="O1576" i="2"/>
  <c r="N1576" i="2"/>
  <c r="M1576" i="2"/>
  <c r="T1576" i="2" s="1"/>
  <c r="L1576" i="2"/>
  <c r="R1575" i="2"/>
  <c r="S1575" i="2" s="1"/>
  <c r="Q1575" i="2"/>
  <c r="P1575" i="2"/>
  <c r="O1575" i="2"/>
  <c r="N1575" i="2"/>
  <c r="M1575" i="2"/>
  <c r="T1575" i="2" s="1"/>
  <c r="L1575" i="2"/>
  <c r="R1574" i="2"/>
  <c r="Q1574" i="2"/>
  <c r="P1574" i="2"/>
  <c r="O1574" i="2"/>
  <c r="N1574" i="2"/>
  <c r="M1574" i="2"/>
  <c r="T1574" i="2" s="1"/>
  <c r="L1574" i="2"/>
  <c r="R1573" i="2"/>
  <c r="S1573" i="2" s="1"/>
  <c r="Q1573" i="2"/>
  <c r="P1573" i="2"/>
  <c r="O1573" i="2"/>
  <c r="N1573" i="2"/>
  <c r="M1573" i="2"/>
  <c r="T1573" i="2" s="1"/>
  <c r="L1573" i="2"/>
  <c r="R1572" i="2"/>
  <c r="Q1572" i="2"/>
  <c r="S1572" i="2" s="1"/>
  <c r="P1572" i="2"/>
  <c r="O1572" i="2"/>
  <c r="N1572" i="2"/>
  <c r="M1572" i="2"/>
  <c r="T1572" i="2" s="1"/>
  <c r="L1572" i="2"/>
  <c r="S1571" i="2"/>
  <c r="R1571" i="2"/>
  <c r="Q1571" i="2"/>
  <c r="P1571" i="2"/>
  <c r="O1571" i="2"/>
  <c r="N1571" i="2"/>
  <c r="M1571" i="2"/>
  <c r="T1571" i="2" s="1"/>
  <c r="L1571" i="2"/>
  <c r="T1570" i="2"/>
  <c r="R1570" i="2"/>
  <c r="Q1570" i="2"/>
  <c r="P1570" i="2"/>
  <c r="O1570" i="2"/>
  <c r="N1570" i="2"/>
  <c r="M1570" i="2"/>
  <c r="L1570" i="2"/>
  <c r="R1569" i="2"/>
  <c r="Q1569" i="2"/>
  <c r="S1569" i="2" s="1"/>
  <c r="P1569" i="2"/>
  <c r="O1569" i="2"/>
  <c r="N1569" i="2"/>
  <c r="M1569" i="2"/>
  <c r="T1569" i="2" s="1"/>
  <c r="L1569" i="2"/>
  <c r="R1568" i="2"/>
  <c r="Q1568" i="2"/>
  <c r="P1568" i="2"/>
  <c r="O1568" i="2"/>
  <c r="N1568" i="2"/>
  <c r="M1568" i="2"/>
  <c r="T1568" i="2" s="1"/>
  <c r="L1568" i="2"/>
  <c r="R1567" i="2"/>
  <c r="S1567" i="2" s="1"/>
  <c r="Q1567" i="2"/>
  <c r="P1567" i="2"/>
  <c r="O1567" i="2"/>
  <c r="N1567" i="2"/>
  <c r="M1567" i="2"/>
  <c r="T1567" i="2" s="1"/>
  <c r="L1567" i="2"/>
  <c r="R1566" i="2"/>
  <c r="Q1566" i="2"/>
  <c r="P1566" i="2"/>
  <c r="O1566" i="2"/>
  <c r="N1566" i="2"/>
  <c r="M1566" i="2"/>
  <c r="T1566" i="2" s="1"/>
  <c r="L1566" i="2"/>
  <c r="R1565" i="2"/>
  <c r="Q1565" i="2"/>
  <c r="S1565" i="2" s="1"/>
  <c r="P1565" i="2"/>
  <c r="O1565" i="2"/>
  <c r="N1565" i="2"/>
  <c r="M1565" i="2"/>
  <c r="T1565" i="2" s="1"/>
  <c r="L1565" i="2"/>
  <c r="R1564" i="2"/>
  <c r="Q1564" i="2"/>
  <c r="S1564" i="2" s="1"/>
  <c r="P1564" i="2"/>
  <c r="O1564" i="2"/>
  <c r="N1564" i="2"/>
  <c r="M1564" i="2"/>
  <c r="T1564" i="2" s="1"/>
  <c r="L1564" i="2"/>
  <c r="R1563" i="2"/>
  <c r="Q1563" i="2"/>
  <c r="S1563" i="2" s="1"/>
  <c r="P1563" i="2"/>
  <c r="O1563" i="2"/>
  <c r="N1563" i="2"/>
  <c r="M1563" i="2"/>
  <c r="T1563" i="2" s="1"/>
  <c r="L1563" i="2"/>
  <c r="R1562" i="2"/>
  <c r="Q1562" i="2"/>
  <c r="S1562" i="2" s="1"/>
  <c r="P1562" i="2"/>
  <c r="O1562" i="2"/>
  <c r="N1562" i="2"/>
  <c r="M1562" i="2"/>
  <c r="T1562" i="2" s="1"/>
  <c r="L1562" i="2"/>
  <c r="R1561" i="2"/>
  <c r="Q1561" i="2"/>
  <c r="S1561" i="2" s="1"/>
  <c r="P1561" i="2"/>
  <c r="O1561" i="2"/>
  <c r="N1561" i="2"/>
  <c r="M1561" i="2"/>
  <c r="T1561" i="2" s="1"/>
  <c r="L1561" i="2"/>
  <c r="R1560" i="2"/>
  <c r="Q1560" i="2"/>
  <c r="P1560" i="2"/>
  <c r="O1560" i="2"/>
  <c r="N1560" i="2"/>
  <c r="M1560" i="2"/>
  <c r="T1560" i="2" s="1"/>
  <c r="L1560" i="2"/>
  <c r="S1559" i="2"/>
  <c r="R1559" i="2"/>
  <c r="Q1559" i="2"/>
  <c r="P1559" i="2"/>
  <c r="O1559" i="2"/>
  <c r="N1559" i="2"/>
  <c r="M1559" i="2"/>
  <c r="T1559" i="2" s="1"/>
  <c r="L1559" i="2"/>
  <c r="R1558" i="2"/>
  <c r="Q1558" i="2"/>
  <c r="P1558" i="2"/>
  <c r="O1558" i="2"/>
  <c r="N1558" i="2"/>
  <c r="M1558" i="2"/>
  <c r="T1558" i="2" s="1"/>
  <c r="L1558" i="2"/>
  <c r="R1557" i="2"/>
  <c r="S1557" i="2" s="1"/>
  <c r="Q1557" i="2"/>
  <c r="P1557" i="2"/>
  <c r="O1557" i="2"/>
  <c r="N1557" i="2"/>
  <c r="M1557" i="2"/>
  <c r="T1557" i="2" s="1"/>
  <c r="L1557" i="2"/>
  <c r="S1556" i="2"/>
  <c r="R1556" i="2"/>
  <c r="Q1556" i="2"/>
  <c r="P1556" i="2"/>
  <c r="O1556" i="2"/>
  <c r="N1556" i="2"/>
  <c r="M1556" i="2"/>
  <c r="T1556" i="2" s="1"/>
  <c r="L1556" i="2"/>
  <c r="R1555" i="2"/>
  <c r="Q1555" i="2"/>
  <c r="P1555" i="2"/>
  <c r="O1555" i="2"/>
  <c r="N1555" i="2"/>
  <c r="M1555" i="2"/>
  <c r="T1555" i="2" s="1"/>
  <c r="L1555" i="2"/>
  <c r="R1554" i="2"/>
  <c r="S1554" i="2" s="1"/>
  <c r="Q1554" i="2"/>
  <c r="P1554" i="2"/>
  <c r="O1554" i="2"/>
  <c r="N1554" i="2"/>
  <c r="M1554" i="2"/>
  <c r="T1554" i="2" s="1"/>
  <c r="L1554" i="2"/>
  <c r="R1553" i="2"/>
  <c r="S1553" i="2" s="1"/>
  <c r="Q1553" i="2"/>
  <c r="P1553" i="2"/>
  <c r="O1553" i="2"/>
  <c r="N1553" i="2"/>
  <c r="M1553" i="2"/>
  <c r="T1553" i="2" s="1"/>
  <c r="L1553" i="2"/>
  <c r="R1552" i="2"/>
  <c r="Q1552" i="2"/>
  <c r="S1552" i="2" s="1"/>
  <c r="P1552" i="2"/>
  <c r="O1552" i="2"/>
  <c r="N1552" i="2"/>
  <c r="M1552" i="2"/>
  <c r="T1552" i="2" s="1"/>
  <c r="L1552" i="2"/>
  <c r="R1551" i="2"/>
  <c r="Q1551" i="2"/>
  <c r="S1551" i="2" s="1"/>
  <c r="P1551" i="2"/>
  <c r="O1551" i="2"/>
  <c r="N1551" i="2"/>
  <c r="M1551" i="2"/>
  <c r="T1551" i="2" s="1"/>
  <c r="L1551" i="2"/>
  <c r="S1550" i="2"/>
  <c r="R1550" i="2"/>
  <c r="Q1550" i="2"/>
  <c r="P1550" i="2"/>
  <c r="O1550" i="2"/>
  <c r="N1550" i="2"/>
  <c r="M1550" i="2"/>
  <c r="T1550" i="2" s="1"/>
  <c r="L1550" i="2"/>
  <c r="T1549" i="2"/>
  <c r="R1549" i="2"/>
  <c r="S1549" i="2" s="1"/>
  <c r="Q1549" i="2"/>
  <c r="P1549" i="2"/>
  <c r="O1549" i="2"/>
  <c r="N1549" i="2"/>
  <c r="M1549" i="2"/>
  <c r="L1549" i="2"/>
  <c r="R1548" i="2"/>
  <c r="Q1548" i="2"/>
  <c r="P1548" i="2"/>
  <c r="O1548" i="2"/>
  <c r="N1548" i="2"/>
  <c r="M1548" i="2"/>
  <c r="T1548" i="2" s="1"/>
  <c r="L1548" i="2"/>
  <c r="R1547" i="2"/>
  <c r="Q1547" i="2"/>
  <c r="P1547" i="2"/>
  <c r="O1547" i="2"/>
  <c r="N1547" i="2"/>
  <c r="M1547" i="2"/>
  <c r="T1547" i="2" s="1"/>
  <c r="L1547" i="2"/>
  <c r="R1546" i="2"/>
  <c r="Q1546" i="2"/>
  <c r="P1546" i="2"/>
  <c r="O1546" i="2"/>
  <c r="N1546" i="2"/>
  <c r="M1546" i="2"/>
  <c r="T1546" i="2" s="1"/>
  <c r="L1546" i="2"/>
  <c r="R1545" i="2"/>
  <c r="Q1545" i="2"/>
  <c r="P1545" i="2"/>
  <c r="O1545" i="2"/>
  <c r="N1545" i="2"/>
  <c r="M1545" i="2"/>
  <c r="T1545" i="2" s="1"/>
  <c r="L1545" i="2"/>
  <c r="R1544" i="2"/>
  <c r="Q1544" i="2"/>
  <c r="S1544" i="2" s="1"/>
  <c r="P1544" i="2"/>
  <c r="O1544" i="2"/>
  <c r="N1544" i="2"/>
  <c r="M1544" i="2"/>
  <c r="T1544" i="2" s="1"/>
  <c r="L1544" i="2"/>
  <c r="R1543" i="2"/>
  <c r="Q1543" i="2"/>
  <c r="S1543" i="2" s="1"/>
  <c r="P1543" i="2"/>
  <c r="O1543" i="2"/>
  <c r="N1543" i="2"/>
  <c r="M1543" i="2"/>
  <c r="T1543" i="2" s="1"/>
  <c r="L1543" i="2"/>
  <c r="R1542" i="2"/>
  <c r="Q1542" i="2"/>
  <c r="P1542" i="2"/>
  <c r="O1542" i="2"/>
  <c r="N1542" i="2"/>
  <c r="M1542" i="2"/>
  <c r="T1542" i="2" s="1"/>
  <c r="L1542" i="2"/>
  <c r="R1541" i="2"/>
  <c r="Q1541" i="2"/>
  <c r="S1541" i="2" s="1"/>
  <c r="P1541" i="2"/>
  <c r="O1541" i="2"/>
  <c r="N1541" i="2"/>
  <c r="M1541" i="2"/>
  <c r="T1541" i="2" s="1"/>
  <c r="L1541" i="2"/>
  <c r="R1540" i="2"/>
  <c r="Q1540" i="2"/>
  <c r="S1540" i="2" s="1"/>
  <c r="P1540" i="2"/>
  <c r="O1540" i="2"/>
  <c r="N1540" i="2"/>
  <c r="M1540" i="2"/>
  <c r="T1540" i="2" s="1"/>
  <c r="L1540" i="2"/>
  <c r="R1539" i="2"/>
  <c r="Q1539" i="2"/>
  <c r="S1539" i="2" s="1"/>
  <c r="P1539" i="2"/>
  <c r="O1539" i="2"/>
  <c r="N1539" i="2"/>
  <c r="M1539" i="2"/>
  <c r="T1539" i="2" s="1"/>
  <c r="L1539" i="2"/>
  <c r="R1538" i="2"/>
  <c r="Q1538" i="2"/>
  <c r="P1538" i="2"/>
  <c r="O1538" i="2"/>
  <c r="N1538" i="2"/>
  <c r="M1538" i="2"/>
  <c r="T1538" i="2" s="1"/>
  <c r="L1538" i="2"/>
  <c r="R1537" i="2"/>
  <c r="Q1537" i="2"/>
  <c r="P1537" i="2"/>
  <c r="O1537" i="2"/>
  <c r="N1537" i="2"/>
  <c r="M1537" i="2"/>
  <c r="T1537" i="2" s="1"/>
  <c r="L1537" i="2"/>
  <c r="R1536" i="2"/>
  <c r="Q1536" i="2"/>
  <c r="P1536" i="2"/>
  <c r="O1536" i="2"/>
  <c r="N1536" i="2"/>
  <c r="M1536" i="2"/>
  <c r="T1536" i="2" s="1"/>
  <c r="L1536" i="2"/>
  <c r="R1535" i="2"/>
  <c r="Q1535" i="2"/>
  <c r="S1535" i="2" s="1"/>
  <c r="P1535" i="2"/>
  <c r="O1535" i="2"/>
  <c r="N1535" i="2"/>
  <c r="M1535" i="2"/>
  <c r="T1535" i="2" s="1"/>
  <c r="L1535" i="2"/>
  <c r="R1534" i="2"/>
  <c r="Q1534" i="2"/>
  <c r="P1534" i="2"/>
  <c r="O1534" i="2"/>
  <c r="N1534" i="2"/>
  <c r="M1534" i="2"/>
  <c r="T1534" i="2" s="1"/>
  <c r="L1534" i="2"/>
  <c r="S1533" i="2"/>
  <c r="R1533" i="2"/>
  <c r="Q1533" i="2"/>
  <c r="P1533" i="2"/>
  <c r="O1533" i="2"/>
  <c r="N1533" i="2"/>
  <c r="M1533" i="2"/>
  <c r="T1533" i="2" s="1"/>
  <c r="L1533" i="2"/>
  <c r="R1532" i="2"/>
  <c r="Q1532" i="2"/>
  <c r="P1532" i="2"/>
  <c r="O1532" i="2"/>
  <c r="N1532" i="2"/>
  <c r="M1532" i="2"/>
  <c r="T1532" i="2" s="1"/>
  <c r="L1532" i="2"/>
  <c r="R1531" i="2"/>
  <c r="Q1531" i="2"/>
  <c r="S1531" i="2" s="1"/>
  <c r="P1531" i="2"/>
  <c r="O1531" i="2"/>
  <c r="N1531" i="2"/>
  <c r="M1531" i="2"/>
  <c r="T1531" i="2" s="1"/>
  <c r="L1531" i="2"/>
  <c r="R1530" i="2"/>
  <c r="S1530" i="2" s="1"/>
  <c r="Q1530" i="2"/>
  <c r="P1530" i="2"/>
  <c r="O1530" i="2"/>
  <c r="N1530" i="2"/>
  <c r="M1530" i="2"/>
  <c r="T1530" i="2" s="1"/>
  <c r="L1530" i="2"/>
  <c r="T1529" i="2"/>
  <c r="R1529" i="2"/>
  <c r="Q1529" i="2"/>
  <c r="P1529" i="2"/>
  <c r="O1529" i="2"/>
  <c r="N1529" i="2"/>
  <c r="M1529" i="2"/>
  <c r="L1529" i="2"/>
  <c r="R1528" i="2"/>
  <c r="Q1528" i="2"/>
  <c r="P1528" i="2"/>
  <c r="O1528" i="2"/>
  <c r="N1528" i="2"/>
  <c r="M1528" i="2"/>
  <c r="T1528" i="2" s="1"/>
  <c r="L1528" i="2"/>
  <c r="R1527" i="2"/>
  <c r="S1527" i="2" s="1"/>
  <c r="Q1527" i="2"/>
  <c r="P1527" i="2"/>
  <c r="O1527" i="2"/>
  <c r="N1527" i="2"/>
  <c r="M1527" i="2"/>
  <c r="T1527" i="2" s="1"/>
  <c r="L1527" i="2"/>
  <c r="T1526" i="2"/>
  <c r="S1526" i="2"/>
  <c r="R1526" i="2"/>
  <c r="Q1526" i="2"/>
  <c r="P1526" i="2"/>
  <c r="O1526" i="2"/>
  <c r="N1526" i="2"/>
  <c r="M1526" i="2"/>
  <c r="L1526" i="2"/>
  <c r="R1525" i="2"/>
  <c r="Q1525" i="2"/>
  <c r="P1525" i="2"/>
  <c r="O1525" i="2"/>
  <c r="N1525" i="2"/>
  <c r="M1525" i="2"/>
  <c r="T1525" i="2" s="1"/>
  <c r="L1525" i="2"/>
  <c r="R1524" i="2"/>
  <c r="Q1524" i="2"/>
  <c r="P1524" i="2"/>
  <c r="O1524" i="2"/>
  <c r="N1524" i="2"/>
  <c r="M1524" i="2"/>
  <c r="T1524" i="2" s="1"/>
  <c r="L1524" i="2"/>
  <c r="S1523" i="2"/>
  <c r="R1523" i="2"/>
  <c r="Q1523" i="2"/>
  <c r="P1523" i="2"/>
  <c r="O1523" i="2"/>
  <c r="N1523" i="2"/>
  <c r="M1523" i="2"/>
  <c r="T1523" i="2" s="1"/>
  <c r="L1523" i="2"/>
  <c r="R1522" i="2"/>
  <c r="Q1522" i="2"/>
  <c r="P1522" i="2"/>
  <c r="O1522" i="2"/>
  <c r="N1522" i="2"/>
  <c r="M1522" i="2"/>
  <c r="T1522" i="2" s="1"/>
  <c r="L1522" i="2"/>
  <c r="R1521" i="2"/>
  <c r="Q1521" i="2"/>
  <c r="P1521" i="2"/>
  <c r="O1521" i="2"/>
  <c r="N1521" i="2"/>
  <c r="M1521" i="2"/>
  <c r="T1521" i="2" s="1"/>
  <c r="L1521" i="2"/>
  <c r="R1520" i="2"/>
  <c r="Q1520" i="2"/>
  <c r="P1520" i="2"/>
  <c r="O1520" i="2"/>
  <c r="N1520" i="2"/>
  <c r="M1520" i="2"/>
  <c r="T1520" i="2" s="1"/>
  <c r="L1520" i="2"/>
  <c r="R1519" i="2"/>
  <c r="Q1519" i="2"/>
  <c r="S1519" i="2" s="1"/>
  <c r="P1519" i="2"/>
  <c r="O1519" i="2"/>
  <c r="N1519" i="2"/>
  <c r="M1519" i="2"/>
  <c r="T1519" i="2" s="1"/>
  <c r="L1519" i="2"/>
  <c r="R1518" i="2"/>
  <c r="S1518" i="2" s="1"/>
  <c r="Q1518" i="2"/>
  <c r="P1518" i="2"/>
  <c r="O1518" i="2"/>
  <c r="N1518" i="2"/>
  <c r="M1518" i="2"/>
  <c r="T1518" i="2" s="1"/>
  <c r="L1518" i="2"/>
  <c r="R1517" i="2"/>
  <c r="Q1517" i="2"/>
  <c r="P1517" i="2"/>
  <c r="O1517" i="2"/>
  <c r="N1517" i="2"/>
  <c r="M1517" i="2"/>
  <c r="T1517" i="2" s="1"/>
  <c r="L1517" i="2"/>
  <c r="R1516" i="2"/>
  <c r="Q1516" i="2"/>
  <c r="S1516" i="2" s="1"/>
  <c r="P1516" i="2"/>
  <c r="O1516" i="2"/>
  <c r="N1516" i="2"/>
  <c r="M1516" i="2"/>
  <c r="T1516" i="2" s="1"/>
  <c r="L1516" i="2"/>
  <c r="R1515" i="2"/>
  <c r="Q1515" i="2"/>
  <c r="S1515" i="2" s="1"/>
  <c r="P1515" i="2"/>
  <c r="O1515" i="2"/>
  <c r="N1515" i="2"/>
  <c r="M1515" i="2"/>
  <c r="T1515" i="2" s="1"/>
  <c r="L1515" i="2"/>
  <c r="R1514" i="2"/>
  <c r="S1514" i="2" s="1"/>
  <c r="Q1514" i="2"/>
  <c r="P1514" i="2"/>
  <c r="O1514" i="2"/>
  <c r="N1514" i="2"/>
  <c r="M1514" i="2"/>
  <c r="T1514" i="2" s="1"/>
  <c r="L1514" i="2"/>
  <c r="R1513" i="2"/>
  <c r="Q1513" i="2"/>
  <c r="S1513" i="2" s="1"/>
  <c r="P1513" i="2"/>
  <c r="O1513" i="2"/>
  <c r="N1513" i="2"/>
  <c r="M1513" i="2"/>
  <c r="T1513" i="2" s="1"/>
  <c r="L1513" i="2"/>
  <c r="S1512" i="2"/>
  <c r="R1512" i="2"/>
  <c r="Q1512" i="2"/>
  <c r="P1512" i="2"/>
  <c r="O1512" i="2"/>
  <c r="N1512" i="2"/>
  <c r="M1512" i="2"/>
  <c r="T1512" i="2" s="1"/>
  <c r="L1512" i="2"/>
  <c r="S1511" i="2"/>
  <c r="R1511" i="2"/>
  <c r="Q1511" i="2"/>
  <c r="P1511" i="2"/>
  <c r="O1511" i="2"/>
  <c r="N1511" i="2"/>
  <c r="M1511" i="2"/>
  <c r="T1511" i="2" s="1"/>
  <c r="L1511" i="2"/>
  <c r="R1510" i="2"/>
  <c r="S1510" i="2" s="1"/>
  <c r="Q1510" i="2"/>
  <c r="P1510" i="2"/>
  <c r="O1510" i="2"/>
  <c r="N1510" i="2"/>
  <c r="M1510" i="2"/>
  <c r="T1510" i="2" s="1"/>
  <c r="L1510" i="2"/>
  <c r="T1509" i="2"/>
  <c r="S1509" i="2"/>
  <c r="R1509" i="2"/>
  <c r="Q1509" i="2"/>
  <c r="P1509" i="2"/>
  <c r="O1509" i="2"/>
  <c r="N1509" i="2"/>
  <c r="M1509" i="2"/>
  <c r="L1509" i="2"/>
  <c r="R1508" i="2"/>
  <c r="Q1508" i="2"/>
  <c r="P1508" i="2"/>
  <c r="O1508" i="2"/>
  <c r="N1508" i="2"/>
  <c r="M1508" i="2"/>
  <c r="T1508" i="2" s="1"/>
  <c r="L1508" i="2"/>
  <c r="R1507" i="2"/>
  <c r="S1507" i="2" s="1"/>
  <c r="Q1507" i="2"/>
  <c r="P1507" i="2"/>
  <c r="O1507" i="2"/>
  <c r="N1507" i="2"/>
  <c r="M1507" i="2"/>
  <c r="T1507" i="2" s="1"/>
  <c r="L1507" i="2"/>
  <c r="T1506" i="2"/>
  <c r="R1506" i="2"/>
  <c r="S1506" i="2" s="1"/>
  <c r="Q1506" i="2"/>
  <c r="P1506" i="2"/>
  <c r="O1506" i="2"/>
  <c r="N1506" i="2"/>
  <c r="M1506" i="2"/>
  <c r="L1506" i="2"/>
  <c r="R1505" i="2"/>
  <c r="Q1505" i="2"/>
  <c r="P1505" i="2"/>
  <c r="O1505" i="2"/>
  <c r="N1505" i="2"/>
  <c r="M1505" i="2"/>
  <c r="T1505" i="2" s="1"/>
  <c r="L1505" i="2"/>
  <c r="S1504" i="2"/>
  <c r="R1504" i="2"/>
  <c r="Q1504" i="2"/>
  <c r="P1504" i="2"/>
  <c r="O1504" i="2"/>
  <c r="N1504" i="2"/>
  <c r="M1504" i="2"/>
  <c r="T1504" i="2" s="1"/>
  <c r="L1504" i="2"/>
  <c r="R1503" i="2"/>
  <c r="Q1503" i="2"/>
  <c r="S1503" i="2" s="1"/>
  <c r="P1503" i="2"/>
  <c r="O1503" i="2"/>
  <c r="N1503" i="2"/>
  <c r="M1503" i="2"/>
  <c r="T1503" i="2" s="1"/>
  <c r="L1503" i="2"/>
  <c r="R1502" i="2"/>
  <c r="Q1502" i="2"/>
  <c r="P1502" i="2"/>
  <c r="O1502" i="2"/>
  <c r="N1502" i="2"/>
  <c r="M1502" i="2"/>
  <c r="T1502" i="2" s="1"/>
  <c r="L1502" i="2"/>
  <c r="R1501" i="2"/>
  <c r="Q1501" i="2"/>
  <c r="P1501" i="2"/>
  <c r="O1501" i="2"/>
  <c r="N1501" i="2"/>
  <c r="M1501" i="2"/>
  <c r="T1501" i="2" s="1"/>
  <c r="L1501" i="2"/>
  <c r="R1500" i="2"/>
  <c r="Q1500" i="2"/>
  <c r="P1500" i="2"/>
  <c r="O1500" i="2"/>
  <c r="N1500" i="2"/>
  <c r="M1500" i="2"/>
  <c r="T1500" i="2" s="1"/>
  <c r="L1500" i="2"/>
  <c r="R1499" i="2"/>
  <c r="Q1499" i="2"/>
  <c r="S1499" i="2" s="1"/>
  <c r="P1499" i="2"/>
  <c r="O1499" i="2"/>
  <c r="N1499" i="2"/>
  <c r="M1499" i="2"/>
  <c r="T1499" i="2" s="1"/>
  <c r="L1499" i="2"/>
  <c r="R1498" i="2"/>
  <c r="S1498" i="2" s="1"/>
  <c r="Q1498" i="2"/>
  <c r="P1498" i="2"/>
  <c r="O1498" i="2"/>
  <c r="N1498" i="2"/>
  <c r="M1498" i="2"/>
  <c r="T1498" i="2" s="1"/>
  <c r="L1498" i="2"/>
  <c r="R1497" i="2"/>
  <c r="Q1497" i="2"/>
  <c r="P1497" i="2"/>
  <c r="O1497" i="2"/>
  <c r="N1497" i="2"/>
  <c r="M1497" i="2"/>
  <c r="T1497" i="2" s="1"/>
  <c r="L1497" i="2"/>
  <c r="R1496" i="2"/>
  <c r="Q1496" i="2"/>
  <c r="S1496" i="2" s="1"/>
  <c r="P1496" i="2"/>
  <c r="O1496" i="2"/>
  <c r="N1496" i="2"/>
  <c r="M1496" i="2"/>
  <c r="T1496" i="2" s="1"/>
  <c r="L1496" i="2"/>
  <c r="R1495" i="2"/>
  <c r="S1495" i="2" s="1"/>
  <c r="Q1495" i="2"/>
  <c r="P1495" i="2"/>
  <c r="O1495" i="2"/>
  <c r="N1495" i="2"/>
  <c r="M1495" i="2"/>
  <c r="T1495" i="2" s="1"/>
  <c r="L1495" i="2"/>
  <c r="T1494" i="2"/>
  <c r="R1494" i="2"/>
  <c r="Q1494" i="2"/>
  <c r="P1494" i="2"/>
  <c r="O1494" i="2"/>
  <c r="N1494" i="2"/>
  <c r="M1494" i="2"/>
  <c r="L1494" i="2"/>
  <c r="R1493" i="2"/>
  <c r="Q1493" i="2"/>
  <c r="P1493" i="2"/>
  <c r="O1493" i="2"/>
  <c r="N1493" i="2"/>
  <c r="M1493" i="2"/>
  <c r="T1493" i="2" s="1"/>
  <c r="L1493" i="2"/>
  <c r="S1492" i="2"/>
  <c r="R1492" i="2"/>
  <c r="Q1492" i="2"/>
  <c r="P1492" i="2"/>
  <c r="O1492" i="2"/>
  <c r="N1492" i="2"/>
  <c r="M1492" i="2"/>
  <c r="T1492" i="2" s="1"/>
  <c r="L1492" i="2"/>
  <c r="R1491" i="2"/>
  <c r="Q1491" i="2"/>
  <c r="S1491" i="2" s="1"/>
  <c r="P1491" i="2"/>
  <c r="O1491" i="2"/>
  <c r="N1491" i="2"/>
  <c r="M1491" i="2"/>
  <c r="T1491" i="2" s="1"/>
  <c r="L1491" i="2"/>
  <c r="R1490" i="2"/>
  <c r="S1490" i="2" s="1"/>
  <c r="Q1490" i="2"/>
  <c r="P1490" i="2"/>
  <c r="O1490" i="2"/>
  <c r="N1490" i="2"/>
  <c r="M1490" i="2"/>
  <c r="T1490" i="2" s="1"/>
  <c r="L1490" i="2"/>
  <c r="R1489" i="2"/>
  <c r="Q1489" i="2"/>
  <c r="S1489" i="2" s="1"/>
  <c r="P1489" i="2"/>
  <c r="O1489" i="2"/>
  <c r="N1489" i="2"/>
  <c r="M1489" i="2"/>
  <c r="T1489" i="2" s="1"/>
  <c r="L1489" i="2"/>
  <c r="R1488" i="2"/>
  <c r="Q1488" i="2"/>
  <c r="P1488" i="2"/>
  <c r="O1488" i="2"/>
  <c r="N1488" i="2"/>
  <c r="M1488" i="2"/>
  <c r="T1488" i="2" s="1"/>
  <c r="L1488" i="2"/>
  <c r="R1487" i="2"/>
  <c r="S1487" i="2" s="1"/>
  <c r="Q1487" i="2"/>
  <c r="P1487" i="2"/>
  <c r="O1487" i="2"/>
  <c r="N1487" i="2"/>
  <c r="M1487" i="2"/>
  <c r="T1487" i="2" s="1"/>
  <c r="L1487" i="2"/>
  <c r="R1486" i="2"/>
  <c r="Q1486" i="2"/>
  <c r="P1486" i="2"/>
  <c r="O1486" i="2"/>
  <c r="N1486" i="2"/>
  <c r="M1486" i="2"/>
  <c r="T1486" i="2" s="1"/>
  <c r="L1486" i="2"/>
  <c r="S1485" i="2"/>
  <c r="R1485" i="2"/>
  <c r="Q1485" i="2"/>
  <c r="P1485" i="2"/>
  <c r="O1485" i="2"/>
  <c r="N1485" i="2"/>
  <c r="M1485" i="2"/>
  <c r="T1485" i="2" s="1"/>
  <c r="L1485" i="2"/>
  <c r="S1484" i="2"/>
  <c r="R1484" i="2"/>
  <c r="Q1484" i="2"/>
  <c r="P1484" i="2"/>
  <c r="O1484" i="2"/>
  <c r="N1484" i="2"/>
  <c r="M1484" i="2"/>
  <c r="T1484" i="2" s="1"/>
  <c r="L1484" i="2"/>
  <c r="R1483" i="2"/>
  <c r="S1483" i="2" s="1"/>
  <c r="Q1483" i="2"/>
  <c r="P1483" i="2"/>
  <c r="O1483" i="2"/>
  <c r="N1483" i="2"/>
  <c r="M1483" i="2"/>
  <c r="T1483" i="2" s="1"/>
  <c r="L1483" i="2"/>
  <c r="R1482" i="2"/>
  <c r="Q1482" i="2"/>
  <c r="P1482" i="2"/>
  <c r="O1482" i="2"/>
  <c r="N1482" i="2"/>
  <c r="M1482" i="2"/>
  <c r="T1482" i="2" s="1"/>
  <c r="L1482" i="2"/>
  <c r="T1481" i="2"/>
  <c r="S1481" i="2"/>
  <c r="R1481" i="2"/>
  <c r="Q1481" i="2"/>
  <c r="P1481" i="2"/>
  <c r="O1481" i="2"/>
  <c r="N1481" i="2"/>
  <c r="M1481" i="2"/>
  <c r="L1481" i="2"/>
  <c r="R1480" i="2"/>
  <c r="Q1480" i="2"/>
  <c r="S1480" i="2" s="1"/>
  <c r="P1480" i="2"/>
  <c r="O1480" i="2"/>
  <c r="N1480" i="2"/>
  <c r="M1480" i="2"/>
  <c r="T1480" i="2" s="1"/>
  <c r="L1480" i="2"/>
  <c r="R1479" i="2"/>
  <c r="S1479" i="2" s="1"/>
  <c r="Q1479" i="2"/>
  <c r="P1479" i="2"/>
  <c r="O1479" i="2"/>
  <c r="N1479" i="2"/>
  <c r="M1479" i="2"/>
  <c r="T1479" i="2" s="1"/>
  <c r="L1479" i="2"/>
  <c r="T1478" i="2"/>
  <c r="R1478" i="2"/>
  <c r="Q1478" i="2"/>
  <c r="P1478" i="2"/>
  <c r="O1478" i="2"/>
  <c r="N1478" i="2"/>
  <c r="M1478" i="2"/>
  <c r="L1478" i="2"/>
  <c r="R1477" i="2"/>
  <c r="Q1477" i="2"/>
  <c r="S1477" i="2" s="1"/>
  <c r="P1477" i="2"/>
  <c r="O1477" i="2"/>
  <c r="N1477" i="2"/>
  <c r="M1477" i="2"/>
  <c r="T1477" i="2" s="1"/>
  <c r="L1477" i="2"/>
  <c r="S1476" i="2"/>
  <c r="R1476" i="2"/>
  <c r="Q1476" i="2"/>
  <c r="P1476" i="2"/>
  <c r="O1476" i="2"/>
  <c r="N1476" i="2"/>
  <c r="M1476" i="2"/>
  <c r="T1476" i="2" s="1"/>
  <c r="L1476" i="2"/>
  <c r="S1475" i="2"/>
  <c r="R1475" i="2"/>
  <c r="Q1475" i="2"/>
  <c r="P1475" i="2"/>
  <c r="O1475" i="2"/>
  <c r="N1475" i="2"/>
  <c r="M1475" i="2"/>
  <c r="T1475" i="2" s="1"/>
  <c r="L1475" i="2"/>
  <c r="S1474" i="2"/>
  <c r="R1474" i="2"/>
  <c r="Q1474" i="2"/>
  <c r="P1474" i="2"/>
  <c r="O1474" i="2"/>
  <c r="N1474" i="2"/>
  <c r="M1474" i="2"/>
  <c r="T1474" i="2" s="1"/>
  <c r="L1474" i="2"/>
  <c r="R1473" i="2"/>
  <c r="S1473" i="2" s="1"/>
  <c r="Q1473" i="2"/>
  <c r="P1473" i="2"/>
  <c r="O1473" i="2"/>
  <c r="N1473" i="2"/>
  <c r="M1473" i="2"/>
  <c r="T1473" i="2" s="1"/>
  <c r="L1473" i="2"/>
  <c r="R1472" i="2"/>
  <c r="Q1472" i="2"/>
  <c r="S1472" i="2" s="1"/>
  <c r="P1472" i="2"/>
  <c r="O1472" i="2"/>
  <c r="N1472" i="2"/>
  <c r="M1472" i="2"/>
  <c r="T1472" i="2" s="1"/>
  <c r="L1472" i="2"/>
  <c r="S1471" i="2"/>
  <c r="R1471" i="2"/>
  <c r="Q1471" i="2"/>
  <c r="P1471" i="2"/>
  <c r="O1471" i="2"/>
  <c r="N1471" i="2"/>
  <c r="M1471" i="2"/>
  <c r="T1471" i="2" s="1"/>
  <c r="L1471" i="2"/>
  <c r="R1470" i="2"/>
  <c r="S1470" i="2" s="1"/>
  <c r="Q1470" i="2"/>
  <c r="P1470" i="2"/>
  <c r="O1470" i="2"/>
  <c r="N1470" i="2"/>
  <c r="M1470" i="2"/>
  <c r="T1470" i="2" s="1"/>
  <c r="L1470" i="2"/>
  <c r="R1469" i="2"/>
  <c r="Q1469" i="2"/>
  <c r="S1469" i="2" s="1"/>
  <c r="P1469" i="2"/>
  <c r="O1469" i="2"/>
  <c r="N1469" i="2"/>
  <c r="M1469" i="2"/>
  <c r="T1469" i="2" s="1"/>
  <c r="L1469" i="2"/>
  <c r="R1468" i="2"/>
  <c r="Q1468" i="2"/>
  <c r="P1468" i="2"/>
  <c r="O1468" i="2"/>
  <c r="N1468" i="2"/>
  <c r="M1468" i="2"/>
  <c r="T1468" i="2" s="1"/>
  <c r="L1468" i="2"/>
  <c r="S1467" i="2"/>
  <c r="R1467" i="2"/>
  <c r="Q1467" i="2"/>
  <c r="P1467" i="2"/>
  <c r="O1467" i="2"/>
  <c r="N1467" i="2"/>
  <c r="M1467" i="2"/>
  <c r="T1467" i="2" s="1"/>
  <c r="L1467" i="2"/>
  <c r="R1466" i="2"/>
  <c r="S1466" i="2" s="1"/>
  <c r="Q1466" i="2"/>
  <c r="P1466" i="2"/>
  <c r="O1466" i="2"/>
  <c r="N1466" i="2"/>
  <c r="M1466" i="2"/>
  <c r="T1466" i="2" s="1"/>
  <c r="L1466" i="2"/>
  <c r="R1465" i="2"/>
  <c r="Q1465" i="2"/>
  <c r="S1465" i="2" s="1"/>
  <c r="P1465" i="2"/>
  <c r="O1465" i="2"/>
  <c r="N1465" i="2"/>
  <c r="M1465" i="2"/>
  <c r="T1465" i="2" s="1"/>
  <c r="L1465" i="2"/>
  <c r="R1464" i="2"/>
  <c r="Q1464" i="2"/>
  <c r="P1464" i="2"/>
  <c r="O1464" i="2"/>
  <c r="N1464" i="2"/>
  <c r="M1464" i="2"/>
  <c r="T1464" i="2" s="1"/>
  <c r="L1464" i="2"/>
  <c r="R1463" i="2"/>
  <c r="Q1463" i="2"/>
  <c r="P1463" i="2"/>
  <c r="O1463" i="2"/>
  <c r="N1463" i="2"/>
  <c r="M1463" i="2"/>
  <c r="T1463" i="2" s="1"/>
  <c r="L1463" i="2"/>
  <c r="R1462" i="2"/>
  <c r="Q1462" i="2"/>
  <c r="P1462" i="2"/>
  <c r="O1462" i="2"/>
  <c r="N1462" i="2"/>
  <c r="M1462" i="2"/>
  <c r="T1462" i="2" s="1"/>
  <c r="L1462" i="2"/>
  <c r="R1461" i="2"/>
  <c r="Q1461" i="2"/>
  <c r="S1461" i="2" s="1"/>
  <c r="P1461" i="2"/>
  <c r="O1461" i="2"/>
  <c r="N1461" i="2"/>
  <c r="M1461" i="2"/>
  <c r="T1461" i="2" s="1"/>
  <c r="L1461" i="2"/>
  <c r="R1460" i="2"/>
  <c r="Q1460" i="2"/>
  <c r="P1460" i="2"/>
  <c r="O1460" i="2"/>
  <c r="N1460" i="2"/>
  <c r="M1460" i="2"/>
  <c r="T1460" i="2" s="1"/>
  <c r="L1460" i="2"/>
  <c r="R1459" i="2"/>
  <c r="Q1459" i="2"/>
  <c r="P1459" i="2"/>
  <c r="O1459" i="2"/>
  <c r="N1459" i="2"/>
  <c r="M1459" i="2"/>
  <c r="T1459" i="2" s="1"/>
  <c r="L1459" i="2"/>
  <c r="R1458" i="2"/>
  <c r="Q1458" i="2"/>
  <c r="S1458" i="2" s="1"/>
  <c r="P1458" i="2"/>
  <c r="O1458" i="2"/>
  <c r="N1458" i="2"/>
  <c r="M1458" i="2"/>
  <c r="T1458" i="2" s="1"/>
  <c r="L1458" i="2"/>
  <c r="T1457" i="2"/>
  <c r="R1457" i="2"/>
  <c r="Q1457" i="2"/>
  <c r="P1457" i="2"/>
  <c r="O1457" i="2"/>
  <c r="N1457" i="2"/>
  <c r="M1457" i="2"/>
  <c r="L1457" i="2"/>
  <c r="R1456" i="2"/>
  <c r="Q1456" i="2"/>
  <c r="P1456" i="2"/>
  <c r="O1456" i="2"/>
  <c r="N1456" i="2"/>
  <c r="M1456" i="2"/>
  <c r="T1456" i="2" s="1"/>
  <c r="L1456" i="2"/>
  <c r="R1455" i="2"/>
  <c r="Q1455" i="2"/>
  <c r="S1455" i="2" s="1"/>
  <c r="P1455" i="2"/>
  <c r="O1455" i="2"/>
  <c r="N1455" i="2"/>
  <c r="M1455" i="2"/>
  <c r="T1455" i="2" s="1"/>
  <c r="L1455" i="2"/>
  <c r="R1454" i="2"/>
  <c r="Q1454" i="2"/>
  <c r="P1454" i="2"/>
  <c r="O1454" i="2"/>
  <c r="N1454" i="2"/>
  <c r="M1454" i="2"/>
  <c r="T1454" i="2" s="1"/>
  <c r="L1454" i="2"/>
  <c r="R1453" i="2"/>
  <c r="S1453" i="2" s="1"/>
  <c r="Q1453" i="2"/>
  <c r="P1453" i="2"/>
  <c r="O1453" i="2"/>
  <c r="N1453" i="2"/>
  <c r="M1453" i="2"/>
  <c r="T1453" i="2" s="1"/>
  <c r="L1453" i="2"/>
  <c r="R1452" i="2"/>
  <c r="Q1452" i="2"/>
  <c r="P1452" i="2"/>
  <c r="O1452" i="2"/>
  <c r="N1452" i="2"/>
  <c r="M1452" i="2"/>
  <c r="T1452" i="2" s="1"/>
  <c r="L1452" i="2"/>
  <c r="R1451" i="2"/>
  <c r="Q1451" i="2"/>
  <c r="S1451" i="2" s="1"/>
  <c r="P1451" i="2"/>
  <c r="O1451" i="2"/>
  <c r="N1451" i="2"/>
  <c r="M1451" i="2"/>
  <c r="T1451" i="2" s="1"/>
  <c r="L1451" i="2"/>
  <c r="R1450" i="2"/>
  <c r="S1450" i="2" s="1"/>
  <c r="Q1450" i="2"/>
  <c r="P1450" i="2"/>
  <c r="O1450" i="2"/>
  <c r="N1450" i="2"/>
  <c r="M1450" i="2"/>
  <c r="T1450" i="2" s="1"/>
  <c r="L1450" i="2"/>
  <c r="T1449" i="2"/>
  <c r="R1449" i="2"/>
  <c r="Q1449" i="2"/>
  <c r="S1449" i="2" s="1"/>
  <c r="P1449" i="2"/>
  <c r="O1449" i="2"/>
  <c r="N1449" i="2"/>
  <c r="M1449" i="2"/>
  <c r="L1449" i="2"/>
  <c r="R1448" i="2"/>
  <c r="Q1448" i="2"/>
  <c r="S1448" i="2" s="1"/>
  <c r="P1448" i="2"/>
  <c r="O1448" i="2"/>
  <c r="N1448" i="2"/>
  <c r="M1448" i="2"/>
  <c r="T1448" i="2" s="1"/>
  <c r="L1448" i="2"/>
  <c r="R1447" i="2"/>
  <c r="Q1447" i="2"/>
  <c r="P1447" i="2"/>
  <c r="O1447" i="2"/>
  <c r="N1447" i="2"/>
  <c r="M1447" i="2"/>
  <c r="T1447" i="2" s="1"/>
  <c r="L1447" i="2"/>
  <c r="R1446" i="2"/>
  <c r="Q1446" i="2"/>
  <c r="S1446" i="2" s="1"/>
  <c r="P1446" i="2"/>
  <c r="O1446" i="2"/>
  <c r="N1446" i="2"/>
  <c r="M1446" i="2"/>
  <c r="T1446" i="2" s="1"/>
  <c r="L1446" i="2"/>
  <c r="R1445" i="2"/>
  <c r="Q1445" i="2"/>
  <c r="P1445" i="2"/>
  <c r="O1445" i="2"/>
  <c r="N1445" i="2"/>
  <c r="M1445" i="2"/>
  <c r="T1445" i="2" s="1"/>
  <c r="L1445" i="2"/>
  <c r="R1444" i="2"/>
  <c r="Q1444" i="2"/>
  <c r="P1444" i="2"/>
  <c r="O1444" i="2"/>
  <c r="N1444" i="2"/>
  <c r="M1444" i="2"/>
  <c r="T1444" i="2" s="1"/>
  <c r="L1444" i="2"/>
  <c r="R1443" i="2"/>
  <c r="Q1443" i="2"/>
  <c r="S1443" i="2" s="1"/>
  <c r="P1443" i="2"/>
  <c r="O1443" i="2"/>
  <c r="N1443" i="2"/>
  <c r="M1443" i="2"/>
  <c r="T1443" i="2" s="1"/>
  <c r="L1443" i="2"/>
  <c r="T1442" i="2"/>
  <c r="R1442" i="2"/>
  <c r="Q1442" i="2"/>
  <c r="S1442" i="2" s="1"/>
  <c r="P1442" i="2"/>
  <c r="O1442" i="2"/>
  <c r="N1442" i="2"/>
  <c r="M1442" i="2"/>
  <c r="L1442" i="2"/>
  <c r="T1441" i="2"/>
  <c r="R1441" i="2"/>
  <c r="Q1441" i="2"/>
  <c r="P1441" i="2"/>
  <c r="O1441" i="2"/>
  <c r="N1441" i="2"/>
  <c r="M1441" i="2"/>
  <c r="L1441" i="2"/>
  <c r="R1440" i="2"/>
  <c r="Q1440" i="2"/>
  <c r="P1440" i="2"/>
  <c r="O1440" i="2"/>
  <c r="N1440" i="2"/>
  <c r="M1440" i="2"/>
  <c r="T1440" i="2" s="1"/>
  <c r="L1440" i="2"/>
  <c r="T1439" i="2"/>
  <c r="R1439" i="2"/>
  <c r="Q1439" i="2"/>
  <c r="P1439" i="2"/>
  <c r="O1439" i="2"/>
  <c r="N1439" i="2"/>
  <c r="M1439" i="2"/>
  <c r="L1439" i="2"/>
  <c r="T1438" i="2"/>
  <c r="R1438" i="2"/>
  <c r="Q1438" i="2"/>
  <c r="P1438" i="2"/>
  <c r="O1438" i="2"/>
  <c r="N1438" i="2"/>
  <c r="M1438" i="2"/>
  <c r="L1438" i="2"/>
  <c r="R1437" i="2"/>
  <c r="S1437" i="2" s="1"/>
  <c r="Q1437" i="2"/>
  <c r="P1437" i="2"/>
  <c r="O1437" i="2"/>
  <c r="N1437" i="2"/>
  <c r="M1437" i="2"/>
  <c r="T1437" i="2" s="1"/>
  <c r="L1437" i="2"/>
  <c r="R1436" i="2"/>
  <c r="Q1436" i="2"/>
  <c r="P1436" i="2"/>
  <c r="O1436" i="2"/>
  <c r="N1436" i="2"/>
  <c r="M1436" i="2"/>
  <c r="T1436" i="2" s="1"/>
  <c r="L1436" i="2"/>
  <c r="R1435" i="2"/>
  <c r="Q1435" i="2"/>
  <c r="S1435" i="2" s="1"/>
  <c r="P1435" i="2"/>
  <c r="O1435" i="2"/>
  <c r="N1435" i="2"/>
  <c r="M1435" i="2"/>
  <c r="T1435" i="2" s="1"/>
  <c r="L1435" i="2"/>
  <c r="R1434" i="2"/>
  <c r="S1434" i="2" s="1"/>
  <c r="Q1434" i="2"/>
  <c r="P1434" i="2"/>
  <c r="O1434" i="2"/>
  <c r="N1434" i="2"/>
  <c r="M1434" i="2"/>
  <c r="T1434" i="2" s="1"/>
  <c r="L1434" i="2"/>
  <c r="T1433" i="2"/>
  <c r="R1433" i="2"/>
  <c r="Q1433" i="2"/>
  <c r="S1433" i="2" s="1"/>
  <c r="P1433" i="2"/>
  <c r="O1433" i="2"/>
  <c r="N1433" i="2"/>
  <c r="M1433" i="2"/>
  <c r="L1433" i="2"/>
  <c r="R1432" i="2"/>
  <c r="Q1432" i="2"/>
  <c r="P1432" i="2"/>
  <c r="O1432" i="2"/>
  <c r="N1432" i="2"/>
  <c r="M1432" i="2"/>
  <c r="T1432" i="2" s="1"/>
  <c r="L1432" i="2"/>
  <c r="R1431" i="2"/>
  <c r="Q1431" i="2"/>
  <c r="P1431" i="2"/>
  <c r="O1431" i="2"/>
  <c r="N1431" i="2"/>
  <c r="M1431" i="2"/>
  <c r="T1431" i="2" s="1"/>
  <c r="L1431" i="2"/>
  <c r="R1430" i="2"/>
  <c r="Q1430" i="2"/>
  <c r="P1430" i="2"/>
  <c r="O1430" i="2"/>
  <c r="N1430" i="2"/>
  <c r="M1430" i="2"/>
  <c r="T1430" i="2" s="1"/>
  <c r="L1430" i="2"/>
  <c r="S1429" i="2"/>
  <c r="R1429" i="2"/>
  <c r="Q1429" i="2"/>
  <c r="P1429" i="2"/>
  <c r="O1429" i="2"/>
  <c r="N1429" i="2"/>
  <c r="M1429" i="2"/>
  <c r="T1429" i="2" s="1"/>
  <c r="L1429" i="2"/>
  <c r="R1428" i="2"/>
  <c r="Q1428" i="2"/>
  <c r="P1428" i="2"/>
  <c r="O1428" i="2"/>
  <c r="N1428" i="2"/>
  <c r="M1428" i="2"/>
  <c r="T1428" i="2" s="1"/>
  <c r="L1428" i="2"/>
  <c r="R1427" i="2"/>
  <c r="Q1427" i="2"/>
  <c r="S1427" i="2" s="1"/>
  <c r="P1427" i="2"/>
  <c r="O1427" i="2"/>
  <c r="N1427" i="2"/>
  <c r="M1427" i="2"/>
  <c r="T1427" i="2" s="1"/>
  <c r="L1427" i="2"/>
  <c r="S1426" i="2"/>
  <c r="R1426" i="2"/>
  <c r="Q1426" i="2"/>
  <c r="P1426" i="2"/>
  <c r="O1426" i="2"/>
  <c r="N1426" i="2"/>
  <c r="M1426" i="2"/>
  <c r="T1426" i="2" s="1"/>
  <c r="L1426" i="2"/>
  <c r="R1425" i="2"/>
  <c r="Q1425" i="2"/>
  <c r="S1425" i="2" s="1"/>
  <c r="P1425" i="2"/>
  <c r="O1425" i="2"/>
  <c r="N1425" i="2"/>
  <c r="M1425" i="2"/>
  <c r="T1425" i="2" s="1"/>
  <c r="L1425" i="2"/>
  <c r="R1424" i="2"/>
  <c r="Q1424" i="2"/>
  <c r="P1424" i="2"/>
  <c r="O1424" i="2"/>
  <c r="N1424" i="2"/>
  <c r="M1424" i="2"/>
  <c r="T1424" i="2" s="1"/>
  <c r="L1424" i="2"/>
  <c r="R1423" i="2"/>
  <c r="Q1423" i="2"/>
  <c r="S1423" i="2" s="1"/>
  <c r="P1423" i="2"/>
  <c r="O1423" i="2"/>
  <c r="N1423" i="2"/>
  <c r="M1423" i="2"/>
  <c r="T1423" i="2" s="1"/>
  <c r="L1423" i="2"/>
  <c r="R1422" i="2"/>
  <c r="Q1422" i="2"/>
  <c r="P1422" i="2"/>
  <c r="O1422" i="2"/>
  <c r="N1422" i="2"/>
  <c r="M1422" i="2"/>
  <c r="T1422" i="2" s="1"/>
  <c r="L1422" i="2"/>
  <c r="T1421" i="2"/>
  <c r="R1421" i="2"/>
  <c r="S1421" i="2" s="1"/>
  <c r="Q1421" i="2"/>
  <c r="P1421" i="2"/>
  <c r="O1421" i="2"/>
  <c r="N1421" i="2"/>
  <c r="M1421" i="2"/>
  <c r="L1421" i="2"/>
  <c r="R1420" i="2"/>
  <c r="Q1420" i="2"/>
  <c r="P1420" i="2"/>
  <c r="O1420" i="2"/>
  <c r="N1420" i="2"/>
  <c r="M1420" i="2"/>
  <c r="T1420" i="2" s="1"/>
  <c r="L1420" i="2"/>
  <c r="R1419" i="2"/>
  <c r="Q1419" i="2"/>
  <c r="S1419" i="2" s="1"/>
  <c r="P1419" i="2"/>
  <c r="O1419" i="2"/>
  <c r="N1419" i="2"/>
  <c r="M1419" i="2"/>
  <c r="T1419" i="2" s="1"/>
  <c r="L1419" i="2"/>
  <c r="T1418" i="2"/>
  <c r="R1418" i="2"/>
  <c r="S1418" i="2" s="1"/>
  <c r="Q1418" i="2"/>
  <c r="P1418" i="2"/>
  <c r="O1418" i="2"/>
  <c r="N1418" i="2"/>
  <c r="M1418" i="2"/>
  <c r="L1418" i="2"/>
  <c r="R1417" i="2"/>
  <c r="Q1417" i="2"/>
  <c r="P1417" i="2"/>
  <c r="O1417" i="2"/>
  <c r="N1417" i="2"/>
  <c r="M1417" i="2"/>
  <c r="T1417" i="2" s="1"/>
  <c r="L1417" i="2"/>
  <c r="R1416" i="2"/>
  <c r="Q1416" i="2"/>
  <c r="P1416" i="2"/>
  <c r="O1416" i="2"/>
  <c r="N1416" i="2"/>
  <c r="M1416" i="2"/>
  <c r="T1416" i="2" s="1"/>
  <c r="L1416" i="2"/>
  <c r="R1415" i="2"/>
  <c r="Q1415" i="2"/>
  <c r="P1415" i="2"/>
  <c r="O1415" i="2"/>
  <c r="N1415" i="2"/>
  <c r="M1415" i="2"/>
  <c r="T1415" i="2" s="1"/>
  <c r="L1415" i="2"/>
  <c r="R1414" i="2"/>
  <c r="Q1414" i="2"/>
  <c r="P1414" i="2"/>
  <c r="O1414" i="2"/>
  <c r="N1414" i="2"/>
  <c r="M1414" i="2"/>
  <c r="T1414" i="2" s="1"/>
  <c r="L1414" i="2"/>
  <c r="T1413" i="2"/>
  <c r="R1413" i="2"/>
  <c r="S1413" i="2" s="1"/>
  <c r="Q1413" i="2"/>
  <c r="P1413" i="2"/>
  <c r="O1413" i="2"/>
  <c r="N1413" i="2"/>
  <c r="M1413" i="2"/>
  <c r="L1413" i="2"/>
  <c r="R1412" i="2"/>
  <c r="Q1412" i="2"/>
  <c r="S1412" i="2" s="1"/>
  <c r="P1412" i="2"/>
  <c r="O1412" i="2"/>
  <c r="N1412" i="2"/>
  <c r="M1412" i="2"/>
  <c r="T1412" i="2" s="1"/>
  <c r="L1412" i="2"/>
  <c r="R1411" i="2"/>
  <c r="Q1411" i="2"/>
  <c r="S1411" i="2" s="1"/>
  <c r="P1411" i="2"/>
  <c r="O1411" i="2"/>
  <c r="N1411" i="2"/>
  <c r="M1411" i="2"/>
  <c r="T1411" i="2" s="1"/>
  <c r="L1411" i="2"/>
  <c r="T1410" i="2"/>
  <c r="R1410" i="2"/>
  <c r="Q1410" i="2"/>
  <c r="P1410" i="2"/>
  <c r="O1410" i="2"/>
  <c r="N1410" i="2"/>
  <c r="M1410" i="2"/>
  <c r="L1410" i="2"/>
  <c r="R1409" i="2"/>
  <c r="Q1409" i="2"/>
  <c r="S1409" i="2" s="1"/>
  <c r="P1409" i="2"/>
  <c r="O1409" i="2"/>
  <c r="N1409" i="2"/>
  <c r="M1409" i="2"/>
  <c r="T1409" i="2" s="1"/>
  <c r="L1409" i="2"/>
  <c r="R1408" i="2"/>
  <c r="Q1408" i="2"/>
  <c r="P1408" i="2"/>
  <c r="O1408" i="2"/>
  <c r="N1408" i="2"/>
  <c r="M1408" i="2"/>
  <c r="T1408" i="2" s="1"/>
  <c r="L1408" i="2"/>
  <c r="T1407" i="2"/>
  <c r="R1407" i="2"/>
  <c r="Q1407" i="2"/>
  <c r="P1407" i="2"/>
  <c r="O1407" i="2"/>
  <c r="N1407" i="2"/>
  <c r="M1407" i="2"/>
  <c r="L1407" i="2"/>
  <c r="R1406" i="2"/>
  <c r="Q1406" i="2"/>
  <c r="S1406" i="2" s="1"/>
  <c r="P1406" i="2"/>
  <c r="O1406" i="2"/>
  <c r="N1406" i="2"/>
  <c r="M1406" i="2"/>
  <c r="T1406" i="2" s="1"/>
  <c r="L1406" i="2"/>
  <c r="T1405" i="2"/>
  <c r="R1405" i="2"/>
  <c r="Q1405" i="2"/>
  <c r="P1405" i="2"/>
  <c r="O1405" i="2"/>
  <c r="N1405" i="2"/>
  <c r="M1405" i="2"/>
  <c r="L1405" i="2"/>
  <c r="R1404" i="2"/>
  <c r="Q1404" i="2"/>
  <c r="S1404" i="2" s="1"/>
  <c r="P1404" i="2"/>
  <c r="O1404" i="2"/>
  <c r="N1404" i="2"/>
  <c r="M1404" i="2"/>
  <c r="T1404" i="2" s="1"/>
  <c r="L1404" i="2"/>
  <c r="R1403" i="2"/>
  <c r="Q1403" i="2"/>
  <c r="P1403" i="2"/>
  <c r="O1403" i="2"/>
  <c r="N1403" i="2"/>
  <c r="M1403" i="2"/>
  <c r="T1403" i="2" s="1"/>
  <c r="L1403" i="2"/>
  <c r="T1402" i="2"/>
  <c r="R1402" i="2"/>
  <c r="Q1402" i="2"/>
  <c r="P1402" i="2"/>
  <c r="O1402" i="2"/>
  <c r="N1402" i="2"/>
  <c r="M1402" i="2"/>
  <c r="L1402" i="2"/>
  <c r="S1401" i="2"/>
  <c r="R1401" i="2"/>
  <c r="Q1401" i="2"/>
  <c r="P1401" i="2"/>
  <c r="O1401" i="2"/>
  <c r="N1401" i="2"/>
  <c r="M1401" i="2"/>
  <c r="T1401" i="2" s="1"/>
  <c r="L1401" i="2"/>
  <c r="R1400" i="2"/>
  <c r="Q1400" i="2"/>
  <c r="S1400" i="2" s="1"/>
  <c r="P1400" i="2"/>
  <c r="O1400" i="2"/>
  <c r="N1400" i="2"/>
  <c r="M1400" i="2"/>
  <c r="T1400" i="2" s="1"/>
  <c r="L1400" i="2"/>
  <c r="T1399" i="2"/>
  <c r="R1399" i="2"/>
  <c r="Q1399" i="2"/>
  <c r="P1399" i="2"/>
  <c r="O1399" i="2"/>
  <c r="N1399" i="2"/>
  <c r="M1399" i="2"/>
  <c r="L1399" i="2"/>
  <c r="R1398" i="2"/>
  <c r="Q1398" i="2"/>
  <c r="S1398" i="2" s="1"/>
  <c r="P1398" i="2"/>
  <c r="O1398" i="2"/>
  <c r="N1398" i="2"/>
  <c r="M1398" i="2"/>
  <c r="T1398" i="2" s="1"/>
  <c r="L1398" i="2"/>
  <c r="R1397" i="2"/>
  <c r="Q1397" i="2"/>
  <c r="P1397" i="2"/>
  <c r="O1397" i="2"/>
  <c r="N1397" i="2"/>
  <c r="M1397" i="2"/>
  <c r="T1397" i="2" s="1"/>
  <c r="L1397" i="2"/>
  <c r="R1396" i="2"/>
  <c r="Q1396" i="2"/>
  <c r="P1396" i="2"/>
  <c r="O1396" i="2"/>
  <c r="N1396" i="2"/>
  <c r="M1396" i="2"/>
  <c r="T1396" i="2" s="1"/>
  <c r="L1396" i="2"/>
  <c r="R1395" i="2"/>
  <c r="Q1395" i="2"/>
  <c r="S1395" i="2" s="1"/>
  <c r="P1395" i="2"/>
  <c r="O1395" i="2"/>
  <c r="N1395" i="2"/>
  <c r="M1395" i="2"/>
  <c r="T1395" i="2" s="1"/>
  <c r="L1395" i="2"/>
  <c r="R1394" i="2"/>
  <c r="Q1394" i="2"/>
  <c r="P1394" i="2"/>
  <c r="O1394" i="2"/>
  <c r="N1394" i="2"/>
  <c r="M1394" i="2"/>
  <c r="T1394" i="2" s="1"/>
  <c r="L1394" i="2"/>
  <c r="R1393" i="2"/>
  <c r="Q1393" i="2"/>
  <c r="P1393" i="2"/>
  <c r="O1393" i="2"/>
  <c r="N1393" i="2"/>
  <c r="M1393" i="2"/>
  <c r="T1393" i="2" s="1"/>
  <c r="L1393" i="2"/>
  <c r="R1392" i="2"/>
  <c r="Q1392" i="2"/>
  <c r="P1392" i="2"/>
  <c r="O1392" i="2"/>
  <c r="N1392" i="2"/>
  <c r="M1392" i="2"/>
  <c r="T1392" i="2" s="1"/>
  <c r="L1392" i="2"/>
  <c r="R1391" i="2"/>
  <c r="Q1391" i="2"/>
  <c r="P1391" i="2"/>
  <c r="O1391" i="2"/>
  <c r="N1391" i="2"/>
  <c r="M1391" i="2"/>
  <c r="T1391" i="2" s="1"/>
  <c r="L1391" i="2"/>
  <c r="T1390" i="2"/>
  <c r="R1390" i="2"/>
  <c r="Q1390" i="2"/>
  <c r="P1390" i="2"/>
  <c r="O1390" i="2"/>
  <c r="N1390" i="2"/>
  <c r="M1390" i="2"/>
  <c r="L1390" i="2"/>
  <c r="T1389" i="2"/>
  <c r="R1389" i="2"/>
  <c r="S1389" i="2" s="1"/>
  <c r="Q1389" i="2"/>
  <c r="P1389" i="2"/>
  <c r="O1389" i="2"/>
  <c r="N1389" i="2"/>
  <c r="M1389" i="2"/>
  <c r="L1389" i="2"/>
  <c r="R1388" i="2"/>
  <c r="Q1388" i="2"/>
  <c r="P1388" i="2"/>
  <c r="O1388" i="2"/>
  <c r="N1388" i="2"/>
  <c r="M1388" i="2"/>
  <c r="T1388" i="2" s="1"/>
  <c r="L1388" i="2"/>
  <c r="R1387" i="2"/>
  <c r="Q1387" i="2"/>
  <c r="P1387" i="2"/>
  <c r="O1387" i="2"/>
  <c r="N1387" i="2"/>
  <c r="M1387" i="2"/>
  <c r="T1387" i="2" s="1"/>
  <c r="L1387" i="2"/>
  <c r="T1386" i="2"/>
  <c r="S1386" i="2"/>
  <c r="R1386" i="2"/>
  <c r="Q1386" i="2"/>
  <c r="P1386" i="2"/>
  <c r="O1386" i="2"/>
  <c r="N1386" i="2"/>
  <c r="M1386" i="2"/>
  <c r="L1386" i="2"/>
  <c r="R1385" i="2"/>
  <c r="Q1385" i="2"/>
  <c r="S1385" i="2" s="1"/>
  <c r="P1385" i="2"/>
  <c r="O1385" i="2"/>
  <c r="N1385" i="2"/>
  <c r="M1385" i="2"/>
  <c r="T1385" i="2" s="1"/>
  <c r="L1385" i="2"/>
  <c r="R1384" i="2"/>
  <c r="Q1384" i="2"/>
  <c r="S1384" i="2" s="1"/>
  <c r="P1384" i="2"/>
  <c r="O1384" i="2"/>
  <c r="N1384" i="2"/>
  <c r="M1384" i="2"/>
  <c r="T1384" i="2" s="1"/>
  <c r="L1384" i="2"/>
  <c r="R1383" i="2"/>
  <c r="Q1383" i="2"/>
  <c r="S1383" i="2" s="1"/>
  <c r="P1383" i="2"/>
  <c r="O1383" i="2"/>
  <c r="N1383" i="2"/>
  <c r="M1383" i="2"/>
  <c r="T1383" i="2" s="1"/>
  <c r="L1383" i="2"/>
  <c r="R1382" i="2"/>
  <c r="Q1382" i="2"/>
  <c r="S1382" i="2" s="1"/>
  <c r="P1382" i="2"/>
  <c r="O1382" i="2"/>
  <c r="N1382" i="2"/>
  <c r="M1382" i="2"/>
  <c r="T1382" i="2" s="1"/>
  <c r="L1382" i="2"/>
  <c r="R1381" i="2"/>
  <c r="Q1381" i="2"/>
  <c r="P1381" i="2"/>
  <c r="O1381" i="2"/>
  <c r="N1381" i="2"/>
  <c r="M1381" i="2"/>
  <c r="T1381" i="2" s="1"/>
  <c r="L1381" i="2"/>
  <c r="R1380" i="2"/>
  <c r="Q1380" i="2"/>
  <c r="P1380" i="2"/>
  <c r="O1380" i="2"/>
  <c r="N1380" i="2"/>
  <c r="M1380" i="2"/>
  <c r="T1380" i="2" s="1"/>
  <c r="L1380" i="2"/>
  <c r="R1379" i="2"/>
  <c r="Q1379" i="2"/>
  <c r="S1379" i="2" s="1"/>
  <c r="P1379" i="2"/>
  <c r="O1379" i="2"/>
  <c r="N1379" i="2"/>
  <c r="M1379" i="2"/>
  <c r="T1379" i="2" s="1"/>
  <c r="L1379" i="2"/>
  <c r="S1378" i="2"/>
  <c r="R1378" i="2"/>
  <c r="Q1378" i="2"/>
  <c r="P1378" i="2"/>
  <c r="O1378" i="2"/>
  <c r="N1378" i="2"/>
  <c r="M1378" i="2"/>
  <c r="T1378" i="2" s="1"/>
  <c r="L1378" i="2"/>
  <c r="T1377" i="2"/>
  <c r="S1377" i="2"/>
  <c r="R1377" i="2"/>
  <c r="Q1377" i="2"/>
  <c r="P1377" i="2"/>
  <c r="O1377" i="2"/>
  <c r="N1377" i="2"/>
  <c r="M1377" i="2"/>
  <c r="L1377" i="2"/>
  <c r="R1376" i="2"/>
  <c r="Q1376" i="2"/>
  <c r="P1376" i="2"/>
  <c r="O1376" i="2"/>
  <c r="N1376" i="2"/>
  <c r="M1376" i="2"/>
  <c r="T1376" i="2" s="1"/>
  <c r="L1376" i="2"/>
  <c r="R1375" i="2"/>
  <c r="Q1375" i="2"/>
  <c r="P1375" i="2"/>
  <c r="O1375" i="2"/>
  <c r="N1375" i="2"/>
  <c r="M1375" i="2"/>
  <c r="T1375" i="2" s="1"/>
  <c r="L1375" i="2"/>
  <c r="R1374" i="2"/>
  <c r="Q1374" i="2"/>
  <c r="S1374" i="2" s="1"/>
  <c r="P1374" i="2"/>
  <c r="O1374" i="2"/>
  <c r="N1374" i="2"/>
  <c r="M1374" i="2"/>
  <c r="T1374" i="2" s="1"/>
  <c r="L1374" i="2"/>
  <c r="R1373" i="2"/>
  <c r="Q1373" i="2"/>
  <c r="S1373" i="2" s="1"/>
  <c r="P1373" i="2"/>
  <c r="O1373" i="2"/>
  <c r="N1373" i="2"/>
  <c r="M1373" i="2"/>
  <c r="T1373" i="2" s="1"/>
  <c r="L1373" i="2"/>
  <c r="S1372" i="2"/>
  <c r="R1372" i="2"/>
  <c r="Q1372" i="2"/>
  <c r="P1372" i="2"/>
  <c r="O1372" i="2"/>
  <c r="N1372" i="2"/>
  <c r="M1372" i="2"/>
  <c r="T1372" i="2" s="1"/>
  <c r="L1372" i="2"/>
  <c r="T1371" i="2"/>
  <c r="R1371" i="2"/>
  <c r="Q1371" i="2"/>
  <c r="P1371" i="2"/>
  <c r="O1371" i="2"/>
  <c r="N1371" i="2"/>
  <c r="M1371" i="2"/>
  <c r="L1371" i="2"/>
  <c r="R1370" i="2"/>
  <c r="Q1370" i="2"/>
  <c r="S1370" i="2" s="1"/>
  <c r="P1370" i="2"/>
  <c r="O1370" i="2"/>
  <c r="N1370" i="2"/>
  <c r="M1370" i="2"/>
  <c r="T1370" i="2" s="1"/>
  <c r="L1370" i="2"/>
  <c r="R1369" i="2"/>
  <c r="Q1369" i="2"/>
  <c r="P1369" i="2"/>
  <c r="O1369" i="2"/>
  <c r="N1369" i="2"/>
  <c r="M1369" i="2"/>
  <c r="T1369" i="2" s="1"/>
  <c r="L1369" i="2"/>
  <c r="T1368" i="2"/>
  <c r="R1368" i="2"/>
  <c r="Q1368" i="2"/>
  <c r="P1368" i="2"/>
  <c r="O1368" i="2"/>
  <c r="N1368" i="2"/>
  <c r="M1368" i="2"/>
  <c r="L1368" i="2"/>
  <c r="R1367" i="2"/>
  <c r="Q1367" i="2"/>
  <c r="S1367" i="2" s="1"/>
  <c r="P1367" i="2"/>
  <c r="O1367" i="2"/>
  <c r="N1367" i="2"/>
  <c r="M1367" i="2"/>
  <c r="T1367" i="2" s="1"/>
  <c r="L1367" i="2"/>
  <c r="R1366" i="2"/>
  <c r="S1366" i="2" s="1"/>
  <c r="Q1366" i="2"/>
  <c r="P1366" i="2"/>
  <c r="O1366" i="2"/>
  <c r="N1366" i="2"/>
  <c r="M1366" i="2"/>
  <c r="T1366" i="2" s="1"/>
  <c r="L1366" i="2"/>
  <c r="R1365" i="2"/>
  <c r="Q1365" i="2"/>
  <c r="P1365" i="2"/>
  <c r="O1365" i="2"/>
  <c r="N1365" i="2"/>
  <c r="M1365" i="2"/>
  <c r="T1365" i="2" s="1"/>
  <c r="L1365" i="2"/>
  <c r="R1364" i="2"/>
  <c r="Q1364" i="2"/>
  <c r="S1364" i="2" s="1"/>
  <c r="P1364" i="2"/>
  <c r="O1364" i="2"/>
  <c r="N1364" i="2"/>
  <c r="M1364" i="2"/>
  <c r="T1364" i="2" s="1"/>
  <c r="L1364" i="2"/>
  <c r="R1363" i="2"/>
  <c r="Q1363" i="2"/>
  <c r="S1363" i="2" s="1"/>
  <c r="P1363" i="2"/>
  <c r="O1363" i="2"/>
  <c r="N1363" i="2"/>
  <c r="M1363" i="2"/>
  <c r="T1363" i="2" s="1"/>
  <c r="L1363" i="2"/>
  <c r="R1362" i="2"/>
  <c r="Q1362" i="2"/>
  <c r="S1362" i="2" s="1"/>
  <c r="P1362" i="2"/>
  <c r="O1362" i="2"/>
  <c r="N1362" i="2"/>
  <c r="M1362" i="2"/>
  <c r="T1362" i="2" s="1"/>
  <c r="L1362" i="2"/>
  <c r="R1361" i="2"/>
  <c r="Q1361" i="2"/>
  <c r="P1361" i="2"/>
  <c r="O1361" i="2"/>
  <c r="N1361" i="2"/>
  <c r="M1361" i="2"/>
  <c r="T1361" i="2" s="1"/>
  <c r="L1361" i="2"/>
  <c r="R1360" i="2"/>
  <c r="Q1360" i="2"/>
  <c r="P1360" i="2"/>
  <c r="O1360" i="2"/>
  <c r="N1360" i="2"/>
  <c r="M1360" i="2"/>
  <c r="T1360" i="2" s="1"/>
  <c r="L1360" i="2"/>
  <c r="R1359" i="2"/>
  <c r="Q1359" i="2"/>
  <c r="P1359" i="2"/>
  <c r="O1359" i="2"/>
  <c r="N1359" i="2"/>
  <c r="M1359" i="2"/>
  <c r="T1359" i="2" s="1"/>
  <c r="L1359" i="2"/>
  <c r="R1358" i="2"/>
  <c r="Q1358" i="2"/>
  <c r="P1358" i="2"/>
  <c r="O1358" i="2"/>
  <c r="N1358" i="2"/>
  <c r="M1358" i="2"/>
  <c r="T1358" i="2" s="1"/>
  <c r="L1358" i="2"/>
  <c r="R1357" i="2"/>
  <c r="Q1357" i="2"/>
  <c r="S1357" i="2" s="1"/>
  <c r="P1357" i="2"/>
  <c r="O1357" i="2"/>
  <c r="N1357" i="2"/>
  <c r="M1357" i="2"/>
  <c r="T1357" i="2" s="1"/>
  <c r="L1357" i="2"/>
  <c r="R1356" i="2"/>
  <c r="Q1356" i="2"/>
  <c r="P1356" i="2"/>
  <c r="O1356" i="2"/>
  <c r="N1356" i="2"/>
  <c r="M1356" i="2"/>
  <c r="T1356" i="2" s="1"/>
  <c r="L1356" i="2"/>
  <c r="R1355" i="2"/>
  <c r="Q1355" i="2"/>
  <c r="P1355" i="2"/>
  <c r="O1355" i="2"/>
  <c r="N1355" i="2"/>
  <c r="M1355" i="2"/>
  <c r="T1355" i="2" s="1"/>
  <c r="L1355" i="2"/>
  <c r="R1354" i="2"/>
  <c r="Q1354" i="2"/>
  <c r="S1354" i="2" s="1"/>
  <c r="P1354" i="2"/>
  <c r="O1354" i="2"/>
  <c r="N1354" i="2"/>
  <c r="M1354" i="2"/>
  <c r="T1354" i="2" s="1"/>
  <c r="L1354" i="2"/>
  <c r="R1353" i="2"/>
  <c r="Q1353" i="2"/>
  <c r="S1353" i="2" s="1"/>
  <c r="P1353" i="2"/>
  <c r="O1353" i="2"/>
  <c r="N1353" i="2"/>
  <c r="M1353" i="2"/>
  <c r="T1353" i="2" s="1"/>
  <c r="L1353" i="2"/>
  <c r="R1352" i="2"/>
  <c r="Q1352" i="2"/>
  <c r="P1352" i="2"/>
  <c r="O1352" i="2"/>
  <c r="N1352" i="2"/>
  <c r="M1352" i="2"/>
  <c r="T1352" i="2" s="1"/>
  <c r="L1352" i="2"/>
  <c r="R1351" i="2"/>
  <c r="Q1351" i="2"/>
  <c r="S1351" i="2" s="1"/>
  <c r="P1351" i="2"/>
  <c r="O1351" i="2"/>
  <c r="N1351" i="2"/>
  <c r="M1351" i="2"/>
  <c r="T1351" i="2" s="1"/>
  <c r="L1351" i="2"/>
  <c r="R1350" i="2"/>
  <c r="Q1350" i="2"/>
  <c r="P1350" i="2"/>
  <c r="O1350" i="2"/>
  <c r="N1350" i="2"/>
  <c r="M1350" i="2"/>
  <c r="T1350" i="2" s="1"/>
  <c r="L1350" i="2"/>
  <c r="R1349" i="2"/>
  <c r="S1349" i="2" s="1"/>
  <c r="Q1349" i="2"/>
  <c r="P1349" i="2"/>
  <c r="O1349" i="2"/>
  <c r="N1349" i="2"/>
  <c r="M1349" i="2"/>
  <c r="T1349" i="2" s="1"/>
  <c r="L1349" i="2"/>
  <c r="R1348" i="2"/>
  <c r="Q1348" i="2"/>
  <c r="P1348" i="2"/>
  <c r="O1348" i="2"/>
  <c r="N1348" i="2"/>
  <c r="M1348" i="2"/>
  <c r="T1348" i="2" s="1"/>
  <c r="L1348" i="2"/>
  <c r="R1347" i="2"/>
  <c r="Q1347" i="2"/>
  <c r="P1347" i="2"/>
  <c r="O1347" i="2"/>
  <c r="N1347" i="2"/>
  <c r="M1347" i="2"/>
  <c r="T1347" i="2" s="1"/>
  <c r="L1347" i="2"/>
  <c r="R1346" i="2"/>
  <c r="S1346" i="2" s="1"/>
  <c r="Q1346" i="2"/>
  <c r="P1346" i="2"/>
  <c r="O1346" i="2"/>
  <c r="N1346" i="2"/>
  <c r="M1346" i="2"/>
  <c r="T1346" i="2" s="1"/>
  <c r="L1346" i="2"/>
  <c r="T1345" i="2"/>
  <c r="R1345" i="2"/>
  <c r="Q1345" i="2"/>
  <c r="P1345" i="2"/>
  <c r="O1345" i="2"/>
  <c r="N1345" i="2"/>
  <c r="M1345" i="2"/>
  <c r="L1345" i="2"/>
  <c r="R1344" i="2"/>
  <c r="Q1344" i="2"/>
  <c r="P1344" i="2"/>
  <c r="O1344" i="2"/>
  <c r="N1344" i="2"/>
  <c r="M1344" i="2"/>
  <c r="T1344" i="2" s="1"/>
  <c r="L1344" i="2"/>
  <c r="T1343" i="2"/>
  <c r="R1343" i="2"/>
  <c r="Q1343" i="2"/>
  <c r="P1343" i="2"/>
  <c r="O1343" i="2"/>
  <c r="N1343" i="2"/>
  <c r="M1343" i="2"/>
  <c r="L1343" i="2"/>
  <c r="R1342" i="2"/>
  <c r="S1342" i="2" s="1"/>
  <c r="Q1342" i="2"/>
  <c r="P1342" i="2"/>
  <c r="O1342" i="2"/>
  <c r="N1342" i="2"/>
  <c r="M1342" i="2"/>
  <c r="T1342" i="2" s="1"/>
  <c r="L1342" i="2"/>
  <c r="R1341" i="2"/>
  <c r="Q1341" i="2"/>
  <c r="P1341" i="2"/>
  <c r="O1341" i="2"/>
  <c r="N1341" i="2"/>
  <c r="M1341" i="2"/>
  <c r="T1341" i="2" s="1"/>
  <c r="L1341" i="2"/>
  <c r="R1340" i="2"/>
  <c r="S1340" i="2" s="1"/>
  <c r="Q1340" i="2"/>
  <c r="P1340" i="2"/>
  <c r="O1340" i="2"/>
  <c r="N1340" i="2"/>
  <c r="M1340" i="2"/>
  <c r="T1340" i="2" s="1"/>
  <c r="L1340" i="2"/>
  <c r="R1339" i="2"/>
  <c r="Q1339" i="2"/>
  <c r="P1339" i="2"/>
  <c r="O1339" i="2"/>
  <c r="N1339" i="2"/>
  <c r="M1339" i="2"/>
  <c r="T1339" i="2" s="1"/>
  <c r="L1339" i="2"/>
  <c r="R1338" i="2"/>
  <c r="S1338" i="2" s="1"/>
  <c r="Q1338" i="2"/>
  <c r="P1338" i="2"/>
  <c r="O1338" i="2"/>
  <c r="N1338" i="2"/>
  <c r="M1338" i="2"/>
  <c r="T1338" i="2" s="1"/>
  <c r="L1338" i="2"/>
  <c r="R1337" i="2"/>
  <c r="Q1337" i="2"/>
  <c r="P1337" i="2"/>
  <c r="O1337" i="2"/>
  <c r="N1337" i="2"/>
  <c r="M1337" i="2"/>
  <c r="T1337" i="2" s="1"/>
  <c r="L1337" i="2"/>
  <c r="S1336" i="2"/>
  <c r="R1336" i="2"/>
  <c r="Q1336" i="2"/>
  <c r="P1336" i="2"/>
  <c r="O1336" i="2"/>
  <c r="N1336" i="2"/>
  <c r="M1336" i="2"/>
  <c r="T1336" i="2" s="1"/>
  <c r="L1336" i="2"/>
  <c r="R1335" i="2"/>
  <c r="Q1335" i="2"/>
  <c r="P1335" i="2"/>
  <c r="O1335" i="2"/>
  <c r="N1335" i="2"/>
  <c r="M1335" i="2"/>
  <c r="T1335" i="2" s="1"/>
  <c r="L1335" i="2"/>
  <c r="R1334" i="2"/>
  <c r="Q1334" i="2"/>
  <c r="P1334" i="2"/>
  <c r="O1334" i="2"/>
  <c r="N1334" i="2"/>
  <c r="M1334" i="2"/>
  <c r="T1334" i="2" s="1"/>
  <c r="L1334" i="2"/>
  <c r="R1333" i="2"/>
  <c r="S1333" i="2" s="1"/>
  <c r="Q1333" i="2"/>
  <c r="P1333" i="2"/>
  <c r="O1333" i="2"/>
  <c r="N1333" i="2"/>
  <c r="M1333" i="2"/>
  <c r="T1333" i="2" s="1"/>
  <c r="L1333" i="2"/>
  <c r="R1332" i="2"/>
  <c r="Q1332" i="2"/>
  <c r="P1332" i="2"/>
  <c r="O1332" i="2"/>
  <c r="N1332" i="2"/>
  <c r="M1332" i="2"/>
  <c r="T1332" i="2" s="1"/>
  <c r="L1332" i="2"/>
  <c r="R1331" i="2"/>
  <c r="Q1331" i="2"/>
  <c r="P1331" i="2"/>
  <c r="O1331" i="2"/>
  <c r="N1331" i="2"/>
  <c r="M1331" i="2"/>
  <c r="T1331" i="2" s="1"/>
  <c r="L1331" i="2"/>
  <c r="R1330" i="2"/>
  <c r="Q1330" i="2"/>
  <c r="P1330" i="2"/>
  <c r="O1330" i="2"/>
  <c r="N1330" i="2"/>
  <c r="M1330" i="2"/>
  <c r="T1330" i="2" s="1"/>
  <c r="L1330" i="2"/>
  <c r="R1329" i="2"/>
  <c r="Q1329" i="2"/>
  <c r="P1329" i="2"/>
  <c r="O1329" i="2"/>
  <c r="N1329" i="2"/>
  <c r="M1329" i="2"/>
  <c r="T1329" i="2" s="1"/>
  <c r="L1329" i="2"/>
  <c r="R1328" i="2"/>
  <c r="Q1328" i="2"/>
  <c r="S1328" i="2" s="1"/>
  <c r="P1328" i="2"/>
  <c r="O1328" i="2"/>
  <c r="N1328" i="2"/>
  <c r="M1328" i="2"/>
  <c r="T1328" i="2" s="1"/>
  <c r="L1328" i="2"/>
  <c r="R1327" i="2"/>
  <c r="Q1327" i="2"/>
  <c r="P1327" i="2"/>
  <c r="O1327" i="2"/>
  <c r="N1327" i="2"/>
  <c r="M1327" i="2"/>
  <c r="T1327" i="2" s="1"/>
  <c r="L1327" i="2"/>
  <c r="R1326" i="2"/>
  <c r="Q1326" i="2"/>
  <c r="P1326" i="2"/>
  <c r="O1326" i="2"/>
  <c r="N1326" i="2"/>
  <c r="M1326" i="2"/>
  <c r="T1326" i="2" s="1"/>
  <c r="L1326" i="2"/>
  <c r="T1325" i="2"/>
  <c r="S1325" i="2"/>
  <c r="R1325" i="2"/>
  <c r="Q1325" i="2"/>
  <c r="P1325" i="2"/>
  <c r="O1325" i="2"/>
  <c r="N1325" i="2"/>
  <c r="M1325" i="2"/>
  <c r="L1325" i="2"/>
  <c r="T1324" i="2"/>
  <c r="R1324" i="2"/>
  <c r="Q1324" i="2"/>
  <c r="S1324" i="2" s="1"/>
  <c r="P1324" i="2"/>
  <c r="O1324" i="2"/>
  <c r="N1324" i="2"/>
  <c r="M1324" i="2"/>
  <c r="L1324" i="2"/>
  <c r="R1323" i="2"/>
  <c r="Q1323" i="2"/>
  <c r="S1323" i="2" s="1"/>
  <c r="P1323" i="2"/>
  <c r="O1323" i="2"/>
  <c r="N1323" i="2"/>
  <c r="M1323" i="2"/>
  <c r="T1323" i="2" s="1"/>
  <c r="L1323" i="2"/>
  <c r="S1322" i="2"/>
  <c r="R1322" i="2"/>
  <c r="Q1322" i="2"/>
  <c r="P1322" i="2"/>
  <c r="O1322" i="2"/>
  <c r="N1322" i="2"/>
  <c r="M1322" i="2"/>
  <c r="T1322" i="2" s="1"/>
  <c r="L1322" i="2"/>
  <c r="T1321" i="2"/>
  <c r="R1321" i="2"/>
  <c r="Q1321" i="2"/>
  <c r="P1321" i="2"/>
  <c r="O1321" i="2"/>
  <c r="N1321" i="2"/>
  <c r="M1321" i="2"/>
  <c r="L1321" i="2"/>
  <c r="R1320" i="2"/>
  <c r="Q1320" i="2"/>
  <c r="S1320" i="2" s="1"/>
  <c r="P1320" i="2"/>
  <c r="O1320" i="2"/>
  <c r="N1320" i="2"/>
  <c r="M1320" i="2"/>
  <c r="T1320" i="2" s="1"/>
  <c r="L1320" i="2"/>
  <c r="R1319" i="2"/>
  <c r="Q1319" i="2"/>
  <c r="P1319" i="2"/>
  <c r="O1319" i="2"/>
  <c r="N1319" i="2"/>
  <c r="M1319" i="2"/>
  <c r="T1319" i="2" s="1"/>
  <c r="L1319" i="2"/>
  <c r="R1318" i="2"/>
  <c r="S1318" i="2" s="1"/>
  <c r="Q1318" i="2"/>
  <c r="P1318" i="2"/>
  <c r="O1318" i="2"/>
  <c r="N1318" i="2"/>
  <c r="M1318" i="2"/>
  <c r="T1318" i="2" s="1"/>
  <c r="L1318" i="2"/>
  <c r="T1317" i="2"/>
  <c r="R1317" i="2"/>
  <c r="Q1317" i="2"/>
  <c r="P1317" i="2"/>
  <c r="O1317" i="2"/>
  <c r="N1317" i="2"/>
  <c r="M1317" i="2"/>
  <c r="L1317" i="2"/>
  <c r="T1316" i="2"/>
  <c r="R1316" i="2"/>
  <c r="Q1316" i="2"/>
  <c r="S1316" i="2" s="1"/>
  <c r="P1316" i="2"/>
  <c r="O1316" i="2"/>
  <c r="N1316" i="2"/>
  <c r="M1316" i="2"/>
  <c r="L1316" i="2"/>
  <c r="R1315" i="2"/>
  <c r="Q1315" i="2"/>
  <c r="P1315" i="2"/>
  <c r="O1315" i="2"/>
  <c r="N1315" i="2"/>
  <c r="M1315" i="2"/>
  <c r="T1315" i="2" s="1"/>
  <c r="L1315" i="2"/>
  <c r="S1314" i="2"/>
  <c r="R1314" i="2"/>
  <c r="Q1314" i="2"/>
  <c r="P1314" i="2"/>
  <c r="O1314" i="2"/>
  <c r="N1314" i="2"/>
  <c r="M1314" i="2"/>
  <c r="T1314" i="2" s="1"/>
  <c r="L1314" i="2"/>
  <c r="T1313" i="2"/>
  <c r="R1313" i="2"/>
  <c r="Q1313" i="2"/>
  <c r="P1313" i="2"/>
  <c r="O1313" i="2"/>
  <c r="N1313" i="2"/>
  <c r="M1313" i="2"/>
  <c r="L1313" i="2"/>
  <c r="R1312" i="2"/>
  <c r="Q1312" i="2"/>
  <c r="P1312" i="2"/>
  <c r="O1312" i="2"/>
  <c r="N1312" i="2"/>
  <c r="M1312" i="2"/>
  <c r="T1312" i="2" s="1"/>
  <c r="L1312" i="2"/>
  <c r="R1311" i="2"/>
  <c r="Q1311" i="2"/>
  <c r="P1311" i="2"/>
  <c r="O1311" i="2"/>
  <c r="N1311" i="2"/>
  <c r="M1311" i="2"/>
  <c r="T1311" i="2" s="1"/>
  <c r="L1311" i="2"/>
  <c r="R1310" i="2"/>
  <c r="Q1310" i="2"/>
  <c r="P1310" i="2"/>
  <c r="O1310" i="2"/>
  <c r="N1310" i="2"/>
  <c r="M1310" i="2"/>
  <c r="T1310" i="2" s="1"/>
  <c r="L1310" i="2"/>
  <c r="R1309" i="2"/>
  <c r="Q1309" i="2"/>
  <c r="P1309" i="2"/>
  <c r="O1309" i="2"/>
  <c r="N1309" i="2"/>
  <c r="M1309" i="2"/>
  <c r="T1309" i="2" s="1"/>
  <c r="L1309" i="2"/>
  <c r="T1308" i="2"/>
  <c r="S1308" i="2"/>
  <c r="R1308" i="2"/>
  <c r="Q1308" i="2"/>
  <c r="P1308" i="2"/>
  <c r="O1308" i="2"/>
  <c r="N1308" i="2"/>
  <c r="M1308" i="2"/>
  <c r="L1308" i="2"/>
  <c r="R1307" i="2"/>
  <c r="Q1307" i="2"/>
  <c r="P1307" i="2"/>
  <c r="O1307" i="2"/>
  <c r="N1307" i="2"/>
  <c r="M1307" i="2"/>
  <c r="T1307" i="2" s="1"/>
  <c r="L1307" i="2"/>
  <c r="S1306" i="2"/>
  <c r="R1306" i="2"/>
  <c r="Q1306" i="2"/>
  <c r="P1306" i="2"/>
  <c r="O1306" i="2"/>
  <c r="N1306" i="2"/>
  <c r="M1306" i="2"/>
  <c r="T1306" i="2" s="1"/>
  <c r="L1306" i="2"/>
  <c r="R1305" i="2"/>
  <c r="S1305" i="2" s="1"/>
  <c r="Q1305" i="2"/>
  <c r="P1305" i="2"/>
  <c r="O1305" i="2"/>
  <c r="N1305" i="2"/>
  <c r="M1305" i="2"/>
  <c r="T1305" i="2" s="1"/>
  <c r="L1305" i="2"/>
  <c r="R1304" i="2"/>
  <c r="Q1304" i="2"/>
  <c r="S1304" i="2" s="1"/>
  <c r="P1304" i="2"/>
  <c r="O1304" i="2"/>
  <c r="N1304" i="2"/>
  <c r="M1304" i="2"/>
  <c r="T1304" i="2" s="1"/>
  <c r="L1304" i="2"/>
  <c r="R1303" i="2"/>
  <c r="Q1303" i="2"/>
  <c r="P1303" i="2"/>
  <c r="O1303" i="2"/>
  <c r="N1303" i="2"/>
  <c r="M1303" i="2"/>
  <c r="T1303" i="2" s="1"/>
  <c r="L1303" i="2"/>
  <c r="R1302" i="2"/>
  <c r="Q1302" i="2"/>
  <c r="P1302" i="2"/>
  <c r="O1302" i="2"/>
  <c r="N1302" i="2"/>
  <c r="M1302" i="2"/>
  <c r="T1302" i="2" s="1"/>
  <c r="L1302" i="2"/>
  <c r="R1301" i="2"/>
  <c r="Q1301" i="2"/>
  <c r="P1301" i="2"/>
  <c r="O1301" i="2"/>
  <c r="N1301" i="2"/>
  <c r="M1301" i="2"/>
  <c r="T1301" i="2" s="1"/>
  <c r="L1301" i="2"/>
  <c r="R1300" i="2"/>
  <c r="Q1300" i="2"/>
  <c r="S1300" i="2" s="1"/>
  <c r="P1300" i="2"/>
  <c r="O1300" i="2"/>
  <c r="N1300" i="2"/>
  <c r="M1300" i="2"/>
  <c r="T1300" i="2" s="1"/>
  <c r="L1300" i="2"/>
  <c r="R1299" i="2"/>
  <c r="Q1299" i="2"/>
  <c r="P1299" i="2"/>
  <c r="O1299" i="2"/>
  <c r="N1299" i="2"/>
  <c r="M1299" i="2"/>
  <c r="T1299" i="2" s="1"/>
  <c r="L1299" i="2"/>
  <c r="T1298" i="2"/>
  <c r="R1298" i="2"/>
  <c r="Q1298" i="2"/>
  <c r="P1298" i="2"/>
  <c r="O1298" i="2"/>
  <c r="N1298" i="2"/>
  <c r="M1298" i="2"/>
  <c r="L1298" i="2"/>
  <c r="R1297" i="2"/>
  <c r="S1297" i="2" s="1"/>
  <c r="Q1297" i="2"/>
  <c r="P1297" i="2"/>
  <c r="O1297" i="2"/>
  <c r="N1297" i="2"/>
  <c r="M1297" i="2"/>
  <c r="T1297" i="2" s="1"/>
  <c r="L1297" i="2"/>
  <c r="S1296" i="2"/>
  <c r="R1296" i="2"/>
  <c r="Q1296" i="2"/>
  <c r="P1296" i="2"/>
  <c r="O1296" i="2"/>
  <c r="N1296" i="2"/>
  <c r="M1296" i="2"/>
  <c r="T1296" i="2" s="1"/>
  <c r="L1296" i="2"/>
  <c r="T1295" i="2"/>
  <c r="R1295" i="2"/>
  <c r="Q1295" i="2"/>
  <c r="P1295" i="2"/>
  <c r="O1295" i="2"/>
  <c r="N1295" i="2"/>
  <c r="M1295" i="2"/>
  <c r="L1295" i="2"/>
  <c r="R1294" i="2"/>
  <c r="S1294" i="2" s="1"/>
  <c r="Q1294" i="2"/>
  <c r="P1294" i="2"/>
  <c r="O1294" i="2"/>
  <c r="N1294" i="2"/>
  <c r="M1294" i="2"/>
  <c r="T1294" i="2" s="1"/>
  <c r="L1294" i="2"/>
  <c r="R1293" i="2"/>
  <c r="Q1293" i="2"/>
  <c r="S1293" i="2" s="1"/>
  <c r="P1293" i="2"/>
  <c r="O1293" i="2"/>
  <c r="N1293" i="2"/>
  <c r="M1293" i="2"/>
  <c r="T1293" i="2" s="1"/>
  <c r="L1293" i="2"/>
  <c r="R1292" i="2"/>
  <c r="Q1292" i="2"/>
  <c r="P1292" i="2"/>
  <c r="O1292" i="2"/>
  <c r="N1292" i="2"/>
  <c r="M1292" i="2"/>
  <c r="T1292" i="2" s="1"/>
  <c r="L1292" i="2"/>
  <c r="R1291" i="2"/>
  <c r="Q1291" i="2"/>
  <c r="P1291" i="2"/>
  <c r="O1291" i="2"/>
  <c r="N1291" i="2"/>
  <c r="M1291" i="2"/>
  <c r="T1291" i="2" s="1"/>
  <c r="L1291" i="2"/>
  <c r="R1290" i="2"/>
  <c r="Q1290" i="2"/>
  <c r="P1290" i="2"/>
  <c r="O1290" i="2"/>
  <c r="N1290" i="2"/>
  <c r="M1290" i="2"/>
  <c r="T1290" i="2" s="1"/>
  <c r="L1290" i="2"/>
  <c r="R1289" i="2"/>
  <c r="Q1289" i="2"/>
  <c r="S1289" i="2" s="1"/>
  <c r="P1289" i="2"/>
  <c r="O1289" i="2"/>
  <c r="N1289" i="2"/>
  <c r="M1289" i="2"/>
  <c r="T1289" i="2" s="1"/>
  <c r="L1289" i="2"/>
  <c r="R1288" i="2"/>
  <c r="Q1288" i="2"/>
  <c r="S1288" i="2" s="1"/>
  <c r="P1288" i="2"/>
  <c r="O1288" i="2"/>
  <c r="N1288" i="2"/>
  <c r="M1288" i="2"/>
  <c r="T1288" i="2" s="1"/>
  <c r="L1288" i="2"/>
  <c r="R1287" i="2"/>
  <c r="Q1287" i="2"/>
  <c r="P1287" i="2"/>
  <c r="O1287" i="2"/>
  <c r="N1287" i="2"/>
  <c r="M1287" i="2"/>
  <c r="T1287" i="2" s="1"/>
  <c r="L1287" i="2"/>
  <c r="R1286" i="2"/>
  <c r="S1286" i="2" s="1"/>
  <c r="Q1286" i="2"/>
  <c r="P1286" i="2"/>
  <c r="O1286" i="2"/>
  <c r="N1286" i="2"/>
  <c r="M1286" i="2"/>
  <c r="T1286" i="2" s="1"/>
  <c r="L1286" i="2"/>
  <c r="T1285" i="2"/>
  <c r="R1285" i="2"/>
  <c r="Q1285" i="2"/>
  <c r="P1285" i="2"/>
  <c r="O1285" i="2"/>
  <c r="N1285" i="2"/>
  <c r="M1285" i="2"/>
  <c r="L1285" i="2"/>
  <c r="R1284" i="2"/>
  <c r="S1284" i="2" s="1"/>
  <c r="Q1284" i="2"/>
  <c r="P1284" i="2"/>
  <c r="O1284" i="2"/>
  <c r="N1284" i="2"/>
  <c r="M1284" i="2"/>
  <c r="T1284" i="2" s="1"/>
  <c r="L1284" i="2"/>
  <c r="R1283" i="2"/>
  <c r="Q1283" i="2"/>
  <c r="P1283" i="2"/>
  <c r="O1283" i="2"/>
  <c r="N1283" i="2"/>
  <c r="M1283" i="2"/>
  <c r="T1283" i="2" s="1"/>
  <c r="L1283" i="2"/>
  <c r="R1282" i="2"/>
  <c r="Q1282" i="2"/>
  <c r="P1282" i="2"/>
  <c r="O1282" i="2"/>
  <c r="N1282" i="2"/>
  <c r="M1282" i="2"/>
  <c r="T1282" i="2" s="1"/>
  <c r="L1282" i="2"/>
  <c r="R1281" i="2"/>
  <c r="Q1281" i="2"/>
  <c r="P1281" i="2"/>
  <c r="O1281" i="2"/>
  <c r="N1281" i="2"/>
  <c r="M1281" i="2"/>
  <c r="T1281" i="2" s="1"/>
  <c r="L1281" i="2"/>
  <c r="R1280" i="2"/>
  <c r="Q1280" i="2"/>
  <c r="S1280" i="2" s="1"/>
  <c r="P1280" i="2"/>
  <c r="O1280" i="2"/>
  <c r="N1280" i="2"/>
  <c r="M1280" i="2"/>
  <c r="T1280" i="2" s="1"/>
  <c r="L1280" i="2"/>
  <c r="R1279" i="2"/>
  <c r="Q1279" i="2"/>
  <c r="P1279" i="2"/>
  <c r="O1279" i="2"/>
  <c r="N1279" i="2"/>
  <c r="M1279" i="2"/>
  <c r="T1279" i="2" s="1"/>
  <c r="L1279" i="2"/>
  <c r="R1278" i="2"/>
  <c r="Q1278" i="2"/>
  <c r="S1278" i="2" s="1"/>
  <c r="P1278" i="2"/>
  <c r="O1278" i="2"/>
  <c r="N1278" i="2"/>
  <c r="M1278" i="2"/>
  <c r="T1278" i="2" s="1"/>
  <c r="L1278" i="2"/>
  <c r="T1277" i="2"/>
  <c r="R1277" i="2"/>
  <c r="Q1277" i="2"/>
  <c r="P1277" i="2"/>
  <c r="O1277" i="2"/>
  <c r="N1277" i="2"/>
  <c r="M1277" i="2"/>
  <c r="L1277" i="2"/>
  <c r="S1276" i="2"/>
  <c r="R1276" i="2"/>
  <c r="Q1276" i="2"/>
  <c r="P1276" i="2"/>
  <c r="O1276" i="2"/>
  <c r="N1276" i="2"/>
  <c r="M1276" i="2"/>
  <c r="T1276" i="2" s="1"/>
  <c r="L1276" i="2"/>
  <c r="R1275" i="2"/>
  <c r="Q1275" i="2"/>
  <c r="S1275" i="2" s="1"/>
  <c r="P1275" i="2"/>
  <c r="O1275" i="2"/>
  <c r="N1275" i="2"/>
  <c r="M1275" i="2"/>
  <c r="T1275" i="2" s="1"/>
  <c r="L1275" i="2"/>
  <c r="S1274" i="2"/>
  <c r="R1274" i="2"/>
  <c r="Q1274" i="2"/>
  <c r="P1274" i="2"/>
  <c r="O1274" i="2"/>
  <c r="N1274" i="2"/>
  <c r="M1274" i="2"/>
  <c r="T1274" i="2" s="1"/>
  <c r="L1274" i="2"/>
  <c r="R1273" i="2"/>
  <c r="Q1273" i="2"/>
  <c r="P1273" i="2"/>
  <c r="O1273" i="2"/>
  <c r="N1273" i="2"/>
  <c r="M1273" i="2"/>
  <c r="T1273" i="2" s="1"/>
  <c r="L1273" i="2"/>
  <c r="R1272" i="2"/>
  <c r="Q1272" i="2"/>
  <c r="S1272" i="2" s="1"/>
  <c r="P1272" i="2"/>
  <c r="O1272" i="2"/>
  <c r="N1272" i="2"/>
  <c r="M1272" i="2"/>
  <c r="T1272" i="2" s="1"/>
  <c r="L1272" i="2"/>
  <c r="R1271" i="2"/>
  <c r="Q1271" i="2"/>
  <c r="P1271" i="2"/>
  <c r="O1271" i="2"/>
  <c r="N1271" i="2"/>
  <c r="M1271" i="2"/>
  <c r="T1271" i="2" s="1"/>
  <c r="L1271" i="2"/>
  <c r="R1270" i="2"/>
  <c r="Q1270" i="2"/>
  <c r="P1270" i="2"/>
  <c r="O1270" i="2"/>
  <c r="N1270" i="2"/>
  <c r="M1270" i="2"/>
  <c r="T1270" i="2" s="1"/>
  <c r="L1270" i="2"/>
  <c r="R1269" i="2"/>
  <c r="Q1269" i="2"/>
  <c r="S1269" i="2" s="1"/>
  <c r="P1269" i="2"/>
  <c r="O1269" i="2"/>
  <c r="N1269" i="2"/>
  <c r="M1269" i="2"/>
  <c r="T1269" i="2" s="1"/>
  <c r="L1269" i="2"/>
  <c r="R1268" i="2"/>
  <c r="Q1268" i="2"/>
  <c r="S1268" i="2" s="1"/>
  <c r="P1268" i="2"/>
  <c r="O1268" i="2"/>
  <c r="N1268" i="2"/>
  <c r="M1268" i="2"/>
  <c r="T1268" i="2" s="1"/>
  <c r="L1268" i="2"/>
  <c r="R1267" i="2"/>
  <c r="Q1267" i="2"/>
  <c r="S1267" i="2" s="1"/>
  <c r="P1267" i="2"/>
  <c r="O1267" i="2"/>
  <c r="N1267" i="2"/>
  <c r="M1267" i="2"/>
  <c r="T1267" i="2" s="1"/>
  <c r="L1267" i="2"/>
  <c r="R1266" i="2"/>
  <c r="Q1266" i="2"/>
  <c r="S1266" i="2" s="1"/>
  <c r="P1266" i="2"/>
  <c r="O1266" i="2"/>
  <c r="N1266" i="2"/>
  <c r="M1266" i="2"/>
  <c r="T1266" i="2" s="1"/>
  <c r="L1266" i="2"/>
  <c r="R1265" i="2"/>
  <c r="Q1265" i="2"/>
  <c r="P1265" i="2"/>
  <c r="O1265" i="2"/>
  <c r="N1265" i="2"/>
  <c r="M1265" i="2"/>
  <c r="T1265" i="2" s="1"/>
  <c r="L1265" i="2"/>
  <c r="R1264" i="2"/>
  <c r="Q1264" i="2"/>
  <c r="S1264" i="2" s="1"/>
  <c r="P1264" i="2"/>
  <c r="O1264" i="2"/>
  <c r="N1264" i="2"/>
  <c r="M1264" i="2"/>
  <c r="T1264" i="2" s="1"/>
  <c r="L1264" i="2"/>
  <c r="R1263" i="2"/>
  <c r="Q1263" i="2"/>
  <c r="P1263" i="2"/>
  <c r="O1263" i="2"/>
  <c r="N1263" i="2"/>
  <c r="M1263" i="2"/>
  <c r="T1263" i="2" s="1"/>
  <c r="L1263" i="2"/>
  <c r="R1262" i="2"/>
  <c r="Q1262" i="2"/>
  <c r="P1262" i="2"/>
  <c r="O1262" i="2"/>
  <c r="N1262" i="2"/>
  <c r="M1262" i="2"/>
  <c r="T1262" i="2" s="1"/>
  <c r="L1262" i="2"/>
  <c r="R1261" i="2"/>
  <c r="Q1261" i="2"/>
  <c r="S1261" i="2" s="1"/>
  <c r="P1261" i="2"/>
  <c r="O1261" i="2"/>
  <c r="N1261" i="2"/>
  <c r="M1261" i="2"/>
  <c r="T1261" i="2" s="1"/>
  <c r="L1261" i="2"/>
  <c r="R1260" i="2"/>
  <c r="S1260" i="2" s="1"/>
  <c r="Q1260" i="2"/>
  <c r="P1260" i="2"/>
  <c r="O1260" i="2"/>
  <c r="N1260" i="2"/>
  <c r="M1260" i="2"/>
  <c r="T1260" i="2" s="1"/>
  <c r="L1260" i="2"/>
  <c r="R1259" i="2"/>
  <c r="Q1259" i="2"/>
  <c r="P1259" i="2"/>
  <c r="O1259" i="2"/>
  <c r="N1259" i="2"/>
  <c r="M1259" i="2"/>
  <c r="T1259" i="2" s="1"/>
  <c r="L1259" i="2"/>
  <c r="R1258" i="2"/>
  <c r="Q1258" i="2"/>
  <c r="S1258" i="2" s="1"/>
  <c r="P1258" i="2"/>
  <c r="O1258" i="2"/>
  <c r="N1258" i="2"/>
  <c r="M1258" i="2"/>
  <c r="T1258" i="2" s="1"/>
  <c r="L1258" i="2"/>
  <c r="R1257" i="2"/>
  <c r="Q1257" i="2"/>
  <c r="S1257" i="2" s="1"/>
  <c r="P1257" i="2"/>
  <c r="O1257" i="2"/>
  <c r="N1257" i="2"/>
  <c r="M1257" i="2"/>
  <c r="T1257" i="2" s="1"/>
  <c r="L1257" i="2"/>
  <c r="R1256" i="2"/>
  <c r="Q1256" i="2"/>
  <c r="P1256" i="2"/>
  <c r="O1256" i="2"/>
  <c r="N1256" i="2"/>
  <c r="M1256" i="2"/>
  <c r="T1256" i="2" s="1"/>
  <c r="L1256" i="2"/>
  <c r="R1255" i="2"/>
  <c r="Q1255" i="2"/>
  <c r="P1255" i="2"/>
  <c r="O1255" i="2"/>
  <c r="N1255" i="2"/>
  <c r="M1255" i="2"/>
  <c r="T1255" i="2" s="1"/>
  <c r="L1255" i="2"/>
  <c r="R1254" i="2"/>
  <c r="Q1254" i="2"/>
  <c r="S1254" i="2" s="1"/>
  <c r="P1254" i="2"/>
  <c r="O1254" i="2"/>
  <c r="N1254" i="2"/>
  <c r="M1254" i="2"/>
  <c r="T1254" i="2" s="1"/>
  <c r="L1254" i="2"/>
  <c r="R1253" i="2"/>
  <c r="Q1253" i="2"/>
  <c r="P1253" i="2"/>
  <c r="O1253" i="2"/>
  <c r="N1253" i="2"/>
  <c r="M1253" i="2"/>
  <c r="T1253" i="2" s="1"/>
  <c r="L1253" i="2"/>
  <c r="R1252" i="2"/>
  <c r="Q1252" i="2"/>
  <c r="P1252" i="2"/>
  <c r="O1252" i="2"/>
  <c r="N1252" i="2"/>
  <c r="M1252" i="2"/>
  <c r="T1252" i="2" s="1"/>
  <c r="L1252" i="2"/>
  <c r="R1251" i="2"/>
  <c r="Q1251" i="2"/>
  <c r="P1251" i="2"/>
  <c r="O1251" i="2"/>
  <c r="N1251" i="2"/>
  <c r="M1251" i="2"/>
  <c r="T1251" i="2" s="1"/>
  <c r="L1251" i="2"/>
  <c r="S1250" i="2"/>
  <c r="R1250" i="2"/>
  <c r="Q1250" i="2"/>
  <c r="P1250" i="2"/>
  <c r="O1250" i="2"/>
  <c r="N1250" i="2"/>
  <c r="M1250" i="2"/>
  <c r="T1250" i="2" s="1"/>
  <c r="L1250" i="2"/>
  <c r="R1249" i="2"/>
  <c r="Q1249" i="2"/>
  <c r="P1249" i="2"/>
  <c r="O1249" i="2"/>
  <c r="N1249" i="2"/>
  <c r="M1249" i="2"/>
  <c r="T1249" i="2" s="1"/>
  <c r="L1249" i="2"/>
  <c r="T1248" i="2"/>
  <c r="R1248" i="2"/>
  <c r="Q1248" i="2"/>
  <c r="P1248" i="2"/>
  <c r="O1248" i="2"/>
  <c r="N1248" i="2"/>
  <c r="M1248" i="2"/>
  <c r="L1248" i="2"/>
  <c r="R1247" i="2"/>
  <c r="S1247" i="2" s="1"/>
  <c r="Q1247" i="2"/>
  <c r="P1247" i="2"/>
  <c r="O1247" i="2"/>
  <c r="N1247" i="2"/>
  <c r="M1247" i="2"/>
  <c r="T1247" i="2" s="1"/>
  <c r="L1247" i="2"/>
  <c r="R1246" i="2"/>
  <c r="Q1246" i="2"/>
  <c r="S1246" i="2" s="1"/>
  <c r="P1246" i="2"/>
  <c r="O1246" i="2"/>
  <c r="N1246" i="2"/>
  <c r="M1246" i="2"/>
  <c r="T1246" i="2" s="1"/>
  <c r="L1246" i="2"/>
  <c r="S1245" i="2"/>
  <c r="R1245" i="2"/>
  <c r="Q1245" i="2"/>
  <c r="P1245" i="2"/>
  <c r="O1245" i="2"/>
  <c r="N1245" i="2"/>
  <c r="M1245" i="2"/>
  <c r="T1245" i="2" s="1"/>
  <c r="L1245" i="2"/>
  <c r="R1244" i="2"/>
  <c r="Q1244" i="2"/>
  <c r="P1244" i="2"/>
  <c r="O1244" i="2"/>
  <c r="N1244" i="2"/>
  <c r="M1244" i="2"/>
  <c r="T1244" i="2" s="1"/>
  <c r="L1244" i="2"/>
  <c r="R1243" i="2"/>
  <c r="Q1243" i="2"/>
  <c r="S1243" i="2" s="1"/>
  <c r="P1243" i="2"/>
  <c r="O1243" i="2"/>
  <c r="N1243" i="2"/>
  <c r="M1243" i="2"/>
  <c r="T1243" i="2" s="1"/>
  <c r="L1243" i="2"/>
  <c r="S1242" i="2"/>
  <c r="R1242" i="2"/>
  <c r="Q1242" i="2"/>
  <c r="P1242" i="2"/>
  <c r="O1242" i="2"/>
  <c r="N1242" i="2"/>
  <c r="M1242" i="2"/>
  <c r="T1242" i="2" s="1"/>
  <c r="L1242" i="2"/>
  <c r="T1241" i="2"/>
  <c r="S1241" i="2"/>
  <c r="R1241" i="2"/>
  <c r="Q1241" i="2"/>
  <c r="P1241" i="2"/>
  <c r="O1241" i="2"/>
  <c r="N1241" i="2"/>
  <c r="M1241" i="2"/>
  <c r="L1241" i="2"/>
  <c r="R1240" i="2"/>
  <c r="Q1240" i="2"/>
  <c r="P1240" i="2"/>
  <c r="O1240" i="2"/>
  <c r="N1240" i="2"/>
  <c r="M1240" i="2"/>
  <c r="T1240" i="2" s="1"/>
  <c r="L1240" i="2"/>
  <c r="R1239" i="2"/>
  <c r="Q1239" i="2"/>
  <c r="P1239" i="2"/>
  <c r="O1239" i="2"/>
  <c r="N1239" i="2"/>
  <c r="M1239" i="2"/>
  <c r="T1239" i="2" s="1"/>
  <c r="L1239" i="2"/>
  <c r="T1238" i="2"/>
  <c r="R1238" i="2"/>
  <c r="S1238" i="2" s="1"/>
  <c r="Q1238" i="2"/>
  <c r="P1238" i="2"/>
  <c r="O1238" i="2"/>
  <c r="N1238" i="2"/>
  <c r="M1238" i="2"/>
  <c r="L1238" i="2"/>
  <c r="R1237" i="2"/>
  <c r="Q1237" i="2"/>
  <c r="P1237" i="2"/>
  <c r="O1237" i="2"/>
  <c r="N1237" i="2"/>
  <c r="M1237" i="2"/>
  <c r="T1237" i="2" s="1"/>
  <c r="L1237" i="2"/>
  <c r="R1236" i="2"/>
  <c r="Q1236" i="2"/>
  <c r="P1236" i="2"/>
  <c r="O1236" i="2"/>
  <c r="N1236" i="2"/>
  <c r="M1236" i="2"/>
  <c r="T1236" i="2" s="1"/>
  <c r="L1236" i="2"/>
  <c r="R1235" i="2"/>
  <c r="Q1235" i="2"/>
  <c r="S1235" i="2" s="1"/>
  <c r="P1235" i="2"/>
  <c r="O1235" i="2"/>
  <c r="N1235" i="2"/>
  <c r="M1235" i="2"/>
  <c r="T1235" i="2" s="1"/>
  <c r="L1235" i="2"/>
  <c r="R1234" i="2"/>
  <c r="Q1234" i="2"/>
  <c r="P1234" i="2"/>
  <c r="O1234" i="2"/>
  <c r="N1234" i="2"/>
  <c r="M1234" i="2"/>
  <c r="T1234" i="2" s="1"/>
  <c r="L1234" i="2"/>
  <c r="R1233" i="2"/>
  <c r="S1233" i="2" s="1"/>
  <c r="Q1233" i="2"/>
  <c r="P1233" i="2"/>
  <c r="O1233" i="2"/>
  <c r="N1233" i="2"/>
  <c r="M1233" i="2"/>
  <c r="T1233" i="2" s="1"/>
  <c r="L1233" i="2"/>
  <c r="R1232" i="2"/>
  <c r="Q1232" i="2"/>
  <c r="P1232" i="2"/>
  <c r="O1232" i="2"/>
  <c r="N1232" i="2"/>
  <c r="M1232" i="2"/>
  <c r="T1232" i="2" s="1"/>
  <c r="L1232" i="2"/>
  <c r="S1231" i="2"/>
  <c r="R1231" i="2"/>
  <c r="Q1231" i="2"/>
  <c r="P1231" i="2"/>
  <c r="O1231" i="2"/>
  <c r="N1231" i="2"/>
  <c r="M1231" i="2"/>
  <c r="T1231" i="2" s="1"/>
  <c r="L1231" i="2"/>
  <c r="T1230" i="2"/>
  <c r="R1230" i="2"/>
  <c r="S1230" i="2" s="1"/>
  <c r="Q1230" i="2"/>
  <c r="P1230" i="2"/>
  <c r="O1230" i="2"/>
  <c r="N1230" i="2"/>
  <c r="M1230" i="2"/>
  <c r="L1230" i="2"/>
  <c r="R1229" i="2"/>
  <c r="S1229" i="2" s="1"/>
  <c r="Q1229" i="2"/>
  <c r="P1229" i="2"/>
  <c r="O1229" i="2"/>
  <c r="N1229" i="2"/>
  <c r="M1229" i="2"/>
  <c r="T1229" i="2" s="1"/>
  <c r="L1229" i="2"/>
  <c r="T1228" i="2"/>
  <c r="R1228" i="2"/>
  <c r="Q1228" i="2"/>
  <c r="P1228" i="2"/>
  <c r="O1228" i="2"/>
  <c r="N1228" i="2"/>
  <c r="M1228" i="2"/>
  <c r="L1228" i="2"/>
  <c r="R1227" i="2"/>
  <c r="Q1227" i="2"/>
  <c r="S1227" i="2" s="1"/>
  <c r="P1227" i="2"/>
  <c r="O1227" i="2"/>
  <c r="N1227" i="2"/>
  <c r="M1227" i="2"/>
  <c r="T1227" i="2" s="1"/>
  <c r="L1227" i="2"/>
  <c r="S1226" i="2"/>
  <c r="R1226" i="2"/>
  <c r="Q1226" i="2"/>
  <c r="P1226" i="2"/>
  <c r="O1226" i="2"/>
  <c r="N1226" i="2"/>
  <c r="M1226" i="2"/>
  <c r="T1226" i="2" s="1"/>
  <c r="L1226" i="2"/>
  <c r="T1225" i="2"/>
  <c r="R1225" i="2"/>
  <c r="Q1225" i="2"/>
  <c r="S1225" i="2" s="1"/>
  <c r="P1225" i="2"/>
  <c r="O1225" i="2"/>
  <c r="N1225" i="2"/>
  <c r="M1225" i="2"/>
  <c r="L1225" i="2"/>
  <c r="T1224" i="2"/>
  <c r="R1224" i="2"/>
  <c r="Q1224" i="2"/>
  <c r="P1224" i="2"/>
  <c r="O1224" i="2"/>
  <c r="N1224" i="2"/>
  <c r="M1224" i="2"/>
  <c r="L1224" i="2"/>
  <c r="S1223" i="2"/>
  <c r="R1223" i="2"/>
  <c r="Q1223" i="2"/>
  <c r="P1223" i="2"/>
  <c r="O1223" i="2"/>
  <c r="N1223" i="2"/>
  <c r="M1223" i="2"/>
  <c r="T1223" i="2" s="1"/>
  <c r="L1223" i="2"/>
  <c r="T1222" i="2"/>
  <c r="R1222" i="2"/>
  <c r="S1222" i="2" s="1"/>
  <c r="Q1222" i="2"/>
  <c r="P1222" i="2"/>
  <c r="O1222" i="2"/>
  <c r="N1222" i="2"/>
  <c r="M1222" i="2"/>
  <c r="L1222" i="2"/>
  <c r="T1221" i="2"/>
  <c r="R1221" i="2"/>
  <c r="Q1221" i="2"/>
  <c r="P1221" i="2"/>
  <c r="O1221" i="2"/>
  <c r="N1221" i="2"/>
  <c r="M1221" i="2"/>
  <c r="L1221" i="2"/>
  <c r="R1220" i="2"/>
  <c r="Q1220" i="2"/>
  <c r="P1220" i="2"/>
  <c r="O1220" i="2"/>
  <c r="N1220" i="2"/>
  <c r="M1220" i="2"/>
  <c r="T1220" i="2" s="1"/>
  <c r="L1220" i="2"/>
  <c r="R1219" i="2"/>
  <c r="S1219" i="2" s="1"/>
  <c r="Q1219" i="2"/>
  <c r="P1219" i="2"/>
  <c r="O1219" i="2"/>
  <c r="N1219" i="2"/>
  <c r="M1219" i="2"/>
  <c r="T1219" i="2" s="1"/>
  <c r="L1219" i="2"/>
  <c r="R1218" i="2"/>
  <c r="Q1218" i="2"/>
  <c r="S1218" i="2" s="1"/>
  <c r="P1218" i="2"/>
  <c r="O1218" i="2"/>
  <c r="N1218" i="2"/>
  <c r="M1218" i="2"/>
  <c r="T1218" i="2" s="1"/>
  <c r="L1218" i="2"/>
  <c r="R1217" i="2"/>
  <c r="S1217" i="2" s="1"/>
  <c r="Q1217" i="2"/>
  <c r="P1217" i="2"/>
  <c r="O1217" i="2"/>
  <c r="N1217" i="2"/>
  <c r="M1217" i="2"/>
  <c r="T1217" i="2" s="1"/>
  <c r="L1217" i="2"/>
  <c r="R1216" i="2"/>
  <c r="Q1216" i="2"/>
  <c r="P1216" i="2"/>
  <c r="O1216" i="2"/>
  <c r="N1216" i="2"/>
  <c r="M1216" i="2"/>
  <c r="T1216" i="2" s="1"/>
  <c r="L1216" i="2"/>
  <c r="R1215" i="2"/>
  <c r="Q1215" i="2"/>
  <c r="S1215" i="2" s="1"/>
  <c r="P1215" i="2"/>
  <c r="O1215" i="2"/>
  <c r="N1215" i="2"/>
  <c r="M1215" i="2"/>
  <c r="T1215" i="2" s="1"/>
  <c r="L1215" i="2"/>
  <c r="R1214" i="2"/>
  <c r="Q1214" i="2"/>
  <c r="S1214" i="2" s="1"/>
  <c r="P1214" i="2"/>
  <c r="O1214" i="2"/>
  <c r="N1214" i="2"/>
  <c r="M1214" i="2"/>
  <c r="T1214" i="2" s="1"/>
  <c r="L1214" i="2"/>
  <c r="R1213" i="2"/>
  <c r="Q1213" i="2"/>
  <c r="P1213" i="2"/>
  <c r="O1213" i="2"/>
  <c r="N1213" i="2"/>
  <c r="M1213" i="2"/>
  <c r="T1213" i="2" s="1"/>
  <c r="L1213" i="2"/>
  <c r="R1212" i="2"/>
  <c r="Q1212" i="2"/>
  <c r="P1212" i="2"/>
  <c r="O1212" i="2"/>
  <c r="N1212" i="2"/>
  <c r="M1212" i="2"/>
  <c r="T1212" i="2" s="1"/>
  <c r="L1212" i="2"/>
  <c r="S1211" i="2"/>
  <c r="R1211" i="2"/>
  <c r="Q1211" i="2"/>
  <c r="P1211" i="2"/>
  <c r="O1211" i="2"/>
  <c r="N1211" i="2"/>
  <c r="M1211" i="2"/>
  <c r="T1211" i="2" s="1"/>
  <c r="L1211" i="2"/>
  <c r="R1210" i="2"/>
  <c r="S1210" i="2" s="1"/>
  <c r="Q1210" i="2"/>
  <c r="P1210" i="2"/>
  <c r="O1210" i="2"/>
  <c r="N1210" i="2"/>
  <c r="M1210" i="2"/>
  <c r="T1210" i="2" s="1"/>
  <c r="L1210" i="2"/>
  <c r="R1209" i="2"/>
  <c r="S1209" i="2" s="1"/>
  <c r="Q1209" i="2"/>
  <c r="P1209" i="2"/>
  <c r="O1209" i="2"/>
  <c r="N1209" i="2"/>
  <c r="M1209" i="2"/>
  <c r="T1209" i="2" s="1"/>
  <c r="L1209" i="2"/>
  <c r="R1208" i="2"/>
  <c r="Q1208" i="2"/>
  <c r="P1208" i="2"/>
  <c r="O1208" i="2"/>
  <c r="N1208" i="2"/>
  <c r="M1208" i="2"/>
  <c r="T1208" i="2" s="1"/>
  <c r="L1208" i="2"/>
  <c r="S1207" i="2"/>
  <c r="R1207" i="2"/>
  <c r="Q1207" i="2"/>
  <c r="P1207" i="2"/>
  <c r="O1207" i="2"/>
  <c r="N1207" i="2"/>
  <c r="M1207" i="2"/>
  <c r="T1207" i="2" s="1"/>
  <c r="L1207" i="2"/>
  <c r="T1206" i="2"/>
  <c r="R1206" i="2"/>
  <c r="Q1206" i="2"/>
  <c r="P1206" i="2"/>
  <c r="O1206" i="2"/>
  <c r="N1206" i="2"/>
  <c r="M1206" i="2"/>
  <c r="L1206" i="2"/>
  <c r="R1205" i="2"/>
  <c r="Q1205" i="2"/>
  <c r="S1205" i="2" s="1"/>
  <c r="P1205" i="2"/>
  <c r="O1205" i="2"/>
  <c r="N1205" i="2"/>
  <c r="M1205" i="2"/>
  <c r="T1205" i="2" s="1"/>
  <c r="L1205" i="2"/>
  <c r="R1204" i="2"/>
  <c r="Q1204" i="2"/>
  <c r="S1204" i="2" s="1"/>
  <c r="P1204" i="2"/>
  <c r="O1204" i="2"/>
  <c r="N1204" i="2"/>
  <c r="M1204" i="2"/>
  <c r="T1204" i="2" s="1"/>
  <c r="L1204" i="2"/>
  <c r="R1203" i="2"/>
  <c r="S1203" i="2" s="1"/>
  <c r="Q1203" i="2"/>
  <c r="P1203" i="2"/>
  <c r="O1203" i="2"/>
  <c r="N1203" i="2"/>
  <c r="M1203" i="2"/>
  <c r="T1203" i="2" s="1"/>
  <c r="L1203" i="2"/>
  <c r="R1202" i="2"/>
  <c r="Q1202" i="2"/>
  <c r="P1202" i="2"/>
  <c r="O1202" i="2"/>
  <c r="N1202" i="2"/>
  <c r="M1202" i="2"/>
  <c r="T1202" i="2" s="1"/>
  <c r="L1202" i="2"/>
  <c r="R1201" i="2"/>
  <c r="Q1201" i="2"/>
  <c r="P1201" i="2"/>
  <c r="O1201" i="2"/>
  <c r="N1201" i="2"/>
  <c r="M1201" i="2"/>
  <c r="T1201" i="2" s="1"/>
  <c r="L1201" i="2"/>
  <c r="R1200" i="2"/>
  <c r="Q1200" i="2"/>
  <c r="P1200" i="2"/>
  <c r="O1200" i="2"/>
  <c r="N1200" i="2"/>
  <c r="M1200" i="2"/>
  <c r="T1200" i="2" s="1"/>
  <c r="L1200" i="2"/>
  <c r="R1199" i="2"/>
  <c r="Q1199" i="2"/>
  <c r="S1199" i="2" s="1"/>
  <c r="P1199" i="2"/>
  <c r="O1199" i="2"/>
  <c r="N1199" i="2"/>
  <c r="M1199" i="2"/>
  <c r="T1199" i="2" s="1"/>
  <c r="L1199" i="2"/>
  <c r="R1198" i="2"/>
  <c r="S1198" i="2" s="1"/>
  <c r="Q1198" i="2"/>
  <c r="P1198" i="2"/>
  <c r="O1198" i="2"/>
  <c r="N1198" i="2"/>
  <c r="M1198" i="2"/>
  <c r="T1198" i="2" s="1"/>
  <c r="L1198" i="2"/>
  <c r="S1197" i="2"/>
  <c r="R1197" i="2"/>
  <c r="Q1197" i="2"/>
  <c r="P1197" i="2"/>
  <c r="O1197" i="2"/>
  <c r="N1197" i="2"/>
  <c r="M1197" i="2"/>
  <c r="T1197" i="2" s="1"/>
  <c r="L1197" i="2"/>
  <c r="R1196" i="2"/>
  <c r="Q1196" i="2"/>
  <c r="P1196" i="2"/>
  <c r="O1196" i="2"/>
  <c r="N1196" i="2"/>
  <c r="M1196" i="2"/>
  <c r="T1196" i="2" s="1"/>
  <c r="L1196" i="2"/>
  <c r="R1195" i="2"/>
  <c r="Q1195" i="2"/>
  <c r="P1195" i="2"/>
  <c r="O1195" i="2"/>
  <c r="N1195" i="2"/>
  <c r="M1195" i="2"/>
  <c r="T1195" i="2" s="1"/>
  <c r="L1195" i="2"/>
  <c r="S1194" i="2"/>
  <c r="R1194" i="2"/>
  <c r="Q1194" i="2"/>
  <c r="P1194" i="2"/>
  <c r="O1194" i="2"/>
  <c r="N1194" i="2"/>
  <c r="M1194" i="2"/>
  <c r="T1194" i="2" s="1"/>
  <c r="L1194" i="2"/>
  <c r="T1193" i="2"/>
  <c r="R1193" i="2"/>
  <c r="Q1193" i="2"/>
  <c r="S1193" i="2" s="1"/>
  <c r="P1193" i="2"/>
  <c r="O1193" i="2"/>
  <c r="N1193" i="2"/>
  <c r="M1193" i="2"/>
  <c r="L1193" i="2"/>
  <c r="R1192" i="2"/>
  <c r="Q1192" i="2"/>
  <c r="S1192" i="2" s="1"/>
  <c r="P1192" i="2"/>
  <c r="O1192" i="2"/>
  <c r="N1192" i="2"/>
  <c r="M1192" i="2"/>
  <c r="T1192" i="2" s="1"/>
  <c r="L1192" i="2"/>
  <c r="R1191" i="2"/>
  <c r="Q1191" i="2"/>
  <c r="S1191" i="2" s="1"/>
  <c r="P1191" i="2"/>
  <c r="O1191" i="2"/>
  <c r="N1191" i="2"/>
  <c r="M1191" i="2"/>
  <c r="T1191" i="2" s="1"/>
  <c r="L1191" i="2"/>
  <c r="R1190" i="2"/>
  <c r="S1190" i="2" s="1"/>
  <c r="Q1190" i="2"/>
  <c r="P1190" i="2"/>
  <c r="O1190" i="2"/>
  <c r="N1190" i="2"/>
  <c r="M1190" i="2"/>
  <c r="T1190" i="2" s="1"/>
  <c r="L1190" i="2"/>
  <c r="S1189" i="2"/>
  <c r="R1189" i="2"/>
  <c r="Q1189" i="2"/>
  <c r="P1189" i="2"/>
  <c r="O1189" i="2"/>
  <c r="N1189" i="2"/>
  <c r="M1189" i="2"/>
  <c r="T1189" i="2" s="1"/>
  <c r="L1189" i="2"/>
  <c r="T1188" i="2"/>
  <c r="R1188" i="2"/>
  <c r="Q1188" i="2"/>
  <c r="P1188" i="2"/>
  <c r="O1188" i="2"/>
  <c r="N1188" i="2"/>
  <c r="M1188" i="2"/>
  <c r="L1188" i="2"/>
  <c r="R1187" i="2"/>
  <c r="S1187" i="2" s="1"/>
  <c r="Q1187" i="2"/>
  <c r="P1187" i="2"/>
  <c r="O1187" i="2"/>
  <c r="N1187" i="2"/>
  <c r="M1187" i="2"/>
  <c r="T1187" i="2" s="1"/>
  <c r="L1187" i="2"/>
  <c r="S1186" i="2"/>
  <c r="R1186" i="2"/>
  <c r="Q1186" i="2"/>
  <c r="P1186" i="2"/>
  <c r="O1186" i="2"/>
  <c r="N1186" i="2"/>
  <c r="M1186" i="2"/>
  <c r="T1186" i="2" s="1"/>
  <c r="L1186" i="2"/>
  <c r="T1185" i="2"/>
  <c r="R1185" i="2"/>
  <c r="S1185" i="2" s="1"/>
  <c r="Q1185" i="2"/>
  <c r="P1185" i="2"/>
  <c r="O1185" i="2"/>
  <c r="N1185" i="2"/>
  <c r="M1185" i="2"/>
  <c r="L1185" i="2"/>
  <c r="T1184" i="2"/>
  <c r="R1184" i="2"/>
  <c r="Q1184" i="2"/>
  <c r="P1184" i="2"/>
  <c r="O1184" i="2"/>
  <c r="N1184" i="2"/>
  <c r="M1184" i="2"/>
  <c r="L1184" i="2"/>
  <c r="R1183" i="2"/>
  <c r="S1183" i="2" s="1"/>
  <c r="Q1183" i="2"/>
  <c r="P1183" i="2"/>
  <c r="O1183" i="2"/>
  <c r="N1183" i="2"/>
  <c r="M1183" i="2"/>
  <c r="T1183" i="2" s="1"/>
  <c r="L1183" i="2"/>
  <c r="T1182" i="2"/>
  <c r="R1182" i="2"/>
  <c r="Q1182" i="2"/>
  <c r="S1182" i="2" s="1"/>
  <c r="P1182" i="2"/>
  <c r="O1182" i="2"/>
  <c r="N1182" i="2"/>
  <c r="M1182" i="2"/>
  <c r="L1182" i="2"/>
  <c r="R1181" i="2"/>
  <c r="Q1181" i="2"/>
  <c r="P1181" i="2"/>
  <c r="O1181" i="2"/>
  <c r="N1181" i="2"/>
  <c r="M1181" i="2"/>
  <c r="T1181" i="2" s="1"/>
  <c r="L1181" i="2"/>
  <c r="R1180" i="2"/>
  <c r="Q1180" i="2"/>
  <c r="S1180" i="2" s="1"/>
  <c r="P1180" i="2"/>
  <c r="O1180" i="2"/>
  <c r="N1180" i="2"/>
  <c r="M1180" i="2"/>
  <c r="T1180" i="2" s="1"/>
  <c r="L1180" i="2"/>
  <c r="R1179" i="2"/>
  <c r="Q1179" i="2"/>
  <c r="P1179" i="2"/>
  <c r="O1179" i="2"/>
  <c r="N1179" i="2"/>
  <c r="M1179" i="2"/>
  <c r="T1179" i="2" s="1"/>
  <c r="L1179" i="2"/>
  <c r="R1178" i="2"/>
  <c r="Q1178" i="2"/>
  <c r="S1178" i="2" s="1"/>
  <c r="P1178" i="2"/>
  <c r="O1178" i="2"/>
  <c r="N1178" i="2"/>
  <c r="M1178" i="2"/>
  <c r="T1178" i="2" s="1"/>
  <c r="L1178" i="2"/>
  <c r="R1177" i="2"/>
  <c r="Q1177" i="2"/>
  <c r="S1177" i="2" s="1"/>
  <c r="P1177" i="2"/>
  <c r="O1177" i="2"/>
  <c r="N1177" i="2"/>
  <c r="M1177" i="2"/>
  <c r="T1177" i="2" s="1"/>
  <c r="L1177" i="2"/>
  <c r="R1176" i="2"/>
  <c r="Q1176" i="2"/>
  <c r="P1176" i="2"/>
  <c r="O1176" i="2"/>
  <c r="N1176" i="2"/>
  <c r="M1176" i="2"/>
  <c r="T1176" i="2" s="1"/>
  <c r="L1176" i="2"/>
  <c r="R1175" i="2"/>
  <c r="Q1175" i="2"/>
  <c r="S1175" i="2" s="1"/>
  <c r="P1175" i="2"/>
  <c r="O1175" i="2"/>
  <c r="N1175" i="2"/>
  <c r="M1175" i="2"/>
  <c r="T1175" i="2" s="1"/>
  <c r="L1175" i="2"/>
  <c r="S1174" i="2"/>
  <c r="R1174" i="2"/>
  <c r="Q1174" i="2"/>
  <c r="P1174" i="2"/>
  <c r="O1174" i="2"/>
  <c r="N1174" i="2"/>
  <c r="M1174" i="2"/>
  <c r="T1174" i="2" s="1"/>
  <c r="L1174" i="2"/>
  <c r="S1173" i="2"/>
  <c r="R1173" i="2"/>
  <c r="Q1173" i="2"/>
  <c r="P1173" i="2"/>
  <c r="O1173" i="2"/>
  <c r="N1173" i="2"/>
  <c r="M1173" i="2"/>
  <c r="T1173" i="2" s="1"/>
  <c r="L1173" i="2"/>
  <c r="R1172" i="2"/>
  <c r="Q1172" i="2"/>
  <c r="S1172" i="2" s="1"/>
  <c r="P1172" i="2"/>
  <c r="O1172" i="2"/>
  <c r="N1172" i="2"/>
  <c r="M1172" i="2"/>
  <c r="T1172" i="2" s="1"/>
  <c r="L1172" i="2"/>
  <c r="R1171" i="2"/>
  <c r="Q1171" i="2"/>
  <c r="P1171" i="2"/>
  <c r="O1171" i="2"/>
  <c r="N1171" i="2"/>
  <c r="M1171" i="2"/>
  <c r="T1171" i="2" s="1"/>
  <c r="L1171" i="2"/>
  <c r="S1170" i="2"/>
  <c r="R1170" i="2"/>
  <c r="Q1170" i="2"/>
  <c r="P1170" i="2"/>
  <c r="O1170" i="2"/>
  <c r="N1170" i="2"/>
  <c r="M1170" i="2"/>
  <c r="T1170" i="2" s="1"/>
  <c r="L1170" i="2"/>
  <c r="R1169" i="2"/>
  <c r="Q1169" i="2"/>
  <c r="S1169" i="2" s="1"/>
  <c r="P1169" i="2"/>
  <c r="O1169" i="2"/>
  <c r="N1169" i="2"/>
  <c r="M1169" i="2"/>
  <c r="T1169" i="2" s="1"/>
  <c r="L1169" i="2"/>
  <c r="R1168" i="2"/>
  <c r="Q1168" i="2"/>
  <c r="P1168" i="2"/>
  <c r="O1168" i="2"/>
  <c r="N1168" i="2"/>
  <c r="M1168" i="2"/>
  <c r="T1168" i="2" s="1"/>
  <c r="L1168" i="2"/>
  <c r="R1167" i="2"/>
  <c r="S1167" i="2" s="1"/>
  <c r="Q1167" i="2"/>
  <c r="P1167" i="2"/>
  <c r="O1167" i="2"/>
  <c r="N1167" i="2"/>
  <c r="M1167" i="2"/>
  <c r="T1167" i="2" s="1"/>
  <c r="L1167" i="2"/>
  <c r="R1166" i="2"/>
  <c r="Q1166" i="2"/>
  <c r="S1166" i="2" s="1"/>
  <c r="P1166" i="2"/>
  <c r="O1166" i="2"/>
  <c r="N1166" i="2"/>
  <c r="M1166" i="2"/>
  <c r="T1166" i="2" s="1"/>
  <c r="L1166" i="2"/>
  <c r="R1165" i="2"/>
  <c r="Q1165" i="2"/>
  <c r="P1165" i="2"/>
  <c r="O1165" i="2"/>
  <c r="N1165" i="2"/>
  <c r="M1165" i="2"/>
  <c r="T1165" i="2" s="1"/>
  <c r="L1165" i="2"/>
  <c r="R1164" i="2"/>
  <c r="Q1164" i="2"/>
  <c r="P1164" i="2"/>
  <c r="O1164" i="2"/>
  <c r="N1164" i="2"/>
  <c r="M1164" i="2"/>
  <c r="T1164" i="2" s="1"/>
  <c r="L1164" i="2"/>
  <c r="R1163" i="2"/>
  <c r="Q1163" i="2"/>
  <c r="P1163" i="2"/>
  <c r="O1163" i="2"/>
  <c r="N1163" i="2"/>
  <c r="M1163" i="2"/>
  <c r="T1163" i="2" s="1"/>
  <c r="L1163" i="2"/>
  <c r="R1162" i="2"/>
  <c r="Q1162" i="2"/>
  <c r="P1162" i="2"/>
  <c r="O1162" i="2"/>
  <c r="N1162" i="2"/>
  <c r="M1162" i="2"/>
  <c r="T1162" i="2" s="1"/>
  <c r="L1162" i="2"/>
  <c r="R1161" i="2"/>
  <c r="S1161" i="2" s="1"/>
  <c r="Q1161" i="2"/>
  <c r="P1161" i="2"/>
  <c r="O1161" i="2"/>
  <c r="N1161" i="2"/>
  <c r="M1161" i="2"/>
  <c r="T1161" i="2" s="1"/>
  <c r="L1161" i="2"/>
  <c r="R1160" i="2"/>
  <c r="Q1160" i="2"/>
  <c r="P1160" i="2"/>
  <c r="O1160" i="2"/>
  <c r="N1160" i="2"/>
  <c r="M1160" i="2"/>
  <c r="T1160" i="2" s="1"/>
  <c r="L1160" i="2"/>
  <c r="T1159" i="2"/>
  <c r="R1159" i="2"/>
  <c r="Q1159" i="2"/>
  <c r="S1159" i="2" s="1"/>
  <c r="P1159" i="2"/>
  <c r="O1159" i="2"/>
  <c r="N1159" i="2"/>
  <c r="M1159" i="2"/>
  <c r="L1159" i="2"/>
  <c r="R1158" i="2"/>
  <c r="Q1158" i="2"/>
  <c r="P1158" i="2"/>
  <c r="O1158" i="2"/>
  <c r="N1158" i="2"/>
  <c r="M1158" i="2"/>
  <c r="T1158" i="2" s="1"/>
  <c r="L1158" i="2"/>
  <c r="R1157" i="2"/>
  <c r="S1157" i="2" s="1"/>
  <c r="Q1157" i="2"/>
  <c r="P1157" i="2"/>
  <c r="O1157" i="2"/>
  <c r="N1157" i="2"/>
  <c r="M1157" i="2"/>
  <c r="T1157" i="2" s="1"/>
  <c r="L1157" i="2"/>
  <c r="T1156" i="2"/>
  <c r="R1156" i="2"/>
  <c r="Q1156" i="2"/>
  <c r="P1156" i="2"/>
  <c r="O1156" i="2"/>
  <c r="N1156" i="2"/>
  <c r="M1156" i="2"/>
  <c r="L1156" i="2"/>
  <c r="R1155" i="2"/>
  <c r="Q1155" i="2"/>
  <c r="P1155" i="2"/>
  <c r="O1155" i="2"/>
  <c r="N1155" i="2"/>
  <c r="M1155" i="2"/>
  <c r="T1155" i="2" s="1"/>
  <c r="L1155" i="2"/>
  <c r="R1154" i="2"/>
  <c r="Q1154" i="2"/>
  <c r="P1154" i="2"/>
  <c r="O1154" i="2"/>
  <c r="N1154" i="2"/>
  <c r="M1154" i="2"/>
  <c r="T1154" i="2" s="1"/>
  <c r="L1154" i="2"/>
  <c r="R1153" i="2"/>
  <c r="Q1153" i="2"/>
  <c r="P1153" i="2"/>
  <c r="O1153" i="2"/>
  <c r="N1153" i="2"/>
  <c r="M1153" i="2"/>
  <c r="T1153" i="2" s="1"/>
  <c r="L1153" i="2"/>
  <c r="R1152" i="2"/>
  <c r="Q1152" i="2"/>
  <c r="P1152" i="2"/>
  <c r="O1152" i="2"/>
  <c r="N1152" i="2"/>
  <c r="M1152" i="2"/>
  <c r="T1152" i="2" s="1"/>
  <c r="L1152" i="2"/>
  <c r="R1151" i="2"/>
  <c r="Q1151" i="2"/>
  <c r="P1151" i="2"/>
  <c r="O1151" i="2"/>
  <c r="N1151" i="2"/>
  <c r="M1151" i="2"/>
  <c r="T1151" i="2" s="1"/>
  <c r="L1151" i="2"/>
  <c r="R1150" i="2"/>
  <c r="S1150" i="2" s="1"/>
  <c r="Q1150" i="2"/>
  <c r="P1150" i="2"/>
  <c r="O1150" i="2"/>
  <c r="N1150" i="2"/>
  <c r="M1150" i="2"/>
  <c r="T1150" i="2" s="1"/>
  <c r="L1150" i="2"/>
  <c r="R1149" i="2"/>
  <c r="Q1149" i="2"/>
  <c r="P1149" i="2"/>
  <c r="O1149" i="2"/>
  <c r="N1149" i="2"/>
  <c r="M1149" i="2"/>
  <c r="T1149" i="2" s="1"/>
  <c r="L1149" i="2"/>
  <c r="T1148" i="2"/>
  <c r="R1148" i="2"/>
  <c r="Q1148" i="2"/>
  <c r="P1148" i="2"/>
  <c r="O1148" i="2"/>
  <c r="N1148" i="2"/>
  <c r="M1148" i="2"/>
  <c r="L1148" i="2"/>
  <c r="R1147" i="2"/>
  <c r="Q1147" i="2"/>
  <c r="S1147" i="2" s="1"/>
  <c r="P1147" i="2"/>
  <c r="O1147" i="2"/>
  <c r="N1147" i="2"/>
  <c r="M1147" i="2"/>
  <c r="T1147" i="2" s="1"/>
  <c r="L1147" i="2"/>
  <c r="S1146" i="2"/>
  <c r="R1146" i="2"/>
  <c r="Q1146" i="2"/>
  <c r="P1146" i="2"/>
  <c r="O1146" i="2"/>
  <c r="N1146" i="2"/>
  <c r="M1146" i="2"/>
  <c r="T1146" i="2" s="1"/>
  <c r="L1146" i="2"/>
  <c r="T1145" i="2"/>
  <c r="R1145" i="2"/>
  <c r="Q1145" i="2"/>
  <c r="S1145" i="2" s="1"/>
  <c r="P1145" i="2"/>
  <c r="O1145" i="2"/>
  <c r="N1145" i="2"/>
  <c r="M1145" i="2"/>
  <c r="L1145" i="2"/>
  <c r="R1144" i="2"/>
  <c r="Q1144" i="2"/>
  <c r="P1144" i="2"/>
  <c r="O1144" i="2"/>
  <c r="N1144" i="2"/>
  <c r="M1144" i="2"/>
  <c r="T1144" i="2" s="1"/>
  <c r="L1144" i="2"/>
  <c r="R1143" i="2"/>
  <c r="Q1143" i="2"/>
  <c r="P1143" i="2"/>
  <c r="O1143" i="2"/>
  <c r="N1143" i="2"/>
  <c r="M1143" i="2"/>
  <c r="T1143" i="2" s="1"/>
  <c r="L1143" i="2"/>
  <c r="R1142" i="2"/>
  <c r="S1142" i="2" s="1"/>
  <c r="Q1142" i="2"/>
  <c r="P1142" i="2"/>
  <c r="O1142" i="2"/>
  <c r="N1142" i="2"/>
  <c r="M1142" i="2"/>
  <c r="T1142" i="2" s="1"/>
  <c r="L1142" i="2"/>
  <c r="S1141" i="2"/>
  <c r="R1141" i="2"/>
  <c r="Q1141" i="2"/>
  <c r="P1141" i="2"/>
  <c r="O1141" i="2"/>
  <c r="N1141" i="2"/>
  <c r="M1141" i="2"/>
  <c r="T1141" i="2" s="1"/>
  <c r="L1141" i="2"/>
  <c r="T1140" i="2"/>
  <c r="R1140" i="2"/>
  <c r="Q1140" i="2"/>
  <c r="P1140" i="2"/>
  <c r="O1140" i="2"/>
  <c r="N1140" i="2"/>
  <c r="M1140" i="2"/>
  <c r="L1140" i="2"/>
  <c r="R1139" i="2"/>
  <c r="S1139" i="2" s="1"/>
  <c r="Q1139" i="2"/>
  <c r="P1139" i="2"/>
  <c r="O1139" i="2"/>
  <c r="N1139" i="2"/>
  <c r="M1139" i="2"/>
  <c r="T1139" i="2" s="1"/>
  <c r="L1139" i="2"/>
  <c r="S1138" i="2"/>
  <c r="R1138" i="2"/>
  <c r="Q1138" i="2"/>
  <c r="P1138" i="2"/>
  <c r="O1138" i="2"/>
  <c r="N1138" i="2"/>
  <c r="M1138" i="2"/>
  <c r="T1138" i="2" s="1"/>
  <c r="L1138" i="2"/>
  <c r="T1137" i="2"/>
  <c r="S1137" i="2"/>
  <c r="R1137" i="2"/>
  <c r="Q1137" i="2"/>
  <c r="P1137" i="2"/>
  <c r="O1137" i="2"/>
  <c r="N1137" i="2"/>
  <c r="M1137" i="2"/>
  <c r="L1137" i="2"/>
  <c r="R1136" i="2"/>
  <c r="Q1136" i="2"/>
  <c r="P1136" i="2"/>
  <c r="O1136" i="2"/>
  <c r="N1136" i="2"/>
  <c r="M1136" i="2"/>
  <c r="T1136" i="2" s="1"/>
  <c r="L1136" i="2"/>
  <c r="S1135" i="2"/>
  <c r="R1135" i="2"/>
  <c r="Q1135" i="2"/>
  <c r="P1135" i="2"/>
  <c r="O1135" i="2"/>
  <c r="N1135" i="2"/>
  <c r="M1135" i="2"/>
  <c r="T1135" i="2" s="1"/>
  <c r="L1135" i="2"/>
  <c r="T1134" i="2"/>
  <c r="R1134" i="2"/>
  <c r="Q1134" i="2"/>
  <c r="P1134" i="2"/>
  <c r="O1134" i="2"/>
  <c r="N1134" i="2"/>
  <c r="M1134" i="2"/>
  <c r="L1134" i="2"/>
  <c r="R1133" i="2"/>
  <c r="Q1133" i="2"/>
  <c r="P1133" i="2"/>
  <c r="O1133" i="2"/>
  <c r="N1133" i="2"/>
  <c r="M1133" i="2"/>
  <c r="T1133" i="2" s="1"/>
  <c r="L1133" i="2"/>
  <c r="R1132" i="2"/>
  <c r="Q1132" i="2"/>
  <c r="S1132" i="2" s="1"/>
  <c r="P1132" i="2"/>
  <c r="O1132" i="2"/>
  <c r="N1132" i="2"/>
  <c r="M1132" i="2"/>
  <c r="T1132" i="2" s="1"/>
  <c r="L1132" i="2"/>
  <c r="R1131" i="2"/>
  <c r="S1131" i="2" s="1"/>
  <c r="Q1131" i="2"/>
  <c r="P1131" i="2"/>
  <c r="O1131" i="2"/>
  <c r="N1131" i="2"/>
  <c r="M1131" i="2"/>
  <c r="T1131" i="2" s="1"/>
  <c r="L1131" i="2"/>
  <c r="S1130" i="2"/>
  <c r="R1130" i="2"/>
  <c r="Q1130" i="2"/>
  <c r="P1130" i="2"/>
  <c r="O1130" i="2"/>
  <c r="N1130" i="2"/>
  <c r="M1130" i="2"/>
  <c r="T1130" i="2" s="1"/>
  <c r="L1130" i="2"/>
  <c r="T1129" i="2"/>
  <c r="R1129" i="2"/>
  <c r="S1129" i="2" s="1"/>
  <c r="Q1129" i="2"/>
  <c r="P1129" i="2"/>
  <c r="O1129" i="2"/>
  <c r="N1129" i="2"/>
  <c r="M1129" i="2"/>
  <c r="L1129" i="2"/>
  <c r="R1128" i="2"/>
  <c r="Q1128" i="2"/>
  <c r="P1128" i="2"/>
  <c r="O1128" i="2"/>
  <c r="N1128" i="2"/>
  <c r="M1128" i="2"/>
  <c r="T1128" i="2" s="1"/>
  <c r="L1128" i="2"/>
  <c r="R1127" i="2"/>
  <c r="S1127" i="2" s="1"/>
  <c r="Q1127" i="2"/>
  <c r="P1127" i="2"/>
  <c r="O1127" i="2"/>
  <c r="N1127" i="2"/>
  <c r="M1127" i="2"/>
  <c r="T1127" i="2" s="1"/>
  <c r="L1127" i="2"/>
  <c r="R1126" i="2"/>
  <c r="Q1126" i="2"/>
  <c r="P1126" i="2"/>
  <c r="O1126" i="2"/>
  <c r="N1126" i="2"/>
  <c r="M1126" i="2"/>
  <c r="T1126" i="2" s="1"/>
  <c r="L1126" i="2"/>
  <c r="R1125" i="2"/>
  <c r="Q1125" i="2"/>
  <c r="S1125" i="2" s="1"/>
  <c r="P1125" i="2"/>
  <c r="O1125" i="2"/>
  <c r="N1125" i="2"/>
  <c r="M1125" i="2"/>
  <c r="T1125" i="2" s="1"/>
  <c r="L1125" i="2"/>
  <c r="R1124" i="2"/>
  <c r="Q1124" i="2"/>
  <c r="P1124" i="2"/>
  <c r="O1124" i="2"/>
  <c r="N1124" i="2"/>
  <c r="M1124" i="2"/>
  <c r="T1124" i="2" s="1"/>
  <c r="L1124" i="2"/>
  <c r="R1123" i="2"/>
  <c r="Q1123" i="2"/>
  <c r="P1123" i="2"/>
  <c r="O1123" i="2"/>
  <c r="N1123" i="2"/>
  <c r="M1123" i="2"/>
  <c r="T1123" i="2" s="1"/>
  <c r="L1123" i="2"/>
  <c r="R1122" i="2"/>
  <c r="Q1122" i="2"/>
  <c r="P1122" i="2"/>
  <c r="O1122" i="2"/>
  <c r="N1122" i="2"/>
  <c r="M1122" i="2"/>
  <c r="T1122" i="2" s="1"/>
  <c r="L1122" i="2"/>
  <c r="T1121" i="2"/>
  <c r="R1121" i="2"/>
  <c r="Q1121" i="2"/>
  <c r="P1121" i="2"/>
  <c r="O1121" i="2"/>
  <c r="N1121" i="2"/>
  <c r="M1121" i="2"/>
  <c r="L1121" i="2"/>
  <c r="R1120" i="2"/>
  <c r="Q1120" i="2"/>
  <c r="P1120" i="2"/>
  <c r="O1120" i="2"/>
  <c r="N1120" i="2"/>
  <c r="M1120" i="2"/>
  <c r="T1120" i="2" s="1"/>
  <c r="L1120" i="2"/>
  <c r="R1119" i="2"/>
  <c r="S1119" i="2" s="1"/>
  <c r="Q1119" i="2"/>
  <c r="P1119" i="2"/>
  <c r="O1119" i="2"/>
  <c r="N1119" i="2"/>
  <c r="M1119" i="2"/>
  <c r="T1119" i="2" s="1"/>
  <c r="L1119" i="2"/>
  <c r="R1118" i="2"/>
  <c r="Q1118" i="2"/>
  <c r="S1118" i="2" s="1"/>
  <c r="P1118" i="2"/>
  <c r="O1118" i="2"/>
  <c r="N1118" i="2"/>
  <c r="M1118" i="2"/>
  <c r="T1118" i="2" s="1"/>
  <c r="L1118" i="2"/>
  <c r="R1117" i="2"/>
  <c r="Q1117" i="2"/>
  <c r="S1117" i="2" s="1"/>
  <c r="P1117" i="2"/>
  <c r="O1117" i="2"/>
  <c r="N1117" i="2"/>
  <c r="M1117" i="2"/>
  <c r="T1117" i="2" s="1"/>
  <c r="L1117" i="2"/>
  <c r="R1116" i="2"/>
  <c r="Q1116" i="2"/>
  <c r="S1116" i="2" s="1"/>
  <c r="P1116" i="2"/>
  <c r="O1116" i="2"/>
  <c r="N1116" i="2"/>
  <c r="M1116" i="2"/>
  <c r="T1116" i="2" s="1"/>
  <c r="L1116" i="2"/>
  <c r="R1115" i="2"/>
  <c r="S1115" i="2" s="1"/>
  <c r="Q1115" i="2"/>
  <c r="P1115" i="2"/>
  <c r="O1115" i="2"/>
  <c r="N1115" i="2"/>
  <c r="M1115" i="2"/>
  <c r="T1115" i="2" s="1"/>
  <c r="L1115" i="2"/>
  <c r="R1114" i="2"/>
  <c r="Q1114" i="2"/>
  <c r="P1114" i="2"/>
  <c r="O1114" i="2"/>
  <c r="N1114" i="2"/>
  <c r="M1114" i="2"/>
  <c r="T1114" i="2" s="1"/>
  <c r="L1114" i="2"/>
  <c r="R1113" i="2"/>
  <c r="S1113" i="2" s="1"/>
  <c r="Q1113" i="2"/>
  <c r="P1113" i="2"/>
  <c r="O1113" i="2"/>
  <c r="N1113" i="2"/>
  <c r="M1113" i="2"/>
  <c r="T1113" i="2" s="1"/>
  <c r="L1113" i="2"/>
  <c r="R1112" i="2"/>
  <c r="Q1112" i="2"/>
  <c r="P1112" i="2"/>
  <c r="O1112" i="2"/>
  <c r="N1112" i="2"/>
  <c r="M1112" i="2"/>
  <c r="T1112" i="2" s="1"/>
  <c r="L1112" i="2"/>
  <c r="R1111" i="2"/>
  <c r="Q1111" i="2"/>
  <c r="P1111" i="2"/>
  <c r="O1111" i="2"/>
  <c r="N1111" i="2"/>
  <c r="M1111" i="2"/>
  <c r="T1111" i="2" s="1"/>
  <c r="L1111" i="2"/>
  <c r="R1110" i="2"/>
  <c r="Q1110" i="2"/>
  <c r="P1110" i="2"/>
  <c r="O1110" i="2"/>
  <c r="N1110" i="2"/>
  <c r="M1110" i="2"/>
  <c r="T1110" i="2" s="1"/>
  <c r="L1110" i="2"/>
  <c r="R1109" i="2"/>
  <c r="Q1109" i="2"/>
  <c r="S1109" i="2" s="1"/>
  <c r="P1109" i="2"/>
  <c r="O1109" i="2"/>
  <c r="N1109" i="2"/>
  <c r="M1109" i="2"/>
  <c r="T1109" i="2" s="1"/>
  <c r="L1109" i="2"/>
  <c r="R1108" i="2"/>
  <c r="Q1108" i="2"/>
  <c r="S1108" i="2" s="1"/>
  <c r="P1108" i="2"/>
  <c r="O1108" i="2"/>
  <c r="N1108" i="2"/>
  <c r="M1108" i="2"/>
  <c r="T1108" i="2" s="1"/>
  <c r="L1108" i="2"/>
  <c r="R1107" i="2"/>
  <c r="Q1107" i="2"/>
  <c r="S1107" i="2" s="1"/>
  <c r="P1107" i="2"/>
  <c r="O1107" i="2"/>
  <c r="N1107" i="2"/>
  <c r="M1107" i="2"/>
  <c r="T1107" i="2" s="1"/>
  <c r="L1107" i="2"/>
  <c r="R1106" i="2"/>
  <c r="Q1106" i="2"/>
  <c r="S1106" i="2" s="1"/>
  <c r="P1106" i="2"/>
  <c r="O1106" i="2"/>
  <c r="N1106" i="2"/>
  <c r="M1106" i="2"/>
  <c r="T1106" i="2" s="1"/>
  <c r="L1106" i="2"/>
  <c r="R1105" i="2"/>
  <c r="S1105" i="2" s="1"/>
  <c r="Q1105" i="2"/>
  <c r="P1105" i="2"/>
  <c r="O1105" i="2"/>
  <c r="N1105" i="2"/>
  <c r="M1105" i="2"/>
  <c r="T1105" i="2" s="1"/>
  <c r="L1105" i="2"/>
  <c r="T1104" i="2"/>
  <c r="R1104" i="2"/>
  <c r="Q1104" i="2"/>
  <c r="P1104" i="2"/>
  <c r="O1104" i="2"/>
  <c r="N1104" i="2"/>
  <c r="M1104" i="2"/>
  <c r="L1104" i="2"/>
  <c r="R1103" i="2"/>
  <c r="Q1103" i="2"/>
  <c r="S1103" i="2" s="1"/>
  <c r="P1103" i="2"/>
  <c r="O1103" i="2"/>
  <c r="N1103" i="2"/>
  <c r="M1103" i="2"/>
  <c r="T1103" i="2" s="1"/>
  <c r="L1103" i="2"/>
  <c r="R1102" i="2"/>
  <c r="S1102" i="2" s="1"/>
  <c r="Q1102" i="2"/>
  <c r="P1102" i="2"/>
  <c r="O1102" i="2"/>
  <c r="N1102" i="2"/>
  <c r="M1102" i="2"/>
  <c r="T1102" i="2" s="1"/>
  <c r="L1102" i="2"/>
  <c r="R1101" i="2"/>
  <c r="Q1101" i="2"/>
  <c r="P1101" i="2"/>
  <c r="O1101" i="2"/>
  <c r="N1101" i="2"/>
  <c r="M1101" i="2"/>
  <c r="T1101" i="2" s="1"/>
  <c r="L1101" i="2"/>
  <c r="R1100" i="2"/>
  <c r="Q1100" i="2"/>
  <c r="P1100" i="2"/>
  <c r="O1100" i="2"/>
  <c r="N1100" i="2"/>
  <c r="M1100" i="2"/>
  <c r="T1100" i="2" s="1"/>
  <c r="L1100" i="2"/>
  <c r="T1099" i="2"/>
  <c r="R1099" i="2"/>
  <c r="Q1099" i="2"/>
  <c r="P1099" i="2"/>
  <c r="O1099" i="2"/>
  <c r="N1099" i="2"/>
  <c r="M1099" i="2"/>
  <c r="L1099" i="2"/>
  <c r="R1098" i="2"/>
  <c r="S1098" i="2" s="1"/>
  <c r="Q1098" i="2"/>
  <c r="P1098" i="2"/>
  <c r="O1098" i="2"/>
  <c r="N1098" i="2"/>
  <c r="M1098" i="2"/>
  <c r="T1098" i="2" s="1"/>
  <c r="L1098" i="2"/>
  <c r="R1097" i="2"/>
  <c r="Q1097" i="2"/>
  <c r="S1097" i="2" s="1"/>
  <c r="P1097" i="2"/>
  <c r="O1097" i="2"/>
  <c r="N1097" i="2"/>
  <c r="M1097" i="2"/>
  <c r="T1097" i="2" s="1"/>
  <c r="L1097" i="2"/>
  <c r="R1096" i="2"/>
  <c r="Q1096" i="2"/>
  <c r="S1096" i="2" s="1"/>
  <c r="P1096" i="2"/>
  <c r="O1096" i="2"/>
  <c r="N1096" i="2"/>
  <c r="M1096" i="2"/>
  <c r="T1096" i="2" s="1"/>
  <c r="L1096" i="2"/>
  <c r="R1095" i="2"/>
  <c r="Q1095" i="2"/>
  <c r="S1095" i="2" s="1"/>
  <c r="P1095" i="2"/>
  <c r="O1095" i="2"/>
  <c r="N1095" i="2"/>
  <c r="M1095" i="2"/>
  <c r="T1095" i="2" s="1"/>
  <c r="L1095" i="2"/>
  <c r="T1094" i="2"/>
  <c r="R1094" i="2"/>
  <c r="S1094" i="2" s="1"/>
  <c r="Q1094" i="2"/>
  <c r="P1094" i="2"/>
  <c r="O1094" i="2"/>
  <c r="N1094" i="2"/>
  <c r="M1094" i="2"/>
  <c r="L1094" i="2"/>
  <c r="T1093" i="2"/>
  <c r="R1093" i="2"/>
  <c r="Q1093" i="2"/>
  <c r="S1093" i="2" s="1"/>
  <c r="P1093" i="2"/>
  <c r="O1093" i="2"/>
  <c r="N1093" i="2"/>
  <c r="M1093" i="2"/>
  <c r="L1093" i="2"/>
  <c r="R1092" i="2"/>
  <c r="Q1092" i="2"/>
  <c r="S1092" i="2" s="1"/>
  <c r="P1092" i="2"/>
  <c r="O1092" i="2"/>
  <c r="N1092" i="2"/>
  <c r="M1092" i="2"/>
  <c r="T1092" i="2" s="1"/>
  <c r="L1092" i="2"/>
  <c r="R1091" i="2"/>
  <c r="Q1091" i="2"/>
  <c r="P1091" i="2"/>
  <c r="O1091" i="2"/>
  <c r="N1091" i="2"/>
  <c r="M1091" i="2"/>
  <c r="T1091" i="2" s="1"/>
  <c r="L1091" i="2"/>
  <c r="R1090" i="2"/>
  <c r="Q1090" i="2"/>
  <c r="S1090" i="2" s="1"/>
  <c r="P1090" i="2"/>
  <c r="O1090" i="2"/>
  <c r="N1090" i="2"/>
  <c r="M1090" i="2"/>
  <c r="T1090" i="2" s="1"/>
  <c r="L1090" i="2"/>
  <c r="R1089" i="2"/>
  <c r="Q1089" i="2"/>
  <c r="P1089" i="2"/>
  <c r="O1089" i="2"/>
  <c r="N1089" i="2"/>
  <c r="M1089" i="2"/>
  <c r="T1089" i="2" s="1"/>
  <c r="L1089" i="2"/>
  <c r="T1088" i="2"/>
  <c r="R1088" i="2"/>
  <c r="Q1088" i="2"/>
  <c r="P1088" i="2"/>
  <c r="O1088" i="2"/>
  <c r="N1088" i="2"/>
  <c r="M1088" i="2"/>
  <c r="L1088" i="2"/>
  <c r="R1087" i="2"/>
  <c r="Q1087" i="2"/>
  <c r="S1087" i="2" s="1"/>
  <c r="P1087" i="2"/>
  <c r="O1087" i="2"/>
  <c r="N1087" i="2"/>
  <c r="M1087" i="2"/>
  <c r="T1087" i="2" s="1"/>
  <c r="L1087" i="2"/>
  <c r="R1086" i="2"/>
  <c r="Q1086" i="2"/>
  <c r="S1086" i="2" s="1"/>
  <c r="P1086" i="2"/>
  <c r="O1086" i="2"/>
  <c r="N1086" i="2"/>
  <c r="M1086" i="2"/>
  <c r="T1086" i="2" s="1"/>
  <c r="L1086" i="2"/>
  <c r="S1085" i="2"/>
  <c r="R1085" i="2"/>
  <c r="Q1085" i="2"/>
  <c r="P1085" i="2"/>
  <c r="O1085" i="2"/>
  <c r="N1085" i="2"/>
  <c r="M1085" i="2"/>
  <c r="T1085" i="2" s="1"/>
  <c r="L1085" i="2"/>
  <c r="R1084" i="2"/>
  <c r="Q1084" i="2"/>
  <c r="S1084" i="2" s="1"/>
  <c r="P1084" i="2"/>
  <c r="O1084" i="2"/>
  <c r="N1084" i="2"/>
  <c r="M1084" i="2"/>
  <c r="T1084" i="2" s="1"/>
  <c r="L1084" i="2"/>
  <c r="R1083" i="2"/>
  <c r="S1083" i="2" s="1"/>
  <c r="Q1083" i="2"/>
  <c r="P1083" i="2"/>
  <c r="O1083" i="2"/>
  <c r="N1083" i="2"/>
  <c r="M1083" i="2"/>
  <c r="T1083" i="2" s="1"/>
  <c r="L1083" i="2"/>
  <c r="R1082" i="2"/>
  <c r="S1082" i="2" s="1"/>
  <c r="Q1082" i="2"/>
  <c r="P1082" i="2"/>
  <c r="O1082" i="2"/>
  <c r="N1082" i="2"/>
  <c r="M1082" i="2"/>
  <c r="T1082" i="2" s="1"/>
  <c r="L1082" i="2"/>
  <c r="R1081" i="2"/>
  <c r="Q1081" i="2"/>
  <c r="S1081" i="2" s="1"/>
  <c r="P1081" i="2"/>
  <c r="O1081" i="2"/>
  <c r="N1081" i="2"/>
  <c r="M1081" i="2"/>
  <c r="T1081" i="2" s="1"/>
  <c r="L1081" i="2"/>
  <c r="R1080" i="2"/>
  <c r="Q1080" i="2"/>
  <c r="P1080" i="2"/>
  <c r="O1080" i="2"/>
  <c r="N1080" i="2"/>
  <c r="M1080" i="2"/>
  <c r="T1080" i="2" s="1"/>
  <c r="L1080" i="2"/>
  <c r="R1079" i="2"/>
  <c r="Q1079" i="2"/>
  <c r="P1079" i="2"/>
  <c r="O1079" i="2"/>
  <c r="N1079" i="2"/>
  <c r="M1079" i="2"/>
  <c r="T1079" i="2" s="1"/>
  <c r="L1079" i="2"/>
  <c r="R1078" i="2"/>
  <c r="S1078" i="2" s="1"/>
  <c r="Q1078" i="2"/>
  <c r="P1078" i="2"/>
  <c r="O1078" i="2"/>
  <c r="N1078" i="2"/>
  <c r="M1078" i="2"/>
  <c r="T1078" i="2" s="1"/>
  <c r="L1078" i="2"/>
  <c r="R1077" i="2"/>
  <c r="Q1077" i="2"/>
  <c r="S1077" i="2" s="1"/>
  <c r="P1077" i="2"/>
  <c r="O1077" i="2"/>
  <c r="N1077" i="2"/>
  <c r="M1077" i="2"/>
  <c r="T1077" i="2" s="1"/>
  <c r="L1077" i="2"/>
  <c r="R1076" i="2"/>
  <c r="Q1076" i="2"/>
  <c r="S1076" i="2" s="1"/>
  <c r="P1076" i="2"/>
  <c r="O1076" i="2"/>
  <c r="N1076" i="2"/>
  <c r="M1076" i="2"/>
  <c r="T1076" i="2" s="1"/>
  <c r="L1076" i="2"/>
  <c r="R1075" i="2"/>
  <c r="Q1075" i="2"/>
  <c r="S1075" i="2" s="1"/>
  <c r="P1075" i="2"/>
  <c r="O1075" i="2"/>
  <c r="N1075" i="2"/>
  <c r="M1075" i="2"/>
  <c r="T1075" i="2" s="1"/>
  <c r="L1075" i="2"/>
  <c r="R1074" i="2"/>
  <c r="Q1074" i="2"/>
  <c r="P1074" i="2"/>
  <c r="O1074" i="2"/>
  <c r="N1074" i="2"/>
  <c r="M1074" i="2"/>
  <c r="T1074" i="2" s="1"/>
  <c r="L1074" i="2"/>
  <c r="R1073" i="2"/>
  <c r="Q1073" i="2"/>
  <c r="S1073" i="2" s="1"/>
  <c r="P1073" i="2"/>
  <c r="O1073" i="2"/>
  <c r="N1073" i="2"/>
  <c r="M1073" i="2"/>
  <c r="T1073" i="2" s="1"/>
  <c r="L1073" i="2"/>
  <c r="R1072" i="2"/>
  <c r="Q1072" i="2"/>
  <c r="P1072" i="2"/>
  <c r="O1072" i="2"/>
  <c r="N1072" i="2"/>
  <c r="M1072" i="2"/>
  <c r="T1072" i="2" s="1"/>
  <c r="L1072" i="2"/>
  <c r="T1071" i="2"/>
  <c r="R1071" i="2"/>
  <c r="Q1071" i="2"/>
  <c r="S1071" i="2" s="1"/>
  <c r="P1071" i="2"/>
  <c r="O1071" i="2"/>
  <c r="N1071" i="2"/>
  <c r="M1071" i="2"/>
  <c r="L1071" i="2"/>
  <c r="R1070" i="2"/>
  <c r="Q1070" i="2"/>
  <c r="S1070" i="2" s="1"/>
  <c r="P1070" i="2"/>
  <c r="O1070" i="2"/>
  <c r="N1070" i="2"/>
  <c r="M1070" i="2"/>
  <c r="T1070" i="2" s="1"/>
  <c r="L1070" i="2"/>
  <c r="R1069" i="2"/>
  <c r="Q1069" i="2"/>
  <c r="P1069" i="2"/>
  <c r="O1069" i="2"/>
  <c r="N1069" i="2"/>
  <c r="M1069" i="2"/>
  <c r="T1069" i="2" s="1"/>
  <c r="L1069" i="2"/>
  <c r="R1068" i="2"/>
  <c r="Q1068" i="2"/>
  <c r="P1068" i="2"/>
  <c r="O1068" i="2"/>
  <c r="N1068" i="2"/>
  <c r="M1068" i="2"/>
  <c r="T1068" i="2" s="1"/>
  <c r="L1068" i="2"/>
  <c r="S1067" i="2"/>
  <c r="R1067" i="2"/>
  <c r="Q1067" i="2"/>
  <c r="P1067" i="2"/>
  <c r="O1067" i="2"/>
  <c r="N1067" i="2"/>
  <c r="M1067" i="2"/>
  <c r="T1067" i="2" s="1"/>
  <c r="L1067" i="2"/>
  <c r="T1066" i="2"/>
  <c r="R1066" i="2"/>
  <c r="Q1066" i="2"/>
  <c r="P1066" i="2"/>
  <c r="O1066" i="2"/>
  <c r="N1066" i="2"/>
  <c r="M1066" i="2"/>
  <c r="L1066" i="2"/>
  <c r="R1065" i="2"/>
  <c r="Q1065" i="2"/>
  <c r="P1065" i="2"/>
  <c r="O1065" i="2"/>
  <c r="N1065" i="2"/>
  <c r="M1065" i="2"/>
  <c r="T1065" i="2" s="1"/>
  <c r="L1065" i="2"/>
  <c r="R1064" i="2"/>
  <c r="Q1064" i="2"/>
  <c r="P1064" i="2"/>
  <c r="O1064" i="2"/>
  <c r="N1064" i="2"/>
  <c r="M1064" i="2"/>
  <c r="T1064" i="2" s="1"/>
  <c r="L1064" i="2"/>
  <c r="T1063" i="2"/>
  <c r="R1063" i="2"/>
  <c r="Q1063" i="2"/>
  <c r="S1063" i="2" s="1"/>
  <c r="P1063" i="2"/>
  <c r="O1063" i="2"/>
  <c r="N1063" i="2"/>
  <c r="M1063" i="2"/>
  <c r="L1063" i="2"/>
  <c r="R1062" i="2"/>
  <c r="Q1062" i="2"/>
  <c r="P1062" i="2"/>
  <c r="O1062" i="2"/>
  <c r="N1062" i="2"/>
  <c r="M1062" i="2"/>
  <c r="T1062" i="2" s="1"/>
  <c r="L1062" i="2"/>
  <c r="S1061" i="2"/>
  <c r="R1061" i="2"/>
  <c r="Q1061" i="2"/>
  <c r="P1061" i="2"/>
  <c r="O1061" i="2"/>
  <c r="N1061" i="2"/>
  <c r="M1061" i="2"/>
  <c r="T1061" i="2" s="1"/>
  <c r="L1061" i="2"/>
  <c r="T1060" i="2"/>
  <c r="R1060" i="2"/>
  <c r="Q1060" i="2"/>
  <c r="S1060" i="2" s="1"/>
  <c r="P1060" i="2"/>
  <c r="O1060" i="2"/>
  <c r="N1060" i="2"/>
  <c r="M1060" i="2"/>
  <c r="L1060" i="2"/>
  <c r="R1059" i="2"/>
  <c r="S1059" i="2" s="1"/>
  <c r="Q1059" i="2"/>
  <c r="P1059" i="2"/>
  <c r="O1059" i="2"/>
  <c r="N1059" i="2"/>
  <c r="M1059" i="2"/>
  <c r="T1059" i="2" s="1"/>
  <c r="L1059" i="2"/>
  <c r="T1058" i="2"/>
  <c r="R1058" i="2"/>
  <c r="Q1058" i="2"/>
  <c r="P1058" i="2"/>
  <c r="O1058" i="2"/>
  <c r="N1058" i="2"/>
  <c r="M1058" i="2"/>
  <c r="L1058" i="2"/>
  <c r="R1057" i="2"/>
  <c r="Q1057" i="2"/>
  <c r="P1057" i="2"/>
  <c r="O1057" i="2"/>
  <c r="N1057" i="2"/>
  <c r="M1057" i="2"/>
  <c r="T1057" i="2" s="1"/>
  <c r="L1057" i="2"/>
  <c r="R1056" i="2"/>
  <c r="Q1056" i="2"/>
  <c r="P1056" i="2"/>
  <c r="O1056" i="2"/>
  <c r="N1056" i="2"/>
  <c r="M1056" i="2"/>
  <c r="T1056" i="2" s="1"/>
  <c r="L1056" i="2"/>
  <c r="R1055" i="2"/>
  <c r="Q1055" i="2"/>
  <c r="S1055" i="2" s="1"/>
  <c r="P1055" i="2"/>
  <c r="O1055" i="2"/>
  <c r="N1055" i="2"/>
  <c r="M1055" i="2"/>
  <c r="T1055" i="2" s="1"/>
  <c r="L1055" i="2"/>
  <c r="R1054" i="2"/>
  <c r="S1054" i="2" s="1"/>
  <c r="Q1054" i="2"/>
  <c r="P1054" i="2"/>
  <c r="O1054" i="2"/>
  <c r="N1054" i="2"/>
  <c r="M1054" i="2"/>
  <c r="T1054" i="2" s="1"/>
  <c r="L1054" i="2"/>
  <c r="R1053" i="2"/>
  <c r="Q1053" i="2"/>
  <c r="P1053" i="2"/>
  <c r="O1053" i="2"/>
  <c r="N1053" i="2"/>
  <c r="M1053" i="2"/>
  <c r="T1053" i="2" s="1"/>
  <c r="L1053" i="2"/>
  <c r="T1052" i="2"/>
  <c r="R1052" i="2"/>
  <c r="Q1052" i="2"/>
  <c r="S1052" i="2" s="1"/>
  <c r="P1052" i="2"/>
  <c r="O1052" i="2"/>
  <c r="N1052" i="2"/>
  <c r="M1052" i="2"/>
  <c r="L1052" i="2"/>
  <c r="R1051" i="2"/>
  <c r="Q1051" i="2"/>
  <c r="P1051" i="2"/>
  <c r="O1051" i="2"/>
  <c r="N1051" i="2"/>
  <c r="M1051" i="2"/>
  <c r="T1051" i="2" s="1"/>
  <c r="L1051" i="2"/>
  <c r="R1050" i="2"/>
  <c r="Q1050" i="2"/>
  <c r="S1050" i="2" s="1"/>
  <c r="P1050" i="2"/>
  <c r="O1050" i="2"/>
  <c r="N1050" i="2"/>
  <c r="M1050" i="2"/>
  <c r="T1050" i="2" s="1"/>
  <c r="L1050" i="2"/>
  <c r="R1049" i="2"/>
  <c r="Q1049" i="2"/>
  <c r="P1049" i="2"/>
  <c r="O1049" i="2"/>
  <c r="N1049" i="2"/>
  <c r="M1049" i="2"/>
  <c r="T1049" i="2" s="1"/>
  <c r="L1049" i="2"/>
  <c r="R1048" i="2"/>
  <c r="Q1048" i="2"/>
  <c r="S1048" i="2" s="1"/>
  <c r="P1048" i="2"/>
  <c r="O1048" i="2"/>
  <c r="N1048" i="2"/>
  <c r="M1048" i="2"/>
  <c r="T1048" i="2" s="1"/>
  <c r="L1048" i="2"/>
  <c r="R1047" i="2"/>
  <c r="Q1047" i="2"/>
  <c r="P1047" i="2"/>
  <c r="O1047" i="2"/>
  <c r="N1047" i="2"/>
  <c r="M1047" i="2"/>
  <c r="T1047" i="2" s="1"/>
  <c r="L1047" i="2"/>
  <c r="S1046" i="2"/>
  <c r="R1046" i="2"/>
  <c r="Q1046" i="2"/>
  <c r="P1046" i="2"/>
  <c r="O1046" i="2"/>
  <c r="N1046" i="2"/>
  <c r="M1046" i="2"/>
  <c r="T1046" i="2" s="1"/>
  <c r="L1046" i="2"/>
  <c r="T1045" i="2"/>
  <c r="R1045" i="2"/>
  <c r="Q1045" i="2"/>
  <c r="S1045" i="2" s="1"/>
  <c r="P1045" i="2"/>
  <c r="O1045" i="2"/>
  <c r="N1045" i="2"/>
  <c r="M1045" i="2"/>
  <c r="L1045" i="2"/>
  <c r="R1044" i="2"/>
  <c r="Q1044" i="2"/>
  <c r="S1044" i="2" s="1"/>
  <c r="P1044" i="2"/>
  <c r="O1044" i="2"/>
  <c r="N1044" i="2"/>
  <c r="M1044" i="2"/>
  <c r="T1044" i="2" s="1"/>
  <c r="L1044" i="2"/>
  <c r="R1043" i="2"/>
  <c r="Q1043" i="2"/>
  <c r="P1043" i="2"/>
  <c r="O1043" i="2"/>
  <c r="N1043" i="2"/>
  <c r="M1043" i="2"/>
  <c r="T1043" i="2" s="1"/>
  <c r="L1043" i="2"/>
  <c r="R1042" i="2"/>
  <c r="S1042" i="2" s="1"/>
  <c r="Q1042" i="2"/>
  <c r="P1042" i="2"/>
  <c r="O1042" i="2"/>
  <c r="N1042" i="2"/>
  <c r="M1042" i="2"/>
  <c r="T1042" i="2" s="1"/>
  <c r="L1042" i="2"/>
  <c r="R1041" i="2"/>
  <c r="Q1041" i="2"/>
  <c r="P1041" i="2"/>
  <c r="O1041" i="2"/>
  <c r="N1041" i="2"/>
  <c r="M1041" i="2"/>
  <c r="T1041" i="2" s="1"/>
  <c r="L1041" i="2"/>
  <c r="R1040" i="2"/>
  <c r="Q1040" i="2"/>
  <c r="P1040" i="2"/>
  <c r="O1040" i="2"/>
  <c r="N1040" i="2"/>
  <c r="M1040" i="2"/>
  <c r="T1040" i="2" s="1"/>
  <c r="L1040" i="2"/>
  <c r="R1039" i="2"/>
  <c r="Q1039" i="2"/>
  <c r="P1039" i="2"/>
  <c r="O1039" i="2"/>
  <c r="N1039" i="2"/>
  <c r="M1039" i="2"/>
  <c r="T1039" i="2" s="1"/>
  <c r="L1039" i="2"/>
  <c r="R1038" i="2"/>
  <c r="Q1038" i="2"/>
  <c r="P1038" i="2"/>
  <c r="O1038" i="2"/>
  <c r="N1038" i="2"/>
  <c r="M1038" i="2"/>
  <c r="T1038" i="2" s="1"/>
  <c r="L1038" i="2"/>
  <c r="R1037" i="2"/>
  <c r="Q1037" i="2"/>
  <c r="P1037" i="2"/>
  <c r="O1037" i="2"/>
  <c r="N1037" i="2"/>
  <c r="M1037" i="2"/>
  <c r="T1037" i="2" s="1"/>
  <c r="L1037" i="2"/>
  <c r="R1036" i="2"/>
  <c r="Q1036" i="2"/>
  <c r="S1036" i="2" s="1"/>
  <c r="P1036" i="2"/>
  <c r="O1036" i="2"/>
  <c r="N1036" i="2"/>
  <c r="M1036" i="2"/>
  <c r="T1036" i="2" s="1"/>
  <c r="L1036" i="2"/>
  <c r="T1035" i="2"/>
  <c r="R1035" i="2"/>
  <c r="Q1035" i="2"/>
  <c r="P1035" i="2"/>
  <c r="O1035" i="2"/>
  <c r="N1035" i="2"/>
  <c r="M1035" i="2"/>
  <c r="L1035" i="2"/>
  <c r="R1034" i="2"/>
  <c r="Q1034" i="2"/>
  <c r="S1034" i="2" s="1"/>
  <c r="P1034" i="2"/>
  <c r="O1034" i="2"/>
  <c r="N1034" i="2"/>
  <c r="M1034" i="2"/>
  <c r="T1034" i="2" s="1"/>
  <c r="L1034" i="2"/>
  <c r="R1033" i="2"/>
  <c r="Q1033" i="2"/>
  <c r="S1033" i="2" s="1"/>
  <c r="P1033" i="2"/>
  <c r="O1033" i="2"/>
  <c r="N1033" i="2"/>
  <c r="M1033" i="2"/>
  <c r="T1033" i="2" s="1"/>
  <c r="L1033" i="2"/>
  <c r="T1032" i="2"/>
  <c r="R1032" i="2"/>
  <c r="Q1032" i="2"/>
  <c r="P1032" i="2"/>
  <c r="O1032" i="2"/>
  <c r="N1032" i="2"/>
  <c r="M1032" i="2"/>
  <c r="L1032" i="2"/>
  <c r="R1031" i="2"/>
  <c r="Q1031" i="2"/>
  <c r="P1031" i="2"/>
  <c r="O1031" i="2"/>
  <c r="N1031" i="2"/>
  <c r="M1031" i="2"/>
  <c r="T1031" i="2" s="1"/>
  <c r="L1031" i="2"/>
  <c r="R1030" i="2"/>
  <c r="S1030" i="2" s="1"/>
  <c r="Q1030" i="2"/>
  <c r="P1030" i="2"/>
  <c r="O1030" i="2"/>
  <c r="N1030" i="2"/>
  <c r="M1030" i="2"/>
  <c r="T1030" i="2" s="1"/>
  <c r="L1030" i="2"/>
  <c r="T1029" i="2"/>
  <c r="R1029" i="2"/>
  <c r="Q1029" i="2"/>
  <c r="S1029" i="2" s="1"/>
  <c r="P1029" i="2"/>
  <c r="O1029" i="2"/>
  <c r="N1029" i="2"/>
  <c r="M1029" i="2"/>
  <c r="L1029" i="2"/>
  <c r="R1028" i="2"/>
  <c r="Q1028" i="2"/>
  <c r="S1028" i="2" s="1"/>
  <c r="P1028" i="2"/>
  <c r="O1028" i="2"/>
  <c r="N1028" i="2"/>
  <c r="M1028" i="2"/>
  <c r="T1028" i="2" s="1"/>
  <c r="L1028" i="2"/>
  <c r="R1027" i="2"/>
  <c r="Q1027" i="2"/>
  <c r="S1027" i="2" s="1"/>
  <c r="P1027" i="2"/>
  <c r="O1027" i="2"/>
  <c r="N1027" i="2"/>
  <c r="M1027" i="2"/>
  <c r="T1027" i="2" s="1"/>
  <c r="L1027" i="2"/>
  <c r="R1026" i="2"/>
  <c r="Q1026" i="2"/>
  <c r="S1026" i="2" s="1"/>
  <c r="P1026" i="2"/>
  <c r="O1026" i="2"/>
  <c r="N1026" i="2"/>
  <c r="M1026" i="2"/>
  <c r="T1026" i="2" s="1"/>
  <c r="L1026" i="2"/>
  <c r="R1025" i="2"/>
  <c r="Q1025" i="2"/>
  <c r="S1025" i="2" s="1"/>
  <c r="P1025" i="2"/>
  <c r="O1025" i="2"/>
  <c r="N1025" i="2"/>
  <c r="M1025" i="2"/>
  <c r="T1025" i="2" s="1"/>
  <c r="L1025" i="2"/>
  <c r="T1024" i="2"/>
  <c r="R1024" i="2"/>
  <c r="Q1024" i="2"/>
  <c r="P1024" i="2"/>
  <c r="O1024" i="2"/>
  <c r="N1024" i="2"/>
  <c r="M1024" i="2"/>
  <c r="L1024" i="2"/>
  <c r="R1023" i="2"/>
  <c r="Q1023" i="2"/>
  <c r="P1023" i="2"/>
  <c r="O1023" i="2"/>
  <c r="N1023" i="2"/>
  <c r="M1023" i="2"/>
  <c r="T1023" i="2" s="1"/>
  <c r="L1023" i="2"/>
  <c r="R1022" i="2"/>
  <c r="Q1022" i="2"/>
  <c r="S1022" i="2" s="1"/>
  <c r="P1022" i="2"/>
  <c r="O1022" i="2"/>
  <c r="N1022" i="2"/>
  <c r="M1022" i="2"/>
  <c r="T1022" i="2" s="1"/>
  <c r="L1022" i="2"/>
  <c r="R1021" i="2"/>
  <c r="Q1021" i="2"/>
  <c r="P1021" i="2"/>
  <c r="O1021" i="2"/>
  <c r="N1021" i="2"/>
  <c r="M1021" i="2"/>
  <c r="T1021" i="2" s="1"/>
  <c r="L1021" i="2"/>
  <c r="R1020" i="2"/>
  <c r="Q1020" i="2"/>
  <c r="S1020" i="2" s="1"/>
  <c r="P1020" i="2"/>
  <c r="O1020" i="2"/>
  <c r="N1020" i="2"/>
  <c r="M1020" i="2"/>
  <c r="T1020" i="2" s="1"/>
  <c r="L1020" i="2"/>
  <c r="R1019" i="2"/>
  <c r="Q1019" i="2"/>
  <c r="P1019" i="2"/>
  <c r="O1019" i="2"/>
  <c r="N1019" i="2"/>
  <c r="M1019" i="2"/>
  <c r="T1019" i="2" s="1"/>
  <c r="L1019" i="2"/>
  <c r="R1018" i="2"/>
  <c r="S1018" i="2" s="1"/>
  <c r="Q1018" i="2"/>
  <c r="P1018" i="2"/>
  <c r="O1018" i="2"/>
  <c r="N1018" i="2"/>
  <c r="M1018" i="2"/>
  <c r="T1018" i="2" s="1"/>
  <c r="L1018" i="2"/>
  <c r="T1017" i="2"/>
  <c r="R1017" i="2"/>
  <c r="Q1017" i="2"/>
  <c r="P1017" i="2"/>
  <c r="O1017" i="2"/>
  <c r="N1017" i="2"/>
  <c r="M1017" i="2"/>
  <c r="L1017" i="2"/>
  <c r="R1016" i="2"/>
  <c r="S1016" i="2" s="1"/>
  <c r="Q1016" i="2"/>
  <c r="P1016" i="2"/>
  <c r="O1016" i="2"/>
  <c r="N1016" i="2"/>
  <c r="M1016" i="2"/>
  <c r="T1016" i="2" s="1"/>
  <c r="L1016" i="2"/>
  <c r="R1015" i="2"/>
  <c r="Q1015" i="2"/>
  <c r="P1015" i="2"/>
  <c r="O1015" i="2"/>
  <c r="N1015" i="2"/>
  <c r="M1015" i="2"/>
  <c r="T1015" i="2" s="1"/>
  <c r="L1015" i="2"/>
  <c r="R1014" i="2"/>
  <c r="S1014" i="2" s="1"/>
  <c r="Q1014" i="2"/>
  <c r="P1014" i="2"/>
  <c r="O1014" i="2"/>
  <c r="N1014" i="2"/>
  <c r="M1014" i="2"/>
  <c r="T1014" i="2" s="1"/>
  <c r="L1014" i="2"/>
  <c r="R1013" i="2"/>
  <c r="Q1013" i="2"/>
  <c r="P1013" i="2"/>
  <c r="O1013" i="2"/>
  <c r="N1013" i="2"/>
  <c r="M1013" i="2"/>
  <c r="T1013" i="2" s="1"/>
  <c r="L1013" i="2"/>
  <c r="R1012" i="2"/>
  <c r="Q1012" i="2"/>
  <c r="P1012" i="2"/>
  <c r="O1012" i="2"/>
  <c r="N1012" i="2"/>
  <c r="M1012" i="2"/>
  <c r="T1012" i="2" s="1"/>
  <c r="L1012" i="2"/>
  <c r="T1011" i="2"/>
  <c r="R1011" i="2"/>
  <c r="Q1011" i="2"/>
  <c r="S1011" i="2" s="1"/>
  <c r="P1011" i="2"/>
  <c r="O1011" i="2"/>
  <c r="N1011" i="2"/>
  <c r="M1011" i="2"/>
  <c r="L1011" i="2"/>
  <c r="R1010" i="2"/>
  <c r="S1010" i="2" s="1"/>
  <c r="Q1010" i="2"/>
  <c r="P1010" i="2"/>
  <c r="O1010" i="2"/>
  <c r="N1010" i="2"/>
  <c r="M1010" i="2"/>
  <c r="T1010" i="2" s="1"/>
  <c r="L1010" i="2"/>
  <c r="T1009" i="2"/>
  <c r="R1009" i="2"/>
  <c r="Q1009" i="2"/>
  <c r="P1009" i="2"/>
  <c r="O1009" i="2"/>
  <c r="N1009" i="2"/>
  <c r="M1009" i="2"/>
  <c r="L1009" i="2"/>
  <c r="T1008" i="2"/>
  <c r="R1008" i="2"/>
  <c r="Q1008" i="2"/>
  <c r="S1008" i="2" s="1"/>
  <c r="P1008" i="2"/>
  <c r="O1008" i="2"/>
  <c r="N1008" i="2"/>
  <c r="M1008" i="2"/>
  <c r="L1008" i="2"/>
  <c r="R1007" i="2"/>
  <c r="Q1007" i="2"/>
  <c r="P1007" i="2"/>
  <c r="O1007" i="2"/>
  <c r="N1007" i="2"/>
  <c r="M1007" i="2"/>
  <c r="T1007" i="2" s="1"/>
  <c r="L1007" i="2"/>
  <c r="T1006" i="2"/>
  <c r="S1006" i="2"/>
  <c r="R1006" i="2"/>
  <c r="Q1006" i="2"/>
  <c r="P1006" i="2"/>
  <c r="O1006" i="2"/>
  <c r="N1006" i="2"/>
  <c r="M1006" i="2"/>
  <c r="L1006" i="2"/>
  <c r="T1005" i="2"/>
  <c r="R1005" i="2"/>
  <c r="Q1005" i="2"/>
  <c r="S1005" i="2" s="1"/>
  <c r="P1005" i="2"/>
  <c r="O1005" i="2"/>
  <c r="N1005" i="2"/>
  <c r="M1005" i="2"/>
  <c r="L1005" i="2"/>
  <c r="R1004" i="2"/>
  <c r="Q1004" i="2"/>
  <c r="S1004" i="2" s="1"/>
  <c r="P1004" i="2"/>
  <c r="O1004" i="2"/>
  <c r="N1004" i="2"/>
  <c r="M1004" i="2"/>
  <c r="T1004" i="2" s="1"/>
  <c r="L1004" i="2"/>
  <c r="T1003" i="2"/>
  <c r="R1003" i="2"/>
  <c r="Q1003" i="2"/>
  <c r="P1003" i="2"/>
  <c r="O1003" i="2"/>
  <c r="N1003" i="2"/>
  <c r="M1003" i="2"/>
  <c r="L1003" i="2"/>
  <c r="R1002" i="2"/>
  <c r="Q1002" i="2"/>
  <c r="S1002" i="2" s="1"/>
  <c r="P1002" i="2"/>
  <c r="O1002" i="2"/>
  <c r="N1002" i="2"/>
  <c r="M1002" i="2"/>
  <c r="T1002" i="2" s="1"/>
  <c r="L1002" i="2"/>
  <c r="R1001" i="2"/>
  <c r="Q1001" i="2"/>
  <c r="S1001" i="2" s="1"/>
  <c r="P1001" i="2"/>
  <c r="O1001" i="2"/>
  <c r="N1001" i="2"/>
  <c r="M1001" i="2"/>
  <c r="T1001" i="2" s="1"/>
  <c r="L1001" i="2"/>
  <c r="T1000" i="2"/>
  <c r="R1000" i="2"/>
  <c r="Q1000" i="2"/>
  <c r="P1000" i="2"/>
  <c r="O1000" i="2"/>
  <c r="N1000" i="2"/>
  <c r="M1000" i="2"/>
  <c r="L1000" i="2"/>
  <c r="T999" i="2"/>
  <c r="R999" i="2"/>
  <c r="Q999" i="2"/>
  <c r="S999" i="2" s="1"/>
  <c r="P999" i="2"/>
  <c r="O999" i="2"/>
  <c r="N999" i="2"/>
  <c r="M999" i="2"/>
  <c r="L999" i="2"/>
  <c r="R998" i="2"/>
  <c r="Q998" i="2"/>
  <c r="P998" i="2"/>
  <c r="O998" i="2"/>
  <c r="N998" i="2"/>
  <c r="M998" i="2"/>
  <c r="T998" i="2" s="1"/>
  <c r="L998" i="2"/>
  <c r="T997" i="2"/>
  <c r="R997" i="2"/>
  <c r="Q997" i="2"/>
  <c r="S997" i="2" s="1"/>
  <c r="P997" i="2"/>
  <c r="O997" i="2"/>
  <c r="N997" i="2"/>
  <c r="M997" i="2"/>
  <c r="L997" i="2"/>
  <c r="R996" i="2"/>
  <c r="Q996" i="2"/>
  <c r="S996" i="2" s="1"/>
  <c r="P996" i="2"/>
  <c r="O996" i="2"/>
  <c r="N996" i="2"/>
  <c r="M996" i="2"/>
  <c r="T996" i="2" s="1"/>
  <c r="L996" i="2"/>
  <c r="R995" i="2"/>
  <c r="Q995" i="2"/>
  <c r="P995" i="2"/>
  <c r="O995" i="2"/>
  <c r="N995" i="2"/>
  <c r="M995" i="2"/>
  <c r="T995" i="2" s="1"/>
  <c r="L995" i="2"/>
  <c r="R994" i="2"/>
  <c r="S994" i="2" s="1"/>
  <c r="Q994" i="2"/>
  <c r="P994" i="2"/>
  <c r="O994" i="2"/>
  <c r="N994" i="2"/>
  <c r="M994" i="2"/>
  <c r="T994" i="2" s="1"/>
  <c r="L994" i="2"/>
  <c r="R993" i="2"/>
  <c r="Q993" i="2"/>
  <c r="P993" i="2"/>
  <c r="O993" i="2"/>
  <c r="N993" i="2"/>
  <c r="M993" i="2"/>
  <c r="T993" i="2" s="1"/>
  <c r="L993" i="2"/>
  <c r="R992" i="2"/>
  <c r="Q992" i="2"/>
  <c r="P992" i="2"/>
  <c r="O992" i="2"/>
  <c r="N992" i="2"/>
  <c r="M992" i="2"/>
  <c r="T992" i="2" s="1"/>
  <c r="L992" i="2"/>
  <c r="R991" i="2"/>
  <c r="Q991" i="2"/>
  <c r="P991" i="2"/>
  <c r="O991" i="2"/>
  <c r="N991" i="2"/>
  <c r="M991" i="2"/>
  <c r="T991" i="2" s="1"/>
  <c r="L991" i="2"/>
  <c r="R990" i="2"/>
  <c r="Q990" i="2"/>
  <c r="S990" i="2" s="1"/>
  <c r="P990" i="2"/>
  <c r="O990" i="2"/>
  <c r="N990" i="2"/>
  <c r="M990" i="2"/>
  <c r="T990" i="2" s="1"/>
  <c r="L990" i="2"/>
  <c r="R989" i="2"/>
  <c r="Q989" i="2"/>
  <c r="S989" i="2" s="1"/>
  <c r="P989" i="2"/>
  <c r="O989" i="2"/>
  <c r="N989" i="2"/>
  <c r="M989" i="2"/>
  <c r="T989" i="2" s="1"/>
  <c r="L989" i="2"/>
  <c r="R988" i="2"/>
  <c r="Q988" i="2"/>
  <c r="P988" i="2"/>
  <c r="O988" i="2"/>
  <c r="N988" i="2"/>
  <c r="M988" i="2"/>
  <c r="T988" i="2" s="1"/>
  <c r="L988" i="2"/>
  <c r="R987" i="2"/>
  <c r="Q987" i="2"/>
  <c r="P987" i="2"/>
  <c r="O987" i="2"/>
  <c r="N987" i="2"/>
  <c r="M987" i="2"/>
  <c r="T987" i="2" s="1"/>
  <c r="L987" i="2"/>
  <c r="S986" i="2"/>
  <c r="R986" i="2"/>
  <c r="Q986" i="2"/>
  <c r="P986" i="2"/>
  <c r="O986" i="2"/>
  <c r="N986" i="2"/>
  <c r="M986" i="2"/>
  <c r="T986" i="2" s="1"/>
  <c r="L986" i="2"/>
  <c r="R985" i="2"/>
  <c r="Q985" i="2"/>
  <c r="S985" i="2" s="1"/>
  <c r="P985" i="2"/>
  <c r="O985" i="2"/>
  <c r="N985" i="2"/>
  <c r="M985" i="2"/>
  <c r="T985" i="2" s="1"/>
  <c r="L985" i="2"/>
  <c r="R984" i="2"/>
  <c r="Q984" i="2"/>
  <c r="P984" i="2"/>
  <c r="O984" i="2"/>
  <c r="N984" i="2"/>
  <c r="M984" i="2"/>
  <c r="T984" i="2" s="1"/>
  <c r="L984" i="2"/>
  <c r="R983" i="2"/>
  <c r="Q983" i="2"/>
  <c r="P983" i="2"/>
  <c r="O983" i="2"/>
  <c r="N983" i="2"/>
  <c r="M983" i="2"/>
  <c r="T983" i="2" s="1"/>
  <c r="L983" i="2"/>
  <c r="R982" i="2"/>
  <c r="Q982" i="2"/>
  <c r="S982" i="2" s="1"/>
  <c r="P982" i="2"/>
  <c r="O982" i="2"/>
  <c r="N982" i="2"/>
  <c r="M982" i="2"/>
  <c r="T982" i="2" s="1"/>
  <c r="L982" i="2"/>
  <c r="T981" i="2"/>
  <c r="R981" i="2"/>
  <c r="Q981" i="2"/>
  <c r="P981" i="2"/>
  <c r="O981" i="2"/>
  <c r="N981" i="2"/>
  <c r="M981" i="2"/>
  <c r="L981" i="2"/>
  <c r="R980" i="2"/>
  <c r="Q980" i="2"/>
  <c r="P980" i="2"/>
  <c r="O980" i="2"/>
  <c r="N980" i="2"/>
  <c r="M980" i="2"/>
  <c r="T980" i="2" s="1"/>
  <c r="L980" i="2"/>
  <c r="R979" i="2"/>
  <c r="Q979" i="2"/>
  <c r="P979" i="2"/>
  <c r="O979" i="2"/>
  <c r="N979" i="2"/>
  <c r="M979" i="2"/>
  <c r="T979" i="2" s="1"/>
  <c r="L979" i="2"/>
  <c r="R978" i="2"/>
  <c r="Q978" i="2"/>
  <c r="S978" i="2" s="1"/>
  <c r="P978" i="2"/>
  <c r="O978" i="2"/>
  <c r="N978" i="2"/>
  <c r="M978" i="2"/>
  <c r="T978" i="2" s="1"/>
  <c r="L978" i="2"/>
  <c r="R977" i="2"/>
  <c r="Q977" i="2"/>
  <c r="P977" i="2"/>
  <c r="O977" i="2"/>
  <c r="N977" i="2"/>
  <c r="M977" i="2"/>
  <c r="T977" i="2" s="1"/>
  <c r="L977" i="2"/>
  <c r="T976" i="2"/>
  <c r="R976" i="2"/>
  <c r="S976" i="2" s="1"/>
  <c r="Q976" i="2"/>
  <c r="P976" i="2"/>
  <c r="O976" i="2"/>
  <c r="N976" i="2"/>
  <c r="M976" i="2"/>
  <c r="L976" i="2"/>
  <c r="R975" i="2"/>
  <c r="Q975" i="2"/>
  <c r="P975" i="2"/>
  <c r="O975" i="2"/>
  <c r="N975" i="2"/>
  <c r="M975" i="2"/>
  <c r="T975" i="2" s="1"/>
  <c r="L975" i="2"/>
  <c r="R974" i="2"/>
  <c r="Q974" i="2"/>
  <c r="S974" i="2" s="1"/>
  <c r="P974" i="2"/>
  <c r="O974" i="2"/>
  <c r="N974" i="2"/>
  <c r="M974" i="2"/>
  <c r="T974" i="2" s="1"/>
  <c r="L974" i="2"/>
  <c r="T973" i="2"/>
  <c r="R973" i="2"/>
  <c r="Q973" i="2"/>
  <c r="P973" i="2"/>
  <c r="O973" i="2"/>
  <c r="N973" i="2"/>
  <c r="M973" i="2"/>
  <c r="L973" i="2"/>
  <c r="R972" i="2"/>
  <c r="S972" i="2" s="1"/>
  <c r="Q972" i="2"/>
  <c r="P972" i="2"/>
  <c r="O972" i="2"/>
  <c r="N972" i="2"/>
  <c r="M972" i="2"/>
  <c r="T972" i="2" s="1"/>
  <c r="L972" i="2"/>
  <c r="T971" i="2"/>
  <c r="R971" i="2"/>
  <c r="Q971" i="2"/>
  <c r="P971" i="2"/>
  <c r="O971" i="2"/>
  <c r="N971" i="2"/>
  <c r="M971" i="2"/>
  <c r="L971" i="2"/>
  <c r="R970" i="2"/>
  <c r="Q970" i="2"/>
  <c r="S970" i="2" s="1"/>
  <c r="P970" i="2"/>
  <c r="O970" i="2"/>
  <c r="N970" i="2"/>
  <c r="M970" i="2"/>
  <c r="T970" i="2" s="1"/>
  <c r="L970" i="2"/>
  <c r="R969" i="2"/>
  <c r="Q969" i="2"/>
  <c r="S969" i="2" s="1"/>
  <c r="P969" i="2"/>
  <c r="O969" i="2"/>
  <c r="N969" i="2"/>
  <c r="M969" i="2"/>
  <c r="T969" i="2" s="1"/>
  <c r="L969" i="2"/>
  <c r="R968" i="2"/>
  <c r="Q968" i="2"/>
  <c r="P968" i="2"/>
  <c r="O968" i="2"/>
  <c r="N968" i="2"/>
  <c r="M968" i="2"/>
  <c r="T968" i="2" s="1"/>
  <c r="L968" i="2"/>
  <c r="R967" i="2"/>
  <c r="Q967" i="2"/>
  <c r="P967" i="2"/>
  <c r="O967" i="2"/>
  <c r="N967" i="2"/>
  <c r="M967" i="2"/>
  <c r="T967" i="2" s="1"/>
  <c r="L967" i="2"/>
  <c r="R966" i="2"/>
  <c r="Q966" i="2"/>
  <c r="S966" i="2" s="1"/>
  <c r="P966" i="2"/>
  <c r="O966" i="2"/>
  <c r="N966" i="2"/>
  <c r="M966" i="2"/>
  <c r="T966" i="2" s="1"/>
  <c r="L966" i="2"/>
  <c r="R965" i="2"/>
  <c r="Q965" i="2"/>
  <c r="S965" i="2" s="1"/>
  <c r="P965" i="2"/>
  <c r="O965" i="2"/>
  <c r="N965" i="2"/>
  <c r="M965" i="2"/>
  <c r="T965" i="2" s="1"/>
  <c r="L965" i="2"/>
  <c r="R964" i="2"/>
  <c r="Q964" i="2"/>
  <c r="P964" i="2"/>
  <c r="O964" i="2"/>
  <c r="N964" i="2"/>
  <c r="M964" i="2"/>
  <c r="T964" i="2" s="1"/>
  <c r="L964" i="2"/>
  <c r="R963" i="2"/>
  <c r="Q963" i="2"/>
  <c r="P963" i="2"/>
  <c r="O963" i="2"/>
  <c r="N963" i="2"/>
  <c r="M963" i="2"/>
  <c r="T963" i="2" s="1"/>
  <c r="L963" i="2"/>
  <c r="R962" i="2"/>
  <c r="Q962" i="2"/>
  <c r="P962" i="2"/>
  <c r="O962" i="2"/>
  <c r="N962" i="2"/>
  <c r="M962" i="2"/>
  <c r="T962" i="2" s="1"/>
  <c r="L962" i="2"/>
  <c r="R961" i="2"/>
  <c r="Q961" i="2"/>
  <c r="P961" i="2"/>
  <c r="O961" i="2"/>
  <c r="N961" i="2"/>
  <c r="M961" i="2"/>
  <c r="T961" i="2" s="1"/>
  <c r="L961" i="2"/>
  <c r="R960" i="2"/>
  <c r="Q960" i="2"/>
  <c r="S960" i="2" s="1"/>
  <c r="P960" i="2"/>
  <c r="O960" i="2"/>
  <c r="N960" i="2"/>
  <c r="M960" i="2"/>
  <c r="T960" i="2" s="1"/>
  <c r="L960" i="2"/>
  <c r="R959" i="2"/>
  <c r="Q959" i="2"/>
  <c r="P959" i="2"/>
  <c r="O959" i="2"/>
  <c r="N959" i="2"/>
  <c r="M959" i="2"/>
  <c r="T959" i="2" s="1"/>
  <c r="L959" i="2"/>
  <c r="T958" i="2"/>
  <c r="R958" i="2"/>
  <c r="S958" i="2" s="1"/>
  <c r="Q958" i="2"/>
  <c r="P958" i="2"/>
  <c r="O958" i="2"/>
  <c r="N958" i="2"/>
  <c r="M958" i="2"/>
  <c r="L958" i="2"/>
  <c r="R957" i="2"/>
  <c r="Q957" i="2"/>
  <c r="S957" i="2" s="1"/>
  <c r="P957" i="2"/>
  <c r="O957" i="2"/>
  <c r="N957" i="2"/>
  <c r="M957" i="2"/>
  <c r="T957" i="2" s="1"/>
  <c r="L957" i="2"/>
  <c r="R956" i="2"/>
  <c r="Q956" i="2"/>
  <c r="P956" i="2"/>
  <c r="O956" i="2"/>
  <c r="N956" i="2"/>
  <c r="M956" i="2"/>
  <c r="T956" i="2" s="1"/>
  <c r="L956" i="2"/>
  <c r="T955" i="2"/>
  <c r="R955" i="2"/>
  <c r="Q955" i="2"/>
  <c r="P955" i="2"/>
  <c r="O955" i="2"/>
  <c r="N955" i="2"/>
  <c r="M955" i="2"/>
  <c r="L955" i="2"/>
  <c r="R954" i="2"/>
  <c r="Q954" i="2"/>
  <c r="S954" i="2" s="1"/>
  <c r="P954" i="2"/>
  <c r="O954" i="2"/>
  <c r="N954" i="2"/>
  <c r="M954" i="2"/>
  <c r="T954" i="2" s="1"/>
  <c r="L954" i="2"/>
  <c r="R953" i="2"/>
  <c r="Q953" i="2"/>
  <c r="S953" i="2" s="1"/>
  <c r="P953" i="2"/>
  <c r="O953" i="2"/>
  <c r="N953" i="2"/>
  <c r="M953" i="2"/>
  <c r="T953" i="2" s="1"/>
  <c r="L953" i="2"/>
  <c r="R952" i="2"/>
  <c r="S952" i="2" s="1"/>
  <c r="Q952" i="2"/>
  <c r="P952" i="2"/>
  <c r="O952" i="2"/>
  <c r="N952" i="2"/>
  <c r="M952" i="2"/>
  <c r="T952" i="2" s="1"/>
  <c r="L952" i="2"/>
  <c r="R951" i="2"/>
  <c r="Q951" i="2"/>
  <c r="P951" i="2"/>
  <c r="O951" i="2"/>
  <c r="N951" i="2"/>
  <c r="M951" i="2"/>
  <c r="T951" i="2" s="1"/>
  <c r="L951" i="2"/>
  <c r="R950" i="2"/>
  <c r="Q950" i="2"/>
  <c r="P950" i="2"/>
  <c r="O950" i="2"/>
  <c r="N950" i="2"/>
  <c r="M950" i="2"/>
  <c r="T950" i="2" s="1"/>
  <c r="L950" i="2"/>
  <c r="R949" i="2"/>
  <c r="Q949" i="2"/>
  <c r="S949" i="2" s="1"/>
  <c r="P949" i="2"/>
  <c r="O949" i="2"/>
  <c r="N949" i="2"/>
  <c r="M949" i="2"/>
  <c r="T949" i="2" s="1"/>
  <c r="L949" i="2"/>
  <c r="R948" i="2"/>
  <c r="Q948" i="2"/>
  <c r="P948" i="2"/>
  <c r="O948" i="2"/>
  <c r="N948" i="2"/>
  <c r="M948" i="2"/>
  <c r="T948" i="2" s="1"/>
  <c r="L948" i="2"/>
  <c r="R947" i="2"/>
  <c r="Q947" i="2"/>
  <c r="P947" i="2"/>
  <c r="O947" i="2"/>
  <c r="N947" i="2"/>
  <c r="M947" i="2"/>
  <c r="T947" i="2" s="1"/>
  <c r="L947" i="2"/>
  <c r="R946" i="2"/>
  <c r="Q946" i="2"/>
  <c r="P946" i="2"/>
  <c r="O946" i="2"/>
  <c r="N946" i="2"/>
  <c r="M946" i="2"/>
  <c r="T946" i="2" s="1"/>
  <c r="L946" i="2"/>
  <c r="R945" i="2"/>
  <c r="Q945" i="2"/>
  <c r="S945" i="2" s="1"/>
  <c r="P945" i="2"/>
  <c r="O945" i="2"/>
  <c r="N945" i="2"/>
  <c r="M945" i="2"/>
  <c r="T945" i="2" s="1"/>
  <c r="L945" i="2"/>
  <c r="R944" i="2"/>
  <c r="Q944" i="2"/>
  <c r="P944" i="2"/>
  <c r="O944" i="2"/>
  <c r="N944" i="2"/>
  <c r="M944" i="2"/>
  <c r="T944" i="2" s="1"/>
  <c r="L944" i="2"/>
  <c r="R943" i="2"/>
  <c r="Q943" i="2"/>
  <c r="P943" i="2"/>
  <c r="O943" i="2"/>
  <c r="N943" i="2"/>
  <c r="M943" i="2"/>
  <c r="T943" i="2" s="1"/>
  <c r="L943" i="2"/>
  <c r="R942" i="2"/>
  <c r="Q942" i="2"/>
  <c r="S942" i="2" s="1"/>
  <c r="P942" i="2"/>
  <c r="O942" i="2"/>
  <c r="N942" i="2"/>
  <c r="M942" i="2"/>
  <c r="T942" i="2" s="1"/>
  <c r="L942" i="2"/>
  <c r="R941" i="2"/>
  <c r="Q941" i="2"/>
  <c r="P941" i="2"/>
  <c r="O941" i="2"/>
  <c r="N941" i="2"/>
  <c r="M941" i="2"/>
  <c r="T941" i="2" s="1"/>
  <c r="L941" i="2"/>
  <c r="R940" i="2"/>
  <c r="Q940" i="2"/>
  <c r="S940" i="2" s="1"/>
  <c r="P940" i="2"/>
  <c r="O940" i="2"/>
  <c r="N940" i="2"/>
  <c r="M940" i="2"/>
  <c r="T940" i="2" s="1"/>
  <c r="L940" i="2"/>
  <c r="R939" i="2"/>
  <c r="Q939" i="2"/>
  <c r="S939" i="2" s="1"/>
  <c r="P939" i="2"/>
  <c r="O939" i="2"/>
  <c r="N939" i="2"/>
  <c r="M939" i="2"/>
  <c r="T939" i="2" s="1"/>
  <c r="L939" i="2"/>
  <c r="T938" i="2"/>
  <c r="R938" i="2"/>
  <c r="Q938" i="2"/>
  <c r="P938" i="2"/>
  <c r="O938" i="2"/>
  <c r="N938" i="2"/>
  <c r="M938" i="2"/>
  <c r="L938" i="2"/>
  <c r="T937" i="2"/>
  <c r="R937" i="2"/>
  <c r="Q937" i="2"/>
  <c r="S937" i="2" s="1"/>
  <c r="P937" i="2"/>
  <c r="O937" i="2"/>
  <c r="N937" i="2"/>
  <c r="M937" i="2"/>
  <c r="L937" i="2"/>
  <c r="R936" i="2"/>
  <c r="Q936" i="2"/>
  <c r="P936" i="2"/>
  <c r="O936" i="2"/>
  <c r="N936" i="2"/>
  <c r="M936" i="2"/>
  <c r="T936" i="2" s="1"/>
  <c r="L936" i="2"/>
  <c r="T935" i="2"/>
  <c r="R935" i="2"/>
  <c r="Q935" i="2"/>
  <c r="P935" i="2"/>
  <c r="O935" i="2"/>
  <c r="N935" i="2"/>
  <c r="M935" i="2"/>
  <c r="L935" i="2"/>
  <c r="R934" i="2"/>
  <c r="S934" i="2" s="1"/>
  <c r="Q934" i="2"/>
  <c r="P934" i="2"/>
  <c r="O934" i="2"/>
  <c r="N934" i="2"/>
  <c r="M934" i="2"/>
  <c r="T934" i="2" s="1"/>
  <c r="L934" i="2"/>
  <c r="R933" i="2"/>
  <c r="Q933" i="2"/>
  <c r="P933" i="2"/>
  <c r="O933" i="2"/>
  <c r="N933" i="2"/>
  <c r="M933" i="2"/>
  <c r="T933" i="2" s="1"/>
  <c r="L933" i="2"/>
  <c r="T932" i="2"/>
  <c r="R932" i="2"/>
  <c r="Q932" i="2"/>
  <c r="S932" i="2" s="1"/>
  <c r="P932" i="2"/>
  <c r="O932" i="2"/>
  <c r="N932" i="2"/>
  <c r="M932" i="2"/>
  <c r="L932" i="2"/>
  <c r="R931" i="2"/>
  <c r="Q931" i="2"/>
  <c r="P931" i="2"/>
  <c r="O931" i="2"/>
  <c r="N931" i="2"/>
  <c r="M931" i="2"/>
  <c r="T931" i="2" s="1"/>
  <c r="L931" i="2"/>
  <c r="R930" i="2"/>
  <c r="Q930" i="2"/>
  <c r="S930" i="2" s="1"/>
  <c r="P930" i="2"/>
  <c r="O930" i="2"/>
  <c r="N930" i="2"/>
  <c r="M930" i="2"/>
  <c r="T930" i="2" s="1"/>
  <c r="L930" i="2"/>
  <c r="T929" i="2"/>
  <c r="R929" i="2"/>
  <c r="Q929" i="2"/>
  <c r="S929" i="2" s="1"/>
  <c r="P929" i="2"/>
  <c r="O929" i="2"/>
  <c r="N929" i="2"/>
  <c r="M929" i="2"/>
  <c r="L929" i="2"/>
  <c r="R928" i="2"/>
  <c r="Q928" i="2"/>
  <c r="P928" i="2"/>
  <c r="O928" i="2"/>
  <c r="N928" i="2"/>
  <c r="M928" i="2"/>
  <c r="T928" i="2" s="1"/>
  <c r="L928" i="2"/>
  <c r="T927" i="2"/>
  <c r="R927" i="2"/>
  <c r="Q927" i="2"/>
  <c r="P927" i="2"/>
  <c r="O927" i="2"/>
  <c r="N927" i="2"/>
  <c r="M927" i="2"/>
  <c r="L927" i="2"/>
  <c r="R926" i="2"/>
  <c r="Q926" i="2"/>
  <c r="P926" i="2"/>
  <c r="O926" i="2"/>
  <c r="N926" i="2"/>
  <c r="M926" i="2"/>
  <c r="T926" i="2" s="1"/>
  <c r="L926" i="2"/>
  <c r="R925" i="2"/>
  <c r="Q925" i="2"/>
  <c r="S925" i="2" s="1"/>
  <c r="P925" i="2"/>
  <c r="O925" i="2"/>
  <c r="N925" i="2"/>
  <c r="M925" i="2"/>
  <c r="T925" i="2" s="1"/>
  <c r="L925" i="2"/>
  <c r="T924" i="2"/>
  <c r="R924" i="2"/>
  <c r="S924" i="2" s="1"/>
  <c r="Q924" i="2"/>
  <c r="P924" i="2"/>
  <c r="O924" i="2"/>
  <c r="N924" i="2"/>
  <c r="M924" i="2"/>
  <c r="L924" i="2"/>
  <c r="R923" i="2"/>
  <c r="Q923" i="2"/>
  <c r="P923" i="2"/>
  <c r="O923" i="2"/>
  <c r="N923" i="2"/>
  <c r="M923" i="2"/>
  <c r="T923" i="2" s="1"/>
  <c r="L923" i="2"/>
  <c r="R922" i="2"/>
  <c r="Q922" i="2"/>
  <c r="P922" i="2"/>
  <c r="O922" i="2"/>
  <c r="N922" i="2"/>
  <c r="M922" i="2"/>
  <c r="T922" i="2" s="1"/>
  <c r="L922" i="2"/>
  <c r="T921" i="2"/>
  <c r="R921" i="2"/>
  <c r="Q921" i="2"/>
  <c r="P921" i="2"/>
  <c r="O921" i="2"/>
  <c r="N921" i="2"/>
  <c r="M921" i="2"/>
  <c r="L921" i="2"/>
  <c r="R920" i="2"/>
  <c r="Q920" i="2"/>
  <c r="S920" i="2" s="1"/>
  <c r="P920" i="2"/>
  <c r="O920" i="2"/>
  <c r="N920" i="2"/>
  <c r="M920" i="2"/>
  <c r="T920" i="2" s="1"/>
  <c r="L920" i="2"/>
  <c r="R919" i="2"/>
  <c r="Q919" i="2"/>
  <c r="P919" i="2"/>
  <c r="O919" i="2"/>
  <c r="N919" i="2"/>
  <c r="M919" i="2"/>
  <c r="T919" i="2" s="1"/>
  <c r="L919" i="2"/>
  <c r="R918" i="2"/>
  <c r="Q918" i="2"/>
  <c r="S918" i="2" s="1"/>
  <c r="P918" i="2"/>
  <c r="O918" i="2"/>
  <c r="N918" i="2"/>
  <c r="M918" i="2"/>
  <c r="T918" i="2" s="1"/>
  <c r="L918" i="2"/>
  <c r="R917" i="2"/>
  <c r="Q917" i="2"/>
  <c r="S917" i="2" s="1"/>
  <c r="P917" i="2"/>
  <c r="O917" i="2"/>
  <c r="N917" i="2"/>
  <c r="M917" i="2"/>
  <c r="T917" i="2" s="1"/>
  <c r="L917" i="2"/>
  <c r="R916" i="2"/>
  <c r="Q916" i="2"/>
  <c r="P916" i="2"/>
  <c r="O916" i="2"/>
  <c r="N916" i="2"/>
  <c r="M916" i="2"/>
  <c r="T916" i="2" s="1"/>
  <c r="L916" i="2"/>
  <c r="R915" i="2"/>
  <c r="Q915" i="2"/>
  <c r="P915" i="2"/>
  <c r="O915" i="2"/>
  <c r="N915" i="2"/>
  <c r="M915" i="2"/>
  <c r="T915" i="2" s="1"/>
  <c r="L915" i="2"/>
  <c r="R914" i="2"/>
  <c r="Q914" i="2"/>
  <c r="S914" i="2" s="1"/>
  <c r="P914" i="2"/>
  <c r="O914" i="2"/>
  <c r="N914" i="2"/>
  <c r="M914" i="2"/>
  <c r="T914" i="2" s="1"/>
  <c r="L914" i="2"/>
  <c r="R913" i="2"/>
  <c r="Q913" i="2"/>
  <c r="P913" i="2"/>
  <c r="O913" i="2"/>
  <c r="N913" i="2"/>
  <c r="M913" i="2"/>
  <c r="T913" i="2" s="1"/>
  <c r="L913" i="2"/>
  <c r="R912" i="2"/>
  <c r="Q912" i="2"/>
  <c r="S912" i="2" s="1"/>
  <c r="P912" i="2"/>
  <c r="O912" i="2"/>
  <c r="N912" i="2"/>
  <c r="M912" i="2"/>
  <c r="T912" i="2" s="1"/>
  <c r="L912" i="2"/>
  <c r="R911" i="2"/>
  <c r="Q911" i="2"/>
  <c r="P911" i="2"/>
  <c r="O911" i="2"/>
  <c r="N911" i="2"/>
  <c r="M911" i="2"/>
  <c r="T911" i="2" s="1"/>
  <c r="L911" i="2"/>
  <c r="R910" i="2"/>
  <c r="S910" i="2" s="1"/>
  <c r="Q910" i="2"/>
  <c r="P910" i="2"/>
  <c r="O910" i="2"/>
  <c r="N910" i="2"/>
  <c r="M910" i="2"/>
  <c r="T910" i="2" s="1"/>
  <c r="L910" i="2"/>
  <c r="R909" i="2"/>
  <c r="Q909" i="2"/>
  <c r="P909" i="2"/>
  <c r="O909" i="2"/>
  <c r="N909" i="2"/>
  <c r="M909" i="2"/>
  <c r="T909" i="2" s="1"/>
  <c r="L909" i="2"/>
  <c r="R908" i="2"/>
  <c r="Q908" i="2"/>
  <c r="P908" i="2"/>
  <c r="O908" i="2"/>
  <c r="N908" i="2"/>
  <c r="M908" i="2"/>
  <c r="T908" i="2" s="1"/>
  <c r="L908" i="2"/>
  <c r="R907" i="2"/>
  <c r="Q907" i="2"/>
  <c r="P907" i="2"/>
  <c r="O907" i="2"/>
  <c r="N907" i="2"/>
  <c r="M907" i="2"/>
  <c r="T907" i="2" s="1"/>
  <c r="L907" i="2"/>
  <c r="R906" i="2"/>
  <c r="Q906" i="2"/>
  <c r="S906" i="2" s="1"/>
  <c r="P906" i="2"/>
  <c r="O906" i="2"/>
  <c r="N906" i="2"/>
  <c r="M906" i="2"/>
  <c r="T906" i="2" s="1"/>
  <c r="L906" i="2"/>
  <c r="R905" i="2"/>
  <c r="Q905" i="2"/>
  <c r="S905" i="2" s="1"/>
  <c r="P905" i="2"/>
  <c r="O905" i="2"/>
  <c r="N905" i="2"/>
  <c r="M905" i="2"/>
  <c r="T905" i="2" s="1"/>
  <c r="L905" i="2"/>
  <c r="R904" i="2"/>
  <c r="Q904" i="2"/>
  <c r="P904" i="2"/>
  <c r="O904" i="2"/>
  <c r="N904" i="2"/>
  <c r="M904" i="2"/>
  <c r="T904" i="2" s="1"/>
  <c r="L904" i="2"/>
  <c r="R903" i="2"/>
  <c r="Q903" i="2"/>
  <c r="P903" i="2"/>
  <c r="O903" i="2"/>
  <c r="N903" i="2"/>
  <c r="M903" i="2"/>
  <c r="T903" i="2" s="1"/>
  <c r="L903" i="2"/>
  <c r="R902" i="2"/>
  <c r="Q902" i="2"/>
  <c r="P902" i="2"/>
  <c r="O902" i="2"/>
  <c r="N902" i="2"/>
  <c r="M902" i="2"/>
  <c r="T902" i="2" s="1"/>
  <c r="L902" i="2"/>
  <c r="T901" i="2"/>
  <c r="R901" i="2"/>
  <c r="Q901" i="2"/>
  <c r="P901" i="2"/>
  <c r="O901" i="2"/>
  <c r="N901" i="2"/>
  <c r="M901" i="2"/>
  <c r="L901" i="2"/>
  <c r="R900" i="2"/>
  <c r="Q900" i="2"/>
  <c r="P900" i="2"/>
  <c r="O900" i="2"/>
  <c r="N900" i="2"/>
  <c r="M900" i="2"/>
  <c r="T900" i="2" s="1"/>
  <c r="L900" i="2"/>
  <c r="R899" i="2"/>
  <c r="Q899" i="2"/>
  <c r="P899" i="2"/>
  <c r="O899" i="2"/>
  <c r="N899" i="2"/>
  <c r="M899" i="2"/>
  <c r="T899" i="2" s="1"/>
  <c r="L899" i="2"/>
  <c r="R898" i="2"/>
  <c r="Q898" i="2"/>
  <c r="S898" i="2" s="1"/>
  <c r="P898" i="2"/>
  <c r="O898" i="2"/>
  <c r="N898" i="2"/>
  <c r="M898" i="2"/>
  <c r="T898" i="2" s="1"/>
  <c r="L898" i="2"/>
  <c r="R897" i="2"/>
  <c r="Q897" i="2"/>
  <c r="S897" i="2" s="1"/>
  <c r="P897" i="2"/>
  <c r="O897" i="2"/>
  <c r="N897" i="2"/>
  <c r="M897" i="2"/>
  <c r="T897" i="2" s="1"/>
  <c r="L897" i="2"/>
  <c r="T896" i="2"/>
  <c r="R896" i="2"/>
  <c r="Q896" i="2"/>
  <c r="S896" i="2" s="1"/>
  <c r="P896" i="2"/>
  <c r="O896" i="2"/>
  <c r="N896" i="2"/>
  <c r="M896" i="2"/>
  <c r="L896" i="2"/>
  <c r="R895" i="2"/>
  <c r="Q895" i="2"/>
  <c r="S895" i="2" s="1"/>
  <c r="P895" i="2"/>
  <c r="O895" i="2"/>
  <c r="N895" i="2"/>
  <c r="M895" i="2"/>
  <c r="T895" i="2" s="1"/>
  <c r="L895" i="2"/>
  <c r="R894" i="2"/>
  <c r="Q894" i="2"/>
  <c r="S894" i="2" s="1"/>
  <c r="P894" i="2"/>
  <c r="O894" i="2"/>
  <c r="N894" i="2"/>
  <c r="M894" i="2"/>
  <c r="T894" i="2" s="1"/>
  <c r="L894" i="2"/>
  <c r="T893" i="2"/>
  <c r="R893" i="2"/>
  <c r="Q893" i="2"/>
  <c r="S893" i="2" s="1"/>
  <c r="P893" i="2"/>
  <c r="O893" i="2"/>
  <c r="N893" i="2"/>
  <c r="M893" i="2"/>
  <c r="L893" i="2"/>
  <c r="R892" i="2"/>
  <c r="Q892" i="2"/>
  <c r="S892" i="2" s="1"/>
  <c r="P892" i="2"/>
  <c r="O892" i="2"/>
  <c r="N892" i="2"/>
  <c r="M892" i="2"/>
  <c r="T892" i="2" s="1"/>
  <c r="L892" i="2"/>
  <c r="R891" i="2"/>
  <c r="Q891" i="2"/>
  <c r="P891" i="2"/>
  <c r="O891" i="2"/>
  <c r="N891" i="2"/>
  <c r="M891" i="2"/>
  <c r="T891" i="2" s="1"/>
  <c r="L891" i="2"/>
  <c r="T890" i="2"/>
  <c r="R890" i="2"/>
  <c r="Q890" i="2"/>
  <c r="S890" i="2" s="1"/>
  <c r="P890" i="2"/>
  <c r="O890" i="2"/>
  <c r="N890" i="2"/>
  <c r="M890" i="2"/>
  <c r="L890" i="2"/>
  <c r="R889" i="2"/>
  <c r="Q889" i="2"/>
  <c r="S889" i="2" s="1"/>
  <c r="P889" i="2"/>
  <c r="O889" i="2"/>
  <c r="N889" i="2"/>
  <c r="M889" i="2"/>
  <c r="T889" i="2" s="1"/>
  <c r="L889" i="2"/>
  <c r="R888" i="2"/>
  <c r="Q888" i="2"/>
  <c r="P888" i="2"/>
  <c r="O888" i="2"/>
  <c r="N888" i="2"/>
  <c r="M888" i="2"/>
  <c r="T888" i="2" s="1"/>
  <c r="L888" i="2"/>
  <c r="T887" i="2"/>
  <c r="R887" i="2"/>
  <c r="Q887" i="2"/>
  <c r="P887" i="2"/>
  <c r="O887" i="2"/>
  <c r="N887" i="2"/>
  <c r="M887" i="2"/>
  <c r="L887" i="2"/>
  <c r="R886" i="2"/>
  <c r="S886" i="2" s="1"/>
  <c r="Q886" i="2"/>
  <c r="P886" i="2"/>
  <c r="O886" i="2"/>
  <c r="N886" i="2"/>
  <c r="M886" i="2"/>
  <c r="T886" i="2" s="1"/>
  <c r="L886" i="2"/>
  <c r="T885" i="2"/>
  <c r="R885" i="2"/>
  <c r="Q885" i="2"/>
  <c r="P885" i="2"/>
  <c r="O885" i="2"/>
  <c r="N885" i="2"/>
  <c r="M885" i="2"/>
  <c r="L885" i="2"/>
  <c r="R884" i="2"/>
  <c r="Q884" i="2"/>
  <c r="S884" i="2" s="1"/>
  <c r="P884" i="2"/>
  <c r="O884" i="2"/>
  <c r="N884" i="2"/>
  <c r="M884" i="2"/>
  <c r="T884" i="2" s="1"/>
  <c r="L884" i="2"/>
  <c r="R883" i="2"/>
  <c r="Q883" i="2"/>
  <c r="P883" i="2"/>
  <c r="O883" i="2"/>
  <c r="N883" i="2"/>
  <c r="M883" i="2"/>
  <c r="T883" i="2" s="1"/>
  <c r="L883" i="2"/>
  <c r="R882" i="2"/>
  <c r="Q882" i="2"/>
  <c r="S882" i="2" s="1"/>
  <c r="P882" i="2"/>
  <c r="O882" i="2"/>
  <c r="N882" i="2"/>
  <c r="M882" i="2"/>
  <c r="T882" i="2" s="1"/>
  <c r="L882" i="2"/>
  <c r="R881" i="2"/>
  <c r="Q881" i="2"/>
  <c r="S881" i="2" s="1"/>
  <c r="P881" i="2"/>
  <c r="O881" i="2"/>
  <c r="N881" i="2"/>
  <c r="M881" i="2"/>
  <c r="T881" i="2" s="1"/>
  <c r="L881" i="2"/>
  <c r="R880" i="2"/>
  <c r="Q880" i="2"/>
  <c r="P880" i="2"/>
  <c r="O880" i="2"/>
  <c r="N880" i="2"/>
  <c r="M880" i="2"/>
  <c r="T880" i="2" s="1"/>
  <c r="L880" i="2"/>
  <c r="R879" i="2"/>
  <c r="Q879" i="2"/>
  <c r="P879" i="2"/>
  <c r="O879" i="2"/>
  <c r="N879" i="2"/>
  <c r="M879" i="2"/>
  <c r="T879" i="2" s="1"/>
  <c r="L879" i="2"/>
  <c r="R878" i="2"/>
  <c r="Q878" i="2"/>
  <c r="S878" i="2" s="1"/>
  <c r="P878" i="2"/>
  <c r="O878" i="2"/>
  <c r="N878" i="2"/>
  <c r="M878" i="2"/>
  <c r="T878" i="2" s="1"/>
  <c r="L878" i="2"/>
  <c r="R877" i="2"/>
  <c r="Q877" i="2"/>
  <c r="S877" i="2" s="1"/>
  <c r="P877" i="2"/>
  <c r="O877" i="2"/>
  <c r="N877" i="2"/>
  <c r="M877" i="2"/>
  <c r="T877" i="2" s="1"/>
  <c r="L877" i="2"/>
  <c r="R876" i="2"/>
  <c r="Q876" i="2"/>
  <c r="P876" i="2"/>
  <c r="O876" i="2"/>
  <c r="N876" i="2"/>
  <c r="M876" i="2"/>
  <c r="T876" i="2" s="1"/>
  <c r="L876" i="2"/>
  <c r="R875" i="2"/>
  <c r="Q875" i="2"/>
  <c r="P875" i="2"/>
  <c r="O875" i="2"/>
  <c r="N875" i="2"/>
  <c r="M875" i="2"/>
  <c r="T875" i="2" s="1"/>
  <c r="L875" i="2"/>
  <c r="R874" i="2"/>
  <c r="Q874" i="2"/>
  <c r="S874" i="2" s="1"/>
  <c r="P874" i="2"/>
  <c r="O874" i="2"/>
  <c r="N874" i="2"/>
  <c r="M874" i="2"/>
  <c r="T874" i="2" s="1"/>
  <c r="L874" i="2"/>
  <c r="R873" i="2"/>
  <c r="Q873" i="2"/>
  <c r="S873" i="2" s="1"/>
  <c r="P873" i="2"/>
  <c r="O873" i="2"/>
  <c r="N873" i="2"/>
  <c r="M873" i="2"/>
  <c r="T873" i="2" s="1"/>
  <c r="L873" i="2"/>
  <c r="T872" i="2"/>
  <c r="R872" i="2"/>
  <c r="Q872" i="2"/>
  <c r="P872" i="2"/>
  <c r="O872" i="2"/>
  <c r="N872" i="2"/>
  <c r="M872" i="2"/>
  <c r="L872" i="2"/>
  <c r="R871" i="2"/>
  <c r="Q871" i="2"/>
  <c r="S871" i="2" s="1"/>
  <c r="P871" i="2"/>
  <c r="O871" i="2"/>
  <c r="N871" i="2"/>
  <c r="M871" i="2"/>
  <c r="T871" i="2" s="1"/>
  <c r="L871" i="2"/>
  <c r="R870" i="2"/>
  <c r="Q870" i="2"/>
  <c r="S870" i="2" s="1"/>
  <c r="P870" i="2"/>
  <c r="O870" i="2"/>
  <c r="N870" i="2"/>
  <c r="M870" i="2"/>
  <c r="T870" i="2" s="1"/>
  <c r="L870" i="2"/>
  <c r="R869" i="2"/>
  <c r="Q869" i="2"/>
  <c r="P869" i="2"/>
  <c r="O869" i="2"/>
  <c r="N869" i="2"/>
  <c r="M869" i="2"/>
  <c r="T869" i="2" s="1"/>
  <c r="L869" i="2"/>
  <c r="R868" i="2"/>
  <c r="Q868" i="2"/>
  <c r="S868" i="2" s="1"/>
  <c r="P868" i="2"/>
  <c r="O868" i="2"/>
  <c r="N868" i="2"/>
  <c r="M868" i="2"/>
  <c r="T868" i="2" s="1"/>
  <c r="L868" i="2"/>
  <c r="T867" i="2"/>
  <c r="R867" i="2"/>
  <c r="Q867" i="2"/>
  <c r="P867" i="2"/>
  <c r="O867" i="2"/>
  <c r="N867" i="2"/>
  <c r="M867" i="2"/>
  <c r="L867" i="2"/>
  <c r="R866" i="2"/>
  <c r="Q866" i="2"/>
  <c r="P866" i="2"/>
  <c r="O866" i="2"/>
  <c r="N866" i="2"/>
  <c r="M866" i="2"/>
  <c r="T866" i="2" s="1"/>
  <c r="L866" i="2"/>
  <c r="R865" i="2"/>
  <c r="Q865" i="2"/>
  <c r="S865" i="2" s="1"/>
  <c r="P865" i="2"/>
  <c r="O865" i="2"/>
  <c r="N865" i="2"/>
  <c r="M865" i="2"/>
  <c r="T865" i="2" s="1"/>
  <c r="L865" i="2"/>
  <c r="R864" i="2"/>
  <c r="Q864" i="2"/>
  <c r="P864" i="2"/>
  <c r="O864" i="2"/>
  <c r="N864" i="2"/>
  <c r="M864" i="2"/>
  <c r="T864" i="2" s="1"/>
  <c r="L864" i="2"/>
  <c r="R863" i="2"/>
  <c r="Q863" i="2"/>
  <c r="P863" i="2"/>
  <c r="O863" i="2"/>
  <c r="N863" i="2"/>
  <c r="M863" i="2"/>
  <c r="T863" i="2" s="1"/>
  <c r="L863" i="2"/>
  <c r="R862" i="2"/>
  <c r="S862" i="2" s="1"/>
  <c r="Q862" i="2"/>
  <c r="P862" i="2"/>
  <c r="O862" i="2"/>
  <c r="N862" i="2"/>
  <c r="M862" i="2"/>
  <c r="T862" i="2" s="1"/>
  <c r="L862" i="2"/>
  <c r="R861" i="2"/>
  <c r="Q861" i="2"/>
  <c r="S861" i="2" s="1"/>
  <c r="P861" i="2"/>
  <c r="O861" i="2"/>
  <c r="N861" i="2"/>
  <c r="M861" i="2"/>
  <c r="T861" i="2" s="1"/>
  <c r="L861" i="2"/>
  <c r="R860" i="2"/>
  <c r="Q860" i="2"/>
  <c r="S860" i="2" s="1"/>
  <c r="P860" i="2"/>
  <c r="O860" i="2"/>
  <c r="N860" i="2"/>
  <c r="M860" i="2"/>
  <c r="T860" i="2" s="1"/>
  <c r="L860" i="2"/>
  <c r="R859" i="2"/>
  <c r="Q859" i="2"/>
  <c r="P859" i="2"/>
  <c r="O859" i="2"/>
  <c r="N859" i="2"/>
  <c r="M859" i="2"/>
  <c r="T859" i="2" s="1"/>
  <c r="L859" i="2"/>
  <c r="R858" i="2"/>
  <c r="Q858" i="2"/>
  <c r="S858" i="2" s="1"/>
  <c r="P858" i="2"/>
  <c r="O858" i="2"/>
  <c r="N858" i="2"/>
  <c r="M858" i="2"/>
  <c r="T858" i="2" s="1"/>
  <c r="L858" i="2"/>
  <c r="R857" i="2"/>
  <c r="Q857" i="2"/>
  <c r="S857" i="2" s="1"/>
  <c r="P857" i="2"/>
  <c r="O857" i="2"/>
  <c r="N857" i="2"/>
  <c r="M857" i="2"/>
  <c r="T857" i="2" s="1"/>
  <c r="L857" i="2"/>
  <c r="R856" i="2"/>
  <c r="S856" i="2" s="1"/>
  <c r="Q856" i="2"/>
  <c r="P856" i="2"/>
  <c r="O856" i="2"/>
  <c r="N856" i="2"/>
  <c r="M856" i="2"/>
  <c r="T856" i="2" s="1"/>
  <c r="L856" i="2"/>
  <c r="R855" i="2"/>
  <c r="Q855" i="2"/>
  <c r="P855" i="2"/>
  <c r="O855" i="2"/>
  <c r="N855" i="2"/>
  <c r="M855" i="2"/>
  <c r="T855" i="2" s="1"/>
  <c r="L855" i="2"/>
  <c r="R854" i="2"/>
  <c r="Q854" i="2"/>
  <c r="P854" i="2"/>
  <c r="O854" i="2"/>
  <c r="N854" i="2"/>
  <c r="M854" i="2"/>
  <c r="T854" i="2" s="1"/>
  <c r="L854" i="2"/>
  <c r="R853" i="2"/>
  <c r="Q853" i="2"/>
  <c r="S853" i="2" s="1"/>
  <c r="P853" i="2"/>
  <c r="O853" i="2"/>
  <c r="N853" i="2"/>
  <c r="M853" i="2"/>
  <c r="T853" i="2" s="1"/>
  <c r="L853" i="2"/>
  <c r="R852" i="2"/>
  <c r="Q852" i="2"/>
  <c r="P852" i="2"/>
  <c r="O852" i="2"/>
  <c r="N852" i="2"/>
  <c r="M852" i="2"/>
  <c r="T852" i="2" s="1"/>
  <c r="L852" i="2"/>
  <c r="R851" i="2"/>
  <c r="Q851" i="2"/>
  <c r="P851" i="2"/>
  <c r="O851" i="2"/>
  <c r="N851" i="2"/>
  <c r="M851" i="2"/>
  <c r="T851" i="2" s="1"/>
  <c r="L851" i="2"/>
  <c r="R850" i="2"/>
  <c r="Q850" i="2"/>
  <c r="S850" i="2" s="1"/>
  <c r="P850" i="2"/>
  <c r="O850" i="2"/>
  <c r="N850" i="2"/>
  <c r="M850" i="2"/>
  <c r="T850" i="2" s="1"/>
  <c r="L850" i="2"/>
  <c r="R849" i="2"/>
  <c r="Q849" i="2"/>
  <c r="P849" i="2"/>
  <c r="O849" i="2"/>
  <c r="N849" i="2"/>
  <c r="M849" i="2"/>
  <c r="T849" i="2" s="1"/>
  <c r="L849" i="2"/>
  <c r="R848" i="2"/>
  <c r="Q848" i="2"/>
  <c r="S848" i="2" s="1"/>
  <c r="P848" i="2"/>
  <c r="O848" i="2"/>
  <c r="N848" i="2"/>
  <c r="M848" i="2"/>
  <c r="T848" i="2" s="1"/>
  <c r="L848" i="2"/>
  <c r="R847" i="2"/>
  <c r="Q847" i="2"/>
  <c r="S847" i="2" s="1"/>
  <c r="P847" i="2"/>
  <c r="O847" i="2"/>
  <c r="N847" i="2"/>
  <c r="M847" i="2"/>
  <c r="T847" i="2" s="1"/>
  <c r="L847" i="2"/>
  <c r="R846" i="2"/>
  <c r="S846" i="2" s="1"/>
  <c r="Q846" i="2"/>
  <c r="P846" i="2"/>
  <c r="O846" i="2"/>
  <c r="N846" i="2"/>
  <c r="M846" i="2"/>
  <c r="T846" i="2" s="1"/>
  <c r="L846" i="2"/>
  <c r="R845" i="2"/>
  <c r="Q845" i="2"/>
  <c r="S845" i="2" s="1"/>
  <c r="P845" i="2"/>
  <c r="O845" i="2"/>
  <c r="N845" i="2"/>
  <c r="M845" i="2"/>
  <c r="T845" i="2" s="1"/>
  <c r="L845" i="2"/>
  <c r="R844" i="2"/>
  <c r="Q844" i="2"/>
  <c r="S844" i="2" s="1"/>
  <c r="P844" i="2"/>
  <c r="O844" i="2"/>
  <c r="N844" i="2"/>
  <c r="M844" i="2"/>
  <c r="T844" i="2" s="1"/>
  <c r="L844" i="2"/>
  <c r="R843" i="2"/>
  <c r="Q843" i="2"/>
  <c r="P843" i="2"/>
  <c r="O843" i="2"/>
  <c r="N843" i="2"/>
  <c r="M843" i="2"/>
  <c r="T843" i="2" s="1"/>
  <c r="L843" i="2"/>
  <c r="R842" i="2"/>
  <c r="Q842" i="2"/>
  <c r="S842" i="2" s="1"/>
  <c r="P842" i="2"/>
  <c r="O842" i="2"/>
  <c r="N842" i="2"/>
  <c r="M842" i="2"/>
  <c r="T842" i="2" s="1"/>
  <c r="L842" i="2"/>
  <c r="R841" i="2"/>
  <c r="Q841" i="2"/>
  <c r="P841" i="2"/>
  <c r="O841" i="2"/>
  <c r="N841" i="2"/>
  <c r="M841" i="2"/>
  <c r="T841" i="2" s="1"/>
  <c r="L841" i="2"/>
  <c r="R840" i="2"/>
  <c r="Q840" i="2"/>
  <c r="P840" i="2"/>
  <c r="O840" i="2"/>
  <c r="N840" i="2"/>
  <c r="M840" i="2"/>
  <c r="T840" i="2" s="1"/>
  <c r="L840" i="2"/>
  <c r="R839" i="2"/>
  <c r="Q839" i="2"/>
  <c r="P839" i="2"/>
  <c r="O839" i="2"/>
  <c r="N839" i="2"/>
  <c r="M839" i="2"/>
  <c r="T839" i="2" s="1"/>
  <c r="L839" i="2"/>
  <c r="T838" i="2"/>
  <c r="R838" i="2"/>
  <c r="S838" i="2" s="1"/>
  <c r="Q838" i="2"/>
  <c r="P838" i="2"/>
  <c r="O838" i="2"/>
  <c r="N838" i="2"/>
  <c r="M838" i="2"/>
  <c r="L838" i="2"/>
  <c r="R837" i="2"/>
  <c r="Q837" i="2"/>
  <c r="S837" i="2" s="1"/>
  <c r="P837" i="2"/>
  <c r="O837" i="2"/>
  <c r="N837" i="2"/>
  <c r="M837" i="2"/>
  <c r="T837" i="2" s="1"/>
  <c r="L837" i="2"/>
  <c r="R836" i="2"/>
  <c r="Q836" i="2"/>
  <c r="P836" i="2"/>
  <c r="O836" i="2"/>
  <c r="N836" i="2"/>
  <c r="M836" i="2"/>
  <c r="T836" i="2" s="1"/>
  <c r="L836" i="2"/>
  <c r="R835" i="2"/>
  <c r="Q835" i="2"/>
  <c r="P835" i="2"/>
  <c r="O835" i="2"/>
  <c r="N835" i="2"/>
  <c r="M835" i="2"/>
  <c r="T835" i="2" s="1"/>
  <c r="L835" i="2"/>
  <c r="R834" i="2"/>
  <c r="Q834" i="2"/>
  <c r="P834" i="2"/>
  <c r="O834" i="2"/>
  <c r="N834" i="2"/>
  <c r="M834" i="2"/>
  <c r="T834" i="2" s="1"/>
  <c r="L834" i="2"/>
  <c r="R833" i="2"/>
  <c r="Q833" i="2"/>
  <c r="S833" i="2" s="1"/>
  <c r="P833" i="2"/>
  <c r="O833" i="2"/>
  <c r="N833" i="2"/>
  <c r="M833" i="2"/>
  <c r="T833" i="2" s="1"/>
  <c r="L833" i="2"/>
  <c r="R832" i="2"/>
  <c r="Q832" i="2"/>
  <c r="P832" i="2"/>
  <c r="O832" i="2"/>
  <c r="N832" i="2"/>
  <c r="M832" i="2"/>
  <c r="T832" i="2" s="1"/>
  <c r="L832" i="2"/>
  <c r="R831" i="2"/>
  <c r="Q831" i="2"/>
  <c r="P831" i="2"/>
  <c r="O831" i="2"/>
  <c r="N831" i="2"/>
  <c r="M831" i="2"/>
  <c r="T831" i="2" s="1"/>
  <c r="L831" i="2"/>
  <c r="R830" i="2"/>
  <c r="Q830" i="2"/>
  <c r="P830" i="2"/>
  <c r="O830" i="2"/>
  <c r="N830" i="2"/>
  <c r="M830" i="2"/>
  <c r="T830" i="2" s="1"/>
  <c r="L830" i="2"/>
  <c r="R829" i="2"/>
  <c r="Q829" i="2"/>
  <c r="S829" i="2" s="1"/>
  <c r="P829" i="2"/>
  <c r="O829" i="2"/>
  <c r="N829" i="2"/>
  <c r="M829" i="2"/>
  <c r="T829" i="2" s="1"/>
  <c r="L829" i="2"/>
  <c r="R828" i="2"/>
  <c r="Q828" i="2"/>
  <c r="S828" i="2" s="1"/>
  <c r="P828" i="2"/>
  <c r="O828" i="2"/>
  <c r="N828" i="2"/>
  <c r="M828" i="2"/>
  <c r="T828" i="2" s="1"/>
  <c r="L828" i="2"/>
  <c r="R827" i="2"/>
  <c r="Q827" i="2"/>
  <c r="P827" i="2"/>
  <c r="O827" i="2"/>
  <c r="N827" i="2"/>
  <c r="M827" i="2"/>
  <c r="T827" i="2" s="1"/>
  <c r="L827" i="2"/>
  <c r="R826" i="2"/>
  <c r="Q826" i="2"/>
  <c r="S826" i="2" s="1"/>
  <c r="P826" i="2"/>
  <c r="O826" i="2"/>
  <c r="N826" i="2"/>
  <c r="M826" i="2"/>
  <c r="T826" i="2" s="1"/>
  <c r="L826" i="2"/>
  <c r="R825" i="2"/>
  <c r="Q825" i="2"/>
  <c r="P825" i="2"/>
  <c r="O825" i="2"/>
  <c r="N825" i="2"/>
  <c r="M825" i="2"/>
  <c r="T825" i="2" s="1"/>
  <c r="L825" i="2"/>
  <c r="R824" i="2"/>
  <c r="Q824" i="2"/>
  <c r="P824" i="2"/>
  <c r="O824" i="2"/>
  <c r="N824" i="2"/>
  <c r="M824" i="2"/>
  <c r="T824" i="2" s="1"/>
  <c r="L824" i="2"/>
  <c r="T823" i="2"/>
  <c r="R823" i="2"/>
  <c r="Q823" i="2"/>
  <c r="P823" i="2"/>
  <c r="O823" i="2"/>
  <c r="N823" i="2"/>
  <c r="M823" i="2"/>
  <c r="L823" i="2"/>
  <c r="R822" i="2"/>
  <c r="S822" i="2" s="1"/>
  <c r="Q822" i="2"/>
  <c r="P822" i="2"/>
  <c r="O822" i="2"/>
  <c r="N822" i="2"/>
  <c r="M822" i="2"/>
  <c r="T822" i="2" s="1"/>
  <c r="L822" i="2"/>
  <c r="R821" i="2"/>
  <c r="Q821" i="2"/>
  <c r="S821" i="2" s="1"/>
  <c r="P821" i="2"/>
  <c r="O821" i="2"/>
  <c r="N821" i="2"/>
  <c r="M821" i="2"/>
  <c r="T821" i="2" s="1"/>
  <c r="L821" i="2"/>
  <c r="R820" i="2"/>
  <c r="Q820" i="2"/>
  <c r="P820" i="2"/>
  <c r="O820" i="2"/>
  <c r="N820" i="2"/>
  <c r="M820" i="2"/>
  <c r="T820" i="2" s="1"/>
  <c r="L820" i="2"/>
  <c r="R819" i="2"/>
  <c r="Q819" i="2"/>
  <c r="P819" i="2"/>
  <c r="O819" i="2"/>
  <c r="N819" i="2"/>
  <c r="M819" i="2"/>
  <c r="T819" i="2" s="1"/>
  <c r="L819" i="2"/>
  <c r="R818" i="2"/>
  <c r="Q818" i="2"/>
  <c r="P818" i="2"/>
  <c r="O818" i="2"/>
  <c r="N818" i="2"/>
  <c r="M818" i="2"/>
  <c r="T818" i="2" s="1"/>
  <c r="L818" i="2"/>
  <c r="R817" i="2"/>
  <c r="Q817" i="2"/>
  <c r="P817" i="2"/>
  <c r="O817" i="2"/>
  <c r="N817" i="2"/>
  <c r="M817" i="2"/>
  <c r="T817" i="2" s="1"/>
  <c r="L817" i="2"/>
  <c r="R816" i="2"/>
  <c r="Q816" i="2"/>
  <c r="S816" i="2" s="1"/>
  <c r="P816" i="2"/>
  <c r="O816" i="2"/>
  <c r="N816" i="2"/>
  <c r="M816" i="2"/>
  <c r="T816" i="2" s="1"/>
  <c r="L816" i="2"/>
  <c r="R815" i="2"/>
  <c r="Q815" i="2"/>
  <c r="P815" i="2"/>
  <c r="O815" i="2"/>
  <c r="N815" i="2"/>
  <c r="M815" i="2"/>
  <c r="T815" i="2" s="1"/>
  <c r="L815" i="2"/>
  <c r="R814" i="2"/>
  <c r="S814" i="2" s="1"/>
  <c r="Q814" i="2"/>
  <c r="P814" i="2"/>
  <c r="O814" i="2"/>
  <c r="N814" i="2"/>
  <c r="M814" i="2"/>
  <c r="T814" i="2" s="1"/>
  <c r="L814" i="2"/>
  <c r="R813" i="2"/>
  <c r="Q813" i="2"/>
  <c r="S813" i="2" s="1"/>
  <c r="P813" i="2"/>
  <c r="O813" i="2"/>
  <c r="N813" i="2"/>
  <c r="M813" i="2"/>
  <c r="T813" i="2" s="1"/>
  <c r="L813" i="2"/>
  <c r="R812" i="2"/>
  <c r="Q812" i="2"/>
  <c r="S812" i="2" s="1"/>
  <c r="P812" i="2"/>
  <c r="O812" i="2"/>
  <c r="N812" i="2"/>
  <c r="M812" i="2"/>
  <c r="T812" i="2" s="1"/>
  <c r="L812" i="2"/>
  <c r="R811" i="2"/>
  <c r="Q811" i="2"/>
  <c r="P811" i="2"/>
  <c r="O811" i="2"/>
  <c r="N811" i="2"/>
  <c r="M811" i="2"/>
  <c r="T811" i="2" s="1"/>
  <c r="L811" i="2"/>
  <c r="R810" i="2"/>
  <c r="Q810" i="2"/>
  <c r="P810" i="2"/>
  <c r="O810" i="2"/>
  <c r="N810" i="2"/>
  <c r="M810" i="2"/>
  <c r="T810" i="2" s="1"/>
  <c r="L810" i="2"/>
  <c r="R809" i="2"/>
  <c r="Q809" i="2"/>
  <c r="S809" i="2" s="1"/>
  <c r="P809" i="2"/>
  <c r="O809" i="2"/>
  <c r="N809" i="2"/>
  <c r="M809" i="2"/>
  <c r="T809" i="2" s="1"/>
  <c r="L809" i="2"/>
  <c r="R808" i="2"/>
  <c r="Q808" i="2"/>
  <c r="P808" i="2"/>
  <c r="O808" i="2"/>
  <c r="N808" i="2"/>
  <c r="M808" i="2"/>
  <c r="T808" i="2" s="1"/>
  <c r="L808" i="2"/>
  <c r="R807" i="2"/>
  <c r="Q807" i="2"/>
  <c r="P807" i="2"/>
  <c r="O807" i="2"/>
  <c r="N807" i="2"/>
  <c r="M807" i="2"/>
  <c r="T807" i="2" s="1"/>
  <c r="L807" i="2"/>
  <c r="R806" i="2"/>
  <c r="Q806" i="2"/>
  <c r="P806" i="2"/>
  <c r="O806" i="2"/>
  <c r="N806" i="2"/>
  <c r="M806" i="2"/>
  <c r="T806" i="2" s="1"/>
  <c r="L806" i="2"/>
  <c r="R805" i="2"/>
  <c r="Q805" i="2"/>
  <c r="S805" i="2" s="1"/>
  <c r="P805" i="2"/>
  <c r="O805" i="2"/>
  <c r="N805" i="2"/>
  <c r="M805" i="2"/>
  <c r="T805" i="2" s="1"/>
  <c r="L805" i="2"/>
  <c r="R804" i="2"/>
  <c r="Q804" i="2"/>
  <c r="P804" i="2"/>
  <c r="O804" i="2"/>
  <c r="N804" i="2"/>
  <c r="M804" i="2"/>
  <c r="T804" i="2" s="1"/>
  <c r="L804" i="2"/>
  <c r="R803" i="2"/>
  <c r="Q803" i="2"/>
  <c r="P803" i="2"/>
  <c r="O803" i="2"/>
  <c r="N803" i="2"/>
  <c r="M803" i="2"/>
  <c r="T803" i="2" s="1"/>
  <c r="L803" i="2"/>
  <c r="R802" i="2"/>
  <c r="Q802" i="2"/>
  <c r="S802" i="2" s="1"/>
  <c r="P802" i="2"/>
  <c r="O802" i="2"/>
  <c r="N802" i="2"/>
  <c r="M802" i="2"/>
  <c r="T802" i="2" s="1"/>
  <c r="L802" i="2"/>
  <c r="R801" i="2"/>
  <c r="Q801" i="2"/>
  <c r="S801" i="2" s="1"/>
  <c r="P801" i="2"/>
  <c r="O801" i="2"/>
  <c r="N801" i="2"/>
  <c r="M801" i="2"/>
  <c r="T801" i="2" s="1"/>
  <c r="L801" i="2"/>
  <c r="R800" i="2"/>
  <c r="Q800" i="2"/>
  <c r="S800" i="2" s="1"/>
  <c r="P800" i="2"/>
  <c r="O800" i="2"/>
  <c r="N800" i="2"/>
  <c r="M800" i="2"/>
  <c r="T800" i="2" s="1"/>
  <c r="L800" i="2"/>
  <c r="R799" i="2"/>
  <c r="Q799" i="2"/>
  <c r="P799" i="2"/>
  <c r="O799" i="2"/>
  <c r="N799" i="2"/>
  <c r="M799" i="2"/>
  <c r="T799" i="2" s="1"/>
  <c r="L799" i="2"/>
  <c r="R798" i="2"/>
  <c r="Q798" i="2"/>
  <c r="S798" i="2" s="1"/>
  <c r="P798" i="2"/>
  <c r="O798" i="2"/>
  <c r="N798" i="2"/>
  <c r="M798" i="2"/>
  <c r="T798" i="2" s="1"/>
  <c r="L798" i="2"/>
  <c r="R797" i="2"/>
  <c r="Q797" i="2"/>
  <c r="S797" i="2" s="1"/>
  <c r="P797" i="2"/>
  <c r="O797" i="2"/>
  <c r="N797" i="2"/>
  <c r="M797" i="2"/>
  <c r="T797" i="2" s="1"/>
  <c r="L797" i="2"/>
  <c r="R796" i="2"/>
  <c r="Q796" i="2"/>
  <c r="P796" i="2"/>
  <c r="O796" i="2"/>
  <c r="N796" i="2"/>
  <c r="M796" i="2"/>
  <c r="T796" i="2" s="1"/>
  <c r="L796" i="2"/>
  <c r="R795" i="2"/>
  <c r="Q795" i="2"/>
  <c r="P795" i="2"/>
  <c r="O795" i="2"/>
  <c r="N795" i="2"/>
  <c r="M795" i="2"/>
  <c r="T795" i="2" s="1"/>
  <c r="L795" i="2"/>
  <c r="R794" i="2"/>
  <c r="Q794" i="2"/>
  <c r="S794" i="2" s="1"/>
  <c r="P794" i="2"/>
  <c r="O794" i="2"/>
  <c r="N794" i="2"/>
  <c r="M794" i="2"/>
  <c r="T794" i="2" s="1"/>
  <c r="L794" i="2"/>
  <c r="R793" i="2"/>
  <c r="Q793" i="2"/>
  <c r="P793" i="2"/>
  <c r="O793" i="2"/>
  <c r="N793" i="2"/>
  <c r="M793" i="2"/>
  <c r="T793" i="2" s="1"/>
  <c r="L793" i="2"/>
  <c r="R792" i="2"/>
  <c r="Q792" i="2"/>
  <c r="P792" i="2"/>
  <c r="O792" i="2"/>
  <c r="N792" i="2"/>
  <c r="M792" i="2"/>
  <c r="T792" i="2" s="1"/>
  <c r="L792" i="2"/>
  <c r="R791" i="2"/>
  <c r="Q791" i="2"/>
  <c r="P791" i="2"/>
  <c r="O791" i="2"/>
  <c r="N791" i="2"/>
  <c r="M791" i="2"/>
  <c r="T791" i="2" s="1"/>
  <c r="L791" i="2"/>
  <c r="R790" i="2"/>
  <c r="Q790" i="2"/>
  <c r="P790" i="2"/>
  <c r="O790" i="2"/>
  <c r="N790" i="2"/>
  <c r="M790" i="2"/>
  <c r="T790" i="2" s="1"/>
  <c r="L790" i="2"/>
  <c r="R789" i="2"/>
  <c r="Q789" i="2"/>
  <c r="P789" i="2"/>
  <c r="O789" i="2"/>
  <c r="N789" i="2"/>
  <c r="M789" i="2"/>
  <c r="T789" i="2" s="1"/>
  <c r="L789" i="2"/>
  <c r="R788" i="2"/>
  <c r="Q788" i="2"/>
  <c r="S788" i="2" s="1"/>
  <c r="P788" i="2"/>
  <c r="O788" i="2"/>
  <c r="N788" i="2"/>
  <c r="M788" i="2"/>
  <c r="T788" i="2" s="1"/>
  <c r="L788" i="2"/>
  <c r="R787" i="2"/>
  <c r="Q787" i="2"/>
  <c r="P787" i="2"/>
  <c r="O787" i="2"/>
  <c r="N787" i="2"/>
  <c r="M787" i="2"/>
  <c r="T787" i="2" s="1"/>
  <c r="L787" i="2"/>
  <c r="R786" i="2"/>
  <c r="Q786" i="2"/>
  <c r="S786" i="2" s="1"/>
  <c r="P786" i="2"/>
  <c r="O786" i="2"/>
  <c r="N786" i="2"/>
  <c r="M786" i="2"/>
  <c r="T786" i="2" s="1"/>
  <c r="L786" i="2"/>
  <c r="R785" i="2"/>
  <c r="Q785" i="2"/>
  <c r="P785" i="2"/>
  <c r="O785" i="2"/>
  <c r="N785" i="2"/>
  <c r="M785" i="2"/>
  <c r="T785" i="2" s="1"/>
  <c r="L785" i="2"/>
  <c r="R784" i="2"/>
  <c r="S784" i="2" s="1"/>
  <c r="Q784" i="2"/>
  <c r="P784" i="2"/>
  <c r="O784" i="2"/>
  <c r="N784" i="2"/>
  <c r="M784" i="2"/>
  <c r="T784" i="2" s="1"/>
  <c r="L784" i="2"/>
  <c r="R783" i="2"/>
  <c r="Q783" i="2"/>
  <c r="P783" i="2"/>
  <c r="O783" i="2"/>
  <c r="N783" i="2"/>
  <c r="M783" i="2"/>
  <c r="T783" i="2" s="1"/>
  <c r="L783" i="2"/>
  <c r="R782" i="2"/>
  <c r="Q782" i="2"/>
  <c r="S782" i="2" s="1"/>
  <c r="P782" i="2"/>
  <c r="O782" i="2"/>
  <c r="N782" i="2"/>
  <c r="M782" i="2"/>
  <c r="T782" i="2" s="1"/>
  <c r="L782" i="2"/>
  <c r="R781" i="2"/>
  <c r="Q781" i="2"/>
  <c r="S781" i="2" s="1"/>
  <c r="P781" i="2"/>
  <c r="O781" i="2"/>
  <c r="N781" i="2"/>
  <c r="M781" i="2"/>
  <c r="T781" i="2" s="1"/>
  <c r="L781" i="2"/>
  <c r="R780" i="2"/>
  <c r="Q780" i="2"/>
  <c r="P780" i="2"/>
  <c r="O780" i="2"/>
  <c r="N780" i="2"/>
  <c r="M780" i="2"/>
  <c r="T780" i="2" s="1"/>
  <c r="L780" i="2"/>
  <c r="R779" i="2"/>
  <c r="Q779" i="2"/>
  <c r="P779" i="2"/>
  <c r="O779" i="2"/>
  <c r="N779" i="2"/>
  <c r="M779" i="2"/>
  <c r="T779" i="2" s="1"/>
  <c r="L779" i="2"/>
  <c r="R778" i="2"/>
  <c r="Q778" i="2"/>
  <c r="P778" i="2"/>
  <c r="O778" i="2"/>
  <c r="N778" i="2"/>
  <c r="M778" i="2"/>
  <c r="T778" i="2" s="1"/>
  <c r="L778" i="2"/>
  <c r="R777" i="2"/>
  <c r="Q777" i="2"/>
  <c r="P777" i="2"/>
  <c r="O777" i="2"/>
  <c r="N777" i="2"/>
  <c r="M777" i="2"/>
  <c r="T777" i="2" s="1"/>
  <c r="L777" i="2"/>
  <c r="R776" i="2"/>
  <c r="Q776" i="2"/>
  <c r="S776" i="2" s="1"/>
  <c r="P776" i="2"/>
  <c r="O776" i="2"/>
  <c r="N776" i="2"/>
  <c r="M776" i="2"/>
  <c r="T776" i="2" s="1"/>
  <c r="L776" i="2"/>
  <c r="R775" i="2"/>
  <c r="Q775" i="2"/>
  <c r="P775" i="2"/>
  <c r="O775" i="2"/>
  <c r="N775" i="2"/>
  <c r="M775" i="2"/>
  <c r="T775" i="2" s="1"/>
  <c r="L775" i="2"/>
  <c r="R774" i="2"/>
  <c r="S774" i="2" s="1"/>
  <c r="Q774" i="2"/>
  <c r="P774" i="2"/>
  <c r="O774" i="2"/>
  <c r="N774" i="2"/>
  <c r="M774" i="2"/>
  <c r="T774" i="2" s="1"/>
  <c r="L774" i="2"/>
  <c r="T773" i="2"/>
  <c r="R773" i="2"/>
  <c r="Q773" i="2"/>
  <c r="S773" i="2" s="1"/>
  <c r="P773" i="2"/>
  <c r="O773" i="2"/>
  <c r="N773" i="2"/>
  <c r="M773" i="2"/>
  <c r="L773" i="2"/>
  <c r="R772" i="2"/>
  <c r="Q772" i="2"/>
  <c r="P772" i="2"/>
  <c r="O772" i="2"/>
  <c r="N772" i="2"/>
  <c r="M772" i="2"/>
  <c r="T772" i="2" s="1"/>
  <c r="L772" i="2"/>
  <c r="R771" i="2"/>
  <c r="Q771" i="2"/>
  <c r="P771" i="2"/>
  <c r="O771" i="2"/>
  <c r="N771" i="2"/>
  <c r="M771" i="2"/>
  <c r="T771" i="2" s="1"/>
  <c r="L771" i="2"/>
  <c r="R770" i="2"/>
  <c r="Q770" i="2"/>
  <c r="S770" i="2" s="1"/>
  <c r="P770" i="2"/>
  <c r="O770" i="2"/>
  <c r="N770" i="2"/>
  <c r="M770" i="2"/>
  <c r="T770" i="2" s="1"/>
  <c r="L770" i="2"/>
  <c r="R769" i="2"/>
  <c r="Q769" i="2"/>
  <c r="P769" i="2"/>
  <c r="O769" i="2"/>
  <c r="N769" i="2"/>
  <c r="M769" i="2"/>
  <c r="T769" i="2" s="1"/>
  <c r="L769" i="2"/>
  <c r="R768" i="2"/>
  <c r="Q768" i="2"/>
  <c r="S768" i="2" s="1"/>
  <c r="P768" i="2"/>
  <c r="O768" i="2"/>
  <c r="N768" i="2"/>
  <c r="M768" i="2"/>
  <c r="T768" i="2" s="1"/>
  <c r="L768" i="2"/>
  <c r="R767" i="2"/>
  <c r="Q767" i="2"/>
  <c r="P767" i="2"/>
  <c r="O767" i="2"/>
  <c r="N767" i="2"/>
  <c r="M767" i="2"/>
  <c r="T767" i="2" s="1"/>
  <c r="L767" i="2"/>
  <c r="R766" i="2"/>
  <c r="S766" i="2" s="1"/>
  <c r="Q766" i="2"/>
  <c r="P766" i="2"/>
  <c r="O766" i="2"/>
  <c r="N766" i="2"/>
  <c r="M766" i="2"/>
  <c r="T766" i="2" s="1"/>
  <c r="L766" i="2"/>
  <c r="R765" i="2"/>
  <c r="Q765" i="2"/>
  <c r="S765" i="2" s="1"/>
  <c r="P765" i="2"/>
  <c r="O765" i="2"/>
  <c r="N765" i="2"/>
  <c r="M765" i="2"/>
  <c r="T765" i="2" s="1"/>
  <c r="L765" i="2"/>
  <c r="R764" i="2"/>
  <c r="Q764" i="2"/>
  <c r="S764" i="2" s="1"/>
  <c r="P764" i="2"/>
  <c r="O764" i="2"/>
  <c r="N764" i="2"/>
  <c r="M764" i="2"/>
  <c r="T764" i="2" s="1"/>
  <c r="L764" i="2"/>
  <c r="R763" i="2"/>
  <c r="Q763" i="2"/>
  <c r="P763" i="2"/>
  <c r="O763" i="2"/>
  <c r="N763" i="2"/>
  <c r="M763" i="2"/>
  <c r="T763" i="2" s="1"/>
  <c r="L763" i="2"/>
  <c r="R762" i="2"/>
  <c r="Q762" i="2"/>
  <c r="P762" i="2"/>
  <c r="O762" i="2"/>
  <c r="N762" i="2"/>
  <c r="M762" i="2"/>
  <c r="T762" i="2" s="1"/>
  <c r="L762" i="2"/>
  <c r="R761" i="2"/>
  <c r="Q761" i="2"/>
  <c r="P761" i="2"/>
  <c r="O761" i="2"/>
  <c r="N761" i="2"/>
  <c r="M761" i="2"/>
  <c r="T761" i="2" s="1"/>
  <c r="L761" i="2"/>
  <c r="T760" i="2"/>
  <c r="R760" i="2"/>
  <c r="Q760" i="2"/>
  <c r="P760" i="2"/>
  <c r="O760" i="2"/>
  <c r="N760" i="2"/>
  <c r="M760" i="2"/>
  <c r="L760" i="2"/>
  <c r="R759" i="2"/>
  <c r="Q759" i="2"/>
  <c r="P759" i="2"/>
  <c r="O759" i="2"/>
  <c r="N759" i="2"/>
  <c r="M759" i="2"/>
  <c r="T759" i="2" s="1"/>
  <c r="L759" i="2"/>
  <c r="R758" i="2"/>
  <c r="Q758" i="2"/>
  <c r="P758" i="2"/>
  <c r="O758" i="2"/>
  <c r="N758" i="2"/>
  <c r="M758" i="2"/>
  <c r="T758" i="2" s="1"/>
  <c r="L758" i="2"/>
  <c r="R757" i="2"/>
  <c r="Q757" i="2"/>
  <c r="S757" i="2" s="1"/>
  <c r="P757" i="2"/>
  <c r="O757" i="2"/>
  <c r="N757" i="2"/>
  <c r="M757" i="2"/>
  <c r="T757" i="2" s="1"/>
  <c r="L757" i="2"/>
  <c r="R756" i="2"/>
  <c r="S756" i="2" s="1"/>
  <c r="Q756" i="2"/>
  <c r="P756" i="2"/>
  <c r="O756" i="2"/>
  <c r="N756" i="2"/>
  <c r="M756" i="2"/>
  <c r="T756" i="2" s="1"/>
  <c r="L756" i="2"/>
  <c r="T755" i="2"/>
  <c r="R755" i="2"/>
  <c r="Q755" i="2"/>
  <c r="P755" i="2"/>
  <c r="O755" i="2"/>
  <c r="N755" i="2"/>
  <c r="M755" i="2"/>
  <c r="L755" i="2"/>
  <c r="R754" i="2"/>
  <c r="Q754" i="2"/>
  <c r="P754" i="2"/>
  <c r="O754" i="2"/>
  <c r="N754" i="2"/>
  <c r="M754" i="2"/>
  <c r="T754" i="2" s="1"/>
  <c r="L754" i="2"/>
  <c r="R753" i="2"/>
  <c r="Q753" i="2"/>
  <c r="S753" i="2" s="1"/>
  <c r="P753" i="2"/>
  <c r="O753" i="2"/>
  <c r="N753" i="2"/>
  <c r="M753" i="2"/>
  <c r="T753" i="2" s="1"/>
  <c r="L753" i="2"/>
  <c r="R752" i="2"/>
  <c r="Q752" i="2"/>
  <c r="S752" i="2" s="1"/>
  <c r="P752" i="2"/>
  <c r="O752" i="2"/>
  <c r="N752" i="2"/>
  <c r="M752" i="2"/>
  <c r="T752" i="2" s="1"/>
  <c r="L752" i="2"/>
  <c r="R751" i="2"/>
  <c r="Q751" i="2"/>
  <c r="P751" i="2"/>
  <c r="O751" i="2"/>
  <c r="N751" i="2"/>
  <c r="M751" i="2"/>
  <c r="T751" i="2" s="1"/>
  <c r="L751" i="2"/>
  <c r="R750" i="2"/>
  <c r="Q750" i="2"/>
  <c r="P750" i="2"/>
  <c r="O750" i="2"/>
  <c r="N750" i="2"/>
  <c r="M750" i="2"/>
  <c r="T750" i="2" s="1"/>
  <c r="L750" i="2"/>
  <c r="R749" i="2"/>
  <c r="Q749" i="2"/>
  <c r="S749" i="2" s="1"/>
  <c r="P749" i="2"/>
  <c r="O749" i="2"/>
  <c r="N749" i="2"/>
  <c r="M749" i="2"/>
  <c r="T749" i="2" s="1"/>
  <c r="L749" i="2"/>
  <c r="R748" i="2"/>
  <c r="Q748" i="2"/>
  <c r="P748" i="2"/>
  <c r="O748" i="2"/>
  <c r="N748" i="2"/>
  <c r="M748" i="2"/>
  <c r="T748" i="2" s="1"/>
  <c r="L748" i="2"/>
  <c r="R747" i="2"/>
  <c r="Q747" i="2"/>
  <c r="P747" i="2"/>
  <c r="O747" i="2"/>
  <c r="N747" i="2"/>
  <c r="M747" i="2"/>
  <c r="T747" i="2" s="1"/>
  <c r="L747" i="2"/>
  <c r="R746" i="2"/>
  <c r="Q746" i="2"/>
  <c r="P746" i="2"/>
  <c r="O746" i="2"/>
  <c r="N746" i="2"/>
  <c r="M746" i="2"/>
  <c r="T746" i="2" s="1"/>
  <c r="L746" i="2"/>
  <c r="R745" i="2"/>
  <c r="Q745" i="2"/>
  <c r="S745" i="2" s="1"/>
  <c r="P745" i="2"/>
  <c r="O745" i="2"/>
  <c r="N745" i="2"/>
  <c r="M745" i="2"/>
  <c r="T745" i="2" s="1"/>
  <c r="L745" i="2"/>
  <c r="R744" i="2"/>
  <c r="Q744" i="2"/>
  <c r="P744" i="2"/>
  <c r="O744" i="2"/>
  <c r="N744" i="2"/>
  <c r="M744" i="2"/>
  <c r="T744" i="2" s="1"/>
  <c r="L744" i="2"/>
  <c r="T743" i="2"/>
  <c r="R743" i="2"/>
  <c r="Q743" i="2"/>
  <c r="P743" i="2"/>
  <c r="O743" i="2"/>
  <c r="N743" i="2"/>
  <c r="M743" i="2"/>
  <c r="L743" i="2"/>
  <c r="R742" i="2"/>
  <c r="Q742" i="2"/>
  <c r="P742" i="2"/>
  <c r="O742" i="2"/>
  <c r="N742" i="2"/>
  <c r="M742" i="2"/>
  <c r="T742" i="2" s="1"/>
  <c r="L742" i="2"/>
  <c r="R741" i="2"/>
  <c r="Q741" i="2"/>
  <c r="P741" i="2"/>
  <c r="O741" i="2"/>
  <c r="N741" i="2"/>
  <c r="M741" i="2"/>
  <c r="T741" i="2" s="1"/>
  <c r="L741" i="2"/>
  <c r="T740" i="2"/>
  <c r="R740" i="2"/>
  <c r="Q740" i="2"/>
  <c r="P740" i="2"/>
  <c r="O740" i="2"/>
  <c r="N740" i="2"/>
  <c r="M740" i="2"/>
  <c r="L740" i="2"/>
  <c r="R739" i="2"/>
  <c r="Q739" i="2"/>
  <c r="P739" i="2"/>
  <c r="O739" i="2"/>
  <c r="N739" i="2"/>
  <c r="M739" i="2"/>
  <c r="T739" i="2" s="1"/>
  <c r="L739" i="2"/>
  <c r="R738" i="2"/>
  <c r="Q738" i="2"/>
  <c r="P738" i="2"/>
  <c r="O738" i="2"/>
  <c r="N738" i="2"/>
  <c r="M738" i="2"/>
  <c r="T738" i="2" s="1"/>
  <c r="L738" i="2"/>
  <c r="R737" i="2"/>
  <c r="Q737" i="2"/>
  <c r="P737" i="2"/>
  <c r="O737" i="2"/>
  <c r="N737" i="2"/>
  <c r="M737" i="2"/>
  <c r="T737" i="2" s="1"/>
  <c r="L737" i="2"/>
  <c r="R736" i="2"/>
  <c r="S736" i="2" s="1"/>
  <c r="Q736" i="2"/>
  <c r="P736" i="2"/>
  <c r="O736" i="2"/>
  <c r="N736" i="2"/>
  <c r="M736" i="2"/>
  <c r="T736" i="2" s="1"/>
  <c r="L736" i="2"/>
  <c r="T735" i="2"/>
  <c r="R735" i="2"/>
  <c r="Q735" i="2"/>
  <c r="P735" i="2"/>
  <c r="O735" i="2"/>
  <c r="N735" i="2"/>
  <c r="M735" i="2"/>
  <c r="L735" i="2"/>
  <c r="R734" i="2"/>
  <c r="Q734" i="2"/>
  <c r="S734" i="2" s="1"/>
  <c r="P734" i="2"/>
  <c r="O734" i="2"/>
  <c r="N734" i="2"/>
  <c r="M734" i="2"/>
  <c r="T734" i="2" s="1"/>
  <c r="L734" i="2"/>
  <c r="R733" i="2"/>
  <c r="Q733" i="2"/>
  <c r="P733" i="2"/>
  <c r="O733" i="2"/>
  <c r="N733" i="2"/>
  <c r="M733" i="2"/>
  <c r="T733" i="2" s="1"/>
  <c r="L733" i="2"/>
  <c r="R732" i="2"/>
  <c r="S732" i="2" s="1"/>
  <c r="Q732" i="2"/>
  <c r="P732" i="2"/>
  <c r="O732" i="2"/>
  <c r="N732" i="2"/>
  <c r="M732" i="2"/>
  <c r="T732" i="2" s="1"/>
  <c r="L732" i="2"/>
  <c r="R731" i="2"/>
  <c r="Q731" i="2"/>
  <c r="P731" i="2"/>
  <c r="O731" i="2"/>
  <c r="N731" i="2"/>
  <c r="M731" i="2"/>
  <c r="T731" i="2" s="1"/>
  <c r="L731" i="2"/>
  <c r="R730" i="2"/>
  <c r="Q730" i="2"/>
  <c r="S730" i="2" s="1"/>
  <c r="P730" i="2"/>
  <c r="O730" i="2"/>
  <c r="N730" i="2"/>
  <c r="M730" i="2"/>
  <c r="T730" i="2" s="1"/>
  <c r="L730" i="2"/>
  <c r="R729" i="2"/>
  <c r="Q729" i="2"/>
  <c r="S729" i="2" s="1"/>
  <c r="P729" i="2"/>
  <c r="O729" i="2"/>
  <c r="N729" i="2"/>
  <c r="M729" i="2"/>
  <c r="T729" i="2" s="1"/>
  <c r="L729" i="2"/>
  <c r="R728" i="2"/>
  <c r="Q728" i="2"/>
  <c r="S728" i="2" s="1"/>
  <c r="P728" i="2"/>
  <c r="O728" i="2"/>
  <c r="N728" i="2"/>
  <c r="M728" i="2"/>
  <c r="T728" i="2" s="1"/>
  <c r="L728" i="2"/>
  <c r="R727" i="2"/>
  <c r="Q727" i="2"/>
  <c r="S727" i="2" s="1"/>
  <c r="P727" i="2"/>
  <c r="O727" i="2"/>
  <c r="N727" i="2"/>
  <c r="M727" i="2"/>
  <c r="T727" i="2" s="1"/>
  <c r="L727" i="2"/>
  <c r="R726" i="2"/>
  <c r="Q726" i="2"/>
  <c r="S726" i="2" s="1"/>
  <c r="P726" i="2"/>
  <c r="O726" i="2"/>
  <c r="N726" i="2"/>
  <c r="M726" i="2"/>
  <c r="T726" i="2" s="1"/>
  <c r="L726" i="2"/>
  <c r="R725" i="2"/>
  <c r="Q725" i="2"/>
  <c r="S725" i="2" s="1"/>
  <c r="P725" i="2"/>
  <c r="O725" i="2"/>
  <c r="N725" i="2"/>
  <c r="M725" i="2"/>
  <c r="T725" i="2" s="1"/>
  <c r="L725" i="2"/>
  <c r="R724" i="2"/>
  <c r="Q724" i="2"/>
  <c r="S724" i="2" s="1"/>
  <c r="P724" i="2"/>
  <c r="O724" i="2"/>
  <c r="N724" i="2"/>
  <c r="M724" i="2"/>
  <c r="T724" i="2" s="1"/>
  <c r="L724" i="2"/>
  <c r="R723" i="2"/>
  <c r="Q723" i="2"/>
  <c r="P723" i="2"/>
  <c r="O723" i="2"/>
  <c r="N723" i="2"/>
  <c r="M723" i="2"/>
  <c r="T723" i="2" s="1"/>
  <c r="L723" i="2"/>
  <c r="R722" i="2"/>
  <c r="Q722" i="2"/>
  <c r="S722" i="2" s="1"/>
  <c r="P722" i="2"/>
  <c r="O722" i="2"/>
  <c r="N722" i="2"/>
  <c r="M722" i="2"/>
  <c r="T722" i="2" s="1"/>
  <c r="L722" i="2"/>
  <c r="R721" i="2"/>
  <c r="Q721" i="2"/>
  <c r="S721" i="2" s="1"/>
  <c r="P721" i="2"/>
  <c r="O721" i="2"/>
  <c r="N721" i="2"/>
  <c r="M721" i="2"/>
  <c r="T721" i="2" s="1"/>
  <c r="L721" i="2"/>
  <c r="R720" i="2"/>
  <c r="Q720" i="2"/>
  <c r="S720" i="2" s="1"/>
  <c r="P720" i="2"/>
  <c r="O720" i="2"/>
  <c r="N720" i="2"/>
  <c r="M720" i="2"/>
  <c r="T720" i="2" s="1"/>
  <c r="L720" i="2"/>
  <c r="R719" i="2"/>
  <c r="Q719" i="2"/>
  <c r="P719" i="2"/>
  <c r="O719" i="2"/>
  <c r="N719" i="2"/>
  <c r="M719" i="2"/>
  <c r="T719" i="2" s="1"/>
  <c r="L719" i="2"/>
  <c r="R718" i="2"/>
  <c r="S718" i="2" s="1"/>
  <c r="Q718" i="2"/>
  <c r="P718" i="2"/>
  <c r="O718" i="2"/>
  <c r="N718" i="2"/>
  <c r="M718" i="2"/>
  <c r="T718" i="2" s="1"/>
  <c r="L718" i="2"/>
  <c r="R717" i="2"/>
  <c r="Q717" i="2"/>
  <c r="S717" i="2" s="1"/>
  <c r="P717" i="2"/>
  <c r="O717" i="2"/>
  <c r="N717" i="2"/>
  <c r="M717" i="2"/>
  <c r="T717" i="2" s="1"/>
  <c r="L717" i="2"/>
  <c r="R716" i="2"/>
  <c r="Q716" i="2"/>
  <c r="P716" i="2"/>
  <c r="O716" i="2"/>
  <c r="N716" i="2"/>
  <c r="M716" i="2"/>
  <c r="T716" i="2" s="1"/>
  <c r="L716" i="2"/>
  <c r="R715" i="2"/>
  <c r="Q715" i="2"/>
  <c r="P715" i="2"/>
  <c r="O715" i="2"/>
  <c r="N715" i="2"/>
  <c r="M715" i="2"/>
  <c r="T715" i="2" s="1"/>
  <c r="L715" i="2"/>
  <c r="R714" i="2"/>
  <c r="Q714" i="2"/>
  <c r="S714" i="2" s="1"/>
  <c r="P714" i="2"/>
  <c r="O714" i="2"/>
  <c r="N714" i="2"/>
  <c r="M714" i="2"/>
  <c r="T714" i="2" s="1"/>
  <c r="L714" i="2"/>
  <c r="T713" i="2"/>
  <c r="R713" i="2"/>
  <c r="Q713" i="2"/>
  <c r="P713" i="2"/>
  <c r="O713" i="2"/>
  <c r="N713" i="2"/>
  <c r="M713" i="2"/>
  <c r="L713" i="2"/>
  <c r="R712" i="2"/>
  <c r="S712" i="2" s="1"/>
  <c r="Q712" i="2"/>
  <c r="P712" i="2"/>
  <c r="O712" i="2"/>
  <c r="N712" i="2"/>
  <c r="M712" i="2"/>
  <c r="T712" i="2" s="1"/>
  <c r="L712" i="2"/>
  <c r="R711" i="2"/>
  <c r="Q711" i="2"/>
  <c r="P711" i="2"/>
  <c r="O711" i="2"/>
  <c r="N711" i="2"/>
  <c r="M711" i="2"/>
  <c r="T711" i="2" s="1"/>
  <c r="L711" i="2"/>
  <c r="R710" i="2"/>
  <c r="Q710" i="2"/>
  <c r="S710" i="2" s="1"/>
  <c r="P710" i="2"/>
  <c r="O710" i="2"/>
  <c r="N710" i="2"/>
  <c r="M710" i="2"/>
  <c r="T710" i="2" s="1"/>
  <c r="L710" i="2"/>
  <c r="R709" i="2"/>
  <c r="Q709" i="2"/>
  <c r="S709" i="2" s="1"/>
  <c r="P709" i="2"/>
  <c r="O709" i="2"/>
  <c r="N709" i="2"/>
  <c r="M709" i="2"/>
  <c r="T709" i="2" s="1"/>
  <c r="L709" i="2"/>
  <c r="R708" i="2"/>
  <c r="Q708" i="2"/>
  <c r="P708" i="2"/>
  <c r="O708" i="2"/>
  <c r="N708" i="2"/>
  <c r="M708" i="2"/>
  <c r="T708" i="2" s="1"/>
  <c r="L708" i="2"/>
  <c r="R707" i="2"/>
  <c r="Q707" i="2"/>
  <c r="P707" i="2"/>
  <c r="O707" i="2"/>
  <c r="N707" i="2"/>
  <c r="M707" i="2"/>
  <c r="T707" i="2" s="1"/>
  <c r="L707" i="2"/>
  <c r="R706" i="2"/>
  <c r="Q706" i="2"/>
  <c r="S706" i="2" s="1"/>
  <c r="P706" i="2"/>
  <c r="O706" i="2"/>
  <c r="N706" i="2"/>
  <c r="M706" i="2"/>
  <c r="T706" i="2" s="1"/>
  <c r="L706" i="2"/>
  <c r="R705" i="2"/>
  <c r="Q705" i="2"/>
  <c r="P705" i="2"/>
  <c r="O705" i="2"/>
  <c r="N705" i="2"/>
  <c r="M705" i="2"/>
  <c r="T705" i="2" s="1"/>
  <c r="L705" i="2"/>
  <c r="R704" i="2"/>
  <c r="Q704" i="2"/>
  <c r="S704" i="2" s="1"/>
  <c r="P704" i="2"/>
  <c r="O704" i="2"/>
  <c r="N704" i="2"/>
  <c r="M704" i="2"/>
  <c r="T704" i="2" s="1"/>
  <c r="L704" i="2"/>
  <c r="R703" i="2"/>
  <c r="Q703" i="2"/>
  <c r="S703" i="2" s="1"/>
  <c r="P703" i="2"/>
  <c r="O703" i="2"/>
  <c r="N703" i="2"/>
  <c r="M703" i="2"/>
  <c r="T703" i="2" s="1"/>
  <c r="L703" i="2"/>
  <c r="R702" i="2"/>
  <c r="S702" i="2" s="1"/>
  <c r="Q702" i="2"/>
  <c r="P702" i="2"/>
  <c r="O702" i="2"/>
  <c r="N702" i="2"/>
  <c r="M702" i="2"/>
  <c r="T702" i="2" s="1"/>
  <c r="L702" i="2"/>
  <c r="R701" i="2"/>
  <c r="Q701" i="2"/>
  <c r="S701" i="2" s="1"/>
  <c r="P701" i="2"/>
  <c r="O701" i="2"/>
  <c r="N701" i="2"/>
  <c r="M701" i="2"/>
  <c r="T701" i="2" s="1"/>
  <c r="L701" i="2"/>
  <c r="R700" i="2"/>
  <c r="Q700" i="2"/>
  <c r="S700" i="2" s="1"/>
  <c r="P700" i="2"/>
  <c r="O700" i="2"/>
  <c r="N700" i="2"/>
  <c r="M700" i="2"/>
  <c r="T700" i="2" s="1"/>
  <c r="L700" i="2"/>
  <c r="R699" i="2"/>
  <c r="Q699" i="2"/>
  <c r="P699" i="2"/>
  <c r="O699" i="2"/>
  <c r="N699" i="2"/>
  <c r="M699" i="2"/>
  <c r="T699" i="2" s="1"/>
  <c r="L699" i="2"/>
  <c r="R698" i="2"/>
  <c r="Q698" i="2"/>
  <c r="S698" i="2" s="1"/>
  <c r="P698" i="2"/>
  <c r="O698" i="2"/>
  <c r="N698" i="2"/>
  <c r="M698" i="2"/>
  <c r="T698" i="2" s="1"/>
  <c r="L698" i="2"/>
  <c r="R697" i="2"/>
  <c r="Q697" i="2"/>
  <c r="P697" i="2"/>
  <c r="O697" i="2"/>
  <c r="N697" i="2"/>
  <c r="M697" i="2"/>
  <c r="T697" i="2" s="1"/>
  <c r="L697" i="2"/>
  <c r="R696" i="2"/>
  <c r="Q696" i="2"/>
  <c r="S696" i="2" s="1"/>
  <c r="P696" i="2"/>
  <c r="O696" i="2"/>
  <c r="N696" i="2"/>
  <c r="M696" i="2"/>
  <c r="T696" i="2" s="1"/>
  <c r="L696" i="2"/>
  <c r="R695" i="2"/>
  <c r="Q695" i="2"/>
  <c r="P695" i="2"/>
  <c r="O695" i="2"/>
  <c r="N695" i="2"/>
  <c r="M695" i="2"/>
  <c r="T695" i="2" s="1"/>
  <c r="L695" i="2"/>
  <c r="R694" i="2"/>
  <c r="Q694" i="2"/>
  <c r="P694" i="2"/>
  <c r="O694" i="2"/>
  <c r="N694" i="2"/>
  <c r="M694" i="2"/>
  <c r="T694" i="2" s="1"/>
  <c r="L694" i="2"/>
  <c r="R693" i="2"/>
  <c r="Q693" i="2"/>
  <c r="P693" i="2"/>
  <c r="O693" i="2"/>
  <c r="N693" i="2"/>
  <c r="M693" i="2"/>
  <c r="T693" i="2" s="1"/>
  <c r="L693" i="2"/>
  <c r="R692" i="2"/>
  <c r="Q692" i="2"/>
  <c r="P692" i="2"/>
  <c r="O692" i="2"/>
  <c r="N692" i="2"/>
  <c r="M692" i="2"/>
  <c r="T692" i="2" s="1"/>
  <c r="L692" i="2"/>
  <c r="R691" i="2"/>
  <c r="Q691" i="2"/>
  <c r="S691" i="2" s="1"/>
  <c r="P691" i="2"/>
  <c r="O691" i="2"/>
  <c r="N691" i="2"/>
  <c r="M691" i="2"/>
  <c r="T691" i="2" s="1"/>
  <c r="L691" i="2"/>
  <c r="R690" i="2"/>
  <c r="Q690" i="2"/>
  <c r="P690" i="2"/>
  <c r="O690" i="2"/>
  <c r="N690" i="2"/>
  <c r="M690" i="2"/>
  <c r="T690" i="2" s="1"/>
  <c r="L690" i="2"/>
  <c r="R689" i="2"/>
  <c r="Q689" i="2"/>
  <c r="S689" i="2" s="1"/>
  <c r="P689" i="2"/>
  <c r="O689" i="2"/>
  <c r="N689" i="2"/>
  <c r="M689" i="2"/>
  <c r="T689" i="2" s="1"/>
  <c r="L689" i="2"/>
  <c r="R688" i="2"/>
  <c r="Q688" i="2"/>
  <c r="S688" i="2" s="1"/>
  <c r="P688" i="2"/>
  <c r="O688" i="2"/>
  <c r="N688" i="2"/>
  <c r="M688" i="2"/>
  <c r="T688" i="2" s="1"/>
  <c r="L688" i="2"/>
  <c r="S687" i="2"/>
  <c r="R687" i="2"/>
  <c r="Q687" i="2"/>
  <c r="P687" i="2"/>
  <c r="O687" i="2"/>
  <c r="N687" i="2"/>
  <c r="M687" i="2"/>
  <c r="T687" i="2" s="1"/>
  <c r="L687" i="2"/>
  <c r="R686" i="2"/>
  <c r="Q686" i="2"/>
  <c r="P686" i="2"/>
  <c r="O686" i="2"/>
  <c r="N686" i="2"/>
  <c r="M686" i="2"/>
  <c r="T686" i="2" s="1"/>
  <c r="L686" i="2"/>
  <c r="R685" i="2"/>
  <c r="Q685" i="2"/>
  <c r="S685" i="2" s="1"/>
  <c r="P685" i="2"/>
  <c r="O685" i="2"/>
  <c r="N685" i="2"/>
  <c r="M685" i="2"/>
  <c r="T685" i="2" s="1"/>
  <c r="L685" i="2"/>
  <c r="R684" i="2"/>
  <c r="S684" i="2" s="1"/>
  <c r="Q684" i="2"/>
  <c r="P684" i="2"/>
  <c r="O684" i="2"/>
  <c r="N684" i="2"/>
  <c r="M684" i="2"/>
  <c r="T684" i="2" s="1"/>
  <c r="L684" i="2"/>
  <c r="R683" i="2"/>
  <c r="Q683" i="2"/>
  <c r="P683" i="2"/>
  <c r="O683" i="2"/>
  <c r="N683" i="2"/>
  <c r="M683" i="2"/>
  <c r="T683" i="2" s="1"/>
  <c r="L683" i="2"/>
  <c r="R682" i="2"/>
  <c r="Q682" i="2"/>
  <c r="P682" i="2"/>
  <c r="O682" i="2"/>
  <c r="N682" i="2"/>
  <c r="M682" i="2"/>
  <c r="T682" i="2" s="1"/>
  <c r="L682" i="2"/>
  <c r="R681" i="2"/>
  <c r="Q681" i="2"/>
  <c r="P681" i="2"/>
  <c r="O681" i="2"/>
  <c r="N681" i="2"/>
  <c r="M681" i="2"/>
  <c r="T681" i="2" s="1"/>
  <c r="L681" i="2"/>
  <c r="R680" i="2"/>
  <c r="Q680" i="2"/>
  <c r="S680" i="2" s="1"/>
  <c r="P680" i="2"/>
  <c r="O680" i="2"/>
  <c r="N680" i="2"/>
  <c r="M680" i="2"/>
  <c r="T680" i="2" s="1"/>
  <c r="L680" i="2"/>
  <c r="R679" i="2"/>
  <c r="Q679" i="2"/>
  <c r="P679" i="2"/>
  <c r="O679" i="2"/>
  <c r="N679" i="2"/>
  <c r="M679" i="2"/>
  <c r="T679" i="2" s="1"/>
  <c r="L679" i="2"/>
  <c r="R678" i="2"/>
  <c r="Q678" i="2"/>
  <c r="P678" i="2"/>
  <c r="O678" i="2"/>
  <c r="N678" i="2"/>
  <c r="M678" i="2"/>
  <c r="T678" i="2" s="1"/>
  <c r="L678" i="2"/>
  <c r="R677" i="2"/>
  <c r="Q677" i="2"/>
  <c r="S677" i="2" s="1"/>
  <c r="P677" i="2"/>
  <c r="O677" i="2"/>
  <c r="N677" i="2"/>
  <c r="M677" i="2"/>
  <c r="T677" i="2" s="1"/>
  <c r="L677" i="2"/>
  <c r="R676" i="2"/>
  <c r="Q676" i="2"/>
  <c r="S676" i="2" s="1"/>
  <c r="P676" i="2"/>
  <c r="O676" i="2"/>
  <c r="N676" i="2"/>
  <c r="M676" i="2"/>
  <c r="T676" i="2" s="1"/>
  <c r="L676" i="2"/>
  <c r="R675" i="2"/>
  <c r="Q675" i="2"/>
  <c r="P675" i="2"/>
  <c r="O675" i="2"/>
  <c r="N675" i="2"/>
  <c r="M675" i="2"/>
  <c r="T675" i="2" s="1"/>
  <c r="L675" i="2"/>
  <c r="R674" i="2"/>
  <c r="Q674" i="2"/>
  <c r="P674" i="2"/>
  <c r="O674" i="2"/>
  <c r="N674" i="2"/>
  <c r="M674" i="2"/>
  <c r="T674" i="2" s="1"/>
  <c r="L674" i="2"/>
  <c r="R673" i="2"/>
  <c r="Q673" i="2"/>
  <c r="P673" i="2"/>
  <c r="O673" i="2"/>
  <c r="N673" i="2"/>
  <c r="M673" i="2"/>
  <c r="T673" i="2" s="1"/>
  <c r="L673" i="2"/>
  <c r="R672" i="2"/>
  <c r="S672" i="2" s="1"/>
  <c r="Q672" i="2"/>
  <c r="P672" i="2"/>
  <c r="O672" i="2"/>
  <c r="N672" i="2"/>
  <c r="M672" i="2"/>
  <c r="T672" i="2" s="1"/>
  <c r="L672" i="2"/>
  <c r="R671" i="2"/>
  <c r="Q671" i="2"/>
  <c r="P671" i="2"/>
  <c r="O671" i="2"/>
  <c r="N671" i="2"/>
  <c r="M671" i="2"/>
  <c r="T671" i="2" s="1"/>
  <c r="L671" i="2"/>
  <c r="R670" i="2"/>
  <c r="Q670" i="2"/>
  <c r="S670" i="2" s="1"/>
  <c r="P670" i="2"/>
  <c r="O670" i="2"/>
  <c r="N670" i="2"/>
  <c r="M670" i="2"/>
  <c r="T670" i="2" s="1"/>
  <c r="L670" i="2"/>
  <c r="R669" i="2"/>
  <c r="Q669" i="2"/>
  <c r="S669" i="2" s="1"/>
  <c r="P669" i="2"/>
  <c r="O669" i="2"/>
  <c r="N669" i="2"/>
  <c r="M669" i="2"/>
  <c r="T669" i="2" s="1"/>
  <c r="L669" i="2"/>
  <c r="R668" i="2"/>
  <c r="Q668" i="2"/>
  <c r="S668" i="2" s="1"/>
  <c r="P668" i="2"/>
  <c r="O668" i="2"/>
  <c r="N668" i="2"/>
  <c r="M668" i="2"/>
  <c r="T668" i="2" s="1"/>
  <c r="L668" i="2"/>
  <c r="R667" i="2"/>
  <c r="Q667" i="2"/>
  <c r="S667" i="2" s="1"/>
  <c r="P667" i="2"/>
  <c r="O667" i="2"/>
  <c r="N667" i="2"/>
  <c r="M667" i="2"/>
  <c r="T667" i="2" s="1"/>
  <c r="L667" i="2"/>
  <c r="R666" i="2"/>
  <c r="Q666" i="2"/>
  <c r="S666" i="2" s="1"/>
  <c r="P666" i="2"/>
  <c r="O666" i="2"/>
  <c r="N666" i="2"/>
  <c r="M666" i="2"/>
  <c r="T666" i="2" s="1"/>
  <c r="L666" i="2"/>
  <c r="R665" i="2"/>
  <c r="Q665" i="2"/>
  <c r="P665" i="2"/>
  <c r="O665" i="2"/>
  <c r="N665" i="2"/>
  <c r="M665" i="2"/>
  <c r="T665" i="2" s="1"/>
  <c r="L665" i="2"/>
  <c r="R664" i="2"/>
  <c r="Q664" i="2"/>
  <c r="P664" i="2"/>
  <c r="O664" i="2"/>
  <c r="N664" i="2"/>
  <c r="M664" i="2"/>
  <c r="T664" i="2" s="1"/>
  <c r="L664" i="2"/>
  <c r="R663" i="2"/>
  <c r="Q663" i="2"/>
  <c r="P663" i="2"/>
  <c r="O663" i="2"/>
  <c r="N663" i="2"/>
  <c r="M663" i="2"/>
  <c r="T663" i="2" s="1"/>
  <c r="L663" i="2"/>
  <c r="S662" i="2"/>
  <c r="R662" i="2"/>
  <c r="Q662" i="2"/>
  <c r="P662" i="2"/>
  <c r="O662" i="2"/>
  <c r="N662" i="2"/>
  <c r="M662" i="2"/>
  <c r="T662" i="2" s="1"/>
  <c r="L662" i="2"/>
  <c r="R661" i="2"/>
  <c r="Q661" i="2"/>
  <c r="S661" i="2" s="1"/>
  <c r="P661" i="2"/>
  <c r="O661" i="2"/>
  <c r="N661" i="2"/>
  <c r="M661" i="2"/>
  <c r="T661" i="2" s="1"/>
  <c r="L661" i="2"/>
  <c r="R660" i="2"/>
  <c r="Q660" i="2"/>
  <c r="S660" i="2" s="1"/>
  <c r="P660" i="2"/>
  <c r="O660" i="2"/>
  <c r="N660" i="2"/>
  <c r="M660" i="2"/>
  <c r="T660" i="2" s="1"/>
  <c r="L660" i="2"/>
  <c r="R659" i="2"/>
  <c r="Q659" i="2"/>
  <c r="S659" i="2" s="1"/>
  <c r="P659" i="2"/>
  <c r="O659" i="2"/>
  <c r="N659" i="2"/>
  <c r="M659" i="2"/>
  <c r="T659" i="2" s="1"/>
  <c r="L659" i="2"/>
  <c r="R658" i="2"/>
  <c r="S658" i="2" s="1"/>
  <c r="Q658" i="2"/>
  <c r="P658" i="2"/>
  <c r="O658" i="2"/>
  <c r="N658" i="2"/>
  <c r="M658" i="2"/>
  <c r="T658" i="2" s="1"/>
  <c r="L658" i="2"/>
  <c r="R657" i="2"/>
  <c r="Q657" i="2"/>
  <c r="P657" i="2"/>
  <c r="O657" i="2"/>
  <c r="N657" i="2"/>
  <c r="M657" i="2"/>
  <c r="T657" i="2" s="1"/>
  <c r="L657" i="2"/>
  <c r="R656" i="2"/>
  <c r="Q656" i="2"/>
  <c r="S656" i="2" s="1"/>
  <c r="P656" i="2"/>
  <c r="O656" i="2"/>
  <c r="N656" i="2"/>
  <c r="M656" i="2"/>
  <c r="T656" i="2" s="1"/>
  <c r="L656" i="2"/>
  <c r="R655" i="2"/>
  <c r="Q655" i="2"/>
  <c r="P655" i="2"/>
  <c r="O655" i="2"/>
  <c r="N655" i="2"/>
  <c r="M655" i="2"/>
  <c r="T655" i="2" s="1"/>
  <c r="L655" i="2"/>
  <c r="R654" i="2"/>
  <c r="Q654" i="2"/>
  <c r="P654" i="2"/>
  <c r="O654" i="2"/>
  <c r="N654" i="2"/>
  <c r="M654" i="2"/>
  <c r="T654" i="2" s="1"/>
  <c r="L654" i="2"/>
  <c r="R653" i="2"/>
  <c r="Q653" i="2"/>
  <c r="S653" i="2" s="1"/>
  <c r="P653" i="2"/>
  <c r="O653" i="2"/>
  <c r="N653" i="2"/>
  <c r="M653" i="2"/>
  <c r="T653" i="2" s="1"/>
  <c r="L653" i="2"/>
  <c r="R652" i="2"/>
  <c r="Q652" i="2"/>
  <c r="S652" i="2" s="1"/>
  <c r="P652" i="2"/>
  <c r="O652" i="2"/>
  <c r="N652" i="2"/>
  <c r="M652" i="2"/>
  <c r="T652" i="2" s="1"/>
  <c r="L652" i="2"/>
  <c r="R651" i="2"/>
  <c r="Q651" i="2"/>
  <c r="S651" i="2" s="1"/>
  <c r="P651" i="2"/>
  <c r="O651" i="2"/>
  <c r="N651" i="2"/>
  <c r="M651" i="2"/>
  <c r="T651" i="2" s="1"/>
  <c r="L651" i="2"/>
  <c r="R650" i="2"/>
  <c r="Q650" i="2"/>
  <c r="P650" i="2"/>
  <c r="O650" i="2"/>
  <c r="N650" i="2"/>
  <c r="M650" i="2"/>
  <c r="T650" i="2" s="1"/>
  <c r="L650" i="2"/>
  <c r="R649" i="2"/>
  <c r="Q649" i="2"/>
  <c r="P649" i="2"/>
  <c r="O649" i="2"/>
  <c r="N649" i="2"/>
  <c r="M649" i="2"/>
  <c r="T649" i="2" s="1"/>
  <c r="L649" i="2"/>
  <c r="R648" i="2"/>
  <c r="Q648" i="2"/>
  <c r="S648" i="2" s="1"/>
  <c r="P648" i="2"/>
  <c r="O648" i="2"/>
  <c r="N648" i="2"/>
  <c r="M648" i="2"/>
  <c r="T648" i="2" s="1"/>
  <c r="L648" i="2"/>
  <c r="R647" i="2"/>
  <c r="S647" i="2" s="1"/>
  <c r="Q647" i="2"/>
  <c r="P647" i="2"/>
  <c r="O647" i="2"/>
  <c r="N647" i="2"/>
  <c r="M647" i="2"/>
  <c r="T647" i="2" s="1"/>
  <c r="L647" i="2"/>
  <c r="R646" i="2"/>
  <c r="Q646" i="2"/>
  <c r="P646" i="2"/>
  <c r="O646" i="2"/>
  <c r="N646" i="2"/>
  <c r="M646" i="2"/>
  <c r="T646" i="2" s="1"/>
  <c r="L646" i="2"/>
  <c r="R645" i="2"/>
  <c r="Q645" i="2"/>
  <c r="S645" i="2" s="1"/>
  <c r="P645" i="2"/>
  <c r="O645" i="2"/>
  <c r="N645" i="2"/>
  <c r="M645" i="2"/>
  <c r="T645" i="2" s="1"/>
  <c r="L645" i="2"/>
  <c r="R644" i="2"/>
  <c r="Q644" i="2"/>
  <c r="P644" i="2"/>
  <c r="O644" i="2"/>
  <c r="N644" i="2"/>
  <c r="M644" i="2"/>
  <c r="T644" i="2" s="1"/>
  <c r="L644" i="2"/>
  <c r="R643" i="2"/>
  <c r="Q643" i="2"/>
  <c r="S643" i="2" s="1"/>
  <c r="P643" i="2"/>
  <c r="O643" i="2"/>
  <c r="N643" i="2"/>
  <c r="M643" i="2"/>
  <c r="T643" i="2" s="1"/>
  <c r="L643" i="2"/>
  <c r="R642" i="2"/>
  <c r="Q642" i="2"/>
  <c r="S642" i="2" s="1"/>
  <c r="P642" i="2"/>
  <c r="O642" i="2"/>
  <c r="N642" i="2"/>
  <c r="M642" i="2"/>
  <c r="T642" i="2" s="1"/>
  <c r="L642" i="2"/>
  <c r="R641" i="2"/>
  <c r="Q641" i="2"/>
  <c r="S641" i="2" s="1"/>
  <c r="P641" i="2"/>
  <c r="O641" i="2"/>
  <c r="N641" i="2"/>
  <c r="M641" i="2"/>
  <c r="T641" i="2" s="1"/>
  <c r="L641" i="2"/>
  <c r="T640" i="2"/>
  <c r="R640" i="2"/>
  <c r="Q640" i="2"/>
  <c r="S640" i="2" s="1"/>
  <c r="P640" i="2"/>
  <c r="O640" i="2"/>
  <c r="N640" i="2"/>
  <c r="M640" i="2"/>
  <c r="L640" i="2"/>
  <c r="R639" i="2"/>
  <c r="Q639" i="2"/>
  <c r="P639" i="2"/>
  <c r="O639" i="2"/>
  <c r="N639" i="2"/>
  <c r="M639" i="2"/>
  <c r="T639" i="2" s="1"/>
  <c r="L639" i="2"/>
  <c r="R638" i="2"/>
  <c r="Q638" i="2"/>
  <c r="P638" i="2"/>
  <c r="O638" i="2"/>
  <c r="N638" i="2"/>
  <c r="M638" i="2"/>
  <c r="T638" i="2" s="1"/>
  <c r="L638" i="2"/>
  <c r="R637" i="2"/>
  <c r="Q637" i="2"/>
  <c r="S637" i="2" s="1"/>
  <c r="P637" i="2"/>
  <c r="O637" i="2"/>
  <c r="N637" i="2"/>
  <c r="M637" i="2"/>
  <c r="T637" i="2" s="1"/>
  <c r="L637" i="2"/>
  <c r="R636" i="2"/>
  <c r="Q636" i="2"/>
  <c r="P636" i="2"/>
  <c r="O636" i="2"/>
  <c r="N636" i="2"/>
  <c r="M636" i="2"/>
  <c r="T636" i="2" s="1"/>
  <c r="L636" i="2"/>
  <c r="T635" i="2"/>
  <c r="R635" i="2"/>
  <c r="Q635" i="2"/>
  <c r="S635" i="2" s="1"/>
  <c r="P635" i="2"/>
  <c r="O635" i="2"/>
  <c r="N635" i="2"/>
  <c r="M635" i="2"/>
  <c r="L635" i="2"/>
  <c r="R634" i="2"/>
  <c r="Q634" i="2"/>
  <c r="S634" i="2" s="1"/>
  <c r="P634" i="2"/>
  <c r="O634" i="2"/>
  <c r="N634" i="2"/>
  <c r="M634" i="2"/>
  <c r="T634" i="2" s="1"/>
  <c r="L634" i="2"/>
  <c r="R633" i="2"/>
  <c r="Q633" i="2"/>
  <c r="P633" i="2"/>
  <c r="O633" i="2"/>
  <c r="N633" i="2"/>
  <c r="M633" i="2"/>
  <c r="T633" i="2" s="1"/>
  <c r="L633" i="2"/>
  <c r="R632" i="2"/>
  <c r="Q632" i="2"/>
  <c r="S632" i="2" s="1"/>
  <c r="P632" i="2"/>
  <c r="O632" i="2"/>
  <c r="N632" i="2"/>
  <c r="M632" i="2"/>
  <c r="T632" i="2" s="1"/>
  <c r="L632" i="2"/>
  <c r="R631" i="2"/>
  <c r="Q631" i="2"/>
  <c r="P631" i="2"/>
  <c r="O631" i="2"/>
  <c r="N631" i="2"/>
  <c r="M631" i="2"/>
  <c r="T631" i="2" s="1"/>
  <c r="L631" i="2"/>
  <c r="R630" i="2"/>
  <c r="Q630" i="2"/>
  <c r="S630" i="2" s="1"/>
  <c r="P630" i="2"/>
  <c r="O630" i="2"/>
  <c r="N630" i="2"/>
  <c r="M630" i="2"/>
  <c r="T630" i="2" s="1"/>
  <c r="L630" i="2"/>
  <c r="R629" i="2"/>
  <c r="Q629" i="2"/>
  <c r="S629" i="2" s="1"/>
  <c r="P629" i="2"/>
  <c r="O629" i="2"/>
  <c r="N629" i="2"/>
  <c r="M629" i="2"/>
  <c r="T629" i="2" s="1"/>
  <c r="L629" i="2"/>
  <c r="R628" i="2"/>
  <c r="Q628" i="2"/>
  <c r="S628" i="2" s="1"/>
  <c r="P628" i="2"/>
  <c r="O628" i="2"/>
  <c r="N628" i="2"/>
  <c r="M628" i="2"/>
  <c r="T628" i="2" s="1"/>
  <c r="L628" i="2"/>
  <c r="R627" i="2"/>
  <c r="Q627" i="2"/>
  <c r="S627" i="2" s="1"/>
  <c r="P627" i="2"/>
  <c r="O627" i="2"/>
  <c r="N627" i="2"/>
  <c r="M627" i="2"/>
  <c r="T627" i="2" s="1"/>
  <c r="L627" i="2"/>
  <c r="R626" i="2"/>
  <c r="Q626" i="2"/>
  <c r="S626" i="2" s="1"/>
  <c r="P626" i="2"/>
  <c r="O626" i="2"/>
  <c r="N626" i="2"/>
  <c r="M626" i="2"/>
  <c r="T626" i="2" s="1"/>
  <c r="L626" i="2"/>
  <c r="R625" i="2"/>
  <c r="Q625" i="2"/>
  <c r="P625" i="2"/>
  <c r="O625" i="2"/>
  <c r="N625" i="2"/>
  <c r="M625" i="2"/>
  <c r="T625" i="2" s="1"/>
  <c r="L625" i="2"/>
  <c r="R624" i="2"/>
  <c r="Q624" i="2"/>
  <c r="S624" i="2" s="1"/>
  <c r="P624" i="2"/>
  <c r="O624" i="2"/>
  <c r="N624" i="2"/>
  <c r="M624" i="2"/>
  <c r="T624" i="2" s="1"/>
  <c r="L624" i="2"/>
  <c r="R623" i="2"/>
  <c r="Q623" i="2"/>
  <c r="P623" i="2"/>
  <c r="O623" i="2"/>
  <c r="N623" i="2"/>
  <c r="M623" i="2"/>
  <c r="T623" i="2" s="1"/>
  <c r="L623" i="2"/>
  <c r="R622" i="2"/>
  <c r="Q622" i="2"/>
  <c r="P622" i="2"/>
  <c r="O622" i="2"/>
  <c r="N622" i="2"/>
  <c r="M622" i="2"/>
  <c r="T622" i="2" s="1"/>
  <c r="L622" i="2"/>
  <c r="R621" i="2"/>
  <c r="Q621" i="2"/>
  <c r="S621" i="2" s="1"/>
  <c r="P621" i="2"/>
  <c r="O621" i="2"/>
  <c r="N621" i="2"/>
  <c r="M621" i="2"/>
  <c r="T621" i="2" s="1"/>
  <c r="L621" i="2"/>
  <c r="T620" i="2"/>
  <c r="R620" i="2"/>
  <c r="Q620" i="2"/>
  <c r="P620" i="2"/>
  <c r="O620" i="2"/>
  <c r="N620" i="2"/>
  <c r="M620" i="2"/>
  <c r="L620" i="2"/>
  <c r="R619" i="2"/>
  <c r="Q619" i="2"/>
  <c r="P619" i="2"/>
  <c r="O619" i="2"/>
  <c r="N619" i="2"/>
  <c r="M619" i="2"/>
  <c r="T619" i="2" s="1"/>
  <c r="L619" i="2"/>
  <c r="R618" i="2"/>
  <c r="Q618" i="2"/>
  <c r="S618" i="2" s="1"/>
  <c r="P618" i="2"/>
  <c r="O618" i="2"/>
  <c r="N618" i="2"/>
  <c r="M618" i="2"/>
  <c r="T618" i="2" s="1"/>
  <c r="L618" i="2"/>
  <c r="T617" i="2"/>
  <c r="R617" i="2"/>
  <c r="Q617" i="2"/>
  <c r="P617" i="2"/>
  <c r="O617" i="2"/>
  <c r="N617" i="2"/>
  <c r="M617" i="2"/>
  <c r="L617" i="2"/>
  <c r="R616" i="2"/>
  <c r="Q616" i="2"/>
  <c r="P616" i="2"/>
  <c r="O616" i="2"/>
  <c r="N616" i="2"/>
  <c r="M616" i="2"/>
  <c r="T616" i="2" s="1"/>
  <c r="L616" i="2"/>
  <c r="T615" i="2"/>
  <c r="R615" i="2"/>
  <c r="Q615" i="2"/>
  <c r="S615" i="2" s="1"/>
  <c r="P615" i="2"/>
  <c r="O615" i="2"/>
  <c r="N615" i="2"/>
  <c r="M615" i="2"/>
  <c r="L615" i="2"/>
  <c r="T614" i="2"/>
  <c r="S614" i="2"/>
  <c r="R614" i="2"/>
  <c r="Q614" i="2"/>
  <c r="P614" i="2"/>
  <c r="O614" i="2"/>
  <c r="N614" i="2"/>
  <c r="M614" i="2"/>
  <c r="L614" i="2"/>
  <c r="R613" i="2"/>
  <c r="Q613" i="2"/>
  <c r="P613" i="2"/>
  <c r="O613" i="2"/>
  <c r="N613" i="2"/>
  <c r="M613" i="2"/>
  <c r="T613" i="2" s="1"/>
  <c r="L613" i="2"/>
  <c r="R612" i="2"/>
  <c r="Q612" i="2"/>
  <c r="S612" i="2" s="1"/>
  <c r="P612" i="2"/>
  <c r="O612" i="2"/>
  <c r="N612" i="2"/>
  <c r="M612" i="2"/>
  <c r="T612" i="2" s="1"/>
  <c r="L612" i="2"/>
  <c r="R611" i="2"/>
  <c r="Q611" i="2"/>
  <c r="P611" i="2"/>
  <c r="O611" i="2"/>
  <c r="N611" i="2"/>
  <c r="M611" i="2"/>
  <c r="T611" i="2" s="1"/>
  <c r="L611" i="2"/>
  <c r="S610" i="2"/>
  <c r="R610" i="2"/>
  <c r="Q610" i="2"/>
  <c r="P610" i="2"/>
  <c r="O610" i="2"/>
  <c r="N610" i="2"/>
  <c r="M610" i="2"/>
  <c r="T610" i="2" s="1"/>
  <c r="L610" i="2"/>
  <c r="T609" i="2"/>
  <c r="R609" i="2"/>
  <c r="Q609" i="2"/>
  <c r="S609" i="2" s="1"/>
  <c r="P609" i="2"/>
  <c r="O609" i="2"/>
  <c r="N609" i="2"/>
  <c r="M609" i="2"/>
  <c r="L609" i="2"/>
  <c r="R608" i="2"/>
  <c r="Q608" i="2"/>
  <c r="P608" i="2"/>
  <c r="O608" i="2"/>
  <c r="N608" i="2"/>
  <c r="M608" i="2"/>
  <c r="T608" i="2" s="1"/>
  <c r="L608" i="2"/>
  <c r="R607" i="2"/>
  <c r="Q607" i="2"/>
  <c r="P607" i="2"/>
  <c r="O607" i="2"/>
  <c r="N607" i="2"/>
  <c r="M607" i="2"/>
  <c r="T607" i="2" s="1"/>
  <c r="L607" i="2"/>
  <c r="T606" i="2"/>
  <c r="R606" i="2"/>
  <c r="Q606" i="2"/>
  <c r="S606" i="2" s="1"/>
  <c r="P606" i="2"/>
  <c r="O606" i="2"/>
  <c r="N606" i="2"/>
  <c r="M606" i="2"/>
  <c r="L606" i="2"/>
  <c r="R605" i="2"/>
  <c r="Q605" i="2"/>
  <c r="S605" i="2" s="1"/>
  <c r="P605" i="2"/>
  <c r="O605" i="2"/>
  <c r="N605" i="2"/>
  <c r="M605" i="2"/>
  <c r="T605" i="2" s="1"/>
  <c r="L605" i="2"/>
  <c r="R604" i="2"/>
  <c r="Q604" i="2"/>
  <c r="S604" i="2" s="1"/>
  <c r="P604" i="2"/>
  <c r="O604" i="2"/>
  <c r="N604" i="2"/>
  <c r="M604" i="2"/>
  <c r="T604" i="2" s="1"/>
  <c r="L604" i="2"/>
  <c r="R603" i="2"/>
  <c r="Q603" i="2"/>
  <c r="S603" i="2" s="1"/>
  <c r="P603" i="2"/>
  <c r="O603" i="2"/>
  <c r="N603" i="2"/>
  <c r="M603" i="2"/>
  <c r="T603" i="2" s="1"/>
  <c r="L603" i="2"/>
  <c r="R602" i="2"/>
  <c r="Q602" i="2"/>
  <c r="P602" i="2"/>
  <c r="O602" i="2"/>
  <c r="N602" i="2"/>
  <c r="M602" i="2"/>
  <c r="T602" i="2" s="1"/>
  <c r="L602" i="2"/>
  <c r="R601" i="2"/>
  <c r="Q601" i="2"/>
  <c r="P601" i="2"/>
  <c r="O601" i="2"/>
  <c r="N601" i="2"/>
  <c r="M601" i="2"/>
  <c r="T601" i="2" s="1"/>
  <c r="L601" i="2"/>
  <c r="R600" i="2"/>
  <c r="Q600" i="2"/>
  <c r="S600" i="2" s="1"/>
  <c r="P600" i="2"/>
  <c r="O600" i="2"/>
  <c r="N600" i="2"/>
  <c r="M600" i="2"/>
  <c r="T600" i="2" s="1"/>
  <c r="L600" i="2"/>
  <c r="R599" i="2"/>
  <c r="Q599" i="2"/>
  <c r="S599" i="2" s="1"/>
  <c r="P599" i="2"/>
  <c r="O599" i="2"/>
  <c r="N599" i="2"/>
  <c r="M599" i="2"/>
  <c r="T599" i="2" s="1"/>
  <c r="L599" i="2"/>
  <c r="R598" i="2"/>
  <c r="Q598" i="2"/>
  <c r="S598" i="2" s="1"/>
  <c r="P598" i="2"/>
  <c r="O598" i="2"/>
  <c r="N598" i="2"/>
  <c r="M598" i="2"/>
  <c r="T598" i="2" s="1"/>
  <c r="L598" i="2"/>
  <c r="R597" i="2"/>
  <c r="Q597" i="2"/>
  <c r="S597" i="2" s="1"/>
  <c r="P597" i="2"/>
  <c r="O597" i="2"/>
  <c r="N597" i="2"/>
  <c r="M597" i="2"/>
  <c r="T597" i="2" s="1"/>
  <c r="L597" i="2"/>
  <c r="R596" i="2"/>
  <c r="Q596" i="2"/>
  <c r="S596" i="2" s="1"/>
  <c r="P596" i="2"/>
  <c r="O596" i="2"/>
  <c r="N596" i="2"/>
  <c r="M596" i="2"/>
  <c r="T596" i="2" s="1"/>
  <c r="L596" i="2"/>
  <c r="R595" i="2"/>
  <c r="Q595" i="2"/>
  <c r="S595" i="2" s="1"/>
  <c r="P595" i="2"/>
  <c r="O595" i="2"/>
  <c r="N595" i="2"/>
  <c r="M595" i="2"/>
  <c r="T595" i="2" s="1"/>
  <c r="L595" i="2"/>
  <c r="T594" i="2"/>
  <c r="R594" i="2"/>
  <c r="Q594" i="2"/>
  <c r="S594" i="2" s="1"/>
  <c r="P594" i="2"/>
  <c r="O594" i="2"/>
  <c r="N594" i="2"/>
  <c r="M594" i="2"/>
  <c r="L594" i="2"/>
  <c r="R593" i="2"/>
  <c r="Q593" i="2"/>
  <c r="S593" i="2" s="1"/>
  <c r="P593" i="2"/>
  <c r="O593" i="2"/>
  <c r="N593" i="2"/>
  <c r="M593" i="2"/>
  <c r="T593" i="2" s="1"/>
  <c r="L593" i="2"/>
  <c r="R592" i="2"/>
  <c r="Q592" i="2"/>
  <c r="S592" i="2" s="1"/>
  <c r="P592" i="2"/>
  <c r="O592" i="2"/>
  <c r="N592" i="2"/>
  <c r="M592" i="2"/>
  <c r="T592" i="2" s="1"/>
  <c r="L592" i="2"/>
  <c r="R591" i="2"/>
  <c r="Q591" i="2"/>
  <c r="P591" i="2"/>
  <c r="O591" i="2"/>
  <c r="N591" i="2"/>
  <c r="M591" i="2"/>
  <c r="T591" i="2" s="1"/>
  <c r="L591" i="2"/>
  <c r="R590" i="2"/>
  <c r="Q590" i="2"/>
  <c r="S590" i="2" s="1"/>
  <c r="P590" i="2"/>
  <c r="O590" i="2"/>
  <c r="N590" i="2"/>
  <c r="M590" i="2"/>
  <c r="T590" i="2" s="1"/>
  <c r="L590" i="2"/>
  <c r="R589" i="2"/>
  <c r="Q589" i="2"/>
  <c r="P589" i="2"/>
  <c r="O589" i="2"/>
  <c r="N589" i="2"/>
  <c r="M589" i="2"/>
  <c r="T589" i="2" s="1"/>
  <c r="L589" i="2"/>
  <c r="R588" i="2"/>
  <c r="Q588" i="2"/>
  <c r="P588" i="2"/>
  <c r="O588" i="2"/>
  <c r="N588" i="2"/>
  <c r="M588" i="2"/>
  <c r="T588" i="2" s="1"/>
  <c r="L588" i="2"/>
  <c r="R587" i="2"/>
  <c r="Q587" i="2"/>
  <c r="P587" i="2"/>
  <c r="O587" i="2"/>
  <c r="N587" i="2"/>
  <c r="M587" i="2"/>
  <c r="T587" i="2" s="1"/>
  <c r="L587" i="2"/>
  <c r="R586" i="2"/>
  <c r="Q586" i="2"/>
  <c r="P586" i="2"/>
  <c r="O586" i="2"/>
  <c r="N586" i="2"/>
  <c r="M586" i="2"/>
  <c r="T586" i="2" s="1"/>
  <c r="L586" i="2"/>
  <c r="R585" i="2"/>
  <c r="Q585" i="2"/>
  <c r="P585" i="2"/>
  <c r="O585" i="2"/>
  <c r="N585" i="2"/>
  <c r="M585" i="2"/>
  <c r="T585" i="2" s="1"/>
  <c r="L585" i="2"/>
  <c r="R584" i="2"/>
  <c r="Q584" i="2"/>
  <c r="P584" i="2"/>
  <c r="O584" i="2"/>
  <c r="N584" i="2"/>
  <c r="M584" i="2"/>
  <c r="T584" i="2" s="1"/>
  <c r="L584" i="2"/>
  <c r="R583" i="2"/>
  <c r="Q583" i="2"/>
  <c r="S583" i="2" s="1"/>
  <c r="P583" i="2"/>
  <c r="O583" i="2"/>
  <c r="N583" i="2"/>
  <c r="M583" i="2"/>
  <c r="T583" i="2" s="1"/>
  <c r="L583" i="2"/>
  <c r="R582" i="2"/>
  <c r="Q582" i="2"/>
  <c r="S582" i="2" s="1"/>
  <c r="P582" i="2"/>
  <c r="O582" i="2"/>
  <c r="N582" i="2"/>
  <c r="M582" i="2"/>
  <c r="T582" i="2" s="1"/>
  <c r="L582" i="2"/>
  <c r="R581" i="2"/>
  <c r="Q581" i="2"/>
  <c r="S581" i="2" s="1"/>
  <c r="P581" i="2"/>
  <c r="O581" i="2"/>
  <c r="N581" i="2"/>
  <c r="M581" i="2"/>
  <c r="T581" i="2" s="1"/>
  <c r="L581" i="2"/>
  <c r="S580" i="2"/>
  <c r="R580" i="2"/>
  <c r="Q580" i="2"/>
  <c r="P580" i="2"/>
  <c r="O580" i="2"/>
  <c r="N580" i="2"/>
  <c r="M580" i="2"/>
  <c r="T580" i="2" s="1"/>
  <c r="L580" i="2"/>
  <c r="R579" i="2"/>
  <c r="Q579" i="2"/>
  <c r="S579" i="2" s="1"/>
  <c r="P579" i="2"/>
  <c r="O579" i="2"/>
  <c r="N579" i="2"/>
  <c r="M579" i="2"/>
  <c r="T579" i="2" s="1"/>
  <c r="L579" i="2"/>
  <c r="R578" i="2"/>
  <c r="Q578" i="2"/>
  <c r="P578" i="2"/>
  <c r="O578" i="2"/>
  <c r="N578" i="2"/>
  <c r="M578" i="2"/>
  <c r="T578" i="2" s="1"/>
  <c r="L578" i="2"/>
  <c r="R577" i="2"/>
  <c r="Q577" i="2"/>
  <c r="P577" i="2"/>
  <c r="O577" i="2"/>
  <c r="N577" i="2"/>
  <c r="M577" i="2"/>
  <c r="T577" i="2" s="1"/>
  <c r="L577" i="2"/>
  <c r="R576" i="2"/>
  <c r="Q576" i="2"/>
  <c r="S576" i="2" s="1"/>
  <c r="P576" i="2"/>
  <c r="O576" i="2"/>
  <c r="N576" i="2"/>
  <c r="M576" i="2"/>
  <c r="T576" i="2" s="1"/>
  <c r="L576" i="2"/>
  <c r="R575" i="2"/>
  <c r="Q575" i="2"/>
  <c r="P575" i="2"/>
  <c r="O575" i="2"/>
  <c r="N575" i="2"/>
  <c r="M575" i="2"/>
  <c r="T575" i="2" s="1"/>
  <c r="L575" i="2"/>
  <c r="R574" i="2"/>
  <c r="Q574" i="2"/>
  <c r="S574" i="2" s="1"/>
  <c r="P574" i="2"/>
  <c r="O574" i="2"/>
  <c r="N574" i="2"/>
  <c r="M574" i="2"/>
  <c r="T574" i="2" s="1"/>
  <c r="L574" i="2"/>
  <c r="R573" i="2"/>
  <c r="Q573" i="2"/>
  <c r="P573" i="2"/>
  <c r="O573" i="2"/>
  <c r="N573" i="2"/>
  <c r="M573" i="2"/>
  <c r="T573" i="2" s="1"/>
  <c r="L573" i="2"/>
  <c r="R572" i="2"/>
  <c r="Q572" i="2"/>
  <c r="P572" i="2"/>
  <c r="O572" i="2"/>
  <c r="N572" i="2"/>
  <c r="M572" i="2"/>
  <c r="T572" i="2" s="1"/>
  <c r="L572" i="2"/>
  <c r="R571" i="2"/>
  <c r="Q571" i="2"/>
  <c r="S571" i="2" s="1"/>
  <c r="P571" i="2"/>
  <c r="O571" i="2"/>
  <c r="N571" i="2"/>
  <c r="M571" i="2"/>
  <c r="T571" i="2" s="1"/>
  <c r="L571" i="2"/>
  <c r="R570" i="2"/>
  <c r="Q570" i="2"/>
  <c r="P570" i="2"/>
  <c r="O570" i="2"/>
  <c r="N570" i="2"/>
  <c r="M570" i="2"/>
  <c r="T570" i="2" s="1"/>
  <c r="L570" i="2"/>
  <c r="R569" i="2"/>
  <c r="Q569" i="2"/>
  <c r="P569" i="2"/>
  <c r="O569" i="2"/>
  <c r="N569" i="2"/>
  <c r="M569" i="2"/>
  <c r="T569" i="2" s="1"/>
  <c r="L569" i="2"/>
  <c r="R568" i="2"/>
  <c r="Q568" i="2"/>
  <c r="S568" i="2" s="1"/>
  <c r="P568" i="2"/>
  <c r="O568" i="2"/>
  <c r="N568" i="2"/>
  <c r="M568" i="2"/>
  <c r="T568" i="2" s="1"/>
  <c r="L568" i="2"/>
  <c r="R567" i="2"/>
  <c r="Q567" i="2"/>
  <c r="P567" i="2"/>
  <c r="O567" i="2"/>
  <c r="N567" i="2"/>
  <c r="M567" i="2"/>
  <c r="T567" i="2" s="1"/>
  <c r="L567" i="2"/>
  <c r="R566" i="2"/>
  <c r="Q566" i="2"/>
  <c r="S566" i="2" s="1"/>
  <c r="P566" i="2"/>
  <c r="O566" i="2"/>
  <c r="N566" i="2"/>
  <c r="M566" i="2"/>
  <c r="T566" i="2" s="1"/>
  <c r="L566" i="2"/>
  <c r="R565" i="2"/>
  <c r="Q565" i="2"/>
  <c r="P565" i="2"/>
  <c r="O565" i="2"/>
  <c r="N565" i="2"/>
  <c r="M565" i="2"/>
  <c r="T565" i="2" s="1"/>
  <c r="L565" i="2"/>
  <c r="R564" i="2"/>
  <c r="Q564" i="2"/>
  <c r="P564" i="2"/>
  <c r="O564" i="2"/>
  <c r="N564" i="2"/>
  <c r="M564" i="2"/>
  <c r="T564" i="2" s="1"/>
  <c r="L564" i="2"/>
  <c r="R563" i="2"/>
  <c r="Q563" i="2"/>
  <c r="S563" i="2" s="1"/>
  <c r="P563" i="2"/>
  <c r="O563" i="2"/>
  <c r="N563" i="2"/>
  <c r="M563" i="2"/>
  <c r="T563" i="2" s="1"/>
  <c r="L563" i="2"/>
  <c r="R562" i="2"/>
  <c r="Q562" i="2"/>
  <c r="S562" i="2" s="1"/>
  <c r="P562" i="2"/>
  <c r="O562" i="2"/>
  <c r="N562" i="2"/>
  <c r="M562" i="2"/>
  <c r="T562" i="2" s="1"/>
  <c r="L562" i="2"/>
  <c r="R561" i="2"/>
  <c r="Q561" i="2"/>
  <c r="P561" i="2"/>
  <c r="O561" i="2"/>
  <c r="N561" i="2"/>
  <c r="M561" i="2"/>
  <c r="T561" i="2" s="1"/>
  <c r="L561" i="2"/>
  <c r="R560" i="2"/>
  <c r="Q560" i="2"/>
  <c r="S560" i="2" s="1"/>
  <c r="P560" i="2"/>
  <c r="O560" i="2"/>
  <c r="N560" i="2"/>
  <c r="M560" i="2"/>
  <c r="T560" i="2" s="1"/>
  <c r="L560" i="2"/>
  <c r="R559" i="2"/>
  <c r="Q559" i="2"/>
  <c r="P559" i="2"/>
  <c r="O559" i="2"/>
  <c r="N559" i="2"/>
  <c r="M559" i="2"/>
  <c r="T559" i="2" s="1"/>
  <c r="L559" i="2"/>
  <c r="R558" i="2"/>
  <c r="Q558" i="2"/>
  <c r="P558" i="2"/>
  <c r="O558" i="2"/>
  <c r="N558" i="2"/>
  <c r="M558" i="2"/>
  <c r="T558" i="2" s="1"/>
  <c r="L558" i="2"/>
  <c r="R557" i="2"/>
  <c r="Q557" i="2"/>
  <c r="S557" i="2" s="1"/>
  <c r="P557" i="2"/>
  <c r="O557" i="2"/>
  <c r="N557" i="2"/>
  <c r="M557" i="2"/>
  <c r="T557" i="2" s="1"/>
  <c r="L557" i="2"/>
  <c r="R556" i="2"/>
  <c r="Q556" i="2"/>
  <c r="S556" i="2" s="1"/>
  <c r="P556" i="2"/>
  <c r="O556" i="2"/>
  <c r="N556" i="2"/>
  <c r="M556" i="2"/>
  <c r="T556" i="2" s="1"/>
  <c r="L556" i="2"/>
  <c r="T555" i="2"/>
  <c r="S555" i="2"/>
  <c r="R555" i="2"/>
  <c r="Q555" i="2"/>
  <c r="P555" i="2"/>
  <c r="O555" i="2"/>
  <c r="N555" i="2"/>
  <c r="M555" i="2"/>
  <c r="L555" i="2"/>
  <c r="R554" i="2"/>
  <c r="Q554" i="2"/>
  <c r="S554" i="2" s="1"/>
  <c r="P554" i="2"/>
  <c r="O554" i="2"/>
  <c r="N554" i="2"/>
  <c r="M554" i="2"/>
  <c r="T554" i="2" s="1"/>
  <c r="L554" i="2"/>
  <c r="R553" i="2"/>
  <c r="Q553" i="2"/>
  <c r="P553" i="2"/>
  <c r="O553" i="2"/>
  <c r="N553" i="2"/>
  <c r="M553" i="2"/>
  <c r="T553" i="2" s="1"/>
  <c r="L553" i="2"/>
  <c r="R552" i="2"/>
  <c r="Q552" i="2"/>
  <c r="P552" i="2"/>
  <c r="O552" i="2"/>
  <c r="N552" i="2"/>
  <c r="M552" i="2"/>
  <c r="T552" i="2" s="1"/>
  <c r="L552" i="2"/>
  <c r="R551" i="2"/>
  <c r="Q551" i="2"/>
  <c r="P551" i="2"/>
  <c r="O551" i="2"/>
  <c r="N551" i="2"/>
  <c r="M551" i="2"/>
  <c r="T551" i="2" s="1"/>
  <c r="L551" i="2"/>
  <c r="R550" i="2"/>
  <c r="Q550" i="2"/>
  <c r="S550" i="2" s="1"/>
  <c r="P550" i="2"/>
  <c r="O550" i="2"/>
  <c r="N550" i="2"/>
  <c r="M550" i="2"/>
  <c r="T550" i="2" s="1"/>
  <c r="L550" i="2"/>
  <c r="R549" i="2"/>
  <c r="Q549" i="2"/>
  <c r="S549" i="2" s="1"/>
  <c r="P549" i="2"/>
  <c r="O549" i="2"/>
  <c r="N549" i="2"/>
  <c r="M549" i="2"/>
  <c r="T549" i="2" s="1"/>
  <c r="L549" i="2"/>
  <c r="R548" i="2"/>
  <c r="Q548" i="2"/>
  <c r="S548" i="2" s="1"/>
  <c r="P548" i="2"/>
  <c r="O548" i="2"/>
  <c r="N548" i="2"/>
  <c r="M548" i="2"/>
  <c r="T548" i="2" s="1"/>
  <c r="L548" i="2"/>
  <c r="R547" i="2"/>
  <c r="S547" i="2" s="1"/>
  <c r="Q547" i="2"/>
  <c r="P547" i="2"/>
  <c r="O547" i="2"/>
  <c r="N547" i="2"/>
  <c r="M547" i="2"/>
  <c r="T547" i="2" s="1"/>
  <c r="L547" i="2"/>
  <c r="R546" i="2"/>
  <c r="Q546" i="2"/>
  <c r="S546" i="2" s="1"/>
  <c r="P546" i="2"/>
  <c r="O546" i="2"/>
  <c r="N546" i="2"/>
  <c r="M546" i="2"/>
  <c r="T546" i="2" s="1"/>
  <c r="L546" i="2"/>
  <c r="R545" i="2"/>
  <c r="Q545" i="2"/>
  <c r="S545" i="2" s="1"/>
  <c r="P545" i="2"/>
  <c r="O545" i="2"/>
  <c r="N545" i="2"/>
  <c r="M545" i="2"/>
  <c r="T545" i="2" s="1"/>
  <c r="L545" i="2"/>
  <c r="R544" i="2"/>
  <c r="Q544" i="2"/>
  <c r="S544" i="2" s="1"/>
  <c r="P544" i="2"/>
  <c r="O544" i="2"/>
  <c r="N544" i="2"/>
  <c r="M544" i="2"/>
  <c r="T544" i="2" s="1"/>
  <c r="L544" i="2"/>
  <c r="R543" i="2"/>
  <c r="S543" i="2" s="1"/>
  <c r="Q543" i="2"/>
  <c r="P543" i="2"/>
  <c r="O543" i="2"/>
  <c r="N543" i="2"/>
  <c r="M543" i="2"/>
  <c r="T543" i="2" s="1"/>
  <c r="L543" i="2"/>
  <c r="R542" i="2"/>
  <c r="Q542" i="2"/>
  <c r="S542" i="2" s="1"/>
  <c r="P542" i="2"/>
  <c r="O542" i="2"/>
  <c r="N542" i="2"/>
  <c r="M542" i="2"/>
  <c r="T542" i="2" s="1"/>
  <c r="L542" i="2"/>
  <c r="R541" i="2"/>
  <c r="Q541" i="2"/>
  <c r="P541" i="2"/>
  <c r="O541" i="2"/>
  <c r="N541" i="2"/>
  <c r="M541" i="2"/>
  <c r="T541" i="2" s="1"/>
  <c r="L541" i="2"/>
  <c r="R540" i="2"/>
  <c r="Q540" i="2"/>
  <c r="P540" i="2"/>
  <c r="O540" i="2"/>
  <c r="N540" i="2"/>
  <c r="M540" i="2"/>
  <c r="T540" i="2" s="1"/>
  <c r="L540" i="2"/>
  <c r="R539" i="2"/>
  <c r="Q539" i="2"/>
  <c r="P539" i="2"/>
  <c r="O539" i="2"/>
  <c r="N539" i="2"/>
  <c r="M539" i="2"/>
  <c r="T539" i="2" s="1"/>
  <c r="L539" i="2"/>
  <c r="R538" i="2"/>
  <c r="Q538" i="2"/>
  <c r="S538" i="2" s="1"/>
  <c r="P538" i="2"/>
  <c r="O538" i="2"/>
  <c r="N538" i="2"/>
  <c r="M538" i="2"/>
  <c r="T538" i="2" s="1"/>
  <c r="L538" i="2"/>
  <c r="R537" i="2"/>
  <c r="Q537" i="2"/>
  <c r="S537" i="2" s="1"/>
  <c r="P537" i="2"/>
  <c r="O537" i="2"/>
  <c r="N537" i="2"/>
  <c r="M537" i="2"/>
  <c r="T537" i="2" s="1"/>
  <c r="L537" i="2"/>
  <c r="R536" i="2"/>
  <c r="Q536" i="2"/>
  <c r="P536" i="2"/>
  <c r="O536" i="2"/>
  <c r="N536" i="2"/>
  <c r="M536" i="2"/>
  <c r="T536" i="2" s="1"/>
  <c r="L536" i="2"/>
  <c r="T535" i="2"/>
  <c r="R535" i="2"/>
  <c r="S535" i="2" s="1"/>
  <c r="Q535" i="2"/>
  <c r="P535" i="2"/>
  <c r="O535" i="2"/>
  <c r="N535" i="2"/>
  <c r="M535" i="2"/>
  <c r="L535" i="2"/>
  <c r="R534" i="2"/>
  <c r="Q534" i="2"/>
  <c r="P534" i="2"/>
  <c r="O534" i="2"/>
  <c r="N534" i="2"/>
  <c r="M534" i="2"/>
  <c r="T534" i="2" s="1"/>
  <c r="L534" i="2"/>
  <c r="R533" i="2"/>
  <c r="Q533" i="2"/>
  <c r="P533" i="2"/>
  <c r="O533" i="2"/>
  <c r="N533" i="2"/>
  <c r="M533" i="2"/>
  <c r="T533" i="2" s="1"/>
  <c r="L533" i="2"/>
  <c r="R532" i="2"/>
  <c r="Q532" i="2"/>
  <c r="P532" i="2"/>
  <c r="O532" i="2"/>
  <c r="N532" i="2"/>
  <c r="M532" i="2"/>
  <c r="T532" i="2" s="1"/>
  <c r="L532" i="2"/>
  <c r="R531" i="2"/>
  <c r="S531" i="2" s="1"/>
  <c r="Q531" i="2"/>
  <c r="P531" i="2"/>
  <c r="O531" i="2"/>
  <c r="N531" i="2"/>
  <c r="M531" i="2"/>
  <c r="T531" i="2" s="1"/>
  <c r="L531" i="2"/>
  <c r="T530" i="2"/>
  <c r="S530" i="2"/>
  <c r="R530" i="2"/>
  <c r="Q530" i="2"/>
  <c r="P530" i="2"/>
  <c r="O530" i="2"/>
  <c r="N530" i="2"/>
  <c r="M530" i="2"/>
  <c r="L530" i="2"/>
  <c r="R529" i="2"/>
  <c r="Q529" i="2"/>
  <c r="P529" i="2"/>
  <c r="O529" i="2"/>
  <c r="N529" i="2"/>
  <c r="M529" i="2"/>
  <c r="T529" i="2" s="1"/>
  <c r="L529" i="2"/>
  <c r="R528" i="2"/>
  <c r="Q528" i="2"/>
  <c r="S528" i="2" s="1"/>
  <c r="P528" i="2"/>
  <c r="O528" i="2"/>
  <c r="N528" i="2"/>
  <c r="M528" i="2"/>
  <c r="T528" i="2" s="1"/>
  <c r="L528" i="2"/>
  <c r="R527" i="2"/>
  <c r="Q527" i="2"/>
  <c r="P527" i="2"/>
  <c r="O527" i="2"/>
  <c r="N527" i="2"/>
  <c r="M527" i="2"/>
  <c r="T527" i="2" s="1"/>
  <c r="L527" i="2"/>
  <c r="R526" i="2"/>
  <c r="Q526" i="2"/>
  <c r="S526" i="2" s="1"/>
  <c r="P526" i="2"/>
  <c r="O526" i="2"/>
  <c r="N526" i="2"/>
  <c r="M526" i="2"/>
  <c r="T526" i="2" s="1"/>
  <c r="L526" i="2"/>
  <c r="R525" i="2"/>
  <c r="Q525" i="2"/>
  <c r="S525" i="2" s="1"/>
  <c r="P525" i="2"/>
  <c r="O525" i="2"/>
  <c r="N525" i="2"/>
  <c r="M525" i="2"/>
  <c r="T525" i="2" s="1"/>
  <c r="L525" i="2"/>
  <c r="R524" i="2"/>
  <c r="Q524" i="2"/>
  <c r="P524" i="2"/>
  <c r="O524" i="2"/>
  <c r="N524" i="2"/>
  <c r="M524" i="2"/>
  <c r="T524" i="2" s="1"/>
  <c r="L524" i="2"/>
  <c r="R523" i="2"/>
  <c r="Q523" i="2"/>
  <c r="S523" i="2" s="1"/>
  <c r="P523" i="2"/>
  <c r="O523" i="2"/>
  <c r="N523" i="2"/>
  <c r="M523" i="2"/>
  <c r="T523" i="2" s="1"/>
  <c r="L523" i="2"/>
  <c r="R522" i="2"/>
  <c r="Q522" i="2"/>
  <c r="S522" i="2" s="1"/>
  <c r="P522" i="2"/>
  <c r="O522" i="2"/>
  <c r="N522" i="2"/>
  <c r="M522" i="2"/>
  <c r="T522" i="2" s="1"/>
  <c r="L522" i="2"/>
  <c r="R521" i="2"/>
  <c r="Q521" i="2"/>
  <c r="P521" i="2"/>
  <c r="O521" i="2"/>
  <c r="N521" i="2"/>
  <c r="M521" i="2"/>
  <c r="T521" i="2" s="1"/>
  <c r="L521" i="2"/>
  <c r="R520" i="2"/>
  <c r="Q520" i="2"/>
  <c r="P520" i="2"/>
  <c r="O520" i="2"/>
  <c r="N520" i="2"/>
  <c r="M520" i="2"/>
  <c r="T520" i="2" s="1"/>
  <c r="L520" i="2"/>
  <c r="R519" i="2"/>
  <c r="S519" i="2" s="1"/>
  <c r="Q519" i="2"/>
  <c r="P519" i="2"/>
  <c r="O519" i="2"/>
  <c r="N519" i="2"/>
  <c r="M519" i="2"/>
  <c r="T519" i="2" s="1"/>
  <c r="L519" i="2"/>
  <c r="R518" i="2"/>
  <c r="Q518" i="2"/>
  <c r="S518" i="2" s="1"/>
  <c r="P518" i="2"/>
  <c r="O518" i="2"/>
  <c r="N518" i="2"/>
  <c r="M518" i="2"/>
  <c r="T518" i="2" s="1"/>
  <c r="L518" i="2"/>
  <c r="R517" i="2"/>
  <c r="Q517" i="2"/>
  <c r="P517" i="2"/>
  <c r="O517" i="2"/>
  <c r="N517" i="2"/>
  <c r="M517" i="2"/>
  <c r="T517" i="2" s="1"/>
  <c r="L517" i="2"/>
  <c r="R516" i="2"/>
  <c r="Q516" i="2"/>
  <c r="S516" i="2" s="1"/>
  <c r="P516" i="2"/>
  <c r="O516" i="2"/>
  <c r="N516" i="2"/>
  <c r="M516" i="2"/>
  <c r="T516" i="2" s="1"/>
  <c r="L516" i="2"/>
  <c r="R515" i="2"/>
  <c r="Q515" i="2"/>
  <c r="P515" i="2"/>
  <c r="O515" i="2"/>
  <c r="N515" i="2"/>
  <c r="M515" i="2"/>
  <c r="T515" i="2" s="1"/>
  <c r="L515" i="2"/>
  <c r="S514" i="2"/>
  <c r="R514" i="2"/>
  <c r="Q514" i="2"/>
  <c r="P514" i="2"/>
  <c r="O514" i="2"/>
  <c r="N514" i="2"/>
  <c r="M514" i="2"/>
  <c r="T514" i="2" s="1"/>
  <c r="L514" i="2"/>
  <c r="R513" i="2"/>
  <c r="Q513" i="2"/>
  <c r="S513" i="2" s="1"/>
  <c r="P513" i="2"/>
  <c r="O513" i="2"/>
  <c r="N513" i="2"/>
  <c r="M513" i="2"/>
  <c r="T513" i="2" s="1"/>
  <c r="L513" i="2"/>
  <c r="R512" i="2"/>
  <c r="Q512" i="2"/>
  <c r="P512" i="2"/>
  <c r="O512" i="2"/>
  <c r="N512" i="2"/>
  <c r="M512" i="2"/>
  <c r="T512" i="2" s="1"/>
  <c r="L512" i="2"/>
  <c r="R511" i="2"/>
  <c r="Q511" i="2"/>
  <c r="P511" i="2"/>
  <c r="O511" i="2"/>
  <c r="N511" i="2"/>
  <c r="M511" i="2"/>
  <c r="T511" i="2" s="1"/>
  <c r="L511" i="2"/>
  <c r="R510" i="2"/>
  <c r="Q510" i="2"/>
  <c r="S510" i="2" s="1"/>
  <c r="P510" i="2"/>
  <c r="O510" i="2"/>
  <c r="N510" i="2"/>
  <c r="M510" i="2"/>
  <c r="T510" i="2" s="1"/>
  <c r="L510" i="2"/>
  <c r="R509" i="2"/>
  <c r="Q509" i="2"/>
  <c r="P509" i="2"/>
  <c r="O509" i="2"/>
  <c r="N509" i="2"/>
  <c r="M509" i="2"/>
  <c r="T509" i="2" s="1"/>
  <c r="L509" i="2"/>
  <c r="R508" i="2"/>
  <c r="Q508" i="2"/>
  <c r="P508" i="2"/>
  <c r="O508" i="2"/>
  <c r="N508" i="2"/>
  <c r="M508" i="2"/>
  <c r="T508" i="2" s="1"/>
  <c r="L508" i="2"/>
  <c r="R507" i="2"/>
  <c r="Q507" i="2"/>
  <c r="P507" i="2"/>
  <c r="O507" i="2"/>
  <c r="N507" i="2"/>
  <c r="M507" i="2"/>
  <c r="T507" i="2" s="1"/>
  <c r="L507" i="2"/>
  <c r="R506" i="2"/>
  <c r="S506" i="2" s="1"/>
  <c r="Q506" i="2"/>
  <c r="P506" i="2"/>
  <c r="O506" i="2"/>
  <c r="N506" i="2"/>
  <c r="M506" i="2"/>
  <c r="T506" i="2" s="1"/>
  <c r="L506" i="2"/>
  <c r="R505" i="2"/>
  <c r="Q505" i="2"/>
  <c r="P505" i="2"/>
  <c r="O505" i="2"/>
  <c r="N505" i="2"/>
  <c r="M505" i="2"/>
  <c r="T505" i="2" s="1"/>
  <c r="L505" i="2"/>
  <c r="R504" i="2"/>
  <c r="Q504" i="2"/>
  <c r="P504" i="2"/>
  <c r="O504" i="2"/>
  <c r="N504" i="2"/>
  <c r="M504" i="2"/>
  <c r="T504" i="2" s="1"/>
  <c r="L504" i="2"/>
  <c r="R503" i="2"/>
  <c r="Q503" i="2"/>
  <c r="P503" i="2"/>
  <c r="O503" i="2"/>
  <c r="N503" i="2"/>
  <c r="M503" i="2"/>
  <c r="T503" i="2" s="1"/>
  <c r="L503" i="2"/>
  <c r="R502" i="2"/>
  <c r="S502" i="2" s="1"/>
  <c r="Q502" i="2"/>
  <c r="P502" i="2"/>
  <c r="O502" i="2"/>
  <c r="N502" i="2"/>
  <c r="M502" i="2"/>
  <c r="T502" i="2" s="1"/>
  <c r="L502" i="2"/>
  <c r="R501" i="2"/>
  <c r="Q501" i="2"/>
  <c r="P501" i="2"/>
  <c r="O501" i="2"/>
  <c r="N501" i="2"/>
  <c r="M501" i="2"/>
  <c r="T501" i="2" s="1"/>
  <c r="L501" i="2"/>
  <c r="R500" i="2"/>
  <c r="Q500" i="2"/>
  <c r="S500" i="2" s="1"/>
  <c r="P500" i="2"/>
  <c r="O500" i="2"/>
  <c r="N500" i="2"/>
  <c r="M500" i="2"/>
  <c r="T500" i="2" s="1"/>
  <c r="L500" i="2"/>
  <c r="R499" i="2"/>
  <c r="Q499" i="2"/>
  <c r="P499" i="2"/>
  <c r="O499" i="2"/>
  <c r="N499" i="2"/>
  <c r="M499" i="2"/>
  <c r="T499" i="2" s="1"/>
  <c r="L499" i="2"/>
  <c r="R498" i="2"/>
  <c r="Q498" i="2"/>
  <c r="S498" i="2" s="1"/>
  <c r="P498" i="2"/>
  <c r="O498" i="2"/>
  <c r="N498" i="2"/>
  <c r="M498" i="2"/>
  <c r="T498" i="2" s="1"/>
  <c r="L498" i="2"/>
  <c r="R497" i="2"/>
  <c r="Q497" i="2"/>
  <c r="P497" i="2"/>
  <c r="O497" i="2"/>
  <c r="N497" i="2"/>
  <c r="M497" i="2"/>
  <c r="T497" i="2" s="1"/>
  <c r="L497" i="2"/>
  <c r="R496" i="2"/>
  <c r="Q496" i="2"/>
  <c r="P496" i="2"/>
  <c r="O496" i="2"/>
  <c r="N496" i="2"/>
  <c r="M496" i="2"/>
  <c r="T496" i="2" s="1"/>
  <c r="L496" i="2"/>
  <c r="R495" i="2"/>
  <c r="Q495" i="2"/>
  <c r="P495" i="2"/>
  <c r="O495" i="2"/>
  <c r="N495" i="2"/>
  <c r="M495" i="2"/>
  <c r="T495" i="2" s="1"/>
  <c r="L495" i="2"/>
  <c r="S494" i="2"/>
  <c r="R494" i="2"/>
  <c r="Q494" i="2"/>
  <c r="P494" i="2"/>
  <c r="O494" i="2"/>
  <c r="N494" i="2"/>
  <c r="M494" i="2"/>
  <c r="T494" i="2" s="1"/>
  <c r="L494" i="2"/>
  <c r="R493" i="2"/>
  <c r="Q493" i="2"/>
  <c r="P493" i="2"/>
  <c r="O493" i="2"/>
  <c r="N493" i="2"/>
  <c r="M493" i="2"/>
  <c r="T493" i="2" s="1"/>
  <c r="L493" i="2"/>
  <c r="R492" i="2"/>
  <c r="Q492" i="2"/>
  <c r="P492" i="2"/>
  <c r="O492" i="2"/>
  <c r="N492" i="2"/>
  <c r="M492" i="2"/>
  <c r="T492" i="2" s="1"/>
  <c r="L492" i="2"/>
  <c r="R491" i="2"/>
  <c r="Q491" i="2"/>
  <c r="P491" i="2"/>
  <c r="O491" i="2"/>
  <c r="N491" i="2"/>
  <c r="M491" i="2"/>
  <c r="T491" i="2" s="1"/>
  <c r="L491" i="2"/>
  <c r="S490" i="2"/>
  <c r="R490" i="2"/>
  <c r="Q490" i="2"/>
  <c r="P490" i="2"/>
  <c r="O490" i="2"/>
  <c r="N490" i="2"/>
  <c r="M490" i="2"/>
  <c r="T490" i="2" s="1"/>
  <c r="L490" i="2"/>
  <c r="R489" i="2"/>
  <c r="Q489" i="2"/>
  <c r="P489" i="2"/>
  <c r="O489" i="2"/>
  <c r="N489" i="2"/>
  <c r="M489" i="2"/>
  <c r="T489" i="2" s="1"/>
  <c r="L489" i="2"/>
  <c r="R488" i="2"/>
  <c r="Q488" i="2"/>
  <c r="S488" i="2" s="1"/>
  <c r="P488" i="2"/>
  <c r="O488" i="2"/>
  <c r="N488" i="2"/>
  <c r="M488" i="2"/>
  <c r="T488" i="2" s="1"/>
  <c r="L488" i="2"/>
  <c r="R487" i="2"/>
  <c r="Q487" i="2"/>
  <c r="P487" i="2"/>
  <c r="O487" i="2"/>
  <c r="N487" i="2"/>
  <c r="M487" i="2"/>
  <c r="T487" i="2" s="1"/>
  <c r="L487" i="2"/>
  <c r="R486" i="2"/>
  <c r="Q486" i="2"/>
  <c r="P486" i="2"/>
  <c r="O486" i="2"/>
  <c r="N486" i="2"/>
  <c r="M486" i="2"/>
  <c r="T486" i="2" s="1"/>
  <c r="L486" i="2"/>
  <c r="R485" i="2"/>
  <c r="Q485" i="2"/>
  <c r="P485" i="2"/>
  <c r="O485" i="2"/>
  <c r="N485" i="2"/>
  <c r="M485" i="2"/>
  <c r="T485" i="2" s="1"/>
  <c r="L485" i="2"/>
  <c r="R484" i="2"/>
  <c r="Q484" i="2"/>
  <c r="P484" i="2"/>
  <c r="O484" i="2"/>
  <c r="N484" i="2"/>
  <c r="M484" i="2"/>
  <c r="T484" i="2" s="1"/>
  <c r="L484" i="2"/>
  <c r="R483" i="2"/>
  <c r="S483" i="2" s="1"/>
  <c r="Q483" i="2"/>
  <c r="P483" i="2"/>
  <c r="O483" i="2"/>
  <c r="N483" i="2"/>
  <c r="M483" i="2"/>
  <c r="T483" i="2" s="1"/>
  <c r="L483" i="2"/>
  <c r="S482" i="2"/>
  <c r="R482" i="2"/>
  <c r="Q482" i="2"/>
  <c r="P482" i="2"/>
  <c r="O482" i="2"/>
  <c r="N482" i="2"/>
  <c r="M482" i="2"/>
  <c r="T482" i="2" s="1"/>
  <c r="L482" i="2"/>
  <c r="R481" i="2"/>
  <c r="Q481" i="2"/>
  <c r="P481" i="2"/>
  <c r="O481" i="2"/>
  <c r="N481" i="2"/>
  <c r="M481" i="2"/>
  <c r="T481" i="2" s="1"/>
  <c r="L481" i="2"/>
  <c r="R480" i="2"/>
  <c r="Q480" i="2"/>
  <c r="S480" i="2" s="1"/>
  <c r="P480" i="2"/>
  <c r="O480" i="2"/>
  <c r="N480" i="2"/>
  <c r="M480" i="2"/>
  <c r="T480" i="2" s="1"/>
  <c r="L480" i="2"/>
  <c r="R479" i="2"/>
  <c r="Q479" i="2"/>
  <c r="P479" i="2"/>
  <c r="O479" i="2"/>
  <c r="N479" i="2"/>
  <c r="M479" i="2"/>
  <c r="T479" i="2" s="1"/>
  <c r="L479" i="2"/>
  <c r="S478" i="2"/>
  <c r="R478" i="2"/>
  <c r="Q478" i="2"/>
  <c r="P478" i="2"/>
  <c r="O478" i="2"/>
  <c r="N478" i="2"/>
  <c r="M478" i="2"/>
  <c r="T478" i="2" s="1"/>
  <c r="L478" i="2"/>
  <c r="R477" i="2"/>
  <c r="Q477" i="2"/>
  <c r="S477" i="2" s="1"/>
  <c r="P477" i="2"/>
  <c r="O477" i="2"/>
  <c r="N477" i="2"/>
  <c r="M477" i="2"/>
  <c r="T477" i="2" s="1"/>
  <c r="L477" i="2"/>
  <c r="R476" i="2"/>
  <c r="Q476" i="2"/>
  <c r="P476" i="2"/>
  <c r="O476" i="2"/>
  <c r="N476" i="2"/>
  <c r="M476" i="2"/>
  <c r="T476" i="2" s="1"/>
  <c r="L476" i="2"/>
  <c r="R475" i="2"/>
  <c r="Q475" i="2"/>
  <c r="S475" i="2" s="1"/>
  <c r="P475" i="2"/>
  <c r="O475" i="2"/>
  <c r="N475" i="2"/>
  <c r="M475" i="2"/>
  <c r="T475" i="2" s="1"/>
  <c r="L475" i="2"/>
  <c r="R474" i="2"/>
  <c r="Q474" i="2"/>
  <c r="P474" i="2"/>
  <c r="O474" i="2"/>
  <c r="N474" i="2"/>
  <c r="M474" i="2"/>
  <c r="T474" i="2" s="1"/>
  <c r="L474" i="2"/>
  <c r="R473" i="2"/>
  <c r="Q473" i="2"/>
  <c r="P473" i="2"/>
  <c r="O473" i="2"/>
  <c r="N473" i="2"/>
  <c r="M473" i="2"/>
  <c r="T473" i="2" s="1"/>
  <c r="L473" i="2"/>
  <c r="R472" i="2"/>
  <c r="Q472" i="2"/>
  <c r="P472" i="2"/>
  <c r="O472" i="2"/>
  <c r="N472" i="2"/>
  <c r="M472" i="2"/>
  <c r="T472" i="2" s="1"/>
  <c r="L472" i="2"/>
  <c r="R471" i="2"/>
  <c r="S471" i="2" s="1"/>
  <c r="Q471" i="2"/>
  <c r="P471" i="2"/>
  <c r="O471" i="2"/>
  <c r="N471" i="2"/>
  <c r="M471" i="2"/>
  <c r="T471" i="2" s="1"/>
  <c r="L471" i="2"/>
  <c r="S470" i="2"/>
  <c r="R470" i="2"/>
  <c r="Q470" i="2"/>
  <c r="P470" i="2"/>
  <c r="O470" i="2"/>
  <c r="N470" i="2"/>
  <c r="M470" i="2"/>
  <c r="T470" i="2" s="1"/>
  <c r="L470" i="2"/>
  <c r="R469" i="2"/>
  <c r="Q469" i="2"/>
  <c r="P469" i="2"/>
  <c r="O469" i="2"/>
  <c r="N469" i="2"/>
  <c r="M469" i="2"/>
  <c r="T469" i="2" s="1"/>
  <c r="L469" i="2"/>
  <c r="R468" i="2"/>
  <c r="Q468" i="2"/>
  <c r="P468" i="2"/>
  <c r="O468" i="2"/>
  <c r="N468" i="2"/>
  <c r="M468" i="2"/>
  <c r="T468" i="2" s="1"/>
  <c r="L468" i="2"/>
  <c r="R467" i="2"/>
  <c r="Q467" i="2"/>
  <c r="P467" i="2"/>
  <c r="O467" i="2"/>
  <c r="N467" i="2"/>
  <c r="M467" i="2"/>
  <c r="T467" i="2" s="1"/>
  <c r="L467" i="2"/>
  <c r="S466" i="2"/>
  <c r="R466" i="2"/>
  <c r="Q466" i="2"/>
  <c r="P466" i="2"/>
  <c r="O466" i="2"/>
  <c r="N466" i="2"/>
  <c r="M466" i="2"/>
  <c r="T466" i="2" s="1"/>
  <c r="L466" i="2"/>
  <c r="R465" i="2"/>
  <c r="Q465" i="2"/>
  <c r="S465" i="2" s="1"/>
  <c r="P465" i="2"/>
  <c r="O465" i="2"/>
  <c r="N465" i="2"/>
  <c r="M465" i="2"/>
  <c r="T465" i="2" s="1"/>
  <c r="L465" i="2"/>
  <c r="R464" i="2"/>
  <c r="Q464" i="2"/>
  <c r="S464" i="2" s="1"/>
  <c r="P464" i="2"/>
  <c r="O464" i="2"/>
  <c r="N464" i="2"/>
  <c r="M464" i="2"/>
  <c r="T464" i="2" s="1"/>
  <c r="L464" i="2"/>
  <c r="R463" i="2"/>
  <c r="S463" i="2" s="1"/>
  <c r="Q463" i="2"/>
  <c r="P463" i="2"/>
  <c r="O463" i="2"/>
  <c r="N463" i="2"/>
  <c r="M463" i="2"/>
  <c r="T463" i="2" s="1"/>
  <c r="L463" i="2"/>
  <c r="R462" i="2"/>
  <c r="Q462" i="2"/>
  <c r="P462" i="2"/>
  <c r="O462" i="2"/>
  <c r="N462" i="2"/>
  <c r="M462" i="2"/>
  <c r="T462" i="2" s="1"/>
  <c r="L462" i="2"/>
  <c r="R461" i="2"/>
  <c r="Q461" i="2"/>
  <c r="P461" i="2"/>
  <c r="O461" i="2"/>
  <c r="N461" i="2"/>
  <c r="M461" i="2"/>
  <c r="T461" i="2" s="1"/>
  <c r="L461" i="2"/>
  <c r="R460" i="2"/>
  <c r="Q460" i="2"/>
  <c r="P460" i="2"/>
  <c r="O460" i="2"/>
  <c r="N460" i="2"/>
  <c r="M460" i="2"/>
  <c r="T460" i="2" s="1"/>
  <c r="L460" i="2"/>
  <c r="R459" i="2"/>
  <c r="S459" i="2" s="1"/>
  <c r="Q459" i="2"/>
  <c r="P459" i="2"/>
  <c r="O459" i="2"/>
  <c r="N459" i="2"/>
  <c r="M459" i="2"/>
  <c r="T459" i="2" s="1"/>
  <c r="L459" i="2"/>
  <c r="R458" i="2"/>
  <c r="Q458" i="2"/>
  <c r="S458" i="2" s="1"/>
  <c r="P458" i="2"/>
  <c r="O458" i="2"/>
  <c r="N458" i="2"/>
  <c r="M458" i="2"/>
  <c r="T458" i="2" s="1"/>
  <c r="L458" i="2"/>
  <c r="R457" i="2"/>
  <c r="Q457" i="2"/>
  <c r="P457" i="2"/>
  <c r="O457" i="2"/>
  <c r="N457" i="2"/>
  <c r="M457" i="2"/>
  <c r="T457" i="2" s="1"/>
  <c r="L457" i="2"/>
  <c r="R456" i="2"/>
  <c r="Q456" i="2"/>
  <c r="S456" i="2" s="1"/>
  <c r="P456" i="2"/>
  <c r="O456" i="2"/>
  <c r="N456" i="2"/>
  <c r="M456" i="2"/>
  <c r="T456" i="2" s="1"/>
  <c r="L456" i="2"/>
  <c r="R455" i="2"/>
  <c r="S455" i="2" s="1"/>
  <c r="Q455" i="2"/>
  <c r="P455" i="2"/>
  <c r="O455" i="2"/>
  <c r="N455" i="2"/>
  <c r="M455" i="2"/>
  <c r="T455" i="2" s="1"/>
  <c r="L455" i="2"/>
  <c r="S454" i="2"/>
  <c r="R454" i="2"/>
  <c r="Q454" i="2"/>
  <c r="P454" i="2"/>
  <c r="O454" i="2"/>
  <c r="N454" i="2"/>
  <c r="M454" i="2"/>
  <c r="T454" i="2" s="1"/>
  <c r="L454" i="2"/>
  <c r="R453" i="2"/>
  <c r="Q453" i="2"/>
  <c r="S453" i="2" s="1"/>
  <c r="P453" i="2"/>
  <c r="O453" i="2"/>
  <c r="N453" i="2"/>
  <c r="M453" i="2"/>
  <c r="T453" i="2" s="1"/>
  <c r="L453" i="2"/>
  <c r="R452" i="2"/>
  <c r="Q452" i="2"/>
  <c r="P452" i="2"/>
  <c r="O452" i="2"/>
  <c r="N452" i="2"/>
  <c r="M452" i="2"/>
  <c r="T452" i="2" s="1"/>
  <c r="L452" i="2"/>
  <c r="R451" i="2"/>
  <c r="S451" i="2" s="1"/>
  <c r="Q451" i="2"/>
  <c r="P451" i="2"/>
  <c r="O451" i="2"/>
  <c r="N451" i="2"/>
  <c r="M451" i="2"/>
  <c r="T451" i="2" s="1"/>
  <c r="L451" i="2"/>
  <c r="R450" i="2"/>
  <c r="Q450" i="2"/>
  <c r="S450" i="2" s="1"/>
  <c r="P450" i="2"/>
  <c r="O450" i="2"/>
  <c r="N450" i="2"/>
  <c r="M450" i="2"/>
  <c r="T450" i="2" s="1"/>
  <c r="L450" i="2"/>
  <c r="R449" i="2"/>
  <c r="Q449" i="2"/>
  <c r="P449" i="2"/>
  <c r="O449" i="2"/>
  <c r="N449" i="2"/>
  <c r="M449" i="2"/>
  <c r="T449" i="2" s="1"/>
  <c r="L449" i="2"/>
  <c r="R448" i="2"/>
  <c r="Q448" i="2"/>
  <c r="P448" i="2"/>
  <c r="O448" i="2"/>
  <c r="N448" i="2"/>
  <c r="M448" i="2"/>
  <c r="T448" i="2" s="1"/>
  <c r="L448" i="2"/>
  <c r="R447" i="2"/>
  <c r="S447" i="2" s="1"/>
  <c r="Q447" i="2"/>
  <c r="P447" i="2"/>
  <c r="O447" i="2"/>
  <c r="N447" i="2"/>
  <c r="M447" i="2"/>
  <c r="T447" i="2" s="1"/>
  <c r="L447" i="2"/>
  <c r="S446" i="2"/>
  <c r="R446" i="2"/>
  <c r="Q446" i="2"/>
  <c r="P446" i="2"/>
  <c r="O446" i="2"/>
  <c r="N446" i="2"/>
  <c r="M446" i="2"/>
  <c r="T446" i="2" s="1"/>
  <c r="L446" i="2"/>
  <c r="R445" i="2"/>
  <c r="Q445" i="2"/>
  <c r="P445" i="2"/>
  <c r="O445" i="2"/>
  <c r="N445" i="2"/>
  <c r="M445" i="2"/>
  <c r="T445" i="2" s="1"/>
  <c r="L445" i="2"/>
  <c r="R444" i="2"/>
  <c r="Q444" i="2"/>
  <c r="P444" i="2"/>
  <c r="O444" i="2"/>
  <c r="N444" i="2"/>
  <c r="M444" i="2"/>
  <c r="T444" i="2" s="1"/>
  <c r="L444" i="2"/>
  <c r="R443" i="2"/>
  <c r="Q443" i="2"/>
  <c r="P443" i="2"/>
  <c r="O443" i="2"/>
  <c r="N443" i="2"/>
  <c r="M443" i="2"/>
  <c r="T443" i="2" s="1"/>
  <c r="L443" i="2"/>
  <c r="S442" i="2"/>
  <c r="R442" i="2"/>
  <c r="Q442" i="2"/>
  <c r="P442" i="2"/>
  <c r="O442" i="2"/>
  <c r="N442" i="2"/>
  <c r="M442" i="2"/>
  <c r="T442" i="2" s="1"/>
  <c r="L442" i="2"/>
  <c r="R441" i="2"/>
  <c r="Q441" i="2"/>
  <c r="P441" i="2"/>
  <c r="O441" i="2"/>
  <c r="N441" i="2"/>
  <c r="M441" i="2"/>
  <c r="T441" i="2" s="1"/>
  <c r="L441" i="2"/>
  <c r="R440" i="2"/>
  <c r="Q440" i="2"/>
  <c r="P440" i="2"/>
  <c r="O440" i="2"/>
  <c r="N440" i="2"/>
  <c r="M440" i="2"/>
  <c r="T440" i="2" s="1"/>
  <c r="L440" i="2"/>
  <c r="R439" i="2"/>
  <c r="Q439" i="2"/>
  <c r="P439" i="2"/>
  <c r="O439" i="2"/>
  <c r="N439" i="2"/>
  <c r="M439" i="2"/>
  <c r="T439" i="2" s="1"/>
  <c r="L439" i="2"/>
  <c r="R438" i="2"/>
  <c r="S438" i="2" s="1"/>
  <c r="Q438" i="2"/>
  <c r="P438" i="2"/>
  <c r="O438" i="2"/>
  <c r="N438" i="2"/>
  <c r="M438" i="2"/>
  <c r="T438" i="2" s="1"/>
  <c r="L438" i="2"/>
  <c r="R437" i="2"/>
  <c r="Q437" i="2"/>
  <c r="P437" i="2"/>
  <c r="O437" i="2"/>
  <c r="N437" i="2"/>
  <c r="M437" i="2"/>
  <c r="T437" i="2" s="1"/>
  <c r="L437" i="2"/>
  <c r="R436" i="2"/>
  <c r="Q436" i="2"/>
  <c r="P436" i="2"/>
  <c r="O436" i="2"/>
  <c r="N436" i="2"/>
  <c r="M436" i="2"/>
  <c r="T436" i="2" s="1"/>
  <c r="L436" i="2"/>
  <c r="R435" i="2"/>
  <c r="Q435" i="2"/>
  <c r="P435" i="2"/>
  <c r="O435" i="2"/>
  <c r="N435" i="2"/>
  <c r="M435" i="2"/>
  <c r="T435" i="2" s="1"/>
  <c r="L435" i="2"/>
  <c r="R434" i="2"/>
  <c r="Q434" i="2"/>
  <c r="P434" i="2"/>
  <c r="O434" i="2"/>
  <c r="N434" i="2"/>
  <c r="M434" i="2"/>
  <c r="T434" i="2" s="1"/>
  <c r="L434" i="2"/>
  <c r="R433" i="2"/>
  <c r="Q433" i="2"/>
  <c r="P433" i="2"/>
  <c r="O433" i="2"/>
  <c r="N433" i="2"/>
  <c r="M433" i="2"/>
  <c r="T433" i="2" s="1"/>
  <c r="L433" i="2"/>
  <c r="R432" i="2"/>
  <c r="Q432" i="2"/>
  <c r="S432" i="2" s="1"/>
  <c r="P432" i="2"/>
  <c r="O432" i="2"/>
  <c r="N432" i="2"/>
  <c r="M432" i="2"/>
  <c r="T432" i="2" s="1"/>
  <c r="L432" i="2"/>
  <c r="R431" i="2"/>
  <c r="Q431" i="2"/>
  <c r="S431" i="2" s="1"/>
  <c r="P431" i="2"/>
  <c r="O431" i="2"/>
  <c r="N431" i="2"/>
  <c r="M431" i="2"/>
  <c r="T431" i="2" s="1"/>
  <c r="L431" i="2"/>
  <c r="R430" i="2"/>
  <c r="Q430" i="2"/>
  <c r="S430" i="2" s="1"/>
  <c r="P430" i="2"/>
  <c r="O430" i="2"/>
  <c r="N430" i="2"/>
  <c r="M430" i="2"/>
  <c r="T430" i="2" s="1"/>
  <c r="L430" i="2"/>
  <c r="R429" i="2"/>
  <c r="S429" i="2" s="1"/>
  <c r="Q429" i="2"/>
  <c r="P429" i="2"/>
  <c r="O429" i="2"/>
  <c r="N429" i="2"/>
  <c r="M429" i="2"/>
  <c r="T429" i="2" s="1"/>
  <c r="L429" i="2"/>
  <c r="R428" i="2"/>
  <c r="Q428" i="2"/>
  <c r="P428" i="2"/>
  <c r="O428" i="2"/>
  <c r="N428" i="2"/>
  <c r="M428" i="2"/>
  <c r="T428" i="2" s="1"/>
  <c r="L428" i="2"/>
  <c r="R427" i="2"/>
  <c r="Q427" i="2"/>
  <c r="P427" i="2"/>
  <c r="O427" i="2"/>
  <c r="N427" i="2"/>
  <c r="M427" i="2"/>
  <c r="T427" i="2" s="1"/>
  <c r="L427" i="2"/>
  <c r="S426" i="2"/>
  <c r="R426" i="2"/>
  <c r="Q426" i="2"/>
  <c r="P426" i="2"/>
  <c r="O426" i="2"/>
  <c r="N426" i="2"/>
  <c r="M426" i="2"/>
  <c r="T426" i="2" s="1"/>
  <c r="L426" i="2"/>
  <c r="R425" i="2"/>
  <c r="Q425" i="2"/>
  <c r="P425" i="2"/>
  <c r="O425" i="2"/>
  <c r="N425" i="2"/>
  <c r="M425" i="2"/>
  <c r="T425" i="2" s="1"/>
  <c r="L425" i="2"/>
  <c r="R424" i="2"/>
  <c r="Q424" i="2"/>
  <c r="P424" i="2"/>
  <c r="O424" i="2"/>
  <c r="N424" i="2"/>
  <c r="M424" i="2"/>
  <c r="T424" i="2" s="1"/>
  <c r="L424" i="2"/>
  <c r="R423" i="2"/>
  <c r="Q423" i="2"/>
  <c r="S423" i="2" s="1"/>
  <c r="P423" i="2"/>
  <c r="O423" i="2"/>
  <c r="N423" i="2"/>
  <c r="M423" i="2"/>
  <c r="T423" i="2" s="1"/>
  <c r="L423" i="2"/>
  <c r="T422" i="2"/>
  <c r="R422" i="2"/>
  <c r="Q422" i="2"/>
  <c r="P422" i="2"/>
  <c r="O422" i="2"/>
  <c r="N422" i="2"/>
  <c r="M422" i="2"/>
  <c r="L422" i="2"/>
  <c r="R421" i="2"/>
  <c r="S421" i="2" s="1"/>
  <c r="Q421" i="2"/>
  <c r="P421" i="2"/>
  <c r="O421" i="2"/>
  <c r="N421" i="2"/>
  <c r="M421" i="2"/>
  <c r="T421" i="2" s="1"/>
  <c r="L421" i="2"/>
  <c r="R420" i="2"/>
  <c r="Q420" i="2"/>
  <c r="P420" i="2"/>
  <c r="O420" i="2"/>
  <c r="N420" i="2"/>
  <c r="M420" i="2"/>
  <c r="T420" i="2" s="1"/>
  <c r="L420" i="2"/>
  <c r="R419" i="2"/>
  <c r="Q419" i="2"/>
  <c r="P419" i="2"/>
  <c r="O419" i="2"/>
  <c r="N419" i="2"/>
  <c r="M419" i="2"/>
  <c r="T419" i="2" s="1"/>
  <c r="L419" i="2"/>
  <c r="R418" i="2"/>
  <c r="Q418" i="2"/>
  <c r="P418" i="2"/>
  <c r="O418" i="2"/>
  <c r="N418" i="2"/>
  <c r="M418" i="2"/>
  <c r="T418" i="2" s="1"/>
  <c r="L418" i="2"/>
  <c r="R417" i="2"/>
  <c r="Q417" i="2"/>
  <c r="P417" i="2"/>
  <c r="O417" i="2"/>
  <c r="N417" i="2"/>
  <c r="M417" i="2"/>
  <c r="T417" i="2" s="1"/>
  <c r="L417" i="2"/>
  <c r="R416" i="2"/>
  <c r="Q416" i="2"/>
  <c r="S416" i="2" s="1"/>
  <c r="P416" i="2"/>
  <c r="O416" i="2"/>
  <c r="N416" i="2"/>
  <c r="M416" i="2"/>
  <c r="T416" i="2" s="1"/>
  <c r="L416" i="2"/>
  <c r="S415" i="2"/>
  <c r="R415" i="2"/>
  <c r="Q415" i="2"/>
  <c r="P415" i="2"/>
  <c r="O415" i="2"/>
  <c r="N415" i="2"/>
  <c r="M415" i="2"/>
  <c r="T415" i="2" s="1"/>
  <c r="L415" i="2"/>
  <c r="R414" i="2"/>
  <c r="Q414" i="2"/>
  <c r="P414" i="2"/>
  <c r="O414" i="2"/>
  <c r="N414" i="2"/>
  <c r="M414" i="2"/>
  <c r="T414" i="2" s="1"/>
  <c r="L414" i="2"/>
  <c r="S413" i="2"/>
  <c r="R413" i="2"/>
  <c r="Q413" i="2"/>
  <c r="P413" i="2"/>
  <c r="O413" i="2"/>
  <c r="N413" i="2"/>
  <c r="M413" i="2"/>
  <c r="T413" i="2" s="1"/>
  <c r="L413" i="2"/>
  <c r="R412" i="2"/>
  <c r="Q412" i="2"/>
  <c r="P412" i="2"/>
  <c r="O412" i="2"/>
  <c r="N412" i="2"/>
  <c r="M412" i="2"/>
  <c r="T412" i="2" s="1"/>
  <c r="L412" i="2"/>
  <c r="R411" i="2"/>
  <c r="Q411" i="2"/>
  <c r="P411" i="2"/>
  <c r="O411" i="2"/>
  <c r="N411" i="2"/>
  <c r="M411" i="2"/>
  <c r="T411" i="2" s="1"/>
  <c r="L411" i="2"/>
  <c r="S410" i="2"/>
  <c r="R410" i="2"/>
  <c r="Q410" i="2"/>
  <c r="P410" i="2"/>
  <c r="O410" i="2"/>
  <c r="N410" i="2"/>
  <c r="M410" i="2"/>
  <c r="T410" i="2" s="1"/>
  <c r="L410" i="2"/>
  <c r="R409" i="2"/>
  <c r="Q409" i="2"/>
  <c r="P409" i="2"/>
  <c r="O409" i="2"/>
  <c r="N409" i="2"/>
  <c r="M409" i="2"/>
  <c r="T409" i="2" s="1"/>
  <c r="L409" i="2"/>
  <c r="R408" i="2"/>
  <c r="Q408" i="2"/>
  <c r="S408" i="2" s="1"/>
  <c r="P408" i="2"/>
  <c r="O408" i="2"/>
  <c r="N408" i="2"/>
  <c r="M408" i="2"/>
  <c r="T408" i="2" s="1"/>
  <c r="L408" i="2"/>
  <c r="R407" i="2"/>
  <c r="S407" i="2" s="1"/>
  <c r="Q407" i="2"/>
  <c r="P407" i="2"/>
  <c r="O407" i="2"/>
  <c r="N407" i="2"/>
  <c r="M407" i="2"/>
  <c r="T407" i="2" s="1"/>
  <c r="L407" i="2"/>
  <c r="R406" i="2"/>
  <c r="Q406" i="2"/>
  <c r="S406" i="2" s="1"/>
  <c r="P406" i="2"/>
  <c r="O406" i="2"/>
  <c r="N406" i="2"/>
  <c r="M406" i="2"/>
  <c r="T406" i="2" s="1"/>
  <c r="L406" i="2"/>
  <c r="R405" i="2"/>
  <c r="Q405" i="2"/>
  <c r="S405" i="2" s="1"/>
  <c r="P405" i="2"/>
  <c r="O405" i="2"/>
  <c r="N405" i="2"/>
  <c r="M405" i="2"/>
  <c r="T405" i="2" s="1"/>
  <c r="L405" i="2"/>
  <c r="R404" i="2"/>
  <c r="Q404" i="2"/>
  <c r="P404" i="2"/>
  <c r="O404" i="2"/>
  <c r="N404" i="2"/>
  <c r="M404" i="2"/>
  <c r="T404" i="2" s="1"/>
  <c r="L404" i="2"/>
  <c r="R403" i="2"/>
  <c r="S403" i="2" s="1"/>
  <c r="Q403" i="2"/>
  <c r="P403" i="2"/>
  <c r="O403" i="2"/>
  <c r="N403" i="2"/>
  <c r="M403" i="2"/>
  <c r="T403" i="2" s="1"/>
  <c r="L403" i="2"/>
  <c r="T402" i="2"/>
  <c r="R402" i="2"/>
  <c r="Q402" i="2"/>
  <c r="P402" i="2"/>
  <c r="O402" i="2"/>
  <c r="N402" i="2"/>
  <c r="M402" i="2"/>
  <c r="L402" i="2"/>
  <c r="R401" i="2"/>
  <c r="Q401" i="2"/>
  <c r="P401" i="2"/>
  <c r="O401" i="2"/>
  <c r="N401" i="2"/>
  <c r="M401" i="2"/>
  <c r="T401" i="2" s="1"/>
  <c r="L401" i="2"/>
  <c r="R400" i="2"/>
  <c r="Q400" i="2"/>
  <c r="P400" i="2"/>
  <c r="O400" i="2"/>
  <c r="N400" i="2"/>
  <c r="M400" i="2"/>
  <c r="T400" i="2" s="1"/>
  <c r="L400" i="2"/>
  <c r="R399" i="2"/>
  <c r="S399" i="2" s="1"/>
  <c r="Q399" i="2"/>
  <c r="P399" i="2"/>
  <c r="O399" i="2"/>
  <c r="N399" i="2"/>
  <c r="M399" i="2"/>
  <c r="T399" i="2" s="1"/>
  <c r="L399" i="2"/>
  <c r="R398" i="2"/>
  <c r="Q398" i="2"/>
  <c r="S398" i="2" s="1"/>
  <c r="P398" i="2"/>
  <c r="O398" i="2"/>
  <c r="N398" i="2"/>
  <c r="M398" i="2"/>
  <c r="T398" i="2" s="1"/>
  <c r="L398" i="2"/>
  <c r="R397" i="2"/>
  <c r="Q397" i="2"/>
  <c r="P397" i="2"/>
  <c r="O397" i="2"/>
  <c r="N397" i="2"/>
  <c r="M397" i="2"/>
  <c r="T397" i="2" s="1"/>
  <c r="L397" i="2"/>
  <c r="R396" i="2"/>
  <c r="Q396" i="2"/>
  <c r="S396" i="2" s="1"/>
  <c r="P396" i="2"/>
  <c r="O396" i="2"/>
  <c r="N396" i="2"/>
  <c r="M396" i="2"/>
  <c r="T396" i="2" s="1"/>
  <c r="L396" i="2"/>
  <c r="R395" i="2"/>
  <c r="S395" i="2" s="1"/>
  <c r="Q395" i="2"/>
  <c r="P395" i="2"/>
  <c r="O395" i="2"/>
  <c r="N395" i="2"/>
  <c r="M395" i="2"/>
  <c r="T395" i="2" s="1"/>
  <c r="L395" i="2"/>
  <c r="T394" i="2"/>
  <c r="S394" i="2"/>
  <c r="R394" i="2"/>
  <c r="Q394" i="2"/>
  <c r="P394" i="2"/>
  <c r="O394" i="2"/>
  <c r="N394" i="2"/>
  <c r="M394" i="2"/>
  <c r="L394" i="2"/>
  <c r="R393" i="2"/>
  <c r="S393" i="2" s="1"/>
  <c r="Q393" i="2"/>
  <c r="P393" i="2"/>
  <c r="O393" i="2"/>
  <c r="N393" i="2"/>
  <c r="M393" i="2"/>
  <c r="T393" i="2" s="1"/>
  <c r="L393" i="2"/>
  <c r="R392" i="2"/>
  <c r="Q392" i="2"/>
  <c r="P392" i="2"/>
  <c r="O392" i="2"/>
  <c r="N392" i="2"/>
  <c r="M392" i="2"/>
  <c r="T392" i="2" s="1"/>
  <c r="L392" i="2"/>
  <c r="R391" i="2"/>
  <c r="S391" i="2" s="1"/>
  <c r="Q391" i="2"/>
  <c r="P391" i="2"/>
  <c r="O391" i="2"/>
  <c r="N391" i="2"/>
  <c r="M391" i="2"/>
  <c r="T391" i="2" s="1"/>
  <c r="L391" i="2"/>
  <c r="R390" i="2"/>
  <c r="Q390" i="2"/>
  <c r="S390" i="2" s="1"/>
  <c r="P390" i="2"/>
  <c r="O390" i="2"/>
  <c r="N390" i="2"/>
  <c r="M390" i="2"/>
  <c r="T390" i="2" s="1"/>
  <c r="L390" i="2"/>
  <c r="R389" i="2"/>
  <c r="S389" i="2" s="1"/>
  <c r="Q389" i="2"/>
  <c r="P389" i="2"/>
  <c r="O389" i="2"/>
  <c r="N389" i="2"/>
  <c r="M389" i="2"/>
  <c r="T389" i="2" s="1"/>
  <c r="L389" i="2"/>
  <c r="R388" i="2"/>
  <c r="Q388" i="2"/>
  <c r="P388" i="2"/>
  <c r="O388" i="2"/>
  <c r="N388" i="2"/>
  <c r="M388" i="2"/>
  <c r="T388" i="2" s="1"/>
  <c r="L388" i="2"/>
  <c r="R387" i="2"/>
  <c r="Q387" i="2"/>
  <c r="P387" i="2"/>
  <c r="O387" i="2"/>
  <c r="N387" i="2"/>
  <c r="M387" i="2"/>
  <c r="T387" i="2" s="1"/>
  <c r="L387" i="2"/>
  <c r="S386" i="2"/>
  <c r="R386" i="2"/>
  <c r="Q386" i="2"/>
  <c r="P386" i="2"/>
  <c r="O386" i="2"/>
  <c r="N386" i="2"/>
  <c r="M386" i="2"/>
  <c r="T386" i="2" s="1"/>
  <c r="L386" i="2"/>
  <c r="R385" i="2"/>
  <c r="Q385" i="2"/>
  <c r="P385" i="2"/>
  <c r="O385" i="2"/>
  <c r="N385" i="2"/>
  <c r="M385" i="2"/>
  <c r="T385" i="2" s="1"/>
  <c r="L385" i="2"/>
  <c r="R384" i="2"/>
  <c r="Q384" i="2"/>
  <c r="P384" i="2"/>
  <c r="O384" i="2"/>
  <c r="N384" i="2"/>
  <c r="M384" i="2"/>
  <c r="T384" i="2" s="1"/>
  <c r="L384" i="2"/>
  <c r="R383" i="2"/>
  <c r="Q383" i="2"/>
  <c r="P383" i="2"/>
  <c r="O383" i="2"/>
  <c r="N383" i="2"/>
  <c r="M383" i="2"/>
  <c r="T383" i="2" s="1"/>
  <c r="L383" i="2"/>
  <c r="R382" i="2"/>
  <c r="Q382" i="2"/>
  <c r="P382" i="2"/>
  <c r="O382" i="2"/>
  <c r="N382" i="2"/>
  <c r="M382" i="2"/>
  <c r="T382" i="2" s="1"/>
  <c r="L382" i="2"/>
  <c r="R381" i="2"/>
  <c r="Q381" i="2"/>
  <c r="P381" i="2"/>
  <c r="O381" i="2"/>
  <c r="N381" i="2"/>
  <c r="M381" i="2"/>
  <c r="T381" i="2" s="1"/>
  <c r="L381" i="2"/>
  <c r="R380" i="2"/>
  <c r="Q380" i="2"/>
  <c r="P380" i="2"/>
  <c r="O380" i="2"/>
  <c r="N380" i="2"/>
  <c r="M380" i="2"/>
  <c r="T380" i="2" s="1"/>
  <c r="L380" i="2"/>
  <c r="R379" i="2"/>
  <c r="Q379" i="2"/>
  <c r="S379" i="2" s="1"/>
  <c r="P379" i="2"/>
  <c r="O379" i="2"/>
  <c r="N379" i="2"/>
  <c r="M379" i="2"/>
  <c r="T379" i="2" s="1"/>
  <c r="L379" i="2"/>
  <c r="S378" i="2"/>
  <c r="R378" i="2"/>
  <c r="Q378" i="2"/>
  <c r="P378" i="2"/>
  <c r="O378" i="2"/>
  <c r="N378" i="2"/>
  <c r="M378" i="2"/>
  <c r="T378" i="2" s="1"/>
  <c r="L378" i="2"/>
  <c r="R377" i="2"/>
  <c r="Q377" i="2"/>
  <c r="S377" i="2" s="1"/>
  <c r="P377" i="2"/>
  <c r="O377" i="2"/>
  <c r="N377" i="2"/>
  <c r="M377" i="2"/>
  <c r="T377" i="2" s="1"/>
  <c r="L377" i="2"/>
  <c r="R376" i="2"/>
  <c r="Q376" i="2"/>
  <c r="P376" i="2"/>
  <c r="O376" i="2"/>
  <c r="N376" i="2"/>
  <c r="M376" i="2"/>
  <c r="T376" i="2" s="1"/>
  <c r="L376" i="2"/>
  <c r="S375" i="2"/>
  <c r="R375" i="2"/>
  <c r="Q375" i="2"/>
  <c r="P375" i="2"/>
  <c r="O375" i="2"/>
  <c r="N375" i="2"/>
  <c r="M375" i="2"/>
  <c r="T375" i="2" s="1"/>
  <c r="L375" i="2"/>
  <c r="R374" i="2"/>
  <c r="Q374" i="2"/>
  <c r="S374" i="2" s="1"/>
  <c r="P374" i="2"/>
  <c r="O374" i="2"/>
  <c r="N374" i="2"/>
  <c r="M374" i="2"/>
  <c r="T374" i="2" s="1"/>
  <c r="L374" i="2"/>
  <c r="R373" i="2"/>
  <c r="Q373" i="2"/>
  <c r="S373" i="2" s="1"/>
  <c r="P373" i="2"/>
  <c r="O373" i="2"/>
  <c r="N373" i="2"/>
  <c r="M373" i="2"/>
  <c r="T373" i="2" s="1"/>
  <c r="L373" i="2"/>
  <c r="R372" i="2"/>
  <c r="Q372" i="2"/>
  <c r="P372" i="2"/>
  <c r="O372" i="2"/>
  <c r="N372" i="2"/>
  <c r="M372" i="2"/>
  <c r="T372" i="2" s="1"/>
  <c r="L372" i="2"/>
  <c r="R371" i="2"/>
  <c r="Q371" i="2"/>
  <c r="P371" i="2"/>
  <c r="O371" i="2"/>
  <c r="N371" i="2"/>
  <c r="M371" i="2"/>
  <c r="T371" i="2" s="1"/>
  <c r="L371" i="2"/>
  <c r="R370" i="2"/>
  <c r="Q370" i="2"/>
  <c r="S370" i="2" s="1"/>
  <c r="P370" i="2"/>
  <c r="O370" i="2"/>
  <c r="N370" i="2"/>
  <c r="M370" i="2"/>
  <c r="T370" i="2" s="1"/>
  <c r="L370" i="2"/>
  <c r="R369" i="2"/>
  <c r="Q369" i="2"/>
  <c r="P369" i="2"/>
  <c r="O369" i="2"/>
  <c r="N369" i="2"/>
  <c r="M369" i="2"/>
  <c r="T369" i="2" s="1"/>
  <c r="L369" i="2"/>
  <c r="R368" i="2"/>
  <c r="Q368" i="2"/>
  <c r="P368" i="2"/>
  <c r="O368" i="2"/>
  <c r="N368" i="2"/>
  <c r="M368" i="2"/>
  <c r="T368" i="2" s="1"/>
  <c r="L368" i="2"/>
  <c r="R367" i="2"/>
  <c r="Q367" i="2"/>
  <c r="P367" i="2"/>
  <c r="O367" i="2"/>
  <c r="N367" i="2"/>
  <c r="M367" i="2"/>
  <c r="T367" i="2" s="1"/>
  <c r="L367" i="2"/>
  <c r="R366" i="2"/>
  <c r="Q366" i="2"/>
  <c r="S366" i="2" s="1"/>
  <c r="P366" i="2"/>
  <c r="O366" i="2"/>
  <c r="N366" i="2"/>
  <c r="M366" i="2"/>
  <c r="T366" i="2" s="1"/>
  <c r="L366" i="2"/>
  <c r="R365" i="2"/>
  <c r="Q365" i="2"/>
  <c r="S365" i="2" s="1"/>
  <c r="P365" i="2"/>
  <c r="O365" i="2"/>
  <c r="N365" i="2"/>
  <c r="M365" i="2"/>
  <c r="T365" i="2" s="1"/>
  <c r="L365" i="2"/>
  <c r="R364" i="2"/>
  <c r="Q364" i="2"/>
  <c r="P364" i="2"/>
  <c r="O364" i="2"/>
  <c r="N364" i="2"/>
  <c r="M364" i="2"/>
  <c r="T364" i="2" s="1"/>
  <c r="L364" i="2"/>
  <c r="R363" i="2"/>
  <c r="Q363" i="2"/>
  <c r="S363" i="2" s="1"/>
  <c r="P363" i="2"/>
  <c r="O363" i="2"/>
  <c r="N363" i="2"/>
  <c r="M363" i="2"/>
  <c r="T363" i="2" s="1"/>
  <c r="L363" i="2"/>
  <c r="R362" i="2"/>
  <c r="Q362" i="2"/>
  <c r="S362" i="2" s="1"/>
  <c r="P362" i="2"/>
  <c r="O362" i="2"/>
  <c r="N362" i="2"/>
  <c r="M362" i="2"/>
  <c r="T362" i="2" s="1"/>
  <c r="L362" i="2"/>
  <c r="R361" i="2"/>
  <c r="Q361" i="2"/>
  <c r="P361" i="2"/>
  <c r="O361" i="2"/>
  <c r="N361" i="2"/>
  <c r="M361" i="2"/>
  <c r="T361" i="2" s="1"/>
  <c r="L361" i="2"/>
  <c r="T360" i="2"/>
  <c r="R360" i="2"/>
  <c r="Q360" i="2"/>
  <c r="P360" i="2"/>
  <c r="O360" i="2"/>
  <c r="N360" i="2"/>
  <c r="M360" i="2"/>
  <c r="L360" i="2"/>
  <c r="R359" i="2"/>
  <c r="Q359" i="2"/>
  <c r="P359" i="2"/>
  <c r="O359" i="2"/>
  <c r="N359" i="2"/>
  <c r="M359" i="2"/>
  <c r="T359" i="2" s="1"/>
  <c r="L359" i="2"/>
  <c r="R358" i="2"/>
  <c r="S358" i="2" s="1"/>
  <c r="Q358" i="2"/>
  <c r="P358" i="2"/>
  <c r="O358" i="2"/>
  <c r="N358" i="2"/>
  <c r="M358" i="2"/>
  <c r="T358" i="2" s="1"/>
  <c r="L358" i="2"/>
  <c r="R357" i="2"/>
  <c r="Q357" i="2"/>
  <c r="S357" i="2" s="1"/>
  <c r="P357" i="2"/>
  <c r="O357" i="2"/>
  <c r="N357" i="2"/>
  <c r="M357" i="2"/>
  <c r="T357" i="2" s="1"/>
  <c r="L357" i="2"/>
  <c r="R356" i="2"/>
  <c r="Q356" i="2"/>
  <c r="S356" i="2" s="1"/>
  <c r="P356" i="2"/>
  <c r="O356" i="2"/>
  <c r="N356" i="2"/>
  <c r="M356" i="2"/>
  <c r="T356" i="2" s="1"/>
  <c r="L356" i="2"/>
  <c r="R355" i="2"/>
  <c r="Q355" i="2"/>
  <c r="S355" i="2" s="1"/>
  <c r="P355" i="2"/>
  <c r="O355" i="2"/>
  <c r="N355" i="2"/>
  <c r="M355" i="2"/>
  <c r="T355" i="2" s="1"/>
  <c r="L355" i="2"/>
  <c r="R354" i="2"/>
  <c r="Q354" i="2"/>
  <c r="S354" i="2" s="1"/>
  <c r="P354" i="2"/>
  <c r="O354" i="2"/>
  <c r="N354" i="2"/>
  <c r="M354" i="2"/>
  <c r="T354" i="2" s="1"/>
  <c r="L354" i="2"/>
  <c r="R353" i="2"/>
  <c r="Q353" i="2"/>
  <c r="S353" i="2" s="1"/>
  <c r="P353" i="2"/>
  <c r="O353" i="2"/>
  <c r="N353" i="2"/>
  <c r="M353" i="2"/>
  <c r="T353" i="2" s="1"/>
  <c r="L353" i="2"/>
  <c r="R352" i="2"/>
  <c r="Q352" i="2"/>
  <c r="P352" i="2"/>
  <c r="O352" i="2"/>
  <c r="N352" i="2"/>
  <c r="M352" i="2"/>
  <c r="T352" i="2" s="1"/>
  <c r="L352" i="2"/>
  <c r="R351" i="2"/>
  <c r="Q351" i="2"/>
  <c r="P351" i="2"/>
  <c r="O351" i="2"/>
  <c r="N351" i="2"/>
  <c r="M351" i="2"/>
  <c r="T351" i="2" s="1"/>
  <c r="L351" i="2"/>
  <c r="R350" i="2"/>
  <c r="Q350" i="2"/>
  <c r="P350" i="2"/>
  <c r="O350" i="2"/>
  <c r="N350" i="2"/>
  <c r="M350" i="2"/>
  <c r="T350" i="2" s="1"/>
  <c r="L350" i="2"/>
  <c r="R349" i="2"/>
  <c r="S349" i="2" s="1"/>
  <c r="Q349" i="2"/>
  <c r="P349" i="2"/>
  <c r="O349" i="2"/>
  <c r="N349" i="2"/>
  <c r="M349" i="2"/>
  <c r="T349" i="2" s="1"/>
  <c r="L349" i="2"/>
  <c r="R348" i="2"/>
  <c r="Q348" i="2"/>
  <c r="P348" i="2"/>
  <c r="O348" i="2"/>
  <c r="N348" i="2"/>
  <c r="M348" i="2"/>
  <c r="T348" i="2" s="1"/>
  <c r="L348" i="2"/>
  <c r="R347" i="2"/>
  <c r="S347" i="2" s="1"/>
  <c r="Q347" i="2"/>
  <c r="P347" i="2"/>
  <c r="O347" i="2"/>
  <c r="N347" i="2"/>
  <c r="M347" i="2"/>
  <c r="T347" i="2" s="1"/>
  <c r="L347" i="2"/>
  <c r="R346" i="2"/>
  <c r="Q346" i="2"/>
  <c r="S346" i="2" s="1"/>
  <c r="P346" i="2"/>
  <c r="O346" i="2"/>
  <c r="N346" i="2"/>
  <c r="M346" i="2"/>
  <c r="T346" i="2" s="1"/>
  <c r="L346" i="2"/>
  <c r="R345" i="2"/>
  <c r="S345" i="2" s="1"/>
  <c r="Q345" i="2"/>
  <c r="P345" i="2"/>
  <c r="O345" i="2"/>
  <c r="N345" i="2"/>
  <c r="M345" i="2"/>
  <c r="T345" i="2" s="1"/>
  <c r="L345" i="2"/>
  <c r="R344" i="2"/>
  <c r="Q344" i="2"/>
  <c r="S344" i="2" s="1"/>
  <c r="P344" i="2"/>
  <c r="O344" i="2"/>
  <c r="N344" i="2"/>
  <c r="M344" i="2"/>
  <c r="T344" i="2" s="1"/>
  <c r="L344" i="2"/>
  <c r="S343" i="2"/>
  <c r="R343" i="2"/>
  <c r="Q343" i="2"/>
  <c r="P343" i="2"/>
  <c r="O343" i="2"/>
  <c r="N343" i="2"/>
  <c r="M343" i="2"/>
  <c r="T343" i="2" s="1"/>
  <c r="L343" i="2"/>
  <c r="R342" i="2"/>
  <c r="Q342" i="2"/>
  <c r="P342" i="2"/>
  <c r="O342" i="2"/>
  <c r="N342" i="2"/>
  <c r="M342" i="2"/>
  <c r="T342" i="2" s="1"/>
  <c r="L342" i="2"/>
  <c r="R341" i="2"/>
  <c r="Q341" i="2"/>
  <c r="P341" i="2"/>
  <c r="O341" i="2"/>
  <c r="N341" i="2"/>
  <c r="M341" i="2"/>
  <c r="T341" i="2" s="1"/>
  <c r="L341" i="2"/>
  <c r="R340" i="2"/>
  <c r="Q340" i="2"/>
  <c r="P340" i="2"/>
  <c r="O340" i="2"/>
  <c r="N340" i="2"/>
  <c r="M340" i="2"/>
  <c r="T340" i="2" s="1"/>
  <c r="L340" i="2"/>
  <c r="R339" i="2"/>
  <c r="Q339" i="2"/>
  <c r="S339" i="2" s="1"/>
  <c r="P339" i="2"/>
  <c r="O339" i="2"/>
  <c r="N339" i="2"/>
  <c r="M339" i="2"/>
  <c r="T339" i="2" s="1"/>
  <c r="L339" i="2"/>
  <c r="R338" i="2"/>
  <c r="Q338" i="2"/>
  <c r="S338" i="2" s="1"/>
  <c r="P338" i="2"/>
  <c r="O338" i="2"/>
  <c r="N338" i="2"/>
  <c r="M338" i="2"/>
  <c r="T338" i="2" s="1"/>
  <c r="L338" i="2"/>
  <c r="T337" i="2"/>
  <c r="R337" i="2"/>
  <c r="Q337" i="2"/>
  <c r="P337" i="2"/>
  <c r="O337" i="2"/>
  <c r="N337" i="2"/>
  <c r="M337" i="2"/>
  <c r="L337" i="2"/>
  <c r="R336" i="2"/>
  <c r="Q336" i="2"/>
  <c r="P336" i="2"/>
  <c r="O336" i="2"/>
  <c r="N336" i="2"/>
  <c r="M336" i="2"/>
  <c r="T336" i="2" s="1"/>
  <c r="L336" i="2"/>
  <c r="R335" i="2"/>
  <c r="Q335" i="2"/>
  <c r="P335" i="2"/>
  <c r="O335" i="2"/>
  <c r="N335" i="2"/>
  <c r="M335" i="2"/>
  <c r="T335" i="2" s="1"/>
  <c r="L335" i="2"/>
  <c r="R334" i="2"/>
  <c r="Q334" i="2"/>
  <c r="P334" i="2"/>
  <c r="O334" i="2"/>
  <c r="N334" i="2"/>
  <c r="M334" i="2"/>
  <c r="T334" i="2" s="1"/>
  <c r="L334" i="2"/>
  <c r="R333" i="2"/>
  <c r="Q333" i="2"/>
  <c r="S333" i="2" s="1"/>
  <c r="P333" i="2"/>
  <c r="O333" i="2"/>
  <c r="N333" i="2"/>
  <c r="M333" i="2"/>
  <c r="T333" i="2" s="1"/>
  <c r="L333" i="2"/>
  <c r="R332" i="2"/>
  <c r="Q332" i="2"/>
  <c r="P332" i="2"/>
  <c r="O332" i="2"/>
  <c r="N332" i="2"/>
  <c r="M332" i="2"/>
  <c r="T332" i="2" s="1"/>
  <c r="L332" i="2"/>
  <c r="R331" i="2"/>
  <c r="Q331" i="2"/>
  <c r="S331" i="2" s="1"/>
  <c r="P331" i="2"/>
  <c r="O331" i="2"/>
  <c r="N331" i="2"/>
  <c r="M331" i="2"/>
  <c r="T331" i="2" s="1"/>
  <c r="L331" i="2"/>
  <c r="R330" i="2"/>
  <c r="Q330" i="2"/>
  <c r="S330" i="2" s="1"/>
  <c r="P330" i="2"/>
  <c r="O330" i="2"/>
  <c r="N330" i="2"/>
  <c r="M330" i="2"/>
  <c r="T330" i="2" s="1"/>
  <c r="L330" i="2"/>
  <c r="R329" i="2"/>
  <c r="Q329" i="2"/>
  <c r="S329" i="2" s="1"/>
  <c r="P329" i="2"/>
  <c r="O329" i="2"/>
  <c r="N329" i="2"/>
  <c r="M329" i="2"/>
  <c r="T329" i="2" s="1"/>
  <c r="L329" i="2"/>
  <c r="R328" i="2"/>
  <c r="Q328" i="2"/>
  <c r="P328" i="2"/>
  <c r="O328" i="2"/>
  <c r="N328" i="2"/>
  <c r="M328" i="2"/>
  <c r="T328" i="2" s="1"/>
  <c r="L328" i="2"/>
  <c r="R327" i="2"/>
  <c r="Q327" i="2"/>
  <c r="S327" i="2" s="1"/>
  <c r="P327" i="2"/>
  <c r="O327" i="2"/>
  <c r="N327" i="2"/>
  <c r="M327" i="2"/>
  <c r="T327" i="2" s="1"/>
  <c r="L327" i="2"/>
  <c r="R326" i="2"/>
  <c r="Q326" i="2"/>
  <c r="S326" i="2" s="1"/>
  <c r="P326" i="2"/>
  <c r="O326" i="2"/>
  <c r="N326" i="2"/>
  <c r="M326" i="2"/>
  <c r="T326" i="2" s="1"/>
  <c r="L326" i="2"/>
  <c r="R325" i="2"/>
  <c r="Q325" i="2"/>
  <c r="S325" i="2" s="1"/>
  <c r="P325" i="2"/>
  <c r="O325" i="2"/>
  <c r="N325" i="2"/>
  <c r="M325" i="2"/>
  <c r="T325" i="2" s="1"/>
  <c r="L325" i="2"/>
  <c r="R324" i="2"/>
  <c r="Q324" i="2"/>
  <c r="P324" i="2"/>
  <c r="O324" i="2"/>
  <c r="N324" i="2"/>
  <c r="M324" i="2"/>
  <c r="T324" i="2" s="1"/>
  <c r="L324" i="2"/>
  <c r="R323" i="2"/>
  <c r="Q323" i="2"/>
  <c r="S323" i="2" s="1"/>
  <c r="P323" i="2"/>
  <c r="O323" i="2"/>
  <c r="N323" i="2"/>
  <c r="M323" i="2"/>
  <c r="T323" i="2" s="1"/>
  <c r="L323" i="2"/>
  <c r="R322" i="2"/>
  <c r="Q322" i="2"/>
  <c r="P322" i="2"/>
  <c r="O322" i="2"/>
  <c r="N322" i="2"/>
  <c r="M322" i="2"/>
  <c r="T322" i="2" s="1"/>
  <c r="L322" i="2"/>
  <c r="R321" i="2"/>
  <c r="S321" i="2" s="1"/>
  <c r="Q321" i="2"/>
  <c r="P321" i="2"/>
  <c r="O321" i="2"/>
  <c r="N321" i="2"/>
  <c r="M321" i="2"/>
  <c r="T321" i="2" s="1"/>
  <c r="L321" i="2"/>
  <c r="T320" i="2"/>
  <c r="R320" i="2"/>
  <c r="Q320" i="2"/>
  <c r="P320" i="2"/>
  <c r="O320" i="2"/>
  <c r="N320" i="2"/>
  <c r="M320" i="2"/>
  <c r="L320" i="2"/>
  <c r="R319" i="2"/>
  <c r="Q319" i="2"/>
  <c r="P319" i="2"/>
  <c r="O319" i="2"/>
  <c r="N319" i="2"/>
  <c r="M319" i="2"/>
  <c r="T319" i="2" s="1"/>
  <c r="L319" i="2"/>
  <c r="R318" i="2"/>
  <c r="Q318" i="2"/>
  <c r="P318" i="2"/>
  <c r="O318" i="2"/>
  <c r="N318" i="2"/>
  <c r="M318" i="2"/>
  <c r="T318" i="2" s="1"/>
  <c r="L318" i="2"/>
  <c r="S317" i="2"/>
  <c r="R317" i="2"/>
  <c r="Q317" i="2"/>
  <c r="P317" i="2"/>
  <c r="O317" i="2"/>
  <c r="N317" i="2"/>
  <c r="M317" i="2"/>
  <c r="T317" i="2" s="1"/>
  <c r="L317" i="2"/>
  <c r="R316" i="2"/>
  <c r="Q316" i="2"/>
  <c r="P316" i="2"/>
  <c r="O316" i="2"/>
  <c r="N316" i="2"/>
  <c r="M316" i="2"/>
  <c r="T316" i="2" s="1"/>
  <c r="L316" i="2"/>
  <c r="R315" i="2"/>
  <c r="Q315" i="2"/>
  <c r="P315" i="2"/>
  <c r="O315" i="2"/>
  <c r="N315" i="2"/>
  <c r="M315" i="2"/>
  <c r="T315" i="2" s="1"/>
  <c r="L315" i="2"/>
  <c r="T314" i="2"/>
  <c r="R314" i="2"/>
  <c r="Q314" i="2"/>
  <c r="S314" i="2" s="1"/>
  <c r="P314" i="2"/>
  <c r="O314" i="2"/>
  <c r="N314" i="2"/>
  <c r="M314" i="2"/>
  <c r="L314" i="2"/>
  <c r="R313" i="2"/>
  <c r="Q313" i="2"/>
  <c r="P313" i="2"/>
  <c r="O313" i="2"/>
  <c r="N313" i="2"/>
  <c r="M313" i="2"/>
  <c r="T313" i="2" s="1"/>
  <c r="L313" i="2"/>
  <c r="R312" i="2"/>
  <c r="Q312" i="2"/>
  <c r="P312" i="2"/>
  <c r="O312" i="2"/>
  <c r="N312" i="2"/>
  <c r="M312" i="2"/>
  <c r="T312" i="2" s="1"/>
  <c r="L312" i="2"/>
  <c r="R311" i="2"/>
  <c r="Q311" i="2"/>
  <c r="P311" i="2"/>
  <c r="O311" i="2"/>
  <c r="N311" i="2"/>
  <c r="M311" i="2"/>
  <c r="T311" i="2" s="1"/>
  <c r="L311" i="2"/>
  <c r="R310" i="2"/>
  <c r="Q310" i="2"/>
  <c r="P310" i="2"/>
  <c r="O310" i="2"/>
  <c r="N310" i="2"/>
  <c r="M310" i="2"/>
  <c r="T310" i="2" s="1"/>
  <c r="L310" i="2"/>
  <c r="R309" i="2"/>
  <c r="Q309" i="2"/>
  <c r="S309" i="2" s="1"/>
  <c r="P309" i="2"/>
  <c r="O309" i="2"/>
  <c r="N309" i="2"/>
  <c r="M309" i="2"/>
  <c r="T309" i="2" s="1"/>
  <c r="L309" i="2"/>
  <c r="R308" i="2"/>
  <c r="Q308" i="2"/>
  <c r="P308" i="2"/>
  <c r="O308" i="2"/>
  <c r="N308" i="2"/>
  <c r="M308" i="2"/>
  <c r="T308" i="2" s="1"/>
  <c r="L308" i="2"/>
  <c r="R307" i="2"/>
  <c r="Q307" i="2"/>
  <c r="P307" i="2"/>
  <c r="O307" i="2"/>
  <c r="N307" i="2"/>
  <c r="M307" i="2"/>
  <c r="T307" i="2" s="1"/>
  <c r="L307" i="2"/>
  <c r="S306" i="2"/>
  <c r="R306" i="2"/>
  <c r="Q306" i="2"/>
  <c r="P306" i="2"/>
  <c r="O306" i="2"/>
  <c r="N306" i="2"/>
  <c r="M306" i="2"/>
  <c r="T306" i="2" s="1"/>
  <c r="L306" i="2"/>
  <c r="S305" i="2"/>
  <c r="R305" i="2"/>
  <c r="Q305" i="2"/>
  <c r="P305" i="2"/>
  <c r="O305" i="2"/>
  <c r="N305" i="2"/>
  <c r="M305" i="2"/>
  <c r="T305" i="2" s="1"/>
  <c r="L305" i="2"/>
  <c r="R304" i="2"/>
  <c r="Q304" i="2"/>
  <c r="S304" i="2" s="1"/>
  <c r="P304" i="2"/>
  <c r="O304" i="2"/>
  <c r="N304" i="2"/>
  <c r="M304" i="2"/>
  <c r="T304" i="2" s="1"/>
  <c r="L304" i="2"/>
  <c r="R303" i="2"/>
  <c r="Q303" i="2"/>
  <c r="P303" i="2"/>
  <c r="O303" i="2"/>
  <c r="N303" i="2"/>
  <c r="M303" i="2"/>
  <c r="T303" i="2" s="1"/>
  <c r="L303" i="2"/>
  <c r="R302" i="2"/>
  <c r="Q302" i="2"/>
  <c r="S302" i="2" s="1"/>
  <c r="P302" i="2"/>
  <c r="O302" i="2"/>
  <c r="N302" i="2"/>
  <c r="M302" i="2"/>
  <c r="T302" i="2" s="1"/>
  <c r="L302" i="2"/>
  <c r="R301" i="2"/>
  <c r="Q301" i="2"/>
  <c r="S301" i="2" s="1"/>
  <c r="P301" i="2"/>
  <c r="O301" i="2"/>
  <c r="N301" i="2"/>
  <c r="M301" i="2"/>
  <c r="T301" i="2" s="1"/>
  <c r="L301" i="2"/>
  <c r="R300" i="2"/>
  <c r="Q300" i="2"/>
  <c r="P300" i="2"/>
  <c r="O300" i="2"/>
  <c r="N300" i="2"/>
  <c r="M300" i="2"/>
  <c r="T300" i="2" s="1"/>
  <c r="L300" i="2"/>
  <c r="R299" i="2"/>
  <c r="Q299" i="2"/>
  <c r="P299" i="2"/>
  <c r="O299" i="2"/>
  <c r="N299" i="2"/>
  <c r="M299" i="2"/>
  <c r="T299" i="2" s="1"/>
  <c r="L299" i="2"/>
  <c r="R298" i="2"/>
  <c r="Q298" i="2"/>
  <c r="P298" i="2"/>
  <c r="O298" i="2"/>
  <c r="N298" i="2"/>
  <c r="M298" i="2"/>
  <c r="T298" i="2" s="1"/>
  <c r="L298" i="2"/>
  <c r="R297" i="2"/>
  <c r="S297" i="2" s="1"/>
  <c r="Q297" i="2"/>
  <c r="P297" i="2"/>
  <c r="O297" i="2"/>
  <c r="N297" i="2"/>
  <c r="M297" i="2"/>
  <c r="T297" i="2" s="1"/>
  <c r="L297" i="2"/>
  <c r="R296" i="2"/>
  <c r="Q296" i="2"/>
  <c r="S296" i="2" s="1"/>
  <c r="P296" i="2"/>
  <c r="O296" i="2"/>
  <c r="N296" i="2"/>
  <c r="M296" i="2"/>
  <c r="T296" i="2" s="1"/>
  <c r="L296" i="2"/>
  <c r="R295" i="2"/>
  <c r="S295" i="2" s="1"/>
  <c r="Q295" i="2"/>
  <c r="P295" i="2"/>
  <c r="O295" i="2"/>
  <c r="N295" i="2"/>
  <c r="M295" i="2"/>
  <c r="T295" i="2" s="1"/>
  <c r="L295" i="2"/>
  <c r="R294" i="2"/>
  <c r="S294" i="2" s="1"/>
  <c r="Q294" i="2"/>
  <c r="P294" i="2"/>
  <c r="O294" i="2"/>
  <c r="N294" i="2"/>
  <c r="M294" i="2"/>
  <c r="T294" i="2" s="1"/>
  <c r="L294" i="2"/>
  <c r="R293" i="2"/>
  <c r="Q293" i="2"/>
  <c r="S293" i="2" s="1"/>
  <c r="P293" i="2"/>
  <c r="O293" i="2"/>
  <c r="N293" i="2"/>
  <c r="M293" i="2"/>
  <c r="T293" i="2" s="1"/>
  <c r="L293" i="2"/>
  <c r="R292" i="2"/>
  <c r="Q292" i="2"/>
  <c r="P292" i="2"/>
  <c r="O292" i="2"/>
  <c r="N292" i="2"/>
  <c r="M292" i="2"/>
  <c r="T292" i="2" s="1"/>
  <c r="L292" i="2"/>
  <c r="R291" i="2"/>
  <c r="Q291" i="2"/>
  <c r="S291" i="2" s="1"/>
  <c r="P291" i="2"/>
  <c r="O291" i="2"/>
  <c r="N291" i="2"/>
  <c r="M291" i="2"/>
  <c r="T291" i="2" s="1"/>
  <c r="L291" i="2"/>
  <c r="S290" i="2"/>
  <c r="R290" i="2"/>
  <c r="Q290" i="2"/>
  <c r="P290" i="2"/>
  <c r="O290" i="2"/>
  <c r="N290" i="2"/>
  <c r="M290" i="2"/>
  <c r="T290" i="2" s="1"/>
  <c r="L290" i="2"/>
  <c r="R289" i="2"/>
  <c r="Q289" i="2"/>
  <c r="P289" i="2"/>
  <c r="O289" i="2"/>
  <c r="N289" i="2"/>
  <c r="M289" i="2"/>
  <c r="T289" i="2" s="1"/>
  <c r="L289" i="2"/>
  <c r="R288" i="2"/>
  <c r="Q288" i="2"/>
  <c r="P288" i="2"/>
  <c r="O288" i="2"/>
  <c r="N288" i="2"/>
  <c r="M288" i="2"/>
  <c r="T288" i="2" s="1"/>
  <c r="L288" i="2"/>
  <c r="R287" i="2"/>
  <c r="Q287" i="2"/>
  <c r="S287" i="2" s="1"/>
  <c r="P287" i="2"/>
  <c r="O287" i="2"/>
  <c r="N287" i="2"/>
  <c r="M287" i="2"/>
  <c r="T287" i="2" s="1"/>
  <c r="L287" i="2"/>
  <c r="S286" i="2"/>
  <c r="R286" i="2"/>
  <c r="Q286" i="2"/>
  <c r="P286" i="2"/>
  <c r="O286" i="2"/>
  <c r="N286" i="2"/>
  <c r="M286" i="2"/>
  <c r="T286" i="2" s="1"/>
  <c r="L286" i="2"/>
  <c r="R285" i="2"/>
  <c r="Q285" i="2"/>
  <c r="S285" i="2" s="1"/>
  <c r="P285" i="2"/>
  <c r="O285" i="2"/>
  <c r="N285" i="2"/>
  <c r="M285" i="2"/>
  <c r="T285" i="2" s="1"/>
  <c r="L285" i="2"/>
  <c r="R284" i="2"/>
  <c r="Q284" i="2"/>
  <c r="P284" i="2"/>
  <c r="O284" i="2"/>
  <c r="N284" i="2"/>
  <c r="M284" i="2"/>
  <c r="T284" i="2" s="1"/>
  <c r="L284" i="2"/>
  <c r="R283" i="2"/>
  <c r="S283" i="2" s="1"/>
  <c r="Q283" i="2"/>
  <c r="P283" i="2"/>
  <c r="O283" i="2"/>
  <c r="N283" i="2"/>
  <c r="M283" i="2"/>
  <c r="T283" i="2" s="1"/>
  <c r="L283" i="2"/>
  <c r="R282" i="2"/>
  <c r="Q282" i="2"/>
  <c r="S282" i="2" s="1"/>
  <c r="P282" i="2"/>
  <c r="O282" i="2"/>
  <c r="N282" i="2"/>
  <c r="M282" i="2"/>
  <c r="T282" i="2" s="1"/>
  <c r="L282" i="2"/>
  <c r="R281" i="2"/>
  <c r="Q281" i="2"/>
  <c r="P281" i="2"/>
  <c r="O281" i="2"/>
  <c r="N281" i="2"/>
  <c r="M281" i="2"/>
  <c r="T281" i="2" s="1"/>
  <c r="L281" i="2"/>
  <c r="R280" i="2"/>
  <c r="Q280" i="2"/>
  <c r="P280" i="2"/>
  <c r="O280" i="2"/>
  <c r="N280" i="2"/>
  <c r="M280" i="2"/>
  <c r="T280" i="2" s="1"/>
  <c r="L280" i="2"/>
  <c r="S279" i="2"/>
  <c r="R279" i="2"/>
  <c r="Q279" i="2"/>
  <c r="P279" i="2"/>
  <c r="O279" i="2"/>
  <c r="N279" i="2"/>
  <c r="M279" i="2"/>
  <c r="T279" i="2" s="1"/>
  <c r="L279" i="2"/>
  <c r="R278" i="2"/>
  <c r="Q278" i="2"/>
  <c r="P278" i="2"/>
  <c r="O278" i="2"/>
  <c r="N278" i="2"/>
  <c r="M278" i="2"/>
  <c r="T278" i="2" s="1"/>
  <c r="L278" i="2"/>
  <c r="R277" i="2"/>
  <c r="Q277" i="2"/>
  <c r="S277" i="2" s="1"/>
  <c r="P277" i="2"/>
  <c r="O277" i="2"/>
  <c r="N277" i="2"/>
  <c r="M277" i="2"/>
  <c r="T277" i="2" s="1"/>
  <c r="L277" i="2"/>
  <c r="R276" i="2"/>
  <c r="Q276" i="2"/>
  <c r="P276" i="2"/>
  <c r="O276" i="2"/>
  <c r="N276" i="2"/>
  <c r="M276" i="2"/>
  <c r="T276" i="2" s="1"/>
  <c r="L276" i="2"/>
  <c r="S275" i="2"/>
  <c r="R275" i="2"/>
  <c r="Q275" i="2"/>
  <c r="P275" i="2"/>
  <c r="O275" i="2"/>
  <c r="N275" i="2"/>
  <c r="M275" i="2"/>
  <c r="T275" i="2" s="1"/>
  <c r="L275" i="2"/>
  <c r="R274" i="2"/>
  <c r="Q274" i="2"/>
  <c r="P274" i="2"/>
  <c r="O274" i="2"/>
  <c r="N274" i="2"/>
  <c r="M274" i="2"/>
  <c r="T274" i="2" s="1"/>
  <c r="L274" i="2"/>
  <c r="R273" i="2"/>
  <c r="S273" i="2" s="1"/>
  <c r="Q273" i="2"/>
  <c r="P273" i="2"/>
  <c r="O273" i="2"/>
  <c r="N273" i="2"/>
  <c r="M273" i="2"/>
  <c r="T273" i="2" s="1"/>
  <c r="L273" i="2"/>
  <c r="R272" i="2"/>
  <c r="Q272" i="2"/>
  <c r="P272" i="2"/>
  <c r="O272" i="2"/>
  <c r="N272" i="2"/>
  <c r="M272" i="2"/>
  <c r="T272" i="2" s="1"/>
  <c r="L272" i="2"/>
  <c r="R271" i="2"/>
  <c r="Q271" i="2"/>
  <c r="P271" i="2"/>
  <c r="O271" i="2"/>
  <c r="N271" i="2"/>
  <c r="M271" i="2"/>
  <c r="T271" i="2" s="1"/>
  <c r="L271" i="2"/>
  <c r="R270" i="2"/>
  <c r="Q270" i="2"/>
  <c r="S270" i="2" s="1"/>
  <c r="P270" i="2"/>
  <c r="O270" i="2"/>
  <c r="N270" i="2"/>
  <c r="M270" i="2"/>
  <c r="T270" i="2" s="1"/>
  <c r="L270" i="2"/>
  <c r="R269" i="2"/>
  <c r="S269" i="2" s="1"/>
  <c r="Q269" i="2"/>
  <c r="P269" i="2"/>
  <c r="O269" i="2"/>
  <c r="N269" i="2"/>
  <c r="M269" i="2"/>
  <c r="T269" i="2" s="1"/>
  <c r="L269" i="2"/>
  <c r="R268" i="2"/>
  <c r="Q268" i="2"/>
  <c r="P268" i="2"/>
  <c r="O268" i="2"/>
  <c r="N268" i="2"/>
  <c r="M268" i="2"/>
  <c r="T268" i="2" s="1"/>
  <c r="L268" i="2"/>
  <c r="R267" i="2"/>
  <c r="Q267" i="2"/>
  <c r="S267" i="2" s="1"/>
  <c r="P267" i="2"/>
  <c r="O267" i="2"/>
  <c r="N267" i="2"/>
  <c r="M267" i="2"/>
  <c r="T267" i="2" s="1"/>
  <c r="L267" i="2"/>
  <c r="R266" i="2"/>
  <c r="Q266" i="2"/>
  <c r="S266" i="2" s="1"/>
  <c r="P266" i="2"/>
  <c r="O266" i="2"/>
  <c r="N266" i="2"/>
  <c r="M266" i="2"/>
  <c r="T266" i="2" s="1"/>
  <c r="L266" i="2"/>
  <c r="R265" i="2"/>
  <c r="Q265" i="2"/>
  <c r="S265" i="2" s="1"/>
  <c r="P265" i="2"/>
  <c r="O265" i="2"/>
  <c r="N265" i="2"/>
  <c r="M265" i="2"/>
  <c r="T265" i="2" s="1"/>
  <c r="L265" i="2"/>
  <c r="R264" i="2"/>
  <c r="Q264" i="2"/>
  <c r="P264" i="2"/>
  <c r="O264" i="2"/>
  <c r="N264" i="2"/>
  <c r="M264" i="2"/>
  <c r="T264" i="2" s="1"/>
  <c r="L264" i="2"/>
  <c r="R263" i="2"/>
  <c r="Q263" i="2"/>
  <c r="P263" i="2"/>
  <c r="O263" i="2"/>
  <c r="N263" i="2"/>
  <c r="M263" i="2"/>
  <c r="T263" i="2" s="1"/>
  <c r="L263" i="2"/>
  <c r="R262" i="2"/>
  <c r="Q262" i="2"/>
  <c r="P262" i="2"/>
  <c r="O262" i="2"/>
  <c r="N262" i="2"/>
  <c r="M262" i="2"/>
  <c r="T262" i="2" s="1"/>
  <c r="L262" i="2"/>
  <c r="R261" i="2"/>
  <c r="Q261" i="2"/>
  <c r="P261" i="2"/>
  <c r="O261" i="2"/>
  <c r="N261" i="2"/>
  <c r="M261" i="2"/>
  <c r="T261" i="2" s="1"/>
  <c r="L261" i="2"/>
  <c r="R260" i="2"/>
  <c r="Q260" i="2"/>
  <c r="S260" i="2" s="1"/>
  <c r="P260" i="2"/>
  <c r="O260" i="2"/>
  <c r="N260" i="2"/>
  <c r="M260" i="2"/>
  <c r="T260" i="2" s="1"/>
  <c r="L260" i="2"/>
  <c r="R259" i="2"/>
  <c r="Q259" i="2"/>
  <c r="S259" i="2" s="1"/>
  <c r="P259" i="2"/>
  <c r="O259" i="2"/>
  <c r="N259" i="2"/>
  <c r="M259" i="2"/>
  <c r="T259" i="2" s="1"/>
  <c r="L259" i="2"/>
  <c r="R258" i="2"/>
  <c r="S258" i="2" s="1"/>
  <c r="Q258" i="2"/>
  <c r="P258" i="2"/>
  <c r="O258" i="2"/>
  <c r="N258" i="2"/>
  <c r="M258" i="2"/>
  <c r="T258" i="2" s="1"/>
  <c r="L258" i="2"/>
  <c r="R257" i="2"/>
  <c r="S257" i="2" s="1"/>
  <c r="Q257" i="2"/>
  <c r="P257" i="2"/>
  <c r="O257" i="2"/>
  <c r="N257" i="2"/>
  <c r="M257" i="2"/>
  <c r="T257" i="2" s="1"/>
  <c r="L257" i="2"/>
  <c r="R256" i="2"/>
  <c r="Q256" i="2"/>
  <c r="S256" i="2" s="1"/>
  <c r="P256" i="2"/>
  <c r="O256" i="2"/>
  <c r="N256" i="2"/>
  <c r="M256" i="2"/>
  <c r="T256" i="2" s="1"/>
  <c r="L256" i="2"/>
  <c r="R255" i="2"/>
  <c r="Q255" i="2"/>
  <c r="P255" i="2"/>
  <c r="O255" i="2"/>
  <c r="N255" i="2"/>
  <c r="M255" i="2"/>
  <c r="T255" i="2" s="1"/>
  <c r="L255" i="2"/>
  <c r="R254" i="2"/>
  <c r="Q254" i="2"/>
  <c r="P254" i="2"/>
  <c r="O254" i="2"/>
  <c r="N254" i="2"/>
  <c r="M254" i="2"/>
  <c r="T254" i="2" s="1"/>
  <c r="L254" i="2"/>
  <c r="R253" i="2"/>
  <c r="Q253" i="2"/>
  <c r="S253" i="2" s="1"/>
  <c r="P253" i="2"/>
  <c r="O253" i="2"/>
  <c r="N253" i="2"/>
  <c r="M253" i="2"/>
  <c r="T253" i="2" s="1"/>
  <c r="L253" i="2"/>
  <c r="R252" i="2"/>
  <c r="Q252" i="2"/>
  <c r="P252" i="2"/>
  <c r="O252" i="2"/>
  <c r="N252" i="2"/>
  <c r="M252" i="2"/>
  <c r="T252" i="2" s="1"/>
  <c r="L252" i="2"/>
  <c r="R251" i="2"/>
  <c r="S251" i="2" s="1"/>
  <c r="Q251" i="2"/>
  <c r="P251" i="2"/>
  <c r="O251" i="2"/>
  <c r="N251" i="2"/>
  <c r="M251" i="2"/>
  <c r="T251" i="2" s="1"/>
  <c r="L251" i="2"/>
  <c r="R250" i="2"/>
  <c r="Q250" i="2"/>
  <c r="S250" i="2" s="1"/>
  <c r="P250" i="2"/>
  <c r="O250" i="2"/>
  <c r="N250" i="2"/>
  <c r="M250" i="2"/>
  <c r="T250" i="2" s="1"/>
  <c r="L250" i="2"/>
  <c r="R249" i="2"/>
  <c r="S249" i="2" s="1"/>
  <c r="Q249" i="2"/>
  <c r="P249" i="2"/>
  <c r="O249" i="2"/>
  <c r="N249" i="2"/>
  <c r="M249" i="2"/>
  <c r="T249" i="2" s="1"/>
  <c r="L249" i="2"/>
  <c r="R248" i="2"/>
  <c r="Q248" i="2"/>
  <c r="S248" i="2" s="1"/>
  <c r="P248" i="2"/>
  <c r="O248" i="2"/>
  <c r="N248" i="2"/>
  <c r="M248" i="2"/>
  <c r="T248" i="2" s="1"/>
  <c r="L248" i="2"/>
  <c r="R247" i="2"/>
  <c r="Q247" i="2"/>
  <c r="P247" i="2"/>
  <c r="O247" i="2"/>
  <c r="N247" i="2"/>
  <c r="M247" i="2"/>
  <c r="T247" i="2" s="1"/>
  <c r="L247" i="2"/>
  <c r="S246" i="2"/>
  <c r="R246" i="2"/>
  <c r="Q246" i="2"/>
  <c r="P246" i="2"/>
  <c r="O246" i="2"/>
  <c r="N246" i="2"/>
  <c r="M246" i="2"/>
  <c r="T246" i="2" s="1"/>
  <c r="L246" i="2"/>
  <c r="T245" i="2"/>
  <c r="R245" i="2"/>
  <c r="Q245" i="2"/>
  <c r="S245" i="2" s="1"/>
  <c r="P245" i="2"/>
  <c r="O245" i="2"/>
  <c r="N245" i="2"/>
  <c r="M245" i="2"/>
  <c r="L245" i="2"/>
  <c r="R244" i="2"/>
  <c r="Q244" i="2"/>
  <c r="P244" i="2"/>
  <c r="O244" i="2"/>
  <c r="N244" i="2"/>
  <c r="M244" i="2"/>
  <c r="T244" i="2" s="1"/>
  <c r="L244" i="2"/>
  <c r="R243" i="2"/>
  <c r="Q243" i="2"/>
  <c r="P243" i="2"/>
  <c r="O243" i="2"/>
  <c r="N243" i="2"/>
  <c r="M243" i="2"/>
  <c r="T243" i="2" s="1"/>
  <c r="L243" i="2"/>
  <c r="R242" i="2"/>
  <c r="Q242" i="2"/>
  <c r="S242" i="2" s="1"/>
  <c r="P242" i="2"/>
  <c r="O242" i="2"/>
  <c r="N242" i="2"/>
  <c r="M242" i="2"/>
  <c r="T242" i="2" s="1"/>
  <c r="L242" i="2"/>
  <c r="R241" i="2"/>
  <c r="S241" i="2" s="1"/>
  <c r="Q241" i="2"/>
  <c r="P241" i="2"/>
  <c r="O241" i="2"/>
  <c r="N241" i="2"/>
  <c r="M241" i="2"/>
  <c r="T241" i="2" s="1"/>
  <c r="L241" i="2"/>
  <c r="R240" i="2"/>
  <c r="Q240" i="2"/>
  <c r="P240" i="2"/>
  <c r="O240" i="2"/>
  <c r="N240" i="2"/>
  <c r="M240" i="2"/>
  <c r="T240" i="2" s="1"/>
  <c r="L240" i="2"/>
  <c r="R239" i="2"/>
  <c r="Q239" i="2"/>
  <c r="S239" i="2" s="1"/>
  <c r="P239" i="2"/>
  <c r="O239" i="2"/>
  <c r="N239" i="2"/>
  <c r="M239" i="2"/>
  <c r="T239" i="2" s="1"/>
  <c r="L239" i="2"/>
  <c r="R238" i="2"/>
  <c r="S238" i="2" s="1"/>
  <c r="Q238" i="2"/>
  <c r="P238" i="2"/>
  <c r="O238" i="2"/>
  <c r="N238" i="2"/>
  <c r="M238" i="2"/>
  <c r="T238" i="2" s="1"/>
  <c r="L238" i="2"/>
  <c r="R237" i="2"/>
  <c r="Q237" i="2"/>
  <c r="S237" i="2" s="1"/>
  <c r="P237" i="2"/>
  <c r="O237" i="2"/>
  <c r="N237" i="2"/>
  <c r="M237" i="2"/>
  <c r="T237" i="2" s="1"/>
  <c r="L237" i="2"/>
  <c r="R236" i="2"/>
  <c r="Q236" i="2"/>
  <c r="P236" i="2"/>
  <c r="O236" i="2"/>
  <c r="N236" i="2"/>
  <c r="M236" i="2"/>
  <c r="T236" i="2" s="1"/>
  <c r="L236" i="2"/>
  <c r="T235" i="2"/>
  <c r="R235" i="2"/>
  <c r="S235" i="2" s="1"/>
  <c r="Q235" i="2"/>
  <c r="P235" i="2"/>
  <c r="O235" i="2"/>
  <c r="N235" i="2"/>
  <c r="M235" i="2"/>
  <c r="L235" i="2"/>
  <c r="R234" i="2"/>
  <c r="Q234" i="2"/>
  <c r="S234" i="2" s="1"/>
  <c r="P234" i="2"/>
  <c r="O234" i="2"/>
  <c r="N234" i="2"/>
  <c r="M234" i="2"/>
  <c r="T234" i="2" s="1"/>
  <c r="L234" i="2"/>
  <c r="R233" i="2"/>
  <c r="Q233" i="2"/>
  <c r="P233" i="2"/>
  <c r="O233" i="2"/>
  <c r="N233" i="2"/>
  <c r="M233" i="2"/>
  <c r="T233" i="2" s="1"/>
  <c r="L233" i="2"/>
  <c r="R232" i="2"/>
  <c r="Q232" i="2"/>
  <c r="P232" i="2"/>
  <c r="O232" i="2"/>
  <c r="N232" i="2"/>
  <c r="M232" i="2"/>
  <c r="T232" i="2" s="1"/>
  <c r="L232" i="2"/>
  <c r="R231" i="2"/>
  <c r="Q231" i="2"/>
  <c r="S231" i="2" s="1"/>
  <c r="P231" i="2"/>
  <c r="O231" i="2"/>
  <c r="N231" i="2"/>
  <c r="M231" i="2"/>
  <c r="T231" i="2" s="1"/>
  <c r="L231" i="2"/>
  <c r="R230" i="2"/>
  <c r="Q230" i="2"/>
  <c r="S230" i="2" s="1"/>
  <c r="P230" i="2"/>
  <c r="O230" i="2"/>
  <c r="N230" i="2"/>
  <c r="M230" i="2"/>
  <c r="T230" i="2" s="1"/>
  <c r="L230" i="2"/>
  <c r="R229" i="2"/>
  <c r="Q229" i="2"/>
  <c r="S229" i="2" s="1"/>
  <c r="P229" i="2"/>
  <c r="O229" i="2"/>
  <c r="N229" i="2"/>
  <c r="M229" i="2"/>
  <c r="T229" i="2" s="1"/>
  <c r="L229" i="2"/>
  <c r="R228" i="2"/>
  <c r="Q228" i="2"/>
  <c r="P228" i="2"/>
  <c r="O228" i="2"/>
  <c r="N228" i="2"/>
  <c r="M228" i="2"/>
  <c r="T228" i="2" s="1"/>
  <c r="L228" i="2"/>
  <c r="R227" i="2"/>
  <c r="S227" i="2" s="1"/>
  <c r="Q227" i="2"/>
  <c r="P227" i="2"/>
  <c r="O227" i="2"/>
  <c r="N227" i="2"/>
  <c r="M227" i="2"/>
  <c r="T227" i="2" s="1"/>
  <c r="L227" i="2"/>
  <c r="R226" i="2"/>
  <c r="Q226" i="2"/>
  <c r="P226" i="2"/>
  <c r="O226" i="2"/>
  <c r="N226" i="2"/>
  <c r="M226" i="2"/>
  <c r="T226" i="2" s="1"/>
  <c r="L226" i="2"/>
  <c r="R225" i="2"/>
  <c r="S225" i="2" s="1"/>
  <c r="Q225" i="2"/>
  <c r="P225" i="2"/>
  <c r="O225" i="2"/>
  <c r="N225" i="2"/>
  <c r="M225" i="2"/>
  <c r="T225" i="2" s="1"/>
  <c r="L225" i="2"/>
  <c r="R224" i="2"/>
  <c r="Q224" i="2"/>
  <c r="P224" i="2"/>
  <c r="O224" i="2"/>
  <c r="N224" i="2"/>
  <c r="M224" i="2"/>
  <c r="T224" i="2" s="1"/>
  <c r="L224" i="2"/>
  <c r="R223" i="2"/>
  <c r="Q223" i="2"/>
  <c r="S223" i="2" s="1"/>
  <c r="P223" i="2"/>
  <c r="O223" i="2"/>
  <c r="N223" i="2"/>
  <c r="M223" i="2"/>
  <c r="T223" i="2" s="1"/>
  <c r="L223" i="2"/>
  <c r="R222" i="2"/>
  <c r="Q222" i="2"/>
  <c r="P222" i="2"/>
  <c r="O222" i="2"/>
  <c r="N222" i="2"/>
  <c r="M222" i="2"/>
  <c r="T222" i="2" s="1"/>
  <c r="L222" i="2"/>
  <c r="R221" i="2"/>
  <c r="S221" i="2" s="1"/>
  <c r="Q221" i="2"/>
  <c r="P221" i="2"/>
  <c r="O221" i="2"/>
  <c r="N221" i="2"/>
  <c r="M221" i="2"/>
  <c r="T221" i="2" s="1"/>
  <c r="L221" i="2"/>
  <c r="R220" i="2"/>
  <c r="Q220" i="2"/>
  <c r="P220" i="2"/>
  <c r="O220" i="2"/>
  <c r="N220" i="2"/>
  <c r="M220" i="2"/>
  <c r="T220" i="2" s="1"/>
  <c r="L220" i="2"/>
  <c r="R219" i="2"/>
  <c r="Q219" i="2"/>
  <c r="P219" i="2"/>
  <c r="O219" i="2"/>
  <c r="N219" i="2"/>
  <c r="M219" i="2"/>
  <c r="T219" i="2" s="1"/>
  <c r="L219" i="2"/>
  <c r="R218" i="2"/>
  <c r="Q218" i="2"/>
  <c r="P218" i="2"/>
  <c r="O218" i="2"/>
  <c r="N218" i="2"/>
  <c r="M218" i="2"/>
  <c r="T218" i="2" s="1"/>
  <c r="L218" i="2"/>
  <c r="R217" i="2"/>
  <c r="Q217" i="2"/>
  <c r="S217" i="2" s="1"/>
  <c r="P217" i="2"/>
  <c r="O217" i="2"/>
  <c r="N217" i="2"/>
  <c r="M217" i="2"/>
  <c r="T217" i="2" s="1"/>
  <c r="L217" i="2"/>
  <c r="R216" i="2"/>
  <c r="Q216" i="2"/>
  <c r="P216" i="2"/>
  <c r="O216" i="2"/>
  <c r="N216" i="2"/>
  <c r="M216" i="2"/>
  <c r="T216" i="2" s="1"/>
  <c r="L216" i="2"/>
  <c r="R215" i="2"/>
  <c r="Q215" i="2"/>
  <c r="P215" i="2"/>
  <c r="O215" i="2"/>
  <c r="N215" i="2"/>
  <c r="M215" i="2"/>
  <c r="T215" i="2" s="1"/>
  <c r="L215" i="2"/>
  <c r="R214" i="2"/>
  <c r="S214" i="2" s="1"/>
  <c r="Q214" i="2"/>
  <c r="P214" i="2"/>
  <c r="O214" i="2"/>
  <c r="N214" i="2"/>
  <c r="M214" i="2"/>
  <c r="T214" i="2" s="1"/>
  <c r="L214" i="2"/>
  <c r="R213" i="2"/>
  <c r="Q213" i="2"/>
  <c r="P213" i="2"/>
  <c r="O213" i="2"/>
  <c r="N213" i="2"/>
  <c r="M213" i="2"/>
  <c r="T213" i="2" s="1"/>
  <c r="L213" i="2"/>
  <c r="R212" i="2"/>
  <c r="Q212" i="2"/>
  <c r="P212" i="2"/>
  <c r="O212" i="2"/>
  <c r="N212" i="2"/>
  <c r="M212" i="2"/>
  <c r="T212" i="2" s="1"/>
  <c r="L212" i="2"/>
  <c r="R211" i="2"/>
  <c r="Q211" i="2"/>
  <c r="S211" i="2" s="1"/>
  <c r="P211" i="2"/>
  <c r="O211" i="2"/>
  <c r="N211" i="2"/>
  <c r="M211" i="2"/>
  <c r="T211" i="2" s="1"/>
  <c r="L211" i="2"/>
  <c r="S210" i="2"/>
  <c r="R210" i="2"/>
  <c r="Q210" i="2"/>
  <c r="P210" i="2"/>
  <c r="O210" i="2"/>
  <c r="N210" i="2"/>
  <c r="M210" i="2"/>
  <c r="T210" i="2" s="1"/>
  <c r="L210" i="2"/>
  <c r="R209" i="2"/>
  <c r="Q209" i="2"/>
  <c r="S209" i="2" s="1"/>
  <c r="P209" i="2"/>
  <c r="O209" i="2"/>
  <c r="N209" i="2"/>
  <c r="M209" i="2"/>
  <c r="T209" i="2" s="1"/>
  <c r="L209" i="2"/>
  <c r="T208" i="2"/>
  <c r="R208" i="2"/>
  <c r="Q208" i="2"/>
  <c r="P208" i="2"/>
  <c r="O208" i="2"/>
  <c r="N208" i="2"/>
  <c r="M208" i="2"/>
  <c r="L208" i="2"/>
  <c r="R207" i="2"/>
  <c r="Q207" i="2"/>
  <c r="P207" i="2"/>
  <c r="O207" i="2"/>
  <c r="N207" i="2"/>
  <c r="M207" i="2"/>
  <c r="T207" i="2" s="1"/>
  <c r="L207" i="2"/>
  <c r="R206" i="2"/>
  <c r="Q206" i="2"/>
  <c r="S206" i="2" s="1"/>
  <c r="P206" i="2"/>
  <c r="O206" i="2"/>
  <c r="N206" i="2"/>
  <c r="M206" i="2"/>
  <c r="T206" i="2" s="1"/>
  <c r="L206" i="2"/>
  <c r="T205" i="2"/>
  <c r="S205" i="2"/>
  <c r="R205" i="2"/>
  <c r="Q205" i="2"/>
  <c r="P205" i="2"/>
  <c r="O205" i="2"/>
  <c r="N205" i="2"/>
  <c r="M205" i="2"/>
  <c r="L205" i="2"/>
  <c r="R204" i="2"/>
  <c r="Q204" i="2"/>
  <c r="P204" i="2"/>
  <c r="O204" i="2"/>
  <c r="N204" i="2"/>
  <c r="M204" i="2"/>
  <c r="T204" i="2" s="1"/>
  <c r="L204" i="2"/>
  <c r="R203" i="2"/>
  <c r="Q203" i="2"/>
  <c r="P203" i="2"/>
  <c r="O203" i="2"/>
  <c r="N203" i="2"/>
  <c r="M203" i="2"/>
  <c r="T203" i="2" s="1"/>
  <c r="L203" i="2"/>
  <c r="R202" i="2"/>
  <c r="Q202" i="2"/>
  <c r="S202" i="2" s="1"/>
  <c r="P202" i="2"/>
  <c r="O202" i="2"/>
  <c r="N202" i="2"/>
  <c r="M202" i="2"/>
  <c r="T202" i="2" s="1"/>
  <c r="L202" i="2"/>
  <c r="R201" i="2"/>
  <c r="S201" i="2" s="1"/>
  <c r="Q201" i="2"/>
  <c r="P201" i="2"/>
  <c r="O201" i="2"/>
  <c r="N201" i="2"/>
  <c r="M201" i="2"/>
  <c r="T201" i="2" s="1"/>
  <c r="L201" i="2"/>
  <c r="R200" i="2"/>
  <c r="Q200" i="2"/>
  <c r="S200" i="2" s="1"/>
  <c r="P200" i="2"/>
  <c r="O200" i="2"/>
  <c r="N200" i="2"/>
  <c r="M200" i="2"/>
  <c r="T200" i="2" s="1"/>
  <c r="L200" i="2"/>
  <c r="R199" i="2"/>
  <c r="Q199" i="2"/>
  <c r="S199" i="2" s="1"/>
  <c r="P199" i="2"/>
  <c r="O199" i="2"/>
  <c r="N199" i="2"/>
  <c r="M199" i="2"/>
  <c r="T199" i="2" s="1"/>
  <c r="L199" i="2"/>
  <c r="S198" i="2"/>
  <c r="R198" i="2"/>
  <c r="Q198" i="2"/>
  <c r="P198" i="2"/>
  <c r="O198" i="2"/>
  <c r="N198" i="2"/>
  <c r="M198" i="2"/>
  <c r="T198" i="2" s="1"/>
  <c r="L198" i="2"/>
  <c r="T197" i="2"/>
  <c r="R197" i="2"/>
  <c r="Q197" i="2"/>
  <c r="S197" i="2" s="1"/>
  <c r="P197" i="2"/>
  <c r="O197" i="2"/>
  <c r="N197" i="2"/>
  <c r="M197" i="2"/>
  <c r="L197" i="2"/>
  <c r="R196" i="2"/>
  <c r="Q196" i="2"/>
  <c r="S196" i="2" s="1"/>
  <c r="P196" i="2"/>
  <c r="O196" i="2"/>
  <c r="N196" i="2"/>
  <c r="M196" i="2"/>
  <c r="T196" i="2" s="1"/>
  <c r="L196" i="2"/>
  <c r="R195" i="2"/>
  <c r="Q195" i="2"/>
  <c r="S195" i="2" s="1"/>
  <c r="P195" i="2"/>
  <c r="O195" i="2"/>
  <c r="N195" i="2"/>
  <c r="M195" i="2"/>
  <c r="T195" i="2" s="1"/>
  <c r="L195" i="2"/>
  <c r="S194" i="2"/>
  <c r="R194" i="2"/>
  <c r="Q194" i="2"/>
  <c r="P194" i="2"/>
  <c r="O194" i="2"/>
  <c r="N194" i="2"/>
  <c r="M194" i="2"/>
  <c r="T194" i="2" s="1"/>
  <c r="L194" i="2"/>
  <c r="R193" i="2"/>
  <c r="Q193" i="2"/>
  <c r="S193" i="2" s="1"/>
  <c r="P193" i="2"/>
  <c r="O193" i="2"/>
  <c r="N193" i="2"/>
  <c r="M193" i="2"/>
  <c r="T193" i="2" s="1"/>
  <c r="L193" i="2"/>
  <c r="R192" i="2"/>
  <c r="Q192" i="2"/>
  <c r="P192" i="2"/>
  <c r="O192" i="2"/>
  <c r="N192" i="2"/>
  <c r="M192" i="2"/>
  <c r="T192" i="2" s="1"/>
  <c r="L192" i="2"/>
  <c r="R191" i="2"/>
  <c r="Q191" i="2"/>
  <c r="P191" i="2"/>
  <c r="O191" i="2"/>
  <c r="N191" i="2"/>
  <c r="M191" i="2"/>
  <c r="T191" i="2" s="1"/>
  <c r="L191" i="2"/>
  <c r="R190" i="2"/>
  <c r="Q190" i="2"/>
  <c r="P190" i="2"/>
  <c r="O190" i="2"/>
  <c r="N190" i="2"/>
  <c r="M190" i="2"/>
  <c r="T190" i="2" s="1"/>
  <c r="L190" i="2"/>
  <c r="R189" i="2"/>
  <c r="Q189" i="2"/>
  <c r="S189" i="2" s="1"/>
  <c r="P189" i="2"/>
  <c r="O189" i="2"/>
  <c r="N189" i="2"/>
  <c r="M189" i="2"/>
  <c r="T189" i="2" s="1"/>
  <c r="L189" i="2"/>
  <c r="R188" i="2"/>
  <c r="Q188" i="2"/>
  <c r="P188" i="2"/>
  <c r="O188" i="2"/>
  <c r="N188" i="2"/>
  <c r="M188" i="2"/>
  <c r="T188" i="2" s="1"/>
  <c r="L188" i="2"/>
  <c r="R187" i="2"/>
  <c r="Q187" i="2"/>
  <c r="S187" i="2" s="1"/>
  <c r="P187" i="2"/>
  <c r="O187" i="2"/>
  <c r="N187" i="2"/>
  <c r="M187" i="2"/>
  <c r="T187" i="2" s="1"/>
  <c r="L187" i="2"/>
  <c r="R186" i="2"/>
  <c r="S186" i="2" s="1"/>
  <c r="Q186" i="2"/>
  <c r="P186" i="2"/>
  <c r="O186" i="2"/>
  <c r="N186" i="2"/>
  <c r="M186" i="2"/>
  <c r="T186" i="2" s="1"/>
  <c r="L186" i="2"/>
  <c r="R185" i="2"/>
  <c r="Q185" i="2"/>
  <c r="S185" i="2" s="1"/>
  <c r="P185" i="2"/>
  <c r="O185" i="2"/>
  <c r="N185" i="2"/>
  <c r="M185" i="2"/>
  <c r="T185" i="2" s="1"/>
  <c r="L185" i="2"/>
  <c r="R184" i="2"/>
  <c r="Q184" i="2"/>
  <c r="P184" i="2"/>
  <c r="O184" i="2"/>
  <c r="N184" i="2"/>
  <c r="M184" i="2"/>
  <c r="T184" i="2" s="1"/>
  <c r="L184" i="2"/>
  <c r="R183" i="2"/>
  <c r="Q183" i="2"/>
  <c r="S183" i="2" s="1"/>
  <c r="P183" i="2"/>
  <c r="O183" i="2"/>
  <c r="N183" i="2"/>
  <c r="M183" i="2"/>
  <c r="T183" i="2" s="1"/>
  <c r="L183" i="2"/>
  <c r="R182" i="2"/>
  <c r="S182" i="2" s="1"/>
  <c r="Q182" i="2"/>
  <c r="P182" i="2"/>
  <c r="O182" i="2"/>
  <c r="N182" i="2"/>
  <c r="M182" i="2"/>
  <c r="T182" i="2" s="1"/>
  <c r="L182" i="2"/>
  <c r="R181" i="2"/>
  <c r="Q181" i="2"/>
  <c r="P181" i="2"/>
  <c r="O181" i="2"/>
  <c r="N181" i="2"/>
  <c r="M181" i="2"/>
  <c r="T181" i="2" s="1"/>
  <c r="L181" i="2"/>
  <c r="R180" i="2"/>
  <c r="Q180" i="2"/>
  <c r="P180" i="2"/>
  <c r="O180" i="2"/>
  <c r="N180" i="2"/>
  <c r="M180" i="2"/>
  <c r="T180" i="2" s="1"/>
  <c r="L180" i="2"/>
  <c r="R179" i="2"/>
  <c r="Q179" i="2"/>
  <c r="S179" i="2" s="1"/>
  <c r="P179" i="2"/>
  <c r="O179" i="2"/>
  <c r="N179" i="2"/>
  <c r="M179" i="2"/>
  <c r="T179" i="2" s="1"/>
  <c r="L179" i="2"/>
  <c r="R178" i="2"/>
  <c r="Q178" i="2"/>
  <c r="P178" i="2"/>
  <c r="O178" i="2"/>
  <c r="N178" i="2"/>
  <c r="M178" i="2"/>
  <c r="T178" i="2" s="1"/>
  <c r="L178" i="2"/>
  <c r="R177" i="2"/>
  <c r="Q177" i="2"/>
  <c r="P177" i="2"/>
  <c r="O177" i="2"/>
  <c r="N177" i="2"/>
  <c r="M177" i="2"/>
  <c r="T177" i="2" s="1"/>
  <c r="L177" i="2"/>
  <c r="R176" i="2"/>
  <c r="S176" i="2" s="1"/>
  <c r="Q176" i="2"/>
  <c r="P176" i="2"/>
  <c r="O176" i="2"/>
  <c r="N176" i="2"/>
  <c r="M176" i="2"/>
  <c r="T176" i="2" s="1"/>
  <c r="L176" i="2"/>
  <c r="R175" i="2"/>
  <c r="Q175" i="2"/>
  <c r="S175" i="2" s="1"/>
  <c r="P175" i="2"/>
  <c r="O175" i="2"/>
  <c r="N175" i="2"/>
  <c r="M175" i="2"/>
  <c r="T175" i="2" s="1"/>
  <c r="L175" i="2"/>
  <c r="R174" i="2"/>
  <c r="S174" i="2" s="1"/>
  <c r="Q174" i="2"/>
  <c r="P174" i="2"/>
  <c r="O174" i="2"/>
  <c r="N174" i="2"/>
  <c r="M174" i="2"/>
  <c r="T174" i="2" s="1"/>
  <c r="L174" i="2"/>
  <c r="R173" i="2"/>
  <c r="Q173" i="2"/>
  <c r="S173" i="2" s="1"/>
  <c r="P173" i="2"/>
  <c r="O173" i="2"/>
  <c r="N173" i="2"/>
  <c r="M173" i="2"/>
  <c r="T173" i="2" s="1"/>
  <c r="L173" i="2"/>
  <c r="R172" i="2"/>
  <c r="S172" i="2" s="1"/>
  <c r="Q172" i="2"/>
  <c r="P172" i="2"/>
  <c r="O172" i="2"/>
  <c r="N172" i="2"/>
  <c r="M172" i="2"/>
  <c r="T172" i="2" s="1"/>
  <c r="L172" i="2"/>
  <c r="R171" i="2"/>
  <c r="Q171" i="2"/>
  <c r="S171" i="2" s="1"/>
  <c r="P171" i="2"/>
  <c r="O171" i="2"/>
  <c r="N171" i="2"/>
  <c r="M171" i="2"/>
  <c r="T171" i="2" s="1"/>
  <c r="L171" i="2"/>
  <c r="R170" i="2"/>
  <c r="Q170" i="2"/>
  <c r="P170" i="2"/>
  <c r="O170" i="2"/>
  <c r="N170" i="2"/>
  <c r="M170" i="2"/>
  <c r="T170" i="2" s="1"/>
  <c r="L170" i="2"/>
  <c r="R169" i="2"/>
  <c r="Q169" i="2"/>
  <c r="S169" i="2" s="1"/>
  <c r="P169" i="2"/>
  <c r="O169" i="2"/>
  <c r="N169" i="2"/>
  <c r="M169" i="2"/>
  <c r="T169" i="2" s="1"/>
  <c r="L169" i="2"/>
  <c r="R168" i="2"/>
  <c r="S168" i="2" s="1"/>
  <c r="Q168" i="2"/>
  <c r="P168" i="2"/>
  <c r="O168" i="2"/>
  <c r="N168" i="2"/>
  <c r="M168" i="2"/>
  <c r="T168" i="2" s="1"/>
  <c r="L168" i="2"/>
  <c r="R167" i="2"/>
  <c r="Q167" i="2"/>
  <c r="P167" i="2"/>
  <c r="O167" i="2"/>
  <c r="N167" i="2"/>
  <c r="M167" i="2"/>
  <c r="T167" i="2" s="1"/>
  <c r="L167" i="2"/>
  <c r="R166" i="2"/>
  <c r="Q166" i="2"/>
  <c r="P166" i="2"/>
  <c r="O166" i="2"/>
  <c r="N166" i="2"/>
  <c r="M166" i="2"/>
  <c r="T166" i="2" s="1"/>
  <c r="L166" i="2"/>
  <c r="R165" i="2"/>
  <c r="Q165" i="2"/>
  <c r="S165" i="2" s="1"/>
  <c r="P165" i="2"/>
  <c r="O165" i="2"/>
  <c r="N165" i="2"/>
  <c r="M165" i="2"/>
  <c r="T165" i="2" s="1"/>
  <c r="L165" i="2"/>
  <c r="R164" i="2"/>
  <c r="Q164" i="2"/>
  <c r="P164" i="2"/>
  <c r="O164" i="2"/>
  <c r="N164" i="2"/>
  <c r="M164" i="2"/>
  <c r="T164" i="2" s="1"/>
  <c r="L164" i="2"/>
  <c r="R163" i="2"/>
  <c r="Q163" i="2"/>
  <c r="P163" i="2"/>
  <c r="O163" i="2"/>
  <c r="N163" i="2"/>
  <c r="M163" i="2"/>
  <c r="T163" i="2" s="1"/>
  <c r="L163" i="2"/>
  <c r="R162" i="2"/>
  <c r="S162" i="2" s="1"/>
  <c r="Q162" i="2"/>
  <c r="P162" i="2"/>
  <c r="O162" i="2"/>
  <c r="N162" i="2"/>
  <c r="M162" i="2"/>
  <c r="T162" i="2" s="1"/>
  <c r="L162" i="2"/>
  <c r="R161" i="2"/>
  <c r="Q161" i="2"/>
  <c r="S161" i="2" s="1"/>
  <c r="P161" i="2"/>
  <c r="O161" i="2"/>
  <c r="N161" i="2"/>
  <c r="M161" i="2"/>
  <c r="T161" i="2" s="1"/>
  <c r="L161" i="2"/>
  <c r="R160" i="2"/>
  <c r="S160" i="2" s="1"/>
  <c r="Q160" i="2"/>
  <c r="P160" i="2"/>
  <c r="O160" i="2"/>
  <c r="N160" i="2"/>
  <c r="M160" i="2"/>
  <c r="T160" i="2" s="1"/>
  <c r="L160" i="2"/>
  <c r="R159" i="2"/>
  <c r="Q159" i="2"/>
  <c r="S159" i="2" s="1"/>
  <c r="P159" i="2"/>
  <c r="O159" i="2"/>
  <c r="N159" i="2"/>
  <c r="M159" i="2"/>
  <c r="T159" i="2" s="1"/>
  <c r="L159" i="2"/>
  <c r="T158" i="2"/>
  <c r="R158" i="2"/>
  <c r="S158" i="2" s="1"/>
  <c r="Q158" i="2"/>
  <c r="P158" i="2"/>
  <c r="O158" i="2"/>
  <c r="N158" i="2"/>
  <c r="M158" i="2"/>
  <c r="L158" i="2"/>
  <c r="R157" i="2"/>
  <c r="Q157" i="2"/>
  <c r="P157" i="2"/>
  <c r="O157" i="2"/>
  <c r="N157" i="2"/>
  <c r="M157" i="2"/>
  <c r="T157" i="2" s="1"/>
  <c r="L157" i="2"/>
  <c r="R156" i="2"/>
  <c r="Q156" i="2"/>
  <c r="P156" i="2"/>
  <c r="O156" i="2"/>
  <c r="N156" i="2"/>
  <c r="M156" i="2"/>
  <c r="T156" i="2" s="1"/>
  <c r="L156" i="2"/>
  <c r="R155" i="2"/>
  <c r="Q155" i="2"/>
  <c r="P155" i="2"/>
  <c r="O155" i="2"/>
  <c r="N155" i="2"/>
  <c r="M155" i="2"/>
  <c r="T155" i="2" s="1"/>
  <c r="L155" i="2"/>
  <c r="R154" i="2"/>
  <c r="S154" i="2" s="1"/>
  <c r="Q154" i="2"/>
  <c r="P154" i="2"/>
  <c r="O154" i="2"/>
  <c r="N154" i="2"/>
  <c r="M154" i="2"/>
  <c r="T154" i="2" s="1"/>
  <c r="L154" i="2"/>
  <c r="R153" i="2"/>
  <c r="Q153" i="2"/>
  <c r="P153" i="2"/>
  <c r="O153" i="2"/>
  <c r="N153" i="2"/>
  <c r="M153" i="2"/>
  <c r="T153" i="2" s="1"/>
  <c r="L153" i="2"/>
  <c r="R152" i="2"/>
  <c r="S152" i="2" s="1"/>
  <c r="Q152" i="2"/>
  <c r="P152" i="2"/>
  <c r="O152" i="2"/>
  <c r="N152" i="2"/>
  <c r="M152" i="2"/>
  <c r="T152" i="2" s="1"/>
  <c r="L152" i="2"/>
  <c r="R151" i="2"/>
  <c r="Q151" i="2"/>
  <c r="S151" i="2" s="1"/>
  <c r="P151" i="2"/>
  <c r="O151" i="2"/>
  <c r="N151" i="2"/>
  <c r="M151" i="2"/>
  <c r="T151" i="2" s="1"/>
  <c r="L151" i="2"/>
  <c r="R150" i="2"/>
  <c r="S150" i="2" s="1"/>
  <c r="Q150" i="2"/>
  <c r="P150" i="2"/>
  <c r="O150" i="2"/>
  <c r="N150" i="2"/>
  <c r="M150" i="2"/>
  <c r="T150" i="2" s="1"/>
  <c r="L150" i="2"/>
  <c r="R149" i="2"/>
  <c r="Q149" i="2"/>
  <c r="P149" i="2"/>
  <c r="O149" i="2"/>
  <c r="N149" i="2"/>
  <c r="M149" i="2"/>
  <c r="T149" i="2" s="1"/>
  <c r="L149" i="2"/>
  <c r="R148" i="2"/>
  <c r="S148" i="2" s="1"/>
  <c r="Q148" i="2"/>
  <c r="P148" i="2"/>
  <c r="O148" i="2"/>
  <c r="N148" i="2"/>
  <c r="M148" i="2"/>
  <c r="T148" i="2" s="1"/>
  <c r="L148" i="2"/>
  <c r="R147" i="2"/>
  <c r="Q147" i="2"/>
  <c r="P147" i="2"/>
  <c r="O147" i="2"/>
  <c r="N147" i="2"/>
  <c r="M147" i="2"/>
  <c r="T147" i="2" s="1"/>
  <c r="L147" i="2"/>
  <c r="T146" i="2"/>
  <c r="R146" i="2"/>
  <c r="S146" i="2" s="1"/>
  <c r="Q146" i="2"/>
  <c r="P146" i="2"/>
  <c r="O146" i="2"/>
  <c r="N146" i="2"/>
  <c r="M146" i="2"/>
  <c r="L146" i="2"/>
  <c r="R145" i="2"/>
  <c r="Q145" i="2"/>
  <c r="P145" i="2"/>
  <c r="O145" i="2"/>
  <c r="N145" i="2"/>
  <c r="M145" i="2"/>
  <c r="T145" i="2" s="1"/>
  <c r="L145" i="2"/>
  <c r="R144" i="2"/>
  <c r="S144" i="2" s="1"/>
  <c r="Q144" i="2"/>
  <c r="P144" i="2"/>
  <c r="O144" i="2"/>
  <c r="N144" i="2"/>
  <c r="M144" i="2"/>
  <c r="T144" i="2" s="1"/>
  <c r="L144" i="2"/>
  <c r="R143" i="2"/>
  <c r="Q143" i="2"/>
  <c r="P143" i="2"/>
  <c r="O143" i="2"/>
  <c r="N143" i="2"/>
  <c r="M143" i="2"/>
  <c r="T143" i="2" s="1"/>
  <c r="L143" i="2"/>
  <c r="R142" i="2"/>
  <c r="Q142" i="2"/>
  <c r="P142" i="2"/>
  <c r="O142" i="2"/>
  <c r="N142" i="2"/>
  <c r="M142" i="2"/>
  <c r="T142" i="2" s="1"/>
  <c r="L142" i="2"/>
  <c r="R141" i="2"/>
  <c r="Q141" i="2"/>
  <c r="S141" i="2" s="1"/>
  <c r="P141" i="2"/>
  <c r="O141" i="2"/>
  <c r="N141" i="2"/>
  <c r="M141" i="2"/>
  <c r="T141" i="2" s="1"/>
  <c r="L141" i="2"/>
  <c r="R140" i="2"/>
  <c r="S140" i="2" s="1"/>
  <c r="Q140" i="2"/>
  <c r="P140" i="2"/>
  <c r="O140" i="2"/>
  <c r="N140" i="2"/>
  <c r="M140" i="2"/>
  <c r="T140" i="2" s="1"/>
  <c r="L140" i="2"/>
  <c r="R139" i="2"/>
  <c r="Q139" i="2"/>
  <c r="S139" i="2" s="1"/>
  <c r="P139" i="2"/>
  <c r="O139" i="2"/>
  <c r="N139" i="2"/>
  <c r="M139" i="2"/>
  <c r="T139" i="2" s="1"/>
  <c r="L139" i="2"/>
  <c r="R138" i="2"/>
  <c r="S138" i="2" s="1"/>
  <c r="Q138" i="2"/>
  <c r="P138" i="2"/>
  <c r="O138" i="2"/>
  <c r="N138" i="2"/>
  <c r="M138" i="2"/>
  <c r="T138" i="2" s="1"/>
  <c r="L138" i="2"/>
  <c r="R137" i="2"/>
  <c r="Q137" i="2"/>
  <c r="S137" i="2" s="1"/>
  <c r="P137" i="2"/>
  <c r="O137" i="2"/>
  <c r="N137" i="2"/>
  <c r="M137" i="2"/>
  <c r="T137" i="2" s="1"/>
  <c r="L137" i="2"/>
  <c r="R136" i="2"/>
  <c r="Q136" i="2"/>
  <c r="P136" i="2"/>
  <c r="O136" i="2"/>
  <c r="N136" i="2"/>
  <c r="M136" i="2"/>
  <c r="T136" i="2" s="1"/>
  <c r="L136" i="2"/>
  <c r="R135" i="2"/>
  <c r="Q135" i="2"/>
  <c r="P135" i="2"/>
  <c r="O135" i="2"/>
  <c r="N135" i="2"/>
  <c r="M135" i="2"/>
  <c r="L135" i="2"/>
  <c r="R134" i="2"/>
  <c r="S134" i="2" s="1"/>
  <c r="Q134" i="2"/>
  <c r="P134" i="2"/>
  <c r="O134" i="2"/>
  <c r="N134" i="2"/>
  <c r="M134" i="2"/>
  <c r="T134" i="2" s="1"/>
  <c r="L134" i="2"/>
  <c r="R133" i="2"/>
  <c r="Q133" i="2"/>
  <c r="S133" i="2" s="1"/>
  <c r="P133" i="2"/>
  <c r="O133" i="2"/>
  <c r="N133" i="2"/>
  <c r="M133" i="2"/>
  <c r="T133" i="2" s="1"/>
  <c r="L133" i="2"/>
  <c r="R132" i="2"/>
  <c r="Q132" i="2"/>
  <c r="S132" i="2" s="1"/>
  <c r="P132" i="2"/>
  <c r="O132" i="2"/>
  <c r="N132" i="2"/>
  <c r="M132" i="2"/>
  <c r="T132" i="2" s="1"/>
  <c r="L132" i="2"/>
  <c r="R131" i="2"/>
  <c r="Q131" i="2"/>
  <c r="P131" i="2"/>
  <c r="O131" i="2"/>
  <c r="N131" i="2"/>
  <c r="M131" i="2"/>
  <c r="T131" i="2" s="1"/>
  <c r="L131" i="2"/>
  <c r="S130" i="2"/>
  <c r="R130" i="2"/>
  <c r="Q130" i="2"/>
  <c r="P130" i="2"/>
  <c r="O130" i="2"/>
  <c r="N130" i="2"/>
  <c r="M130" i="2"/>
  <c r="T130" i="2" s="1"/>
  <c r="L130" i="2"/>
  <c r="R129" i="2"/>
  <c r="Q129" i="2"/>
  <c r="S129" i="2" s="1"/>
  <c r="P129" i="2"/>
  <c r="O129" i="2"/>
  <c r="N129" i="2"/>
  <c r="M129" i="2"/>
  <c r="T129" i="2" s="1"/>
  <c r="L129" i="2"/>
  <c r="S128" i="2"/>
  <c r="R128" i="2"/>
  <c r="Q128" i="2"/>
  <c r="P128" i="2"/>
  <c r="O128" i="2"/>
  <c r="N128" i="2"/>
  <c r="M128" i="2"/>
  <c r="T128" i="2" s="1"/>
  <c r="L128" i="2"/>
  <c r="R127" i="2"/>
  <c r="Q127" i="2"/>
  <c r="P127" i="2"/>
  <c r="O127" i="2"/>
  <c r="N127" i="2"/>
  <c r="M127" i="2"/>
  <c r="T127" i="2" s="1"/>
  <c r="L127" i="2"/>
  <c r="R126" i="2"/>
  <c r="S126" i="2" s="1"/>
  <c r="Q126" i="2"/>
  <c r="P126" i="2"/>
  <c r="O126" i="2"/>
  <c r="N126" i="2"/>
  <c r="M126" i="2"/>
  <c r="T126" i="2" s="1"/>
  <c r="L126" i="2"/>
  <c r="R125" i="2"/>
  <c r="Q125" i="2"/>
  <c r="P125" i="2"/>
  <c r="O125" i="2"/>
  <c r="N125" i="2"/>
  <c r="M125" i="2"/>
  <c r="T125" i="2" s="1"/>
  <c r="L125" i="2"/>
  <c r="R124" i="2"/>
  <c r="Q124" i="2"/>
  <c r="S124" i="2" s="1"/>
  <c r="P124" i="2"/>
  <c r="O124" i="2"/>
  <c r="N124" i="2"/>
  <c r="M124" i="2"/>
  <c r="T124" i="2" s="1"/>
  <c r="L124" i="2"/>
  <c r="R123" i="2"/>
  <c r="Q123" i="2"/>
  <c r="P123" i="2"/>
  <c r="O123" i="2"/>
  <c r="N123" i="2"/>
  <c r="M123" i="2"/>
  <c r="T123" i="2" s="1"/>
  <c r="L123" i="2"/>
  <c r="S122" i="2"/>
  <c r="R122" i="2"/>
  <c r="Q122" i="2"/>
  <c r="P122" i="2"/>
  <c r="O122" i="2"/>
  <c r="N122" i="2"/>
  <c r="M122" i="2"/>
  <c r="T122" i="2" s="1"/>
  <c r="L122" i="2"/>
  <c r="R121" i="2"/>
  <c r="Q121" i="2"/>
  <c r="P121" i="2"/>
  <c r="O121" i="2"/>
  <c r="N121" i="2"/>
  <c r="M121" i="2"/>
  <c r="T121" i="2" s="1"/>
  <c r="L121" i="2"/>
  <c r="S120" i="2"/>
  <c r="R120" i="2"/>
  <c r="Q120" i="2"/>
  <c r="P120" i="2"/>
  <c r="O120" i="2"/>
  <c r="N120" i="2"/>
  <c r="M120" i="2"/>
  <c r="T120" i="2" s="1"/>
  <c r="L120" i="2"/>
  <c r="R119" i="2"/>
  <c r="Q119" i="2"/>
  <c r="P119" i="2"/>
  <c r="O119" i="2"/>
  <c r="N119" i="2"/>
  <c r="M119" i="2"/>
  <c r="T119" i="2" s="1"/>
  <c r="L119" i="2"/>
  <c r="R118" i="2"/>
  <c r="Q118" i="2"/>
  <c r="P118" i="2"/>
  <c r="O118" i="2"/>
  <c r="N118" i="2"/>
  <c r="M118" i="2"/>
  <c r="T118" i="2" s="1"/>
  <c r="L118" i="2"/>
  <c r="R117" i="2"/>
  <c r="Q117" i="2"/>
  <c r="P117" i="2"/>
  <c r="O117" i="2"/>
  <c r="N117" i="2"/>
  <c r="M117" i="2"/>
  <c r="T117" i="2" s="1"/>
  <c r="L117" i="2"/>
  <c r="R116" i="2"/>
  <c r="Q116" i="2"/>
  <c r="S116" i="2" s="1"/>
  <c r="P116" i="2"/>
  <c r="O116" i="2"/>
  <c r="N116" i="2"/>
  <c r="M116" i="2"/>
  <c r="T116" i="2" s="1"/>
  <c r="L116" i="2"/>
  <c r="R115" i="2"/>
  <c r="Q115" i="2"/>
  <c r="P115" i="2"/>
  <c r="O115" i="2"/>
  <c r="N115" i="2"/>
  <c r="M115" i="2"/>
  <c r="T115" i="2" s="1"/>
  <c r="L115" i="2"/>
  <c r="R114" i="2"/>
  <c r="S114" i="2" s="1"/>
  <c r="Q114" i="2"/>
  <c r="P114" i="2"/>
  <c r="O114" i="2"/>
  <c r="N114" i="2"/>
  <c r="M114" i="2"/>
  <c r="T114" i="2" s="1"/>
  <c r="L114" i="2"/>
  <c r="R113" i="2"/>
  <c r="Q113" i="2"/>
  <c r="P113" i="2"/>
  <c r="O113" i="2"/>
  <c r="N113" i="2"/>
  <c r="M113" i="2"/>
  <c r="T113" i="2" s="1"/>
  <c r="L113" i="2"/>
  <c r="R112" i="2"/>
  <c r="S112" i="2" s="1"/>
  <c r="Q112" i="2"/>
  <c r="P112" i="2"/>
  <c r="O112" i="2"/>
  <c r="N112" i="2"/>
  <c r="M112" i="2"/>
  <c r="T112" i="2" s="1"/>
  <c r="L112" i="2"/>
  <c r="R111" i="2"/>
  <c r="Q111" i="2"/>
  <c r="S111" i="2" s="1"/>
  <c r="P111" i="2"/>
  <c r="O111" i="2"/>
  <c r="N111" i="2"/>
  <c r="M111" i="2"/>
  <c r="T111" i="2" s="1"/>
  <c r="L111" i="2"/>
  <c r="R110" i="2"/>
  <c r="Q110" i="2"/>
  <c r="P110" i="2"/>
  <c r="O110" i="2"/>
  <c r="N110" i="2"/>
  <c r="M110" i="2"/>
  <c r="T110" i="2" s="1"/>
  <c r="L110" i="2"/>
  <c r="R109" i="2"/>
  <c r="Q109" i="2"/>
  <c r="P109" i="2"/>
  <c r="O109" i="2"/>
  <c r="N109" i="2"/>
  <c r="M109" i="2"/>
  <c r="T109" i="2" s="1"/>
  <c r="L109" i="2"/>
  <c r="R108" i="2"/>
  <c r="Q108" i="2"/>
  <c r="S108" i="2" s="1"/>
  <c r="P108" i="2"/>
  <c r="O108" i="2"/>
  <c r="N108" i="2"/>
  <c r="M108" i="2"/>
  <c r="T108" i="2" s="1"/>
  <c r="L108" i="2"/>
  <c r="R107" i="2"/>
  <c r="Q107" i="2"/>
  <c r="P107" i="2"/>
  <c r="O107" i="2"/>
  <c r="N107" i="2"/>
  <c r="M107" i="2"/>
  <c r="T107" i="2" s="1"/>
  <c r="L107" i="2"/>
  <c r="R106" i="2"/>
  <c r="Q106" i="2"/>
  <c r="P106" i="2"/>
  <c r="O106" i="2"/>
  <c r="N106" i="2"/>
  <c r="M106" i="2"/>
  <c r="T106" i="2" s="1"/>
  <c r="L106" i="2"/>
  <c r="R105" i="2"/>
  <c r="Q105" i="2"/>
  <c r="P105" i="2"/>
  <c r="O105" i="2"/>
  <c r="N105" i="2"/>
  <c r="M105" i="2"/>
  <c r="T105" i="2" s="1"/>
  <c r="L105" i="2"/>
  <c r="S104" i="2"/>
  <c r="R104" i="2"/>
  <c r="Q104" i="2"/>
  <c r="P104" i="2"/>
  <c r="O104" i="2"/>
  <c r="N104" i="2"/>
  <c r="M104" i="2"/>
  <c r="T104" i="2" s="1"/>
  <c r="L104" i="2"/>
  <c r="R103" i="2"/>
  <c r="Q103" i="2"/>
  <c r="S103" i="2" s="1"/>
  <c r="P103" i="2"/>
  <c r="O103" i="2"/>
  <c r="N103" i="2"/>
  <c r="M103" i="2"/>
  <c r="T103" i="2" s="1"/>
  <c r="L103" i="2"/>
  <c r="R102" i="2"/>
  <c r="S102" i="2" s="1"/>
  <c r="Q102" i="2"/>
  <c r="P102" i="2"/>
  <c r="O102" i="2"/>
  <c r="N102" i="2"/>
  <c r="M102" i="2"/>
  <c r="T102" i="2" s="1"/>
  <c r="L102" i="2"/>
  <c r="R101" i="2"/>
  <c r="Q101" i="2"/>
  <c r="P101" i="2"/>
  <c r="O101" i="2"/>
  <c r="N101" i="2"/>
  <c r="M101" i="2"/>
  <c r="T101" i="2" s="1"/>
  <c r="L101" i="2"/>
  <c r="R100" i="2"/>
  <c r="Q100" i="2"/>
  <c r="S100" i="2" s="1"/>
  <c r="P100" i="2"/>
  <c r="O100" i="2"/>
  <c r="N100" i="2"/>
  <c r="M100" i="2"/>
  <c r="T100" i="2" s="1"/>
  <c r="L100" i="2"/>
  <c r="R99" i="2"/>
  <c r="Q99" i="2"/>
  <c r="P99" i="2"/>
  <c r="O99" i="2"/>
  <c r="N99" i="2"/>
  <c r="M99" i="2"/>
  <c r="T99" i="2" s="1"/>
  <c r="L99" i="2"/>
  <c r="R98" i="2"/>
  <c r="Q98" i="2"/>
  <c r="P98" i="2"/>
  <c r="O98" i="2"/>
  <c r="N98" i="2"/>
  <c r="M98" i="2"/>
  <c r="T98" i="2" s="1"/>
  <c r="L98" i="2"/>
  <c r="R97" i="2"/>
  <c r="Q97" i="2"/>
  <c r="S97" i="2" s="1"/>
  <c r="P97" i="2"/>
  <c r="O97" i="2"/>
  <c r="N97" i="2"/>
  <c r="M97" i="2"/>
  <c r="T97" i="2" s="1"/>
  <c r="L97" i="2"/>
  <c r="R96" i="2"/>
  <c r="S96" i="2" s="1"/>
  <c r="Q96" i="2"/>
  <c r="P96" i="2"/>
  <c r="O96" i="2"/>
  <c r="N96" i="2"/>
  <c r="M96" i="2"/>
  <c r="T96" i="2" s="1"/>
  <c r="L96" i="2"/>
  <c r="R95" i="2"/>
  <c r="Q95" i="2"/>
  <c r="S95" i="2" s="1"/>
  <c r="P95" i="2"/>
  <c r="O95" i="2"/>
  <c r="N95" i="2"/>
  <c r="M95" i="2"/>
  <c r="T95" i="2" s="1"/>
  <c r="L95" i="2"/>
  <c r="R94" i="2"/>
  <c r="S94" i="2" s="1"/>
  <c r="Q94" i="2"/>
  <c r="P94" i="2"/>
  <c r="O94" i="2"/>
  <c r="N94" i="2"/>
  <c r="M94" i="2"/>
  <c r="T94" i="2" s="1"/>
  <c r="L94" i="2"/>
  <c r="R93" i="2"/>
  <c r="Q93" i="2"/>
  <c r="S93" i="2" s="1"/>
  <c r="P93" i="2"/>
  <c r="O93" i="2"/>
  <c r="N93" i="2"/>
  <c r="M93" i="2"/>
  <c r="T93" i="2" s="1"/>
  <c r="L93" i="2"/>
  <c r="R92" i="2"/>
  <c r="Q92" i="2"/>
  <c r="P92" i="2"/>
  <c r="O92" i="2"/>
  <c r="N92" i="2"/>
  <c r="M92" i="2"/>
  <c r="L92" i="2"/>
  <c r="R91" i="2"/>
  <c r="Q91" i="2"/>
  <c r="P91" i="2"/>
  <c r="O91" i="2"/>
  <c r="N91" i="2"/>
  <c r="M91" i="2"/>
  <c r="T91" i="2" s="1"/>
  <c r="L91" i="2"/>
  <c r="R90" i="2"/>
  <c r="Q90" i="2"/>
  <c r="S90" i="2" s="1"/>
  <c r="P90" i="2"/>
  <c r="O90" i="2"/>
  <c r="N90" i="2"/>
  <c r="M90" i="2"/>
  <c r="T90" i="2" s="1"/>
  <c r="L90" i="2"/>
  <c r="R89" i="2"/>
  <c r="Q89" i="2"/>
  <c r="S89" i="2" s="1"/>
  <c r="P89" i="2"/>
  <c r="O89" i="2"/>
  <c r="N89" i="2"/>
  <c r="M89" i="2"/>
  <c r="T89" i="2" s="1"/>
  <c r="L89" i="2"/>
  <c r="S88" i="2"/>
  <c r="R88" i="2"/>
  <c r="Q88" i="2"/>
  <c r="P88" i="2"/>
  <c r="O88" i="2"/>
  <c r="N88" i="2"/>
  <c r="M88" i="2"/>
  <c r="T88" i="2" s="1"/>
  <c r="L88" i="2"/>
  <c r="R87" i="2"/>
  <c r="Q87" i="2"/>
  <c r="S87" i="2" s="1"/>
  <c r="P87" i="2"/>
  <c r="O87" i="2"/>
  <c r="N87" i="2"/>
  <c r="M87" i="2"/>
  <c r="T87" i="2" s="1"/>
  <c r="L87" i="2"/>
  <c r="R86" i="2"/>
  <c r="S86" i="2" s="1"/>
  <c r="Q86" i="2"/>
  <c r="P86" i="2"/>
  <c r="O86" i="2"/>
  <c r="N86" i="2"/>
  <c r="M86" i="2"/>
  <c r="T86" i="2" s="1"/>
  <c r="L86" i="2"/>
  <c r="R85" i="2"/>
  <c r="Q85" i="2"/>
  <c r="S85" i="2" s="1"/>
  <c r="P85" i="2"/>
  <c r="O85" i="2"/>
  <c r="N85" i="2"/>
  <c r="M85" i="2"/>
  <c r="T85" i="2" s="1"/>
  <c r="L85" i="2"/>
  <c r="S84" i="2"/>
  <c r="R84" i="2"/>
  <c r="Q84" i="2"/>
  <c r="P84" i="2"/>
  <c r="O84" i="2"/>
  <c r="N84" i="2"/>
  <c r="M84" i="2"/>
  <c r="T84" i="2" s="1"/>
  <c r="L84" i="2"/>
  <c r="R83" i="2"/>
  <c r="Q83" i="2"/>
  <c r="S83" i="2" s="1"/>
  <c r="P83" i="2"/>
  <c r="O83" i="2"/>
  <c r="N83" i="2"/>
  <c r="M83" i="2"/>
  <c r="T83" i="2" s="1"/>
  <c r="L83" i="2"/>
  <c r="T82" i="2"/>
  <c r="R82" i="2"/>
  <c r="Q82" i="2"/>
  <c r="S82" i="2" s="1"/>
  <c r="P82" i="2"/>
  <c r="O82" i="2"/>
  <c r="N82" i="2"/>
  <c r="M82" i="2"/>
  <c r="L82" i="2"/>
  <c r="R81" i="2"/>
  <c r="Q81" i="2"/>
  <c r="P81" i="2"/>
  <c r="O81" i="2"/>
  <c r="N81" i="2"/>
  <c r="M81" i="2"/>
  <c r="T81" i="2" s="1"/>
  <c r="L81" i="2"/>
  <c r="R80" i="2"/>
  <c r="Q80" i="2"/>
  <c r="S80" i="2" s="1"/>
  <c r="P80" i="2"/>
  <c r="O80" i="2"/>
  <c r="N80" i="2"/>
  <c r="M80" i="2"/>
  <c r="T80" i="2" s="1"/>
  <c r="L80" i="2"/>
  <c r="R79" i="2"/>
  <c r="Q79" i="2"/>
  <c r="S79" i="2" s="1"/>
  <c r="P79" i="2"/>
  <c r="O79" i="2"/>
  <c r="N79" i="2"/>
  <c r="M79" i="2"/>
  <c r="T79" i="2" s="1"/>
  <c r="L79" i="2"/>
  <c r="R78" i="2"/>
  <c r="S78" i="2" s="1"/>
  <c r="Q78" i="2"/>
  <c r="P78" i="2"/>
  <c r="O78" i="2"/>
  <c r="N78" i="2"/>
  <c r="M78" i="2"/>
  <c r="T78" i="2" s="1"/>
  <c r="L78" i="2"/>
  <c r="R77" i="2"/>
  <c r="Q77" i="2"/>
  <c r="P77" i="2"/>
  <c r="O77" i="2"/>
  <c r="N77" i="2"/>
  <c r="M77" i="2"/>
  <c r="T77" i="2" s="1"/>
  <c r="L77" i="2"/>
  <c r="S76" i="2"/>
  <c r="R76" i="2"/>
  <c r="Q76" i="2"/>
  <c r="P76" i="2"/>
  <c r="O76" i="2"/>
  <c r="N76" i="2"/>
  <c r="M76" i="2"/>
  <c r="T76" i="2" s="1"/>
  <c r="L76" i="2"/>
  <c r="R75" i="2"/>
  <c r="Q75" i="2"/>
  <c r="P75" i="2"/>
  <c r="O75" i="2"/>
  <c r="N75" i="2"/>
  <c r="M75" i="2"/>
  <c r="T75" i="2" s="1"/>
  <c r="L75" i="2"/>
  <c r="R74" i="2"/>
  <c r="Q74" i="2"/>
  <c r="P74" i="2"/>
  <c r="O74" i="2"/>
  <c r="N74" i="2"/>
  <c r="M74" i="2"/>
  <c r="T74" i="2" s="1"/>
  <c r="L74" i="2"/>
  <c r="R73" i="2"/>
  <c r="Q73" i="2"/>
  <c r="S73" i="2" s="1"/>
  <c r="P73" i="2"/>
  <c r="O73" i="2"/>
  <c r="N73" i="2"/>
  <c r="M73" i="2"/>
  <c r="T73" i="2" s="1"/>
  <c r="L73" i="2"/>
  <c r="R72" i="2"/>
  <c r="Q72" i="2"/>
  <c r="S72" i="2" s="1"/>
  <c r="P72" i="2"/>
  <c r="O72" i="2"/>
  <c r="N72" i="2"/>
  <c r="M72" i="2"/>
  <c r="T72" i="2" s="1"/>
  <c r="L72" i="2"/>
  <c r="R71" i="2"/>
  <c r="Q71" i="2"/>
  <c r="S71" i="2" s="1"/>
  <c r="P71" i="2"/>
  <c r="O71" i="2"/>
  <c r="N71" i="2"/>
  <c r="M71" i="2"/>
  <c r="L71" i="2"/>
  <c r="R70" i="2"/>
  <c r="S70" i="2" s="1"/>
  <c r="Q70" i="2"/>
  <c r="P70" i="2"/>
  <c r="O70" i="2"/>
  <c r="N70" i="2"/>
  <c r="M70" i="2"/>
  <c r="T70" i="2" s="1"/>
  <c r="L70" i="2"/>
  <c r="R69" i="2"/>
  <c r="Q69" i="2"/>
  <c r="P69" i="2"/>
  <c r="O69" i="2"/>
  <c r="N69" i="2"/>
  <c r="M69" i="2"/>
  <c r="T69" i="2" s="1"/>
  <c r="L69" i="2"/>
  <c r="R68" i="2"/>
  <c r="Q68" i="2"/>
  <c r="S68" i="2" s="1"/>
  <c r="P68" i="2"/>
  <c r="O68" i="2"/>
  <c r="N68" i="2"/>
  <c r="M68" i="2"/>
  <c r="T68" i="2" s="1"/>
  <c r="L68" i="2"/>
  <c r="R67" i="2"/>
  <c r="Q67" i="2"/>
  <c r="S67" i="2" s="1"/>
  <c r="P67" i="2"/>
  <c r="O67" i="2"/>
  <c r="N67" i="2"/>
  <c r="M67" i="2"/>
  <c r="T67" i="2" s="1"/>
  <c r="L67" i="2"/>
  <c r="R66" i="2"/>
  <c r="Q66" i="2"/>
  <c r="P66" i="2"/>
  <c r="O66" i="2"/>
  <c r="N66" i="2"/>
  <c r="M66" i="2"/>
  <c r="T66" i="2" s="1"/>
  <c r="L66" i="2"/>
  <c r="R65" i="2"/>
  <c r="Q65" i="2"/>
  <c r="P65" i="2"/>
  <c r="O65" i="2"/>
  <c r="N65" i="2"/>
  <c r="M65" i="2"/>
  <c r="T65" i="2" s="1"/>
  <c r="L65" i="2"/>
  <c r="R64" i="2"/>
  <c r="Q64" i="2"/>
  <c r="S64" i="2" s="1"/>
  <c r="P64" i="2"/>
  <c r="O64" i="2"/>
  <c r="N64" i="2"/>
  <c r="M64" i="2"/>
  <c r="T64" i="2" s="1"/>
  <c r="L64" i="2"/>
  <c r="R63" i="2"/>
  <c r="Q63" i="2"/>
  <c r="S63" i="2" s="1"/>
  <c r="P63" i="2"/>
  <c r="O63" i="2"/>
  <c r="N63" i="2"/>
  <c r="M63" i="2"/>
  <c r="T63" i="2" s="1"/>
  <c r="L63" i="2"/>
  <c r="R62" i="2"/>
  <c r="Q62" i="2"/>
  <c r="P62" i="2"/>
  <c r="O62" i="2"/>
  <c r="N62" i="2"/>
  <c r="M62" i="2"/>
  <c r="T62" i="2" s="1"/>
  <c r="L62" i="2"/>
  <c r="R61" i="2"/>
  <c r="Q61" i="2"/>
  <c r="P61" i="2"/>
  <c r="O61" i="2"/>
  <c r="N61" i="2"/>
  <c r="M61" i="2"/>
  <c r="T61" i="2" s="1"/>
  <c r="L61" i="2"/>
  <c r="S60" i="2"/>
  <c r="R60" i="2"/>
  <c r="Q60" i="2"/>
  <c r="P60" i="2"/>
  <c r="O60" i="2"/>
  <c r="N60" i="2"/>
  <c r="M60" i="2"/>
  <c r="T60" i="2" s="1"/>
  <c r="L60" i="2"/>
  <c r="R59" i="2"/>
  <c r="Q59" i="2"/>
  <c r="S59" i="2" s="1"/>
  <c r="P59" i="2"/>
  <c r="O59" i="2"/>
  <c r="N59" i="2"/>
  <c r="M59" i="2"/>
  <c r="T59" i="2" s="1"/>
  <c r="L59" i="2"/>
  <c r="R58" i="2"/>
  <c r="S58" i="2" s="1"/>
  <c r="Q58" i="2"/>
  <c r="P58" i="2"/>
  <c r="O58" i="2"/>
  <c r="N58" i="2"/>
  <c r="M58" i="2"/>
  <c r="T58" i="2" s="1"/>
  <c r="L58" i="2"/>
  <c r="R57" i="2"/>
  <c r="Q57" i="2"/>
  <c r="P57" i="2"/>
  <c r="O57" i="2"/>
  <c r="N57" i="2"/>
  <c r="M57" i="2"/>
  <c r="T57" i="2" s="1"/>
  <c r="L57" i="2"/>
  <c r="R56" i="2"/>
  <c r="Q56" i="2"/>
  <c r="S56" i="2" s="1"/>
  <c r="P56" i="2"/>
  <c r="O56" i="2"/>
  <c r="N56" i="2"/>
  <c r="M56" i="2"/>
  <c r="T56" i="2" s="1"/>
  <c r="L56" i="2"/>
  <c r="R55" i="2"/>
  <c r="Q55" i="2"/>
  <c r="P55" i="2"/>
  <c r="O55" i="2"/>
  <c r="N55" i="2"/>
  <c r="M55" i="2"/>
  <c r="T55" i="2" s="1"/>
  <c r="L55" i="2"/>
  <c r="R54" i="2"/>
  <c r="Q54" i="2"/>
  <c r="P54" i="2"/>
  <c r="O54" i="2"/>
  <c r="N54" i="2"/>
  <c r="M54" i="2"/>
  <c r="T54" i="2" s="1"/>
  <c r="L54" i="2"/>
  <c r="R53" i="2"/>
  <c r="Q53" i="2"/>
  <c r="P53" i="2"/>
  <c r="O53" i="2"/>
  <c r="N53" i="2"/>
  <c r="M53" i="2"/>
  <c r="T53" i="2" s="1"/>
  <c r="L53" i="2"/>
  <c r="S52" i="2"/>
  <c r="R52" i="2"/>
  <c r="Q52" i="2"/>
  <c r="P52" i="2"/>
  <c r="O52" i="2"/>
  <c r="N52" i="2"/>
  <c r="M52" i="2"/>
  <c r="T52" i="2" s="1"/>
  <c r="L52" i="2"/>
  <c r="R51" i="2"/>
  <c r="Q51" i="2"/>
  <c r="S51" i="2" s="1"/>
  <c r="P51" i="2"/>
  <c r="O51" i="2"/>
  <c r="N51" i="2"/>
  <c r="M51" i="2"/>
  <c r="T51" i="2" s="1"/>
  <c r="L51" i="2"/>
  <c r="R50" i="2"/>
  <c r="S50" i="2" s="1"/>
  <c r="Q50" i="2"/>
  <c r="P50" i="2"/>
  <c r="O50" i="2"/>
  <c r="N50" i="2"/>
  <c r="M50" i="2"/>
  <c r="T50" i="2" s="1"/>
  <c r="L50" i="2"/>
  <c r="R49" i="2"/>
  <c r="Q49" i="2"/>
  <c r="P49" i="2"/>
  <c r="O49" i="2"/>
  <c r="N49" i="2"/>
  <c r="M49" i="2"/>
  <c r="T49" i="2" s="1"/>
  <c r="L49" i="2"/>
  <c r="R48" i="2"/>
  <c r="Q48" i="2"/>
  <c r="S48" i="2" s="1"/>
  <c r="P48" i="2"/>
  <c r="O48" i="2"/>
  <c r="N48" i="2"/>
  <c r="M48" i="2"/>
  <c r="T48" i="2" s="1"/>
  <c r="L48" i="2"/>
  <c r="R47" i="2"/>
  <c r="Q47" i="2"/>
  <c r="P47" i="2"/>
  <c r="O47" i="2"/>
  <c r="N47" i="2"/>
  <c r="M47" i="2"/>
  <c r="T47" i="2" s="1"/>
  <c r="L47" i="2"/>
  <c r="R46" i="2"/>
  <c r="S46" i="2" s="1"/>
  <c r="Q46" i="2"/>
  <c r="P46" i="2"/>
  <c r="O46" i="2"/>
  <c r="N46" i="2"/>
  <c r="M46" i="2"/>
  <c r="T46" i="2" s="1"/>
  <c r="L46" i="2"/>
  <c r="R45" i="2"/>
  <c r="Q45" i="2"/>
  <c r="S45" i="2" s="1"/>
  <c r="P45" i="2"/>
  <c r="O45" i="2"/>
  <c r="N45" i="2"/>
  <c r="M45" i="2"/>
  <c r="T45" i="2" s="1"/>
  <c r="L45" i="2"/>
  <c r="R44" i="2"/>
  <c r="S44" i="2" s="1"/>
  <c r="Q44" i="2"/>
  <c r="P44" i="2"/>
  <c r="O44" i="2"/>
  <c r="N44" i="2"/>
  <c r="M44" i="2"/>
  <c r="T44" i="2" s="1"/>
  <c r="L44" i="2"/>
  <c r="R43" i="2"/>
  <c r="Q43" i="2"/>
  <c r="S43" i="2" s="1"/>
  <c r="P43" i="2"/>
  <c r="O43" i="2"/>
  <c r="N43" i="2"/>
  <c r="M43" i="2"/>
  <c r="L43" i="2"/>
  <c r="R42" i="2"/>
  <c r="Q42" i="2"/>
  <c r="S42" i="2" s="1"/>
  <c r="P42" i="2"/>
  <c r="O42" i="2"/>
  <c r="N42" i="2"/>
  <c r="M42" i="2"/>
  <c r="T42" i="2" s="1"/>
  <c r="L42" i="2"/>
  <c r="R41" i="2"/>
  <c r="Q41" i="2"/>
  <c r="P41" i="2"/>
  <c r="O41" i="2"/>
  <c r="N41" i="2"/>
  <c r="M41" i="2"/>
  <c r="T41" i="2" s="1"/>
  <c r="L41" i="2"/>
  <c r="R40" i="2"/>
  <c r="Q40" i="2"/>
  <c r="S40" i="2" s="1"/>
  <c r="P40" i="2"/>
  <c r="O40" i="2"/>
  <c r="N40" i="2"/>
  <c r="M40" i="2"/>
  <c r="T40" i="2" s="1"/>
  <c r="L40" i="2"/>
  <c r="R39" i="2"/>
  <c r="Q39" i="2"/>
  <c r="S39" i="2" s="1"/>
  <c r="P39" i="2"/>
  <c r="O39" i="2"/>
  <c r="N39" i="2"/>
  <c r="M39" i="2"/>
  <c r="T39" i="2" s="1"/>
  <c r="L39" i="2"/>
  <c r="R38" i="2"/>
  <c r="S38" i="2" s="1"/>
  <c r="Q38" i="2"/>
  <c r="P38" i="2"/>
  <c r="O38" i="2"/>
  <c r="N38" i="2"/>
  <c r="M38" i="2"/>
  <c r="T38" i="2" s="1"/>
  <c r="L38" i="2"/>
  <c r="R37" i="2"/>
  <c r="Q37" i="2"/>
  <c r="S37" i="2" s="1"/>
  <c r="P37" i="2"/>
  <c r="O37" i="2"/>
  <c r="N37" i="2"/>
  <c r="M37" i="2"/>
  <c r="T37" i="2" s="1"/>
  <c r="L37" i="2"/>
  <c r="R36" i="2"/>
  <c r="Q36" i="2"/>
  <c r="P36" i="2"/>
  <c r="O36" i="2"/>
  <c r="N36" i="2"/>
  <c r="M36" i="2"/>
  <c r="T36" i="2" s="1"/>
  <c r="L36" i="2"/>
  <c r="R35" i="2"/>
  <c r="Q35" i="2"/>
  <c r="P35" i="2"/>
  <c r="O35" i="2"/>
  <c r="N35" i="2"/>
  <c r="M35" i="2"/>
  <c r="T35" i="2" s="1"/>
  <c r="L35" i="2"/>
  <c r="R34" i="2"/>
  <c r="Q34" i="2"/>
  <c r="P34" i="2"/>
  <c r="O34" i="2"/>
  <c r="N34" i="2"/>
  <c r="M34" i="2"/>
  <c r="T34" i="2" s="1"/>
  <c r="L34" i="2"/>
  <c r="R33" i="2"/>
  <c r="Q33" i="2"/>
  <c r="P33" i="2"/>
  <c r="O33" i="2"/>
  <c r="N33" i="2"/>
  <c r="M33" i="2"/>
  <c r="T33" i="2" s="1"/>
  <c r="L33" i="2"/>
  <c r="R32" i="2"/>
  <c r="Q32" i="2"/>
  <c r="S32" i="2" s="1"/>
  <c r="P32" i="2"/>
  <c r="O32" i="2"/>
  <c r="N32" i="2"/>
  <c r="M32" i="2"/>
  <c r="T32" i="2" s="1"/>
  <c r="L32" i="2"/>
  <c r="R31" i="2"/>
  <c r="Q31" i="2"/>
  <c r="S31" i="2" s="1"/>
  <c r="P31" i="2"/>
  <c r="O31" i="2"/>
  <c r="N31" i="2"/>
  <c r="M31" i="2"/>
  <c r="T31" i="2" s="1"/>
  <c r="L31" i="2"/>
  <c r="S30" i="2"/>
  <c r="R30" i="2"/>
  <c r="Q30" i="2"/>
  <c r="P30" i="2"/>
  <c r="O30" i="2"/>
  <c r="N30" i="2"/>
  <c r="M30" i="2"/>
  <c r="T30" i="2" s="1"/>
  <c r="L30" i="2"/>
  <c r="R29" i="2"/>
  <c r="Q29" i="2"/>
  <c r="P29" i="2"/>
  <c r="O29" i="2"/>
  <c r="N29" i="2"/>
  <c r="M29" i="2"/>
  <c r="T29" i="2" s="1"/>
  <c r="L29" i="2"/>
  <c r="R28" i="2"/>
  <c r="Q28" i="2"/>
  <c r="S28" i="2" s="1"/>
  <c r="P28" i="2"/>
  <c r="O28" i="2"/>
  <c r="N28" i="2"/>
  <c r="M28" i="2"/>
  <c r="T28" i="2" s="1"/>
  <c r="L28" i="2"/>
  <c r="R27" i="2"/>
  <c r="Q27" i="2"/>
  <c r="P27" i="2"/>
  <c r="O27" i="2"/>
  <c r="N27" i="2"/>
  <c r="M27" i="2"/>
  <c r="T27" i="2" s="1"/>
  <c r="L27" i="2"/>
  <c r="R26" i="2"/>
  <c r="Q26" i="2"/>
  <c r="P26" i="2"/>
  <c r="O26" i="2"/>
  <c r="N26" i="2"/>
  <c r="M26" i="2"/>
  <c r="T26" i="2" s="1"/>
  <c r="L26" i="2"/>
  <c r="R25" i="2"/>
  <c r="Q25" i="2"/>
  <c r="S25" i="2" s="1"/>
  <c r="P25" i="2"/>
  <c r="O25" i="2"/>
  <c r="N25" i="2"/>
  <c r="M25" i="2"/>
  <c r="T25" i="2" s="1"/>
  <c r="L25" i="2"/>
  <c r="R24" i="2"/>
  <c r="S24" i="2" s="1"/>
  <c r="Q24" i="2"/>
  <c r="P24" i="2"/>
  <c r="O24" i="2"/>
  <c r="N24" i="2"/>
  <c r="M24" i="2"/>
  <c r="T24" i="2" s="1"/>
  <c r="L24" i="2"/>
  <c r="R23" i="2"/>
  <c r="Q23" i="2"/>
  <c r="S23" i="2" s="1"/>
  <c r="P23" i="2"/>
  <c r="O23" i="2"/>
  <c r="N23" i="2"/>
  <c r="M23" i="2"/>
  <c r="T23" i="2" s="1"/>
  <c r="L23" i="2"/>
  <c r="R22" i="2"/>
  <c r="S22" i="2" s="1"/>
  <c r="Q22" i="2"/>
  <c r="P22" i="2"/>
  <c r="O22" i="2"/>
  <c r="N22" i="2"/>
  <c r="M22" i="2"/>
  <c r="T22" i="2" s="1"/>
  <c r="L22" i="2"/>
  <c r="R21" i="2"/>
  <c r="Q21" i="2"/>
  <c r="S21" i="2" s="1"/>
  <c r="P21" i="2"/>
  <c r="O21" i="2"/>
  <c r="N21" i="2"/>
  <c r="M21" i="2"/>
  <c r="T21" i="2" s="1"/>
  <c r="L21" i="2"/>
  <c r="R20" i="2"/>
  <c r="Q20" i="2"/>
  <c r="S20" i="2" s="1"/>
  <c r="P20" i="2"/>
  <c r="O20" i="2"/>
  <c r="N20" i="2"/>
  <c r="M20" i="2"/>
  <c r="L20" i="2"/>
  <c r="R19" i="2"/>
  <c r="Q19" i="2"/>
  <c r="P19" i="2"/>
  <c r="O19" i="2"/>
  <c r="N19" i="2"/>
  <c r="M19" i="2"/>
  <c r="T19" i="2" s="1"/>
  <c r="L19" i="2"/>
  <c r="R18" i="2"/>
  <c r="Q18" i="2"/>
  <c r="S18" i="2" s="1"/>
  <c r="P18" i="2"/>
  <c r="O18" i="2"/>
  <c r="N18" i="2"/>
  <c r="M18" i="2"/>
  <c r="T18" i="2" s="1"/>
  <c r="L18" i="2"/>
  <c r="R17" i="2"/>
  <c r="S17" i="2" s="1"/>
  <c r="Q17" i="2"/>
  <c r="P17" i="2"/>
  <c r="O17" i="2"/>
  <c r="N17" i="2"/>
  <c r="M17" i="2"/>
  <c r="T17" i="2" s="1"/>
  <c r="L17" i="2"/>
  <c r="S16" i="2"/>
  <c r="R16" i="2"/>
  <c r="Q16" i="2"/>
  <c r="P16" i="2"/>
  <c r="O16" i="2"/>
  <c r="N16" i="2"/>
  <c r="M16" i="2"/>
  <c r="T16" i="2" s="1"/>
  <c r="L16" i="2"/>
  <c r="R15" i="2"/>
  <c r="Q15" i="2"/>
  <c r="S15" i="2" s="1"/>
  <c r="P15" i="2"/>
  <c r="O15" i="2"/>
  <c r="N15" i="2"/>
  <c r="M15" i="2"/>
  <c r="T15" i="2" s="1"/>
  <c r="L15" i="2"/>
  <c r="R14" i="2"/>
  <c r="Q14" i="2"/>
  <c r="P14" i="2"/>
  <c r="O14" i="2"/>
  <c r="N14" i="2"/>
  <c r="M14" i="2"/>
  <c r="T14" i="2" s="1"/>
  <c r="L14" i="2"/>
  <c r="R13" i="2"/>
  <c r="Q13" i="2"/>
  <c r="S13" i="2" s="1"/>
  <c r="P13" i="2"/>
  <c r="O13" i="2"/>
  <c r="N13" i="2"/>
  <c r="M13" i="2"/>
  <c r="T13" i="2" s="1"/>
  <c r="L13" i="2"/>
  <c r="R12" i="2"/>
  <c r="Q12" i="2"/>
  <c r="S12" i="2" s="1"/>
  <c r="P12" i="2"/>
  <c r="O12" i="2"/>
  <c r="N12" i="2"/>
  <c r="M12" i="2"/>
  <c r="T12" i="2" s="1"/>
  <c r="L12" i="2"/>
  <c r="R11" i="2"/>
  <c r="Q11" i="2"/>
  <c r="P11" i="2"/>
  <c r="O11" i="2"/>
  <c r="N11" i="2"/>
  <c r="M11" i="2"/>
  <c r="T11" i="2" s="1"/>
  <c r="L11" i="2"/>
  <c r="R10" i="2"/>
  <c r="Q10" i="2"/>
  <c r="P10" i="2"/>
  <c r="O10" i="2"/>
  <c r="N10" i="2"/>
  <c r="M10" i="2"/>
  <c r="T10" i="2" s="1"/>
  <c r="L10" i="2"/>
  <c r="R9" i="2"/>
  <c r="Q9" i="2"/>
  <c r="P9" i="2"/>
  <c r="O9" i="2"/>
  <c r="N9" i="2"/>
  <c r="M9" i="2"/>
  <c r="T9" i="2" s="1"/>
  <c r="L9" i="2"/>
  <c r="R8" i="2"/>
  <c r="S8" i="2" s="1"/>
  <c r="Q8" i="2"/>
  <c r="P8" i="2"/>
  <c r="O8" i="2"/>
  <c r="N8" i="2"/>
  <c r="M8" i="2"/>
  <c r="L8" i="2"/>
  <c r="R7" i="2"/>
  <c r="Q7" i="2"/>
  <c r="S7" i="2" s="1"/>
  <c r="P7" i="2"/>
  <c r="O7" i="2"/>
  <c r="N7" i="2"/>
  <c r="M7" i="2"/>
  <c r="T7" i="2" s="1"/>
  <c r="L7" i="2"/>
  <c r="R6" i="2"/>
  <c r="Q6" i="2"/>
  <c r="P6" i="2"/>
  <c r="O6" i="2"/>
  <c r="N6" i="2"/>
  <c r="M6" i="2"/>
  <c r="T6" i="2" s="1"/>
  <c r="L6" i="2"/>
  <c r="R5" i="2"/>
  <c r="Q5" i="2"/>
  <c r="P5" i="2"/>
  <c r="O5" i="2"/>
  <c r="N5" i="2"/>
  <c r="M5" i="2"/>
  <c r="T5" i="2" s="1"/>
  <c r="L5" i="2"/>
  <c r="S4" i="2"/>
  <c r="R4" i="2"/>
  <c r="Q4" i="2"/>
  <c r="P4" i="2"/>
  <c r="O4" i="2"/>
  <c r="N4" i="2"/>
  <c r="M4" i="2"/>
  <c r="L4" i="2"/>
  <c r="R3" i="2"/>
  <c r="Q3" i="2"/>
  <c r="P3" i="2"/>
  <c r="O3" i="2"/>
  <c r="N3" i="2"/>
  <c r="M3" i="2"/>
  <c r="L3" i="2"/>
  <c r="R2" i="2"/>
  <c r="Q2" i="2"/>
  <c r="P2" i="2"/>
  <c r="O2" i="2"/>
  <c r="N2" i="2"/>
  <c r="M2" i="2"/>
  <c r="T2" i="2" s="1"/>
  <c r="L2" i="2"/>
  <c r="B19" i="1"/>
  <c r="G5" i="1"/>
  <c r="A5" i="1"/>
  <c r="AH19" i="2"/>
  <c r="AJ5" i="2" l="1"/>
  <c r="AK9" i="2"/>
  <c r="AL9" i="2" s="1"/>
  <c r="AK12" i="2"/>
  <c r="AL12" i="2" s="1"/>
  <c r="AK10" i="2"/>
  <c r="AL10" i="2" s="1"/>
  <c r="AK8" i="2"/>
  <c r="AL8" i="2" s="1"/>
  <c r="AK11" i="2"/>
  <c r="AL11" i="2" s="1"/>
  <c r="AK3" i="2"/>
  <c r="AL3" i="2" s="1"/>
  <c r="AK7" i="2"/>
  <c r="AL7" i="2" s="1"/>
  <c r="AK6" i="2"/>
  <c r="AL6" i="2" s="1"/>
  <c r="AK5" i="2"/>
  <c r="AL5" i="2" s="1"/>
  <c r="AK13" i="2"/>
  <c r="AL13" i="2" s="1"/>
  <c r="AK4" i="2"/>
  <c r="AL4" i="2" s="1"/>
  <c r="AJ3" i="2"/>
  <c r="S443" i="2"/>
  <c r="S5" i="2"/>
  <c r="S34" i="2"/>
  <c r="S19" i="2"/>
  <c r="S27" i="2"/>
  <c r="S49" i="2"/>
  <c r="S65" i="2"/>
  <c r="S109" i="2"/>
  <c r="S135" i="2"/>
  <c r="S319" i="2"/>
  <c r="S332" i="2"/>
  <c r="S337" i="2"/>
  <c r="S404" i="2"/>
  <c r="S412" i="2"/>
  <c r="S532" i="2"/>
  <c r="S572" i="2"/>
  <c r="S654" i="2"/>
  <c r="S904" i="2"/>
  <c r="S1040" i="2"/>
  <c r="S1069" i="2"/>
  <c r="S1074" i="2"/>
  <c r="S1079" i="2"/>
  <c r="S1221" i="2"/>
  <c r="S1313" i="2"/>
  <c r="S1410" i="2"/>
  <c r="S808" i="2"/>
  <c r="S10" i="2"/>
  <c r="S26" i="2"/>
  <c r="S299" i="2"/>
  <c r="S1265" i="2"/>
  <c r="S2" i="2"/>
  <c r="D5" i="5" s="1"/>
  <c r="S35" i="2"/>
  <c r="S57" i="2"/>
  <c r="S75" i="2"/>
  <c r="S119" i="2"/>
  <c r="S127" i="2"/>
  <c r="S243" i="2"/>
  <c r="S308" i="2"/>
  <c r="S313" i="2"/>
  <c r="S342" i="2"/>
  <c r="S380" i="2"/>
  <c r="S385" i="2"/>
  <c r="S388" i="2"/>
  <c r="S409" i="2"/>
  <c r="S524" i="2"/>
  <c r="S569" i="2"/>
  <c r="S585" i="2"/>
  <c r="S608" i="2"/>
  <c r="S611" i="2"/>
  <c r="S638" i="2"/>
  <c r="S646" i="2"/>
  <c r="S713" i="2"/>
  <c r="S737" i="2"/>
  <c r="S793" i="2"/>
  <c r="S824" i="2"/>
  <c r="S832" i="2"/>
  <c r="S880" i="2"/>
  <c r="S901" i="2"/>
  <c r="S909" i="2"/>
  <c r="S980" i="2"/>
  <c r="S1058" i="2"/>
  <c r="S1110" i="2"/>
  <c r="S1942" i="2"/>
  <c r="S106" i="2"/>
  <c r="S467" i="2"/>
  <c r="S852" i="2"/>
  <c r="S369" i="2"/>
  <c r="S1918" i="2"/>
  <c r="S54" i="2"/>
  <c r="S98" i="2"/>
  <c r="S503" i="2"/>
  <c r="S602" i="2"/>
  <c r="S1281" i="2"/>
  <c r="S1881" i="2"/>
  <c r="S156" i="2"/>
  <c r="S178" i="2"/>
  <c r="S188" i="2"/>
  <c r="S487" i="2"/>
  <c r="S495" i="2"/>
  <c r="S1091" i="2"/>
  <c r="S36" i="2"/>
  <c r="D6" i="5" s="1"/>
  <c r="S66" i="2"/>
  <c r="D7" i="5" s="1"/>
  <c r="S131" i="2"/>
  <c r="S136" i="2"/>
  <c r="S163" i="2"/>
  <c r="S215" i="2"/>
  <c r="S226" i="2"/>
  <c r="S271" i="2"/>
  <c r="S479" i="2"/>
  <c r="S492" i="2"/>
  <c r="S551" i="2"/>
  <c r="S559" i="2"/>
  <c r="S591" i="2"/>
  <c r="S663" i="2"/>
  <c r="S674" i="2"/>
  <c r="S682" i="2"/>
  <c r="S693" i="2"/>
  <c r="S746" i="2"/>
  <c r="S754" i="2"/>
  <c r="S762" i="2"/>
  <c r="S841" i="2"/>
  <c r="S849" i="2"/>
  <c r="S926" i="2"/>
  <c r="S1017" i="2"/>
  <c r="S1101" i="2"/>
  <c r="S1538" i="2"/>
  <c r="S62" i="2"/>
  <c r="AK21" i="2"/>
  <c r="S166" i="2"/>
  <c r="B5" i="1"/>
  <c r="S9" i="2"/>
  <c r="S47" i="2"/>
  <c r="S92" i="2"/>
  <c r="S143" i="2"/>
  <c r="S153" i="2"/>
  <c r="S348" i="2"/>
  <c r="S351" i="2"/>
  <c r="S359" i="2"/>
  <c r="S439" i="2"/>
  <c r="S452" i="2"/>
  <c r="S460" i="2"/>
  <c r="S468" i="2"/>
  <c r="S476" i="2"/>
  <c r="S484" i="2"/>
  <c r="S489" i="2"/>
  <c r="S671" i="2"/>
  <c r="S751" i="2"/>
  <c r="S817" i="2"/>
  <c r="S830" i="2"/>
  <c r="S1635" i="2"/>
  <c r="S1978" i="2"/>
  <c r="S401" i="2"/>
  <c r="S29" i="2"/>
  <c r="S382" i="2"/>
  <c r="S435" i="2"/>
  <c r="S371" i="2"/>
  <c r="S948" i="2"/>
  <c r="S74" i="2"/>
  <c r="S760" i="2"/>
  <c r="S6" i="2"/>
  <c r="S55" i="2"/>
  <c r="D15" i="4"/>
  <c r="H15" i="4" s="1"/>
  <c r="S117" i="2"/>
  <c r="S125" i="2"/>
  <c r="S145" i="2"/>
  <c r="S155" i="2"/>
  <c r="S170" i="2"/>
  <c r="S254" i="2"/>
  <c r="S276" i="2"/>
  <c r="S322" i="2"/>
  <c r="S340" i="2"/>
  <c r="S441" i="2"/>
  <c r="S462" i="2"/>
  <c r="S527" i="2"/>
  <c r="S540" i="2"/>
  <c r="S588" i="2"/>
  <c r="S657" i="2"/>
  <c r="S665" i="2"/>
  <c r="S740" i="2"/>
  <c r="S748" i="2"/>
  <c r="S1126" i="2"/>
  <c r="S1123" i="2"/>
  <c r="S1156" i="2"/>
  <c r="S1164" i="2"/>
  <c r="S1287" i="2"/>
  <c r="S1292" i="2"/>
  <c r="S1365" i="2"/>
  <c r="S1399" i="2"/>
  <c r="S1402" i="2"/>
  <c r="S1407" i="2"/>
  <c r="S1415" i="2"/>
  <c r="S1441" i="2"/>
  <c r="S1444" i="2"/>
  <c r="S1497" i="2"/>
  <c r="S1502" i="2"/>
  <c r="S1642" i="2"/>
  <c r="S1658" i="2"/>
  <c r="S1718" i="2"/>
  <c r="S1760" i="2"/>
  <c r="S1763" i="2"/>
  <c r="S1994" i="2"/>
  <c r="S81" i="2"/>
  <c r="S118" i="2"/>
  <c r="S149" i="2"/>
  <c r="S262" i="2"/>
  <c r="S334" i="2"/>
  <c r="S411" i="2"/>
  <c r="S419" i="2"/>
  <c r="S491" i="2"/>
  <c r="S876" i="2"/>
  <c r="S928" i="2"/>
  <c r="S988" i="2"/>
  <c r="S1310" i="2"/>
  <c r="S1566" i="2"/>
  <c r="S1598" i="2"/>
  <c r="S1649" i="2"/>
  <c r="S1852" i="2"/>
  <c r="S203" i="2"/>
  <c r="S427" i="2"/>
  <c r="S499" i="2"/>
  <c r="S515" i="2"/>
  <c r="S584" i="2"/>
  <c r="S742" i="2"/>
  <c r="S750" i="2"/>
  <c r="S769" i="2"/>
  <c r="S799" i="2"/>
  <c r="S818" i="2"/>
  <c r="S864" i="2"/>
  <c r="S944" i="2"/>
  <c r="S993" i="2"/>
  <c r="S1041" i="2"/>
  <c r="S1049" i="2"/>
  <c r="S1068" i="2"/>
  <c r="S1248" i="2"/>
  <c r="S1251" i="2"/>
  <c r="S1301" i="2"/>
  <c r="S1321" i="2"/>
  <c r="S1332" i="2"/>
  <c r="S1432" i="2"/>
  <c r="S1532" i="2"/>
  <c r="S1545" i="2"/>
  <c r="S1558" i="2"/>
  <c r="S1801" i="2"/>
  <c r="S1841" i="2"/>
  <c r="S1849" i="2"/>
  <c r="S1878" i="2"/>
  <c r="S110" i="2"/>
  <c r="S123" i="2"/>
  <c r="S164" i="2"/>
  <c r="S184" i="2"/>
  <c r="S208" i="2"/>
  <c r="S228" i="2"/>
  <c r="S244" i="2"/>
  <c r="S247" i="2"/>
  <c r="S300" i="2"/>
  <c r="S303" i="2"/>
  <c r="S350" i="2"/>
  <c r="S397" i="2"/>
  <c r="S434" i="2"/>
  <c r="S437" i="2"/>
  <c r="S496" i="2"/>
  <c r="S504" i="2"/>
  <c r="S507" i="2"/>
  <c r="S512" i="2"/>
  <c r="S578" i="2"/>
  <c r="S589" i="2"/>
  <c r="S623" i="2"/>
  <c r="S631" i="2"/>
  <c r="S639" i="2"/>
  <c r="S650" i="2"/>
  <c r="S683" i="2"/>
  <c r="S697" i="2"/>
  <c r="S708" i="2"/>
  <c r="S181" i="2"/>
  <c r="S191" i="2"/>
  <c r="S219" i="2"/>
  <c r="S222" i="2"/>
  <c r="S233" i="2"/>
  <c r="S236" i="2"/>
  <c r="S341" i="2"/>
  <c r="S372" i="2"/>
  <c r="S383" i="2"/>
  <c r="S418" i="2"/>
  <c r="S474" i="2"/>
  <c r="S501" i="2"/>
  <c r="S520" i="2"/>
  <c r="S552" i="2"/>
  <c r="S575" i="2"/>
  <c r="S586" i="2"/>
  <c r="S694" i="2"/>
  <c r="S705" i="2"/>
  <c r="S716" i="2"/>
  <c r="S733" i="2"/>
  <c r="S777" i="2"/>
  <c r="S780" i="2"/>
  <c r="S785" i="2"/>
  <c r="S796" i="2"/>
  <c r="S804" i="2"/>
  <c r="S869" i="2"/>
  <c r="S900" i="2"/>
  <c r="S916" i="2"/>
  <c r="S941" i="2"/>
  <c r="S1024" i="2"/>
  <c r="S1035" i="2"/>
  <c r="S1038" i="2"/>
  <c r="S1057" i="2"/>
  <c r="S1065" i="2"/>
  <c r="S1089" i="2"/>
  <c r="S1149" i="2"/>
  <c r="S1179" i="2"/>
  <c r="S1371" i="2"/>
  <c r="S1387" i="2"/>
  <c r="S1537" i="2"/>
  <c r="S1542" i="2"/>
  <c r="S1555" i="2"/>
  <c r="S1724" i="2"/>
  <c r="S1769" i="2"/>
  <c r="S1827" i="2"/>
  <c r="S1951" i="2"/>
  <c r="S1964" i="2"/>
  <c r="S866" i="2"/>
  <c r="S872" i="2"/>
  <c r="S913" i="2"/>
  <c r="S938" i="2"/>
  <c r="S946" i="2"/>
  <c r="S973" i="2"/>
  <c r="S981" i="2"/>
  <c r="S984" i="2"/>
  <c r="S998" i="2"/>
  <c r="S1032" i="2"/>
  <c r="S1043" i="2"/>
  <c r="S1051" i="2"/>
  <c r="S1062" i="2"/>
  <c r="S1134" i="2"/>
  <c r="S1143" i="2"/>
  <c r="S1181" i="2"/>
  <c r="S1447" i="2"/>
  <c r="S1463" i="2"/>
  <c r="S1505" i="2"/>
  <c r="S1547" i="2"/>
  <c r="S1716" i="2"/>
  <c r="S1774" i="2"/>
  <c r="S1909" i="2"/>
  <c r="S1938" i="2"/>
  <c r="S1997" i="2"/>
  <c r="S1303" i="2"/>
  <c r="S1350" i="2"/>
  <c r="S1376" i="2"/>
  <c r="S1457" i="2"/>
  <c r="S1460" i="2"/>
  <c r="S1468" i="2"/>
  <c r="S1534" i="2"/>
  <c r="S1705" i="2"/>
  <c r="S1766" i="2"/>
  <c r="S1898" i="2"/>
  <c r="S1935" i="2"/>
  <c r="X11" i="2"/>
  <c r="X12" i="2"/>
  <c r="X13" i="2"/>
  <c r="X8" i="2"/>
  <c r="X9" i="2"/>
  <c r="X10" i="2"/>
  <c r="X4" i="2"/>
  <c r="S1690" i="2"/>
  <c r="S1826" i="2"/>
  <c r="S3" i="2"/>
  <c r="S14" i="2"/>
  <c r="S33" i="2"/>
  <c r="S53" i="2"/>
  <c r="S91" i="2"/>
  <c r="S99" i="2"/>
  <c r="S107" i="2"/>
  <c r="S115" i="2"/>
  <c r="S142" i="2"/>
  <c r="S147" i="2"/>
  <c r="S157" i="2"/>
  <c r="S180" i="2"/>
  <c r="S190" i="2"/>
  <c r="S207" i="2"/>
  <c r="S213" i="2"/>
  <c r="S252" i="2"/>
  <c r="S278" i="2"/>
  <c r="S281" i="2"/>
  <c r="S284" i="2"/>
  <c r="S298" i="2"/>
  <c r="S310" i="2"/>
  <c r="S361" i="2"/>
  <c r="S367" i="2"/>
  <c r="S387" i="2"/>
  <c r="S392" i="2"/>
  <c r="S417" i="2"/>
  <c r="S428" i="2"/>
  <c r="S472" i="2"/>
  <c r="S511" i="2"/>
  <c r="S536" i="2"/>
  <c r="S539" i="2"/>
  <c r="S561" i="2"/>
  <c r="S570" i="2"/>
  <c r="S573" i="2"/>
  <c r="S587" i="2"/>
  <c r="S613" i="2"/>
  <c r="S619" i="2"/>
  <c r="S622" i="2"/>
  <c r="S636" i="2"/>
  <c r="S664" i="2"/>
  <c r="S681" i="2"/>
  <c r="S741" i="2"/>
  <c r="S744" i="2"/>
  <c r="S778" i="2"/>
  <c r="S823" i="2"/>
  <c r="S840" i="2"/>
  <c r="S854" i="2"/>
  <c r="S950" i="2"/>
  <c r="S964" i="2"/>
  <c r="S992" i="2"/>
  <c r="S1037" i="2"/>
  <c r="S1114" i="2"/>
  <c r="S1153" i="2"/>
  <c r="S1158" i="2"/>
  <c r="S1253" i="2"/>
  <c r="S1298" i="2"/>
  <c r="S1312" i="2"/>
  <c r="S1494" i="2"/>
  <c r="S1520" i="2"/>
  <c r="S1525" i="2"/>
  <c r="S1727" i="2"/>
  <c r="S1775" i="2"/>
  <c r="S1788" i="2"/>
  <c r="S1791" i="2"/>
  <c r="S1815" i="2"/>
  <c r="S1879" i="2"/>
  <c r="S1967" i="2"/>
  <c r="L15" i="4"/>
  <c r="X3" i="2"/>
  <c r="Z3" i="2" s="1" a="1"/>
  <c r="S11" i="2"/>
  <c r="S41" i="2"/>
  <c r="S61" i="2"/>
  <c r="E14" i="4" s="1"/>
  <c r="S69" i="2"/>
  <c r="S77" i="2"/>
  <c r="S167" i="2"/>
  <c r="S177" i="2"/>
  <c r="S218" i="2"/>
  <c r="S255" i="2"/>
  <c r="S261" i="2"/>
  <c r="S289" i="2"/>
  <c r="S292" i="2"/>
  <c r="S307" i="2"/>
  <c r="S315" i="2"/>
  <c r="S318" i="2"/>
  <c r="S324" i="2"/>
  <c r="S335" i="2"/>
  <c r="S352" i="2"/>
  <c r="S414" i="2"/>
  <c r="S422" i="2"/>
  <c r="S425" i="2"/>
  <c r="S433" i="2"/>
  <c r="S444" i="2"/>
  <c r="S508" i="2"/>
  <c r="S564" i="2"/>
  <c r="S567" i="2"/>
  <c r="S607" i="2"/>
  <c r="S616" i="2"/>
  <c r="S633" i="2"/>
  <c r="S644" i="2"/>
  <c r="S655" i="2"/>
  <c r="S675" i="2"/>
  <c r="S678" i="2"/>
  <c r="S686" i="2"/>
  <c r="S692" i="2"/>
  <c r="S738" i="2"/>
  <c r="S758" i="2"/>
  <c r="S772" i="2"/>
  <c r="S775" i="2"/>
  <c r="S789" i="2"/>
  <c r="S792" i="2"/>
  <c r="S806" i="2"/>
  <c r="S820" i="2"/>
  <c r="S834" i="2"/>
  <c r="S902" i="2"/>
  <c r="S922" i="2"/>
  <c r="S961" i="2"/>
  <c r="S1000" i="2"/>
  <c r="S1053" i="2"/>
  <c r="S1202" i="2"/>
  <c r="S1244" i="2"/>
  <c r="S1285" i="2"/>
  <c r="S1290" i="2"/>
  <c r="S1295" i="2"/>
  <c r="S1315" i="2"/>
  <c r="S1361" i="2"/>
  <c r="S1380" i="2"/>
  <c r="S1393" i="2"/>
  <c r="S1676" i="2"/>
  <c r="S1772" i="2"/>
  <c r="S1804" i="2"/>
  <c r="S1812" i="2"/>
  <c r="S1861" i="2"/>
  <c r="S1866" i="2"/>
  <c r="S1884" i="2"/>
  <c r="S1887" i="2"/>
  <c r="S1901" i="2"/>
  <c r="S1959" i="2"/>
  <c r="S1972" i="2"/>
  <c r="X14" i="2"/>
  <c r="S761" i="2"/>
  <c r="S790" i="2"/>
  <c r="S810" i="2"/>
  <c r="S836" i="2"/>
  <c r="S885" i="2"/>
  <c r="S888" i="2"/>
  <c r="S908" i="2"/>
  <c r="S977" i="2"/>
  <c r="S1009" i="2"/>
  <c r="S1012" i="2"/>
  <c r="S1124" i="2"/>
  <c r="S1155" i="2"/>
  <c r="S1163" i="2"/>
  <c r="S1262" i="2"/>
  <c r="S1270" i="2"/>
  <c r="S1341" i="2"/>
  <c r="S1344" i="2"/>
  <c r="S1368" i="2"/>
  <c r="S1390" i="2"/>
  <c r="S1486" i="2"/>
  <c r="S1517" i="2"/>
  <c r="S1522" i="2"/>
  <c r="S1656" i="2"/>
  <c r="S1666" i="2"/>
  <c r="S1783" i="2"/>
  <c r="S1916" i="2"/>
  <c r="S1921" i="2"/>
  <c r="A8" i="1"/>
  <c r="S933" i="2"/>
  <c r="S936" i="2"/>
  <c r="S956" i="2"/>
  <c r="S962" i="2"/>
  <c r="S968" i="2"/>
  <c r="S1019" i="2"/>
  <c r="S1111" i="2"/>
  <c r="S1122" i="2"/>
  <c r="S1133" i="2"/>
  <c r="S1136" i="2"/>
  <c r="S1154" i="2"/>
  <c r="S1213" i="2"/>
  <c r="S1234" i="2"/>
  <c r="S1249" i="2"/>
  <c r="S1255" i="2"/>
  <c r="S1283" i="2"/>
  <c r="S1345" i="2"/>
  <c r="S1348" i="2"/>
  <c r="S1356" i="2"/>
  <c r="S1359" i="2"/>
  <c r="S1381" i="2"/>
  <c r="S1392" i="2"/>
  <c r="S1430" i="2"/>
  <c r="S1528" i="2"/>
  <c r="S1574" i="2"/>
  <c r="S1585" i="2"/>
  <c r="S1681" i="2"/>
  <c r="S1723" i="2"/>
  <c r="S1743" i="2"/>
  <c r="S1792" i="2"/>
  <c r="S1795" i="2"/>
  <c r="S1842" i="2"/>
  <c r="S1862" i="2"/>
  <c r="S1875" i="2"/>
  <c r="S1993" i="2"/>
  <c r="S1148" i="2"/>
  <c r="S1151" i="2"/>
  <c r="S1162" i="2"/>
  <c r="S1165" i="2"/>
  <c r="S1171" i="2"/>
  <c r="S1195" i="2"/>
  <c r="S1201" i="2"/>
  <c r="S1239" i="2"/>
  <c r="S1263" i="2"/>
  <c r="S1271" i="2"/>
  <c r="S1277" i="2"/>
  <c r="S1397" i="2"/>
  <c r="S1408" i="2"/>
  <c r="S1478" i="2"/>
  <c r="S1508" i="2"/>
  <c r="S1546" i="2"/>
  <c r="S1560" i="2"/>
  <c r="S1568" i="2"/>
  <c r="S1601" i="2"/>
  <c r="S1609" i="2"/>
  <c r="S1623" i="2"/>
  <c r="S1626" i="2"/>
  <c r="S1664" i="2"/>
  <c r="S1725" i="2"/>
  <c r="S1728" i="2"/>
  <c r="S1731" i="2"/>
  <c r="S1734" i="2"/>
  <c r="S1737" i="2"/>
  <c r="S1786" i="2"/>
  <c r="S1800" i="2"/>
  <c r="S1808" i="2"/>
  <c r="S1839" i="2"/>
  <c r="S1847" i="2"/>
  <c r="S1850" i="2"/>
  <c r="S1864" i="2"/>
  <c r="S1869" i="2"/>
  <c r="S1872" i="2"/>
  <c r="S1908" i="2"/>
  <c r="S1968" i="2"/>
  <c r="S1273" i="2"/>
  <c r="S1279" i="2"/>
  <c r="S1329" i="2"/>
  <c r="S1391" i="2"/>
  <c r="S1394" i="2"/>
  <c r="S1403" i="2"/>
  <c r="S1417" i="2"/>
  <c r="S1445" i="2"/>
  <c r="S1459" i="2"/>
  <c r="S1462" i="2"/>
  <c r="S1488" i="2"/>
  <c r="S1576" i="2"/>
  <c r="S1596" i="2"/>
  <c r="S1602" i="2"/>
  <c r="S1657" i="2"/>
  <c r="S1665" i="2"/>
  <c r="S1741" i="2"/>
  <c r="S1825" i="2"/>
  <c r="S1831" i="2"/>
  <c r="S1860" i="2"/>
  <c r="S1900" i="2"/>
  <c r="S1917" i="2"/>
  <c r="S1940" i="2"/>
  <c r="S1946" i="2"/>
  <c r="S1980" i="2"/>
  <c r="S1983" i="2"/>
  <c r="S1986" i="2"/>
  <c r="S1311" i="2"/>
  <c r="S1317" i="2"/>
  <c r="S1326" i="2"/>
  <c r="S1352" i="2"/>
  <c r="S1358" i="2"/>
  <c r="S1302" i="2"/>
  <c r="S1331" i="2"/>
  <c r="S1334" i="2"/>
  <c r="S1337" i="2"/>
  <c r="S1343" i="2"/>
  <c r="S1360" i="2"/>
  <c r="S1369" i="2"/>
  <c r="S1414" i="2"/>
  <c r="S1422" i="2"/>
  <c r="S1428" i="2"/>
  <c r="S1431" i="2"/>
  <c r="S1439" i="2"/>
  <c r="S1482" i="2"/>
  <c r="S1521" i="2"/>
  <c r="S1536" i="2"/>
  <c r="S1570" i="2"/>
  <c r="S1616" i="2"/>
  <c r="S1628" i="2"/>
  <c r="S1645" i="2"/>
  <c r="S1662" i="2"/>
  <c r="S1720" i="2"/>
  <c r="S1729" i="2"/>
  <c r="S1787" i="2"/>
  <c r="S1813" i="2"/>
  <c r="S1888" i="2"/>
  <c r="S1914" i="2"/>
  <c r="S1957" i="2"/>
  <c r="S1960" i="2"/>
  <c r="S1974" i="2"/>
  <c r="L13" i="4"/>
  <c r="C8" i="7"/>
  <c r="S105" i="2"/>
  <c r="S204" i="2"/>
  <c r="S311" i="2"/>
  <c r="S402" i="2"/>
  <c r="S448" i="2"/>
  <c r="S558" i="2"/>
  <c r="B20" i="6"/>
  <c r="J7" i="4"/>
  <c r="T8" i="2"/>
  <c r="J14" i="4"/>
  <c r="B27" i="6"/>
  <c r="T20" i="2"/>
  <c r="S825" i="2"/>
  <c r="S921" i="2"/>
  <c r="D8" i="4"/>
  <c r="H8" i="4" s="1"/>
  <c r="C9" i="7"/>
  <c r="C11" i="7"/>
  <c r="C10" i="7"/>
  <c r="S113" i="2"/>
  <c r="S263" i="2"/>
  <c r="C21" i="6"/>
  <c r="D21" i="6"/>
  <c r="F5" i="1"/>
  <c r="G8" i="1" s="1"/>
  <c r="J10" i="4"/>
  <c r="B23" i="6"/>
  <c r="T71" i="2"/>
  <c r="J12" i="4"/>
  <c r="B25" i="6"/>
  <c r="T43" i="2"/>
  <c r="J9" i="4"/>
  <c r="B22" i="6"/>
  <c r="T3" i="2"/>
  <c r="E5" i="1"/>
  <c r="D19" i="6"/>
  <c r="C19" i="6"/>
  <c r="D20" i="6"/>
  <c r="C20" i="6"/>
  <c r="K7" i="4"/>
  <c r="D27" i="6"/>
  <c r="C27" i="6"/>
  <c r="B26" i="6"/>
  <c r="J13" i="4"/>
  <c r="T92" i="2"/>
  <c r="D6" i="4"/>
  <c r="H6" i="4" s="1"/>
  <c r="D7" i="4"/>
  <c r="H7" i="4" s="1"/>
  <c r="D14" i="4"/>
  <c r="H14" i="4" s="1"/>
  <c r="S121" i="2"/>
  <c r="J8" i="4"/>
  <c r="B21" i="6"/>
  <c r="T4" i="2"/>
  <c r="D26" i="6"/>
  <c r="C26" i="6"/>
  <c r="K13" i="4"/>
  <c r="S101" i="2"/>
  <c r="D28" i="6"/>
  <c r="C28" i="6"/>
  <c r="S212" i="2"/>
  <c r="S274" i="2"/>
  <c r="S381" i="2"/>
  <c r="S486" i="2"/>
  <c r="S534" i="2"/>
  <c r="S1066" i="2"/>
  <c r="B29" i="6"/>
  <c r="J16" i="4"/>
  <c r="S192" i="2"/>
  <c r="S240" i="2"/>
  <c r="S288" i="2"/>
  <c r="S336" i="2"/>
  <c r="S384" i="2"/>
  <c r="S617" i="2"/>
  <c r="S620" i="2"/>
  <c r="C6" i="5"/>
  <c r="B6" i="5"/>
  <c r="I5" i="5"/>
  <c r="C5" i="5"/>
  <c r="B5" i="5"/>
  <c r="I7" i="5"/>
  <c r="I6" i="5"/>
  <c r="D22" i="6"/>
  <c r="C22" i="6"/>
  <c r="C25" i="6"/>
  <c r="D25" i="6"/>
  <c r="D23" i="6"/>
  <c r="C23" i="6"/>
  <c r="C29" i="6"/>
  <c r="D29" i="6"/>
  <c r="C7" i="7"/>
  <c r="D12" i="4"/>
  <c r="H12" i="4" s="1"/>
  <c r="D10" i="4"/>
  <c r="H10" i="4" s="1"/>
  <c r="D16" i="4"/>
  <c r="H16" i="4" s="1"/>
  <c r="S232" i="2"/>
  <c r="S280" i="2"/>
  <c r="S328" i="2"/>
  <c r="S376" i="2"/>
  <c r="S424" i="2"/>
  <c r="S440" i="2"/>
  <c r="S449" i="2"/>
  <c r="S461" i="2"/>
  <c r="S473" i="2"/>
  <c r="S485" i="2"/>
  <c r="S497" i="2"/>
  <c r="S509" i="2"/>
  <c r="S521" i="2"/>
  <c r="S533" i="2"/>
  <c r="S679" i="2"/>
  <c r="S715" i="2"/>
  <c r="S739" i="2"/>
  <c r="S763" i="2"/>
  <c r="S787" i="2"/>
  <c r="S811" i="2"/>
  <c r="S835" i="2"/>
  <c r="S859" i="2"/>
  <c r="S883" i="2"/>
  <c r="S907" i="2"/>
  <c r="S931" i="2"/>
  <c r="S955" i="2"/>
  <c r="S979" i="2"/>
  <c r="S1013" i="2"/>
  <c r="S1121" i="2"/>
  <c r="D13" i="4"/>
  <c r="H13" i="4" s="1"/>
  <c r="C5" i="7"/>
  <c r="J11" i="4"/>
  <c r="B24" i="6"/>
  <c r="F13" i="6"/>
  <c r="D13" i="6"/>
  <c r="B13" i="6"/>
  <c r="F12" i="6"/>
  <c r="D12" i="6"/>
  <c r="B12" i="6"/>
  <c r="D18" i="6"/>
  <c r="C18" i="6"/>
  <c r="C24" i="6"/>
  <c r="D24" i="6"/>
  <c r="S224" i="2"/>
  <c r="D8" i="7" s="1"/>
  <c r="S272" i="2"/>
  <c r="S320" i="2"/>
  <c r="S368" i="2"/>
  <c r="D5" i="4"/>
  <c r="C12" i="7"/>
  <c r="B19" i="6"/>
  <c r="J6" i="4"/>
  <c r="C13" i="7"/>
  <c r="D11" i="4"/>
  <c r="H11" i="4" s="1"/>
  <c r="J15" i="4"/>
  <c r="B28" i="6"/>
  <c r="S220" i="2"/>
  <c r="S268" i="2"/>
  <c r="S316" i="2"/>
  <c r="S364" i="2"/>
  <c r="S400" i="2"/>
  <c r="S420" i="2"/>
  <c r="S436" i="2"/>
  <c r="S565" i="2"/>
  <c r="S1003" i="2"/>
  <c r="S1100" i="2"/>
  <c r="S1188" i="2"/>
  <c r="S1206" i="2"/>
  <c r="B30" i="6"/>
  <c r="J17" i="4"/>
  <c r="B18" i="6"/>
  <c r="J5" i="4"/>
  <c r="C6" i="7"/>
  <c r="D9" i="4"/>
  <c r="H9" i="4" s="1"/>
  <c r="T135" i="2"/>
  <c r="S216" i="2"/>
  <c r="S264" i="2"/>
  <c r="S312" i="2"/>
  <c r="S360" i="2"/>
  <c r="S445" i="2"/>
  <c r="S457" i="2"/>
  <c r="S469" i="2"/>
  <c r="S481" i="2"/>
  <c r="S493" i="2"/>
  <c r="S505" i="2"/>
  <c r="S517" i="2"/>
  <c r="S529" i="2"/>
  <c r="S541" i="2"/>
  <c r="S690" i="2"/>
  <c r="S711" i="2"/>
  <c r="S735" i="2"/>
  <c r="S759" i="2"/>
  <c r="S783" i="2"/>
  <c r="S807" i="2"/>
  <c r="S831" i="2"/>
  <c r="S855" i="2"/>
  <c r="S879" i="2"/>
  <c r="S903" i="2"/>
  <c r="S927" i="2"/>
  <c r="S951" i="2"/>
  <c r="S975" i="2"/>
  <c r="S553" i="2"/>
  <c r="S601" i="2"/>
  <c r="S649" i="2"/>
  <c r="S707" i="2"/>
  <c r="S731" i="2"/>
  <c r="S755" i="2"/>
  <c r="S779" i="2"/>
  <c r="S803" i="2"/>
  <c r="S827" i="2"/>
  <c r="S851" i="2"/>
  <c r="S875" i="2"/>
  <c r="S899" i="2"/>
  <c r="S923" i="2"/>
  <c r="S947" i="2"/>
  <c r="S971" i="2"/>
  <c r="S995" i="2"/>
  <c r="S1015" i="2"/>
  <c r="S1031" i="2"/>
  <c r="S1047" i="2"/>
  <c r="S1099" i="2"/>
  <c r="S1184" i="2"/>
  <c r="S1224" i="2"/>
  <c r="S1319" i="2"/>
  <c r="S919" i="2"/>
  <c r="S943" i="2"/>
  <c r="S967" i="2"/>
  <c r="S991" i="2"/>
  <c r="S1021" i="2"/>
  <c r="S1144" i="2"/>
  <c r="S1196" i="2"/>
  <c r="S1220" i="2"/>
  <c r="S1529" i="2"/>
  <c r="S699" i="2"/>
  <c r="S723" i="2"/>
  <c r="S747" i="2"/>
  <c r="S771" i="2"/>
  <c r="S795" i="2"/>
  <c r="S819" i="2"/>
  <c r="S843" i="2"/>
  <c r="S867" i="2"/>
  <c r="S891" i="2"/>
  <c r="S915" i="2"/>
  <c r="S963" i="2"/>
  <c r="S987" i="2"/>
  <c r="S577" i="2"/>
  <c r="S625" i="2"/>
  <c r="S673" i="2"/>
  <c r="S695" i="2"/>
  <c r="S719" i="2"/>
  <c r="S743" i="2"/>
  <c r="S767" i="2"/>
  <c r="S791" i="2"/>
  <c r="S815" i="2"/>
  <c r="S839" i="2"/>
  <c r="S863" i="2"/>
  <c r="S887" i="2"/>
  <c r="S911" i="2"/>
  <c r="S935" i="2"/>
  <c r="S959" i="2"/>
  <c r="S983" i="2"/>
  <c r="S1007" i="2"/>
  <c r="S1023" i="2"/>
  <c r="S1039" i="2"/>
  <c r="E8" i="4" s="1"/>
  <c r="S1088" i="2"/>
  <c r="S1140" i="2"/>
  <c r="S1237" i="2"/>
  <c r="S1309" i="2"/>
  <c r="S1405" i="2"/>
  <c r="S1080" i="2"/>
  <c r="S1128" i="2"/>
  <c r="S1176" i="2"/>
  <c r="S1216" i="2"/>
  <c r="S1240" i="2"/>
  <c r="S1416" i="2"/>
  <c r="S1501" i="2"/>
  <c r="S1625" i="2"/>
  <c r="S1464" i="2"/>
  <c r="S1072" i="2"/>
  <c r="S1120" i="2"/>
  <c r="S1168" i="2"/>
  <c r="S1212" i="2"/>
  <c r="S1236" i="2"/>
  <c r="S1327" i="2"/>
  <c r="S1330" i="2"/>
  <c r="S1438" i="2"/>
  <c r="S1548" i="2"/>
  <c r="S1064" i="2"/>
  <c r="S1112" i="2"/>
  <c r="S1160" i="2"/>
  <c r="S1208" i="2"/>
  <c r="S1232" i="2"/>
  <c r="S1256" i="2"/>
  <c r="S1282" i="2"/>
  <c r="S1388" i="2"/>
  <c r="S1056" i="2"/>
  <c r="S1104" i="2"/>
  <c r="S1152" i="2"/>
  <c r="S1200" i="2"/>
  <c r="S1228" i="2"/>
  <c r="S1252" i="2"/>
  <c r="S1375" i="2"/>
  <c r="S1454" i="2"/>
  <c r="S1644" i="2"/>
  <c r="S1259" i="2"/>
  <c r="S1307" i="2"/>
  <c r="S1355" i="2"/>
  <c r="S1733" i="2"/>
  <c r="S1299" i="2"/>
  <c r="S1347" i="2"/>
  <c r="S1424" i="2"/>
  <c r="S1440" i="2"/>
  <c r="S1456" i="2"/>
  <c r="S1500" i="2"/>
  <c r="S1661" i="2"/>
  <c r="S1692" i="2"/>
  <c r="S1756" i="2"/>
  <c r="S1291" i="2"/>
  <c r="S1339" i="2"/>
  <c r="S1524" i="2"/>
  <c r="S1589" i="2"/>
  <c r="S1620" i="2"/>
  <c r="S1738" i="2"/>
  <c r="S1335" i="2"/>
  <c r="S1396" i="2"/>
  <c r="S1420" i="2"/>
  <c r="S1436" i="2"/>
  <c r="S1452" i="2"/>
  <c r="S1493" i="2"/>
  <c r="S1780" i="2"/>
  <c r="S1789" i="2"/>
  <c r="S1987" i="2"/>
  <c r="S1999" i="2"/>
  <c r="S1768" i="2"/>
  <c r="S1777" i="2"/>
  <c r="S1891" i="2"/>
  <c r="S1903" i="2"/>
  <c r="L10" i="4"/>
  <c r="K10" i="4"/>
  <c r="S1820" i="2"/>
  <c r="L8" i="4"/>
  <c r="K8" i="4"/>
  <c r="B17" i="4"/>
  <c r="C14" i="4" s="1"/>
  <c r="S1796" i="2"/>
  <c r="S1802" i="2"/>
  <c r="S1843" i="2"/>
  <c r="S1855" i="2"/>
  <c r="S1858" i="2"/>
  <c r="S1965" i="2"/>
  <c r="S1784" i="2"/>
  <c r="S1790" i="2"/>
  <c r="S1828" i="2"/>
  <c r="S1840" i="2"/>
  <c r="S1939" i="2"/>
  <c r="L11" i="4"/>
  <c r="S1730" i="2"/>
  <c r="S1746" i="2"/>
  <c r="S1947" i="2"/>
  <c r="S1950" i="2"/>
  <c r="K16" i="4"/>
  <c r="L16" i="4"/>
  <c r="B8" i="5"/>
  <c r="A9" i="5"/>
  <c r="I8" i="5"/>
  <c r="K12" i="4"/>
  <c r="L14" i="4"/>
  <c r="C8" i="5"/>
  <c r="L7" i="4"/>
  <c r="S1726" i="2"/>
  <c r="S1742" i="2"/>
  <c r="S1758" i="2"/>
  <c r="S1770" i="2"/>
  <c r="S1782" i="2"/>
  <c r="S1794" i="2"/>
  <c r="S1806" i="2"/>
  <c r="S1818" i="2"/>
  <c r="S1961" i="2"/>
  <c r="S1991" i="2"/>
  <c r="L12" i="4"/>
  <c r="K14" i="4"/>
  <c r="L9" i="4"/>
  <c r="K9" i="4"/>
  <c r="S1735" i="2"/>
  <c r="S1751" i="2"/>
  <c r="S1865" i="2"/>
  <c r="S1895" i="2"/>
  <c r="K11" i="4"/>
  <c r="K15" i="4"/>
  <c r="S1835" i="2"/>
  <c r="S1883" i="2"/>
  <c r="S1931" i="2"/>
  <c r="S1979" i="2"/>
  <c r="K5" i="4"/>
  <c r="B24" i="1" s="1"/>
  <c r="C7" i="5"/>
  <c r="K6" i="4"/>
  <c r="B7" i="5"/>
  <c r="S1923" i="2"/>
  <c r="S1971" i="2"/>
  <c r="L6" i="4"/>
  <c r="S1867" i="2"/>
  <c r="S1915" i="2"/>
  <c r="S1963" i="2"/>
  <c r="S1859" i="2"/>
  <c r="S1907" i="2"/>
  <c r="S1955" i="2"/>
  <c r="B7" i="6" l="1"/>
  <c r="C12" i="6"/>
  <c r="E16" i="4"/>
  <c r="D9" i="7"/>
  <c r="E9" i="7" s="1"/>
  <c r="AB3" i="2" a="1"/>
  <c r="E6" i="6"/>
  <c r="C12" i="4"/>
  <c r="E11" i="4"/>
  <c r="D14" i="6"/>
  <c r="E6" i="4"/>
  <c r="F6" i="4" s="1"/>
  <c r="E12" i="4"/>
  <c r="G12" i="4" s="1"/>
  <c r="D7" i="7"/>
  <c r="E7" i="7" s="1"/>
  <c r="D5" i="7"/>
  <c r="D12" i="7"/>
  <c r="E13" i="4"/>
  <c r="D13" i="7"/>
  <c r="E7" i="4"/>
  <c r="E15" i="4"/>
  <c r="E10" i="4"/>
  <c r="D10" i="7"/>
  <c r="D6" i="6"/>
  <c r="D11" i="7"/>
  <c r="E11" i="7" s="1"/>
  <c r="E9" i="4"/>
  <c r="G9" i="4" s="1"/>
  <c r="F20" i="6"/>
  <c r="F29" i="6"/>
  <c r="F27" i="6"/>
  <c r="F26" i="6"/>
  <c r="F25" i="6"/>
  <c r="C8" i="4"/>
  <c r="F22" i="6"/>
  <c r="F19" i="6"/>
  <c r="C6" i="4"/>
  <c r="C10" i="4"/>
  <c r="F18" i="6"/>
  <c r="G10" i="4"/>
  <c r="F10" i="4"/>
  <c r="F7" i="4"/>
  <c r="G7" i="4"/>
  <c r="E10" i="7"/>
  <c r="E8" i="7"/>
  <c r="E12" i="7"/>
  <c r="G16" i="4"/>
  <c r="F16" i="4"/>
  <c r="E13" i="7"/>
  <c r="G13" i="4"/>
  <c r="F13" i="4"/>
  <c r="F11" i="4"/>
  <c r="G11" i="4"/>
  <c r="G15" i="4"/>
  <c r="F15" i="4"/>
  <c r="E5" i="7"/>
  <c r="G8" i="4"/>
  <c r="F8" i="4"/>
  <c r="D17" i="4"/>
  <c r="H17" i="4" s="1"/>
  <c r="H5" i="4"/>
  <c r="B20" i="1"/>
  <c r="D7" i="6"/>
  <c r="D8" i="5"/>
  <c r="E8" i="5" s="1"/>
  <c r="G14" i="4"/>
  <c r="F14" i="4"/>
  <c r="B5" i="6"/>
  <c r="E13" i="6"/>
  <c r="E6" i="5"/>
  <c r="F21" i="6"/>
  <c r="D5" i="6"/>
  <c r="F7" i="6"/>
  <c r="G8" i="5"/>
  <c r="F6" i="5"/>
  <c r="D6" i="7"/>
  <c r="E5" i="6"/>
  <c r="C5" i="1"/>
  <c r="D5" i="1" s="1"/>
  <c r="F8" i="5"/>
  <c r="E7" i="6"/>
  <c r="B8" i="6"/>
  <c r="C16" i="4"/>
  <c r="F28" i="6"/>
  <c r="E12" i="6"/>
  <c r="C9" i="4"/>
  <c r="F24" i="6"/>
  <c r="F23" i="6"/>
  <c r="B6" i="6"/>
  <c r="E5" i="4"/>
  <c r="C13" i="6"/>
  <c r="D8" i="6"/>
  <c r="A14" i="1" s="1"/>
  <c r="D9" i="5"/>
  <c r="B9" i="5"/>
  <c r="G9" i="5" s="1"/>
  <c r="A10" i="5"/>
  <c r="C9" i="5"/>
  <c r="I9" i="5"/>
  <c r="H5" i="5"/>
  <c r="H7" i="5"/>
  <c r="H8" i="5"/>
  <c r="H6" i="5"/>
  <c r="B23" i="1"/>
  <c r="C8" i="1"/>
  <c r="A13" i="1" s="1"/>
  <c r="E7" i="5"/>
  <c r="F7" i="5"/>
  <c r="K17" i="4"/>
  <c r="C5" i="4"/>
  <c r="C13" i="4"/>
  <c r="C7" i="4"/>
  <c r="C11" i="4"/>
  <c r="C15" i="4"/>
  <c r="E8" i="6"/>
  <c r="E5" i="5"/>
  <c r="B25" i="1"/>
  <c r="G7" i="5"/>
  <c r="G6" i="4" l="1"/>
  <c r="I13" i="7"/>
  <c r="F9" i="4"/>
  <c r="AE14" i="2"/>
  <c r="AE4" i="2"/>
  <c r="AC15" i="2"/>
  <c r="AD6" i="2" s="1"/>
  <c r="AE5" i="2"/>
  <c r="AE6" i="2"/>
  <c r="AE7" i="2"/>
  <c r="AE8" i="2"/>
  <c r="AE9" i="2"/>
  <c r="AE10" i="2"/>
  <c r="AE11" i="2"/>
  <c r="AE12" i="2"/>
  <c r="AE13" i="2"/>
  <c r="F12" i="4"/>
  <c r="M12" i="4" s="1"/>
  <c r="I10" i="7"/>
  <c r="I11" i="7"/>
  <c r="I9" i="7"/>
  <c r="I5" i="7"/>
  <c r="I8" i="7"/>
  <c r="F5" i="6"/>
  <c r="C5" i="6"/>
  <c r="F9" i="5"/>
  <c r="E9" i="5"/>
  <c r="I10" i="5"/>
  <c r="D10" i="5"/>
  <c r="C10" i="5"/>
  <c r="B10" i="5"/>
  <c r="A11" i="5"/>
  <c r="E6" i="7"/>
  <c r="I6" i="7"/>
  <c r="I7" i="7"/>
  <c r="F8" i="6"/>
  <c r="C8" i="6"/>
  <c r="C7" i="6"/>
  <c r="C17" i="4"/>
  <c r="F5" i="4"/>
  <c r="M13" i="4" s="1"/>
  <c r="E17" i="4"/>
  <c r="G5" i="4"/>
  <c r="B21" i="1"/>
  <c r="I12" i="7"/>
  <c r="M8" i="4"/>
  <c r="E8" i="1"/>
  <c r="H9" i="5"/>
  <c r="F6" i="6"/>
  <c r="C6" i="6"/>
  <c r="AD5" i="2" l="1"/>
  <c r="AD7" i="2"/>
  <c r="AD4" i="2"/>
  <c r="AD14" i="2"/>
  <c r="AD13" i="2"/>
  <c r="AD3" i="2"/>
  <c r="AD12" i="2"/>
  <c r="AD9" i="2"/>
  <c r="AF3" i="2"/>
  <c r="AE3" i="2"/>
  <c r="M11" i="4"/>
  <c r="N11" i="4" s="1"/>
  <c r="AD11" i="2"/>
  <c r="AD10" i="2"/>
  <c r="AD8" i="2"/>
  <c r="M10" i="4"/>
  <c r="N10" i="4" s="1"/>
  <c r="M15" i="4"/>
  <c r="M14" i="4"/>
  <c r="M9" i="4"/>
  <c r="N13" i="4"/>
  <c r="O13" i="4"/>
  <c r="F10" i="5"/>
  <c r="G10" i="5"/>
  <c r="O15" i="4"/>
  <c r="N15" i="4"/>
  <c r="M6" i="4"/>
  <c r="A12" i="5"/>
  <c r="I11" i="5"/>
  <c r="D11" i="5"/>
  <c r="C11" i="5"/>
  <c r="B11" i="5"/>
  <c r="N9" i="4"/>
  <c r="O9" i="4"/>
  <c r="N12" i="4"/>
  <c r="O12" i="4"/>
  <c r="E10" i="5"/>
  <c r="F17" i="4"/>
  <c r="G17" i="4"/>
  <c r="M5" i="4"/>
  <c r="B8" i="1"/>
  <c r="A12" i="1"/>
  <c r="B22" i="1"/>
  <c r="M16" i="4"/>
  <c r="N14" i="4"/>
  <c r="O14" i="4"/>
  <c r="N8" i="4"/>
  <c r="O8" i="4"/>
  <c r="O10" i="4"/>
  <c r="H10" i="5"/>
  <c r="M7" i="4"/>
  <c r="O11" i="4" l="1"/>
  <c r="E11" i="5"/>
  <c r="B12" i="5"/>
  <c r="A13" i="5"/>
  <c r="I12" i="5"/>
  <c r="D12" i="5"/>
  <c r="C12" i="5"/>
  <c r="N5" i="4"/>
  <c r="B26" i="1"/>
  <c r="A11" i="1"/>
  <c r="O5" i="4"/>
  <c r="F8" i="1" s="1"/>
  <c r="N16" i="4"/>
  <c r="O16" i="4"/>
  <c r="N7" i="4"/>
  <c r="O7" i="4"/>
  <c r="N6" i="4"/>
  <c r="O6" i="4"/>
  <c r="H11" i="5"/>
  <c r="F11" i="5"/>
  <c r="G11" i="5"/>
  <c r="E12" i="5" l="1"/>
  <c r="C13" i="5"/>
  <c r="D13" i="5"/>
  <c r="B13" i="5"/>
  <c r="A14" i="5"/>
  <c r="I13" i="5"/>
  <c r="F12" i="5"/>
  <c r="G12" i="5"/>
  <c r="H12" i="5"/>
  <c r="B14" i="5" l="1"/>
  <c r="G14" i="5" s="1"/>
  <c r="I14" i="5"/>
  <c r="D14" i="5"/>
  <c r="C14" i="5"/>
  <c r="H14" i="5" s="1"/>
  <c r="A15" i="5"/>
  <c r="E13" i="5"/>
  <c r="H13" i="5"/>
  <c r="F13" i="5"/>
  <c r="G13" i="5"/>
  <c r="D15" i="5" l="1"/>
  <c r="A16" i="5"/>
  <c r="I15" i="5"/>
  <c r="C15" i="5"/>
  <c r="H15" i="5" s="1"/>
  <c r="B15" i="5"/>
  <c r="E14" i="5"/>
  <c r="F14" i="5"/>
  <c r="F15" i="5" l="1"/>
  <c r="I16" i="5"/>
  <c r="D16" i="5"/>
  <c r="C16" i="5"/>
  <c r="H16" i="5" s="1"/>
  <c r="B16" i="5"/>
  <c r="A17" i="5"/>
  <c r="E15" i="5"/>
  <c r="G15" i="5"/>
  <c r="F16" i="5" l="1"/>
  <c r="G16" i="5"/>
  <c r="E16" i="5"/>
  <c r="A18" i="5"/>
  <c r="I17" i="5"/>
  <c r="D17" i="5"/>
  <c r="C17" i="5"/>
  <c r="H17" i="5" s="1"/>
  <c r="B17" i="5"/>
  <c r="E17" i="5" l="1"/>
  <c r="A19" i="5"/>
  <c r="I18" i="5"/>
  <c r="D18" i="5"/>
  <c r="B18" i="5"/>
  <c r="G18" i="5" s="1"/>
  <c r="C18" i="5"/>
  <c r="H18" i="5" s="1"/>
  <c r="G17" i="5"/>
  <c r="F17" i="5"/>
  <c r="F18" i="5" l="1"/>
  <c r="E18" i="5"/>
  <c r="C19" i="5"/>
  <c r="H19" i="5" s="1"/>
  <c r="D19" i="5"/>
  <c r="B19" i="5"/>
  <c r="G19" i="5" s="1"/>
  <c r="A20" i="5"/>
  <c r="I19" i="5"/>
  <c r="F19" i="5" l="1"/>
  <c r="B20" i="5"/>
  <c r="D20" i="5"/>
  <c r="C20" i="5"/>
  <c r="H20" i="5" s="1"/>
  <c r="A21" i="5"/>
  <c r="I20" i="5"/>
  <c r="E19" i="5"/>
  <c r="G20" i="5" l="1"/>
  <c r="D21" i="5"/>
  <c r="A22" i="5"/>
  <c r="I21" i="5"/>
  <c r="C21" i="5"/>
  <c r="H21" i="5" s="1"/>
  <c r="B21" i="5"/>
  <c r="E20" i="5"/>
  <c r="F20" i="5"/>
  <c r="I22" i="5" l="1"/>
  <c r="B22" i="5"/>
  <c r="A23" i="5"/>
  <c r="D22" i="5"/>
  <c r="C22" i="5"/>
  <c r="H22" i="5" s="1"/>
  <c r="G21" i="5"/>
  <c r="E21" i="5"/>
  <c r="F21" i="5"/>
  <c r="E22" i="5" l="1"/>
  <c r="F22" i="5"/>
  <c r="G22" i="5"/>
  <c r="A24" i="5"/>
  <c r="D23" i="5"/>
  <c r="C23" i="5"/>
  <c r="H23" i="5" s="1"/>
  <c r="B23" i="5"/>
  <c r="I23" i="5"/>
  <c r="E23" i="5" l="1"/>
  <c r="G23" i="5"/>
  <c r="I24" i="5"/>
  <c r="D24" i="5"/>
  <c r="C24" i="5"/>
  <c r="H24" i="5" s="1"/>
  <c r="B24" i="5"/>
  <c r="J22" i="5" s="1"/>
  <c r="F23" i="5"/>
  <c r="J23" i="5" l="1"/>
  <c r="J24" i="5"/>
  <c r="F24" i="5"/>
  <c r="J5" i="5"/>
  <c r="J6" i="5"/>
  <c r="J9" i="5"/>
  <c r="J7" i="5"/>
  <c r="J8" i="5"/>
  <c r="D8" i="1"/>
  <c r="A15" i="1" s="1"/>
  <c r="J11" i="5"/>
  <c r="J10" i="5"/>
  <c r="J12" i="5"/>
  <c r="J13" i="5"/>
  <c r="J15" i="5"/>
  <c r="J14" i="5"/>
  <c r="J17" i="5"/>
  <c r="J16" i="5"/>
  <c r="J19" i="5"/>
  <c r="J18" i="5"/>
  <c r="J20" i="5"/>
  <c r="E24" i="5"/>
  <c r="J21" i="5"/>
  <c r="G2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<sst xmlns="http://schemas.openxmlformats.org/spreadsheetml/2006/main" count="10202" uniqueCount="2140">
  <si>
    <t>Olist E-Commerce Sales &amp; Delivery Analysis</t>
  </si>
  <si>
    <t>Excel project | Sample of 2,000 Olist-style orders (Jan 2017 - Aug 2018) | All numbers are live formulas</t>
  </si>
  <si>
    <t>Total Orders</t>
  </si>
  <si>
    <t>Revenue</t>
  </si>
  <si>
    <t>Net Profit</t>
  </si>
  <si>
    <t>Profit Margin</t>
  </si>
  <si>
    <t>Avg Delivery Days</t>
  </si>
  <si>
    <t>On-Time %</t>
  </si>
  <si>
    <t>Avg Review Score</t>
  </si>
  <si>
    <t>Top State by Orders</t>
  </si>
  <si>
    <t>Top State by Margin</t>
  </si>
  <si>
    <t>Slowest Delivery State</t>
  </si>
  <si>
    <t>Peak Sales Month</t>
  </si>
  <si>
    <t>Top Category by Profit</t>
  </si>
  <si>
    <t>States: High Volume, Low Margin</t>
  </si>
  <si>
    <t>Late Orders %</t>
  </si>
  <si>
    <t>Key Insights (auto-generated from formulas)</t>
  </si>
  <si>
    <t>State Drill-down (pick a state in the yellow cell)</t>
  </si>
  <si>
    <t>Select State</t>
  </si>
  <si>
    <t>SP</t>
  </si>
  <si>
    <t>Orders</t>
  </si>
  <si>
    <t>Volume Rank (of 12)</t>
  </si>
  <si>
    <t>Margin Rank (of 12)</t>
  </si>
  <si>
    <t>order_id</t>
  </si>
  <si>
    <t>customer_state</t>
  </si>
  <si>
    <t>purchase_date</t>
  </si>
  <si>
    <t>delivered_date</t>
  </si>
  <si>
    <t>estimated_date</t>
  </si>
  <si>
    <t>product_category</t>
  </si>
  <si>
    <t>price</t>
  </si>
  <si>
    <t>freight_value</t>
  </si>
  <si>
    <t>payment_type</t>
  </si>
  <si>
    <t>review_score</t>
  </si>
  <si>
    <t>order_status</t>
  </si>
  <si>
    <t>order_month</t>
  </si>
  <si>
    <t>delivery_days</t>
  </si>
  <si>
    <t>delay_days</t>
  </si>
  <si>
    <t>on_time</t>
  </si>
  <si>
    <t>revenue</t>
  </si>
  <si>
    <t>cogs</t>
  </si>
  <si>
    <t>freight_absorbed</t>
  </si>
  <si>
    <t>net_profit</t>
  </si>
  <si>
    <t>delivery_bucket</t>
  </si>
  <si>
    <t>ad3e8705cd525f9feb67a72c8ee0314d</t>
  </si>
  <si>
    <t>toys</t>
  </si>
  <si>
    <t>credit_card</t>
  </si>
  <si>
    <t>delivered</t>
  </si>
  <si>
    <t>63b55bfb128e92ad6b707ef6fe62314e</t>
  </si>
  <si>
    <t>PR</t>
  </si>
  <si>
    <t>health_beauty</t>
  </si>
  <si>
    <t>voucher</t>
  </si>
  <si>
    <t>c18cc4131d848484424526028f016e18</t>
  </si>
  <si>
    <t>RS</t>
  </si>
  <si>
    <t>computers_accessories</t>
  </si>
  <si>
    <t>e88188c3788f06ed3c1e919bee5a4007</t>
  </si>
  <si>
    <t>RJ</t>
  </si>
  <si>
    <t>b789593e216dfc7021965beeda3544b5</t>
  </si>
  <si>
    <t>auto</t>
  </si>
  <si>
    <t>912cf322735e81531c3892e8f2cfcd63</t>
  </si>
  <si>
    <t>sports_leisure</t>
  </si>
  <si>
    <t>boleto</t>
  </si>
  <si>
    <t>14a9ee59eb1313b795d14b6d6e9ae156</t>
  </si>
  <si>
    <t>MG</t>
  </si>
  <si>
    <t>094f51660bae6d2bfbece5d5a8856294</t>
  </si>
  <si>
    <t>watches_gifts</t>
  </si>
  <si>
    <t>0534a1018ddce71981f38dd4fd034ada</t>
  </si>
  <si>
    <t>8ff63d7ed92fcf511e8124950bd515dd</t>
  </si>
  <si>
    <t>bed_bath_table</t>
  </si>
  <si>
    <t>e3f2df80a7bbc6129a37ef9d5983ce94</t>
  </si>
  <si>
    <t>c1f857c42726c2c37af468fdfa6965f1</t>
  </si>
  <si>
    <t>582d1e50fda6d97117bd21248a994696</t>
  </si>
  <si>
    <t>e6d7e5589a117c5a8d8957fb4a357184</t>
  </si>
  <si>
    <t>c53d1af98d40aeb2aed690cc037f5347</t>
  </si>
  <si>
    <t>e1e3db63ef7ddc76b92da22b21df306f</t>
  </si>
  <si>
    <t>1aa6f7cb90c7e6aca3bfe403388c9751</t>
  </si>
  <si>
    <t>8f9afd511a58fa4437abaed786faaa83</t>
  </si>
  <si>
    <t>9b2d5a2a99bd6240a8535961632d0302</t>
  </si>
  <si>
    <t>ES</t>
  </si>
  <si>
    <t>f4184c807429a2029b4e4fb080081255</t>
  </si>
  <si>
    <t>furniture_decor</t>
  </si>
  <si>
    <t>af35fbc0e1057ec8ebf3ef9939d38f2b</t>
  </si>
  <si>
    <t>2b0f225c235ae03ad4b8a420ea5f05f4</t>
  </si>
  <si>
    <t>1da8558369cb21419505d99e2f7d987d</t>
  </si>
  <si>
    <t>82a54c5696f22a0615c5fe34f1830345</t>
  </si>
  <si>
    <t>52fb86828f45dd4c9ed55243493c0253</t>
  </si>
  <si>
    <t>3756b0058844bc0caccfb130e4872e77</t>
  </si>
  <si>
    <t>1d5206abb7e6427cbf780e3ff6b751f7</t>
  </si>
  <si>
    <t>1d8709660710d430f071d87954c63cd8</t>
  </si>
  <si>
    <t>4291c441954ad961760a58a63d8ad67b</t>
  </si>
  <si>
    <t>06cb0fb39a1de644815ef6d13b8faa18</t>
  </si>
  <si>
    <t>a391ffdb8794ac7e4aaa7f994a34041e</t>
  </si>
  <si>
    <t>e85cc86348cff1da7bbccb5d474f9205</t>
  </si>
  <si>
    <t>8ffbcc0f058729f37c03af356577aba9</t>
  </si>
  <si>
    <t>BA</t>
  </si>
  <si>
    <t>dd357f0db0427c62ce9fb2785f942c43</t>
  </si>
  <si>
    <t>950f5effdc5136e4d912d963d32a9e06</t>
  </si>
  <si>
    <t>52dcbffd59008d658b2ab7592fc6c4e6</t>
  </si>
  <si>
    <t>7eac652a78224ffa4027dfbdb1e37336</t>
  </si>
  <si>
    <t>ad1624e170a26ad8517b9145c48383a4</t>
  </si>
  <si>
    <t>c09c2ebe80da2ed7880bcb0ec8ab96ac</t>
  </si>
  <si>
    <t>311d3751507409da0242fb7ec6c977ec</t>
  </si>
  <si>
    <t>e25d36eb9e9a9f83066803ee78b2b549</t>
  </si>
  <si>
    <t>8a5a42725f90ee5724722a76f7c90c89</t>
  </si>
  <si>
    <t>DF</t>
  </si>
  <si>
    <t>debit_card</t>
  </si>
  <si>
    <t>5df4f6361a4f3f75e5fe5596df49fae7</t>
  </si>
  <si>
    <t>c1292a5f2417616910aa899c16cc39dd</t>
  </si>
  <si>
    <t>5f5ab59954d7b854b55650222994ec2d</t>
  </si>
  <si>
    <t>b263f2ae7672317d5e3b34419ef98613</t>
  </si>
  <si>
    <t>caa30b018a14c41eb25cc8c6aa6a83ff</t>
  </si>
  <si>
    <t>162534ca9b47e6394d2551ebaf95be79</t>
  </si>
  <si>
    <t>housewares</t>
  </si>
  <si>
    <t>3fac431716e827b0c552f3c55f13fb98</t>
  </si>
  <si>
    <t>bbc3553b75e8abfe6af01106e23509a8</t>
  </si>
  <si>
    <t>019c2251d59065fa795581fa1182d657</t>
  </si>
  <si>
    <t>c4cfaa8bc607560f72808d5cc1657c6e</t>
  </si>
  <si>
    <t>59ecc846697437ea5b7c57e8fdf02450</t>
  </si>
  <si>
    <t>35878f406fcd847c8eceac5693dae4ff</t>
  </si>
  <si>
    <t>bfcb33888ef4d74b2dcc4095f28f9444</t>
  </si>
  <si>
    <t>d0b2b078d3936f3e5a5f838f23ee4016</t>
  </si>
  <si>
    <t>308fb47a1dadf7889411eac6c54e412c</t>
  </si>
  <si>
    <t>5f1d3663a5c5afe189fdf534e4f078a1</t>
  </si>
  <si>
    <t>1e77c934188c6b944bb42f61212d115e</t>
  </si>
  <si>
    <t>7646c493209186d63990d7119ace5bb2</t>
  </si>
  <si>
    <t>f200a32c83c5c5100e082343eea77ea8</t>
  </si>
  <si>
    <t>e076e1694ce15a7c99755d8d76c0c89e</t>
  </si>
  <si>
    <t>7782e83f29a9b2d74e6814655ba62f73</t>
  </si>
  <si>
    <t>81986c1db9d999b6e2fef46e6a06e108</t>
  </si>
  <si>
    <t>922615b299cd0df3a873abc815aaaa3b</t>
  </si>
  <si>
    <t>b59825774e583dde807ab6589272dc48</t>
  </si>
  <si>
    <t>f1770366b658f7a0dde17cd3e8f7f4ca</t>
  </si>
  <si>
    <t>583f66bd60d8039e92aa71d561e72ff5</t>
  </si>
  <si>
    <t>b7c92e13cbd4b8db541c8f78489f3f1a</t>
  </si>
  <si>
    <t>80f6c26cf7eefd84b31c834957992f42</t>
  </si>
  <si>
    <t>SC</t>
  </si>
  <si>
    <t>72ef6cf9b762957d278d47d262a6bf49</t>
  </si>
  <si>
    <t>c3094f28fe0d40b4694986717e5533ba</t>
  </si>
  <si>
    <t>18f426dd5071ce940ff48fe8b5e9489c</t>
  </si>
  <si>
    <t>13ba8d243ebb527c1438e799242ac30f</t>
  </si>
  <si>
    <t>2cdb1625b41f572156afd9ce799f52c0</t>
  </si>
  <si>
    <t>b8b067436a02c1e2cd766247e4acda19</t>
  </si>
  <si>
    <t>2cabb9ada15dd7c43a38204b2091a706</t>
  </si>
  <si>
    <t>742b1e8540da438d171d28b0d687b993</t>
  </si>
  <si>
    <t>fff3f7ef9ddc0c0b0c25db04e4c9bdec</t>
  </si>
  <si>
    <t>cf5d337fee8d5daa8eb7c3068f73198e</t>
  </si>
  <si>
    <t>41e7ebbaf9ac1a4f42516974fdf1d205</t>
  </si>
  <si>
    <t>a998a3ee22a112b53a880cecfab8cd39</t>
  </si>
  <si>
    <t>394df2c98b575c1124ced0a1603c5f4f</t>
  </si>
  <si>
    <t>579744ba107380cb46d9e34d1feb21c7</t>
  </si>
  <si>
    <t>f51875ec01adf3952c5e405e34cf6b7f</t>
  </si>
  <si>
    <t>a555dfa1cf8be8bdd2fa9b0a333705f9</t>
  </si>
  <si>
    <t>a1e518a293d228d424655c397d4d2add</t>
  </si>
  <si>
    <t>4708203b271610c19db5428389a3c811</t>
  </si>
  <si>
    <t>f14da3ea9fafc17e92a2319db4c70241</t>
  </si>
  <si>
    <t>876796d9dfb44eef703863384c2d189b</t>
  </si>
  <si>
    <t>f5517659ed86a0c97dea9676ff6fb946</t>
  </si>
  <si>
    <t>GO</t>
  </si>
  <si>
    <t>f33bc9d72abb1647d8386f30b70bda21</t>
  </si>
  <si>
    <t>31490475e5b27ed010a0cd0fb4e91064</t>
  </si>
  <si>
    <t>29c08f2982599c87c2d67063c53d1c46</t>
  </si>
  <si>
    <t>df02774d9482b42fc0953c13f06bffa4</t>
  </si>
  <si>
    <t>d8e0713b0a813e880df3da58fe833c05</t>
  </si>
  <si>
    <t>283348ea5c94563ae9365d1b34943114</t>
  </si>
  <si>
    <t>255c429719eef9d6fdfa3cb102d493eb</t>
  </si>
  <si>
    <t>d4bf7a4b25b8a42f836b15c7e7c225da</t>
  </si>
  <si>
    <t>37a956913907bb02cc1454459c41a132</t>
  </si>
  <si>
    <t>95eb44d98459f302cd1d036e0d08da99</t>
  </si>
  <si>
    <t>53397fbe415ee12f5a57ab4661f3067a</t>
  </si>
  <si>
    <t>0a77201e77e83c585fe4d158989cda70</t>
  </si>
  <si>
    <t>670124c57a18b38f36418a2e0f004b33</t>
  </si>
  <si>
    <t>2e18b22bf44f5031a82d487987cc4d1c</t>
  </si>
  <si>
    <t>98837e3ea4c634ce3dad2abf520c31d3</t>
  </si>
  <si>
    <t>88145bde98dbf732dde4d1947c12d198</t>
  </si>
  <si>
    <t>1c6c838248c3a59dec7172e77028eb2d</t>
  </si>
  <si>
    <t>PE</t>
  </si>
  <si>
    <t>df3ad6e8f6939800459f5497abd68d74</t>
  </si>
  <si>
    <t>ef8f8421bb28a93748c43b53dee730eb</t>
  </si>
  <si>
    <t>cdf0aaba1027fbf7387770f09d99d4c5</t>
  </si>
  <si>
    <t>6bcd1399b1e155ce577cb0ac399388f9</t>
  </si>
  <si>
    <t>dd32b854f3f233b742d4f31c51c680ca</t>
  </si>
  <si>
    <t>2d085b30619a77cde2c045e664176a88</t>
  </si>
  <si>
    <t>08121b352c7efbe23c6d8133cbccd4fe</t>
  </si>
  <si>
    <t>d67df90dd79570bebf3025c3a2a30071</t>
  </si>
  <si>
    <t>d5fd40e98102d8ebb8d7529c6e659294</t>
  </si>
  <si>
    <t>c1f98e90592aa87bfd853cf8793228b9</t>
  </si>
  <si>
    <t>d7be7b4fb9676dc6d6fdd1a5f17312f4</t>
  </si>
  <si>
    <t>89272f04668d7b7232cdc1d00c99a75b</t>
  </si>
  <si>
    <t>e9119ba1c34f36da5a8b42b9cea74981</t>
  </si>
  <si>
    <t>260cb547e2280fe3722dce1347a48c42</t>
  </si>
  <si>
    <t>6a7a784128cc812a8150e0c9c948384b</t>
  </si>
  <si>
    <t>71414f58db8ec35b3c83861eddf0a0a2</t>
  </si>
  <si>
    <t>1cfb655f82c42e488cbadae57eccdaf4</t>
  </si>
  <si>
    <t>1f4db543f58b42ebdb0389976cab2214</t>
  </si>
  <si>
    <t>b723b226e83c70f38ef9d4efd9800e46</t>
  </si>
  <si>
    <t>834b8382013f37e44d49f390836d3cf3</t>
  </si>
  <si>
    <t>e648d7ae78304c6c79eb17974fb9ef37</t>
  </si>
  <si>
    <t>55a6b3ef1d3042eec323aba40cd14fc1</t>
  </si>
  <si>
    <t>00595cd26a0086475c74e1da80989251</t>
  </si>
  <si>
    <t>76883ea9a726d089f5351e2b649808e0</t>
  </si>
  <si>
    <t>e0ee5e8ab3e6f4c6d428df6c89aa4293</t>
  </si>
  <si>
    <t>db13f2ec663b4427bef7110a57f9f3a7</t>
  </si>
  <si>
    <t>CE</t>
  </si>
  <si>
    <t>c3ea13fd48d6ee51ea9d2a40142239d6</t>
  </si>
  <si>
    <t>3ed9d8e3460017c871ef7d6cfa06ae19</t>
  </si>
  <si>
    <t>d88e6b86a159b48192a6dd56b85acaf0</t>
  </si>
  <si>
    <t>cea9e905e0e4fb328c141f2316954ee6</t>
  </si>
  <si>
    <t>8e9ff74afb6503ea0f9733429b2d43a3</t>
  </si>
  <si>
    <t>93c840115c2281fef4e1048af417adc9</t>
  </si>
  <si>
    <t>ac5a61d394fc2275d4e845bcbdfe7f18</t>
  </si>
  <si>
    <t>527db562954a29b9039325354a1d8a01</t>
  </si>
  <si>
    <t>27ff97ca12049b0a9e11e71ce8ae6b4b</t>
  </si>
  <si>
    <t>90d352980cc1073ecf16f365e9dc1dbc</t>
  </si>
  <si>
    <t>11c775375639755503109f0de880d4cf</t>
  </si>
  <si>
    <t>ec285a93f5a4f270eadeae691bbcb748</t>
  </si>
  <si>
    <t>f44883858de7ad6c949077c27674456f</t>
  </si>
  <si>
    <t>dcccea619d4d8b69ef8b3927de23f191</t>
  </si>
  <si>
    <t>af92a2aef78b36a31644b00b46c462a7</t>
  </si>
  <si>
    <t>9fb209b1732fc932ab962697c1e1f813</t>
  </si>
  <si>
    <t>c7d77fbb520b7950dee4254b0afc13fb</t>
  </si>
  <si>
    <t>b2e2f3cc3873335fca3f48a4cd88e44e</t>
  </si>
  <si>
    <t>02bf8d3f6b186f2f35b5b64c034b1d43</t>
  </si>
  <si>
    <t>bdd427f32cea49944219ae92e8e67bc0</t>
  </si>
  <si>
    <t>0df83e12a56b61e04ba8a4ca6449cb6f</t>
  </si>
  <si>
    <t>696f90744084a2907e50a000c474e1c0</t>
  </si>
  <si>
    <t>ef3e9770390ae185128dfb8215ab1a47</t>
  </si>
  <si>
    <t>f243b5c6833d75956fa1c2327eecdc53</t>
  </si>
  <si>
    <t>7e19cad732af7b95adc4b86da180ee9b</t>
  </si>
  <si>
    <t>7fd7559e44c08b4eacd5f173904fa87a</t>
  </si>
  <si>
    <t>263bda8d86782d01974b18d99aca56fc</t>
  </si>
  <si>
    <t>98a21f1c914dcfaef10013a7c6deb2f0</t>
  </si>
  <si>
    <t>dac9d4a4b43bf88cc6f434688d78e1c8</t>
  </si>
  <si>
    <t>9785db5af31b74f8163b600117f931b6</t>
  </si>
  <si>
    <t>d3778853079a8055aac16b4258d6e90d</t>
  </si>
  <si>
    <t>42be7d36a9230810c34604f98bed0104</t>
  </si>
  <si>
    <t>1667b920926e6991aa82cac85b74c4d1</t>
  </si>
  <si>
    <t>1cf146542ab202c2cc0243c6e2d903c8</t>
  </si>
  <si>
    <t>004e07210cc8fa21b601e5b201c363cd</t>
  </si>
  <si>
    <t>921f266fc450205286a8f21a010e622b</t>
  </si>
  <si>
    <t>ea7c8b0cdefa6d4a474ca8796f96bbff</t>
  </si>
  <si>
    <t>b50f2f5c2d6acdd45aeb90f64faa8036</t>
  </si>
  <si>
    <t>3f612028cb4a9aa4e52053b68faa2da8</t>
  </si>
  <si>
    <t>1bd8978e92714fea6fad74602ef38ed1</t>
  </si>
  <si>
    <t>8c6743e15f9209eccc027d43d622d179</t>
  </si>
  <si>
    <t>3ae56c8d536016e7e5fbc1c0ad463549</t>
  </si>
  <si>
    <t>61a71114d994f7ba4b7faa4c0d5d2f64</t>
  </si>
  <si>
    <t>b54ec3231e53a5da0780b3eedcfa02a9</t>
  </si>
  <si>
    <t>ba65ccc02eac9f8561e47a6e1d5036a8</t>
  </si>
  <si>
    <t>edc78d7ba63f89b5078c7f1d2e659eb1</t>
  </si>
  <si>
    <t>8620a10ae0099d7aca226c566fc8503c</t>
  </si>
  <si>
    <t>a8f0d5136650bc24f84b241f0466b04d</t>
  </si>
  <si>
    <t>2c154804099759a37919955c9be4f19f</t>
  </si>
  <si>
    <t>199ae3daaae39bc04a1954ec4a3fcfda</t>
  </si>
  <si>
    <t>06fb22acc342adc9df09451fd173bd6d</t>
  </si>
  <si>
    <t>89020a97128cc17a4c055b0a823b7845</t>
  </si>
  <si>
    <t>41e0cfaf52ca9cedc5268f0fc516e394</t>
  </si>
  <si>
    <t>7dd7fc59b58674b5e631a9ee754f595f</t>
  </si>
  <si>
    <t>6a961ac0865162a60fe917808b8c6b6e</t>
  </si>
  <si>
    <t>7a4a902f21d63b0fb1ac040d6c1cc405</t>
  </si>
  <si>
    <t>fc8ade6a9051385e0b7ce5c690968629</t>
  </si>
  <si>
    <t>d533e78253c50458a4f9315f6f4da8c9</t>
  </si>
  <si>
    <t>36f51698cbee70fb1de2ea80f90d3083</t>
  </si>
  <si>
    <t>77fc97031fd5a423706c5c5649e2623d</t>
  </si>
  <si>
    <t>eb5c4ed85ef6840e9ef8b5a9b792ff65</t>
  </si>
  <si>
    <t>5f0e75e78772338901a4b9bd7572765a</t>
  </si>
  <si>
    <t>1e9d095bd17ad9bdb1ba0beaf9690579</t>
  </si>
  <si>
    <t>38ac7355f495dd711802f730e8ec6834</t>
  </si>
  <si>
    <t>d9a3742a83c28870adde98b619f620a2</t>
  </si>
  <si>
    <t>72ebde4e95c4fab0e97f995d9bc8d6f6</t>
  </si>
  <si>
    <t>a7b4d7c9bfbff3150507a453098fd17b</t>
  </si>
  <si>
    <t>a8e56e0c20de435d2031d750c40db9b4</t>
  </si>
  <si>
    <t>621285e3407ad92f660d63f3eaf590ed</t>
  </si>
  <si>
    <t>15bd18badcaaf6a5451ea1dbe06a46b2</t>
  </si>
  <si>
    <t>55e456f0eb8a720715183e2c3ccabde2</t>
  </si>
  <si>
    <t>8bdeb84a6c1c0ab60f8034cc13d29821</t>
  </si>
  <si>
    <t>c8d8e631e65cb372d71990246c09f3f0</t>
  </si>
  <si>
    <t>09af9883eed21f940038dc84a3ed033a</t>
  </si>
  <si>
    <t>12d5dfe569eb337c059ef8d8cba20d38</t>
  </si>
  <si>
    <t>5b5cd6c54b11c1812dc1214344698c04</t>
  </si>
  <si>
    <t>42da860946e1ee40dc8ab6a7533c2ed5</t>
  </si>
  <si>
    <t>cf1af57524b6a91c5df1f49be59a3a64</t>
  </si>
  <si>
    <t>0bfe68af3a87b3e2dbafd3b150ff1ea7</t>
  </si>
  <si>
    <t>2bba25b5eaab212d13732d84f9350fc2</t>
  </si>
  <si>
    <t>89fab5cc95b04f8ad64f10b584d6b400</t>
  </si>
  <si>
    <t>5fa9b21a504b10c8f3b937f29fe7e068</t>
  </si>
  <si>
    <t>ee4401c971afc5ff5bbdcdb6f117bec0</t>
  </si>
  <si>
    <t>34f735edb2398791d10f5d4aba209b9d</t>
  </si>
  <si>
    <t>8468b74d85e3ade558c1aad6f3f8dea4</t>
  </si>
  <si>
    <t>73a44f97e6faa03b2c85ef207db8aa1c</t>
  </si>
  <si>
    <t>1f0110853727a7a5f89f057b0873cccf</t>
  </si>
  <si>
    <t>49b7e0374425dea7c83924d7d03bcbfc</t>
  </si>
  <si>
    <t>cc654e5f370336f9c23b4ffaf69face8</t>
  </si>
  <si>
    <t>6328143e2d9563ed747a48299c03d65c</t>
  </si>
  <si>
    <t>cf0523c50c23abb7890bbcd25600c174</t>
  </si>
  <si>
    <t>34cb7b9a933882b320fa15b70a054950</t>
  </si>
  <si>
    <t>e2682c9f3b482d28b7ed2c13f3ebe658</t>
  </si>
  <si>
    <t>73eb0a4e0e4b4dbfcf4180b1b7e8b0a4</t>
  </si>
  <si>
    <t>5cae9610c72c1fe372c22a1679eb4168</t>
  </si>
  <si>
    <t>bc8cfa8fc655a5977ccc63de82ac7e1d</t>
  </si>
  <si>
    <t>730f8b28ecaf549ed37dcef34949ded7</t>
  </si>
  <si>
    <t>1f16a10e56685b027387d896c3d08178</t>
  </si>
  <si>
    <t>0ccfd7fb438279e7ecf8022f2ed1027f</t>
  </si>
  <si>
    <t>d83df6ae42fbc4a0ab5f69c9357cc20c</t>
  </si>
  <si>
    <t>6f3312ce71e7ac0c70a2302345a937a9</t>
  </si>
  <si>
    <t>40ef2762212b770912dee9714dafde3f</t>
  </si>
  <si>
    <t>a8c34b2544cca0575c9808f446368d12</t>
  </si>
  <si>
    <t>7d2b87148de0b52ac2d0af1f43eb756f</t>
  </si>
  <si>
    <t>5e45295681e4ee990c286323d27f6d1f</t>
  </si>
  <si>
    <t>befb3cb8c578f4f49b18276a1d7b8363</t>
  </si>
  <si>
    <t>169f915e59828abf9c2ce814250e3556</t>
  </si>
  <si>
    <t>1b970c2328fd74e1c416b2781c74ca36</t>
  </si>
  <si>
    <t>703c1286b71714cd200291bb44e9f8fb</t>
  </si>
  <si>
    <t>1396a289c29a988f18a952109f8c2c51</t>
  </si>
  <si>
    <t>16efacdf9375ee61ec94503eaf4afcdd</t>
  </si>
  <si>
    <t>e6766b0a3b9a3daf6321d75368dd66fd</t>
  </si>
  <si>
    <t>23167b59cfbbf4e3e160e35b4da7f632</t>
  </si>
  <si>
    <t>b0f1d20979432f6fda554d255d144588</t>
  </si>
  <si>
    <t>0fd5522406544239fbc3038797f33322</t>
  </si>
  <si>
    <t>4767d76c162f8a24ef43613cd4aac9a3</t>
  </si>
  <si>
    <t>78ae8d5dfe268e779b4547e072fefdc2</t>
  </si>
  <si>
    <t>9b1911122d2ae08e6c8c5d0e3eb366fd</t>
  </si>
  <si>
    <t>1a710bdf7b6de07125b08a57a4ba1e5c</t>
  </si>
  <si>
    <t>56e52992eecb09e58ff8749d49cf1e85</t>
  </si>
  <si>
    <t>b7e4d6981c360249105d48579c10f74d</t>
  </si>
  <si>
    <t>f533cc8652bacd958d73e3f854f99b39</t>
  </si>
  <si>
    <t>7a8f36a2f88cd2b020769df3356cd31f</t>
  </si>
  <si>
    <t>53e7ad0248ffeea5fb33740c06b19eec</t>
  </si>
  <si>
    <t>df83d859f13a5d893f21360a578dd65f</t>
  </si>
  <si>
    <t>fc98036a73947e22b1e2640c583cb7cb</t>
  </si>
  <si>
    <t>e134edfc97777f10f2d2393f8e85140d</t>
  </si>
  <si>
    <t>5de82b8cc23450bbc81076dd79267133</t>
  </si>
  <si>
    <t>4ea2afafe1b5eaf46f2d0a1b5c497fba</t>
  </si>
  <si>
    <t>09bb6d1a92797a73cd839265a2ba9024</t>
  </si>
  <si>
    <t>5263f8e03c5969c6a6ea0997f5a02c0a</t>
  </si>
  <si>
    <t>b63f93f646b5b8f6c51b2922ca916df7</t>
  </si>
  <si>
    <t>333b5a5d0a45f6041165ed7f8cced653</t>
  </si>
  <si>
    <t>e8f68c8199f6a8932900b3a7eac04858</t>
  </si>
  <si>
    <t>103a5cbe4a1a7220361f83dac6ed940c</t>
  </si>
  <si>
    <t>20e7118acf8da52b05e3d1071d0ffe16</t>
  </si>
  <si>
    <t>ec3e83c379613250d3752185a01989d1</t>
  </si>
  <si>
    <t>d732bacd8090661f4e02ffb304bdd646</t>
  </si>
  <si>
    <t>b964502130ff1f0f649431d1d61dcbb1</t>
  </si>
  <si>
    <t>1b3684b41b13a85f21a44c4a097c763b</t>
  </si>
  <si>
    <t>31c78f1c47c534e3831448cb053f349f</t>
  </si>
  <si>
    <t>2bc4a31953211cf18ddc5f0e523c0ed4</t>
  </si>
  <si>
    <t>0e58877025660316f39ef1bec02553ea</t>
  </si>
  <si>
    <t>3da34aca1e0724a8c28fd8cb80189536</t>
  </si>
  <si>
    <t>142ec8b0cce52711950ce8353659fa8c</t>
  </si>
  <si>
    <t>a1965413d881a73aa99e7d01e5ae81f3</t>
  </si>
  <si>
    <t>421a51df9452f39a9c7d894489f4f37c</t>
  </si>
  <si>
    <t>89b80812c69c270f86f86d78ef87bdbe</t>
  </si>
  <si>
    <t>700311ee1e99478141d5131160ae027d</t>
  </si>
  <si>
    <t>07298d477c659dc94b425bba4da273ed</t>
  </si>
  <si>
    <t>be66de49ca6d6803f75ea48f6f747d68</t>
  </si>
  <si>
    <t>33777a8232efb83d28d3e1aac23f2471</t>
  </si>
  <si>
    <t>21472a15fcce96f6250a4578fbe94499</t>
  </si>
  <si>
    <t>f2435fb4ac7edd94397f9ba7dc461101</t>
  </si>
  <si>
    <t>362f5e5c53cd6268610cf37342999aa4</t>
  </si>
  <si>
    <t>7c93f6cc97d7a560adb14670ad9fb00d</t>
  </si>
  <si>
    <t>cd638ba8f03c664b3abf9c656dd013f3</t>
  </si>
  <si>
    <t>e4c834a771ad673d5f0a8b7945fb791c</t>
  </si>
  <si>
    <t>5d4f7107911ddc7990c8042027035b27</t>
  </si>
  <si>
    <t>dc4121765b59f28ea9de5b2608ffeab0</t>
  </si>
  <si>
    <t>d7357f9d3cbb32de5a37fe116b9c7d7c</t>
  </si>
  <si>
    <t>b960df1f17152d766fc1aaeb340ce8c9</t>
  </si>
  <si>
    <t>f04dec45e6aadd6cdb27f24169a62dc2</t>
  </si>
  <si>
    <t>a1628abf1a48280302040c8155773297</t>
  </si>
  <si>
    <t>fd0d4cb1c9167a93ada63c4b1a1940e4</t>
  </si>
  <si>
    <t>0a3e49186e4f8ea3f0ad16f7db1fb4d4</t>
  </si>
  <si>
    <t>0e38c34611725478b2389847dd6952d9</t>
  </si>
  <si>
    <t>04a1dd66bce88f22af001605ae93b319</t>
  </si>
  <si>
    <t>34efa156255ab787a292bd6cdb95e988</t>
  </si>
  <si>
    <t>4236fb0e1e2f9c71b6a033e63ab5d8d0</t>
  </si>
  <si>
    <t>3345dd68e9ee045e2e27b51cf42e466d</t>
  </si>
  <si>
    <t>4db3a04428876b7f64694f537f5085e7</t>
  </si>
  <si>
    <t>43662f06f12b37c65f4e3f9c127546d6</t>
  </si>
  <si>
    <t>7321bdcbeff6c41cfe3d9753db9c26cb</t>
  </si>
  <si>
    <t>c2d031ad1bc6229e42f19c7b91f29ea4</t>
  </si>
  <si>
    <t>3b8ff9d7c22edfc4381071770acc09da</t>
  </si>
  <si>
    <t>65a8bdc130158278198f2ed192e90654</t>
  </si>
  <si>
    <t>ece9504b03d7f962f80443eec3b8d179</t>
  </si>
  <si>
    <t>083ed925c90d35aa914cc11c05f30bc5</t>
  </si>
  <si>
    <t>658064de1bc004500ddf8da34a086284</t>
  </si>
  <si>
    <t>b1f4e511e6f9c201247803a1fb4a0283</t>
  </si>
  <si>
    <t>109368fffc0ea433ba9c5a2aba900186</t>
  </si>
  <si>
    <t>ed1dedcd89caa69de741c19dceb4c025</t>
  </si>
  <si>
    <t>8085c1471e910f365f705b2592502e59</t>
  </si>
  <si>
    <t>ab7aeb66f4acc7e2fa575cea39571344</t>
  </si>
  <si>
    <t>00801ed9743480a1e212f7e18f63c2bb</t>
  </si>
  <si>
    <t>4ccf0a4b7c93243ec90b945450d3802d</t>
  </si>
  <si>
    <t>2c415f60b3c563babc9dea9702759964</t>
  </si>
  <si>
    <t>6c0046f07957595f25ee2f0f76a30eb0</t>
  </si>
  <si>
    <t>b43c7851e78dcf327e2a9f7347dfa607</t>
  </si>
  <si>
    <t>09f08f24e28f553768a64d97123c6a29</t>
  </si>
  <si>
    <t>d15f4acd97dfc472e2fba2a136df253c</t>
  </si>
  <si>
    <t>db97151da89e4fa6ae2bcab8551fe4f7</t>
  </si>
  <si>
    <t>082dc372c996a54bbcbb065803e6551e</t>
  </si>
  <si>
    <t>ebb48c9ebd1e9dd812e1725b0b94b2ab</t>
  </si>
  <si>
    <t>046606f63c7a912d2afd3660e5199bd9</t>
  </si>
  <si>
    <t>8eed8d34f3843346945f4281236603b4</t>
  </si>
  <si>
    <t>31934d22976611eed2bfbcf2d709acc3</t>
  </si>
  <si>
    <t>d4073daa68db33704cb37187eb469b21</t>
  </si>
  <si>
    <t>b0a20005981fd1de4332002227e76f64</t>
  </si>
  <si>
    <t>cc09de64233e84ac3e3f3da02f98ad33</t>
  </si>
  <si>
    <t>6d4772f8d46a77af2a736a676c461d48</t>
  </si>
  <si>
    <t>0ca37885d7607ffeaa8b73eb3cde0596</t>
  </si>
  <si>
    <t>88ad3de9018e2f1dec0bcb99ea176ff6</t>
  </si>
  <si>
    <t>218c6e1c9e374f7ac42cbc39e05b46c5</t>
  </si>
  <si>
    <t>7487d7727f0386fa13badc91a0a5fde6</t>
  </si>
  <si>
    <t>fc5c960fad39e05292a0768834b5bf07</t>
  </si>
  <si>
    <t>085e9e90f12ff03e923b6567dcdc614f</t>
  </si>
  <si>
    <t>91e610ddd72abf118f415cf0d99598fb</t>
  </si>
  <si>
    <t>ad433e2d9bdc44e5311eb154c12690a1</t>
  </si>
  <si>
    <t>5926c059bfd0b387963dbc5ef11b9c1b</t>
  </si>
  <si>
    <t>3e493f43b118f68d6786d50638ba8abc</t>
  </si>
  <si>
    <t>2cbb71d76c1de2fa88f7b88e9f863762</t>
  </si>
  <si>
    <t>01bb819c4dfe111722af711f1b628a9d</t>
  </si>
  <si>
    <t>d6de70c52ce4599df92408c32ea9ef6c</t>
  </si>
  <si>
    <t>b5d044fb2cd64d84747738793eec05dc</t>
  </si>
  <si>
    <t>17d8e814b669c307487a2d8b424c330b</t>
  </si>
  <si>
    <t>150a259157e8a949d483cb097b01e4c2</t>
  </si>
  <si>
    <t>2bf8c7bd154e343333e5a4108656eee4</t>
  </si>
  <si>
    <t>7129e2f6e06ca678c35d8f64418af089</t>
  </si>
  <si>
    <t>7565e38f3d04dd10300a1b1bfed045c4</t>
  </si>
  <si>
    <t>1bdc74a98d3a5d767caa281b4e336644</t>
  </si>
  <si>
    <t>df8b40087d01b5a30041f5d49549e631</t>
  </si>
  <si>
    <t>bc4600bd584220f1d3105f4f403e3ee2</t>
  </si>
  <si>
    <t>3457c8d7523664ef8d8b10518af35cd2</t>
  </si>
  <si>
    <t>2823442c9a87e3574b8fb475e2ebb2d2</t>
  </si>
  <si>
    <t>27e9184f07918b3577a63918acac1f3b</t>
  </si>
  <si>
    <t>26c118f2eb1c0430df114270565f8687</t>
  </si>
  <si>
    <t>ed35839bf4d62658139b4c16fbcaebdc</t>
  </si>
  <si>
    <t>d69b019039c4dffaa527e02f7b190a51</t>
  </si>
  <si>
    <t>08683cbfaa0be6875d124a2233d9014f</t>
  </si>
  <si>
    <t>1fbf23bbb33109f53078f3d0f9046be7</t>
  </si>
  <si>
    <t>7b82ff4c547304460a88bdd7cdf392f9</t>
  </si>
  <si>
    <t>fa0b14f4f3d50d58933a10eea733dfe6</t>
  </si>
  <si>
    <t>4662477c6eec28adf5c4dab44a32b32a</t>
  </si>
  <si>
    <t>1c0f0bdcac7e937c54cc1e2a5e4cb287</t>
  </si>
  <si>
    <t>6d4a125926d24d46e21734c6d36fa1c9</t>
  </si>
  <si>
    <t>55060c6923d146a9c340b86ff996cbae</t>
  </si>
  <si>
    <t>04fcea60b5999215af36e28617645034</t>
  </si>
  <si>
    <t>f1d444f26ebe44cede11e863353e83e2</t>
  </si>
  <si>
    <t>cee8efcf295c1b5938079a8e7e3beb35</t>
  </si>
  <si>
    <t>0dc4aa1006062b52688cce176d2d2c6c</t>
  </si>
  <si>
    <t>8eed7ac976f3e6e13a333fa4fed1aaf9</t>
  </si>
  <si>
    <t>5e5ffeaa0eb540787464d6f211ea2c00</t>
  </si>
  <si>
    <t>e202f0226ef7ffc37ce28b5bb8d8f272</t>
  </si>
  <si>
    <t>b30e4822f463beb70ea8fb71bd7bc80c</t>
  </si>
  <si>
    <t>b8a7417eeaed87d90614f0057654865e</t>
  </si>
  <si>
    <t>c8a723e9bfa016c2c09cb50648f1096d</t>
  </si>
  <si>
    <t>52e0234e2505a2b69dd3c15a9417e0f5</t>
  </si>
  <si>
    <t>d97bd00e3475717102b964d676d96b12</t>
  </si>
  <si>
    <t>7bfdec746441e11e3ee1db8e5fffe8e6</t>
  </si>
  <si>
    <t>b206da830956f0e5ef0c1132415155db</t>
  </si>
  <si>
    <t>b1b8106de27e9a13022b2e42cc1e713d</t>
  </si>
  <si>
    <t>039a8ed5f337b2615f8392d5bb0c7919</t>
  </si>
  <si>
    <t>219c00cb9a7fde23af59aa66e75b2113</t>
  </si>
  <si>
    <t>8f188e729696dc6c671adde586b8afef</t>
  </si>
  <si>
    <t>bb7b6c0528522ca2f9d2014a22ee7f07</t>
  </si>
  <si>
    <t>8548867bad5cba244d59616b7779857f</t>
  </si>
  <si>
    <t>37275969459b082cf8d91bd645ad48ed</t>
  </si>
  <si>
    <t>10bb794e2cef755790ad07c69a5c68ad</t>
  </si>
  <si>
    <t>080fc9b3226f93e79e5f992d39c29259</t>
  </si>
  <si>
    <t>ea8e81315603534d0e03622c110a156d</t>
  </si>
  <si>
    <t>a7bbc32d115ca8024310357dec801a6f</t>
  </si>
  <si>
    <t>0519ae3678df7714aa97ff5165fe3fdd</t>
  </si>
  <si>
    <t>91468a8cf87f7210212e5fdd941ec447</t>
  </si>
  <si>
    <t>92ebc686609c17ac40f3de91eb142767</t>
  </si>
  <si>
    <t>c0f63229725d42593c4b1eec6231ee73</t>
  </si>
  <si>
    <t>2c0ef6cf727d264a4cc4a7e5fd25bca9</t>
  </si>
  <si>
    <t>92e33940a32c5e99fd26a41b221a7c4e</t>
  </si>
  <si>
    <t>00257ad1eb2263dd87c5421eec24a3c5</t>
  </si>
  <si>
    <t>8eac0a33cdf974a7d882b5c1f79efd70</t>
  </si>
  <si>
    <t>9d4b2bf94d85e9c7a0017720200b2903</t>
  </si>
  <si>
    <t>48d9084655c551fcfba57cc8edaf3766</t>
  </si>
  <si>
    <t>015d441f8e220c2dea7719193dddd241</t>
  </si>
  <si>
    <t>ff91e34055818a4240c9f77ea45532d8</t>
  </si>
  <si>
    <t>7f7f6c0a07c0d116a394ed549e3c5a88</t>
  </si>
  <si>
    <t>38e7e019fb8986c8c7ecfe71d49347fc</t>
  </si>
  <si>
    <t>df41c15518d2bfd058622bb4f9cc596e</t>
  </si>
  <si>
    <t>f737e8bc90266418cc45e20cf48f854e</t>
  </si>
  <si>
    <t>5c009a69aa373383ef9e3c5cb340e35d</t>
  </si>
  <si>
    <t>6dc86ca7b8e725ebf38321e3d6667cff</t>
  </si>
  <si>
    <t>8217009bf29ea0cebe3ccfac0835f5f4</t>
  </si>
  <si>
    <t>016b6287b00805cca7f36ae925c73c44</t>
  </si>
  <si>
    <t>8fb8b73685406adb983ae2351891f8cf</t>
  </si>
  <si>
    <t>6dbbf0f8964f05a1a68e851a0bcfed34</t>
  </si>
  <si>
    <t>bab2b77dfa740cc8a43afb7ac40d4874</t>
  </si>
  <si>
    <t>a1aa19f0a26c2d5a742617e7fbc1085b</t>
  </si>
  <si>
    <t>9770d013b080e9957ea7ccb8b0ad194d</t>
  </si>
  <si>
    <t>54a2f8bdc228a0e7d51a8247dbc4da67</t>
  </si>
  <si>
    <t>437956f8eb8acd151f2d3573cfea9738</t>
  </si>
  <si>
    <t>4764a95699685a3ce68479846b0dd81d</t>
  </si>
  <si>
    <t>2c3a11e7c9164a3b42fd68fbcff88b63</t>
  </si>
  <si>
    <t>db721b1452c2526e737e68ed8b0409e4</t>
  </si>
  <si>
    <t>4d2954179909b9c7bf30bbb67c69797c</t>
  </si>
  <si>
    <t>32a4a8a432f9b77107997940f9adde7d</t>
  </si>
  <si>
    <t>0622a2946399839fcc0e8c1b6ecff11d</t>
  </si>
  <si>
    <t>925d5ff485664da48422edc700dc1d6c</t>
  </si>
  <si>
    <t>fe9a7df943974997fae2dcede5693bb5</t>
  </si>
  <si>
    <t>a5c8c0727a4578419d0953a0bd5ced10</t>
  </si>
  <si>
    <t>1a6cf45952f6531fa605b7c9fb07ee93</t>
  </si>
  <si>
    <t>c33ffef764bf2e8c903389b46ce052ef</t>
  </si>
  <si>
    <t>7ff72b2097eea179afd063d635dde534</t>
  </si>
  <si>
    <t>83c74cbe916baf876c27316bdd05b827</t>
  </si>
  <si>
    <t>ab73860c83f079b3f78ffd83b05ab6bf</t>
  </si>
  <si>
    <t>fd8793606593837999d8dfd21cd98e6b</t>
  </si>
  <si>
    <t>3ac2bf85b8cac62fd6e88c2ccabac975</t>
  </si>
  <si>
    <t>b3932fb84fd4c793016f2931fa1b1bac</t>
  </si>
  <si>
    <t>d0b3575ef309824633ca623ff30113f0</t>
  </si>
  <si>
    <t>0cf2b69b0577aea9f899924698de8ebb</t>
  </si>
  <si>
    <t>676d5654845e8f4ec256f22482b248b6</t>
  </si>
  <si>
    <t>babddfeae59cfdf43cbeaea26a42b826</t>
  </si>
  <si>
    <t>fcc4091bf45707c678946a15c34201db</t>
  </si>
  <si>
    <t>f64d4de0a92a9880368413397fcbcf31</t>
  </si>
  <si>
    <t>84a2092d2777fe38b58d4c9759df5bb2</t>
  </si>
  <si>
    <t>0d325a89aa088f0d02d1269daae53fff</t>
  </si>
  <si>
    <t>69f27da18971ff47114181427df782eb</t>
  </si>
  <si>
    <t>58c6d166fe65b78257c26cfdf9d59f7f</t>
  </si>
  <si>
    <t>6577b89106ecbbf336160e063ee2bae3</t>
  </si>
  <si>
    <t>dbb6c4a302e7848415c78ccb7bf80355</t>
  </si>
  <si>
    <t>6a34c85410714d5136c59dacb4d7e28e</t>
  </si>
  <si>
    <t>ca97ebf555d596afa663d2cdb6f6dbf1</t>
  </si>
  <si>
    <t>8618e40d15d6a6585ce9dbbca25291f3</t>
  </si>
  <si>
    <t>63cd0cb1a7b3b6f9135896aae2751ce6</t>
  </si>
  <si>
    <t>20156a7212e153a6932cae01d2c65ee4</t>
  </si>
  <si>
    <t>a18028d567c7955eabe015719d79c79e</t>
  </si>
  <si>
    <t>bd54da044dcd0009c8d577179055a36f</t>
  </si>
  <si>
    <t>5bf9bfad03b93598ddc096d225fc850a</t>
  </si>
  <si>
    <t>97783a80ed9ac1dcf0702886d65b7bc2</t>
  </si>
  <si>
    <t>3360d11548b51c880f635f4a2b9a118e</t>
  </si>
  <si>
    <t>f8e351ea9aebbc3ea1f7815758f34359</t>
  </si>
  <si>
    <t>66384b25a9f9f36c496d4895c8d7f25c</t>
  </si>
  <si>
    <t>09b4413ca45ca94a345298c460310461</t>
  </si>
  <si>
    <t>ce6322b6ab05347fd556b37d8f0881ee</t>
  </si>
  <si>
    <t>7af985ff8ff198865a2c41bcc2c226ff</t>
  </si>
  <si>
    <t>1b186be4578efffee4588c5ef608f37b</t>
  </si>
  <si>
    <t>5eebafad38ebf35d32389b8d2689bcec</t>
  </si>
  <si>
    <t>4c955f6a966b1964fcd6bdca5876fd09</t>
  </si>
  <si>
    <t>8874a1c508fe3f405fe191732bdf3df4</t>
  </si>
  <si>
    <t>f6d294aae55126a3cdcc049eef4d2c57</t>
  </si>
  <si>
    <t>478f8cad0bcc903239f2b7a3630a3b56</t>
  </si>
  <si>
    <t>d6793ab4eae6c3da5f2d38b83a769378</t>
  </si>
  <si>
    <t>e32e3ac453fe40e39c6c3c4e8f5b8149</t>
  </si>
  <si>
    <t>014d7938643536b3aae35cae6d13e01d</t>
  </si>
  <si>
    <t>a5c6c5ae2e2f2127babf3375f17fb786</t>
  </si>
  <si>
    <t>685183410766699f7bf2aa0610c1de9c</t>
  </si>
  <si>
    <t>bd676ba089c9c0f39dcc91b05a0fdf61</t>
  </si>
  <si>
    <t>5c2c107b20bceac5151e087bf7e04b1e</t>
  </si>
  <si>
    <t>9c83cfae10501d6538973d1553199080</t>
  </si>
  <si>
    <t>9f80bd12299606d23e14196514c4e22c</t>
  </si>
  <si>
    <t>339a34cb30fa0cb468fd116b45292253</t>
  </si>
  <si>
    <t>8d84067fce58e7fc6cc0e350f7c40cb2</t>
  </si>
  <si>
    <t>376d65f70faae5bfb9004086aa21e153</t>
  </si>
  <si>
    <t>931b5970e946033f79b22b20db8d1836</t>
  </si>
  <si>
    <t>fec52f69ac436e121480eabd9d9f2662</t>
  </si>
  <si>
    <t>6e12bda9b2ec7ff4cb59b1515dde7466</t>
  </si>
  <si>
    <t>2048ba6e72ec6f04ff8bb8911b908e3f</t>
  </si>
  <si>
    <t>57deb702b026d60ac82d4afa95be2ff6</t>
  </si>
  <si>
    <t>afc63d341dbefabd8c881f361b705635</t>
  </si>
  <si>
    <t>8f940a739c2e7760cddedd24c57dfa49</t>
  </si>
  <si>
    <t>9a26755a3f5693814119055925b9de82</t>
  </si>
  <si>
    <t>1c3da4eba012c6c2c790b84c34c993ae</t>
  </si>
  <si>
    <t>feb3a85548e61273468013786e607c2f</t>
  </si>
  <si>
    <t>74f72d9ffeea6e19328ecb96464ffd1f</t>
  </si>
  <si>
    <t>13c3fc1bd77a80b89ae6befe8f2de908</t>
  </si>
  <si>
    <t>7f2487bc8c102bc1736b8385522fb6b0</t>
  </si>
  <si>
    <t>e533f1c5d23eb130eb56fde3d839ea8d</t>
  </si>
  <si>
    <t>8a39dfaf21b84e48a96de59593a1f127</t>
  </si>
  <si>
    <t>ad5be3c80c880714837217e0657046ea</t>
  </si>
  <si>
    <t>67a0deec1a4b0992a834f352e9721813</t>
  </si>
  <si>
    <t>530f7e66f49eaaa30ef147f76a846c2c</t>
  </si>
  <si>
    <t>fed6d62dab167f5d8dcc967f9c148474</t>
  </si>
  <si>
    <t>4fb67094123cf9112bd8ad4d3eacdb28</t>
  </si>
  <si>
    <t>35d21deaefa52c8a56a049431c687714</t>
  </si>
  <si>
    <t>1af0bb9521c390e2ea8f37c74432dbd9</t>
  </si>
  <si>
    <t>79eef2c0aa7a907d41f3f1b9b81bda1d</t>
  </si>
  <si>
    <t>7e85f617f17e993d84cda1d23c32f2ee</t>
  </si>
  <si>
    <t>9d70773edcd9f69f789759ef170d5c13</t>
  </si>
  <si>
    <t>9787edf2c313e1be09a27c560128e485</t>
  </si>
  <si>
    <t>2201c38820ca516d745722800ecb845e</t>
  </si>
  <si>
    <t>4f74edc2245942f984b8fcb2c75795ba</t>
  </si>
  <si>
    <t>7537fe4f0d174a200218c6a9d29e8c00</t>
  </si>
  <si>
    <t>6e988798c2ac0d6d10c881792dc58521</t>
  </si>
  <si>
    <t>8d843ad9b0385cd1fb8671c158be6c14</t>
  </si>
  <si>
    <t>66f21e777ecbca9c6b1b8c030b7ecd79</t>
  </si>
  <si>
    <t>cd5ae324fe7c80e9a1791e933fc825ac</t>
  </si>
  <si>
    <t>798816f2e5d23d4112a1720bd1d46f58</t>
  </si>
  <si>
    <t>83370bc204595ccb6d0144d8ff843d1a</t>
  </si>
  <si>
    <t>c0d42af4f6597e63070a0069de84bcd1</t>
  </si>
  <si>
    <t>097e0cad67052038c43ecc48b6c12525</t>
  </si>
  <si>
    <t>260c037e305d0ef70d9ff83d70a32883</t>
  </si>
  <si>
    <t>40c8c7a382e847aef545dfb308a47ee1</t>
  </si>
  <si>
    <t>52d7ed321de883ef20448d4cc732ca9b</t>
  </si>
  <si>
    <t>6acaefa571880139a223b2ec387ae2d2</t>
  </si>
  <si>
    <t>9b20dac7cff7ce327649a52a0ddf6858</t>
  </si>
  <si>
    <t>32c973195e35534ea725a5e2a99b1357</t>
  </si>
  <si>
    <t>972d5d57669be896760272ba8862036f</t>
  </si>
  <si>
    <t>5e938891848c9fe63faf5eac7f97fe08</t>
  </si>
  <si>
    <t>1666bc2b053a6494314ce4b284c291a6</t>
  </si>
  <si>
    <t>f75820c17eec7024c8972af543d4d1a6</t>
  </si>
  <si>
    <t>64f22a7c87f797fa6cfa855f089b5b49</t>
  </si>
  <si>
    <t>058ac91fd07cbff24c546b59f42ad9b5</t>
  </si>
  <si>
    <t>e6a7caf754ca6897be71cd606bca4f86</t>
  </si>
  <si>
    <t>bdee5f357b51446a501da458e2b910f0</t>
  </si>
  <si>
    <t>076451d3275dd45952d36897d6442365</t>
  </si>
  <si>
    <t>366fbdddb1c8d50a1e390f218775cabf</t>
  </si>
  <si>
    <t>70fbb28e0d9bb3b5556ff3c182077e01</t>
  </si>
  <si>
    <t>18209c030a8ef99723b3b81b86174aa0</t>
  </si>
  <si>
    <t>9053317b5f4dec1d52af891a9639e2b7</t>
  </si>
  <si>
    <t>a265df650d56e00031456a6cf42323d9</t>
  </si>
  <si>
    <t>bd8e880c923ccd6417576cc8290fb2bd</t>
  </si>
  <si>
    <t>a30d5097aa189a7d49e2b4f467b28af7</t>
  </si>
  <si>
    <t>0ba6eab94639447b2067bdac88bd13d1</t>
  </si>
  <si>
    <t>e7ea8d5a31a3ac4d828c37e787d5b7be</t>
  </si>
  <si>
    <t>b73f6e64378d2f8d8761f9da039479c1</t>
  </si>
  <si>
    <t>b9291d34db6ea0ba842ca512f369c683</t>
  </si>
  <si>
    <t>cf63961d041aabfdb8949e59a4dab893</t>
  </si>
  <si>
    <t>d0887e041a187531d4b0927b1fc7aa60</t>
  </si>
  <si>
    <t>806273b3e9669f6ce89f5c90d42161da</t>
  </si>
  <si>
    <t>7d531cdcd7906117ed1d4adb01a0960b</t>
  </si>
  <si>
    <t>c8a41ff065f286794914e34efaa2bdc6</t>
  </si>
  <si>
    <t>bf1644542685602c3d8925a925d287d0</t>
  </si>
  <si>
    <t>0d92bc7eb78a2037bd46ebd582c52802</t>
  </si>
  <si>
    <t>8bab9c9cc0266d51a5c5bce0dffbdc2d</t>
  </si>
  <si>
    <t>ab1635f01e3640b11742b052f01f7382</t>
  </si>
  <si>
    <t>4775d7abd2077bc478858b6d23e7cd20</t>
  </si>
  <si>
    <t>cbacc3c6bb8ec1cbead217d1cefd7dee</t>
  </si>
  <si>
    <t>1f9d1e74049cd1603238a70896f35771</t>
  </si>
  <si>
    <t>fefac198c3d6cd548623bc7465a29cc8</t>
  </si>
  <si>
    <t>df61766abf5eabf2aa8fd30932d93235</t>
  </si>
  <si>
    <t>b95fd28824c382be9943d04b7e22329a</t>
  </si>
  <si>
    <t>f3d6b9f2d4d7b0cab08d16769d09a404</t>
  </si>
  <si>
    <t>23cd8a4471e64bce88baef4aa8be8d1f</t>
  </si>
  <si>
    <t>1357d2fe2a8f29cecd61647ccbf8b7e9</t>
  </si>
  <si>
    <t>c6ce72ab1dc4e66e2e7904592afaa00e</t>
  </si>
  <si>
    <t>47691dcbd0c9dfc1d13f24955ebc23bf</t>
  </si>
  <si>
    <t>07f2bde7eadce24462ff74f44e92078b</t>
  </si>
  <si>
    <t>41f4d834dcf5d1fccd3a7e734ce33ed4</t>
  </si>
  <si>
    <t>01462442cb0568b66d9e4e0f7155fedf</t>
  </si>
  <si>
    <t>969b666205628059568cc69b1064005c</t>
  </si>
  <si>
    <t>bea29dfec73f6e1baf908e3cdd750e98</t>
  </si>
  <si>
    <t>1eb6d3f0948841cba40cd0eed07f8c45</t>
  </si>
  <si>
    <t>02b622e9808e08d25d264b1b6593b659</t>
  </si>
  <si>
    <t>4aeedf7232256d64c9947eba25b85a8e</t>
  </si>
  <si>
    <t>e208945f04c6050953e1eeef84622ac5</t>
  </si>
  <si>
    <t>540f6345edd44660e80767cca22694a6</t>
  </si>
  <si>
    <t>8e242b1dc5736b1cc0b15ca389ae67cb</t>
  </si>
  <si>
    <t>b69f68c3e60fd4202c33350c73b911d8</t>
  </si>
  <si>
    <t>82601132c02fb24f70100d7e2a5f66e4</t>
  </si>
  <si>
    <t>2fc5229853effcdfea7ec9acae372e39</t>
  </si>
  <si>
    <t>82e52a4070f82c5d8768462a429b01a5</t>
  </si>
  <si>
    <t>7f651d8ad6d4f7ef284b73dd60e3fe8d</t>
  </si>
  <si>
    <t>76dae194439db29d4bc81c16fa2fbd74</t>
  </si>
  <si>
    <t>f5b7741490a6c5b41a70bcdbec202e90</t>
  </si>
  <si>
    <t>3e0643114b2c4073c1143151eb151b3a</t>
  </si>
  <si>
    <t>3a20bb07297c2bb12e6060c3fed6b3b6</t>
  </si>
  <si>
    <t>cedaccec56c07f2b3875c569ee85fb01</t>
  </si>
  <si>
    <t>97104075b8dbfc463a8b17bd0ac35863</t>
  </si>
  <si>
    <t>166c3d7f3dcebe0c65861976f2acf3fc</t>
  </si>
  <si>
    <t>754182e8f8cb57ff586b3c2246527e16</t>
  </si>
  <si>
    <t>a4ba0ef5284af9d8428e31edda36967d</t>
  </si>
  <si>
    <t>cdc7bd02ad3c21793a41a2bc70d294b7</t>
  </si>
  <si>
    <t>98d00c2c17d30f328de1596c5a9a206a</t>
  </si>
  <si>
    <t>3754a771aba5d1c9035c5d033664cafa</t>
  </si>
  <si>
    <t>23f2f68f476a25332d91ac23497dd968</t>
  </si>
  <si>
    <t>a69b4d21efb38c42b0901da22ec46bfe</t>
  </si>
  <si>
    <t>f9f8f5f4ce96c887f8db37f6c3bc5ca7</t>
  </si>
  <si>
    <t>e0f0200824a994d79b48c6fb333f117b</t>
  </si>
  <si>
    <t>84c84c23676e34be78bec228c455da79</t>
  </si>
  <si>
    <t>c339d513afa2c76a29d9525f793aec89</t>
  </si>
  <si>
    <t>735741e5fe1a1ba9c8969c5b45f8c28d</t>
  </si>
  <si>
    <t>72ef917e3af834f29aef9aec7bf18cf4</t>
  </si>
  <si>
    <t>172dc64717e6ae9932d8bc2913707fcb</t>
  </si>
  <si>
    <t>0182c4813bd14558af2f5f8b1a9226d6</t>
  </si>
  <si>
    <t>56aa814e779bfee4a6f70a504903528a</t>
  </si>
  <si>
    <t>aefae7b6f49ee85fafd580eb175217cb</t>
  </si>
  <si>
    <t>6e0d264835ce884149732d6c4dcabfb7</t>
  </si>
  <si>
    <t>d3616b3a7cffae922c4356677b874b4a</t>
  </si>
  <si>
    <t>124311591df56402492ca61297affdcd</t>
  </si>
  <si>
    <t>b9296f54aecb962566c6ea9bdd43fb54</t>
  </si>
  <si>
    <t>6ca6743866dc0f3ddc237929fbacb2e8</t>
  </si>
  <si>
    <t>833ba35ea5a9c1be48d3ef98b8702def</t>
  </si>
  <si>
    <t>0cba3ea338d1651188914fbff59d079f</t>
  </si>
  <si>
    <t>93d025137a045c437f97ebd8457d80a9</t>
  </si>
  <si>
    <t>3f1be0d0f5141058313839757bf33a34</t>
  </si>
  <si>
    <t>fff96acfee4205eea52fc3eceb4e2281</t>
  </si>
  <si>
    <t>b5cbe3f56a66c1847de1bf5daf4847f0</t>
  </si>
  <si>
    <t>ef2adff8cea4f9c41ecadf24f0d1fa72</t>
  </si>
  <si>
    <t>638b66acd4eee3138c487218a892ab6f</t>
  </si>
  <si>
    <t>439c725df6b90ae07395d3fc518775b3</t>
  </si>
  <si>
    <t>3b1e27d9997f14d6c829f373699f96c9</t>
  </si>
  <si>
    <t>5717876833fcfd7df605aa9c2de75a92</t>
  </si>
  <si>
    <t>ca84000350834fef6dec6bbdf69777a1</t>
  </si>
  <si>
    <t>69be173a850ef0add872f72ee5b4a1ae</t>
  </si>
  <si>
    <t>3aad584034ef71df43f19b58df6c0d60</t>
  </si>
  <si>
    <t>af73b3cf331e91f23bc5f97fd173b70b</t>
  </si>
  <si>
    <t>17cb67b86d0f74e6a174a7856f2190cb</t>
  </si>
  <si>
    <t>8e8ded4549adb07b874f7c5c9a0664b9</t>
  </si>
  <si>
    <t>82ce4e0c503eeaf204f73882e3fb8c1d</t>
  </si>
  <si>
    <t>58a44e034ac1a8f4a4ba67d7712b8f43</t>
  </si>
  <si>
    <t>d01548989187c9a0b8663c7ca92dcf4f</t>
  </si>
  <si>
    <t>585dfd17925814d9638cf9e30599e1f2</t>
  </si>
  <si>
    <t>63abd48ffdcdd45c53d32d79f632090a</t>
  </si>
  <si>
    <t>94e40f2fd957cd96678180493fcc7644</t>
  </si>
  <si>
    <t>b2a5c85ba515a145dd0885b17529a2f6</t>
  </si>
  <si>
    <t>2959b9688169d0cf5728c50d95e2b5fc</t>
  </si>
  <si>
    <t>f67839b222b5f4571860ad28d0afb235</t>
  </si>
  <si>
    <t>8faf6d4aa5a99ebcbe0ec2da396c357b</t>
  </si>
  <si>
    <t>05e9f407daada0b12f132a6d2ad55c0b</t>
  </si>
  <si>
    <t>fce5205510627761fdb536ada9da5dd7</t>
  </si>
  <si>
    <t>3defa84993364f7e83efa9f3a1c7cc8a</t>
  </si>
  <si>
    <t>f7aeede80a119bac8df21ad52d36db7e</t>
  </si>
  <si>
    <t>54d144d518ede297acb83fceb3e1511b</t>
  </si>
  <si>
    <t>5c88da6ee551da7a7011a2bece4f4c66</t>
  </si>
  <si>
    <t>4e2b952ee58d55cbcaad515c12afbaeb</t>
  </si>
  <si>
    <t>1d9ddee1e09189f1ca33dd8458c277f1</t>
  </si>
  <si>
    <t>29c036fc58eef3cfdca9fd3393dec16a</t>
  </si>
  <si>
    <t>695f30c595638ea4bbaafa3c7628aede</t>
  </si>
  <si>
    <t>0695a0ba33d5ceaf769633d743177b8e</t>
  </si>
  <si>
    <t>410bfc29be9cafcfed17f6e98cdc718d</t>
  </si>
  <si>
    <t>c5c01d052d37ba8ce7c8f28da7641ff1</t>
  </si>
  <si>
    <t>a9f99d4f9545201e6ecad0f561b0d81f</t>
  </si>
  <si>
    <t>f43006a3dd918930ec1343672e974f7a</t>
  </si>
  <si>
    <t>8995791d8ed3afeff897c7d97a077232</t>
  </si>
  <si>
    <t>0426fcc9255b30e2bdc2b74b38a56b49</t>
  </si>
  <si>
    <t>022111e588fc3da1781d5b6c49694032</t>
  </si>
  <si>
    <t>bb09e7634f39a47fb3288760a1027a45</t>
  </si>
  <si>
    <t>16b3bada122f0f9481d2645b8f8072b9</t>
  </si>
  <si>
    <t>8c3824311779a44c926aa390f4604426</t>
  </si>
  <si>
    <t>0d586c759c1890b3edd79dd87a99cb22</t>
  </si>
  <si>
    <t>ac0f680115b24e1d971546339d4edb71</t>
  </si>
  <si>
    <t>e08644187f3ef59b1638613769f35b2d</t>
  </si>
  <si>
    <t>7cc9d887639ac771b739a28a4ffd5b7a</t>
  </si>
  <si>
    <t>8a063bf5839818fc9d96bf5e4d9e9bb9</t>
  </si>
  <si>
    <t>51d3649c7fffa983081190e9fa1d8ded</t>
  </si>
  <si>
    <t>b517272df7797643becac08c53b04133</t>
  </si>
  <si>
    <t>93303626fac34112bf6247e277b09c85</t>
  </si>
  <si>
    <t>39d3a9cfcdfa76af66eb43b092d2408e</t>
  </si>
  <si>
    <t>56c76990740173c10155aa51bca2c581</t>
  </si>
  <si>
    <t>9d6932c9a9db47b9ca7ecb33787da6d7</t>
  </si>
  <si>
    <t>79468eaed3dc00ee9203c5d2351d1137</t>
  </si>
  <si>
    <t>d983dadff2e5cecf9b6c549460e0b673</t>
  </si>
  <si>
    <t>299152e6c95bc9171c01160cecc9d15a</t>
  </si>
  <si>
    <t>bbc0e8ed32dc80ee0447b659c6a22085</t>
  </si>
  <si>
    <t>9492ba69f8a5764a87c534504c787ac6</t>
  </si>
  <si>
    <t>1cd04b14dd79170f4c67c10f3db195a9</t>
  </si>
  <si>
    <t>266a8733144c3815af4d65d456a6526c</t>
  </si>
  <si>
    <t>bb100491e3fce36716ca77c89d9a7088</t>
  </si>
  <si>
    <t>3c20592fc04a96c4f3b63fe1d1843324</t>
  </si>
  <si>
    <t>5820b3f25989dd6c8d2434f9963dc8bf</t>
  </si>
  <si>
    <t>c1b0f44b29b2b32c1f27fa2c84391819</t>
  </si>
  <si>
    <t>f9c084d4d916fabeda65c703739c937a</t>
  </si>
  <si>
    <t>de61f70d76b00d9f673ad8cbf8e7158b</t>
  </si>
  <si>
    <t>bbfc3897f0271efc049fb2fd9313ea0f</t>
  </si>
  <si>
    <t>6e7eb978869d7b0161f03b994e33db37</t>
  </si>
  <si>
    <t>f273f4a4c7a5b7557a97a5df881e04ef</t>
  </si>
  <si>
    <t>902a459a224e11ba6300423aa112d6a2</t>
  </si>
  <si>
    <t>b7461b725d00df1ba83c1c2bb776e729</t>
  </si>
  <si>
    <t>c4bb4aced0c8da67bec62bbe4d7ec4b1</t>
  </si>
  <si>
    <t>e2f7da514c40a716bcf8fa8f71c01cb1</t>
  </si>
  <si>
    <t>e9c3d3719f688611033057449ae416ba</t>
  </si>
  <si>
    <t>ce54c3a983a95baeb242c5dc657c8dac</t>
  </si>
  <si>
    <t>6ded23f89d60cc7341b74316668e180e</t>
  </si>
  <si>
    <t>9c7a3fb54f601dfdb04701f9baae8df2</t>
  </si>
  <si>
    <t>014d98294e4a516f7d05955b0d9e1328</t>
  </si>
  <si>
    <t>ca3761d219504cc0cf962bfa5427becd</t>
  </si>
  <si>
    <t>b27b3d901a16342c3e2b6091a092f52a</t>
  </si>
  <si>
    <t>304b8590de9e37575260001eeecf67d2</t>
  </si>
  <si>
    <t>0c80b56fa33be6ce910220ca6e0f97b7</t>
  </si>
  <si>
    <t>8dbe81e1161aa2030216d82068195119</t>
  </si>
  <si>
    <t>4811e562a91cf19243e8644b8a45a905</t>
  </si>
  <si>
    <t>68e8f3115295ea96487b25d79cf023dd</t>
  </si>
  <si>
    <t>84c62e4b0c995e2da7a998ab103f3a46</t>
  </si>
  <si>
    <t>124038bb9bb99a3cc1ce653ac7032c2d</t>
  </si>
  <si>
    <t>54e07431cf133b65d450afa2d8e70aeb</t>
  </si>
  <si>
    <t>1ce8e12ff9287d2637c0f87aaaac826e</t>
  </si>
  <si>
    <t>072e35dd55e17880d8bb62b7c75f41dc</t>
  </si>
  <si>
    <t>275759a074516c969c2b4ca9be2f7685</t>
  </si>
  <si>
    <t>e6cfaf54ca9dc28c8d5af123085d07e6</t>
  </si>
  <si>
    <t>413e3c2c256373ffd0ed7c33a4bc556b</t>
  </si>
  <si>
    <t>c2d72b23acaae9bd30c6dff3d914b16d</t>
  </si>
  <si>
    <t>ec170298143df5b3a58e83dd548c1d84</t>
  </si>
  <si>
    <t>90441ec65ef0195ee152dc3a3894de06</t>
  </si>
  <si>
    <t>16933dc7e27d114a05e54cf09771ab1d</t>
  </si>
  <si>
    <t>ff4cc10f979c30cf33261887905881df</t>
  </si>
  <si>
    <t>ed6ae39fb5604484937749f62e2d0681</t>
  </si>
  <si>
    <t>c0539b74fa00a281dfb2591df9b5a1db</t>
  </si>
  <si>
    <t>a3b5bc49f05afb4adaa51cfb605a79a3</t>
  </si>
  <si>
    <t>a6a0b2d06293ff3bf65e166d15354005</t>
  </si>
  <si>
    <t>64425305fa87fb096f26324b3740eaf1</t>
  </si>
  <si>
    <t>96bfae6e37850b5c3ce5988c7e53d702</t>
  </si>
  <si>
    <t>1761f1ce3768d6aafd34d21e3b59475e</t>
  </si>
  <si>
    <t>76e9efdc47e4b3f364ad2b394702fe75</t>
  </si>
  <si>
    <t>347837520b3b81a9ddd652a86925f2d5</t>
  </si>
  <si>
    <t>cd1f5318331f63fbd11fc8c0297ca4ff</t>
  </si>
  <si>
    <t>8b31f4d8e073c1d09929afeb48842a14</t>
  </si>
  <si>
    <t>b9398e8e25fc57c710681724edcc6a95</t>
  </si>
  <si>
    <t>14f32e9bd4977ff67d35960301903474</t>
  </si>
  <si>
    <t>a08a6208ebec8b0a1513a64ba67a2cc7</t>
  </si>
  <si>
    <t>7677fdd887789f1b24ded4ff78a072f4</t>
  </si>
  <si>
    <t>aea398c6ec677b258f6875a3b1fbe012</t>
  </si>
  <si>
    <t>0961b31934033f089a607945e6bbba9e</t>
  </si>
  <si>
    <t>e502fd39b0e0565ab72423d687d5292c</t>
  </si>
  <si>
    <t>5e0a72ab7f5db163b12b66807f072cb9</t>
  </si>
  <si>
    <t>6274d2408e301bcc302fa247239a046d</t>
  </si>
  <si>
    <t>15c2f297ad3053cea8969e7085cd3384</t>
  </si>
  <si>
    <t>c72bf2e89bcfe969473fb005266c3392</t>
  </si>
  <si>
    <t>81a4dce0c8009f5e3139c12d3881efd7</t>
  </si>
  <si>
    <t>ebfabe59cd2ad4f53f916981f6208a2b</t>
  </si>
  <si>
    <t>2f9e3955d8f18fca8b665e8b7dd5be8f</t>
  </si>
  <si>
    <t>0a35653cf57a431e3e6b74fd9f027cbf</t>
  </si>
  <si>
    <t>4518f4c6612a9cc6cfff0d34caa81f13</t>
  </si>
  <si>
    <t>2263e16c66b768bd4f848c317954af2d</t>
  </si>
  <si>
    <t>bfd80514b6413edad327aa9722be2e23</t>
  </si>
  <si>
    <t>efede7bb5909b7d6c353b9e48aa2f756</t>
  </si>
  <si>
    <t>076f3b07a2ec377a305a1bef690903c4</t>
  </si>
  <si>
    <t>0eba6e49946cf4bee13445042964aa99</t>
  </si>
  <si>
    <t>f76e173b0ce401aac7d1b01b198774c1</t>
  </si>
  <si>
    <t>6ebd40abb7539235f2cfea1de44b847c</t>
  </si>
  <si>
    <t>2b0c456b8ab20bf4196dedc0fad34352</t>
  </si>
  <si>
    <t>b1bdd56a5e8fb079a550a4d18e27e044</t>
  </si>
  <si>
    <t>3c91accc5538b109168e8bf69f3df699</t>
  </si>
  <si>
    <t>3dc1e88207122fb9dcd6f58eb457bba6</t>
  </si>
  <si>
    <t>13ea7ae06be1de7dd31096065c969bed</t>
  </si>
  <si>
    <t>cb2b970402134726464bcffb089918a2</t>
  </si>
  <si>
    <t>bb6e3ec1e87f50875c27af1ca03d6f69</t>
  </si>
  <si>
    <t>b701492522fbe906554ed52c126aa315</t>
  </si>
  <si>
    <t>fce12a250804ccea9175fc6351f7c017</t>
  </si>
  <si>
    <t>87e6d238ad592953e24297fc8e144e1f</t>
  </si>
  <si>
    <t>04273eced1213c1bd8fc0b1eed1cf073</t>
  </si>
  <si>
    <t>5ab858a095abe7ae3d9290f06cf7dc55</t>
  </si>
  <si>
    <t>6e7ec1b28deb04141e2d5c821c33eea2</t>
  </si>
  <si>
    <t>4a1a7c2e7aededf46f302743020e2e6a</t>
  </si>
  <si>
    <t>3fa916f9eeb1ecb97008f9e0c28c36b8</t>
  </si>
  <si>
    <t>c2afaa5f019108800f5a1a7cfe4db9ea</t>
  </si>
  <si>
    <t>d7deaa33738d21e8c0a007018acfbadc</t>
  </si>
  <si>
    <t>bb822a1351936ec1e69f4f215b385a6a</t>
  </si>
  <si>
    <t>2e5b80a157a25d1c24e1d1d903f10ab7</t>
  </si>
  <si>
    <t>9677593ecdd118d00ddc0d6e7fa7f07d</t>
  </si>
  <si>
    <t>dd7edcf9fbf0bc30da6173ed594a4f2e</t>
  </si>
  <si>
    <t>c0e3befd4c71e0fe5a0cdd7cf1578470</t>
  </si>
  <si>
    <t>16509f14e5278ea2c80cd031cc214b4e</t>
  </si>
  <si>
    <t>7b4bcaf86b4a3541f123167e596a2b36</t>
  </si>
  <si>
    <t>d10c798391237a9d4f77283d94dbaa54</t>
  </si>
  <si>
    <t>bbe8793ef38b9f9eca8733db9a6b7a29</t>
  </si>
  <si>
    <t>877409a977d21e02ff01cf99988c24c9</t>
  </si>
  <si>
    <t>d41bd8bf64b078a7a4f9a67f9dc3bbee</t>
  </si>
  <si>
    <t>8e36d254d01dc98b7c7519b75fbc8473</t>
  </si>
  <si>
    <t>75912faf2a6e5a4c47aadc66c1b9f9a5</t>
  </si>
  <si>
    <t>ab48cfb7c9cf9646b8011c296c03c1b1</t>
  </si>
  <si>
    <t>a981b098b2cf952da7f333b3f7baf55e</t>
  </si>
  <si>
    <t>69b4119444d18524cf0e1567882d7fc1</t>
  </si>
  <si>
    <t>b5502e2b4bde7d883867f62dda3bce8e</t>
  </si>
  <si>
    <t>3914dce2b08307e1a9b7f1f520fed1f3</t>
  </si>
  <si>
    <t>4674a2f56818f77ea15c6648d355441e</t>
  </si>
  <si>
    <t>4e0270220cc6f6d16d66392cac05ad5c</t>
  </si>
  <si>
    <t>a45a2d29ce87cc55178ebbc2b0bcb6e5</t>
  </si>
  <si>
    <t>4d16f04944d7df9a238b05b72b64777c</t>
  </si>
  <si>
    <t>e60d7a94b483d162b043a39a4f1a84cb</t>
  </si>
  <si>
    <t>9f8d367d6cfaf2ddee28dccd9abbe46b</t>
  </si>
  <si>
    <t>84f612df5f0a74fbb6e7d214f3b5f7d7</t>
  </si>
  <si>
    <t>08699c3c1c666748999eff31387e1146</t>
  </si>
  <si>
    <t>9682d9ff910c4cb725f06b0a264ef59d</t>
  </si>
  <si>
    <t>0adbc4ffe0b55615d3b6ef1b74f76d09</t>
  </si>
  <si>
    <t>5e7e2813a9673fe17fcee629ea8e55a5</t>
  </si>
  <si>
    <t>48e80f7958eba4621976a39a507a61a9</t>
  </si>
  <si>
    <t>3c33499fc4916b7f2d9be5429bc81ea5</t>
  </si>
  <si>
    <t>105a4d407f2632df21c20510b6b2b13c</t>
  </si>
  <si>
    <t>a0909a10fb0f79e518f67e0cbd2898b0</t>
  </si>
  <si>
    <t>6963acba77bd8a1854d3e54dc2335b06</t>
  </si>
  <si>
    <t>8fe069b6eedaa8024568f42689e03e22</t>
  </si>
  <si>
    <t>bcef40f800926d61368b7d6843c6b532</t>
  </si>
  <si>
    <t>19a12723287dff8e2b7418988673cf07</t>
  </si>
  <si>
    <t>b5abf66e0e7e481143eddd879131e5c3</t>
  </si>
  <si>
    <t>35783a449611116ba54bddbb7c56ea1b</t>
  </si>
  <si>
    <t>ac651eb4d460f4be40ddcb1e784f515d</t>
  </si>
  <si>
    <t>f541a44e16ccb813263553ba4299b351</t>
  </si>
  <si>
    <t>3025f0410aa86e33d4cd45a9870d8661</t>
  </si>
  <si>
    <t>4d4e0bd1cb33e3c6a62989b923cce3bb</t>
  </si>
  <si>
    <t>1cbd0fb28dd15aebfbc7b2a5a368d7fa</t>
  </si>
  <si>
    <t>4b225d64fd3e1424782b76f41f9b41d4</t>
  </si>
  <si>
    <t>d3501f5bcb34dc5ee21eb19b2368d3c1</t>
  </si>
  <si>
    <t>19570f0cb0c2598c202e608cafde8320</t>
  </si>
  <si>
    <t>ea163354a35fc9c1980495628972abbd</t>
  </si>
  <si>
    <t>e545fcc626fa466b15733a738266557c</t>
  </si>
  <si>
    <t>147cc606d7bf06363bb18ac9d78f9cf5</t>
  </si>
  <si>
    <t>de1d4653d1128bb8e7b2df91adbd2e33</t>
  </si>
  <si>
    <t>551a7dcd4f842010a48fc1f11be40ba9</t>
  </si>
  <si>
    <t>d7021edd24940bbdb61ae1b04719c1a8</t>
  </si>
  <si>
    <t>939954133112585dfc753dd6db9a7707</t>
  </si>
  <si>
    <t>3c1e0ac4daf09b921da9c3c5c798c498</t>
  </si>
  <si>
    <t>fdb1080f37d425bbd2e54b9efef9b10b</t>
  </si>
  <si>
    <t>cdefeef209c39ca741b419ca1a2a3a8e</t>
  </si>
  <si>
    <t>a36076812bbba89d34fadee106969d48</t>
  </si>
  <si>
    <t>a12b61ae121017873429ce3b89310697</t>
  </si>
  <si>
    <t>97caeef5b8a4c19ff105c2d87acc7c3b</t>
  </si>
  <si>
    <t>e9a84c51aac782acdce2ab067a15422e</t>
  </si>
  <si>
    <t>b85975b0806272a1313250472b22d9cd</t>
  </si>
  <si>
    <t>026b5383a301ec030e5d8c6a79db7862</t>
  </si>
  <si>
    <t>bca0258eb63d65d5505c7527dc57546d</t>
  </si>
  <si>
    <t>31f090219b6fbe204b3a9a83628616f4</t>
  </si>
  <si>
    <t>baff361ab37e3c411a6275f5cf590b8e</t>
  </si>
  <si>
    <t>e00c04a33826ad580e98686d051852dc</t>
  </si>
  <si>
    <t>7b0ea5cd1f1ed5a94994d0add26b24e9</t>
  </si>
  <si>
    <t>9f04fdd0133727c0c533fd1e3f532270</t>
  </si>
  <si>
    <t>9865f96f99f8d29021abbbf24087550b</t>
  </si>
  <si>
    <t>224daafa4003d920aa05fbd528f8344e</t>
  </si>
  <si>
    <t>58f42098591cc524953b0f1fea3e072a</t>
  </si>
  <si>
    <t>d76ac5a808e945489b16acb8e7bd1db7</t>
  </si>
  <si>
    <t>216920d1b78cbafcc1a8a33b6b77fe6e</t>
  </si>
  <si>
    <t>013319d168ec88eb60d2642ea670af0f</t>
  </si>
  <si>
    <t>cf89569de550d73607806e713811b519</t>
  </si>
  <si>
    <t>3eb0b8d1e3e7e32d323eab009fe70bb8</t>
  </si>
  <si>
    <t>4ccb8ee777ea8daafc46b0719adad16b</t>
  </si>
  <si>
    <t>02f5b56384c6c9e3ca318a9c3169f269</t>
  </si>
  <si>
    <t>1b49371038de44f1973d18559a039d06</t>
  </si>
  <si>
    <t>3b1514908b949c8b5e38ff70fe602765</t>
  </si>
  <si>
    <t>379ef4678a2db2e63bfda8a6705fddf5</t>
  </si>
  <si>
    <t>8e2ac3ff3c5dba42cdd8af09451b6267</t>
  </si>
  <si>
    <t>1c7bf8eb4969b2a10361b157b1fbb587</t>
  </si>
  <si>
    <t>6f54d2b9747a2ecddf48d6faba45e0ff</t>
  </si>
  <si>
    <t>07fcb800da4954080011be30e268d92f</t>
  </si>
  <si>
    <t>a1d60cf18a95e0d84794c44dab583656</t>
  </si>
  <si>
    <t>6f35fae2c0821f39577ae5a180b6068f</t>
  </si>
  <si>
    <t>d6f34114292ff954c863453a9786eef2</t>
  </si>
  <si>
    <t>5684b61efdebd7e047e3265250942b90</t>
  </si>
  <si>
    <t>011deb990b2882a5c61c33975c6e7e01</t>
  </si>
  <si>
    <t>b42557ec800afc1e579d16cc88120589</t>
  </si>
  <si>
    <t>e310ff72ad62d0944c4d6e4024e2226c</t>
  </si>
  <si>
    <t>c7ea7fd1ff4f38081a9d7acc44087701</t>
  </si>
  <si>
    <t>abfe1fb5a6c2b716f7bd77509a7650dd</t>
  </si>
  <si>
    <t>7a52e4f6865634e3da216cf7d897de9a</t>
  </si>
  <si>
    <t>b21382b179b62e0121dfbdc3a9524bf2</t>
  </si>
  <si>
    <t>19b17e80dea4ae1754fd9ad39716108e</t>
  </si>
  <si>
    <t>06a61b3dc86e0b55acffa99ff0058f9a</t>
  </si>
  <si>
    <t>3ad4f2040d0147b0d342b5872bba374c</t>
  </si>
  <si>
    <t>462741ec08ac784fca10b49968028b3b</t>
  </si>
  <si>
    <t>41365c29c881464bc3585cfbc75fa0cf</t>
  </si>
  <si>
    <t>2b621afd502d58d99d46df4155c65dc2</t>
  </si>
  <si>
    <t>14493be43e1707b10b61783d27741bc2</t>
  </si>
  <si>
    <t>7f53a88e4efc8248e10b1a477faeb748</t>
  </si>
  <si>
    <t>d65bc676429e70e0eaaa94c8a097efe3</t>
  </si>
  <si>
    <t>5f9c11f0d5221c404b77cf1c418495a4</t>
  </si>
  <si>
    <t>cbbf77ab66ca9c9c2bffd2bff3dda144</t>
  </si>
  <si>
    <t>47d0e6eec96c209079e76f99f8f79639</t>
  </si>
  <si>
    <t>7d2e11bd1708f96ef1762fbdc37114e3</t>
  </si>
  <si>
    <t>c07c5f323e5fe7f59252a62033a83451</t>
  </si>
  <si>
    <t>ed10891ff0546821170bdd1495e7b610</t>
  </si>
  <si>
    <t>f4644b99980afee92e65e66bcfb16cfd</t>
  </si>
  <si>
    <t>7c16128db2c08394e17f29e170286046</t>
  </si>
  <si>
    <t>be98703f50261309a830b0bad43d347d</t>
  </si>
  <si>
    <t>020978dcb8116c2677489b6b97f3d71d</t>
  </si>
  <si>
    <t>b67333e08ceb424f1eca85b31c7378e6</t>
  </si>
  <si>
    <t>4de69711a9718b56b489593eebf8e648</t>
  </si>
  <si>
    <t>e8e23a61107175c2cf13ee0c56f8ad8d</t>
  </si>
  <si>
    <t>895bf8a9b1b9585a432da027a8c5792a</t>
  </si>
  <si>
    <t>4ffc1c545b0a31ea9dc6d7837222534d</t>
  </si>
  <si>
    <t>9950385808cac260b3f5a21cd3e78237</t>
  </si>
  <si>
    <t>b21eafabf64909e81e032a652346f26d</t>
  </si>
  <si>
    <t>472678ac7eaef4528eba2e783b162773</t>
  </si>
  <si>
    <t>b8427379d888dcb61ccc33c17e347f69</t>
  </si>
  <si>
    <t>6f9254fd12e184cef3276dbb5605dfb3</t>
  </si>
  <si>
    <t>284e4cd4f9c3ee050012d399a7af5545</t>
  </si>
  <si>
    <t>953922c05ea0942c3f91c419e846a9df</t>
  </si>
  <si>
    <t>db9bc56e2080293caac5e8a325679f2a</t>
  </si>
  <si>
    <t>d2296fceddf1b853e7a83acba006b58f</t>
  </si>
  <si>
    <t>5f62c1be68b6ec5bcbdae3ef089344bf</t>
  </si>
  <si>
    <t>c534ca08f6f24d1c5bb8b9c8893259f3</t>
  </si>
  <si>
    <t>260b13e04ce6929f7a44bd05cd320878</t>
  </si>
  <si>
    <t>9930300a07006af32b39e995c13ed0d3</t>
  </si>
  <si>
    <t>ae99193708464aa4bfa4cfdd01c31adc</t>
  </si>
  <si>
    <t>26696e53022c6449bcc839fbcbd363a5</t>
  </si>
  <si>
    <t>ae0136ccc6b216df7ae4395e1be0bce6</t>
  </si>
  <si>
    <t>a6fea49817c32ec613ab1631ba640f90</t>
  </si>
  <si>
    <t>399b747bdca4b19e5ffdf1cffc8e920d</t>
  </si>
  <si>
    <t>51a3dfe47962e5a87f7d7604ebd92165</t>
  </si>
  <si>
    <t>3388cf1bd0f383cd6b77548916ca7742</t>
  </si>
  <si>
    <t>88a0d69a95935df6c6c286af4affe799</t>
  </si>
  <si>
    <t>a8f806e8d49892f6b7eb09235c983385</t>
  </si>
  <si>
    <t>3bf0d9c1c156e501b30e96e8b9da5f8c</t>
  </si>
  <si>
    <t>3edec38e07179ef3312168632663ed11</t>
  </si>
  <si>
    <t>5d08c2549e6eac9cc8bc7784a8c99656</t>
  </si>
  <si>
    <t>82d8a7f546ef7aaad2376d229565bc2f</t>
  </si>
  <si>
    <t>3ec77a8f16a46b839c2d9672e3d1803c</t>
  </si>
  <si>
    <t>a535f9d743fffdea3bd9b01571127f4b</t>
  </si>
  <si>
    <t>465fd96b73b6b1439d96d6ddef145b36</t>
  </si>
  <si>
    <t>5e4815f7113a19a0a8e15405a04f3f5c</t>
  </si>
  <si>
    <t>3b9180f58daf7c9793be6e0f67764388</t>
  </si>
  <si>
    <t>aa3f75218ca9724ad481ba963e5bb677</t>
  </si>
  <si>
    <t>f6babccc0acfbd89da3ed15aa4f0708a</t>
  </si>
  <si>
    <t>94eeda02f9aa5d6db2e9d9393fbce063</t>
  </si>
  <si>
    <t>0781eccd512caa25064e97f5883e54a9</t>
  </si>
  <si>
    <t>63ef5e69b61d56f5b91633574b1bdf3b</t>
  </si>
  <si>
    <t>61a651c5faaa53fc094a8492d88d11dd</t>
  </si>
  <si>
    <t>0a7bf7f23d49d1d7bd0a239abcd7bda6</t>
  </si>
  <si>
    <t>7afb83cc4eab6bdd7fb82b3e4234e83e</t>
  </si>
  <si>
    <t>0c0004329244479fea712e4e9d06b0ab</t>
  </si>
  <si>
    <t>2f65fafab0ae8f08c31edbbcf36cb62b</t>
  </si>
  <si>
    <t>867a211ade162c17fd06a17979803efa</t>
  </si>
  <si>
    <t>f0657d730e0ec75e1b48732fdbd0f097</t>
  </si>
  <si>
    <t>6725be2592095726489fc7771b9894c5</t>
  </si>
  <si>
    <t>4c4cd8ab3320ee9459c9971671f57def</t>
  </si>
  <si>
    <t>6287729e12194d94a0970ff4dc420980</t>
  </si>
  <si>
    <t>adfc1dc4f8c43f7a30efcbd3f3cef8b7</t>
  </si>
  <si>
    <t>46b98991e14eb70db380c73a989d9d4a</t>
  </si>
  <si>
    <t>a9434aa096fc734da003cd28ca8f3653</t>
  </si>
  <si>
    <t>93fde248aac04912084d7822da948e70</t>
  </si>
  <si>
    <t>88914b26e555157009795e75671e9bb8</t>
  </si>
  <si>
    <t>0a45e44d4cd8284766b1f859adb5d5e6</t>
  </si>
  <si>
    <t>c62dbaeade70bd3000a2136794fb09f0</t>
  </si>
  <si>
    <t>cb26a809f42973f5d1d18e0b27e7a6bd</t>
  </si>
  <si>
    <t>a5310be0f3914a3648a436ae83a2a06f</t>
  </si>
  <si>
    <t>00256416b908803c73e072cb05fd35aa</t>
  </si>
  <si>
    <t>1fc905f8d4d607350e2f8958de431e06</t>
  </si>
  <si>
    <t>810a9f84cd4ebc4b9bb718a5cd7f9010</t>
  </si>
  <si>
    <t>33d8ae7b505a14fc505fb2037f140af5</t>
  </si>
  <si>
    <t>667393437cfd24be650b8d2cec2adb5f</t>
  </si>
  <si>
    <t>40d92bce7930ba208b040f49d0be73ee</t>
  </si>
  <si>
    <t>2248fe755885dca5cac5ebc79c1817a3</t>
  </si>
  <si>
    <t>8d9a58d83c7c53724d9e6b9fa3ee785f</t>
  </si>
  <si>
    <t>4a4b970c80fb89ee9e6557d072a7410e</t>
  </si>
  <si>
    <t>07f8d4f0f3ea018428f4e3ceadedda80</t>
  </si>
  <si>
    <t>13075157d8c128e7d6cd315508a8ac7f</t>
  </si>
  <si>
    <t>41c7a4069359fb5d9ac725209670efb3</t>
  </si>
  <si>
    <t>257c3b02153bd49ae84b5e24714d466c</t>
  </si>
  <si>
    <t>57d3ec63e3e103bbae8e60755eebc618</t>
  </si>
  <si>
    <t>492eb70c2f035a0c6423421be61aa316</t>
  </si>
  <si>
    <t>721e0a41be396a773454793408b625a3</t>
  </si>
  <si>
    <t>812a1f9b15969802b6dd6257fb7d9f1c</t>
  </si>
  <si>
    <t>c39bf6de704377c39e9be9e29997496b</t>
  </si>
  <si>
    <t>163a6695e7e77386c25110f87cc96b10</t>
  </si>
  <si>
    <t>5373c0730b91eff62e591333e11899a3</t>
  </si>
  <si>
    <t>812ded7e45e0dd8e3c0d541a83cd2fa7</t>
  </si>
  <si>
    <t>ae6b04559cddd7c2d25a0b3f42a1279b</t>
  </si>
  <si>
    <t>acda0a9c2c4d9dd16d91e8b9e2da32dd</t>
  </si>
  <si>
    <t>6abaefa2bbb15da9c076e606831a0705</t>
  </si>
  <si>
    <t>6f5aad529061498fe096521ea2c723d4</t>
  </si>
  <si>
    <t>ef13319e7c0d5c79e89c8fca22ffe9fc</t>
  </si>
  <si>
    <t>1ecacae925bf213d9eca381bfb95d0fc</t>
  </si>
  <si>
    <t>6035d9af4a68bbad1af4cf72da622059</t>
  </si>
  <si>
    <t>04579d6f93d3125a3a5604b37acd003a</t>
  </si>
  <si>
    <t>356bf58832c2c61a9553507b4a8c6e28</t>
  </si>
  <si>
    <t>46510367cbdc43184d85a3d2a1a27485</t>
  </si>
  <si>
    <t>5bf88d1d06ad7920aff7ff5d3b1d12cf</t>
  </si>
  <si>
    <t>0037447f0d99c071f7c8435f8c83bc68</t>
  </si>
  <si>
    <t>8356ed6163fff4b5866a0c09b4cb22f4</t>
  </si>
  <si>
    <t>a282bbabfdb09520b2f881eb754ce511</t>
  </si>
  <si>
    <t>10335eb47acf41f0902fe243b3efbaa9</t>
  </si>
  <si>
    <t>affce532d84606250effa0c12e3a9584</t>
  </si>
  <si>
    <t>65dc8a7e3756befe8e2e160ab054d5c8</t>
  </si>
  <si>
    <t>3c7cb085c784f38bba85241b77087d96</t>
  </si>
  <si>
    <t>d0ef118d9315e61eba1e47dc3cdc8310</t>
  </si>
  <si>
    <t>1e57deb08695864941ee0c2383818bda</t>
  </si>
  <si>
    <t>abff9892c722acc4bd457fdb364665ab</t>
  </si>
  <si>
    <t>0bb432b3d2e76deb10b6a6622ac1d5ca</t>
  </si>
  <si>
    <t>4a298783099c492957059671b031a179</t>
  </si>
  <si>
    <t>50ebda02ece22b67e94d11330a9ffb25</t>
  </si>
  <si>
    <t>bc5f615359d627e32af15324f914cc19</t>
  </si>
  <si>
    <t>9b1fc6d1388149dc5dc960970c90e028</t>
  </si>
  <si>
    <t>fc9dc0d0c2d94cc9dcdbf14e5ca59057</t>
  </si>
  <si>
    <t>69d533176dc75587cd40b648235398a6</t>
  </si>
  <si>
    <t>6da7c95b5d4f97154c9df0495fd2bec3</t>
  </si>
  <si>
    <t>d1c76cf135d3fe5b881fea11d36b06cd</t>
  </si>
  <si>
    <t>2bc133fba9065b41b9be1d009ba585ae</t>
  </si>
  <si>
    <t>c099739c91de413f3ee373b4e88859dd</t>
  </si>
  <si>
    <t>5512a5075f15ee3f891887a73620ab79</t>
  </si>
  <si>
    <t>38e61f158dba2c36fb0100d9d2d93182</t>
  </si>
  <si>
    <t>5315746f2e9ebcda0f2d73b932173c94</t>
  </si>
  <si>
    <t>03c72ba8d605e7708a63f881ffd0f9d5</t>
  </si>
  <si>
    <t>4b86b5a1ca6fbff8564cfbd2bc92fd81</t>
  </si>
  <si>
    <t>75d106f2849c30c6dffa28aec353ac87</t>
  </si>
  <si>
    <t>386e995d3b0148933d9d38e36e078bdc</t>
  </si>
  <si>
    <t>6576796ddf61dbe1b7146c4411b21524</t>
  </si>
  <si>
    <t>aee5b68c6093418ae4723a97a7178558</t>
  </si>
  <si>
    <t>d1e62f2eb5798280e9c7d673e3c08f2d</t>
  </si>
  <si>
    <t>eb04159c0cf173f974d9d1f508775804</t>
  </si>
  <si>
    <t>639d8fe7790b185c355cca9cfb6bf1dc</t>
  </si>
  <si>
    <t>378a8ba6e608d6d31d62c6b55d697934</t>
  </si>
  <si>
    <t>df3e03c2217244cf08081d218d204cf6</t>
  </si>
  <si>
    <t>a9ae7949c5b504dd4e28c5e937080b78</t>
  </si>
  <si>
    <t>ddc418d24a658a7dc1f5e0145fa881b0</t>
  </si>
  <si>
    <t>22498f666e51484d1b84edc3d8e049de</t>
  </si>
  <si>
    <t>d08c1e18b4a5f712a74b151c4b2cdc4e</t>
  </si>
  <si>
    <t>67f396b405109ebfb347fd7bf0e3b50f</t>
  </si>
  <si>
    <t>797486268352a5d609954fc3efb3eb37</t>
  </si>
  <si>
    <t>6f45bada81fa9da6098b5863bb4db99f</t>
  </si>
  <si>
    <t>8f9797b06d7ce3c9b4a69f3c8d3aed99</t>
  </si>
  <si>
    <t>091f73f3a046d4d3e0a8a8afd66f3fff</t>
  </si>
  <si>
    <t>41d893a5ffc7aba263719357f7a58f8d</t>
  </si>
  <si>
    <t>89ed4d64b984933d7745c60d1349ca14</t>
  </si>
  <si>
    <t>18f23779e63f174d0f4634eff98b05df</t>
  </si>
  <si>
    <t>92ecc3bd16757d7ed9fafbb9d8a712cb</t>
  </si>
  <si>
    <t>362e75cf3e573ce2a49acb023d46aa7f</t>
  </si>
  <si>
    <t>0b102144f687df9ed99989111c3de334</t>
  </si>
  <si>
    <t>4362262de07ee721e71d6ba3486dce57</t>
  </si>
  <si>
    <t>10168d654f90f91a544810de2a1b76e3</t>
  </si>
  <si>
    <t>214ba540ea041d0b1b0c90928127a8f7</t>
  </si>
  <si>
    <t>776094f625aa620faf7ead9eed5f24c3</t>
  </si>
  <si>
    <t>d21cf64348c08457464aea483150e60d</t>
  </si>
  <si>
    <t>4bdc759502af25377298dc1d07cdc1e3</t>
  </si>
  <si>
    <t>73c1f6a25e71b6622a1f7077470d8b46</t>
  </si>
  <si>
    <t>95db4721ec607079ca9d32b9c54958d7</t>
  </si>
  <si>
    <t>142ee8fe8256fea784266a0564179ff7</t>
  </si>
  <si>
    <t>ffd2f491dff389aa4c36a70c3f5e3b8c</t>
  </si>
  <si>
    <t>5bebb1c7977f199a374e65388d548038</t>
  </si>
  <si>
    <t>c46ea4cd58f1a399fbc77e9877ad0afc</t>
  </si>
  <si>
    <t>334b2922c6e9c9c4df466896cdbc3b08</t>
  </si>
  <si>
    <t>5a6f9b6b50702efc37ca273b3506880f</t>
  </si>
  <si>
    <t>95ea0734c925f7fa1484e9d65f8c2498</t>
  </si>
  <si>
    <t>c685d4ec3cbba6ad8b20658ef8a8b40f</t>
  </si>
  <si>
    <t>63b1b1812c7350caec85cb819f02e5f4</t>
  </si>
  <si>
    <t>cb80f288446f64dd5abca6e5d0b1e3eb</t>
  </si>
  <si>
    <t>05539a506facc50db2904e7372c573e9</t>
  </si>
  <si>
    <t>7b708f15ebfbc97aeefa4d760f67a174</t>
  </si>
  <si>
    <t>d2242ae57035dec53b108cbabfcbaa55</t>
  </si>
  <si>
    <t>318cac328771aa3b07cd57062560f364</t>
  </si>
  <si>
    <t>c268283ee32f2e63b7fddd71a075e927</t>
  </si>
  <si>
    <t>e14fea786e2f1d3bfd9f45f40816d739</t>
  </si>
  <si>
    <t>e9d79f8fbb02e930e4260ae1c59b7de8</t>
  </si>
  <si>
    <t>ab6b3f08a9a0f4ef2c4f54163c749c16</t>
  </si>
  <si>
    <t>d751af9cf9e6debbafe2487f4fdfaf5d</t>
  </si>
  <si>
    <t>ff16e0f09af50294b37c32d18140d0ac</t>
  </si>
  <si>
    <t>711c767385351a69dabf984e53ff8461</t>
  </si>
  <si>
    <t>bdc5a633ce5b961f585d40112e408d57</t>
  </si>
  <si>
    <t>48d40d840b653f5f74d90398c17a608e</t>
  </si>
  <si>
    <t>04aa8f68b9ae429240121516f1e7a280</t>
  </si>
  <si>
    <t>73f56452689925840ade0b418224153c</t>
  </si>
  <si>
    <t>c5388e2adec01aa2a6ba6a872c81a569</t>
  </si>
  <si>
    <t>0230861491877077e583fa3be8cc5248</t>
  </si>
  <si>
    <t>c4376d895a4eb9f3ad2e4db89defc23f</t>
  </si>
  <si>
    <t>201cbf3b0f3b5f066de28a01d12dbd50</t>
  </si>
  <si>
    <t>948be5484adb6da17b7192b0afc77dad</t>
  </si>
  <si>
    <t>97cf6e6dc25d0c74b4ea341101ca4c2e</t>
  </si>
  <si>
    <t>6160745985c7504bc693da1139c6a1ca</t>
  </si>
  <si>
    <t>93645e439a18e6bb71f6f1a886f73047</t>
  </si>
  <si>
    <t>308c4fb3c49b3bd602044acf6f75793a</t>
  </si>
  <si>
    <t>718d4d05e8e22743b65feea97d824264</t>
  </si>
  <si>
    <t>e90d21cb7f111a368c52d2710a167e18</t>
  </si>
  <si>
    <t>14503e5b2584e91255b067537995ec3f</t>
  </si>
  <si>
    <t>168843992b91aace39f180276f88e2c0</t>
  </si>
  <si>
    <t>673fb5b0ec139f071a655ef60313e3ef</t>
  </si>
  <si>
    <t>36a1b4f73d03994f2aeabc3a691973ce</t>
  </si>
  <si>
    <t>feb3034b1c56cbe0dbf54731b22c79f6</t>
  </si>
  <si>
    <t>08b6f61d316da914407c43704886274c</t>
  </si>
  <si>
    <t>e0218cafba73aa4e86c71c162cfcbb3f</t>
  </si>
  <si>
    <t>08825d14341b2c0918a0f6c0ab2d2fef</t>
  </si>
  <si>
    <t>6332472ccdccd0ec7c65182ecaec902d</t>
  </si>
  <si>
    <t>fe17e8f39700abb04bb8b91d5793f70e</t>
  </si>
  <si>
    <t>9d148109db18fefb8e534765ee6e5ef6</t>
  </si>
  <si>
    <t>fdb943886d0f881213ad147a7fe5339c</t>
  </si>
  <si>
    <t>6c267b562a9edda7761ad9144931b2d4</t>
  </si>
  <si>
    <t>54f5e2f09e9a1e40ba49ccd561853b1a</t>
  </si>
  <si>
    <t>15ab7cd271b905c8945d91a5e33d6982</t>
  </si>
  <si>
    <t>08b92ed4de94da10205b9db819dad534</t>
  </si>
  <si>
    <t>44610c94a29cc64fb8f89cbabb404bc8</t>
  </si>
  <si>
    <t>42e397d9a97b43bd00b736360c81a3cc</t>
  </si>
  <si>
    <t>1035ddda2cf0c77d7801792ba53a43d6</t>
  </si>
  <si>
    <t>efe31ce46c48923d008f03ca8a32c05e</t>
  </si>
  <si>
    <t>01cce1243a2f1b3bb8b5658f9e0fbcff</t>
  </si>
  <si>
    <t>73315c49704d628f35a758ab6aed979f</t>
  </si>
  <si>
    <t>4b814a84742f790ed4bee4e4204d3f55</t>
  </si>
  <si>
    <t>dc739cbc6e04775894eb2ddd02754eca</t>
  </si>
  <si>
    <t>fa96a00dcaf6a7d4fe8c686a9bdf9c67</t>
  </si>
  <si>
    <t>3579c1437ab99428378e65108f10d33e</t>
  </si>
  <si>
    <t>02288f07fbda05aeb2709103cfd6b161</t>
  </si>
  <si>
    <t>fe709416340a22d700bbd5435c98fd57</t>
  </si>
  <si>
    <t>701c3f0c9b43324cafd0c396bb31caeb</t>
  </si>
  <si>
    <t>65a664a23f06051f8cc9308797fcfb3a</t>
  </si>
  <si>
    <t>9ceeaf74a3f2a3db9236948e34ecb64f</t>
  </si>
  <si>
    <t>a15b293e497d1e5c3155dc875905fd87</t>
  </si>
  <si>
    <t>1cd6cf0de228d8e4e964f172a9a9bd76</t>
  </si>
  <si>
    <t>01219aeb07823bfb02851b016707065f</t>
  </si>
  <si>
    <t>bb48bbbaac735be00ceeddc22737f345</t>
  </si>
  <si>
    <t>480af4599f6f4967be876c4fa0af9f67</t>
  </si>
  <si>
    <t>ed2337951313104893b3f363d3073295</t>
  </si>
  <si>
    <t>17f4f88cddfe9121c37b24715e9d870c</t>
  </si>
  <si>
    <t>84221d34d87652b586078b108bac739c</t>
  </si>
  <si>
    <t>79a8832f60971a15c80682d3567b9583</t>
  </si>
  <si>
    <t>897bae296e919cf9c40dc418fbe6cd41</t>
  </si>
  <si>
    <t>b3a7d0e0cb08587d1963c26d6e218b09</t>
  </si>
  <si>
    <t>655ce5080592bfa5b928e23f4ee4334e</t>
  </si>
  <si>
    <t>cab24f241744ee3fd36ec1bd000b1f5e</t>
  </si>
  <si>
    <t>45708ada42b4d95573af2d34d5cd8ed2</t>
  </si>
  <si>
    <t>bd6e2570839d8c611061abba7e02bf27</t>
  </si>
  <si>
    <t>588e3ff3edb50d4c1ab52a7b7c688e33</t>
  </si>
  <si>
    <t>a2b5b4985cb85aedf5f62c976efb63b1</t>
  </si>
  <si>
    <t>7b92a41dbb19f0fec5cbfedd5268c879</t>
  </si>
  <si>
    <t>2b5997f2c447ee3f0525c1b4f73c6a1f</t>
  </si>
  <si>
    <t>36df223906bc0d7123baa2caa90ae1cd</t>
  </si>
  <si>
    <t>c76e8e041b64ef325aa288e1609c6c82</t>
  </si>
  <si>
    <t>cff287e167d135ce1a95a394ba7d3996</t>
  </si>
  <si>
    <t>f8c143756b5a967205dd49911a5cd165</t>
  </si>
  <si>
    <t>59bb814cfe35fadc0bb6014a988be34c</t>
  </si>
  <si>
    <t>964e81dd27e78bbaa4d37418581e60ef</t>
  </si>
  <si>
    <t>c9eb6e3c9860f848a74b2973794954db</t>
  </si>
  <si>
    <t>cca8f708df77c1cc45d1cfbdd2ec8e7a</t>
  </si>
  <si>
    <t>55417f438de848d5f4351ab72140da62</t>
  </si>
  <si>
    <t>bae2719803b686574777be217677a166</t>
  </si>
  <si>
    <t>d3dd8cf853a70e7d1b869a7274242892</t>
  </si>
  <si>
    <t>eefdf1cf6fa760a9c19bfe2a75176bfa</t>
  </si>
  <si>
    <t>9307b36eeeecde56dd94b1cc41797153</t>
  </si>
  <si>
    <t>108d6ac75baca4390963c291242f478f</t>
  </si>
  <si>
    <t>3cc6985fc565ad41acb0bce4164c0e98</t>
  </si>
  <si>
    <t>3d0120f722fc31db0bf6c4172404595d</t>
  </si>
  <si>
    <t>33932b6c9d37efb6eafb3e9054ec84ce</t>
  </si>
  <si>
    <t>f4c8e39396dd6c82a8909e3175175f39</t>
  </si>
  <si>
    <t>f4eae7698366c189cd8d9f751df44d3e</t>
  </si>
  <si>
    <t>7f95897c276aa6ced50755d9a5d04d53</t>
  </si>
  <si>
    <t>ecf27e7685197ff4006ed6e36fa17735</t>
  </si>
  <si>
    <t>80fd963df3d36295ee6bcb89861550f6</t>
  </si>
  <si>
    <t>76120622b0a5448837dbf5313f710a1a</t>
  </si>
  <si>
    <t>b11184e79c4c37b32caf3d2ff026a418</t>
  </si>
  <si>
    <t>3449131842d01a0b4c55542d02cb42d1</t>
  </si>
  <si>
    <t>0684e4388cd5219a6001e75db872c503</t>
  </si>
  <si>
    <t>aba024bd999328992a545726ca9d569a</t>
  </si>
  <si>
    <t>c87849c11ea34e544db7255be2e7855f</t>
  </si>
  <si>
    <t>d08d13dff3dcd264c4b27b21bc0dd6ed</t>
  </si>
  <si>
    <t>56f4927fc5eba017fe0eeda1c01b07c4</t>
  </si>
  <si>
    <t>dffd1d40c41e63d49cb11b5912456606</t>
  </si>
  <si>
    <t>96870bf14f19f81075b4849c7b2ad1ba</t>
  </si>
  <si>
    <t>59782ca7227be08908498f04b842231b</t>
  </si>
  <si>
    <t>dcd5bfaeabb316a7432997801d2c2721</t>
  </si>
  <si>
    <t>8906a4e2460cec89cda40209cd698214</t>
  </si>
  <si>
    <t>e39f6cc716f39bed74c9abd9daacfe2b</t>
  </si>
  <si>
    <t>d699f908d95a017ccb1e7a8c2269d377</t>
  </si>
  <si>
    <t>8aa499b776c968256842e7f5164679a4</t>
  </si>
  <si>
    <t>6eb6c1e08b01c9be7d27519b088fc1e1</t>
  </si>
  <si>
    <t>7c8e107bc02d24a8b5abf569b8253bbb</t>
  </si>
  <si>
    <t>d425906597792b8da519c3e8921603fe</t>
  </si>
  <si>
    <t>f76d15fd7d1645a0d253d966c36b9a0a</t>
  </si>
  <si>
    <t>a31c6761eb002062099a344a1466a2ae</t>
  </si>
  <si>
    <t>2390f607008428f51336980ee4b7405a</t>
  </si>
  <si>
    <t>274b852ab40f1f18c04a00cb58c4c481</t>
  </si>
  <si>
    <t>57f7d71f2978cc731440adec12439b0f</t>
  </si>
  <si>
    <t>5df1bf6f938bd3f88bd18d4bed3353fc</t>
  </si>
  <si>
    <t>2dee003e01d96e9601a0204714aa3ca3</t>
  </si>
  <si>
    <t>a5b5c511e7ad3be20356b6fe12e63e97</t>
  </si>
  <si>
    <t>bb926370d619e0ce69d5ddf51d95cdea</t>
  </si>
  <si>
    <t>2e783af91c1e4c10aaf2f24efe546eed</t>
  </si>
  <si>
    <t>a84510a1c2492e5e005fd0e655c3b2db</t>
  </si>
  <si>
    <t>6a25542effbd9cdd9d84d303ccb03fc5</t>
  </si>
  <si>
    <t>c576c26d98ae0666d066ad21af7d7f21</t>
  </si>
  <si>
    <t>e82399437dec46052deb57f96acac954</t>
  </si>
  <si>
    <t>b68ff0dc718bf53a3864bf75dbd7b4b4</t>
  </si>
  <si>
    <t>90e65aa43d4a49aee83f6a2a52fc6f48</t>
  </si>
  <si>
    <t>e877a70d692fe76c1a204dcc4ae8e236</t>
  </si>
  <si>
    <t>1f7e09deb79908b68095fa69db07a2a9</t>
  </si>
  <si>
    <t>250487e4ada517e3a85d81db9620ed14</t>
  </si>
  <si>
    <t>19519ab3bf5eaf8e7f12e3cdb09a96e3</t>
  </si>
  <si>
    <t>d36e8d21a113384e62e9ee6206278321</t>
  </si>
  <si>
    <t>a38295d31e0ef546b0b6dedf4f9c4027</t>
  </si>
  <si>
    <t>f77b97421e12bbed184c4178935c31d1</t>
  </si>
  <si>
    <t>eddcb5cec99d3b6872a4768ef62f7486</t>
  </si>
  <si>
    <t>68c18df945ca17afe9ea9d49bc94046e</t>
  </si>
  <si>
    <t>0341f831ea4a742b5edce3b7c9ce362d</t>
  </si>
  <si>
    <t>5b1f49796ae1dd7efce364dd55f3d1e7</t>
  </si>
  <si>
    <t>637e4b0122bae10e899ca782e3236d1a</t>
  </si>
  <si>
    <t>deaf528d2e7098380190262059dcabd0</t>
  </si>
  <si>
    <t>5763790255520712af92ef221d2467e2</t>
  </si>
  <si>
    <t>5ef981f8af927913cb50d1f598dcb918</t>
  </si>
  <si>
    <t>c39782737ce8abfb447b9b0c10fb6052</t>
  </si>
  <si>
    <t>48301db78810a1690257ac68cfc47f87</t>
  </si>
  <si>
    <t>52ce32e822b54f371b2e1e898913f2f0</t>
  </si>
  <si>
    <t>391a1488992ada0b546fc668622010bd</t>
  </si>
  <si>
    <t>b1c72493407738479e04215a9e92b9d9</t>
  </si>
  <si>
    <t>a41e13208f28b7a85d2474ab5d83baf5</t>
  </si>
  <si>
    <t>ff84faef5336723b8f96468535145890</t>
  </si>
  <si>
    <t>eba900e16a7d5d964ba172331ac3bf31</t>
  </si>
  <si>
    <t>4d950273cb2cc805d1403430567e642e</t>
  </si>
  <si>
    <t>dcf03433220f6e180b01e9636e2d9483</t>
  </si>
  <si>
    <t>d4e4085ed39c2bfc78536a36923fd0d7</t>
  </si>
  <si>
    <t>c40c5d9146fde062a33dc7afd701410d</t>
  </si>
  <si>
    <t>23ce37db7cb8b49d864b789acd9b79fd</t>
  </si>
  <si>
    <t>2126180ad586cc32d64894cd2766fe92</t>
  </si>
  <si>
    <t>4a4742f64992ac298bedaf07af8ee6b2</t>
  </si>
  <si>
    <t>e3c51ba87122d7a0d12972d323966b83</t>
  </si>
  <si>
    <t>cf3b5aa894deff78ccafa19bf8e274d8</t>
  </si>
  <si>
    <t>348b03d8c05db5447881a49263203fa9</t>
  </si>
  <si>
    <t>23a8bfbe96289af206c0965dd68b717e</t>
  </si>
  <si>
    <t>ea58341101cd8f3c7d0b57ced3d857db</t>
  </si>
  <si>
    <t>d789c6245e14901bfea59d94998c603a</t>
  </si>
  <si>
    <t>a754251d04fe52e3e98a470cb894550a</t>
  </si>
  <si>
    <t>8dcc4d112148c1f41f8a36735b8b0b44</t>
  </si>
  <si>
    <t>5e24038e92a593c81db92330f1276a5c</t>
  </si>
  <si>
    <t>d767a6da231b0c86e97c0ea5341c2d10</t>
  </si>
  <si>
    <t>760fdd9593ddbda134fe6da807e86429</t>
  </si>
  <si>
    <t>e23fcbccbb966a3d49afb037744202f2</t>
  </si>
  <si>
    <t>eb1efddc0d88893344725ab7bc44a417</t>
  </si>
  <si>
    <t>d34d09aed2e106a40d6c659989aae145</t>
  </si>
  <si>
    <t>e755b655d9162e44b0a1762147fefddb</t>
  </si>
  <si>
    <t>2e3c76796dc2d7db97637e6ccd87a06a</t>
  </si>
  <si>
    <t>a18d218df6a0e01fd969c458745d8729</t>
  </si>
  <si>
    <t>f657a9b261deebef80b6d44fc6e4472d</t>
  </si>
  <si>
    <t>74cf633f1ebb649f9ff979be3d77b36f</t>
  </si>
  <si>
    <t>207495abb1cbe822cbee18761d876a3e</t>
  </si>
  <si>
    <t>2f9209fe16c62fb849f75a249d682957</t>
  </si>
  <si>
    <t>a89e22f240afbf3f3df519674d8670bd</t>
  </si>
  <si>
    <t>8513176c1efc1c94e14110b69a920655</t>
  </si>
  <si>
    <t>77a319c6619c4a06f5d68c8f299ccd73</t>
  </si>
  <si>
    <t>670cada1c783870a421e0683dc0a1c8e</t>
  </si>
  <si>
    <t>9398daadd5274a014085fa43a7faaf3a</t>
  </si>
  <si>
    <t>5ab4f09b4de80b736ccbeb851581184d</t>
  </si>
  <si>
    <t>be153187b783e1d5d26404b923f47a55</t>
  </si>
  <si>
    <t>c4b6ae47ea0970c6907e5f2d7f13387a</t>
  </si>
  <si>
    <t>3a1ce4164b046117b2f9fa1a53c54448</t>
  </si>
  <si>
    <t>6bc475b6f310f61d7a3ea7161d199860</t>
  </si>
  <si>
    <t>adf792ffe9c7c13acb5a4d7791fda27f</t>
  </si>
  <si>
    <t>05c656cc610bbab947a9087e409238d6</t>
  </si>
  <si>
    <t>58ca8e2a3aeb35623de1dade0e122b19</t>
  </si>
  <si>
    <t>737cf8b563561add685a9f2b4236c0bf</t>
  </si>
  <si>
    <t>48ded8be031eef965f71dcc462d846d0</t>
  </si>
  <si>
    <t>f2ca2002f650885202bce2e0dfd5988e</t>
  </si>
  <si>
    <t>64b11c490c0cf61e9cc10bd87e6ae55c</t>
  </si>
  <si>
    <t>99f19675be32fa8505d0f23a5ecbb693</t>
  </si>
  <si>
    <t>d7f64255cf979ff07afd0718ebced334</t>
  </si>
  <si>
    <t>b0ddbe62aa35b738c67a56e306fe8fcf</t>
  </si>
  <si>
    <t>5e9be593525706d0fd9c635d3a540890</t>
  </si>
  <si>
    <t>e432d37d1307afb6728ea99437df79d8</t>
  </si>
  <si>
    <t>6dd5346eab2f4642db6fca2700a53ee7</t>
  </si>
  <si>
    <t>0e0f27045265072a16e5b746245c92cb</t>
  </si>
  <si>
    <t>fa7a07d7e806abcc2640dbb1de8aadf1</t>
  </si>
  <si>
    <t>15661feb05c5bf8d321a6c3f47263c24</t>
  </si>
  <si>
    <t>83f06e7ddfaa8505b0acb9bada78f4c5</t>
  </si>
  <si>
    <t>9ad10cac7c20ecf58c4d33b56d817b6b</t>
  </si>
  <si>
    <t>8bef4b48ead0a63c8424643caba6c69d</t>
  </si>
  <si>
    <t>de67a2789313b3a7e5a1c6e4e1886146</t>
  </si>
  <si>
    <t>979bc54cb67819ff9bca0ac21786e4b7</t>
  </si>
  <si>
    <t>d9210c645299607ca33f06f4fe879e56</t>
  </si>
  <si>
    <t>448bfa0a54550f9486e1d4b3dc695efe</t>
  </si>
  <si>
    <t>dc2f392ba9e26bfca769736ab15c9203</t>
  </si>
  <si>
    <t>fea82e3ab54401cb95410a9d090aaa93</t>
  </si>
  <si>
    <t>15b2c2b48cf0f97b4128d40b5fc57ff4</t>
  </si>
  <si>
    <t>6fd83533d57758f5e03c63dfc84bbdf5</t>
  </si>
  <si>
    <t>4ca9cf07b1aa0f6a2a96e1e27194eae2</t>
  </si>
  <si>
    <t>c1369c65ae2ae3413f59e4f2c3093b6e</t>
  </si>
  <si>
    <t>13769ff9578cd875d231f372bfb0942c</t>
  </si>
  <si>
    <t>05ec8e9fa09fc70024ce1460ef5a9491</t>
  </si>
  <si>
    <t>e647bcfcc288635244482593e2327c25</t>
  </si>
  <si>
    <t>63796fa5b84e203df26129777fe54edd</t>
  </si>
  <si>
    <t>6d82bf0be6a19ff8ab9a95851f737931</t>
  </si>
  <si>
    <t>e48dc8b951a59b654fbd4f39b781cf4c</t>
  </si>
  <si>
    <t>c2c26d9f4be972b52b0ee2c844b97f9c</t>
  </si>
  <si>
    <t>9297eaacfcc2ed1892aef13c963bd564</t>
  </si>
  <si>
    <t>a3c9f400ba6c557c84f16d9daf8f8cf0</t>
  </si>
  <si>
    <t>d682a0b47bb7cc429cba7bc6db872c8f</t>
  </si>
  <si>
    <t>27a4f74d3e0299f6448e811766534f79</t>
  </si>
  <si>
    <t>c473d71333353b1bb04570862877e76a</t>
  </si>
  <si>
    <t>24c778a59b4e164b5716dc2e343ada2a</t>
  </si>
  <si>
    <t>2cb37e239a940c6c1c8e806bbdce4d4d</t>
  </si>
  <si>
    <t>fb66bcaf47be30eb836fad3831286dc8</t>
  </si>
  <si>
    <t>e2293661e1534d2bf261b0827387d450</t>
  </si>
  <si>
    <t>33a5335611c6d2ab9f5165169bfe7b18</t>
  </si>
  <si>
    <t>97298a48f9b12bdf38f14931becc1545</t>
  </si>
  <si>
    <t>cee0b7f5d673d8e947bb6aec7500331b</t>
  </si>
  <si>
    <t>a48e40f1d0421dfa56ab087a8bc78e81</t>
  </si>
  <si>
    <t>423cad9d193e478302b342541b1f2eb1</t>
  </si>
  <si>
    <t>d25c7d37ef16d03b987593c3252352f6</t>
  </si>
  <si>
    <t>23c01eb1d49b862d1f7b6b19b2cc4372</t>
  </si>
  <si>
    <t>18441abdbe41635f150a5643a8c1fb64</t>
  </si>
  <si>
    <t>a525dcd008b9b2e94d81c859949e24ad</t>
  </si>
  <si>
    <t>f938c93ca38905fd3b6c4438246236fa</t>
  </si>
  <si>
    <t>4939ef9bead7bec59b4974a540d15c15</t>
  </si>
  <si>
    <t>a2d99503fa6a2e9fd86c332148eee6b2</t>
  </si>
  <si>
    <t>53172e891595310695116c5f34c4f6ad</t>
  </si>
  <si>
    <t>6c911671f5bb6837f2b2c28c2461c797</t>
  </si>
  <si>
    <t>3e896c64e117dac3119c4ea3e1805081</t>
  </si>
  <si>
    <t>f5185923e8292e3bbbfc5dc1fff446b9</t>
  </si>
  <si>
    <t>8673173ae5b58f3084868583906ae95d</t>
  </si>
  <si>
    <t>cc4282cd1474849f3b38102b7bdf1546</t>
  </si>
  <si>
    <t>a76090e77c73a16602f779797466b319</t>
  </si>
  <si>
    <t>03d0ac191df1f0f5d0f36c280b76d6f7</t>
  </si>
  <si>
    <t>3332432b3d10fa95e8a442385fe8b710</t>
  </si>
  <si>
    <t>3590874c8992b69182546e92fb5ae35a</t>
  </si>
  <si>
    <t>89b5aab0c12169db2f12b150605fb1eb</t>
  </si>
  <si>
    <t>46b821c7fe731856f1fcfc366ad3cc40</t>
  </si>
  <si>
    <t>edd97a1afa585b278ce3e7c3f6eab3a0</t>
  </si>
  <si>
    <t>7bdd41b37b142917927446b602ff9754</t>
  </si>
  <si>
    <t>85e1b28dae70f6f5015a749b686cd27d</t>
  </si>
  <si>
    <t>250d235f1feba1e73bb1591b2e832bbe</t>
  </si>
  <si>
    <t>2b105a3d7f07a2adc4c1d18113e8b22b</t>
  </si>
  <si>
    <t>3677f5b463a1bcaa0311362650f51e97</t>
  </si>
  <si>
    <t>30e5f5ebf9733885ff1d7d3439ac5f4b</t>
  </si>
  <si>
    <t>8637584475707bd6bf922ea50f417135</t>
  </si>
  <si>
    <t>2b0cba4118182465d43f46de333ad1ae</t>
  </si>
  <si>
    <t>228c4f0cc49dc4fccc641c0031b41e88</t>
  </si>
  <si>
    <t>f62e329e32c21a259317bf7bd45b1527</t>
  </si>
  <si>
    <t>69f092d810ed1570974f60309c077c09</t>
  </si>
  <si>
    <t>2926205d0d53551ab4f02f6faf3f9d9a</t>
  </si>
  <si>
    <t>9b125dfb2804335a331165e02c5cce54</t>
  </si>
  <si>
    <t>f57f2bba3fbacf5fa576db480cc46000</t>
  </si>
  <si>
    <t>4af3e1d7632cd0925b80f397f347e18d</t>
  </si>
  <si>
    <t>4b2e0335e9799c8ea5eaf9f626d3995e</t>
  </si>
  <si>
    <t>460781e5efd8dfa91b952ae5506801b9</t>
  </si>
  <si>
    <t>f17b25efa5b8f158f64c81bf77746c09</t>
  </si>
  <si>
    <t>31b53390a81a1d16129226f9f6e0a26e</t>
  </si>
  <si>
    <t>b141d1f07a6c9048075e502673ec1831</t>
  </si>
  <si>
    <t>506e50c77aa061e9336b00cbb1fead13</t>
  </si>
  <si>
    <t>0a872ac28f3f5995e468eb64f7d2a2ee</t>
  </si>
  <si>
    <t>09e8ede2da2777afa6ed0e6be43a3562</t>
  </si>
  <si>
    <t>04ae6d5ac62d7b34ddbd67b14279c1cc</t>
  </si>
  <si>
    <t>678f5465228dc4227a52cd11cb3232ab</t>
  </si>
  <si>
    <t>f7cb1a77409be03dc9ac091142073e4f</t>
  </si>
  <si>
    <t>d57e4322039663d0133ee71e2fc82f4d</t>
  </si>
  <si>
    <t>9dedb8538658c2e585123413d9e323be</t>
  </si>
  <si>
    <t>f1b159b61e8c849937d9f94a87e823e5</t>
  </si>
  <si>
    <t>ff0df117da0e862a4b3e8d2acf7415e8</t>
  </si>
  <si>
    <t>e45c500eebddcd370db5ed45fcfc7f44</t>
  </si>
  <si>
    <t>1f119c0f3967e60a823dd1075c8ac066</t>
  </si>
  <si>
    <t>d37d8533714a0ae0398e1f36ffdb3a38</t>
  </si>
  <si>
    <t>3a38b844afbffde4a0226155df695d17</t>
  </si>
  <si>
    <t>eba2a67c9c433e67871d5bfce67410de</t>
  </si>
  <si>
    <t>89953dd10976e09f15936f424d3129b3</t>
  </si>
  <si>
    <t>14a1c64bedeac5b89cc862cdbd4211d1</t>
  </si>
  <si>
    <t>d02b4c3a6610ba20f0b0c031098aef72</t>
  </si>
  <si>
    <t>0f2fea57088393111216e243634ee115</t>
  </si>
  <si>
    <t>b5c12af0a296884f541eb2a47d82e0de</t>
  </si>
  <si>
    <t>f0d2421a7605ae29865523f88ab0a9fa</t>
  </si>
  <si>
    <t>076d07c5700d5278b081391ceb035822</t>
  </si>
  <si>
    <t>ce36e92a58e9d0aac1b6edd4a50784cb</t>
  </si>
  <si>
    <t>b99b70d6bc6aa8a7be332380b7aa53b6</t>
  </si>
  <si>
    <t>e780ac62ce81d5416d4aa11691bed6c8</t>
  </si>
  <si>
    <t>c8bc1c88fe600c12da8746db8338b815</t>
  </si>
  <si>
    <t>f832cee9204612c00d11f275553d549a</t>
  </si>
  <si>
    <t>1a8777b0855fc748c6d273f94d2cd22d</t>
  </si>
  <si>
    <t>90a6dffe45bbfb02f99cf98f62d8d220</t>
  </si>
  <si>
    <t>0a121024a5a2d5ac48f8672bd60112bd</t>
  </si>
  <si>
    <t>959cc9ceba8a946af8d86c4080af677b</t>
  </si>
  <si>
    <t>806d345714dc2143702238e68841d98b</t>
  </si>
  <si>
    <t>172789242508f357474a3674ba098484</t>
  </si>
  <si>
    <t>be00565d5bad43317366c60651ae2d48</t>
  </si>
  <si>
    <t>3ee2b11c2fd2908feea163a7889dc47e</t>
  </si>
  <si>
    <t>91f97c1681b603bd48468d499ac11a87</t>
  </si>
  <si>
    <t>b38fda15f03bbd44a604efc616010fdd</t>
  </si>
  <si>
    <t>022b66839033da6587cf63fd11836c4f</t>
  </si>
  <si>
    <t>b6a787b1c3cb0c28474cfa297fc5ae23</t>
  </si>
  <si>
    <t>3c98fe89ec6ee5ca573f9ac917ee7fc7</t>
  </si>
  <si>
    <t>059d42e6b348f0fed47ebb90c79e46ae</t>
  </si>
  <si>
    <t>8d25f8e12624054343a21d52d12e73a1</t>
  </si>
  <si>
    <t>7a4c75d4dc99e04cf0e98b3b40a26c60</t>
  </si>
  <si>
    <t>97ae50f08a39068bcbede473e3ebf7c1</t>
  </si>
  <si>
    <t>b92c8a723a17d79a3a42958b65c2e80d</t>
  </si>
  <si>
    <t>5cb9635c75f73b073a4962d177e43d33</t>
  </si>
  <si>
    <t>90ea31debd95c7f5dbaa1aa2ab9c405d</t>
  </si>
  <si>
    <t>5a663824a0216b00a43ccdd56bb0c8a0</t>
  </si>
  <si>
    <t>9d2bc6aebd399a47a9cb126df5fc402b</t>
  </si>
  <si>
    <t>4d1548c64fcfc66ca5198e6fd738d6ed</t>
  </si>
  <si>
    <t>4415f0cb38cc1827d2e9bc783a411bee</t>
  </si>
  <si>
    <t>50c187fcce177b4e0837b8a3d261a7ab</t>
  </si>
  <si>
    <t>8c0b393a13335bc9bb635ff529310971</t>
  </si>
  <si>
    <t>c2fd7e2d95eef4033e72e4023a4317a1</t>
  </si>
  <si>
    <t>6d2bc99de7eca309296fc0d76a632a6b</t>
  </si>
  <si>
    <t>f701f1f4a48f93b431a9b14c7f49d0d9</t>
  </si>
  <si>
    <t>295fa092a310ca23eddc60d8e3b683d4</t>
  </si>
  <si>
    <t>2385c2218c8cbdd551ed328bdfefbce2</t>
  </si>
  <si>
    <t>c6b6020a67a559366d744a0b3f2d39c8</t>
  </si>
  <si>
    <t>9a86013df6c9dd3806a2074c61025637</t>
  </si>
  <si>
    <t>15a15a52f710900bd3c1fe3f4ce7db3f</t>
  </si>
  <si>
    <t>78e8bf15c7753db0b795e838ede652f5</t>
  </si>
  <si>
    <t>6f4a488065da20e18811812793592195</t>
  </si>
  <si>
    <t>3dfe5ff4d757d743be9bab1a769b80ab</t>
  </si>
  <si>
    <t>3fe1e8f335adde8843e4f66802ead2df</t>
  </si>
  <si>
    <t>18fc83b74b356e9a2e5eeb6a8ee9581a</t>
  </si>
  <si>
    <t>b5b71c24785ca87b1f69e2b1d45e087f</t>
  </si>
  <si>
    <t>ad8cc85c53559e80bc5e3e2fcebc1bd7</t>
  </si>
  <si>
    <t>e1a29ffab7ed70cff111be9e8545b11f</t>
  </si>
  <si>
    <t>51e117993f39562d6b06e92fb62a7941</t>
  </si>
  <si>
    <t>69d1b0370385c534b23bbe88d478f5dc</t>
  </si>
  <si>
    <t>57b525e0e222af50a131b2983292d4d1</t>
  </si>
  <si>
    <t>ef36feb1bb8f7b2bd91b1cb635eabd3e</t>
  </si>
  <si>
    <t>9df2055436ba48926c905f13ba7e6b51</t>
  </si>
  <si>
    <t>81140235f5b4aee10836a865fee33607</t>
  </si>
  <si>
    <t>c1e464fb180c2ae3783b0d47fc46d1b7</t>
  </si>
  <si>
    <t>d1d0cc642f3157fa75ca15dcc08c62fc</t>
  </si>
  <si>
    <t>b7062cfa29cc07893ff93134650e78e4</t>
  </si>
  <si>
    <t>9190c53fb2d2570a2ef634f2a8b97820</t>
  </si>
  <si>
    <t>4dd7cb5cb5a78756ef4055ddd98d213c</t>
  </si>
  <si>
    <t>0d8f808d9c0e6192f88c266401bc075c</t>
  </si>
  <si>
    <t>34a9c479c9e6dec2b80504fdc7e72b71</t>
  </si>
  <si>
    <t>6f62752490ac70630476444d0658a5a8</t>
  </si>
  <si>
    <t>4c59c04d37590e762ebf3f1f3fe8e098</t>
  </si>
  <si>
    <t>246354342fbebc777e2de03493e8b90d</t>
  </si>
  <si>
    <t>5806a961b9d707a9e74ed0b3bdce635f</t>
  </si>
  <si>
    <t>1ecf8aec9a11ddf4be1a35c9a12ac11c</t>
  </si>
  <si>
    <t>85b69e95cc009f08206faddb1a31c87e</t>
  </si>
  <si>
    <t>614996d101db80b404221bf274faebdd</t>
  </si>
  <si>
    <t>a2a5ef39c163df1bdf32f343a562f0a0</t>
  </si>
  <si>
    <t>d8bb1c4ef3e6270444087b439eead5de</t>
  </si>
  <si>
    <t>fd508f47652a176af31923cb15eb89a8</t>
  </si>
  <si>
    <t>517eaaa6406eb2c68e0b38abc5c68438</t>
  </si>
  <si>
    <t>1a2a73ed562b0f79c37459eef50bea63</t>
  </si>
  <si>
    <t>44656d6b81fb18b3c9a7d91fef2ae713</t>
  </si>
  <si>
    <t>5ca260c9eb7607c9b08a4895d4ffa666</t>
  </si>
  <si>
    <t>231d260bb362cd559b0ada0b9f6facc1</t>
  </si>
  <si>
    <t>03c50ab302a48d6e5a9efefcf07c0e77</t>
  </si>
  <si>
    <t>9c01a3459b751b4f0a6ac9304bc65ea5</t>
  </si>
  <si>
    <t>7982b4a42163e6976f643c79d840efbd</t>
  </si>
  <si>
    <t>dd0d27ddac56ade449515159cc66c8a1</t>
  </si>
  <si>
    <t>10df997455ab946da5b5cdc2a181c85e</t>
  </si>
  <si>
    <t>5dad348e57d52b789cf3137ef562037b</t>
  </si>
  <si>
    <t>eb3cc270e188d3d7a573dc3049b49625</t>
  </si>
  <si>
    <t>dc07605e57628c8427180985f2d6c18c</t>
  </si>
  <si>
    <t>f561f4c33fa58bda02abe229146f1928</t>
  </si>
  <si>
    <t>097703b3ef29d493fd7fbd90d0dd1259</t>
  </si>
  <si>
    <t>2443cd7942052edf7cb358090a662d29</t>
  </si>
  <si>
    <t>101d759e3066478c4aa0d842057fdd20</t>
  </si>
  <si>
    <t>f36c1c45a942b4d7bd2dfffffe85544c</t>
  </si>
  <si>
    <t>0af20a23e3c60f792a0e0060ae2a9c01</t>
  </si>
  <si>
    <t>0ab0b4ba412bbecbc9e5943b29c896f8</t>
  </si>
  <si>
    <t>e8273dee9d7e4eb723fd6adec17fcf19</t>
  </si>
  <si>
    <t>0ffed18429c491dd33dfeff60ef6da2a</t>
  </si>
  <si>
    <t>30890e765ffb04563516d066894b984f</t>
  </si>
  <si>
    <t>5f26946654d1332ae3082ddcc9c04b7d</t>
  </si>
  <si>
    <t>89924e2d0400e249f8bb1616418860b9</t>
  </si>
  <si>
    <t>84add36e67b3a154e67ae19a3c6736b0</t>
  </si>
  <si>
    <t>c8e8253169b7aabc06b0bb2f93e77ff9</t>
  </si>
  <si>
    <t>7feb2b418fda8d85520a9f1a06470faf</t>
  </si>
  <si>
    <t>6605de3c15c7bc834336ffe5663166a7</t>
  </si>
  <si>
    <t>c3d0bde3cfbba84a80b570137f29c9e7</t>
  </si>
  <si>
    <t>4cc6d67ecddb3f9e81300e684d45d885</t>
  </si>
  <si>
    <t>031fdae1b8ab8e09c5da3dcc4dd70974</t>
  </si>
  <si>
    <t>df2182e23056786c45a275bc8fdd7514</t>
  </si>
  <si>
    <t>6744acd4cfdfc6f9eb0f827ce82a3879</t>
  </si>
  <si>
    <t>02fb28690df80b899ce7eed1fcdfe961</t>
  </si>
  <si>
    <t>a8c62c4ddc1c4e12e4ac1e29d3c6756c</t>
  </si>
  <si>
    <t>feb9ea24933c8d0086800a0b42791490</t>
  </si>
  <si>
    <t>c98cd5fb14c62aba89c2fba5648df4c0</t>
  </si>
  <si>
    <t>66a466d494c8a69d44b1a1ee794836f2</t>
  </si>
  <si>
    <t>e81800643e447305eb55920d81d231cb</t>
  </si>
  <si>
    <t>204fcbe4adec6f15bfdc2b0d19ffa018</t>
  </si>
  <si>
    <t>db12ad2ea7366835af88761909c332ee</t>
  </si>
  <si>
    <t>4458b006332cce0a0e7da698ab95c72f</t>
  </si>
  <si>
    <t>346b544c31ccd55c18db494a56f2ce96</t>
  </si>
  <si>
    <t>fe4aa0037c06d533eeb7898191fa7144</t>
  </si>
  <si>
    <t>18eefdc360a444b84f52bf2122963760</t>
  </si>
  <si>
    <t>eb20023718c321f47ee2d7aa32a4d31a</t>
  </si>
  <si>
    <t>02472360aea4a441c47fa57ef796611f</t>
  </si>
  <si>
    <t>546f97fb0ecc8af97bab0e9ea62060b9</t>
  </si>
  <si>
    <t>bbe43aa78c58fff0a15cf032930e7347</t>
  </si>
  <si>
    <t>c8e6cd4b4febaa0edbfb491a9b0e9a7e</t>
  </si>
  <si>
    <t>8cc1e0363c253eb3e62e54eb878ab369</t>
  </si>
  <si>
    <t>8c306073e8e4c8deddd98c67dac5169d</t>
  </si>
  <si>
    <t>3f3f433d1f1540cc4d1567e80329d92d</t>
  </si>
  <si>
    <t>8a88527a25fdb59204ffd53eba5f0d52</t>
  </si>
  <si>
    <t>64315fc269464f3f514f6fd9accc1507</t>
  </si>
  <si>
    <t>1ccb27cf258e85589c01a7dea617a28c</t>
  </si>
  <si>
    <t>6c6e8796893e2b89dadfc49942e4bf01</t>
  </si>
  <si>
    <t>7d457a09402d35e81f47d9021ba84a91</t>
  </si>
  <si>
    <t>ccb6588f61b1ad358e8f4854956d92e2</t>
  </si>
  <si>
    <t>ae4c84ffa8c01f05c478f6f1b88ec318</t>
  </si>
  <si>
    <t>f17daa267357d500fcfd348c00f0f7fe</t>
  </si>
  <si>
    <t>695ae210973cb616f945cfd4678ea95f</t>
  </si>
  <si>
    <t>4a4b55630cf477ef18c8a61624108e9a</t>
  </si>
  <si>
    <t>74246baa2dcafc820660a3e9736d417c</t>
  </si>
  <si>
    <t>9136e5301f0733df7b68b323c7a2ee6f</t>
  </si>
  <si>
    <t>88b04b777feb4cf34ec77371a4b65cfa</t>
  </si>
  <si>
    <t>35b7215ecd68cb3998a0db610fa99695</t>
  </si>
  <si>
    <t>4d564ca1099c3693fe59189f3035fa61</t>
  </si>
  <si>
    <t>057eaa6f29de65e62e89a6ed7453c9c3</t>
  </si>
  <si>
    <t>dfe328d550be629444c1a38ce702c0d8</t>
  </si>
  <si>
    <t>544c14d1503ba8c3ce830e27c5efd670</t>
  </si>
  <si>
    <t>a9fb1b548fbd2cfdc651a34f5a0f3cdb</t>
  </si>
  <si>
    <t>d88a061923f1127bd7ebc00bff68728e</t>
  </si>
  <si>
    <t>5edb0d3cb0b63bcf08601833479d0cda</t>
  </si>
  <si>
    <t>e2696a738b2dfd839b5de3c9dbb9c173</t>
  </si>
  <si>
    <t>c7df66009aa0bf744e8bafc4cb208d25</t>
  </si>
  <si>
    <t>85ee751c6d0473e78adf1e46d403fd02</t>
  </si>
  <si>
    <t>a34321bf7aeee7df5bd55037f7444596</t>
  </si>
  <si>
    <t>c01ba459ec7fdc2efb0059ff563bf6e0</t>
  </si>
  <si>
    <t>a1295a39dce6ea642d5c4588c60e35b6</t>
  </si>
  <si>
    <t>52ec03caae957e1c667a63706e12d255</t>
  </si>
  <si>
    <t>6a65d16c304896aae4045f1e8ecdf68c</t>
  </si>
  <si>
    <t>878aaed9233ffc8292ec89af13aec376</t>
  </si>
  <si>
    <t>173d5030077d868859fe1c45abac7bf8</t>
  </si>
  <si>
    <t>537b84366ed9a39d5a881ca43b4d3447</t>
  </si>
  <si>
    <t>29ca6e42d09ae2dca3dd65b3998549bc</t>
  </si>
  <si>
    <t>122533fd765e3ce808676b2a0b39c366</t>
  </si>
  <si>
    <t>8be5199ee212b2e8a91a0e8b424a1f16</t>
  </si>
  <si>
    <t>f2c76b30fb7e6256a4c956c886d79a32</t>
  </si>
  <si>
    <t>efdeda89b1743e034666495fa69d152f</t>
  </si>
  <si>
    <t>c5384872deaa543e1edbbe71de2a2ddf</t>
  </si>
  <si>
    <t>e545281b15b5bc25eb7cd628ecb948f7</t>
  </si>
  <si>
    <t>d97eb35599870266dc63a196946320bc</t>
  </si>
  <si>
    <t>105fef51b0af70d24e3e4f5f04612c71</t>
  </si>
  <si>
    <t>9cc259bce4c4cc4c61a2eb14a4918bd2</t>
  </si>
  <si>
    <t>f10b394d6021a15b4207fb5152ffeff5</t>
  </si>
  <si>
    <t>6bc822f46893a38a14dd93141e32e3e1</t>
  </si>
  <si>
    <t>8d185c2ad554fadf76339d1d6694940d</t>
  </si>
  <si>
    <t>8e2d33d00097d5f0f6be5f8c78aa9c52</t>
  </si>
  <si>
    <t>c7a7a071d2621558e6dd8969aada8ba0</t>
  </si>
  <si>
    <t>f9b81e658a34b26b72cc3fc55f775a7a</t>
  </si>
  <si>
    <t>d2c4c2865a0461c9947defcf88cfc53d</t>
  </si>
  <si>
    <t>9872643b974f65f59b228880fffb0041</t>
  </si>
  <si>
    <t>ea6c32b47950d1be1cf423ead1435d59</t>
  </si>
  <si>
    <t>e03c119aa0ca381cbc3dc68a87d49f49</t>
  </si>
  <si>
    <t>7e14686b2a3b60034f54c90edb7611cd</t>
  </si>
  <si>
    <t>d85c2ff420007b10377a163b0eefde0b</t>
  </si>
  <si>
    <t>1fa2e8fcb60b299ab7c39b3fb9c1035c</t>
  </si>
  <si>
    <t>a67897538f1a5d4a72ced11f8f59748b</t>
  </si>
  <si>
    <t>0027112ab75901d03036781cc0d98272</t>
  </si>
  <si>
    <t>29723882a6d9d3d105ddf023af0caa3c</t>
  </si>
  <si>
    <t>5cdd0f45358893f1280b0996517e71e0</t>
  </si>
  <si>
    <t>b0b128a224c6ab6dd13fcc1ad9add770</t>
  </si>
  <si>
    <t>61f6dfbe114b3c79420079f51dc3c26e</t>
  </si>
  <si>
    <t>99252280b81cc43bf99a36206ee2f9bf</t>
  </si>
  <si>
    <t>4c3b4e466696c1a63e06d24cd0df7ce3</t>
  </si>
  <si>
    <t>3da70577aee1e86b9ea556aa61ee6c5b</t>
  </si>
  <si>
    <t>5d679515f8c5ef5c88f757fbd81b6bb7</t>
  </si>
  <si>
    <t>d5bccd83bb853c919ae5fbbc0f657cc9</t>
  </si>
  <si>
    <t>b677fcbe9928662561a2bcaa3791ed72</t>
  </si>
  <si>
    <t>f99f070420f0156a1e6a66289c6d52d5</t>
  </si>
  <si>
    <t>d123f7c1b7a1267e9a1e00365cbaa496</t>
  </si>
  <si>
    <t>8ca17f756b2d470a62186d103ef3d5be</t>
  </si>
  <si>
    <t>3d162ab9b01c9191e81b60ffda41a15f</t>
  </si>
  <si>
    <t>ad9f0e532e671517e8e52412660f475f</t>
  </si>
  <si>
    <t>adc25f1664b30768fdfd984e16107d90</t>
  </si>
  <si>
    <t>c4ca00d78a66de6724d4d5a31bc2197e</t>
  </si>
  <si>
    <t>7535ddc2c555b4b58eb58d5c7e8f5f03</t>
  </si>
  <si>
    <t>c098e2b47a798ed42a0bfd9ff58f9bdd</t>
  </si>
  <si>
    <t>64baaea10cd4ba10b4666d9946d5d341</t>
  </si>
  <si>
    <t>a453cfdc86d95abd044b6c425ffb3b71</t>
  </si>
  <si>
    <t>7bb3447be9aa144b9dd43675ef145064</t>
  </si>
  <si>
    <t>f83893a210f356765a853cd8cbb86be0</t>
  </si>
  <si>
    <t>0d06d89169808e3c9fa3fe4bdebf96d3</t>
  </si>
  <si>
    <t>8728066203f2ffe0c8eff82f75887389</t>
  </si>
  <si>
    <t>be9c05336d866f777d918fcbffbdefdc</t>
  </si>
  <si>
    <t>4c0980210299cb289bd53714614f2082</t>
  </si>
  <si>
    <t>7ad30e2a0413ffc7173a0c96ffbb4bcc</t>
  </si>
  <si>
    <t>fad5ab170ebd9eef0836b2d104dbe9aa</t>
  </si>
  <si>
    <t>875cf0673432327f0db04a2c2a24cab7</t>
  </si>
  <si>
    <t>e74c87ebf10a373d1407a94b0e594ba4</t>
  </si>
  <si>
    <t>67cc3176c02ac52a582f5c694be9e5d7</t>
  </si>
  <si>
    <t>5ef97dbae07d0865ef38f3cc301f5433</t>
  </si>
  <si>
    <t>d5b654383ecd088801afb939c4df5b8d</t>
  </si>
  <si>
    <t>73dd8d3140e10b51112858041243161c</t>
  </si>
  <si>
    <t>5452185cecfc912a490a4abdb18848f9</t>
  </si>
  <si>
    <t>c6a1a468afb3e3addc432ed564caa1c7</t>
  </si>
  <si>
    <t>04d999e6388211e059cda20b831c3139</t>
  </si>
  <si>
    <t>7c263cec6c22c110d4f10cf9f12ee3a3</t>
  </si>
  <si>
    <t>f473c022981b99f9c145419c74ebfa0d</t>
  </si>
  <si>
    <t>7f353843d25bb219991228bed483764a</t>
  </si>
  <si>
    <t>ee4ebb16d980a784185708fa426e08b6</t>
  </si>
  <si>
    <t>689998d64e444af9b106c45a71f6aee9</t>
  </si>
  <si>
    <t>b2a3f8e59bab29cf284e8078525aaa7d</t>
  </si>
  <si>
    <t>999413ccff9957a888adb388287e4086</t>
  </si>
  <si>
    <t>bc1cd60d7d9c03c773deaa5655eef366</t>
  </si>
  <si>
    <t>be1924aadab712f6764231c326daf6d1</t>
  </si>
  <si>
    <t>8a426ff020984689c78ae6ce0a199083</t>
  </si>
  <si>
    <t>a289499e2a6716d4ae2e7dd219a2a602</t>
  </si>
  <si>
    <t>e3fa68932cd4e76df40ab6cf31c78a33</t>
  </si>
  <si>
    <t>1e79df28794826b3a75d097838561675</t>
  </si>
  <si>
    <t>59c13918b6b0a72650399f423ec6f665</t>
  </si>
  <si>
    <t>5bda0655f06dca247bc6e121bb64a525</t>
  </si>
  <si>
    <t>3ad51382119fb03e97314c9198b6691b</t>
  </si>
  <si>
    <t>6cfb6acc2e0c5488a76f7d3c62522f26</t>
  </si>
  <si>
    <t>fcbfa2ca96a805bbb7a7d1bac6e43494</t>
  </si>
  <si>
    <t>5eb9bbd8db787079fcdc5b25a6272842</t>
  </si>
  <si>
    <t>b6ac204884308e0c3fe604f428670d3b</t>
  </si>
  <si>
    <t>d9b81389ec16ddb7fd93754aca90001c</t>
  </si>
  <si>
    <t>5f390d2b5f25210ea82e2d6137164f31</t>
  </si>
  <si>
    <t>718170c234b158aa26df6494ac1cfcfc</t>
  </si>
  <si>
    <t>9919be9116a26e585d31626349592f6e</t>
  </si>
  <si>
    <t>2e9b8fb501c90e2ae726f649e650cae5</t>
  </si>
  <si>
    <t>eb53b7a7caf5c7b4f7ffc08adbba8812</t>
  </si>
  <si>
    <t>083dd6f7638d5efe5b0d2428af9f9ce0</t>
  </si>
  <si>
    <t>eb5cf46780bacd647a0ecfea958ca9ba</t>
  </si>
  <si>
    <t>ce1e8d1f9de7df7b5594552b405a8e7e</t>
  </si>
  <si>
    <t>31120678308c523dcb7e717c217bc29e</t>
  </si>
  <si>
    <t>7e5e212d6f25222ddd6f042012377609</t>
  </si>
  <si>
    <t>673cdc9b096d4490c475301cabccd7e5</t>
  </si>
  <si>
    <t>d5dc3956931c2818f61c16616f71b9ba</t>
  </si>
  <si>
    <t>341ef40b57c700aab7b56ea735ebd32d</t>
  </si>
  <si>
    <t>33fd862d4057e470be6127a80351b09d</t>
  </si>
  <si>
    <t>0ed40264eb068b1e6fc0174f57d714f1</t>
  </si>
  <si>
    <t>35b39c0eb588489eeffbd1974d73a782</t>
  </si>
  <si>
    <t>54ea371846af357c82520d78cdbfaa37</t>
  </si>
  <si>
    <t>e4cd46e12139298b2795bf89d5b4c4a4</t>
  </si>
  <si>
    <t>f10eb0eac764f8c75e01ea7dca2e8da6</t>
  </si>
  <si>
    <t>1b36101def5ffb6ee7941ab12df3fbdd</t>
  </si>
  <si>
    <t>74b392bda0968dda8d1fe9e421f69c30</t>
  </si>
  <si>
    <t>6394eb4d54ede5c3a8c0145007adb729</t>
  </si>
  <si>
    <t>6d15f16fb7b8c1a59a45693d7227890e</t>
  </si>
  <si>
    <t>25d4a0fc61542765d756ba9cc64c9647</t>
  </si>
  <si>
    <t>c9ea356a7abfcebfd42cb1ae19f738cb</t>
  </si>
  <si>
    <t>a1298fa2227d4660293fc26697a418b8</t>
  </si>
  <si>
    <t>b31a25b55fecaa6e88917cf57d8823d2</t>
  </si>
  <si>
    <t>8352aaba4a64cfccdcf315c647a029ae</t>
  </si>
  <si>
    <t>3bbd60ea5c978975f50020580c3b491f</t>
  </si>
  <si>
    <t>6418861eb07a810a1befa085916b66de</t>
  </si>
  <si>
    <t>95e1d191ca3d02cffad6d030057f74a4</t>
  </si>
  <si>
    <t>b1299cb78b248c7e0e4ddb723e6a41f1</t>
  </si>
  <si>
    <t>731da6ec63032bd49db564b5af8422cc</t>
  </si>
  <si>
    <t>ea4cd6078e487a8ce3e479461fcfcb8e</t>
  </si>
  <si>
    <t>8c626a8f349eb0da7e509ec481db9a62</t>
  </si>
  <si>
    <t>5a4d6a5fc1c69f79f1ea44de4bb38a82</t>
  </si>
  <si>
    <t>d29ca30763b54f0456a372ff58180fb9</t>
  </si>
  <si>
    <t>39dccd07efd4a45f9e537b3b4ea58999</t>
  </si>
  <si>
    <t>090c5f871a1d23403538c7d6946930ae</t>
  </si>
  <si>
    <t>dc96925eccf3a17156dc8907ba6c34ab</t>
  </si>
  <si>
    <t>7875b1c777243aa3c438eae0b5d0b595</t>
  </si>
  <si>
    <t>9e3b37e675c41c378eea487f9d3cc9ca</t>
  </si>
  <si>
    <t>0ba9ee1e75888aa1f9e335438d1d37a3</t>
  </si>
  <si>
    <t>60040d0d5257c31b724c5cd007ac3372</t>
  </si>
  <si>
    <t>230656d1c2d52a58d791aedd60e565b6</t>
  </si>
  <si>
    <t>6889803e5913f9d3785299f4175ba98d</t>
  </si>
  <si>
    <t>e8410a39f9012b9c6057153a4067f790</t>
  </si>
  <si>
    <t>c60b340cf21a6f380eb5e5a798f3f640</t>
  </si>
  <si>
    <t>1429ef31b9b3c0eefaf2be80833bde78</t>
  </si>
  <si>
    <t>c20862274333240ad8d99ad8255f30b9</t>
  </si>
  <si>
    <t>1e22ade1a3e6bbfd65e2ebba27ae2220</t>
  </si>
  <si>
    <t>75d0a2af1c06efa6521ba1e492e7fc57</t>
  </si>
  <si>
    <t>2700b5609bd89990b786834b39c1801b</t>
  </si>
  <si>
    <t>b78707bd2a2d0813e7fee67f86899a05</t>
  </si>
  <si>
    <t>32dba0284823debeccade92e53dc4fae</t>
  </si>
  <si>
    <t>f5b350ab731bd233c011c674928a77e5</t>
  </si>
  <si>
    <t>07c81588392cbbe088e06703bc62eccf</t>
  </si>
  <si>
    <t>8ecdb5250ede357a9a3f493e7e7e2824</t>
  </si>
  <si>
    <t>80f378ccebb06b15a48803694b400975</t>
  </si>
  <si>
    <t>6070fd1ee687cc1ead123e41be58ca2d</t>
  </si>
  <si>
    <t>32ce6a3d862a76f2f15e609cb297fa7f</t>
  </si>
  <si>
    <t>a7b63925b3c120c39b0108d203711d3f</t>
  </si>
  <si>
    <t>6c543e3f171520b8f37d1ad9a282cd49</t>
  </si>
  <si>
    <t>d298453929f9a292d38418628bf12f23</t>
  </si>
  <si>
    <t>bcc57be00779250a6544e3136ea05d13</t>
  </si>
  <si>
    <t>2f7f2cd7bbd0fe6c6108ffcc8186722b</t>
  </si>
  <si>
    <t>ebcfbcfae7269390c23525c0c16f584a</t>
  </si>
  <si>
    <t>6b86e231a6f20f6aaaeac2175bc69d21</t>
  </si>
  <si>
    <t>d0437e4c34e50699c8ebe27a23a4e70e</t>
  </si>
  <si>
    <t>e6b31a27703a382b73645c1b15b9d469</t>
  </si>
  <si>
    <t>98105b901c8739d31e8ac3aaa87bd62a</t>
  </si>
  <si>
    <t>8e114e0d7e8eda3e8f7a64a53e792193</t>
  </si>
  <si>
    <t>ffdc690c4e3cbe6660c4891c66c36a49</t>
  </si>
  <si>
    <t>3fbf7901fc713b1be329a51fc370f6e7</t>
  </si>
  <si>
    <t>05d2d205789fed9673373c2f4e1c3762</t>
  </si>
  <si>
    <t>32b2d952c37637d672a9dfa122ae8888</t>
  </si>
  <si>
    <t>0b845de2f74ba82f2de92307a9ca27f7</t>
  </si>
  <si>
    <t>94a1eab0b9c037aa3289f58b1923cafc</t>
  </si>
  <si>
    <t>9be9ec861b3206f006897b1c975aae69</t>
  </si>
  <si>
    <t>37179e4565706108fc78090e2223ab94</t>
  </si>
  <si>
    <t>b03d01eb336fc177730825d1396cc19c</t>
  </si>
  <si>
    <t>820f46424e6cebb2f09d07f1eac4c60c</t>
  </si>
  <si>
    <t>24f60d624abf132d3f1734070a204f3a</t>
  </si>
  <si>
    <t>6c4a37ea490617f2747b6dbac8fe3ccd</t>
  </si>
  <si>
    <t>0bc572073e9aec8603254fbddce8e1c5</t>
  </si>
  <si>
    <t>b13a8dc792dba951f7b8895a3a099c80</t>
  </si>
  <si>
    <t>1e0bc3a2d4fb02df69ded7967a31942c</t>
  </si>
  <si>
    <t>f5808b5975b568d735eb728f57750d0f</t>
  </si>
  <si>
    <t>afe6052b136ac2c85705aed4824bef98</t>
  </si>
  <si>
    <t>a352170111d36d4051105a80414ab65f</t>
  </si>
  <si>
    <t>f50a455f3346412d9fc7d5e4757a0380</t>
  </si>
  <si>
    <t>f194c92c8864f0602642425a21281f77</t>
  </si>
  <si>
    <t>e79c797d469f2152bb815c56b95b7efe</t>
  </si>
  <si>
    <t>38cd0cedba7bc404650c5ea21f473751</t>
  </si>
  <si>
    <t>a2dcb2030626cb30699edeed7cfa000c</t>
  </si>
  <si>
    <t>07f194f9c1156d6d0a4e5b70a6d964a3</t>
  </si>
  <si>
    <t>d45a1de3731dc76f85e620fea44eb3e1</t>
  </si>
  <si>
    <t>847ccb1dd10499485f6da88484fbcda0</t>
  </si>
  <si>
    <t>43675d580b6c03c8721e54192fc3e649</t>
  </si>
  <si>
    <t>dd643387b6b38fbc6338fb2975992b0a</t>
  </si>
  <si>
    <t>1b3eaba1d771b4467ac532884053f74e</t>
  </si>
  <si>
    <t>6815760743df1c142ee066ca4af1ff74</t>
  </si>
  <si>
    <t>ea3e442f23cdec8466ed34e2c1ed3940</t>
  </si>
  <si>
    <t>fcf56188d32e6dcd83bc9478dd6ac7b8</t>
  </si>
  <si>
    <t>af4b88ff1a58c6ae78ccd78887c84346</t>
  </si>
  <si>
    <t>ff630fac16acb78e1a617efe85d8cc08</t>
  </si>
  <si>
    <t>fbc02c385e55bd482b36b6f5a2b3ee1b</t>
  </si>
  <si>
    <t>b0f9245cc07571f260ad1181c52391f2</t>
  </si>
  <si>
    <t>20e5886663380b421887fa69eabd37da</t>
  </si>
  <si>
    <t>78ab2513e03db91863c279aacf674365</t>
  </si>
  <si>
    <t>984f541976b4c117210f0001d832c732</t>
  </si>
  <si>
    <t>a10e6d9e0c4ed3f422d30f667eeaf42d</t>
  </si>
  <si>
    <t>84b9cc5a409840ba9d00841e55d56d09</t>
  </si>
  <si>
    <t>55c34e893a233ea3618f9784bb813d30</t>
  </si>
  <si>
    <t>8849066e539d5223c48d276cacae8af8</t>
  </si>
  <si>
    <t>7c959cad75e7f5311e26bc3df514083e</t>
  </si>
  <si>
    <t>654102672e49a90421e78734960144c0</t>
  </si>
  <si>
    <t>01c5380ef470c29a8c042b51655f7974</t>
  </si>
  <si>
    <t>8d4f5d272c7f0b793d67cde92834e4c0</t>
  </si>
  <si>
    <t>f06c69d99339304b9a8cb3d728a5e34d</t>
  </si>
  <si>
    <t>d076ddad317e43a4ab16b1fd14ca728c</t>
  </si>
  <si>
    <t>473eed62073f1d9100c3f2673b38387c</t>
  </si>
  <si>
    <t>c378205f9d93615cae326c53ad9e9a10</t>
  </si>
  <si>
    <t>b2204f32e2028858161891b09e86e4e8</t>
  </si>
  <si>
    <t>13b2d1abf4e580aaf5504c5249d2cac0</t>
  </si>
  <si>
    <t>5d8447149c12d6f05cd1a96075d4a3be</t>
  </si>
  <si>
    <t>6bacd409ac97e3d1d303ad2d94e74902</t>
  </si>
  <si>
    <t>ebe5841fe9c96c52098c60b3efc9909e</t>
  </si>
  <si>
    <t>232a5e8226996aabdaaf7529deeff82a</t>
  </si>
  <si>
    <t>913767ab4dd85715753ff3e271fc5136</t>
  </si>
  <si>
    <t>c4844743cc8ba7603e3a0dfc5424aae4</t>
  </si>
  <si>
    <t>0f95e5dcec9f180364f3d80f88f51390</t>
  </si>
  <si>
    <t>87e92ea5bb1e7e3a21178e9f0b44af4d</t>
  </si>
  <si>
    <t>d4814780c6676b082a82007ab0ee1d54</t>
  </si>
  <si>
    <t>aa306b9de7f3072a86a59dc38b748936</t>
  </si>
  <si>
    <t>b963f37f67814c1fcc530e36addc3e13</t>
  </si>
  <si>
    <t>4140752caa44825950018b7b6d4067f4</t>
  </si>
  <si>
    <t>fc0f94cdc2ebbaa21ce370ed685707ac</t>
  </si>
  <si>
    <t>ae5714e8d29c0131d44260d25f116839</t>
  </si>
  <si>
    <t>44e057875550f4eaa86bf8b517ccb76c</t>
  </si>
  <si>
    <t>8c12d6ef31fab84d80dd80058abcb652</t>
  </si>
  <si>
    <t>4f2e8a0863b3dfd00ef90bcc8988266f</t>
  </si>
  <si>
    <t>8249dfeb36dd9d1e03f2d0479d8ac4b9</t>
  </si>
  <si>
    <t>038d1b68d440759a004c4600b79f9bc5</t>
  </si>
  <si>
    <t>bf3c4c06434308bc89fa6a688fb5d27b</t>
  </si>
  <si>
    <t>f73360946b2b78b985c7f3bed183010f</t>
  </si>
  <si>
    <t>b1123048e128b9a8d2f629cabbe277ba</t>
  </si>
  <si>
    <t>d11756d58c0dea8b3448a24723a86b61</t>
  </si>
  <si>
    <t>ce96cc5e574aa942415a51ff2fb2a0d7</t>
  </si>
  <si>
    <t>3f0cd8c9d98c9dc34b672fac298604bc</t>
  </si>
  <si>
    <t>161bbc030cb484d4aa008ba56420a286</t>
  </si>
  <si>
    <t>a2d43fa47bc3b7b175fdb0a01b8c674a</t>
  </si>
  <si>
    <t>0bbb259911ce5dd2b45ed1f03139d32c</t>
  </si>
  <si>
    <t>59f8068e1ce62a9f79af834810bbc60d</t>
  </si>
  <si>
    <t>82e9db99b4d94221e7c10651465fe8be</t>
  </si>
  <si>
    <t>87e5f0fe5da8d6d2f8b38a8be05fb8bc</t>
  </si>
  <si>
    <t>8b040f53e63949d447c68688ecf32053</t>
  </si>
  <si>
    <t>6a97cbce673659efaa1c5dcaf0c7915e</t>
  </si>
  <si>
    <t>a672d32f5c9f0999e869839a9a36e49e</t>
  </si>
  <si>
    <t>00e0d047015162f1e07fb7511a447ac6</t>
  </si>
  <si>
    <t>452273e7af8842ecac18a9c55f82366b</t>
  </si>
  <si>
    <t>84396fc0c26e27067c059799bdae8eff</t>
  </si>
  <si>
    <t>a3840e2b60b61367f46eb787ebaf89c7</t>
  </si>
  <si>
    <t>a91decb251a3d21bf4d1183f76f8ef17</t>
  </si>
  <si>
    <t>c4ecea3290389f81ae3dc742bef8004b</t>
  </si>
  <si>
    <t>e60d400fc3b1ef08ac8d8f321477b569</t>
  </si>
  <si>
    <t>3fa7d9548bfafb8c623c2c7160562765</t>
  </si>
  <si>
    <t>f21b76e3482202f966d78e18a3473f18</t>
  </si>
  <si>
    <t>9d7c24ce85d5bed90abdbcd1782ccfec</t>
  </si>
  <si>
    <t>d14c6d19ab441946935bcc84fd030266</t>
  </si>
  <si>
    <t>b056fa5a4317abe47f33922b11ed5768</t>
  </si>
  <si>
    <t>3c3dbcd8c7050c5b5eda2838c7b95bd9</t>
  </si>
  <si>
    <t>3733a7c56c2678a1bf52d94331bdd7de</t>
  </si>
  <si>
    <t>15d80f7157b536eab23f9a7ce7b3a985</t>
  </si>
  <si>
    <t>7def181800ab5064a05cefa3a454c767</t>
  </si>
  <si>
    <t>c1eecd7a2428185a461de0171ee92d3b</t>
  </si>
  <si>
    <t>8ea359f967e69ffe5decaa980e4df5f6</t>
  </si>
  <si>
    <t>a42000aae1f599ee55143e7e157706e6</t>
  </si>
  <si>
    <t>a80cb09564077b44e55531d8f94bb175</t>
  </si>
  <si>
    <t>513a7052986f90258f15ba58fce68504</t>
  </si>
  <si>
    <t>77cf1eb679fee842e4cc70656bd7f764</t>
  </si>
  <si>
    <t>035bd879eca0a912861c53de98e1e160</t>
  </si>
  <si>
    <t>e1754cefa24015d1c30b2db620958a69</t>
  </si>
  <si>
    <t>54a1a7a84133557c0e51bc13095b6295</t>
  </si>
  <si>
    <t>4ca3795517b022c72f5a756eb5b334c4</t>
  </si>
  <si>
    <t>661f7117dd926cbfc5583a17f70d78a0</t>
  </si>
  <si>
    <t>f47e3ca0723fd85ae57b084d2b0582e0</t>
  </si>
  <si>
    <t>3c7f1fd1d3e263471ac3396746997fc2</t>
  </si>
  <si>
    <t>148b119ef45e0a21579bd4244ae4eca0</t>
  </si>
  <si>
    <t>1443314bf5c19ff1069a4fb9be14a4b7</t>
  </si>
  <si>
    <t>2d6bc88272e588e94b4f3b2e318910ec</t>
  </si>
  <si>
    <t>35845d71b221e1c535b86d0a864f36dd</t>
  </si>
  <si>
    <t>27571245b884590288973a4a33b636dc</t>
  </si>
  <si>
    <t>1987e6d09a7171aa030492b3ced89c97</t>
  </si>
  <si>
    <t>1ddca90ae7215e6ce2eb022226c68746</t>
  </si>
  <si>
    <t>d93990b64835b19428130df9c82211cb</t>
  </si>
  <si>
    <t>ce3413ea1048fc1f5e69b168e3326293</t>
  </si>
  <si>
    <t>994a04ce23fcb5bdc74d9c9452b7e822</t>
  </si>
  <si>
    <t>937bd589e4e805bd1d44999bc4f094b2</t>
  </si>
  <si>
    <t>f480b91e700e0efce4ffc31a5b86ea69</t>
  </si>
  <si>
    <t>3c28f5dcd12daea8673d292060ee64ba</t>
  </si>
  <si>
    <t>970c9eb4c4ea4ece67b6e4679432d797</t>
  </si>
  <si>
    <t>998a05a877a7aed0fb5f5290b11c7dff</t>
  </si>
  <si>
    <t>fd81a9250bfa8cd57fa797087e7279ce</t>
  </si>
  <si>
    <t>05c5581054b728fa8a60b33299fb38a9</t>
  </si>
  <si>
    <t>f6969b4ba4888a3abbdf95735d911692</t>
  </si>
  <si>
    <t>c7b5b2bc5a8aaeca1a50aec3aabc25fa</t>
  </si>
  <si>
    <t>a3d889fae5a456d82541f181f29e225b</t>
  </si>
  <si>
    <t>e21e2ae41d3208dba28f57d05612ad53</t>
  </si>
  <si>
    <t>0c44c0fde13ce64d723e860e0ae35494</t>
  </si>
  <si>
    <t>74260100f76c703e129a98a865ed7ecc</t>
  </si>
  <si>
    <t>b1586f2cd283dfa3b90f0b18d6cef975</t>
  </si>
  <si>
    <t>c0b3713afe2b7fe8346030ec341b36b5</t>
  </si>
  <si>
    <t>1febf83d8e070c16fe590f3b92e32273</t>
  </si>
  <si>
    <t>bc441fbcedb68854baae905cc8594dfb</t>
  </si>
  <si>
    <t>f1c35294e61cf9a3e0acdb752326e3d0</t>
  </si>
  <si>
    <t>cb728b16d63151519c6723382c110a43</t>
  </si>
  <si>
    <t>78bf9e2300e2f562bea32d3485c8363f</t>
  </si>
  <si>
    <t>6b07fa47c279749be575eeb5a5ea0d8f</t>
  </si>
  <si>
    <t>1ca64c3330d867cd038d5f5a2296d3f6</t>
  </si>
  <si>
    <t>3de372e9114126afce70d3f7b190dea4</t>
  </si>
  <si>
    <t>61730c4848769153c68813fe52555c75</t>
  </si>
  <si>
    <t>9255273fed0940f792174fb08e6b3085</t>
  </si>
  <si>
    <t>04e1502aa76180c77d283421243f45fe</t>
  </si>
  <si>
    <t>fabdc4aaba5916c59de67f2c57bd9ee6</t>
  </si>
  <si>
    <t>938df7c1ab0b74fc99b06cf925dfa1fb</t>
  </si>
  <si>
    <t>c73e45170b4967db4344c2697a3d7b8e</t>
  </si>
  <si>
    <t>23ee5bf60b8f6f578c6af125c2e27bb9</t>
  </si>
  <si>
    <t>813ee22dc73e77c75d3325355d994b1e</t>
  </si>
  <si>
    <t>8ff4a938f59ca4ca2f5b98e8a86e5687</t>
  </si>
  <si>
    <t>9394af394789f07731d8ba9fc32d0d15</t>
  </si>
  <si>
    <t>8f9b72aed85c16bd6dda4f8dcea60f4c</t>
  </si>
  <si>
    <t>17d71fc0092cd030ee7576375c3552b3</t>
  </si>
  <si>
    <t>397bfdd7b8a1e477e240e0600b20802f</t>
  </si>
  <si>
    <t>82550a9fdb727254ef022c922262dad8</t>
  </si>
  <si>
    <t>ff7d485c050fd4d670fe4ca28cec3149</t>
  </si>
  <si>
    <t>d02191ac5f0fdbea2801461d9ee2e829</t>
  </si>
  <si>
    <t>4d5116cd6983e150ad6bdc9b613d98d2</t>
  </si>
  <si>
    <t>dea124706620c29e6cadb4c10f782400</t>
  </si>
  <si>
    <t>3d1a85dd506e5a9ab758588dab73295b</t>
  </si>
  <si>
    <t>aa53c19cdfa4bb9f5a856750692ac139</t>
  </si>
  <si>
    <t>b362c0d264988bdecd0254dbed1115d7</t>
  </si>
  <si>
    <t>bbdb453692ef63c1781f9d3fe7f339dc</t>
  </si>
  <si>
    <t>05bcde63f667a91a71c7ebf1f9dbe07e</t>
  </si>
  <si>
    <t>5b4ee0c5cf663bc3f8c3dfcaf1df46a0</t>
  </si>
  <si>
    <t>38f1f1abcb170945be88f8e4143dbd6c</t>
  </si>
  <si>
    <t>7f5ac17aa926550e5995e5f44c8545c1</t>
  </si>
  <si>
    <t>eeec175d877236d0c39b7cb2b9e1aa73</t>
  </si>
  <si>
    <t>af84add6c463190a99cfc5aa36deece6</t>
  </si>
  <si>
    <t>c052aeb5b2764db848d9548ec87ce81d</t>
  </si>
  <si>
    <t>d963dc7205c8234b1d763a66b5f59cb0</t>
  </si>
  <si>
    <t>b7b24f20592cfe25b858e2033a52b383</t>
  </si>
  <si>
    <t>fd91aa631ca42a3ce177105f6b4203f7</t>
  </si>
  <si>
    <t>8fe5bfbed66ec8bcd75ca92da65a158b</t>
  </si>
  <si>
    <t>ceae1325ea074d80ba236c22e92a7b97</t>
  </si>
  <si>
    <t>1c99d366c8b62c18c355853eb0d9751c</t>
  </si>
  <si>
    <t>62a53193a6a1cc2b0ec5bad7b24ae6e3</t>
  </si>
  <si>
    <t>a302db2f41deca4c625cade5dbf11941</t>
  </si>
  <si>
    <t>d5b706606f768057af921b4981acc280</t>
  </si>
  <si>
    <t>5596eef92c2e53573e0420265733fba4</t>
  </si>
  <si>
    <t>1bad52a8a976dc4d0c472187fea35d37</t>
  </si>
  <si>
    <t>30b1b67b2771a42280038f26e7ab2ef7</t>
  </si>
  <si>
    <t>3c15ae1fefda21b2ecedf328e669dd22</t>
  </si>
  <si>
    <t>258ce9b4c76892ba4b7ea28d264af6f3</t>
  </si>
  <si>
    <t>dda23bfd274770a19f29f7dfd5e97619</t>
  </si>
  <si>
    <t>18ecde2b0a802167f4b3f20eaed0fb57</t>
  </si>
  <si>
    <t>e03d1b30adcde95f6f91a7be905c3fd9</t>
  </si>
  <si>
    <t>6633427e4feeea91800314a89c7ab4e3</t>
  </si>
  <si>
    <t>250a8bc0ef19117fa452cdef827b8c89</t>
  </si>
  <si>
    <t>dd3f1d3b796f32661802728004221ae9</t>
  </si>
  <si>
    <t>82ace0dced3f3aff82377bd087e555c1</t>
  </si>
  <si>
    <t>6a5a2d72af344e9d6ad14f029dd01cdb</t>
  </si>
  <si>
    <t>9b0aec9485993420198aed065bf64136</t>
  </si>
  <si>
    <t>36d55494f37fd50d2e25b5ee4f11d8dc</t>
  </si>
  <si>
    <t>ad371d9e92cf60211f33242d49ac9087</t>
  </si>
  <si>
    <t>a80494630d36f5e492a6f3e62b48c6e6</t>
  </si>
  <si>
    <t>f50f64a5971965f5239a6d42d2add2a6</t>
  </si>
  <si>
    <t>b869cac87d3843c0970189aaab607bb0</t>
  </si>
  <si>
    <t>b962c8a7b076a7dcfd0ce433ca5e151b</t>
  </si>
  <si>
    <t>7397d1a1f641940591cbbc49542ef29e</t>
  </si>
  <si>
    <t>1b912adc833334f66a6a01490b44676d</t>
  </si>
  <si>
    <t>ba99267edca2103316ec34b5cf6ad43f</t>
  </si>
  <si>
    <t>7862fa7d413853212c11e260f74fe2b9</t>
  </si>
  <si>
    <t>4c5fccfb14eae37c67b2916c461ea8aa</t>
  </si>
  <si>
    <t>4eb18c8843b63613a89f5f9de12def58</t>
  </si>
  <si>
    <t>572398eb46f8d2033b816a017b3d2792</t>
  </si>
  <si>
    <t>8989c5abfe2b34d82db0728d1e5ebe54</t>
  </si>
  <si>
    <t>5a07d758b357f3f9b4157cea07388ba4</t>
  </si>
  <si>
    <t>65ebd4dcb49b4b72c6319c165827bc1d</t>
  </si>
  <si>
    <t>bb4ccb141cc0b764b06befca56b405d7</t>
  </si>
  <si>
    <t>40f66fdeea7255845e6e187ae939f790</t>
  </si>
  <si>
    <t>03acc634296da4cd431b011f6f90d9af</t>
  </si>
  <si>
    <t>62a5aa212b3fde5dd8b4d672212552fa</t>
  </si>
  <si>
    <t>f35977e1f1cdf51a72f4c4b3453a2e55</t>
  </si>
  <si>
    <t>dbab22799ef301a6db37872300f2f636</t>
  </si>
  <si>
    <t>9cf5fe1644aa1ea739595bb255ab4e6d</t>
  </si>
  <si>
    <t>a247541dc8ad0899b630794d6147adeb</t>
  </si>
  <si>
    <t>bbfbf76c3de667f9bfc46c0eacdfe0ff</t>
  </si>
  <si>
    <t>a5500af12777a40bcff716adb85f20e5</t>
  </si>
  <si>
    <t>3aa066940610c42dc0241ac149d83188</t>
  </si>
  <si>
    <t>f01a50979ed0fe5fb3bc57914882f6eb</t>
  </si>
  <si>
    <t>b54c54f93c7bfe7e8b95e8ea80709d95</t>
  </si>
  <si>
    <t>05c62ffa79f61159020bf53bdfbc2770</t>
  </si>
  <si>
    <t>36c87c6c77b42cd65fc487a2a61149c9</t>
  </si>
  <si>
    <t>9bdf90f2ba2c0f19f0b2a5d18c7e6f42</t>
  </si>
  <si>
    <t>bcdf83028c37e264d03cd20abaaeebf8</t>
  </si>
  <si>
    <t>ce8b76a2082f2fb980e3fe4fe4fb2a3b</t>
  </si>
  <si>
    <t>434a184284d8ec6a7d5887a5a5548394</t>
  </si>
  <si>
    <t>bd1e9e72fc1b321783eb9e95d8910c36</t>
  </si>
  <si>
    <t>93403faddc4ad56bd6016237ac9ed156</t>
  </si>
  <si>
    <t>ff138c80c398c3320e500785bcaff931</t>
  </si>
  <si>
    <t>64ad19050fbc63776f1f5c6a2a112eab</t>
  </si>
  <si>
    <t>c3ab6793e30065bbe282338d27ae500a</t>
  </si>
  <si>
    <t>427288fd5513a16e2c39e3ba90080708</t>
  </si>
  <si>
    <t>14559383e4465eb17621a04369624b67</t>
  </si>
  <si>
    <t>23c8afdb83f82f16e4a4474c9b33e3a4</t>
  </si>
  <si>
    <t>fa84bb5ffa6e3743fef97d573c77ea4a</t>
  </si>
  <si>
    <t>6d8ec7578e562fbe7a9dbea0415b4add</t>
  </si>
  <si>
    <t>915fcf53d83a7dd5035d34696889bfad</t>
  </si>
  <si>
    <t>1927e3d444081f94b632b54af1984c95</t>
  </si>
  <si>
    <t>377803943700e36338bb7df49a28538b</t>
  </si>
  <si>
    <t>3f64e5eebccd9b8c8508df9160aeb372</t>
  </si>
  <si>
    <t>0d0b6920dd460c9117478b5c331bd602</t>
  </si>
  <si>
    <t>dbb464a3cec79642a13a9da294e7eb2a</t>
  </si>
  <si>
    <t>ca7cd927ef5e0d74fe2e7c0f1c68a614</t>
  </si>
  <si>
    <t>476a3991aebef7a28521e25e96fbcb7e</t>
  </si>
  <si>
    <t>f5020e2a7ecfc2269a9a9f1b8345d6d3</t>
  </si>
  <si>
    <t>d7b42669d42cef0517fc87fdaaa54056</t>
  </si>
  <si>
    <t>438806fe68f06068e087e25945071307</t>
  </si>
  <si>
    <t>2a9a762526d5db2f74b6f65aca4dbfd6</t>
  </si>
  <si>
    <t>c4e775b92dca365a2504fd28de6ae459</t>
  </si>
  <si>
    <t>00828826309a11ec706eb43a89e23a88</t>
  </si>
  <si>
    <t>b2f4f8d562f87a477ac15877aaeadea2</t>
  </si>
  <si>
    <t>c9d91a56a28b2e14450732a850924b7f</t>
  </si>
  <si>
    <t>a1bde1ac83d2863ef5736bb82c762354</t>
  </si>
  <si>
    <t>76c5a0dc7e7e7419a0c14035c5d95f51</t>
  </si>
  <si>
    <t>8c1c8b0556771f3648998e5fd40e53ce</t>
  </si>
  <si>
    <t>b0416f19bbe718354e8bf78a60ddc7f1</t>
  </si>
  <si>
    <t>0eecc013b55beaaacb53f0be5e7b4866</t>
  </si>
  <si>
    <t>a01d9aeb52060f1c630bf0db1454578f</t>
  </si>
  <si>
    <t>1bc471612ff79a573183eab07b2413e8</t>
  </si>
  <si>
    <t>0ee503e3298d4c456407675048107252</t>
  </si>
  <si>
    <t>c04cf6e6cf6d28c3f661cfdb7537fb16</t>
  </si>
  <si>
    <t>0c9f82ada7f57ee05f2090333608428a</t>
  </si>
  <si>
    <t>fe4cb3d1c2980d476902ad0571ae55b1</t>
  </si>
  <si>
    <t>7ba13fe95ab5cea8b2f1c6db6b405218</t>
  </si>
  <si>
    <t>b83cfe0be037e5edb8db0672f42d47cc</t>
  </si>
  <si>
    <t>51b3ccf588433a3846d28109495c7ac8</t>
  </si>
  <si>
    <t>90e9e294a5dd2836e65fa9fac38c2eaf</t>
  </si>
  <si>
    <t>ee1595cf35a37765bfacc63e44de950f</t>
  </si>
  <si>
    <t>de7721561f76043f9a16b8530692fe02</t>
  </si>
  <si>
    <t>16f0c19ca894b11eabb558e1cb9a6ed5</t>
  </si>
  <si>
    <t>5a71504b8380d39722212e52d6e38103</t>
  </si>
  <si>
    <t>138bfe045dd0e7a4eb2e2b86341c3b08</t>
  </si>
  <si>
    <t>26a4850d1a6b88d2cad75ebe91694fbb</t>
  </si>
  <si>
    <t>36eff2015656b5f91c6a16e051cb3f06</t>
  </si>
  <si>
    <t>fbff1829aea3798b00bd204e32714f01</t>
  </si>
  <si>
    <t>f01919d0bc72873246e53c2963ce0666</t>
  </si>
  <si>
    <t>5cacd5a685fad950636ba8a3e50ef872</t>
  </si>
  <si>
    <t>622ecdaf5a0763a1449aa2841415c20e</t>
  </si>
  <si>
    <t>818edbdfb4c0b8dee9f502a099472966</t>
  </si>
  <si>
    <t>9c68253fa654b58b3aecf60f341fe701</t>
  </si>
  <si>
    <t>d20eac174e20fd1a598336e375d66ed4</t>
  </si>
  <si>
    <t>aab97e494f2d479681d2c7de4ce1eb90</t>
  </si>
  <si>
    <t>0a398bf727a158a0efffa2f4b5ae329d</t>
  </si>
  <si>
    <t>045fea04d2d07acf7f1e6dcc955d8f95</t>
  </si>
  <si>
    <t>de8e2646477ab8874ae3ba943020366c</t>
  </si>
  <si>
    <t>8ca0a958e0005105417d4986aeefc38e</t>
  </si>
  <si>
    <t>f90fb6e4e15052f351958000c3f38c8c</t>
  </si>
  <si>
    <t>4d26657479ea5621661423a776c9aeb2</t>
  </si>
  <si>
    <t>0acfc6ac7d9704fe8dca39084a1a4219</t>
  </si>
  <si>
    <t>b14d53b0c7f7040b87184322743c6de6</t>
  </si>
  <si>
    <t>c1bac834caec1d2d63a7bc90da7f624b</t>
  </si>
  <si>
    <t>e585fc3d7bf7202ebd86a1abc16f5ca3</t>
  </si>
  <si>
    <t>76bd0773d805ee6a2d916caf9c446194</t>
  </si>
  <si>
    <t>0a37409cbb3c0b49bd08ce57f094dfd0</t>
  </si>
  <si>
    <t>f5a0cc2427d26d0cdc7a85e605d9c4d3</t>
  </si>
  <si>
    <t>0ed2ec9d3d175712d8b22277f413db19</t>
  </si>
  <si>
    <t>a7e292992bf6d9150367ee2c1ddea07d</t>
  </si>
  <si>
    <t>618e72a78d34dd8374629fb5c6e19fd7</t>
  </si>
  <si>
    <t>3b6a38cfe0df542da5b813c29619cf44</t>
  </si>
  <si>
    <t>c0ff979ebd29e827e0f2d1dc6b55ae42</t>
  </si>
  <si>
    <t>b2becd65b9f5f9037af1834d4bd814a2</t>
  </si>
  <si>
    <t>c17c0907500ac7b55b83c0a6d42c0ff9</t>
  </si>
  <si>
    <t>c3f725feb99b2b5ae00da49deffa2002</t>
  </si>
  <si>
    <t>dd7f57d1e45def2675eb0e8fa090360d</t>
  </si>
  <si>
    <t>d8718196093c3582037df82ef0a4be8a</t>
  </si>
  <si>
    <t>181d8b09d455b87e932290235a995017</t>
  </si>
  <si>
    <t>12476f57a5e5a5abaefcfad8efc89849</t>
  </si>
  <si>
    <t>e1446b45af390a9ddcd1c4130760801f</t>
  </si>
  <si>
    <t>3d9580611c36036fbeba06191b6fb706</t>
  </si>
  <si>
    <t>7b1634537042eb9e061285a7b6fac9b9</t>
  </si>
  <si>
    <t>f5fe9cc4c120478451e50918df04ea9f</t>
  </si>
  <si>
    <t>5c922fa4352b6689a39cd7300f6206f1</t>
  </si>
  <si>
    <t>9d27d39d0593b210b3c052a851cfc712</t>
  </si>
  <si>
    <t>aecc015aececb339a064c0ccbd279fd8</t>
  </si>
  <si>
    <t>73b9c2ac0134e76b0ed9fa95a26e865b</t>
  </si>
  <si>
    <t>8f31bf2ea4d78f641fb026cca5292f56</t>
  </si>
  <si>
    <t>66edef302fa80808b8f16861e3e3e73b</t>
  </si>
  <si>
    <t>728471562e8ca6bf9268b5df95bb6e09</t>
  </si>
  <si>
    <t>e60584a208f548e7c53bcc3a4c26fd27</t>
  </si>
  <si>
    <t>a7f9ead24fc1c667d9321ab30c2cef31</t>
  </si>
  <si>
    <t>188e56daafac70bc051ee74af195321d</t>
  </si>
  <si>
    <t>9578ce6b2cac5acd4b70a26c01426da5</t>
  </si>
  <si>
    <t>90060c5ae0c6dd6365791c663209256b</t>
  </si>
  <si>
    <t>e5f5c8914be318a80b39dccf7c9f3bc3</t>
  </si>
  <si>
    <t>b9dac7798079cdc9665e467fe1bb7399</t>
  </si>
  <si>
    <t>4dce488da55c67bd5ca4a0983551bf83</t>
  </si>
  <si>
    <t>66bd7b2feedab4fe4cfa768713791994</t>
  </si>
  <si>
    <t>Assumptions &amp; Notes</t>
  </si>
  <si>
    <t>Share of freight absorbed by the platform</t>
  </si>
  <si>
    <t>Assumption (editable): Olist data has no cost data, so this is my modelling input.</t>
  </si>
  <si>
    <t>Cost of goods as % of price, by category (assumed)</t>
  </si>
  <si>
    <t>Category</t>
  </si>
  <si>
    <t>Cost Ratio</t>
  </si>
  <si>
    <t>Legend: blue text / yellow fill = editable input. Change it and every sheet recalculates.</t>
  </si>
  <si>
    <t>Data note: this workbook uses a 2,000-order SAMPLE with the same column structure as the Olist Brazilian</t>
  </si>
  <si>
    <t>E-Commerce dataset (Kaggle). Replace the Data sheet (columns A-K) with real Olist rows and all formulas update.</t>
  </si>
  <si>
    <t>Profit = Price - COGS (price x category cost ratio) - absorbed freight (freight x absorb %).</t>
  </si>
  <si>
    <t>Only delivered orders are included.</t>
  </si>
  <si>
    <t>Sales &amp; Delivery Analysis by State</t>
  </si>
  <si>
    <t>State</t>
  </si>
  <si>
    <t>Order Share</t>
  </si>
  <si>
    <t>Profit / Order</t>
  </si>
  <si>
    <t>Avg Order Value</t>
  </si>
  <si>
    <t>Avg Freight</t>
  </si>
  <si>
    <t>Rank Gap</t>
  </si>
  <si>
    <t>Insight Flag</t>
  </si>
  <si>
    <t>Total / Avg</t>
  </si>
  <si>
    <t>Rank Gap = Margin Rank - Volume Rank. A large positive gap means high order volume but weak profitability.</t>
  </si>
  <si>
    <t>Monthly Sales Trend</t>
  </si>
  <si>
    <t>Month list uses EDATE; moving average, MoM growth and cumulative revenue are formulas.</t>
  </si>
  <si>
    <t>Month</t>
  </si>
  <si>
    <t>MoM Order Growth</t>
  </si>
  <si>
    <t>3-Mo Moving Avg Orders</t>
  </si>
  <si>
    <t>Cumulative Revenue</t>
  </si>
  <si>
    <t>Flag</t>
  </si>
  <si>
    <t>Delivery Performance Analysis</t>
  </si>
  <si>
    <t>Section 1: delivery-time buckets. Section 2: on-time vs late. Section 3: bottleneck states.</t>
  </si>
  <si>
    <t>Delivery Time Bucket</t>
  </si>
  <si>
    <t>Share of Orders</t>
  </si>
  <si>
    <t>Avg Profit / Order</t>
  </si>
  <si>
    <t>Late %</t>
  </si>
  <si>
    <t>0-7 days</t>
  </si>
  <si>
    <t>8-14 days</t>
  </si>
  <si>
    <t>15-21 days</t>
  </si>
  <si>
    <t>22+ days</t>
  </si>
  <si>
    <t>Delivery Status</t>
  </si>
  <si>
    <t>Avg Delay (days)</t>
  </si>
  <si>
    <t>On-time</t>
  </si>
  <si>
    <t>Late</t>
  </si>
  <si>
    <t>Review score drop when late</t>
  </si>
  <si>
    <t>Avg Delay of Late Orders</t>
  </si>
  <si>
    <t>Bottleneck Rating</t>
  </si>
  <si>
    <t>All-state average</t>
  </si>
  <si>
    <t>Bottleneck rating: High = avg delivery time 25%+ above the overall average; Medium = above average.</t>
  </si>
  <si>
    <t>Product Category Analysis</t>
  </si>
  <si>
    <t>Cost ratios are pulled from the Assumptions sheet with INDEX/MATCH.</t>
  </si>
  <si>
    <t>Avg Price</t>
  </si>
  <si>
    <t>Avg Review</t>
  </si>
  <si>
    <t>Profit Rank</t>
  </si>
  <si>
    <t>Row Labels</t>
  </si>
  <si>
    <t>Grand Total</t>
  </si>
  <si>
    <t>Count of order_id</t>
  </si>
  <si>
    <t>sort_after_unique_using_sortby</t>
  </si>
  <si>
    <t>total_revenue</t>
  </si>
  <si>
    <t>profit_margin</t>
  </si>
  <si>
    <t>order share =that_state_order/totoal order (from all order how much this state contribute)</t>
  </si>
  <si>
    <t>revenue_generate_by that state=use_sumif()</t>
  </si>
  <si>
    <t>net profit=Net Profit is the amount of money a business has left after subtracting all its expenses from its revenue</t>
  </si>
  <si>
    <t xml:space="preserve">net margin=net_profit/revenue*100    profit_margin=proft/revenue*100 eg 5000 revenue 1000 expenses 4000 is the profit </t>
  </si>
  <si>
    <t>Profit per Order = Net Profit ÷ Number of Orders
It tells you, on average, how much net profit the business earns from each order.</t>
  </si>
  <si>
    <t>avg=total_revuew/toal_orders suahc as 3000=revenue/3=tifin_orders=avg=1000 is the avg order value</t>
  </si>
  <si>
    <t>freight=the_delivery_chargers_customer_pays freights_absorbed=delivery_charges_paid_by_the company</t>
  </si>
  <si>
    <t>avg_friedight_delivery_charges</t>
  </si>
  <si>
    <t xml:space="preserve">order_percentage_on_time </t>
  </si>
  <si>
    <t>state_order_delivered _on_time</t>
  </si>
  <si>
    <t>in_percentage/total_order</t>
  </si>
  <si>
    <t>rank_fucntion_base_on_NO_orders</t>
  </si>
  <si>
    <t>Volume Rank(No_of_order)</t>
  </si>
  <si>
    <t>Margin Rank(profit_margin)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</si>
</sst>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mmm\-yyyy"/>
    <numFmt numFmtId="167" formatCode="yyyy\-mm\-dd"/>
    <numFmt numFmtId="168" formatCode="mmm\-yy"/>
  </numFmts>
  <fonts count="11" x14ac:knownFonts="1">
    <font>
      <sz val="11"/>
      <color theme="1"/>
      <name val="Calibri"/>
      <family val="2"/>
      <charset val="1"/>
    </font>
    <font>
      <sz val="10"/>
      <name val="Arial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color rgb="FF008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4A7EBB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/>
    <xf numFmtId="0" fontId="9" fillId="4" borderId="0" xfId="0" applyFont="1" applyFill="1" applyAlignment="1">
      <alignment horizontal="center" vertical="center" wrapText="1"/>
    </xf>
    <xf numFmtId="0" fontId="8" fillId="0" borderId="1" xfId="0" applyFont="1" applyBorder="1"/>
    <xf numFmtId="3" fontId="10" fillId="0" borderId="1" xfId="0" applyNumberFormat="1" applyFont="1" applyBorder="1"/>
    <xf numFmtId="164" fontId="10" fillId="0" borderId="1" xfId="0" applyNumberFormat="1" applyFont="1" applyBorder="1"/>
    <xf numFmtId="165" fontId="10" fillId="0" borderId="1" xfId="0" applyNumberFormat="1" applyFont="1" applyBorder="1"/>
    <xf numFmtId="1" fontId="10" fillId="0" borderId="1" xfId="0" applyNumberFormat="1" applyFont="1" applyBorder="1"/>
    <xf numFmtId="0" fontId="4" fillId="5" borderId="1" xfId="0" applyFont="1" applyFill="1" applyBorder="1" applyAlignment="1">
      <alignment horizontal="center" vertical="center" wrapText="1"/>
    </xf>
    <xf numFmtId="0" fontId="7" fillId="0" borderId="0" xfId="0" applyFont="1"/>
    <xf numFmtId="167" fontId="7" fillId="0" borderId="0" xfId="0" applyNumberFormat="1" applyFont="1"/>
    <xf numFmtId="4" fontId="7" fillId="0" borderId="0" xfId="0" applyNumberFormat="1" applyFont="1"/>
    <xf numFmtId="168" fontId="7" fillId="0" borderId="0" xfId="0" applyNumberFormat="1" applyFont="1"/>
    <xf numFmtId="9" fontId="9" fillId="4" borderId="0" xfId="0" applyNumberFormat="1" applyFont="1" applyFill="1"/>
    <xf numFmtId="0" fontId="7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4" fontId="7" fillId="0" borderId="1" xfId="0" applyNumberFormat="1" applyFont="1" applyBorder="1"/>
    <xf numFmtId="165" fontId="7" fillId="0" borderId="1" xfId="0" applyNumberFormat="1" applyFont="1" applyBorder="1"/>
    <xf numFmtId="0" fontId="8" fillId="6" borderId="1" xfId="0" applyFont="1" applyFill="1" applyBorder="1"/>
    <xf numFmtId="3" fontId="8" fillId="6" borderId="1" xfId="0" applyNumberFormat="1" applyFont="1" applyFill="1" applyBorder="1"/>
    <xf numFmtId="164" fontId="8" fillId="6" borderId="1" xfId="0" applyNumberFormat="1" applyFont="1" applyFill="1" applyBorder="1"/>
    <xf numFmtId="4" fontId="8" fillId="6" borderId="1" xfId="0" applyNumberFormat="1" applyFont="1" applyFill="1" applyBorder="1"/>
    <xf numFmtId="165" fontId="8" fillId="6" borderId="1" xfId="0" applyNumberFormat="1" applyFont="1" applyFill="1" applyBorder="1"/>
    <xf numFmtId="168" fontId="9" fillId="0" borderId="1" xfId="0" applyNumberFormat="1" applyFont="1" applyBorder="1"/>
    <xf numFmtId="168" fontId="7" fillId="0" borderId="1" xfId="0" applyNumberFormat="1" applyFont="1" applyBorder="1"/>
    <xf numFmtId="2" fontId="7" fillId="0" borderId="1" xfId="0" applyNumberFormat="1" applyFont="1" applyBorder="1"/>
    <xf numFmtId="2" fontId="8" fillId="0" borderId="0" xfId="0" applyNumberFormat="1" applyFont="1"/>
    <xf numFmtId="165" fontId="8" fillId="0" borderId="0" xfId="0" applyNumberFormat="1" applyFont="1"/>
    <xf numFmtId="9" fontId="1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9" fontId="1" fillId="0" borderId="0" xfId="1"/>
    <xf numFmtId="164" fontId="1" fillId="0" borderId="0" xfId="1" applyNumberFormat="1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4F81BD"/>
      <rgbColor rgb="FF1F3864"/>
      <rgbColor rgb="FF4A7EB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Trend'!$C$4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Trend'!$A$5:$A$24</c:f>
              <c:numCache>
                <c:formatCode>mmm\-yy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'Monthly Trend'!$C$5:$C$24</c:f>
              <c:numCache>
                <c:formatCode>#,##0</c:formatCode>
                <c:ptCount val="20"/>
                <c:pt idx="0">
                  <c:v>2172.5400000000004</c:v>
                </c:pt>
                <c:pt idx="1">
                  <c:v>3758.1799999999989</c:v>
                </c:pt>
                <c:pt idx="2">
                  <c:v>2771.36</c:v>
                </c:pt>
                <c:pt idx="3">
                  <c:v>6716.630000000001</c:v>
                </c:pt>
                <c:pt idx="4">
                  <c:v>6607.42</c:v>
                </c:pt>
                <c:pt idx="5">
                  <c:v>7950.5499999999975</c:v>
                </c:pt>
                <c:pt idx="6">
                  <c:v>11224.26</c:v>
                </c:pt>
                <c:pt idx="7">
                  <c:v>11209.589999999998</c:v>
                </c:pt>
                <c:pt idx="8">
                  <c:v>9814.9999999999964</c:v>
                </c:pt>
                <c:pt idx="9">
                  <c:v>12961.279999999997</c:v>
                </c:pt>
                <c:pt idx="10">
                  <c:v>22385.649999999994</c:v>
                </c:pt>
                <c:pt idx="11">
                  <c:v>17841.410000000003</c:v>
                </c:pt>
                <c:pt idx="12">
                  <c:v>14582.560000000005</c:v>
                </c:pt>
                <c:pt idx="13">
                  <c:v>15315.649999999996</c:v>
                </c:pt>
                <c:pt idx="14">
                  <c:v>17123.159999999993</c:v>
                </c:pt>
                <c:pt idx="15">
                  <c:v>16952.449999999997</c:v>
                </c:pt>
                <c:pt idx="16">
                  <c:v>17742.949999999997</c:v>
                </c:pt>
                <c:pt idx="17">
                  <c:v>20909.409999999993</c:v>
                </c:pt>
                <c:pt idx="18">
                  <c:v>21264.659999999989</c:v>
                </c:pt>
                <c:pt idx="19">
                  <c:v>25620.950000000015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5C-49CD-82A7-ED2270FD4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554770"/>
        <c:axId val="55659474"/>
      </c:lineChart>
      <c:dateAx>
        <c:axId val="1055477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659474"/>
        <c:crosses val="autoZero"/>
        <c:auto val="1"/>
        <c:lblOffset val="100"/>
        <c:baseTimeUnit val="months"/>
      </c:dateAx>
      <c:valAx>
        <c:axId val="55659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547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Review Score by Delivery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Analysis'!$D$4</c:f>
              <c:strCache>
                <c:ptCount val="1"/>
                <c:pt idx="0">
                  <c:v>Avg Review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Analysis'!$A$5:$A$8</c:f>
              <c:strCache>
                <c:ptCount val="4"/>
                <c:pt idx="0">
                  <c:v>0-7 days</c:v>
                </c:pt>
                <c:pt idx="1">
                  <c:v>8-14 days</c:v>
                </c:pt>
                <c:pt idx="2">
                  <c:v>15-21 days</c:v>
                </c:pt>
                <c:pt idx="3">
                  <c:v>22+ days</c:v>
                </c:pt>
              </c:strCache>
            </c:strRef>
          </c:cat>
          <c:val>
            <c:numRef>
              <c:f>'Delivery Analysis'!$D$5:$D$8</c:f>
              <c:numCache>
                <c:formatCode>0.00</c:formatCode>
                <c:ptCount val="4"/>
                <c:pt idx="0">
                  <c:v>4.4218415417558887</c:v>
                </c:pt>
                <c:pt idx="1">
                  <c:v>4.3884210526315792</c:v>
                </c:pt>
                <c:pt idx="2">
                  <c:v>4.0421836228287837</c:v>
                </c:pt>
                <c:pt idx="3">
                  <c:v>3.1444444444444444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D-468D-8A25-B96D52DC9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9543"/>
        <c:axId val="87434502"/>
      </c:barChart>
      <c:catAx>
        <c:axId val="40239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434502"/>
        <c:crosses val="autoZero"/>
        <c:auto val="1"/>
        <c:lblAlgn val="ctr"/>
        <c:lblOffset val="100"/>
        <c:noMultiLvlLbl val="0"/>
      </c:catAx>
      <c:valAx>
        <c:axId val="87434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2395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Analysis'!$B$4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Analysis'!$A$5:$A$16</c:f>
              <c:strCache>
                <c:ptCount val="12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</c:strCache>
            </c:strRef>
          </c:cat>
          <c:val>
            <c:numRef>
              <c:f>'State Analysis'!$B$5:$B$16</c:f>
              <c:numCache>
                <c:formatCode>#,##0</c:formatCode>
                <c:ptCount val="12"/>
                <c:pt idx="0">
                  <c:v>909</c:v>
                </c:pt>
                <c:pt idx="1">
                  <c:v>252</c:v>
                </c:pt>
                <c:pt idx="2">
                  <c:v>241</c:v>
                </c:pt>
                <c:pt idx="3">
                  <c:v>110</c:v>
                </c:pt>
                <c:pt idx="4">
                  <c:v>115</c:v>
                </c:pt>
                <c:pt idx="5">
                  <c:v>96</c:v>
                </c:pt>
                <c:pt idx="6">
                  <c:v>65</c:v>
                </c:pt>
                <c:pt idx="7">
                  <c:v>52</c:v>
                </c:pt>
                <c:pt idx="8">
                  <c:v>60</c:v>
                </c:pt>
                <c:pt idx="9">
                  <c:v>33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5-48A3-AFF8-6D7A535F4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88142"/>
        <c:axId val="24996502"/>
      </c:barChart>
      <c:catAx>
        <c:axId val="80788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96502"/>
        <c:crosses val="autoZero"/>
        <c:auto val="1"/>
        <c:lblAlgn val="ctr"/>
        <c:lblOffset val="100"/>
        <c:noMultiLvlLbl val="0"/>
      </c:catAx>
      <c:valAx>
        <c:axId val="24996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788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Margin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Analysis'!$F$4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Analysis'!$A$5:$A$16</c:f>
              <c:strCache>
                <c:ptCount val="12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</c:strCache>
            </c:strRef>
          </c:cat>
          <c:val>
            <c:numRef>
              <c:f>'State Analysis'!$F$5:$F$16</c:f>
              <c:numCache>
                <c:formatCode>0.0%</c:formatCode>
                <c:ptCount val="12"/>
                <c:pt idx="0">
                  <c:v>0.21839850952856321</c:v>
                </c:pt>
                <c:pt idx="1">
                  <c:v>0.16988255700209495</c:v>
                </c:pt>
                <c:pt idx="2">
                  <c:v>0.17673053917289666</c:v>
                </c:pt>
                <c:pt idx="3">
                  <c:v>0.17486561142525495</c:v>
                </c:pt>
                <c:pt idx="4">
                  <c:v>0.18747507266029129</c:v>
                </c:pt>
                <c:pt idx="5">
                  <c:v>0.19048811000742599</c:v>
                </c:pt>
                <c:pt idx="6">
                  <c:v>0.11334197724683295</c:v>
                </c:pt>
                <c:pt idx="7">
                  <c:v>0.19971068378400142</c:v>
                </c:pt>
                <c:pt idx="8">
                  <c:v>0.1792854916161537</c:v>
                </c:pt>
                <c:pt idx="9">
                  <c:v>0.16767338331194093</c:v>
                </c:pt>
                <c:pt idx="10">
                  <c:v>0.12059243452245089</c:v>
                </c:pt>
                <c:pt idx="11">
                  <c:v>0.13515556186274955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B-4F3F-ABFC-F6659315E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9323"/>
        <c:axId val="34397051"/>
      </c:barChart>
      <c:catAx>
        <c:axId val="10849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397051"/>
        <c:crosses val="autoZero"/>
        <c:auto val="1"/>
        <c:lblAlgn val="ctr"/>
        <c:lblOffset val="100"/>
        <c:noMultiLvlLbl val="0"/>
      </c:catAx>
      <c:valAx>
        <c:axId val="34397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49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Delivery Days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Analysis'!$J$4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Analysis'!$A$5:$A$16</c:f>
              <c:strCache>
                <c:ptCount val="12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</c:strCache>
            </c:strRef>
          </c:cat>
          <c:val>
            <c:numRef>
              <c:f>'State Analysis'!$J$5:$J$16</c:f>
              <c:numCache>
                <c:formatCode>0.0</c:formatCode>
                <c:ptCount val="12"/>
                <c:pt idx="0">
                  <c:v>8.6655665566556657</c:v>
                </c:pt>
                <c:pt idx="1">
                  <c:v>16.337301587301589</c:v>
                </c:pt>
                <c:pt idx="2">
                  <c:v>12.539419087136929</c:v>
                </c:pt>
                <c:pt idx="3">
                  <c:v>16.372727272727271</c:v>
                </c:pt>
                <c:pt idx="4">
                  <c:v>13.165217391304347</c:v>
                </c:pt>
                <c:pt idx="5">
                  <c:v>14.791666666666666</c:v>
                </c:pt>
                <c:pt idx="6">
                  <c:v>20.246153846153845</c:v>
                </c:pt>
                <c:pt idx="7">
                  <c:v>13.673076923076923</c:v>
                </c:pt>
                <c:pt idx="8">
                  <c:v>17.7</c:v>
                </c:pt>
                <c:pt idx="9">
                  <c:v>15.969696969696969</c:v>
                </c:pt>
                <c:pt idx="10">
                  <c:v>23.5</c:v>
                </c:pt>
                <c:pt idx="11">
                  <c:v>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1-47A9-9DC8-30C6C2C60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087849"/>
        <c:axId val="95711776"/>
      </c:barChart>
      <c:catAx>
        <c:axId val="950878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11776"/>
        <c:crosses val="autoZero"/>
        <c:auto val="1"/>
        <c:lblAlgn val="ctr"/>
        <c:lblOffset val="100"/>
        <c:noMultiLvlLbl val="0"/>
      </c:catAx>
      <c:valAx>
        <c:axId val="957117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0878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Trend'!$C$4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Trend'!$A$5:$A$24</c:f>
              <c:numCache>
                <c:formatCode>mmm\-yy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'Monthly Trend'!$C$5:$C$24</c:f>
              <c:numCache>
                <c:formatCode>#,##0</c:formatCode>
                <c:ptCount val="20"/>
                <c:pt idx="0">
                  <c:v>2172.5400000000004</c:v>
                </c:pt>
                <c:pt idx="1">
                  <c:v>3758.1799999999989</c:v>
                </c:pt>
                <c:pt idx="2">
                  <c:v>2771.36</c:v>
                </c:pt>
                <c:pt idx="3">
                  <c:v>6716.630000000001</c:v>
                </c:pt>
                <c:pt idx="4">
                  <c:v>6607.42</c:v>
                </c:pt>
                <c:pt idx="5">
                  <c:v>7950.5499999999975</c:v>
                </c:pt>
                <c:pt idx="6">
                  <c:v>11224.26</c:v>
                </c:pt>
                <c:pt idx="7">
                  <c:v>11209.589999999998</c:v>
                </c:pt>
                <c:pt idx="8">
                  <c:v>9814.9999999999964</c:v>
                </c:pt>
                <c:pt idx="9">
                  <c:v>12961.279999999997</c:v>
                </c:pt>
                <c:pt idx="10">
                  <c:v>22385.649999999994</c:v>
                </c:pt>
                <c:pt idx="11">
                  <c:v>17841.410000000003</c:v>
                </c:pt>
                <c:pt idx="12">
                  <c:v>14582.560000000005</c:v>
                </c:pt>
                <c:pt idx="13">
                  <c:v>15315.649999999996</c:v>
                </c:pt>
                <c:pt idx="14">
                  <c:v>17123.159999999993</c:v>
                </c:pt>
                <c:pt idx="15">
                  <c:v>16952.449999999997</c:v>
                </c:pt>
                <c:pt idx="16">
                  <c:v>17742.949999999997</c:v>
                </c:pt>
                <c:pt idx="17">
                  <c:v>20909.409999999993</c:v>
                </c:pt>
                <c:pt idx="18">
                  <c:v>21264.659999999989</c:v>
                </c:pt>
                <c:pt idx="19">
                  <c:v>25620.950000000015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5B-411C-AF51-C56C3B6D2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722432"/>
        <c:axId val="97524468"/>
      </c:lineChart>
      <c:dateAx>
        <c:axId val="9172243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524468"/>
        <c:crosses val="autoZero"/>
        <c:auto val="1"/>
        <c:lblOffset val="100"/>
        <c:baseTimeUnit val="months"/>
      </c:dateAx>
      <c:valAx>
        <c:axId val="97524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224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101160</xdr:rowOff>
    </xdr:from>
    <xdr:to>
      <xdr:col>20</xdr:col>
      <xdr:colOff>255960</xdr:colOff>
      <xdr:row>15</xdr:row>
      <xdr:rowOff>114840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101160</xdr:rowOff>
    </xdr:from>
    <xdr:to>
      <xdr:col>15</xdr:col>
      <xdr:colOff>147600</xdr:colOff>
      <xdr:row>14</xdr:row>
      <xdr:rowOff>95760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100800</xdr:rowOff>
    </xdr:from>
    <xdr:to>
      <xdr:col>4</xdr:col>
      <xdr:colOff>42840</xdr:colOff>
      <xdr:row>41</xdr:row>
      <xdr:rowOff>133560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27</xdr:row>
      <xdr:rowOff>100800</xdr:rowOff>
    </xdr:from>
    <xdr:to>
      <xdr:col>7</xdr:col>
      <xdr:colOff>42840</xdr:colOff>
      <xdr:row>41</xdr:row>
      <xdr:rowOff>133560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101160</xdr:rowOff>
    </xdr:from>
    <xdr:to>
      <xdr:col>4</xdr:col>
      <xdr:colOff>42840</xdr:colOff>
      <xdr:row>57</xdr:row>
      <xdr:rowOff>133560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43</xdr:row>
      <xdr:rowOff>101160</xdr:rowOff>
    </xdr:from>
    <xdr:to>
      <xdr:col>7</xdr:col>
      <xdr:colOff>42840</xdr:colOff>
      <xdr:row>57</xdr:row>
      <xdr:rowOff>133560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ruti" refreshedDate="46314.504044097223" createdVersion="8" refreshedVersion="8" minRefreshableVersion="3" recordCount="2000" xr:uid="{EFE5A894-2581-4ABE-9126-F7E5AA147FBD}">
  <cacheSource type="worksheet">
    <worksheetSource ref="A1:T2001" sheet="Data"/>
  </cacheSource>
  <cacheFields count="20">
    <cacheField name="order_id" numFmtId="0">
      <sharedItems/>
    </cacheField>
    <cacheField name="customer_state" numFmtId="0">
      <sharedItems count="12">
        <s v="SP"/>
        <s v="PR"/>
        <s v="RS"/>
        <s v="RJ"/>
        <s v="MG"/>
        <s v="ES"/>
        <s v="BA"/>
        <s v="DF"/>
        <s v="SC"/>
        <s v="GO"/>
        <s v="PE"/>
        <s v="CE"/>
      </sharedItems>
    </cacheField>
    <cacheField name="purchase_date" numFmtId="167">
      <sharedItems containsSemiMixedTypes="0" containsNonDate="0" containsDate="1" containsString="0" minDate="2017-01-03T00:00:00" maxDate="2018-09-01T00:00:00"/>
    </cacheField>
    <cacheField name="delivered_date" numFmtId="167">
      <sharedItems containsSemiMixedTypes="0" containsNonDate="0" containsDate="1" containsString="0" minDate="2017-01-13T00:00:00" maxDate="2018-09-26T00:00:00"/>
    </cacheField>
    <cacheField name="estimated_date" numFmtId="167">
      <sharedItems containsSemiMixedTypes="0" containsNonDate="0" containsDate="1" containsString="0" minDate="2017-01-17T00:00:00" maxDate="2018-10-05T00:00:00"/>
    </cacheField>
    <cacheField name="product_category" numFmtId="0">
      <sharedItems/>
    </cacheField>
    <cacheField name="price" numFmtId="4">
      <sharedItems containsSemiMixedTypes="0" containsString="0" containsNumber="1" minValue="16.66" maxValue="802.15"/>
    </cacheField>
    <cacheField name="freight_value" numFmtId="4">
      <sharedItems containsSemiMixedTypes="0" containsString="0" containsNumber="1" minValue="10.97" maxValue="51.49"/>
    </cacheField>
    <cacheField name="payment_type" numFmtId="0">
      <sharedItems/>
    </cacheField>
    <cacheField name="review_score" numFmtId="0">
      <sharedItems containsSemiMixedTypes="0" containsString="0" containsNumber="1" containsInteger="1" minValue="1" maxValue="5"/>
    </cacheField>
    <cacheField name="order_status" numFmtId="0">
      <sharedItems/>
    </cacheField>
    <cacheField name="order_month" numFmtId="168">
      <sharedItems containsSemiMixedTypes="0" containsNonDate="0" containsDate="1" containsString="0" minDate="2017-01-01T00:00:00" maxDate="2018-08-02T00:00:00"/>
    </cacheField>
    <cacheField name="delivery_days" numFmtId="0">
      <sharedItems containsSemiMixedTypes="0" containsString="0" containsNumber="1" containsInteger="1" minValue="2" maxValue="76"/>
    </cacheField>
    <cacheField name="delay_days" numFmtId="0">
      <sharedItems containsSemiMixedTypes="0" containsString="0" containsNumber="1" containsInteger="1" minValue="0" maxValue="44"/>
    </cacheField>
    <cacheField name="on_time" numFmtId="0">
      <sharedItems containsSemiMixedTypes="0" containsString="0" containsNumber="1" containsInteger="1" minValue="0" maxValue="1"/>
    </cacheField>
    <cacheField name="revenue" numFmtId="4">
      <sharedItems containsSemiMixedTypes="0" containsString="0" containsNumber="1" minValue="30.14" maxValue="832.15"/>
    </cacheField>
    <cacheField name="cogs" numFmtId="4">
      <sharedItems containsSemiMixedTypes="0" containsString="0" containsNumber="1" minValue="10.3292" maxValue="529.41899999999998"/>
    </cacheField>
    <cacheField name="freight_absorbed" numFmtId="4">
      <sharedItems containsSemiMixedTypes="0" containsString="0" containsNumber="1" minValue="6.5819999999999999" maxValue="30.893999999999998"/>
    </cacheField>
    <cacheField name="net_profit" numFmtId="4">
      <sharedItems containsSemiMixedTypes="0" containsString="0" containsNumber="1" minValue="-18.523800000000001" maxValue="254.73099999999999"/>
    </cacheField>
    <cacheField name="delivery_buck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ad3e8705cd525f9feb67a72c8ee0314d"/>
    <x v="0"/>
    <d v="2017-01-03T00:00:00"/>
    <d v="2017-01-13T00:00:00"/>
    <d v="2017-01-17T00:00:00"/>
    <s v="toys"/>
    <n v="83.12"/>
    <n v="19.21"/>
    <s v="credit_card"/>
    <n v="5"/>
    <s v="delivered"/>
    <d v="2017-01-01T00:00:00"/>
    <n v="10"/>
    <n v="0"/>
    <n v="1"/>
    <n v="102.33000000000001"/>
    <n v="49.872"/>
    <n v="11.526"/>
    <n v="21.722000000000005"/>
    <s v="8-14 days"/>
  </r>
  <r>
    <s v="63b55bfb128e92ad6b707ef6fe62314e"/>
    <x v="1"/>
    <d v="2017-01-03T00:00:00"/>
    <d v="2017-01-15T00:00:00"/>
    <d v="2017-01-26T00:00:00"/>
    <s v="health_beauty"/>
    <n v="60.51"/>
    <n v="16.47"/>
    <s v="voucher"/>
    <n v="4"/>
    <s v="delivered"/>
    <d v="2017-01-01T00:00:00"/>
    <n v="12"/>
    <n v="0"/>
    <n v="1"/>
    <n v="76.97999999999999"/>
    <n v="35.095799999999997"/>
    <n v="9.8819999999999997"/>
    <n v="15.532200000000001"/>
    <s v="8-14 days"/>
  </r>
  <r>
    <s v="c18cc4131d848484424526028f016e18"/>
    <x v="2"/>
    <d v="2017-01-03T00:00:00"/>
    <d v="2017-01-25T00:00:00"/>
    <d v="2017-01-29T00:00:00"/>
    <s v="computers_accessories"/>
    <n v="134.74"/>
    <n v="25"/>
    <s v="credit_card"/>
    <n v="3"/>
    <s v="delivered"/>
    <d v="2017-01-01T00:00:00"/>
    <n v="22"/>
    <n v="0"/>
    <n v="1"/>
    <n v="159.74"/>
    <n v="99.707599999999999"/>
    <n v="15"/>
    <n v="20.03240000000001"/>
    <s v="22+ days"/>
  </r>
  <r>
    <s v="e88188c3788f06ed3c1e919bee5a4007"/>
    <x v="3"/>
    <d v="2017-01-05T00:00:00"/>
    <d v="2017-01-19T00:00:00"/>
    <d v="2017-01-28T00:00:00"/>
    <s v="computers_accessories"/>
    <n v="40.74"/>
    <n v="16.28"/>
    <s v="credit_card"/>
    <n v="5"/>
    <s v="delivered"/>
    <d v="2017-01-01T00:00:00"/>
    <n v="14"/>
    <n v="0"/>
    <n v="1"/>
    <n v="57.02"/>
    <n v="30.147600000000001"/>
    <n v="9.7680000000000007"/>
    <n v="0.82440000000000069"/>
    <s v="8-14 days"/>
  </r>
  <r>
    <s v="b789593e216dfc7021965beeda3544b5"/>
    <x v="0"/>
    <d v="2017-01-05T00:00:00"/>
    <d v="2017-01-19T00:00:00"/>
    <d v="2017-01-22T00:00:00"/>
    <s v="auto"/>
    <n v="47.62"/>
    <n v="13.02"/>
    <s v="credit_card"/>
    <n v="5"/>
    <s v="delivered"/>
    <d v="2017-01-01T00:00:00"/>
    <n v="14"/>
    <n v="0"/>
    <n v="1"/>
    <n v="60.64"/>
    <n v="32.381599999999999"/>
    <n v="7.8119999999999994"/>
    <n v="7.4263999999999992"/>
    <s v="8-14 days"/>
  </r>
  <r>
    <s v="912cf322735e81531c3892e8f2cfcd63"/>
    <x v="2"/>
    <d v="2017-01-06T00:00:00"/>
    <d v="2017-01-22T00:00:00"/>
    <d v="2017-01-30T00:00:00"/>
    <s v="sports_leisure"/>
    <n v="125.89"/>
    <n v="20.72"/>
    <s v="boleto"/>
    <n v="4"/>
    <s v="delivered"/>
    <d v="2017-01-01T00:00:00"/>
    <n v="16"/>
    <n v="0"/>
    <n v="1"/>
    <n v="146.61000000000001"/>
    <n v="80.569600000000008"/>
    <n v="12.431999999999999"/>
    <n v="32.88839999999999"/>
    <s v="15-21 days"/>
  </r>
  <r>
    <s v="14a9ee59eb1313b795d14b6d6e9ae156"/>
    <x v="4"/>
    <d v="2017-01-09T00:00:00"/>
    <d v="2017-01-26T00:00:00"/>
    <d v="2017-02-01T00:00:00"/>
    <s v="auto"/>
    <n v="119.5"/>
    <n v="26.65"/>
    <s v="credit_card"/>
    <n v="4"/>
    <s v="delivered"/>
    <d v="2017-01-01T00:00:00"/>
    <n v="17"/>
    <n v="0"/>
    <n v="1"/>
    <n v="146.15"/>
    <n v="81.260000000000005"/>
    <n v="15.989999999999998"/>
    <n v="22.249999999999996"/>
    <s v="15-21 days"/>
  </r>
  <r>
    <s v="094f51660bae6d2bfbece5d5a8856294"/>
    <x v="0"/>
    <d v="2017-01-09T00:00:00"/>
    <d v="2017-01-26T00:00:00"/>
    <d v="2017-01-28T00:00:00"/>
    <s v="watches_gifts"/>
    <n v="280.85000000000002"/>
    <n v="22.93"/>
    <s v="credit_card"/>
    <n v="5"/>
    <s v="delivered"/>
    <d v="2017-01-01T00:00:00"/>
    <n v="17"/>
    <n v="0"/>
    <n v="1"/>
    <n v="303.78000000000003"/>
    <n v="185.36100000000002"/>
    <n v="13.757999999999999"/>
    <n v="81.731000000000009"/>
    <s v="15-21 days"/>
  </r>
  <r>
    <s v="0534a1018ddce71981f38dd4fd034ada"/>
    <x v="0"/>
    <d v="2017-01-12T00:00:00"/>
    <d v="2017-01-18T00:00:00"/>
    <d v="2017-01-27T00:00:00"/>
    <s v="auto"/>
    <n v="42.07"/>
    <n v="16.670000000000002"/>
    <s v="credit_card"/>
    <n v="4"/>
    <s v="delivered"/>
    <d v="2017-01-01T00:00:00"/>
    <n v="6"/>
    <n v="0"/>
    <n v="1"/>
    <n v="58.74"/>
    <n v="28.607600000000001"/>
    <n v="10.002000000000001"/>
    <n v="3.4603999999999981"/>
    <s v="0-7 days"/>
  </r>
  <r>
    <s v="8ff63d7ed92fcf511e8124950bd515dd"/>
    <x v="4"/>
    <d v="2017-01-12T00:00:00"/>
    <d v="2017-01-23T00:00:00"/>
    <d v="2017-02-03T00:00:00"/>
    <s v="bed_bath_table"/>
    <n v="83.04"/>
    <n v="23.66"/>
    <s v="credit_card"/>
    <n v="4"/>
    <s v="delivered"/>
    <d v="2017-01-01T00:00:00"/>
    <n v="11"/>
    <n v="0"/>
    <n v="1"/>
    <n v="106.7"/>
    <n v="51.484800000000007"/>
    <n v="14.196"/>
    <n v="17.359200000000001"/>
    <s v="8-14 days"/>
  </r>
  <r>
    <s v="e3f2df80a7bbc6129a37ef9d5983ce94"/>
    <x v="0"/>
    <d v="2017-01-14T00:00:00"/>
    <d v="2017-01-26T00:00:00"/>
    <d v="2017-01-30T00:00:00"/>
    <s v="watches_gifts"/>
    <n v="96.56"/>
    <n v="12.89"/>
    <s v="credit_card"/>
    <n v="4"/>
    <s v="delivered"/>
    <d v="2017-01-01T00:00:00"/>
    <n v="12"/>
    <n v="0"/>
    <n v="1"/>
    <n v="109.45"/>
    <n v="63.729600000000005"/>
    <n v="7.734"/>
    <n v="25.096399999999996"/>
    <s v="8-14 days"/>
  </r>
  <r>
    <s v="c1f857c42726c2c37af468fdfa6965f1"/>
    <x v="0"/>
    <d v="2017-01-16T00:00:00"/>
    <d v="2017-01-25T00:00:00"/>
    <d v="2017-02-02T00:00:00"/>
    <s v="sports_leisure"/>
    <n v="40.630000000000003"/>
    <n v="17.32"/>
    <s v="boleto"/>
    <n v="4"/>
    <s v="delivered"/>
    <d v="2017-01-01T00:00:00"/>
    <n v="9"/>
    <n v="0"/>
    <n v="1"/>
    <n v="57.95"/>
    <n v="26.003200000000003"/>
    <n v="10.391999999999999"/>
    <n v="4.2347999999999999"/>
    <s v="8-14 days"/>
  </r>
  <r>
    <s v="582d1e50fda6d97117bd21248a994696"/>
    <x v="0"/>
    <d v="2017-01-18T00:00:00"/>
    <d v="2017-01-24T00:00:00"/>
    <d v="2017-02-04T00:00:00"/>
    <s v="toys"/>
    <n v="60.84"/>
    <n v="20.58"/>
    <s v="credit_card"/>
    <n v="5"/>
    <s v="delivered"/>
    <d v="2017-01-01T00:00:00"/>
    <n v="6"/>
    <n v="0"/>
    <n v="1"/>
    <n v="81.42"/>
    <n v="36.503999999999998"/>
    <n v="12.347999999999999"/>
    <n v="11.988000000000007"/>
    <s v="0-7 days"/>
  </r>
  <r>
    <s v="e6d7e5589a117c5a8d8957fb4a357184"/>
    <x v="0"/>
    <d v="2017-01-20T00:00:00"/>
    <d v="2017-01-24T00:00:00"/>
    <d v="2017-02-06T00:00:00"/>
    <s v="sports_leisure"/>
    <n v="48.02"/>
    <n v="15.63"/>
    <s v="credit_card"/>
    <n v="3"/>
    <s v="delivered"/>
    <d v="2017-01-01T00:00:00"/>
    <n v="4"/>
    <n v="0"/>
    <n v="1"/>
    <n v="63.650000000000006"/>
    <n v="30.732800000000001"/>
    <n v="9.3780000000000001"/>
    <n v="7.909200000000002"/>
    <s v="0-7 days"/>
  </r>
  <r>
    <s v="c53d1af98d40aeb2aed690cc037f5347"/>
    <x v="0"/>
    <d v="2017-01-22T00:00:00"/>
    <d v="2017-02-01T00:00:00"/>
    <d v="2017-02-02T00:00:00"/>
    <s v="bed_bath_table"/>
    <n v="61.25"/>
    <n v="12.74"/>
    <s v="boleto"/>
    <n v="5"/>
    <s v="delivered"/>
    <d v="2017-01-01T00:00:00"/>
    <n v="10"/>
    <n v="0"/>
    <n v="1"/>
    <n v="73.989999999999995"/>
    <n v="37.975000000000001"/>
    <n v="7.6440000000000001"/>
    <n v="15.630999999999998"/>
    <s v="8-14 days"/>
  </r>
  <r>
    <s v="e1e3db63ef7ddc76b92da22b21df306f"/>
    <x v="4"/>
    <d v="2017-01-23T00:00:00"/>
    <d v="2017-02-05T00:00:00"/>
    <d v="2017-02-16T00:00:00"/>
    <s v="bed_bath_table"/>
    <n v="33.18"/>
    <n v="17.66"/>
    <s v="credit_card"/>
    <n v="4"/>
    <s v="delivered"/>
    <d v="2017-01-01T00:00:00"/>
    <n v="13"/>
    <n v="0"/>
    <n v="1"/>
    <n v="50.84"/>
    <n v="20.5716"/>
    <n v="10.596"/>
    <n v="2.0123999999999995"/>
    <s v="8-14 days"/>
  </r>
  <r>
    <s v="1aa6f7cb90c7e6aca3bfe403388c9751"/>
    <x v="0"/>
    <d v="2017-01-23T00:00:00"/>
    <d v="2017-02-05T00:00:00"/>
    <d v="2017-02-13T00:00:00"/>
    <s v="bed_bath_table"/>
    <n v="250.5"/>
    <n v="25.67"/>
    <s v="voucher"/>
    <n v="4"/>
    <s v="delivered"/>
    <d v="2017-01-01T00:00:00"/>
    <n v="13"/>
    <n v="0"/>
    <n v="1"/>
    <n v="276.17"/>
    <n v="155.31"/>
    <n v="15.402000000000001"/>
    <n v="79.787999999999997"/>
    <s v="8-14 days"/>
  </r>
  <r>
    <s v="8f9afd511a58fa4437abaed786faaa83"/>
    <x v="0"/>
    <d v="2017-01-23T00:00:00"/>
    <d v="2017-01-28T00:00:00"/>
    <d v="2017-02-04T00:00:00"/>
    <s v="toys"/>
    <n v="89.54"/>
    <n v="18.61"/>
    <s v="credit_card"/>
    <n v="5"/>
    <s v="delivered"/>
    <d v="2017-01-01T00:00:00"/>
    <n v="5"/>
    <n v="0"/>
    <n v="1"/>
    <n v="108.15"/>
    <n v="53.724000000000004"/>
    <n v="11.165999999999999"/>
    <n v="24.650000000000006"/>
    <s v="0-7 days"/>
  </r>
  <r>
    <s v="9b2d5a2a99bd6240a8535961632d0302"/>
    <x v="5"/>
    <d v="2017-01-24T00:00:00"/>
    <d v="2017-02-16T00:00:00"/>
    <d v="2017-02-13T00:00:00"/>
    <s v="health_beauty"/>
    <n v="112.6"/>
    <n v="19.63"/>
    <s v="boleto"/>
    <n v="3"/>
    <s v="delivered"/>
    <d v="2017-01-01T00:00:00"/>
    <n v="23"/>
    <n v="3"/>
    <n v="0"/>
    <n v="132.22999999999999"/>
    <n v="65.307999999999993"/>
    <n v="11.777999999999999"/>
    <n v="35.514000000000003"/>
    <s v="22+ days"/>
  </r>
  <r>
    <s v="f4184c807429a2029b4e4fb080081255"/>
    <x v="3"/>
    <d v="2017-02-01T00:00:00"/>
    <d v="2017-03-02T00:00:00"/>
    <d v="2017-02-25T00:00:00"/>
    <s v="furniture_decor"/>
    <n v="85.11"/>
    <n v="25.44"/>
    <s v="boleto"/>
    <n v="3"/>
    <s v="delivered"/>
    <d v="2017-02-01T00:00:00"/>
    <n v="29"/>
    <n v="5"/>
    <n v="0"/>
    <n v="110.55"/>
    <n v="59.576999999999998"/>
    <n v="15.263999999999999"/>
    <n v="10.269000000000002"/>
    <s v="22+ days"/>
  </r>
  <r>
    <s v="af35fbc0e1057ec8ebf3ef9939d38f2b"/>
    <x v="3"/>
    <d v="2017-02-02T00:00:00"/>
    <d v="2017-02-12T00:00:00"/>
    <d v="2017-02-23T00:00:00"/>
    <s v="bed_bath_table"/>
    <n v="62.55"/>
    <n v="25.58"/>
    <s v="credit_card"/>
    <n v="4"/>
    <s v="delivered"/>
    <d v="2017-02-01T00:00:00"/>
    <n v="10"/>
    <n v="0"/>
    <n v="1"/>
    <n v="88.13"/>
    <n v="38.780999999999999"/>
    <n v="15.347999999999999"/>
    <n v="8.4209999999999994"/>
    <s v="8-14 days"/>
  </r>
  <r>
    <s v="2b0f225c235ae03ad4b8a420ea5f05f4"/>
    <x v="2"/>
    <d v="2017-02-02T00:00:00"/>
    <d v="2017-02-12T00:00:00"/>
    <d v="2017-03-02T00:00:00"/>
    <s v="watches_gifts"/>
    <n v="97.97"/>
    <n v="27.76"/>
    <s v="credit_card"/>
    <n v="3"/>
    <s v="delivered"/>
    <d v="2017-02-01T00:00:00"/>
    <n v="10"/>
    <n v="0"/>
    <n v="1"/>
    <n v="125.73"/>
    <n v="64.660200000000003"/>
    <n v="16.655999999999999"/>
    <n v="16.653799999999997"/>
    <s v="8-14 days"/>
  </r>
  <r>
    <s v="1da8558369cb21419505d99e2f7d987d"/>
    <x v="0"/>
    <d v="2017-02-03T00:00:00"/>
    <d v="2017-02-12T00:00:00"/>
    <d v="2017-02-13T00:00:00"/>
    <s v="sports_leisure"/>
    <n v="70.84"/>
    <n v="20.21"/>
    <s v="credit_card"/>
    <n v="5"/>
    <s v="delivered"/>
    <d v="2017-02-01T00:00:00"/>
    <n v="9"/>
    <n v="0"/>
    <n v="1"/>
    <n v="91.050000000000011"/>
    <n v="45.337600000000002"/>
    <n v="12.125999999999999"/>
    <n v="13.376400000000002"/>
    <s v="8-14 days"/>
  </r>
  <r>
    <s v="82a54c5696f22a0615c5fe34f1830345"/>
    <x v="0"/>
    <d v="2017-02-03T00:00:00"/>
    <d v="2017-02-13T00:00:00"/>
    <d v="2017-02-18T00:00:00"/>
    <s v="bed_bath_table"/>
    <n v="55.04"/>
    <n v="14.16"/>
    <s v="boleto"/>
    <n v="5"/>
    <s v="delivered"/>
    <d v="2017-02-01T00:00:00"/>
    <n v="10"/>
    <n v="0"/>
    <n v="1"/>
    <n v="69.2"/>
    <n v="34.1248"/>
    <n v="8.4960000000000004"/>
    <n v="12.419199999999998"/>
    <s v="8-14 days"/>
  </r>
  <r>
    <s v="52fb86828f45dd4c9ed55243493c0253"/>
    <x v="0"/>
    <d v="2017-02-03T00:00:00"/>
    <d v="2017-02-14T00:00:00"/>
    <d v="2017-02-15T00:00:00"/>
    <s v="furniture_decor"/>
    <n v="67.989999999999995"/>
    <n v="12.43"/>
    <s v="credit_card"/>
    <n v="4"/>
    <s v="delivered"/>
    <d v="2017-02-01T00:00:00"/>
    <n v="11"/>
    <n v="0"/>
    <n v="1"/>
    <n v="80.419999999999987"/>
    <n v="47.592999999999996"/>
    <n v="7.4579999999999993"/>
    <n v="12.939"/>
    <s v="8-14 days"/>
  </r>
  <r>
    <s v="3756b0058844bc0caccfb130e4872e77"/>
    <x v="0"/>
    <d v="2017-02-04T00:00:00"/>
    <d v="2017-02-10T00:00:00"/>
    <d v="2017-02-19T00:00:00"/>
    <s v="watches_gifts"/>
    <n v="138.63999999999999"/>
    <n v="20.77"/>
    <s v="credit_card"/>
    <n v="4"/>
    <s v="delivered"/>
    <d v="2017-02-01T00:00:00"/>
    <n v="6"/>
    <n v="0"/>
    <n v="1"/>
    <n v="159.41"/>
    <n v="91.502399999999994"/>
    <n v="12.462"/>
    <n v="34.675599999999989"/>
    <s v="0-7 days"/>
  </r>
  <r>
    <s v="1d5206abb7e6427cbf780e3ff6b751f7"/>
    <x v="0"/>
    <d v="2017-02-05T00:00:00"/>
    <d v="2017-02-11T00:00:00"/>
    <d v="2017-02-24T00:00:00"/>
    <s v="furniture_decor"/>
    <n v="69.099999999999994"/>
    <n v="18.239999999999998"/>
    <s v="boleto"/>
    <n v="5"/>
    <s v="delivered"/>
    <d v="2017-02-01T00:00:00"/>
    <n v="6"/>
    <n v="0"/>
    <n v="1"/>
    <n v="87.339999999999989"/>
    <n v="48.36999999999999"/>
    <n v="10.943999999999999"/>
    <n v="9.7860000000000049"/>
    <s v="0-7 days"/>
  </r>
  <r>
    <s v="1d8709660710d430f071d87954c63cd8"/>
    <x v="0"/>
    <d v="2017-02-07T00:00:00"/>
    <d v="2017-02-14T00:00:00"/>
    <d v="2017-02-26T00:00:00"/>
    <s v="sports_leisure"/>
    <n v="92.54"/>
    <n v="21.21"/>
    <s v="boleto"/>
    <n v="5"/>
    <s v="delivered"/>
    <d v="2017-02-01T00:00:00"/>
    <n v="7"/>
    <n v="0"/>
    <n v="1"/>
    <n v="113.75"/>
    <n v="59.225600000000007"/>
    <n v="12.726000000000001"/>
    <n v="20.5884"/>
    <s v="0-7 days"/>
  </r>
  <r>
    <s v="4291c441954ad961760a58a63d8ad67b"/>
    <x v="3"/>
    <d v="2017-02-08T00:00:00"/>
    <d v="2017-03-02T00:00:00"/>
    <d v="2017-03-04T00:00:00"/>
    <s v="auto"/>
    <n v="146.52000000000001"/>
    <n v="30.68"/>
    <s v="credit_card"/>
    <n v="3"/>
    <s v="delivered"/>
    <d v="2017-02-01T00:00:00"/>
    <n v="22"/>
    <n v="0"/>
    <n v="1"/>
    <n v="177.20000000000002"/>
    <n v="99.633600000000015"/>
    <n v="18.407999999999998"/>
    <n v="28.478399999999997"/>
    <s v="22+ days"/>
  </r>
  <r>
    <s v="06cb0fb39a1de644815ef6d13b8faa18"/>
    <x v="4"/>
    <d v="2017-02-09T00:00:00"/>
    <d v="2017-02-19T00:00:00"/>
    <d v="2017-03-04T00:00:00"/>
    <s v="computers_accessories"/>
    <n v="114.08"/>
    <n v="17.59"/>
    <s v="credit_card"/>
    <n v="5"/>
    <s v="delivered"/>
    <d v="2017-02-01T00:00:00"/>
    <n v="10"/>
    <n v="0"/>
    <n v="1"/>
    <n v="131.66999999999999"/>
    <n v="84.419200000000004"/>
    <n v="10.554"/>
    <n v="19.106799999999993"/>
    <s v="8-14 days"/>
  </r>
  <r>
    <s v="a391ffdb8794ac7e4aaa7f994a34041e"/>
    <x v="2"/>
    <d v="2017-02-09T00:00:00"/>
    <d v="2017-02-15T00:00:00"/>
    <d v="2017-03-06T00:00:00"/>
    <s v="health_beauty"/>
    <n v="37.76"/>
    <n v="21.64"/>
    <s v="voucher"/>
    <n v="5"/>
    <s v="delivered"/>
    <d v="2017-02-01T00:00:00"/>
    <n v="6"/>
    <n v="0"/>
    <n v="1"/>
    <n v="59.4"/>
    <n v="21.900799999999997"/>
    <n v="12.984"/>
    <n v="2.8752000000000013"/>
    <s v="0-7 days"/>
  </r>
  <r>
    <s v="e85cc86348cff1da7bbccb5d474f9205"/>
    <x v="3"/>
    <d v="2017-02-09T00:00:00"/>
    <d v="2017-02-24T00:00:00"/>
    <d v="2017-03-08T00:00:00"/>
    <s v="sports_leisure"/>
    <n v="76.03"/>
    <n v="22.19"/>
    <s v="credit_card"/>
    <n v="4"/>
    <s v="delivered"/>
    <d v="2017-02-01T00:00:00"/>
    <n v="15"/>
    <n v="0"/>
    <n v="1"/>
    <n v="98.22"/>
    <n v="48.659199999999998"/>
    <n v="13.314"/>
    <n v="14.056800000000003"/>
    <s v="15-21 days"/>
  </r>
  <r>
    <s v="8ffbcc0f058729f37c03af356577aba9"/>
    <x v="6"/>
    <d v="2017-02-09T00:00:00"/>
    <d v="2017-03-02T00:00:00"/>
    <d v="2017-03-09T00:00:00"/>
    <s v="auto"/>
    <n v="43.19"/>
    <n v="32.82"/>
    <s v="credit_card"/>
    <n v="4"/>
    <s v="delivered"/>
    <d v="2017-02-01T00:00:00"/>
    <n v="21"/>
    <n v="0"/>
    <n v="1"/>
    <n v="76.009999999999991"/>
    <n v="29.369199999999999"/>
    <n v="19.692"/>
    <n v="-5.8712000000000018"/>
    <s v="15-21 days"/>
  </r>
  <r>
    <s v="dd357f0db0427c62ce9fb2785f942c43"/>
    <x v="0"/>
    <d v="2017-02-10T00:00:00"/>
    <d v="2017-02-19T00:00:00"/>
    <d v="2017-02-24T00:00:00"/>
    <s v="computers_accessories"/>
    <n v="134.13"/>
    <n v="16.760000000000002"/>
    <s v="credit_card"/>
    <n v="5"/>
    <s v="delivered"/>
    <d v="2017-02-01T00:00:00"/>
    <n v="9"/>
    <n v="0"/>
    <n v="1"/>
    <n v="150.88999999999999"/>
    <n v="99.256199999999993"/>
    <n v="10.056000000000001"/>
    <n v="24.817800000000002"/>
    <s v="8-14 days"/>
  </r>
  <r>
    <s v="950f5effdc5136e4d912d963d32a9e06"/>
    <x v="0"/>
    <d v="2017-02-11T00:00:00"/>
    <d v="2017-02-17T00:00:00"/>
    <d v="2017-02-28T00:00:00"/>
    <s v="computers_accessories"/>
    <n v="142.46"/>
    <n v="18.04"/>
    <s v="credit_card"/>
    <n v="3"/>
    <s v="delivered"/>
    <d v="2017-02-01T00:00:00"/>
    <n v="6"/>
    <n v="0"/>
    <n v="1"/>
    <n v="160.5"/>
    <n v="105.4204"/>
    <n v="10.824"/>
    <n v="26.215600000000009"/>
    <s v="0-7 days"/>
  </r>
  <r>
    <s v="52dcbffd59008d658b2ab7592fc6c4e6"/>
    <x v="2"/>
    <d v="2017-02-13T00:00:00"/>
    <d v="2017-02-26T00:00:00"/>
    <d v="2017-03-11T00:00:00"/>
    <s v="furniture_decor"/>
    <n v="57.74"/>
    <n v="19.48"/>
    <s v="credit_card"/>
    <n v="4"/>
    <s v="delivered"/>
    <d v="2017-02-01T00:00:00"/>
    <n v="13"/>
    <n v="0"/>
    <n v="1"/>
    <n v="77.22"/>
    <n v="40.417999999999999"/>
    <n v="11.688000000000001"/>
    <n v="5.6340000000000021"/>
    <s v="8-14 days"/>
  </r>
  <r>
    <s v="7eac652a78224ffa4027dfbdb1e37336"/>
    <x v="2"/>
    <d v="2017-02-14T00:00:00"/>
    <d v="2017-02-27T00:00:00"/>
    <d v="2017-03-10T00:00:00"/>
    <s v="sports_leisure"/>
    <n v="83.82"/>
    <n v="25.55"/>
    <s v="credit_card"/>
    <n v="5"/>
    <s v="delivered"/>
    <d v="2017-02-01T00:00:00"/>
    <n v="13"/>
    <n v="0"/>
    <n v="1"/>
    <n v="109.36999999999999"/>
    <n v="53.644799999999996"/>
    <n v="15.33"/>
    <n v="14.845199999999997"/>
    <s v="8-14 days"/>
  </r>
  <r>
    <s v="ad1624e170a26ad8517b9145c48383a4"/>
    <x v="2"/>
    <d v="2017-02-16T00:00:00"/>
    <d v="2017-03-01T00:00:00"/>
    <d v="2017-03-13T00:00:00"/>
    <s v="watches_gifts"/>
    <n v="105.36"/>
    <n v="28"/>
    <s v="boleto"/>
    <n v="3"/>
    <s v="delivered"/>
    <d v="2017-02-01T00:00:00"/>
    <n v="13"/>
    <n v="0"/>
    <n v="1"/>
    <n v="133.36000000000001"/>
    <n v="69.537599999999998"/>
    <n v="16.8"/>
    <n v="19.022400000000001"/>
    <s v="8-14 days"/>
  </r>
  <r>
    <s v="c09c2ebe80da2ed7880bcb0ec8ab96ac"/>
    <x v="0"/>
    <d v="2017-02-17T00:00:00"/>
    <d v="2017-03-02T00:00:00"/>
    <d v="2017-03-03T00:00:00"/>
    <s v="bed_bath_table"/>
    <n v="69.47"/>
    <n v="12.3"/>
    <s v="credit_card"/>
    <n v="5"/>
    <s v="delivered"/>
    <d v="2017-02-01T00:00:00"/>
    <n v="13"/>
    <n v="0"/>
    <n v="1"/>
    <n v="81.77"/>
    <n v="43.071399999999997"/>
    <n v="7.38"/>
    <n v="19.018600000000003"/>
    <s v="8-14 days"/>
  </r>
  <r>
    <s v="311d3751507409da0242fb7ec6c977ec"/>
    <x v="0"/>
    <d v="2017-02-17T00:00:00"/>
    <d v="2017-03-06T00:00:00"/>
    <d v="2017-03-05T00:00:00"/>
    <s v="sports_leisure"/>
    <n v="106.15"/>
    <n v="22.61"/>
    <s v="credit_card"/>
    <n v="3"/>
    <s v="delivered"/>
    <d v="2017-02-01T00:00:00"/>
    <n v="17"/>
    <n v="1"/>
    <n v="0"/>
    <n v="128.76"/>
    <n v="67.936000000000007"/>
    <n v="13.565999999999999"/>
    <n v="24.648"/>
    <s v="15-21 days"/>
  </r>
  <r>
    <s v="e25d36eb9e9a9f83066803ee78b2b549"/>
    <x v="1"/>
    <d v="2017-02-18T00:00:00"/>
    <d v="2017-02-26T00:00:00"/>
    <d v="2017-03-11T00:00:00"/>
    <s v="sports_leisure"/>
    <n v="124.13"/>
    <n v="25.93"/>
    <s v="voucher"/>
    <n v="4"/>
    <s v="delivered"/>
    <d v="2017-02-01T00:00:00"/>
    <n v="8"/>
    <n v="0"/>
    <n v="1"/>
    <n v="150.06"/>
    <n v="79.443200000000004"/>
    <n v="15.558"/>
    <n v="29.128799999999991"/>
    <s v="8-14 days"/>
  </r>
  <r>
    <s v="8a5a42725f90ee5724722a76f7c90c89"/>
    <x v="7"/>
    <d v="2017-02-18T00:00:00"/>
    <d v="2017-02-27T00:00:00"/>
    <d v="2017-03-12T00:00:00"/>
    <s v="sports_leisure"/>
    <n v="38.29"/>
    <n v="18.46"/>
    <s v="debit_card"/>
    <n v="4"/>
    <s v="delivered"/>
    <d v="2017-02-01T00:00:00"/>
    <n v="9"/>
    <n v="0"/>
    <n v="1"/>
    <n v="56.75"/>
    <n v="24.505600000000001"/>
    <n v="11.076000000000001"/>
    <n v="2.7083999999999975"/>
    <s v="8-14 days"/>
  </r>
  <r>
    <s v="5df4f6361a4f3f75e5fe5596df49fae7"/>
    <x v="0"/>
    <d v="2017-02-19T00:00:00"/>
    <d v="2017-02-27T00:00:00"/>
    <d v="2017-03-09T00:00:00"/>
    <s v="toys"/>
    <n v="85.57"/>
    <n v="16.420000000000002"/>
    <s v="credit_card"/>
    <n v="5"/>
    <s v="delivered"/>
    <d v="2017-02-01T00:00:00"/>
    <n v="8"/>
    <n v="0"/>
    <n v="1"/>
    <n v="101.99"/>
    <n v="51.341999999999992"/>
    <n v="9.8520000000000003"/>
    <n v="24.376000000000001"/>
    <s v="8-14 days"/>
  </r>
  <r>
    <s v="c1292a5f2417616910aa899c16cc39dd"/>
    <x v="0"/>
    <d v="2017-02-19T00:00:00"/>
    <d v="2017-03-02T00:00:00"/>
    <d v="2017-03-05T00:00:00"/>
    <s v="computers_accessories"/>
    <n v="218.67"/>
    <n v="18.48"/>
    <s v="credit_card"/>
    <n v="4"/>
    <s v="delivered"/>
    <d v="2017-02-01T00:00:00"/>
    <n v="11"/>
    <n v="0"/>
    <n v="1"/>
    <n v="237.14999999999998"/>
    <n v="161.8158"/>
    <n v="11.087999999999999"/>
    <n v="45.766199999999991"/>
    <s v="8-14 days"/>
  </r>
  <r>
    <s v="5f5ab59954d7b854b55650222994ec2d"/>
    <x v="0"/>
    <d v="2017-02-20T00:00:00"/>
    <d v="2017-03-05T00:00:00"/>
    <d v="2017-03-05T00:00:00"/>
    <s v="bed_bath_table"/>
    <n v="95.25"/>
    <n v="15.87"/>
    <s v="credit_card"/>
    <n v="4"/>
    <s v="delivered"/>
    <d v="2017-02-01T00:00:00"/>
    <n v="13"/>
    <n v="0"/>
    <n v="1"/>
    <n v="111.12"/>
    <n v="59.055"/>
    <n v="9.5219999999999985"/>
    <n v="26.673000000000002"/>
    <s v="8-14 days"/>
  </r>
  <r>
    <s v="b263f2ae7672317d5e3b34419ef98613"/>
    <x v="0"/>
    <d v="2017-02-21T00:00:00"/>
    <d v="2017-03-03T00:00:00"/>
    <d v="2017-03-06T00:00:00"/>
    <s v="auto"/>
    <n v="187.5"/>
    <n v="18.78"/>
    <s v="boleto"/>
    <n v="4"/>
    <s v="delivered"/>
    <d v="2017-02-01T00:00:00"/>
    <n v="10"/>
    <n v="0"/>
    <n v="1"/>
    <n v="206.28"/>
    <n v="127.50000000000001"/>
    <n v="11.268000000000001"/>
    <n v="48.731999999999985"/>
    <s v="8-14 days"/>
  </r>
  <r>
    <s v="caa30b018a14c41eb25cc8c6aa6a83ff"/>
    <x v="0"/>
    <d v="2017-02-21T00:00:00"/>
    <d v="2017-03-02T00:00:00"/>
    <d v="2017-03-09T00:00:00"/>
    <s v="health_beauty"/>
    <n v="117.45"/>
    <n v="16.71"/>
    <s v="credit_card"/>
    <n v="4"/>
    <s v="delivered"/>
    <d v="2017-02-01T00:00:00"/>
    <n v="9"/>
    <n v="0"/>
    <n v="1"/>
    <n v="134.16"/>
    <n v="68.120999999999995"/>
    <n v="10.026"/>
    <n v="39.303000000000011"/>
    <s v="8-14 days"/>
  </r>
  <r>
    <s v="162534ca9b47e6394d2551ebaf95be79"/>
    <x v="3"/>
    <d v="2017-02-22T00:00:00"/>
    <d v="2017-03-11T00:00:00"/>
    <d v="2017-03-18T00:00:00"/>
    <s v="housewares"/>
    <n v="51.76"/>
    <n v="20"/>
    <s v="credit_card"/>
    <n v="4"/>
    <s v="delivered"/>
    <d v="2017-02-01T00:00:00"/>
    <n v="17"/>
    <n v="0"/>
    <n v="1"/>
    <n v="71.759999999999991"/>
    <n v="32.608800000000002"/>
    <n v="12"/>
    <n v="7.1511999999999958"/>
    <s v="15-21 days"/>
  </r>
  <r>
    <s v="3fac431716e827b0c552f3c55f13fb98"/>
    <x v="3"/>
    <d v="2017-02-26T00:00:00"/>
    <d v="2017-03-11T00:00:00"/>
    <d v="2017-03-23T00:00:00"/>
    <s v="bed_bath_table"/>
    <n v="112.88"/>
    <n v="25.72"/>
    <s v="credit_card"/>
    <n v="4"/>
    <s v="delivered"/>
    <d v="2017-02-01T00:00:00"/>
    <n v="13"/>
    <n v="0"/>
    <n v="1"/>
    <n v="138.6"/>
    <n v="69.985599999999991"/>
    <n v="15.431999999999999"/>
    <n v="27.462400000000006"/>
    <s v="8-14 days"/>
  </r>
  <r>
    <s v="bbc3553b75e8abfe6af01106e23509a8"/>
    <x v="0"/>
    <d v="2017-02-26T00:00:00"/>
    <d v="2017-03-05T00:00:00"/>
    <d v="2017-03-10T00:00:00"/>
    <s v="housewares"/>
    <n v="85.69"/>
    <n v="16.47"/>
    <s v="credit_card"/>
    <n v="5"/>
    <s v="delivered"/>
    <d v="2017-02-01T00:00:00"/>
    <n v="7"/>
    <n v="0"/>
    <n v="1"/>
    <n v="102.16"/>
    <n v="53.984699999999997"/>
    <n v="9.8819999999999997"/>
    <n v="21.823300000000003"/>
    <s v="0-7 days"/>
  </r>
  <r>
    <s v="019c2251d59065fa795581fa1182d657"/>
    <x v="0"/>
    <d v="2017-02-27T00:00:00"/>
    <d v="2017-03-09T00:00:00"/>
    <d v="2017-03-14T00:00:00"/>
    <s v="furniture_decor"/>
    <n v="114.98"/>
    <n v="23.22"/>
    <s v="credit_card"/>
    <n v="5"/>
    <s v="delivered"/>
    <d v="2017-02-01T00:00:00"/>
    <n v="10"/>
    <n v="0"/>
    <n v="1"/>
    <n v="138.19999999999999"/>
    <n v="80.486000000000004"/>
    <n v="13.931999999999999"/>
    <n v="20.562000000000001"/>
    <s v="8-14 days"/>
  </r>
  <r>
    <s v="c4cfaa8bc607560f72808d5cc1657c6e"/>
    <x v="4"/>
    <d v="2017-03-01T00:00:00"/>
    <d v="2017-03-10T00:00:00"/>
    <d v="2017-03-17T00:00:00"/>
    <s v="bed_bath_table"/>
    <n v="103.98"/>
    <n v="20.34"/>
    <s v="credit_card"/>
    <n v="5"/>
    <s v="delivered"/>
    <d v="2017-03-01T00:00:00"/>
    <n v="9"/>
    <n v="0"/>
    <n v="1"/>
    <n v="124.32000000000001"/>
    <n v="64.467600000000004"/>
    <n v="12.203999999999999"/>
    <n v="27.308399999999999"/>
    <s v="8-14 days"/>
  </r>
  <r>
    <s v="59ecc846697437ea5b7c57e8fdf02450"/>
    <x v="0"/>
    <d v="2017-03-02T00:00:00"/>
    <d v="2017-03-07T00:00:00"/>
    <d v="2017-03-18T00:00:00"/>
    <s v="housewares"/>
    <n v="89.18"/>
    <n v="16.78"/>
    <s v="credit_card"/>
    <n v="4"/>
    <s v="delivered"/>
    <d v="2017-03-01T00:00:00"/>
    <n v="5"/>
    <n v="0"/>
    <n v="1"/>
    <n v="105.96000000000001"/>
    <n v="56.183400000000006"/>
    <n v="10.068"/>
    <n v="22.928600000000003"/>
    <s v="0-7 days"/>
  </r>
  <r>
    <s v="35878f406fcd847c8eceac5693dae4ff"/>
    <x v="4"/>
    <d v="2017-03-02T00:00:00"/>
    <d v="2017-03-12T00:00:00"/>
    <d v="2017-03-22T00:00:00"/>
    <s v="sports_leisure"/>
    <n v="60.58"/>
    <n v="23.12"/>
    <s v="credit_card"/>
    <n v="5"/>
    <s v="delivered"/>
    <d v="2017-03-01T00:00:00"/>
    <n v="10"/>
    <n v="0"/>
    <n v="1"/>
    <n v="83.7"/>
    <n v="38.7712"/>
    <n v="13.872"/>
    <n v="7.9367999999999981"/>
    <s v="8-14 days"/>
  </r>
  <r>
    <s v="bfcb33888ef4d74b2dcc4095f28f9444"/>
    <x v="0"/>
    <d v="2017-03-03T00:00:00"/>
    <d v="2017-03-08T00:00:00"/>
    <d v="2017-03-20T00:00:00"/>
    <s v="sports_leisure"/>
    <n v="38.71"/>
    <n v="17.260000000000002"/>
    <s v="credit_card"/>
    <n v="5"/>
    <s v="delivered"/>
    <d v="2017-03-01T00:00:00"/>
    <n v="5"/>
    <n v="0"/>
    <n v="1"/>
    <n v="55.97"/>
    <n v="24.7744"/>
    <n v="10.356"/>
    <n v="3.579600000000001"/>
    <s v="0-7 days"/>
  </r>
  <r>
    <s v="d0b2b078d3936f3e5a5f838f23ee4016"/>
    <x v="4"/>
    <d v="2017-03-04T00:00:00"/>
    <d v="2017-03-09T00:00:00"/>
    <d v="2017-03-26T00:00:00"/>
    <s v="health_beauty"/>
    <n v="80.64"/>
    <n v="21.13"/>
    <s v="credit_card"/>
    <n v="4"/>
    <s v="delivered"/>
    <d v="2017-03-01T00:00:00"/>
    <n v="5"/>
    <n v="0"/>
    <n v="1"/>
    <n v="101.77"/>
    <n v="46.7712"/>
    <n v="12.677999999999999"/>
    <n v="21.190800000000003"/>
    <s v="0-7 days"/>
  </r>
  <r>
    <s v="308fb47a1dadf7889411eac6c54e412c"/>
    <x v="6"/>
    <d v="2017-03-06T00:00:00"/>
    <d v="2017-04-01T00:00:00"/>
    <d v="2017-04-03T00:00:00"/>
    <s v="toys"/>
    <n v="159.51"/>
    <n v="35.82"/>
    <s v="boleto"/>
    <n v="4"/>
    <s v="delivered"/>
    <d v="2017-03-01T00:00:00"/>
    <n v="26"/>
    <n v="0"/>
    <n v="1"/>
    <n v="195.32999999999998"/>
    <n v="95.705999999999989"/>
    <n v="21.492000000000001"/>
    <n v="42.311999999999998"/>
    <s v="22+ days"/>
  </r>
  <r>
    <s v="5f1d3663a5c5afe189fdf534e4f078a1"/>
    <x v="1"/>
    <d v="2017-03-11T00:00:00"/>
    <d v="2017-03-16T00:00:00"/>
    <d v="2017-03-31T00:00:00"/>
    <s v="watches_gifts"/>
    <n v="151.43"/>
    <n v="23.17"/>
    <s v="credit_card"/>
    <n v="4"/>
    <s v="delivered"/>
    <d v="2017-03-01T00:00:00"/>
    <n v="5"/>
    <n v="0"/>
    <n v="1"/>
    <n v="174.60000000000002"/>
    <n v="99.94380000000001"/>
    <n v="13.902000000000001"/>
    <n v="37.584199999999996"/>
    <s v="0-7 days"/>
  </r>
  <r>
    <s v="1e77c934188c6b944bb42f61212d115e"/>
    <x v="0"/>
    <d v="2017-03-11T00:00:00"/>
    <d v="2017-03-20T00:00:00"/>
    <d v="2017-03-25T00:00:00"/>
    <s v="auto"/>
    <n v="144.79"/>
    <n v="13.43"/>
    <s v="credit_card"/>
    <n v="5"/>
    <s v="delivered"/>
    <d v="2017-03-01T00:00:00"/>
    <n v="9"/>
    <n v="0"/>
    <n v="1"/>
    <n v="158.22"/>
    <n v="98.4572"/>
    <n v="8.0579999999999998"/>
    <n v="38.274799999999992"/>
    <s v="8-14 days"/>
  </r>
  <r>
    <s v="7646c493209186d63990d7119ace5bb2"/>
    <x v="5"/>
    <d v="2017-03-13T00:00:00"/>
    <d v="2017-04-01T00:00:00"/>
    <d v="2017-04-10T00:00:00"/>
    <s v="computers_accessories"/>
    <n v="66.73"/>
    <n v="20.11"/>
    <s v="credit_card"/>
    <n v="5"/>
    <s v="delivered"/>
    <d v="2017-03-01T00:00:00"/>
    <n v="19"/>
    <n v="0"/>
    <n v="1"/>
    <n v="86.84"/>
    <n v="49.380200000000002"/>
    <n v="12.065999999999999"/>
    <n v="5.2838000000000029"/>
    <s v="15-21 days"/>
  </r>
  <r>
    <s v="f200a32c83c5c5100e082343eea77ea8"/>
    <x v="0"/>
    <d v="2017-03-14T00:00:00"/>
    <d v="2017-03-28T00:00:00"/>
    <d v="2017-03-27T00:00:00"/>
    <s v="health_beauty"/>
    <n v="128.9"/>
    <n v="16.600000000000001"/>
    <s v="boleto"/>
    <n v="2"/>
    <s v="delivered"/>
    <d v="2017-03-01T00:00:00"/>
    <n v="14"/>
    <n v="1"/>
    <n v="0"/>
    <n v="145.5"/>
    <n v="74.762"/>
    <n v="9.9600000000000009"/>
    <n v="44.178000000000004"/>
    <s v="8-14 days"/>
  </r>
  <r>
    <s v="e076e1694ce15a7c99755d8d76c0c89e"/>
    <x v="0"/>
    <d v="2017-03-18T00:00:00"/>
    <d v="2017-03-28T00:00:00"/>
    <d v="2017-04-01T00:00:00"/>
    <s v="health_beauty"/>
    <n v="60.86"/>
    <n v="17.190000000000001"/>
    <s v="credit_card"/>
    <n v="5"/>
    <s v="delivered"/>
    <d v="2017-03-01T00:00:00"/>
    <n v="10"/>
    <n v="0"/>
    <n v="1"/>
    <n v="78.05"/>
    <n v="35.2988"/>
    <n v="10.314"/>
    <n v="15.247199999999999"/>
    <s v="8-14 days"/>
  </r>
  <r>
    <s v="7782e83f29a9b2d74e6814655ba62f73"/>
    <x v="4"/>
    <d v="2017-03-23T00:00:00"/>
    <d v="2017-03-31T00:00:00"/>
    <d v="2017-04-14T00:00:00"/>
    <s v="furniture_decor"/>
    <n v="19.3"/>
    <n v="17.010000000000002"/>
    <s v="credit_card"/>
    <n v="4"/>
    <s v="delivered"/>
    <d v="2017-03-01T00:00:00"/>
    <n v="8"/>
    <n v="0"/>
    <n v="1"/>
    <n v="36.31"/>
    <n v="13.51"/>
    <n v="10.206000000000001"/>
    <n v="-4.4160000000000004"/>
    <s v="8-14 days"/>
  </r>
  <r>
    <s v="81986c1db9d999b6e2fef46e6a06e108"/>
    <x v="0"/>
    <d v="2017-03-23T00:00:00"/>
    <d v="2017-03-30T00:00:00"/>
    <d v="2017-04-08T00:00:00"/>
    <s v="furniture_decor"/>
    <n v="95.65"/>
    <n v="22.27"/>
    <s v="credit_card"/>
    <n v="3"/>
    <s v="delivered"/>
    <d v="2017-03-01T00:00:00"/>
    <n v="7"/>
    <n v="0"/>
    <n v="1"/>
    <n v="117.92"/>
    <n v="66.954999999999998"/>
    <n v="13.362"/>
    <n v="15.333000000000007"/>
    <s v="0-7 days"/>
  </r>
  <r>
    <s v="922615b299cd0df3a873abc815aaaa3b"/>
    <x v="6"/>
    <d v="2017-03-24T00:00:00"/>
    <d v="2017-04-07T00:00:00"/>
    <d v="2017-04-25T00:00:00"/>
    <s v="housewares"/>
    <n v="49.04"/>
    <n v="37.94"/>
    <s v="credit_card"/>
    <n v="4"/>
    <s v="delivered"/>
    <d v="2017-03-01T00:00:00"/>
    <n v="14"/>
    <n v="0"/>
    <n v="1"/>
    <n v="86.97999999999999"/>
    <n v="30.895199999999999"/>
    <n v="22.763999999999999"/>
    <n v="-4.6191999999999993"/>
    <s v="8-14 days"/>
  </r>
  <r>
    <s v="b59825774e583dde807ab6589272dc48"/>
    <x v="6"/>
    <d v="2017-03-25T00:00:00"/>
    <d v="2017-04-09T00:00:00"/>
    <d v="2017-04-22T00:00:00"/>
    <s v="auto"/>
    <n v="81.39"/>
    <n v="27.17"/>
    <s v="credit_card"/>
    <n v="5"/>
    <s v="delivered"/>
    <d v="2017-03-01T00:00:00"/>
    <n v="15"/>
    <n v="0"/>
    <n v="1"/>
    <n v="108.56"/>
    <n v="55.345200000000006"/>
    <n v="16.302"/>
    <n v="9.7427999999999955"/>
    <s v="15-21 days"/>
  </r>
  <r>
    <s v="f1770366b658f7a0dde17cd3e8f7f4ca"/>
    <x v="3"/>
    <d v="2017-03-25T00:00:00"/>
    <d v="2017-04-09T00:00:00"/>
    <d v="2017-04-20T00:00:00"/>
    <s v="housewares"/>
    <n v="35.68"/>
    <n v="24.56"/>
    <s v="credit_card"/>
    <n v="5"/>
    <s v="delivered"/>
    <d v="2017-03-01T00:00:00"/>
    <n v="15"/>
    <n v="0"/>
    <n v="1"/>
    <n v="60.239999999999995"/>
    <n v="22.478400000000001"/>
    <n v="14.735999999999999"/>
    <n v="-1.5343999999999998"/>
    <s v="15-21 days"/>
  </r>
  <r>
    <s v="583f66bd60d8039e92aa71d561e72ff5"/>
    <x v="3"/>
    <d v="2017-03-26T00:00:00"/>
    <d v="2017-04-15T00:00:00"/>
    <d v="2017-04-18T00:00:00"/>
    <s v="watches_gifts"/>
    <n v="125.46"/>
    <n v="28.73"/>
    <s v="credit_card"/>
    <n v="4"/>
    <s v="delivered"/>
    <d v="2017-03-01T00:00:00"/>
    <n v="20"/>
    <n v="0"/>
    <n v="1"/>
    <n v="154.19"/>
    <n v="82.803600000000003"/>
    <n v="17.238"/>
    <n v="25.418399999999991"/>
    <s v="15-21 days"/>
  </r>
  <r>
    <s v="b7c92e13cbd4b8db541c8f78489f3f1a"/>
    <x v="0"/>
    <d v="2017-03-26T00:00:00"/>
    <d v="2017-04-01T00:00:00"/>
    <d v="2017-04-08T00:00:00"/>
    <s v="bed_bath_table"/>
    <n v="111.28"/>
    <n v="23.11"/>
    <s v="credit_card"/>
    <n v="5"/>
    <s v="delivered"/>
    <d v="2017-03-01T00:00:00"/>
    <n v="6"/>
    <n v="0"/>
    <n v="1"/>
    <n v="134.38999999999999"/>
    <n v="68.993600000000001"/>
    <n v="13.866"/>
    <n v="28.420400000000001"/>
    <s v="0-7 days"/>
  </r>
  <r>
    <s v="80f6c26cf7eefd84b31c834957992f42"/>
    <x v="8"/>
    <d v="2017-03-27T00:00:00"/>
    <d v="2017-04-11T00:00:00"/>
    <d v="2017-04-13T00:00:00"/>
    <s v="furniture_decor"/>
    <n v="168.77"/>
    <n v="22.32"/>
    <s v="credit_card"/>
    <n v="3"/>
    <s v="delivered"/>
    <d v="2017-03-01T00:00:00"/>
    <n v="15"/>
    <n v="0"/>
    <n v="1"/>
    <n v="191.09"/>
    <n v="118.139"/>
    <n v="13.391999999999999"/>
    <n v="37.239000000000019"/>
    <s v="15-21 days"/>
  </r>
  <r>
    <s v="72ef6cf9b762957d278d47d262a6bf49"/>
    <x v="5"/>
    <d v="2017-03-28T00:00:00"/>
    <d v="2017-04-06T00:00:00"/>
    <d v="2017-04-25T00:00:00"/>
    <s v="furniture_decor"/>
    <n v="100.09"/>
    <n v="25.96"/>
    <s v="credit_card"/>
    <n v="4"/>
    <s v="delivered"/>
    <d v="2017-03-01T00:00:00"/>
    <n v="9"/>
    <n v="0"/>
    <n v="1"/>
    <n v="126.05000000000001"/>
    <n v="70.063000000000002"/>
    <n v="15.576000000000001"/>
    <n v="14.451000000000001"/>
    <s v="8-14 days"/>
  </r>
  <r>
    <s v="c3094f28fe0d40b4694986717e5533ba"/>
    <x v="2"/>
    <d v="2017-03-29T00:00:00"/>
    <d v="2017-04-19T00:00:00"/>
    <d v="2017-04-21T00:00:00"/>
    <s v="toys"/>
    <n v="175.65"/>
    <n v="22.26"/>
    <s v="credit_card"/>
    <n v="4"/>
    <s v="delivered"/>
    <d v="2017-03-01T00:00:00"/>
    <n v="21"/>
    <n v="0"/>
    <n v="1"/>
    <n v="197.91"/>
    <n v="105.39"/>
    <n v="13.356"/>
    <n v="56.904000000000003"/>
    <s v="15-21 days"/>
  </r>
  <r>
    <s v="18f426dd5071ce940ff48fe8b5e9489c"/>
    <x v="0"/>
    <d v="2017-03-29T00:00:00"/>
    <d v="2017-04-11T00:00:00"/>
    <d v="2017-04-15T00:00:00"/>
    <s v="bed_bath_table"/>
    <n v="105.42"/>
    <n v="17.260000000000002"/>
    <s v="boleto"/>
    <n v="5"/>
    <s v="delivered"/>
    <d v="2017-03-01T00:00:00"/>
    <n v="13"/>
    <n v="0"/>
    <n v="1"/>
    <n v="122.68"/>
    <n v="65.360399999999998"/>
    <n v="10.356"/>
    <n v="29.703600000000002"/>
    <s v="8-14 days"/>
  </r>
  <r>
    <s v="13ba8d243ebb527c1438e799242ac30f"/>
    <x v="0"/>
    <d v="2017-03-31T00:00:00"/>
    <d v="2017-04-08T00:00:00"/>
    <d v="2017-04-17T00:00:00"/>
    <s v="furniture_decor"/>
    <n v="110.53"/>
    <n v="14.25"/>
    <s v="credit_card"/>
    <n v="5"/>
    <s v="delivered"/>
    <d v="2017-03-01T00:00:00"/>
    <n v="8"/>
    <n v="0"/>
    <n v="1"/>
    <n v="124.78"/>
    <n v="77.370999999999995"/>
    <n v="8.5499999999999989"/>
    <n v="24.609000000000009"/>
    <s v="8-14 days"/>
  </r>
  <r>
    <s v="2cdb1625b41f572156afd9ce799f52c0"/>
    <x v="0"/>
    <d v="2017-04-01T00:00:00"/>
    <d v="2017-04-07T00:00:00"/>
    <d v="2017-04-17T00:00:00"/>
    <s v="sports_leisure"/>
    <n v="227.46"/>
    <n v="23.75"/>
    <s v="credit_card"/>
    <n v="5"/>
    <s v="delivered"/>
    <d v="2017-04-01T00:00:00"/>
    <n v="6"/>
    <n v="0"/>
    <n v="1"/>
    <n v="251.21"/>
    <n v="145.5744"/>
    <n v="14.25"/>
    <n v="67.635600000000011"/>
    <s v="0-7 days"/>
  </r>
  <r>
    <s v="b8b067436a02c1e2cd766247e4acda19"/>
    <x v="0"/>
    <d v="2017-04-01T00:00:00"/>
    <d v="2017-04-06T00:00:00"/>
    <d v="2017-04-16T00:00:00"/>
    <s v="auto"/>
    <n v="149.08000000000001"/>
    <n v="15.96"/>
    <s v="credit_card"/>
    <n v="4"/>
    <s v="delivered"/>
    <d v="2017-04-01T00:00:00"/>
    <n v="5"/>
    <n v="0"/>
    <n v="1"/>
    <n v="165.04000000000002"/>
    <n v="101.37440000000002"/>
    <n v="9.5760000000000005"/>
    <n v="38.129599999999989"/>
    <s v="0-7 days"/>
  </r>
  <r>
    <s v="2cabb9ada15dd7c43a38204b2091a706"/>
    <x v="0"/>
    <d v="2017-04-03T00:00:00"/>
    <d v="2017-04-09T00:00:00"/>
    <d v="2017-04-18T00:00:00"/>
    <s v="health_beauty"/>
    <n v="115.2"/>
    <n v="21.93"/>
    <s v="credit_card"/>
    <n v="5"/>
    <s v="delivered"/>
    <d v="2017-04-01T00:00:00"/>
    <n v="6"/>
    <n v="0"/>
    <n v="1"/>
    <n v="137.13"/>
    <n v="66.816000000000003"/>
    <n v="13.157999999999999"/>
    <n v="35.225999999999999"/>
    <s v="0-7 days"/>
  </r>
  <r>
    <s v="742b1e8540da438d171d28b0d687b993"/>
    <x v="0"/>
    <d v="2017-04-03T00:00:00"/>
    <d v="2017-04-10T00:00:00"/>
    <d v="2017-04-18T00:00:00"/>
    <s v="furniture_decor"/>
    <n v="93.59"/>
    <n v="18.170000000000002"/>
    <s v="credit_card"/>
    <n v="5"/>
    <s v="delivered"/>
    <d v="2017-04-01T00:00:00"/>
    <n v="7"/>
    <n v="0"/>
    <n v="1"/>
    <n v="111.76"/>
    <n v="65.513000000000005"/>
    <n v="10.902000000000001"/>
    <n v="17.174999999999997"/>
    <s v="0-7 days"/>
  </r>
  <r>
    <s v="fff3f7ef9ddc0c0b0c25db04e4c9bdec"/>
    <x v="0"/>
    <d v="2017-04-03T00:00:00"/>
    <d v="2017-04-10T00:00:00"/>
    <d v="2017-04-20T00:00:00"/>
    <s v="bed_bath_table"/>
    <n v="69.33"/>
    <n v="19.36"/>
    <s v="boleto"/>
    <n v="5"/>
    <s v="delivered"/>
    <d v="2017-04-01T00:00:00"/>
    <n v="7"/>
    <n v="0"/>
    <n v="1"/>
    <n v="88.69"/>
    <n v="42.9846"/>
    <n v="11.616"/>
    <n v="14.729399999999998"/>
    <s v="0-7 days"/>
  </r>
  <r>
    <s v="cf5d337fee8d5daa8eb7c3068f73198e"/>
    <x v="6"/>
    <d v="2017-04-04T00:00:00"/>
    <d v="2017-04-26T00:00:00"/>
    <d v="2017-05-05T00:00:00"/>
    <s v="computers_accessories"/>
    <n v="97.28"/>
    <n v="29.57"/>
    <s v="credit_card"/>
    <n v="3"/>
    <s v="delivered"/>
    <d v="2017-04-01T00:00:00"/>
    <n v="22"/>
    <n v="0"/>
    <n v="1"/>
    <n v="126.85"/>
    <n v="71.987200000000001"/>
    <n v="17.742000000000001"/>
    <n v="7.5507999999999988"/>
    <s v="22+ days"/>
  </r>
  <r>
    <s v="41e7ebbaf9ac1a4f42516974fdf1d205"/>
    <x v="4"/>
    <d v="2017-04-04T00:00:00"/>
    <d v="2017-04-18T00:00:00"/>
    <d v="2017-04-22T00:00:00"/>
    <s v="sports_leisure"/>
    <n v="91.28"/>
    <n v="29.15"/>
    <s v="credit_card"/>
    <n v="4"/>
    <s v="delivered"/>
    <d v="2017-04-01T00:00:00"/>
    <n v="14"/>
    <n v="0"/>
    <n v="1"/>
    <n v="120.43"/>
    <n v="58.419200000000004"/>
    <n v="17.489999999999998"/>
    <n v="15.370799999999999"/>
    <s v="8-14 days"/>
  </r>
  <r>
    <s v="a998a3ee22a112b53a880cecfab8cd39"/>
    <x v="0"/>
    <d v="2017-04-04T00:00:00"/>
    <d v="2017-04-15T00:00:00"/>
    <d v="2017-04-21T00:00:00"/>
    <s v="health_beauty"/>
    <n v="65.22"/>
    <n v="21.53"/>
    <s v="voucher"/>
    <n v="4"/>
    <s v="delivered"/>
    <d v="2017-04-01T00:00:00"/>
    <n v="11"/>
    <n v="0"/>
    <n v="1"/>
    <n v="86.75"/>
    <n v="37.827599999999997"/>
    <n v="12.918000000000001"/>
    <n v="14.474400000000001"/>
    <s v="8-14 days"/>
  </r>
  <r>
    <s v="394df2c98b575c1124ced0a1603c5f4f"/>
    <x v="0"/>
    <d v="2017-04-05T00:00:00"/>
    <d v="2017-04-16T00:00:00"/>
    <d v="2017-04-17T00:00:00"/>
    <s v="health_beauty"/>
    <n v="188.36"/>
    <n v="23.37"/>
    <s v="credit_card"/>
    <n v="4"/>
    <s v="delivered"/>
    <d v="2017-04-01T00:00:00"/>
    <n v="11"/>
    <n v="0"/>
    <n v="1"/>
    <n v="211.73000000000002"/>
    <n v="109.2488"/>
    <n v="14.022"/>
    <n v="65.089200000000005"/>
    <s v="8-14 days"/>
  </r>
  <r>
    <s v="579744ba107380cb46d9e34d1feb21c7"/>
    <x v="0"/>
    <d v="2017-04-06T00:00:00"/>
    <d v="2017-04-16T00:00:00"/>
    <d v="2017-04-25T00:00:00"/>
    <s v="furniture_decor"/>
    <n v="114.42"/>
    <n v="13.69"/>
    <s v="credit_card"/>
    <n v="4"/>
    <s v="delivered"/>
    <d v="2017-04-01T00:00:00"/>
    <n v="10"/>
    <n v="0"/>
    <n v="1"/>
    <n v="128.11000000000001"/>
    <n v="80.093999999999994"/>
    <n v="8.2139999999999986"/>
    <n v="26.112000000000009"/>
    <s v="8-14 days"/>
  </r>
  <r>
    <s v="f51875ec01adf3952c5e405e34cf6b7f"/>
    <x v="0"/>
    <d v="2017-04-06T00:00:00"/>
    <d v="2017-04-17T00:00:00"/>
    <d v="2017-04-23T00:00:00"/>
    <s v="computers_accessories"/>
    <n v="195.88"/>
    <n v="16.440000000000001"/>
    <s v="credit_card"/>
    <n v="5"/>
    <s v="delivered"/>
    <d v="2017-04-01T00:00:00"/>
    <n v="11"/>
    <n v="0"/>
    <n v="1"/>
    <n v="212.32"/>
    <n v="144.9512"/>
    <n v="9.8640000000000008"/>
    <n v="41.064799999999991"/>
    <s v="8-14 days"/>
  </r>
  <r>
    <s v="a555dfa1cf8be8bdd2fa9b0a333705f9"/>
    <x v="8"/>
    <d v="2017-04-08T00:00:00"/>
    <d v="2017-04-19T00:00:00"/>
    <d v="2017-04-28T00:00:00"/>
    <s v="auto"/>
    <n v="107.15"/>
    <n v="29.83"/>
    <s v="credit_card"/>
    <n v="4"/>
    <s v="delivered"/>
    <d v="2017-04-01T00:00:00"/>
    <n v="11"/>
    <n v="0"/>
    <n v="1"/>
    <n v="136.98000000000002"/>
    <n v="72.862000000000009"/>
    <n v="17.898"/>
    <n v="16.389999999999997"/>
    <s v="8-14 days"/>
  </r>
  <r>
    <s v="a1e518a293d228d424655c397d4d2add"/>
    <x v="0"/>
    <d v="2017-04-09T00:00:00"/>
    <d v="2017-04-20T00:00:00"/>
    <d v="2017-04-25T00:00:00"/>
    <s v="watches_gifts"/>
    <n v="544.23"/>
    <n v="28.49"/>
    <s v="credit_card"/>
    <n v="4"/>
    <s v="delivered"/>
    <d v="2017-04-01T00:00:00"/>
    <n v="11"/>
    <n v="0"/>
    <n v="1"/>
    <n v="572.72"/>
    <n v="359.1918"/>
    <n v="17.093999999999998"/>
    <n v="167.94420000000002"/>
    <s v="8-14 days"/>
  </r>
  <r>
    <s v="4708203b271610c19db5428389a3c811"/>
    <x v="0"/>
    <d v="2017-04-09T00:00:00"/>
    <d v="2017-04-22T00:00:00"/>
    <d v="2017-04-24T00:00:00"/>
    <s v="housewares"/>
    <n v="65.319999999999993"/>
    <n v="18.53"/>
    <s v="credit_card"/>
    <n v="5"/>
    <s v="delivered"/>
    <d v="2017-04-01T00:00:00"/>
    <n v="13"/>
    <n v="0"/>
    <n v="1"/>
    <n v="83.85"/>
    <n v="41.151599999999995"/>
    <n v="11.118"/>
    <n v="13.050399999999998"/>
    <s v="8-14 days"/>
  </r>
  <r>
    <s v="f14da3ea9fafc17e92a2319db4c70241"/>
    <x v="4"/>
    <d v="2017-04-10T00:00:00"/>
    <d v="2017-04-20T00:00:00"/>
    <d v="2017-05-07T00:00:00"/>
    <s v="auto"/>
    <n v="103.8"/>
    <n v="26.66"/>
    <s v="credit_card"/>
    <n v="5"/>
    <s v="delivered"/>
    <d v="2017-04-01T00:00:00"/>
    <n v="10"/>
    <n v="0"/>
    <n v="1"/>
    <n v="130.46"/>
    <n v="70.584000000000003"/>
    <n v="15.995999999999999"/>
    <n v="17.219999999999995"/>
    <s v="8-14 days"/>
  </r>
  <r>
    <s v="876796d9dfb44eef703863384c2d189b"/>
    <x v="8"/>
    <d v="2017-04-10T00:00:00"/>
    <d v="2017-04-25T00:00:00"/>
    <d v="2017-05-02T00:00:00"/>
    <s v="health_beauty"/>
    <n v="76.28"/>
    <n v="27.58"/>
    <s v="credit_card"/>
    <n v="5"/>
    <s v="delivered"/>
    <d v="2017-04-01T00:00:00"/>
    <n v="15"/>
    <n v="0"/>
    <n v="1"/>
    <n v="103.86"/>
    <n v="44.242399999999996"/>
    <n v="16.547999999999998"/>
    <n v="15.489600000000006"/>
    <s v="15-21 days"/>
  </r>
  <r>
    <s v="f5517659ed86a0c97dea9676ff6fb946"/>
    <x v="9"/>
    <d v="2017-04-11T00:00:00"/>
    <d v="2017-04-24T00:00:00"/>
    <d v="2017-05-01T00:00:00"/>
    <s v="sports_leisure"/>
    <n v="82.98"/>
    <n v="25.59"/>
    <s v="credit_card"/>
    <n v="5"/>
    <s v="delivered"/>
    <d v="2017-04-01T00:00:00"/>
    <n v="13"/>
    <n v="0"/>
    <n v="1"/>
    <n v="108.57000000000001"/>
    <n v="53.107200000000006"/>
    <n v="15.353999999999999"/>
    <n v="14.518799999999999"/>
    <s v="8-14 days"/>
  </r>
  <r>
    <s v="f33bc9d72abb1647d8386f30b70bda21"/>
    <x v="2"/>
    <d v="2017-04-11T00:00:00"/>
    <d v="2017-04-20T00:00:00"/>
    <d v="2017-05-07T00:00:00"/>
    <s v="auto"/>
    <n v="86.21"/>
    <n v="25.68"/>
    <s v="credit_card"/>
    <n v="4"/>
    <s v="delivered"/>
    <d v="2017-04-01T00:00:00"/>
    <n v="9"/>
    <n v="0"/>
    <n v="1"/>
    <n v="111.88999999999999"/>
    <n v="58.622799999999998"/>
    <n v="15.407999999999999"/>
    <n v="12.179199999999996"/>
    <s v="8-14 days"/>
  </r>
  <r>
    <s v="31490475e5b27ed010a0cd0fb4e91064"/>
    <x v="3"/>
    <d v="2017-04-11T00:00:00"/>
    <d v="2017-04-25T00:00:00"/>
    <d v="2017-05-04T00:00:00"/>
    <s v="bed_bath_table"/>
    <n v="67.41"/>
    <n v="23.97"/>
    <s v="credit_card"/>
    <n v="4"/>
    <s v="delivered"/>
    <d v="2017-04-01T00:00:00"/>
    <n v="14"/>
    <n v="0"/>
    <n v="1"/>
    <n v="91.38"/>
    <n v="41.794199999999996"/>
    <n v="14.382"/>
    <n v="11.2338"/>
    <s v="8-14 days"/>
  </r>
  <r>
    <s v="29c08f2982599c87c2d67063c53d1c46"/>
    <x v="4"/>
    <d v="2017-04-12T00:00:00"/>
    <d v="2017-04-23T00:00:00"/>
    <d v="2017-05-04T00:00:00"/>
    <s v="sports_leisure"/>
    <n v="61.68"/>
    <n v="24.42"/>
    <s v="credit_card"/>
    <n v="5"/>
    <s v="delivered"/>
    <d v="2017-04-01T00:00:00"/>
    <n v="11"/>
    <n v="0"/>
    <n v="1"/>
    <n v="86.1"/>
    <n v="39.475200000000001"/>
    <n v="14.652000000000001"/>
    <n v="7.5527999999999977"/>
    <s v="8-14 days"/>
  </r>
  <r>
    <s v="df02774d9482b42fc0953c13f06bffa4"/>
    <x v="0"/>
    <d v="2017-04-13T00:00:00"/>
    <d v="2017-04-19T00:00:00"/>
    <d v="2017-04-28T00:00:00"/>
    <s v="computers_accessories"/>
    <n v="83.25"/>
    <n v="17.190000000000001"/>
    <s v="voucher"/>
    <n v="5"/>
    <s v="delivered"/>
    <d v="2017-04-01T00:00:00"/>
    <n v="6"/>
    <n v="0"/>
    <n v="1"/>
    <n v="100.44"/>
    <n v="61.604999999999997"/>
    <n v="10.314"/>
    <n v="11.331000000000003"/>
    <s v="0-7 days"/>
  </r>
  <r>
    <s v="d8e0713b0a813e880df3da58fe833c05"/>
    <x v="0"/>
    <d v="2017-04-14T00:00:00"/>
    <d v="2017-04-23T00:00:00"/>
    <d v="2017-05-01T00:00:00"/>
    <s v="sports_leisure"/>
    <n v="61.09"/>
    <n v="19.7"/>
    <s v="credit_card"/>
    <n v="5"/>
    <s v="delivered"/>
    <d v="2017-04-01T00:00:00"/>
    <n v="9"/>
    <n v="0"/>
    <n v="1"/>
    <n v="80.790000000000006"/>
    <n v="39.0976"/>
    <n v="11.819999999999999"/>
    <n v="10.172400000000005"/>
    <s v="8-14 days"/>
  </r>
  <r>
    <s v="283348ea5c94563ae9365d1b34943114"/>
    <x v="0"/>
    <d v="2017-04-15T00:00:00"/>
    <d v="2017-04-28T00:00:00"/>
    <d v="2017-05-01T00:00:00"/>
    <s v="computers_accessories"/>
    <n v="110.86"/>
    <n v="13.96"/>
    <s v="credit_card"/>
    <n v="4"/>
    <s v="delivered"/>
    <d v="2017-04-01T00:00:00"/>
    <n v="13"/>
    <n v="0"/>
    <n v="1"/>
    <n v="124.82"/>
    <n v="82.0364"/>
    <n v="8.3759999999999994"/>
    <n v="20.447600000000001"/>
    <s v="8-14 days"/>
  </r>
  <r>
    <s v="255c429719eef9d6fdfa3cb102d493eb"/>
    <x v="0"/>
    <d v="2017-04-15T00:00:00"/>
    <d v="2017-04-19T00:00:00"/>
    <d v="2017-04-30T00:00:00"/>
    <s v="auto"/>
    <n v="79"/>
    <n v="17.399999999999999"/>
    <s v="boleto"/>
    <n v="5"/>
    <s v="delivered"/>
    <d v="2017-04-01T00:00:00"/>
    <n v="4"/>
    <n v="0"/>
    <n v="1"/>
    <n v="96.4"/>
    <n v="53.720000000000006"/>
    <n v="10.44"/>
    <n v="14.839999999999995"/>
    <s v="0-7 days"/>
  </r>
  <r>
    <s v="d4bf7a4b25b8a42f836b15c7e7c225da"/>
    <x v="6"/>
    <d v="2017-04-16T00:00:00"/>
    <d v="2017-05-19T00:00:00"/>
    <d v="2017-05-19T00:00:00"/>
    <s v="housewares"/>
    <n v="29.74"/>
    <n v="26.43"/>
    <s v="credit_card"/>
    <n v="5"/>
    <s v="delivered"/>
    <d v="2017-04-01T00:00:00"/>
    <n v="33"/>
    <n v="0"/>
    <n v="1"/>
    <n v="56.17"/>
    <n v="18.7362"/>
    <n v="15.857999999999999"/>
    <n v="-4.8542000000000005"/>
    <s v="22+ days"/>
  </r>
  <r>
    <s v="37a956913907bb02cc1454459c41a132"/>
    <x v="0"/>
    <d v="2017-04-16T00:00:00"/>
    <d v="2017-04-29T00:00:00"/>
    <d v="2017-04-28T00:00:00"/>
    <s v="toys"/>
    <n v="106.12"/>
    <n v="13.94"/>
    <s v="voucher"/>
    <n v="2"/>
    <s v="delivered"/>
    <d v="2017-04-01T00:00:00"/>
    <n v="13"/>
    <n v="1"/>
    <n v="0"/>
    <n v="120.06"/>
    <n v="63.671999999999997"/>
    <n v="8.363999999999999"/>
    <n v="34.08400000000001"/>
    <s v="8-14 days"/>
  </r>
  <r>
    <s v="95eb44d98459f302cd1d036e0d08da99"/>
    <x v="3"/>
    <d v="2017-04-17T00:00:00"/>
    <d v="2017-04-27T00:00:00"/>
    <d v="2017-05-14T00:00:00"/>
    <s v="housewares"/>
    <n v="61.41"/>
    <n v="20.12"/>
    <s v="credit_card"/>
    <n v="5"/>
    <s v="delivered"/>
    <d v="2017-04-01T00:00:00"/>
    <n v="10"/>
    <n v="0"/>
    <n v="1"/>
    <n v="81.53"/>
    <n v="38.688299999999998"/>
    <n v="12.072000000000001"/>
    <n v="10.649699999999998"/>
    <s v="8-14 days"/>
  </r>
  <r>
    <s v="53397fbe415ee12f5a57ab4661f3067a"/>
    <x v="0"/>
    <d v="2017-04-17T00:00:00"/>
    <d v="2017-04-24T00:00:00"/>
    <d v="2017-05-04T00:00:00"/>
    <s v="toys"/>
    <n v="66.09"/>
    <n v="12.57"/>
    <s v="credit_card"/>
    <n v="3"/>
    <s v="delivered"/>
    <d v="2017-04-01T00:00:00"/>
    <n v="7"/>
    <n v="0"/>
    <n v="1"/>
    <n v="78.66"/>
    <n v="39.654000000000003"/>
    <n v="7.5419999999999998"/>
    <n v="18.893999999999998"/>
    <s v="0-7 days"/>
  </r>
  <r>
    <s v="0a77201e77e83c585fe4d158989cda70"/>
    <x v="6"/>
    <d v="2017-04-17T00:00:00"/>
    <d v="2017-04-30T00:00:00"/>
    <d v="2017-05-16T00:00:00"/>
    <s v="housewares"/>
    <n v="63.58"/>
    <n v="30.83"/>
    <s v="boleto"/>
    <n v="4"/>
    <s v="delivered"/>
    <d v="2017-04-01T00:00:00"/>
    <n v="13"/>
    <n v="0"/>
    <n v="1"/>
    <n v="94.41"/>
    <n v="40.055399999999999"/>
    <n v="18.497999999999998"/>
    <n v="5.026600000000002"/>
    <s v="8-14 days"/>
  </r>
  <r>
    <s v="670124c57a18b38f36418a2e0f004b33"/>
    <x v="3"/>
    <d v="2017-04-17T00:00:00"/>
    <d v="2017-05-03T00:00:00"/>
    <d v="2017-05-13T00:00:00"/>
    <s v="health_beauty"/>
    <n v="36.43"/>
    <n v="24.06"/>
    <s v="credit_card"/>
    <n v="4"/>
    <s v="delivered"/>
    <d v="2017-04-01T00:00:00"/>
    <n v="16"/>
    <n v="0"/>
    <n v="1"/>
    <n v="60.489999999999995"/>
    <n v="21.129399999999997"/>
    <n v="14.435999999999998"/>
    <n v="0.8646000000000047"/>
    <s v="15-21 days"/>
  </r>
  <r>
    <s v="2e18b22bf44f5031a82d487987cc4d1c"/>
    <x v="0"/>
    <d v="2017-04-18T00:00:00"/>
    <d v="2017-04-28T00:00:00"/>
    <d v="2017-05-06T00:00:00"/>
    <s v="computers_accessories"/>
    <n v="129.22"/>
    <n v="16.75"/>
    <s v="boleto"/>
    <n v="5"/>
    <s v="delivered"/>
    <d v="2017-04-01T00:00:00"/>
    <n v="10"/>
    <n v="0"/>
    <n v="1"/>
    <n v="145.97"/>
    <n v="95.622799999999998"/>
    <n v="10.049999999999999"/>
    <n v="23.547200000000004"/>
    <s v="8-14 days"/>
  </r>
  <r>
    <s v="98837e3ea4c634ce3dad2abf520c31d3"/>
    <x v="0"/>
    <d v="2017-04-20T00:00:00"/>
    <d v="2017-04-29T00:00:00"/>
    <d v="2017-05-06T00:00:00"/>
    <s v="computers_accessories"/>
    <n v="538.22"/>
    <n v="28.89"/>
    <s v="credit_card"/>
    <n v="4"/>
    <s v="delivered"/>
    <d v="2017-04-01T00:00:00"/>
    <n v="9"/>
    <n v="0"/>
    <n v="1"/>
    <n v="567.11"/>
    <n v="398.28280000000001"/>
    <n v="17.334"/>
    <n v="122.60320000000002"/>
    <s v="8-14 days"/>
  </r>
  <r>
    <s v="88145bde98dbf732dde4d1947c12d198"/>
    <x v="4"/>
    <d v="2017-04-21T00:00:00"/>
    <d v="2017-05-07T00:00:00"/>
    <d v="2017-05-13T00:00:00"/>
    <s v="bed_bath_table"/>
    <n v="71.989999999999995"/>
    <n v="28.09"/>
    <s v="credit_card"/>
    <n v="4"/>
    <s v="delivered"/>
    <d v="2017-04-01T00:00:00"/>
    <n v="16"/>
    <n v="0"/>
    <n v="1"/>
    <n v="100.08"/>
    <n v="44.633799999999994"/>
    <n v="16.853999999999999"/>
    <n v="10.502200000000002"/>
    <s v="15-21 days"/>
  </r>
  <r>
    <s v="1c6c838248c3a59dec7172e77028eb2d"/>
    <x v="10"/>
    <d v="2017-04-22T00:00:00"/>
    <d v="2017-05-17T00:00:00"/>
    <d v="2017-05-27T00:00:00"/>
    <s v="bed_bath_table"/>
    <n v="44.82"/>
    <n v="36.42"/>
    <s v="credit_card"/>
    <n v="4"/>
    <s v="delivered"/>
    <d v="2017-04-01T00:00:00"/>
    <n v="25"/>
    <n v="0"/>
    <n v="1"/>
    <n v="81.240000000000009"/>
    <n v="27.788399999999999"/>
    <n v="21.852"/>
    <n v="-4.8203999999999994"/>
    <s v="22+ days"/>
  </r>
  <r>
    <s v="df3ad6e8f6939800459f5497abd68d74"/>
    <x v="0"/>
    <d v="2017-04-22T00:00:00"/>
    <d v="2017-04-29T00:00:00"/>
    <d v="2017-05-05T00:00:00"/>
    <s v="health_beauty"/>
    <n v="105.53"/>
    <n v="15.42"/>
    <s v="credit_card"/>
    <n v="5"/>
    <s v="delivered"/>
    <d v="2017-04-01T00:00:00"/>
    <n v="7"/>
    <n v="0"/>
    <n v="1"/>
    <n v="120.95"/>
    <n v="61.2074"/>
    <n v="9.2519999999999989"/>
    <n v="35.070599999999999"/>
    <s v="0-7 days"/>
  </r>
  <r>
    <s v="ef8f8421bb28a93748c43b53dee730eb"/>
    <x v="0"/>
    <d v="2017-04-22T00:00:00"/>
    <d v="2017-04-26T00:00:00"/>
    <d v="2017-05-07T00:00:00"/>
    <s v="housewares"/>
    <n v="144.31"/>
    <n v="22.34"/>
    <s v="credit_card"/>
    <n v="4"/>
    <s v="delivered"/>
    <d v="2017-04-01T00:00:00"/>
    <n v="4"/>
    <n v="0"/>
    <n v="1"/>
    <n v="166.65"/>
    <n v="90.915300000000002"/>
    <n v="13.404"/>
    <n v="39.990700000000004"/>
    <s v="0-7 days"/>
  </r>
  <r>
    <s v="cdf0aaba1027fbf7387770f09d99d4c5"/>
    <x v="9"/>
    <d v="2017-04-23T00:00:00"/>
    <d v="2017-05-30T00:00:00"/>
    <d v="2017-05-18T00:00:00"/>
    <s v="computers_accessories"/>
    <n v="169.6"/>
    <n v="29.07"/>
    <s v="credit_card"/>
    <n v="2"/>
    <s v="delivered"/>
    <d v="2017-04-01T00:00:00"/>
    <n v="37"/>
    <n v="12"/>
    <n v="0"/>
    <n v="198.67"/>
    <n v="125.50399999999999"/>
    <n v="17.442"/>
    <n v="26.654000000000003"/>
    <s v="22+ days"/>
  </r>
  <r>
    <s v="6bcd1399b1e155ce577cb0ac399388f9"/>
    <x v="1"/>
    <d v="2017-04-23T00:00:00"/>
    <d v="2017-05-06T00:00:00"/>
    <d v="2017-05-12T00:00:00"/>
    <s v="sports_leisure"/>
    <n v="67.72"/>
    <n v="20.02"/>
    <s v="boleto"/>
    <n v="4"/>
    <s v="delivered"/>
    <d v="2017-04-01T00:00:00"/>
    <n v="13"/>
    <n v="0"/>
    <n v="1"/>
    <n v="87.74"/>
    <n v="43.340800000000002"/>
    <n v="12.011999999999999"/>
    <n v="12.367199999999999"/>
    <s v="8-14 days"/>
  </r>
  <r>
    <s v="dd32b854f3f233b742d4f31c51c680ca"/>
    <x v="4"/>
    <d v="2017-04-24T00:00:00"/>
    <d v="2017-05-08T00:00:00"/>
    <d v="2017-05-12T00:00:00"/>
    <s v="sports_leisure"/>
    <n v="145.88"/>
    <n v="18.420000000000002"/>
    <s v="credit_card"/>
    <n v="5"/>
    <s v="delivered"/>
    <d v="2017-04-01T00:00:00"/>
    <n v="14"/>
    <n v="0"/>
    <n v="1"/>
    <n v="164.3"/>
    <n v="93.363199999999992"/>
    <n v="11.052000000000001"/>
    <n v="41.464800000000004"/>
    <s v="8-14 days"/>
  </r>
  <r>
    <s v="2d085b30619a77cde2c045e664176a88"/>
    <x v="8"/>
    <d v="2017-04-24T00:00:00"/>
    <d v="2017-05-01T00:00:00"/>
    <d v="2017-05-20T00:00:00"/>
    <s v="health_beauty"/>
    <n v="79.400000000000006"/>
    <n v="20.66"/>
    <s v="credit_card"/>
    <n v="4"/>
    <s v="delivered"/>
    <d v="2017-04-01T00:00:00"/>
    <n v="7"/>
    <n v="0"/>
    <n v="1"/>
    <n v="100.06"/>
    <n v="46.052"/>
    <n v="12.395999999999999"/>
    <n v="20.952000000000005"/>
    <s v="0-7 days"/>
  </r>
  <r>
    <s v="08121b352c7efbe23c6d8133cbccd4fe"/>
    <x v="0"/>
    <d v="2017-04-25T00:00:00"/>
    <d v="2017-05-02T00:00:00"/>
    <d v="2017-05-10T00:00:00"/>
    <s v="computers_accessories"/>
    <n v="52.98"/>
    <n v="13.33"/>
    <s v="boleto"/>
    <n v="5"/>
    <s v="delivered"/>
    <d v="2017-04-01T00:00:00"/>
    <n v="7"/>
    <n v="0"/>
    <n v="1"/>
    <n v="66.31"/>
    <n v="39.205199999999998"/>
    <n v="7.9979999999999993"/>
    <n v="5.7767999999999997"/>
    <s v="0-7 days"/>
  </r>
  <r>
    <s v="d67df90dd79570bebf3025c3a2a30071"/>
    <x v="4"/>
    <d v="2017-04-27T00:00:00"/>
    <d v="2017-05-12T00:00:00"/>
    <d v="2017-05-17T00:00:00"/>
    <s v="bed_bath_table"/>
    <n v="97.29"/>
    <n v="21.68"/>
    <s v="voucher"/>
    <n v="5"/>
    <s v="delivered"/>
    <d v="2017-04-01T00:00:00"/>
    <n v="15"/>
    <n v="0"/>
    <n v="1"/>
    <n v="118.97"/>
    <n v="60.319800000000001"/>
    <n v="13.007999999999999"/>
    <n v="23.962200000000006"/>
    <s v="15-21 days"/>
  </r>
  <r>
    <s v="d5fd40e98102d8ebb8d7529c6e659294"/>
    <x v="3"/>
    <d v="2017-04-27T00:00:00"/>
    <d v="2017-05-07T00:00:00"/>
    <d v="2017-05-23T00:00:00"/>
    <s v="watches_gifts"/>
    <n v="117.16"/>
    <n v="30.17"/>
    <s v="credit_card"/>
    <n v="4"/>
    <s v="delivered"/>
    <d v="2017-04-01T00:00:00"/>
    <n v="10"/>
    <n v="0"/>
    <n v="1"/>
    <n v="147.32999999999998"/>
    <n v="77.325599999999994"/>
    <n v="18.102"/>
    <n v="21.732400000000002"/>
    <s v="8-14 days"/>
  </r>
  <r>
    <s v="c1f98e90592aa87bfd853cf8793228b9"/>
    <x v="2"/>
    <d v="2017-04-28T00:00:00"/>
    <d v="2017-05-17T00:00:00"/>
    <d v="2017-05-24T00:00:00"/>
    <s v="health_beauty"/>
    <n v="42.63"/>
    <n v="22.76"/>
    <s v="credit_card"/>
    <n v="3"/>
    <s v="delivered"/>
    <d v="2017-04-01T00:00:00"/>
    <n v="19"/>
    <n v="0"/>
    <n v="1"/>
    <n v="65.39"/>
    <n v="24.7254"/>
    <n v="13.656000000000001"/>
    <n v="4.2486000000000015"/>
    <s v="15-21 days"/>
  </r>
  <r>
    <s v="d7be7b4fb9676dc6d6fdd1a5f17312f4"/>
    <x v="1"/>
    <d v="2017-04-29T00:00:00"/>
    <d v="2017-05-05T00:00:00"/>
    <d v="2017-05-22T00:00:00"/>
    <s v="sports_leisure"/>
    <n v="69.209999999999994"/>
    <n v="16.649999999999999"/>
    <s v="credit_card"/>
    <n v="3"/>
    <s v="delivered"/>
    <d v="2017-04-01T00:00:00"/>
    <n v="6"/>
    <n v="0"/>
    <n v="1"/>
    <n v="85.859999999999985"/>
    <n v="44.294399999999996"/>
    <n v="9.9899999999999984"/>
    <n v="14.925599999999999"/>
    <s v="0-7 days"/>
  </r>
  <r>
    <s v="89272f04668d7b7232cdc1d00c99a75b"/>
    <x v="0"/>
    <d v="2017-04-29T00:00:00"/>
    <d v="2017-05-07T00:00:00"/>
    <d v="2017-05-15T00:00:00"/>
    <s v="bed_bath_table"/>
    <n v="35.42"/>
    <n v="14.6"/>
    <s v="debit_card"/>
    <n v="4"/>
    <s v="delivered"/>
    <d v="2017-04-01T00:00:00"/>
    <n v="8"/>
    <n v="0"/>
    <n v="1"/>
    <n v="50.02"/>
    <n v="21.9604"/>
    <n v="8.76"/>
    <n v="4.699600000000002"/>
    <s v="8-14 days"/>
  </r>
  <r>
    <s v="e9119ba1c34f36da5a8b42b9cea74981"/>
    <x v="0"/>
    <d v="2017-04-29T00:00:00"/>
    <d v="2017-05-06T00:00:00"/>
    <d v="2017-05-13T00:00:00"/>
    <s v="furniture_decor"/>
    <n v="59.93"/>
    <n v="14.46"/>
    <s v="credit_card"/>
    <n v="4"/>
    <s v="delivered"/>
    <d v="2017-04-01T00:00:00"/>
    <n v="7"/>
    <n v="0"/>
    <n v="1"/>
    <n v="74.39"/>
    <n v="41.951000000000001"/>
    <n v="8.6760000000000002"/>
    <n v="9.302999999999999"/>
    <s v="0-7 days"/>
  </r>
  <r>
    <s v="260cb547e2280fe3722dce1347a48c42"/>
    <x v="9"/>
    <d v="2017-04-30T00:00:00"/>
    <d v="2017-05-20T00:00:00"/>
    <d v="2017-05-24T00:00:00"/>
    <s v="watches_gifts"/>
    <n v="110.19"/>
    <n v="21.32"/>
    <s v="credit_card"/>
    <n v="4"/>
    <s v="delivered"/>
    <d v="2017-04-01T00:00:00"/>
    <n v="20"/>
    <n v="0"/>
    <n v="1"/>
    <n v="131.51"/>
    <n v="72.725400000000008"/>
    <n v="12.792"/>
    <n v="24.672599999999989"/>
    <s v="15-21 days"/>
  </r>
  <r>
    <s v="6a7a784128cc812a8150e0c9c948384b"/>
    <x v="0"/>
    <d v="2017-04-30T00:00:00"/>
    <d v="2017-05-13T00:00:00"/>
    <d v="2017-05-14T00:00:00"/>
    <s v="computers_accessories"/>
    <n v="191.92"/>
    <n v="19.8"/>
    <s v="credit_card"/>
    <n v="5"/>
    <s v="delivered"/>
    <d v="2017-04-01T00:00:00"/>
    <n v="13"/>
    <n v="0"/>
    <n v="1"/>
    <n v="211.72"/>
    <n v="142.02079999999998"/>
    <n v="11.88"/>
    <n v="38.019200000000005"/>
    <s v="8-14 days"/>
  </r>
  <r>
    <s v="71414f58db8ec35b3c83861eddf0a0a2"/>
    <x v="1"/>
    <d v="2017-04-30T00:00:00"/>
    <d v="2017-05-15T00:00:00"/>
    <d v="2017-05-19T00:00:00"/>
    <s v="auto"/>
    <n v="55.93"/>
    <n v="16.829999999999998"/>
    <s v="credit_card"/>
    <n v="4"/>
    <s v="delivered"/>
    <d v="2017-04-01T00:00:00"/>
    <n v="15"/>
    <n v="0"/>
    <n v="1"/>
    <n v="72.759999999999991"/>
    <n v="38.032400000000003"/>
    <n v="10.097999999999999"/>
    <n v="7.7995999999999981"/>
    <s v="15-21 days"/>
  </r>
  <r>
    <s v="1cfb655f82c42e488cbadae57eccdaf4"/>
    <x v="3"/>
    <d v="2017-05-01T00:00:00"/>
    <d v="2017-05-20T00:00:00"/>
    <d v="2017-05-27T00:00:00"/>
    <s v="health_beauty"/>
    <n v="137.88999999999999"/>
    <n v="28.81"/>
    <s v="credit_card"/>
    <n v="4"/>
    <s v="delivered"/>
    <d v="2017-05-01T00:00:00"/>
    <n v="19"/>
    <n v="0"/>
    <n v="1"/>
    <n v="166.7"/>
    <n v="79.976199999999992"/>
    <n v="17.285999999999998"/>
    <n v="40.627799999999993"/>
    <s v="15-21 days"/>
  </r>
  <r>
    <s v="1f4db543f58b42ebdb0389976cab2214"/>
    <x v="0"/>
    <d v="2017-05-01T00:00:00"/>
    <d v="2017-05-05T00:00:00"/>
    <d v="2017-05-18T00:00:00"/>
    <s v="furniture_decor"/>
    <n v="94.69"/>
    <n v="18.54"/>
    <s v="credit_card"/>
    <n v="4"/>
    <s v="delivered"/>
    <d v="2017-05-01T00:00:00"/>
    <n v="4"/>
    <n v="0"/>
    <n v="1"/>
    <n v="113.22999999999999"/>
    <n v="66.283000000000001"/>
    <n v="11.123999999999999"/>
    <n v="17.282999999999998"/>
    <s v="0-7 days"/>
  </r>
  <r>
    <s v="b723b226e83c70f38ef9d4efd9800e46"/>
    <x v="4"/>
    <d v="2017-05-01T00:00:00"/>
    <d v="2017-05-14T00:00:00"/>
    <d v="2017-05-21T00:00:00"/>
    <s v="housewares"/>
    <n v="153.59"/>
    <n v="30.34"/>
    <s v="voucher"/>
    <n v="4"/>
    <s v="delivered"/>
    <d v="2017-05-01T00:00:00"/>
    <n v="13"/>
    <n v="0"/>
    <n v="1"/>
    <n v="183.93"/>
    <n v="96.761700000000005"/>
    <n v="18.204000000000001"/>
    <n v="38.624299999999998"/>
    <s v="8-14 days"/>
  </r>
  <r>
    <s v="834b8382013f37e44d49f390836d3cf3"/>
    <x v="3"/>
    <d v="2017-05-02T00:00:00"/>
    <d v="2017-05-16T00:00:00"/>
    <d v="2017-05-24T00:00:00"/>
    <s v="computers_accessories"/>
    <n v="99.26"/>
    <n v="20.51"/>
    <s v="credit_card"/>
    <n v="5"/>
    <s v="delivered"/>
    <d v="2017-05-01T00:00:00"/>
    <n v="14"/>
    <n v="0"/>
    <n v="1"/>
    <n v="119.77000000000001"/>
    <n v="73.452399999999997"/>
    <n v="12.306000000000001"/>
    <n v="13.501600000000007"/>
    <s v="8-14 days"/>
  </r>
  <r>
    <s v="e648d7ae78304c6c79eb17974fb9ef37"/>
    <x v="7"/>
    <d v="2017-05-03T00:00:00"/>
    <d v="2017-05-11T00:00:00"/>
    <d v="2017-05-29T00:00:00"/>
    <s v="furniture_decor"/>
    <n v="52.13"/>
    <n v="25.1"/>
    <s v="boleto"/>
    <n v="4"/>
    <s v="delivered"/>
    <d v="2017-05-01T00:00:00"/>
    <n v="8"/>
    <n v="0"/>
    <n v="1"/>
    <n v="77.23"/>
    <n v="36.491"/>
    <n v="15.06"/>
    <n v="0.5790000000000024"/>
    <s v="8-14 days"/>
  </r>
  <r>
    <s v="55a6b3ef1d3042eec323aba40cd14fc1"/>
    <x v="0"/>
    <d v="2017-05-03T00:00:00"/>
    <d v="2017-05-13T00:00:00"/>
    <d v="2017-05-18T00:00:00"/>
    <s v="bed_bath_table"/>
    <n v="104.54"/>
    <n v="15.14"/>
    <s v="credit_card"/>
    <n v="4"/>
    <s v="delivered"/>
    <d v="2017-05-01T00:00:00"/>
    <n v="10"/>
    <n v="0"/>
    <n v="1"/>
    <n v="119.68"/>
    <n v="64.814800000000005"/>
    <n v="9.0839999999999996"/>
    <n v="30.641200000000001"/>
    <s v="8-14 days"/>
  </r>
  <r>
    <s v="00595cd26a0086475c74e1da80989251"/>
    <x v="0"/>
    <d v="2017-05-03T00:00:00"/>
    <d v="2017-05-12T00:00:00"/>
    <d v="2017-05-18T00:00:00"/>
    <s v="toys"/>
    <n v="102.55"/>
    <n v="17.28"/>
    <s v="credit_card"/>
    <n v="5"/>
    <s v="delivered"/>
    <d v="2017-05-01T00:00:00"/>
    <n v="9"/>
    <n v="0"/>
    <n v="1"/>
    <n v="119.83"/>
    <n v="61.529999999999994"/>
    <n v="10.368"/>
    <n v="30.652000000000001"/>
    <s v="8-14 days"/>
  </r>
  <r>
    <s v="76883ea9a726d089f5351e2b649808e0"/>
    <x v="0"/>
    <d v="2017-05-03T00:00:00"/>
    <d v="2017-05-11T00:00:00"/>
    <d v="2017-05-15T00:00:00"/>
    <s v="bed_bath_table"/>
    <n v="104.15"/>
    <n v="22.68"/>
    <s v="boleto"/>
    <n v="5"/>
    <s v="delivered"/>
    <d v="2017-05-01T00:00:00"/>
    <n v="8"/>
    <n v="0"/>
    <n v="1"/>
    <n v="126.83000000000001"/>
    <n v="64.573000000000008"/>
    <n v="13.607999999999999"/>
    <n v="25.969000000000001"/>
    <s v="8-14 days"/>
  </r>
  <r>
    <s v="e0ee5e8ab3e6f4c6d428df6c89aa4293"/>
    <x v="0"/>
    <d v="2017-05-04T00:00:00"/>
    <d v="2017-05-12T00:00:00"/>
    <d v="2017-05-22T00:00:00"/>
    <s v="housewares"/>
    <n v="134.03"/>
    <n v="14.27"/>
    <s v="voucher"/>
    <n v="5"/>
    <s v="delivered"/>
    <d v="2017-05-01T00:00:00"/>
    <n v="8"/>
    <n v="0"/>
    <n v="1"/>
    <n v="148.30000000000001"/>
    <n v="84.438900000000004"/>
    <n v="8.5619999999999994"/>
    <n v="41.0291"/>
    <s v="8-14 days"/>
  </r>
  <r>
    <s v="db13f2ec663b4427bef7110a57f9f3a7"/>
    <x v="11"/>
    <d v="2017-05-04T00:00:00"/>
    <d v="2017-05-25T00:00:00"/>
    <d v="2017-06-04T00:00:00"/>
    <s v="health_beauty"/>
    <n v="121.99"/>
    <n v="37.229999999999997"/>
    <s v="credit_card"/>
    <n v="4"/>
    <s v="delivered"/>
    <d v="2017-05-01T00:00:00"/>
    <n v="21"/>
    <n v="0"/>
    <n v="1"/>
    <n v="159.22"/>
    <n v="70.754199999999997"/>
    <n v="22.337999999999997"/>
    <n v="28.8978"/>
    <s v="15-21 days"/>
  </r>
  <r>
    <s v="c3ea13fd48d6ee51ea9d2a40142239d6"/>
    <x v="3"/>
    <d v="2017-05-07T00:00:00"/>
    <d v="2017-05-29T00:00:00"/>
    <d v="2017-05-28T00:00:00"/>
    <s v="furniture_decor"/>
    <n v="161.54"/>
    <n v="19.54"/>
    <s v="boleto"/>
    <n v="4"/>
    <s v="delivered"/>
    <d v="2017-05-01T00:00:00"/>
    <n v="22"/>
    <n v="1"/>
    <n v="0"/>
    <n v="181.07999999999998"/>
    <n v="113.07799999999999"/>
    <n v="11.723999999999998"/>
    <n v="36.738000000000007"/>
    <s v="22+ days"/>
  </r>
  <r>
    <s v="3ed9d8e3460017c871ef7d6cfa06ae19"/>
    <x v="9"/>
    <d v="2017-05-07T00:00:00"/>
    <d v="2017-05-19T00:00:00"/>
    <d v="2017-05-31T00:00:00"/>
    <s v="bed_bath_table"/>
    <n v="90.48"/>
    <n v="26"/>
    <s v="boleto"/>
    <n v="5"/>
    <s v="delivered"/>
    <d v="2017-05-01T00:00:00"/>
    <n v="12"/>
    <n v="0"/>
    <n v="1"/>
    <n v="116.48"/>
    <n v="56.0976"/>
    <n v="15.6"/>
    <n v="18.782400000000003"/>
    <s v="8-14 days"/>
  </r>
  <r>
    <s v="d88e6b86a159b48192a6dd56b85acaf0"/>
    <x v="0"/>
    <d v="2017-05-08T00:00:00"/>
    <d v="2017-05-20T00:00:00"/>
    <d v="2017-05-27T00:00:00"/>
    <s v="housewares"/>
    <n v="278.94"/>
    <n v="26.22"/>
    <s v="credit_card"/>
    <n v="5"/>
    <s v="delivered"/>
    <d v="2017-05-01T00:00:00"/>
    <n v="12"/>
    <n v="0"/>
    <n v="1"/>
    <n v="305.15999999999997"/>
    <n v="175.73220000000001"/>
    <n v="15.731999999999999"/>
    <n v="87.475799999999992"/>
    <s v="8-14 days"/>
  </r>
  <r>
    <s v="cea9e905e0e4fb328c141f2316954ee6"/>
    <x v="3"/>
    <d v="2017-05-08T00:00:00"/>
    <d v="2017-05-26T00:00:00"/>
    <d v="2017-06-03T00:00:00"/>
    <s v="housewares"/>
    <n v="88.21"/>
    <n v="21.37"/>
    <s v="credit_card"/>
    <n v="5"/>
    <s v="delivered"/>
    <d v="2017-05-01T00:00:00"/>
    <n v="18"/>
    <n v="0"/>
    <n v="1"/>
    <n v="109.58"/>
    <n v="55.572299999999998"/>
    <n v="12.822000000000001"/>
    <n v="19.815699999999993"/>
    <s v="15-21 days"/>
  </r>
  <r>
    <s v="8e9ff74afb6503ea0f9733429b2d43a3"/>
    <x v="0"/>
    <d v="2017-05-09T00:00:00"/>
    <d v="2017-05-16T00:00:00"/>
    <d v="2017-05-27T00:00:00"/>
    <s v="sports_leisure"/>
    <n v="148.27000000000001"/>
    <n v="13.68"/>
    <s v="credit_card"/>
    <n v="4"/>
    <s v="delivered"/>
    <d v="2017-05-01T00:00:00"/>
    <n v="7"/>
    <n v="0"/>
    <n v="1"/>
    <n v="161.95000000000002"/>
    <n v="94.892800000000008"/>
    <n v="8.2080000000000002"/>
    <n v="45.169200000000004"/>
    <s v="0-7 days"/>
  </r>
  <r>
    <s v="93c840115c2281fef4e1048af417adc9"/>
    <x v="0"/>
    <d v="2017-05-09T00:00:00"/>
    <d v="2017-05-17T00:00:00"/>
    <d v="2017-05-25T00:00:00"/>
    <s v="housewares"/>
    <n v="75.67"/>
    <n v="16.440000000000001"/>
    <s v="credit_card"/>
    <n v="5"/>
    <s v="delivered"/>
    <d v="2017-05-01T00:00:00"/>
    <n v="8"/>
    <n v="0"/>
    <n v="1"/>
    <n v="92.11"/>
    <n v="47.6721"/>
    <n v="9.8640000000000008"/>
    <n v="18.133900000000001"/>
    <s v="8-14 days"/>
  </r>
  <r>
    <s v="ac5a61d394fc2275d4e845bcbdfe7f18"/>
    <x v="4"/>
    <d v="2017-05-09T00:00:00"/>
    <d v="2017-05-26T00:00:00"/>
    <d v="2017-05-30T00:00:00"/>
    <s v="housewares"/>
    <n v="35.68"/>
    <n v="27.79"/>
    <s v="credit_card"/>
    <n v="3"/>
    <s v="delivered"/>
    <d v="2017-05-01T00:00:00"/>
    <n v="17"/>
    <n v="0"/>
    <n v="1"/>
    <n v="63.47"/>
    <n v="22.478400000000001"/>
    <n v="16.673999999999999"/>
    <n v="-3.4724000000000004"/>
    <s v="15-21 days"/>
  </r>
  <r>
    <s v="527db562954a29b9039325354a1d8a01"/>
    <x v="0"/>
    <d v="2017-05-09T00:00:00"/>
    <d v="2017-05-20T00:00:00"/>
    <d v="2017-05-22T00:00:00"/>
    <s v="housewares"/>
    <n v="53.95"/>
    <n v="18.809999999999999"/>
    <s v="credit_card"/>
    <n v="4"/>
    <s v="delivered"/>
    <d v="2017-05-01T00:00:00"/>
    <n v="11"/>
    <n v="0"/>
    <n v="1"/>
    <n v="72.760000000000005"/>
    <n v="33.988500000000002"/>
    <n v="11.286"/>
    <n v="8.6755000000000013"/>
    <s v="8-14 days"/>
  </r>
  <r>
    <s v="27ff97ca12049b0a9e11e71ce8ae6b4b"/>
    <x v="0"/>
    <d v="2017-05-12T00:00:00"/>
    <d v="2017-05-16T00:00:00"/>
    <d v="2017-05-27T00:00:00"/>
    <s v="bed_bath_table"/>
    <n v="163.84"/>
    <n v="17.36"/>
    <s v="credit_card"/>
    <n v="5"/>
    <s v="delivered"/>
    <d v="2017-05-01T00:00:00"/>
    <n v="4"/>
    <n v="0"/>
    <n v="1"/>
    <n v="181.2"/>
    <n v="101.5808"/>
    <n v="10.415999999999999"/>
    <n v="51.84320000000001"/>
    <s v="0-7 days"/>
  </r>
  <r>
    <s v="90d352980cc1073ecf16f365e9dc1dbc"/>
    <x v="1"/>
    <d v="2017-05-12T00:00:00"/>
    <d v="2017-05-29T00:00:00"/>
    <d v="2017-06-04T00:00:00"/>
    <s v="furniture_decor"/>
    <n v="125.92"/>
    <n v="26.64"/>
    <s v="voucher"/>
    <n v="4"/>
    <s v="delivered"/>
    <d v="2017-05-01T00:00:00"/>
    <n v="17"/>
    <n v="0"/>
    <n v="1"/>
    <n v="152.56"/>
    <n v="88.143999999999991"/>
    <n v="15.984"/>
    <n v="21.792000000000009"/>
    <s v="15-21 days"/>
  </r>
  <r>
    <s v="11c775375639755503109f0de880d4cf"/>
    <x v="0"/>
    <d v="2017-05-12T00:00:00"/>
    <d v="2017-05-20T00:00:00"/>
    <d v="2017-05-28T00:00:00"/>
    <s v="furniture_decor"/>
    <n v="169.77"/>
    <n v="19.22"/>
    <s v="credit_card"/>
    <n v="4"/>
    <s v="delivered"/>
    <d v="2017-05-01T00:00:00"/>
    <n v="8"/>
    <n v="0"/>
    <n v="1"/>
    <n v="188.99"/>
    <n v="118.839"/>
    <n v="11.531999999999998"/>
    <n v="39.399000000000015"/>
    <s v="8-14 days"/>
  </r>
  <r>
    <s v="ec285a93f5a4f270eadeae691bbcb748"/>
    <x v="0"/>
    <d v="2017-05-13T00:00:00"/>
    <d v="2017-05-30T00:00:00"/>
    <d v="2017-05-27T00:00:00"/>
    <s v="furniture_decor"/>
    <n v="139.37"/>
    <n v="15.18"/>
    <s v="credit_card"/>
    <n v="4"/>
    <s v="delivered"/>
    <d v="2017-05-01T00:00:00"/>
    <n v="17"/>
    <n v="3"/>
    <n v="0"/>
    <n v="154.55000000000001"/>
    <n v="97.558999999999997"/>
    <n v="9.1079999999999988"/>
    <n v="32.70300000000001"/>
    <s v="15-21 days"/>
  </r>
  <r>
    <s v="f44883858de7ad6c949077c27674456f"/>
    <x v="0"/>
    <d v="2017-05-15T00:00:00"/>
    <d v="2017-05-23T00:00:00"/>
    <d v="2017-05-31T00:00:00"/>
    <s v="toys"/>
    <n v="194.56"/>
    <n v="19.72"/>
    <s v="boleto"/>
    <n v="4"/>
    <s v="delivered"/>
    <d v="2017-05-01T00:00:00"/>
    <n v="8"/>
    <n v="0"/>
    <n v="1"/>
    <n v="214.28"/>
    <n v="116.73599999999999"/>
    <n v="11.831999999999999"/>
    <n v="65.992000000000019"/>
    <s v="8-14 days"/>
  </r>
  <r>
    <s v="dcccea619d4d8b69ef8b3927de23f191"/>
    <x v="0"/>
    <d v="2017-05-16T00:00:00"/>
    <d v="2017-05-31T00:00:00"/>
    <d v="2017-05-30T00:00:00"/>
    <s v="watches_gifts"/>
    <n v="95.7"/>
    <n v="14.84"/>
    <s v="credit_card"/>
    <n v="1"/>
    <s v="delivered"/>
    <d v="2017-05-01T00:00:00"/>
    <n v="15"/>
    <n v="1"/>
    <n v="0"/>
    <n v="110.54"/>
    <n v="63.162000000000006"/>
    <n v="8.9039999999999999"/>
    <n v="23.633999999999997"/>
    <s v="15-21 days"/>
  </r>
  <r>
    <s v="af92a2aef78b36a31644b00b46c462a7"/>
    <x v="4"/>
    <d v="2017-05-16T00:00:00"/>
    <d v="2017-05-26T00:00:00"/>
    <d v="2017-06-06T00:00:00"/>
    <s v="computers_accessories"/>
    <n v="102.04"/>
    <n v="22.44"/>
    <s v="credit_card"/>
    <n v="4"/>
    <s v="delivered"/>
    <d v="2017-05-01T00:00:00"/>
    <n v="10"/>
    <n v="0"/>
    <n v="1"/>
    <n v="124.48"/>
    <n v="75.509600000000006"/>
    <n v="13.464"/>
    <n v="13.0664"/>
    <s v="8-14 days"/>
  </r>
  <r>
    <s v="9fb209b1732fc932ab962697c1e1f813"/>
    <x v="0"/>
    <d v="2017-05-17T00:00:00"/>
    <d v="2017-05-24T00:00:00"/>
    <d v="2017-06-02T00:00:00"/>
    <s v="sports_leisure"/>
    <n v="119.23"/>
    <n v="20.49"/>
    <s v="boleto"/>
    <n v="4"/>
    <s v="delivered"/>
    <d v="2017-05-01T00:00:00"/>
    <n v="7"/>
    <n v="0"/>
    <n v="1"/>
    <n v="139.72"/>
    <n v="76.307200000000009"/>
    <n v="12.293999999999999"/>
    <n v="30.628799999999998"/>
    <s v="0-7 days"/>
  </r>
  <r>
    <s v="c7d77fbb520b7950dee4254b0afc13fb"/>
    <x v="6"/>
    <d v="2017-05-17T00:00:00"/>
    <d v="2017-05-28T00:00:00"/>
    <d v="2017-06-13T00:00:00"/>
    <s v="auto"/>
    <n v="159.18"/>
    <n v="38.76"/>
    <s v="credit_card"/>
    <n v="5"/>
    <s v="delivered"/>
    <d v="2017-05-01T00:00:00"/>
    <n v="11"/>
    <n v="0"/>
    <n v="1"/>
    <n v="197.94"/>
    <n v="108.24240000000002"/>
    <n v="23.255999999999997"/>
    <n v="27.681599999999992"/>
    <s v="8-14 days"/>
  </r>
  <r>
    <s v="b2e2f3cc3873335fca3f48a4cd88e44e"/>
    <x v="3"/>
    <d v="2017-05-17T00:00:00"/>
    <d v="2017-06-02T00:00:00"/>
    <d v="2017-06-10T00:00:00"/>
    <s v="health_beauty"/>
    <n v="47.52"/>
    <n v="18.670000000000002"/>
    <s v="credit_card"/>
    <n v="5"/>
    <s v="delivered"/>
    <d v="2017-05-01T00:00:00"/>
    <n v="16"/>
    <n v="0"/>
    <n v="1"/>
    <n v="66.19"/>
    <n v="27.561599999999999"/>
    <n v="11.202"/>
    <n v="8.7564000000000046"/>
    <s v="15-21 days"/>
  </r>
  <r>
    <s v="02bf8d3f6b186f2f35b5b64c034b1d43"/>
    <x v="0"/>
    <d v="2017-05-17T00:00:00"/>
    <d v="2017-05-23T00:00:00"/>
    <d v="2017-05-31T00:00:00"/>
    <s v="bed_bath_table"/>
    <n v="67.989999999999995"/>
    <n v="19.11"/>
    <s v="debit_card"/>
    <n v="4"/>
    <s v="delivered"/>
    <d v="2017-05-01T00:00:00"/>
    <n v="6"/>
    <n v="0"/>
    <n v="1"/>
    <n v="87.1"/>
    <n v="42.153799999999997"/>
    <n v="11.465999999999999"/>
    <n v="14.370199999999999"/>
    <s v="0-7 days"/>
  </r>
  <r>
    <s v="bdd427f32cea49944219ae92e8e67bc0"/>
    <x v="6"/>
    <d v="2017-05-17T00:00:00"/>
    <d v="2017-06-07T00:00:00"/>
    <d v="2017-06-16T00:00:00"/>
    <s v="sports_leisure"/>
    <n v="112.06"/>
    <n v="42.26"/>
    <s v="credit_card"/>
    <n v="3"/>
    <s v="delivered"/>
    <d v="2017-05-01T00:00:00"/>
    <n v="21"/>
    <n v="0"/>
    <n v="1"/>
    <n v="154.32"/>
    <n v="71.718400000000003"/>
    <n v="25.355999999999998"/>
    <n v="14.985600000000002"/>
    <s v="15-21 days"/>
  </r>
  <r>
    <s v="0df83e12a56b61e04ba8a4ca6449cb6f"/>
    <x v="0"/>
    <d v="2017-05-18T00:00:00"/>
    <d v="2017-05-28T00:00:00"/>
    <d v="2017-06-01T00:00:00"/>
    <s v="bed_bath_table"/>
    <n v="36.340000000000003"/>
    <n v="13.21"/>
    <s v="boleto"/>
    <n v="5"/>
    <s v="delivered"/>
    <d v="2017-05-01T00:00:00"/>
    <n v="10"/>
    <n v="0"/>
    <n v="1"/>
    <n v="49.550000000000004"/>
    <n v="22.530800000000003"/>
    <n v="7.9260000000000002"/>
    <n v="5.8832000000000004"/>
    <s v="8-14 days"/>
  </r>
  <r>
    <s v="696f90744084a2907e50a000c474e1c0"/>
    <x v="4"/>
    <d v="2017-05-18T00:00:00"/>
    <d v="2017-05-30T00:00:00"/>
    <d v="2017-06-09T00:00:00"/>
    <s v="furniture_decor"/>
    <n v="153.59"/>
    <n v="20.329999999999998"/>
    <s v="credit_card"/>
    <n v="5"/>
    <s v="delivered"/>
    <d v="2017-05-01T00:00:00"/>
    <n v="12"/>
    <n v="0"/>
    <n v="1"/>
    <n v="173.92000000000002"/>
    <n v="107.51299999999999"/>
    <n v="12.197999999999999"/>
    <n v="33.879000000000012"/>
    <s v="8-14 days"/>
  </r>
  <r>
    <s v="ef3e9770390ae185128dfb8215ab1a47"/>
    <x v="10"/>
    <d v="2017-05-19T00:00:00"/>
    <d v="2017-08-03T00:00:00"/>
    <d v="2017-06-20T00:00:00"/>
    <s v="health_beauty"/>
    <n v="66.84"/>
    <n v="33.4"/>
    <s v="credit_card"/>
    <n v="1"/>
    <s v="delivered"/>
    <d v="2017-05-01T00:00:00"/>
    <n v="76"/>
    <n v="44"/>
    <n v="0"/>
    <n v="100.24000000000001"/>
    <n v="38.767200000000003"/>
    <n v="20.04"/>
    <n v="8.0328000000000017"/>
    <s v="22+ days"/>
  </r>
  <r>
    <s v="f243b5c6833d75956fa1c2327eecdc53"/>
    <x v="0"/>
    <d v="2017-05-23T00:00:00"/>
    <d v="2017-06-04T00:00:00"/>
    <d v="2017-06-02T00:00:00"/>
    <s v="sports_leisure"/>
    <n v="96.43"/>
    <n v="20.25"/>
    <s v="credit_card"/>
    <n v="3"/>
    <s v="delivered"/>
    <d v="2017-05-01T00:00:00"/>
    <n v="12"/>
    <n v="2"/>
    <n v="0"/>
    <n v="116.68"/>
    <n v="61.715200000000003"/>
    <n v="12.15"/>
    <n v="22.564800000000005"/>
    <s v="8-14 days"/>
  </r>
  <r>
    <s v="7e19cad732af7b95adc4b86da180ee9b"/>
    <x v="1"/>
    <d v="2017-05-23T00:00:00"/>
    <d v="2017-06-06T00:00:00"/>
    <d v="2017-06-12T00:00:00"/>
    <s v="computers_accessories"/>
    <n v="139.58000000000001"/>
    <n v="25.1"/>
    <s v="credit_card"/>
    <n v="3"/>
    <s v="delivered"/>
    <d v="2017-05-01T00:00:00"/>
    <n v="14"/>
    <n v="0"/>
    <n v="1"/>
    <n v="164.68"/>
    <n v="103.28920000000001"/>
    <n v="15.06"/>
    <n v="21.230800000000002"/>
    <s v="8-14 days"/>
  </r>
  <r>
    <s v="7fd7559e44c08b4eacd5f173904fa87a"/>
    <x v="2"/>
    <d v="2017-05-23T00:00:00"/>
    <d v="2017-06-07T00:00:00"/>
    <d v="2017-06-14T00:00:00"/>
    <s v="sports_leisure"/>
    <n v="88.29"/>
    <n v="31.27"/>
    <s v="credit_card"/>
    <n v="5"/>
    <s v="delivered"/>
    <d v="2017-05-01T00:00:00"/>
    <n v="15"/>
    <n v="0"/>
    <n v="1"/>
    <n v="119.56"/>
    <n v="56.505600000000008"/>
    <n v="18.762"/>
    <n v="13.022399999999998"/>
    <s v="15-21 days"/>
  </r>
  <r>
    <s v="263bda8d86782d01974b18d99aca56fc"/>
    <x v="0"/>
    <d v="2017-05-23T00:00:00"/>
    <d v="2017-06-01T00:00:00"/>
    <d v="2017-06-08T00:00:00"/>
    <s v="health_beauty"/>
    <n v="55.37"/>
    <n v="18.54"/>
    <s v="boleto"/>
    <n v="4"/>
    <s v="delivered"/>
    <d v="2017-05-01T00:00:00"/>
    <n v="9"/>
    <n v="0"/>
    <n v="1"/>
    <n v="73.91"/>
    <n v="32.114599999999996"/>
    <n v="11.123999999999999"/>
    <n v="12.131400000000003"/>
    <s v="8-14 days"/>
  </r>
  <r>
    <s v="98a21f1c914dcfaef10013a7c6deb2f0"/>
    <x v="4"/>
    <d v="2017-05-24T00:00:00"/>
    <d v="2017-06-06T00:00:00"/>
    <d v="2017-06-14T00:00:00"/>
    <s v="sports_leisure"/>
    <n v="67.38"/>
    <n v="25.45"/>
    <s v="credit_card"/>
    <n v="4"/>
    <s v="delivered"/>
    <d v="2017-05-01T00:00:00"/>
    <n v="13"/>
    <n v="0"/>
    <n v="1"/>
    <n v="92.83"/>
    <n v="43.123199999999997"/>
    <n v="15.27"/>
    <n v="8.9867999999999988"/>
    <s v="8-14 days"/>
  </r>
  <r>
    <s v="dac9d4a4b43bf88cc6f434688d78e1c8"/>
    <x v="3"/>
    <d v="2017-05-24T00:00:00"/>
    <d v="2017-06-20T00:00:00"/>
    <d v="2017-06-19T00:00:00"/>
    <s v="sports_leisure"/>
    <n v="99.57"/>
    <n v="21.44"/>
    <s v="credit_card"/>
    <n v="3"/>
    <s v="delivered"/>
    <d v="2017-05-01T00:00:00"/>
    <n v="27"/>
    <n v="1"/>
    <n v="0"/>
    <n v="121.00999999999999"/>
    <n v="63.724799999999995"/>
    <n v="12.864000000000001"/>
    <n v="22.981199999999998"/>
    <s v="22+ days"/>
  </r>
  <r>
    <s v="9785db5af31b74f8163b600117f931b6"/>
    <x v="0"/>
    <d v="2017-05-24T00:00:00"/>
    <d v="2017-06-05T00:00:00"/>
    <d v="2017-06-08T00:00:00"/>
    <s v="furniture_decor"/>
    <n v="69.25"/>
    <n v="20.67"/>
    <s v="credit_card"/>
    <n v="5"/>
    <s v="delivered"/>
    <d v="2017-05-01T00:00:00"/>
    <n v="12"/>
    <n v="0"/>
    <n v="1"/>
    <n v="89.92"/>
    <n v="48.474999999999994"/>
    <n v="12.402000000000001"/>
    <n v="8.3730000000000047"/>
    <s v="8-14 days"/>
  </r>
  <r>
    <s v="d3778853079a8055aac16b4258d6e90d"/>
    <x v="0"/>
    <d v="2017-05-24T00:00:00"/>
    <d v="2017-06-03T00:00:00"/>
    <d v="2017-06-08T00:00:00"/>
    <s v="sports_leisure"/>
    <n v="221.35"/>
    <n v="24.76"/>
    <s v="boleto"/>
    <n v="4"/>
    <s v="delivered"/>
    <d v="2017-05-01T00:00:00"/>
    <n v="10"/>
    <n v="0"/>
    <n v="1"/>
    <n v="246.10999999999999"/>
    <n v="141.66399999999999"/>
    <n v="14.856"/>
    <n v="64.830000000000013"/>
    <s v="8-14 days"/>
  </r>
  <r>
    <s v="42be7d36a9230810c34604f98bed0104"/>
    <x v="6"/>
    <d v="2017-05-25T00:00:00"/>
    <d v="2017-07-09T00:00:00"/>
    <d v="2017-06-26T00:00:00"/>
    <s v="computers_accessories"/>
    <n v="115.88"/>
    <n v="29.27"/>
    <s v="credit_card"/>
    <n v="1"/>
    <s v="delivered"/>
    <d v="2017-05-01T00:00:00"/>
    <n v="45"/>
    <n v="13"/>
    <n v="0"/>
    <n v="145.15"/>
    <n v="85.751199999999997"/>
    <n v="17.561999999999998"/>
    <n v="12.566800000000001"/>
    <s v="22+ days"/>
  </r>
  <r>
    <s v="1667b920926e6991aa82cac85b74c4d1"/>
    <x v="3"/>
    <d v="2017-05-26T00:00:00"/>
    <d v="2017-06-22T00:00:00"/>
    <d v="2017-06-20T00:00:00"/>
    <s v="health_beauty"/>
    <n v="50.23"/>
    <n v="27.86"/>
    <s v="credit_card"/>
    <n v="3"/>
    <s v="delivered"/>
    <d v="2017-05-01T00:00:00"/>
    <n v="27"/>
    <n v="2"/>
    <n v="0"/>
    <n v="78.09"/>
    <n v="29.133399999999995"/>
    <n v="16.715999999999998"/>
    <n v="4.3806000000000047"/>
    <s v="22+ days"/>
  </r>
  <r>
    <s v="1cf146542ab202c2cc0243c6e2d903c8"/>
    <x v="6"/>
    <d v="2017-05-27T00:00:00"/>
    <d v="2017-06-13T00:00:00"/>
    <d v="2017-06-24T00:00:00"/>
    <s v="housewares"/>
    <n v="98.7"/>
    <n v="30.84"/>
    <s v="credit_card"/>
    <n v="5"/>
    <s v="delivered"/>
    <d v="2017-05-01T00:00:00"/>
    <n v="17"/>
    <n v="0"/>
    <n v="1"/>
    <n v="129.54"/>
    <n v="62.181000000000004"/>
    <n v="18.503999999999998"/>
    <n v="18.015000000000001"/>
    <s v="15-21 days"/>
  </r>
  <r>
    <s v="004e07210cc8fa21b601e5b201c363cd"/>
    <x v="0"/>
    <d v="2017-05-27T00:00:00"/>
    <d v="2017-06-01T00:00:00"/>
    <d v="2017-06-12T00:00:00"/>
    <s v="health_beauty"/>
    <n v="157.49"/>
    <n v="16.63"/>
    <s v="credit_card"/>
    <n v="4"/>
    <s v="delivered"/>
    <d v="2017-05-01T00:00:00"/>
    <n v="5"/>
    <n v="0"/>
    <n v="1"/>
    <n v="174.12"/>
    <n v="91.344200000000001"/>
    <n v="9.9779999999999998"/>
    <n v="56.167800000000007"/>
    <s v="0-7 days"/>
  </r>
  <r>
    <s v="921f266fc450205286a8f21a010e622b"/>
    <x v="0"/>
    <d v="2017-05-28T00:00:00"/>
    <d v="2017-05-31T00:00:00"/>
    <d v="2017-06-12T00:00:00"/>
    <s v="computers_accessories"/>
    <n v="133.68"/>
    <n v="23.65"/>
    <s v="credit_card"/>
    <n v="3"/>
    <s v="delivered"/>
    <d v="2017-05-01T00:00:00"/>
    <n v="3"/>
    <n v="0"/>
    <n v="1"/>
    <n v="157.33000000000001"/>
    <n v="98.923200000000008"/>
    <n v="14.19"/>
    <n v="20.566800000000001"/>
    <s v="0-7 days"/>
  </r>
  <r>
    <s v="ea7c8b0cdefa6d4a474ca8796f96bbff"/>
    <x v="1"/>
    <d v="2017-05-30T00:00:00"/>
    <d v="2017-06-06T00:00:00"/>
    <d v="2017-06-18T00:00:00"/>
    <s v="furniture_decor"/>
    <n v="84.93"/>
    <n v="17.68"/>
    <s v="credit_card"/>
    <n v="4"/>
    <s v="delivered"/>
    <d v="2017-05-01T00:00:00"/>
    <n v="7"/>
    <n v="0"/>
    <n v="1"/>
    <n v="102.61000000000001"/>
    <n v="59.451000000000001"/>
    <n v="10.607999999999999"/>
    <n v="14.871000000000008"/>
    <s v="0-7 days"/>
  </r>
  <r>
    <s v="b50f2f5c2d6acdd45aeb90f64faa8036"/>
    <x v="0"/>
    <d v="2017-05-31T00:00:00"/>
    <d v="2017-06-06T00:00:00"/>
    <d v="2017-06-14T00:00:00"/>
    <s v="sports_leisure"/>
    <n v="76.849999999999994"/>
    <n v="13.96"/>
    <s v="credit_card"/>
    <n v="3"/>
    <s v="delivered"/>
    <d v="2017-05-01T00:00:00"/>
    <n v="6"/>
    <n v="0"/>
    <n v="1"/>
    <n v="90.81"/>
    <n v="49.183999999999997"/>
    <n v="8.3759999999999994"/>
    <n v="19.29"/>
    <s v="0-7 days"/>
  </r>
  <r>
    <s v="3f612028cb4a9aa4e52053b68faa2da8"/>
    <x v="0"/>
    <d v="2017-05-31T00:00:00"/>
    <d v="2017-06-09T00:00:00"/>
    <d v="2017-06-13T00:00:00"/>
    <s v="sports_leisure"/>
    <n v="94.99"/>
    <n v="18.600000000000001"/>
    <s v="credit_card"/>
    <n v="5"/>
    <s v="delivered"/>
    <d v="2017-05-01T00:00:00"/>
    <n v="9"/>
    <n v="0"/>
    <n v="1"/>
    <n v="113.59"/>
    <n v="60.793599999999998"/>
    <n v="11.16"/>
    <n v="23.036399999999997"/>
    <s v="8-14 days"/>
  </r>
  <r>
    <s v="1bd8978e92714fea6fad74602ef38ed1"/>
    <x v="4"/>
    <d v="2017-05-31T00:00:00"/>
    <d v="2017-06-14T00:00:00"/>
    <d v="2017-06-21T00:00:00"/>
    <s v="toys"/>
    <n v="36.729999999999997"/>
    <n v="21.86"/>
    <s v="credit_card"/>
    <n v="5"/>
    <s v="delivered"/>
    <d v="2017-05-01T00:00:00"/>
    <n v="14"/>
    <n v="0"/>
    <n v="1"/>
    <n v="58.589999999999996"/>
    <n v="22.037999999999997"/>
    <n v="13.116"/>
    <n v="1.5760000000000005"/>
    <s v="8-14 days"/>
  </r>
  <r>
    <s v="8c6743e15f9209eccc027d43d622d179"/>
    <x v="0"/>
    <d v="2017-06-01T00:00:00"/>
    <d v="2017-06-07T00:00:00"/>
    <d v="2017-06-19T00:00:00"/>
    <s v="watches_gifts"/>
    <n v="252.51"/>
    <n v="18.97"/>
    <s v="voucher"/>
    <n v="4"/>
    <s v="delivered"/>
    <d v="2017-06-01T00:00:00"/>
    <n v="6"/>
    <n v="0"/>
    <n v="1"/>
    <n v="271.48"/>
    <n v="166.6566"/>
    <n v="11.382"/>
    <n v="74.471399999999988"/>
    <s v="0-7 days"/>
  </r>
  <r>
    <s v="3ae56c8d536016e7e5fbc1c0ad463549"/>
    <x v="3"/>
    <d v="2017-06-02T00:00:00"/>
    <d v="2017-06-24T00:00:00"/>
    <d v="2017-06-30T00:00:00"/>
    <s v="watches_gifts"/>
    <n v="155.46"/>
    <n v="20.73"/>
    <s v="boleto"/>
    <n v="5"/>
    <s v="delivered"/>
    <d v="2017-06-01T00:00:00"/>
    <n v="22"/>
    <n v="0"/>
    <n v="1"/>
    <n v="176.19"/>
    <n v="102.60360000000001"/>
    <n v="12.438000000000001"/>
    <n v="40.418399999999991"/>
    <s v="22+ days"/>
  </r>
  <r>
    <s v="61a71114d994f7ba4b7faa4c0d5d2f64"/>
    <x v="3"/>
    <d v="2017-06-02T00:00:00"/>
    <d v="2017-06-25T00:00:00"/>
    <d v="2017-06-29T00:00:00"/>
    <s v="housewares"/>
    <n v="63.12"/>
    <n v="16.78"/>
    <s v="credit_card"/>
    <n v="3"/>
    <s v="delivered"/>
    <d v="2017-06-01T00:00:00"/>
    <n v="23"/>
    <n v="0"/>
    <n v="1"/>
    <n v="79.900000000000006"/>
    <n v="39.765599999999999"/>
    <n v="10.068"/>
    <n v="13.286399999999999"/>
    <s v="22+ days"/>
  </r>
  <r>
    <s v="b54ec3231e53a5da0780b3eedcfa02a9"/>
    <x v="0"/>
    <d v="2017-06-02T00:00:00"/>
    <d v="2017-06-08T00:00:00"/>
    <d v="2017-06-19T00:00:00"/>
    <s v="watches_gifts"/>
    <n v="51.72"/>
    <n v="13.49"/>
    <s v="credit_card"/>
    <n v="4"/>
    <s v="delivered"/>
    <d v="2017-06-01T00:00:00"/>
    <n v="6"/>
    <n v="0"/>
    <n v="1"/>
    <n v="65.209999999999994"/>
    <n v="34.135199999999998"/>
    <n v="8.0939999999999994"/>
    <n v="9.4908000000000019"/>
    <s v="0-7 days"/>
  </r>
  <r>
    <s v="ba65ccc02eac9f8561e47a6e1d5036a8"/>
    <x v="0"/>
    <d v="2017-06-02T00:00:00"/>
    <d v="2017-06-06T00:00:00"/>
    <d v="2017-06-18T00:00:00"/>
    <s v="bed_bath_table"/>
    <n v="65.73"/>
    <n v="13.53"/>
    <s v="credit_card"/>
    <n v="5"/>
    <s v="delivered"/>
    <d v="2017-06-01T00:00:00"/>
    <n v="4"/>
    <n v="0"/>
    <n v="1"/>
    <n v="79.260000000000005"/>
    <n v="40.752600000000001"/>
    <n v="8.1179999999999986"/>
    <n v="16.859400000000004"/>
    <s v="0-7 days"/>
  </r>
  <r>
    <s v="edc78d7ba63f89b5078c7f1d2e659eb1"/>
    <x v="0"/>
    <d v="2017-06-03T00:00:00"/>
    <d v="2017-06-12T00:00:00"/>
    <d v="2017-06-18T00:00:00"/>
    <s v="health_beauty"/>
    <n v="121.17"/>
    <n v="14.81"/>
    <s v="credit_card"/>
    <n v="3"/>
    <s v="delivered"/>
    <d v="2017-06-01T00:00:00"/>
    <n v="9"/>
    <n v="0"/>
    <n v="1"/>
    <n v="135.97999999999999"/>
    <n v="70.278599999999997"/>
    <n v="8.8859999999999992"/>
    <n v="42.005400000000009"/>
    <s v="8-14 days"/>
  </r>
  <r>
    <s v="8620a10ae0099d7aca226c566fc8503c"/>
    <x v="0"/>
    <d v="2017-06-03T00:00:00"/>
    <d v="2017-06-10T00:00:00"/>
    <d v="2017-06-21T00:00:00"/>
    <s v="housewares"/>
    <n v="100.95"/>
    <n v="19.59"/>
    <s v="credit_card"/>
    <n v="5"/>
    <s v="delivered"/>
    <d v="2017-06-01T00:00:00"/>
    <n v="7"/>
    <n v="0"/>
    <n v="1"/>
    <n v="120.54"/>
    <n v="63.598500000000001"/>
    <n v="11.754"/>
    <n v="25.597500000000004"/>
    <s v="0-7 days"/>
  </r>
  <r>
    <s v="a8f0d5136650bc24f84b241f0466b04d"/>
    <x v="0"/>
    <d v="2017-06-03T00:00:00"/>
    <d v="2017-06-09T00:00:00"/>
    <d v="2017-06-20T00:00:00"/>
    <s v="housewares"/>
    <n v="48.08"/>
    <n v="19.71"/>
    <s v="credit_card"/>
    <n v="4"/>
    <s v="delivered"/>
    <d v="2017-06-01T00:00:00"/>
    <n v="6"/>
    <n v="0"/>
    <n v="1"/>
    <n v="67.789999999999992"/>
    <n v="30.290399999999998"/>
    <n v="11.826000000000001"/>
    <n v="5.9635999999999996"/>
    <s v="0-7 days"/>
  </r>
  <r>
    <s v="2c154804099759a37919955c9be4f19f"/>
    <x v="5"/>
    <d v="2017-06-04T00:00:00"/>
    <d v="2017-06-20T00:00:00"/>
    <d v="2017-06-28T00:00:00"/>
    <s v="sports_leisure"/>
    <n v="82.48"/>
    <n v="24.53"/>
    <s v="credit_card"/>
    <n v="5"/>
    <s v="delivered"/>
    <d v="2017-06-01T00:00:00"/>
    <n v="16"/>
    <n v="0"/>
    <n v="1"/>
    <n v="107.01"/>
    <n v="52.787200000000006"/>
    <n v="14.718"/>
    <n v="14.974799999999998"/>
    <s v="15-21 days"/>
  </r>
  <r>
    <s v="199ae3daaae39bc04a1954ec4a3fcfda"/>
    <x v="4"/>
    <d v="2017-06-05T00:00:00"/>
    <d v="2017-06-18T00:00:00"/>
    <d v="2017-06-27T00:00:00"/>
    <s v="health_beauty"/>
    <n v="127.96"/>
    <n v="23.23"/>
    <s v="voucher"/>
    <n v="3"/>
    <s v="delivered"/>
    <d v="2017-06-01T00:00:00"/>
    <n v="13"/>
    <n v="0"/>
    <n v="1"/>
    <n v="151.19"/>
    <n v="74.216799999999992"/>
    <n v="13.938000000000001"/>
    <n v="39.805199999999999"/>
    <s v="8-14 days"/>
  </r>
  <r>
    <s v="06fb22acc342adc9df09451fd173bd6d"/>
    <x v="2"/>
    <d v="2017-06-05T00:00:00"/>
    <d v="2017-06-16T00:00:00"/>
    <d v="2017-07-04T00:00:00"/>
    <s v="toys"/>
    <n v="72.099999999999994"/>
    <n v="26.2"/>
    <s v="credit_card"/>
    <n v="4"/>
    <s v="delivered"/>
    <d v="2017-06-01T00:00:00"/>
    <n v="11"/>
    <n v="0"/>
    <n v="1"/>
    <n v="98.3"/>
    <n v="43.26"/>
    <n v="15.719999999999999"/>
    <n v="13.119999999999997"/>
    <s v="8-14 days"/>
  </r>
  <r>
    <s v="89020a97128cc17a4c055b0a823b7845"/>
    <x v="0"/>
    <d v="2017-06-05T00:00:00"/>
    <d v="2017-06-13T00:00:00"/>
    <d v="2017-06-22T00:00:00"/>
    <s v="sports_leisure"/>
    <n v="118"/>
    <n v="14.86"/>
    <s v="boleto"/>
    <n v="5"/>
    <s v="delivered"/>
    <d v="2017-06-01T00:00:00"/>
    <n v="8"/>
    <n v="0"/>
    <n v="1"/>
    <n v="132.86000000000001"/>
    <n v="75.52"/>
    <n v="8.9159999999999986"/>
    <n v="33.564000000000007"/>
    <s v="8-14 days"/>
  </r>
  <r>
    <s v="41e0cfaf52ca9cedc5268f0fc516e394"/>
    <x v="0"/>
    <d v="2017-06-06T00:00:00"/>
    <d v="2017-06-12T00:00:00"/>
    <d v="2017-06-24T00:00:00"/>
    <s v="toys"/>
    <n v="56.36"/>
    <n v="21.11"/>
    <s v="credit_card"/>
    <n v="4"/>
    <s v="delivered"/>
    <d v="2017-06-01T00:00:00"/>
    <n v="6"/>
    <n v="0"/>
    <n v="1"/>
    <n v="77.47"/>
    <n v="33.815999999999995"/>
    <n v="12.665999999999999"/>
    <n v="9.8780000000000054"/>
    <s v="0-7 days"/>
  </r>
  <r>
    <s v="7dd7fc59b58674b5e631a9ee754f595f"/>
    <x v="1"/>
    <d v="2017-06-06T00:00:00"/>
    <d v="2017-06-15T00:00:00"/>
    <d v="2017-06-28T00:00:00"/>
    <s v="furniture_decor"/>
    <n v="79.97"/>
    <n v="25.31"/>
    <s v="boleto"/>
    <n v="5"/>
    <s v="delivered"/>
    <d v="2017-06-01T00:00:00"/>
    <n v="9"/>
    <n v="0"/>
    <n v="1"/>
    <n v="105.28"/>
    <n v="55.978999999999999"/>
    <n v="15.185999999999998"/>
    <n v="8.8050000000000015"/>
    <s v="8-14 days"/>
  </r>
  <r>
    <s v="6a961ac0865162a60fe917808b8c6b6e"/>
    <x v="0"/>
    <d v="2017-06-06T00:00:00"/>
    <d v="2017-06-18T00:00:00"/>
    <d v="2017-06-22T00:00:00"/>
    <s v="sports_leisure"/>
    <n v="64.66"/>
    <n v="16.96"/>
    <s v="credit_card"/>
    <n v="2"/>
    <s v="delivered"/>
    <d v="2017-06-01T00:00:00"/>
    <n v="12"/>
    <n v="0"/>
    <n v="1"/>
    <n v="81.62"/>
    <n v="41.382399999999997"/>
    <n v="10.176"/>
    <n v="13.101599999999999"/>
    <s v="8-14 days"/>
  </r>
  <r>
    <s v="7a4a902f21d63b0fb1ac040d6c1cc405"/>
    <x v="0"/>
    <d v="2017-06-07T00:00:00"/>
    <d v="2017-06-15T00:00:00"/>
    <d v="2017-06-23T00:00:00"/>
    <s v="bed_bath_table"/>
    <n v="202.17"/>
    <n v="24.92"/>
    <s v="credit_card"/>
    <n v="5"/>
    <s v="delivered"/>
    <d v="2017-06-01T00:00:00"/>
    <n v="8"/>
    <n v="0"/>
    <n v="1"/>
    <n v="227.08999999999997"/>
    <n v="125.3454"/>
    <n v="14.952"/>
    <n v="61.872599999999991"/>
    <s v="8-14 days"/>
  </r>
  <r>
    <s v="fc8ade6a9051385e0b7ce5c690968629"/>
    <x v="0"/>
    <d v="2017-06-07T00:00:00"/>
    <d v="2017-06-17T00:00:00"/>
    <d v="2017-06-21T00:00:00"/>
    <s v="computers_accessories"/>
    <n v="60.12"/>
    <n v="21.96"/>
    <s v="boleto"/>
    <n v="5"/>
    <s v="delivered"/>
    <d v="2017-06-01T00:00:00"/>
    <n v="10"/>
    <n v="0"/>
    <n v="1"/>
    <n v="82.08"/>
    <n v="44.488799999999998"/>
    <n v="13.176"/>
    <n v="2.4551999999999996"/>
    <s v="8-14 days"/>
  </r>
  <r>
    <s v="d533e78253c50458a4f9315f6f4da8c9"/>
    <x v="0"/>
    <d v="2017-06-07T00:00:00"/>
    <d v="2017-06-15T00:00:00"/>
    <d v="2017-06-21T00:00:00"/>
    <s v="housewares"/>
    <n v="71.58"/>
    <n v="18.37"/>
    <s v="credit_card"/>
    <n v="5"/>
    <s v="delivered"/>
    <d v="2017-06-01T00:00:00"/>
    <n v="8"/>
    <n v="0"/>
    <n v="1"/>
    <n v="89.95"/>
    <n v="45.095399999999998"/>
    <n v="11.022"/>
    <n v="15.4626"/>
    <s v="8-14 days"/>
  </r>
  <r>
    <s v="36f51698cbee70fb1de2ea80f90d3083"/>
    <x v="8"/>
    <d v="2017-06-07T00:00:00"/>
    <d v="2017-06-18T00:00:00"/>
    <d v="2017-06-30T00:00:00"/>
    <s v="health_beauty"/>
    <n v="61.55"/>
    <n v="21.5"/>
    <s v="credit_card"/>
    <n v="5"/>
    <s v="delivered"/>
    <d v="2017-06-01T00:00:00"/>
    <n v="11"/>
    <n v="0"/>
    <n v="1"/>
    <n v="83.05"/>
    <n v="35.698999999999998"/>
    <n v="12.9"/>
    <n v="12.950999999999999"/>
    <s v="8-14 days"/>
  </r>
  <r>
    <s v="77fc97031fd5a423706c5c5649e2623d"/>
    <x v="0"/>
    <d v="2017-06-08T00:00:00"/>
    <d v="2017-07-01T00:00:00"/>
    <d v="2017-06-24T00:00:00"/>
    <s v="health_beauty"/>
    <n v="39.520000000000003"/>
    <n v="17.27"/>
    <s v="credit_card"/>
    <n v="2"/>
    <s v="delivered"/>
    <d v="2017-06-01T00:00:00"/>
    <n v="23"/>
    <n v="7"/>
    <n v="0"/>
    <n v="56.790000000000006"/>
    <n v="22.921600000000002"/>
    <n v="10.362"/>
    <n v="6.2364000000000015"/>
    <s v="22+ days"/>
  </r>
  <r>
    <s v="eb5c4ed85ef6840e9ef8b5a9b792ff65"/>
    <x v="11"/>
    <d v="2017-06-08T00:00:00"/>
    <d v="2017-06-26T00:00:00"/>
    <d v="2017-07-13T00:00:00"/>
    <s v="bed_bath_table"/>
    <n v="92.75"/>
    <n v="26.22"/>
    <s v="credit_card"/>
    <n v="4"/>
    <s v="delivered"/>
    <d v="2017-06-01T00:00:00"/>
    <n v="18"/>
    <n v="0"/>
    <n v="1"/>
    <n v="118.97"/>
    <n v="57.505000000000003"/>
    <n v="15.731999999999999"/>
    <n v="19.512999999999998"/>
    <s v="15-21 days"/>
  </r>
  <r>
    <s v="5f0e75e78772338901a4b9bd7572765a"/>
    <x v="0"/>
    <d v="2017-06-08T00:00:00"/>
    <d v="2017-06-14T00:00:00"/>
    <d v="2017-06-24T00:00:00"/>
    <s v="watches_gifts"/>
    <n v="237.31"/>
    <n v="17.14"/>
    <s v="credit_card"/>
    <n v="3"/>
    <s v="delivered"/>
    <d v="2017-06-01T00:00:00"/>
    <n v="6"/>
    <n v="0"/>
    <n v="1"/>
    <n v="254.45"/>
    <n v="156.62460000000002"/>
    <n v="10.284000000000001"/>
    <n v="70.401399999999981"/>
    <s v="0-7 days"/>
  </r>
  <r>
    <s v="1e9d095bd17ad9bdb1ba0beaf9690579"/>
    <x v="0"/>
    <d v="2017-06-09T00:00:00"/>
    <d v="2017-06-16T00:00:00"/>
    <d v="2017-06-23T00:00:00"/>
    <s v="furniture_decor"/>
    <n v="91.72"/>
    <n v="19.54"/>
    <s v="credit_card"/>
    <n v="4"/>
    <s v="delivered"/>
    <d v="2017-06-01T00:00:00"/>
    <n v="7"/>
    <n v="0"/>
    <n v="1"/>
    <n v="111.25999999999999"/>
    <n v="64.203999999999994"/>
    <n v="11.723999999999998"/>
    <n v="15.792000000000007"/>
    <s v="0-7 days"/>
  </r>
  <r>
    <s v="38ac7355f495dd711802f730e8ec6834"/>
    <x v="7"/>
    <d v="2017-06-09T00:00:00"/>
    <d v="2017-06-29T00:00:00"/>
    <d v="2017-06-28T00:00:00"/>
    <s v="housewares"/>
    <n v="37.5"/>
    <n v="24.66"/>
    <s v="debit_card"/>
    <n v="3"/>
    <s v="delivered"/>
    <d v="2017-06-01T00:00:00"/>
    <n v="20"/>
    <n v="1"/>
    <n v="0"/>
    <n v="62.16"/>
    <n v="23.625"/>
    <n v="14.795999999999999"/>
    <n v="-0.92099999999999937"/>
    <s v="15-21 days"/>
  </r>
  <r>
    <s v="d9a3742a83c28870adde98b619f620a2"/>
    <x v="6"/>
    <d v="2017-06-10T00:00:00"/>
    <d v="2017-07-09T00:00:00"/>
    <d v="2017-07-10T00:00:00"/>
    <s v="toys"/>
    <n v="83.5"/>
    <n v="35.64"/>
    <s v="credit_card"/>
    <n v="3"/>
    <s v="delivered"/>
    <d v="2017-06-01T00:00:00"/>
    <n v="29"/>
    <n v="0"/>
    <n v="1"/>
    <n v="119.14"/>
    <n v="50.1"/>
    <n v="21.384"/>
    <n v="12.015999999999998"/>
    <s v="22+ days"/>
  </r>
  <r>
    <s v="72ebde4e95c4fab0e97f995d9bc8d6f6"/>
    <x v="0"/>
    <d v="2017-06-11T00:00:00"/>
    <d v="2017-06-21T00:00:00"/>
    <d v="2017-06-24T00:00:00"/>
    <s v="sports_leisure"/>
    <n v="170.8"/>
    <n v="17.43"/>
    <s v="credit_card"/>
    <n v="3"/>
    <s v="delivered"/>
    <d v="2017-06-01T00:00:00"/>
    <n v="10"/>
    <n v="0"/>
    <n v="1"/>
    <n v="188.23000000000002"/>
    <n v="109.31200000000001"/>
    <n v="10.458"/>
    <n v="51.03"/>
    <s v="8-14 days"/>
  </r>
  <r>
    <s v="a7b4d7c9bfbff3150507a453098fd17b"/>
    <x v="0"/>
    <d v="2017-06-11T00:00:00"/>
    <d v="2017-06-20T00:00:00"/>
    <d v="2017-06-27T00:00:00"/>
    <s v="furniture_decor"/>
    <n v="96.99"/>
    <n v="22.04"/>
    <s v="credit_card"/>
    <n v="5"/>
    <s v="delivered"/>
    <d v="2017-06-01T00:00:00"/>
    <n v="9"/>
    <n v="0"/>
    <n v="1"/>
    <n v="119.03"/>
    <n v="67.892999999999986"/>
    <n v="13.223999999999998"/>
    <n v="15.87300000000001"/>
    <s v="8-14 days"/>
  </r>
  <r>
    <s v="a8e56e0c20de435d2031d750c40db9b4"/>
    <x v="3"/>
    <d v="2017-06-12T00:00:00"/>
    <d v="2017-06-25T00:00:00"/>
    <d v="2017-07-10T00:00:00"/>
    <s v="bed_bath_table"/>
    <n v="66.849999999999994"/>
    <n v="27.22"/>
    <s v="credit_card"/>
    <n v="3"/>
    <s v="delivered"/>
    <d v="2017-06-01T00:00:00"/>
    <n v="13"/>
    <n v="0"/>
    <n v="1"/>
    <n v="94.07"/>
    <n v="41.446999999999996"/>
    <n v="16.331999999999997"/>
    <n v="9.0710000000000015"/>
    <s v="8-14 days"/>
  </r>
  <r>
    <s v="621285e3407ad92f660d63f3eaf590ed"/>
    <x v="2"/>
    <d v="2017-06-12T00:00:00"/>
    <d v="2017-06-23T00:00:00"/>
    <d v="2017-07-10T00:00:00"/>
    <s v="health_beauty"/>
    <n v="53.51"/>
    <n v="24.3"/>
    <s v="credit_card"/>
    <n v="4"/>
    <s v="delivered"/>
    <d v="2017-06-01T00:00:00"/>
    <n v="11"/>
    <n v="0"/>
    <n v="1"/>
    <n v="77.81"/>
    <n v="31.035799999999998"/>
    <n v="14.58"/>
    <n v="7.8941999999999997"/>
    <s v="8-14 days"/>
  </r>
  <r>
    <s v="15bd18badcaaf6a5451ea1dbe06a46b2"/>
    <x v="9"/>
    <d v="2017-06-13T00:00:00"/>
    <d v="2017-07-03T00:00:00"/>
    <d v="2017-07-11T00:00:00"/>
    <s v="housewares"/>
    <n v="66.89"/>
    <n v="30.61"/>
    <s v="credit_card"/>
    <n v="4"/>
    <s v="delivered"/>
    <d v="2017-06-01T00:00:00"/>
    <n v="20"/>
    <n v="0"/>
    <n v="1"/>
    <n v="97.5"/>
    <n v="42.140700000000002"/>
    <n v="18.366"/>
    <n v="6.3832999999999984"/>
    <s v="15-21 days"/>
  </r>
  <r>
    <s v="55e456f0eb8a720715183e2c3ccabde2"/>
    <x v="4"/>
    <d v="2017-06-13T00:00:00"/>
    <d v="2017-06-20T00:00:00"/>
    <d v="2017-07-03T00:00:00"/>
    <s v="bed_bath_table"/>
    <n v="21.88"/>
    <n v="15.5"/>
    <s v="credit_card"/>
    <n v="5"/>
    <s v="delivered"/>
    <d v="2017-06-01T00:00:00"/>
    <n v="7"/>
    <n v="0"/>
    <n v="1"/>
    <n v="37.379999999999995"/>
    <n v="13.5656"/>
    <n v="9.2999999999999989"/>
    <n v="-0.98559999999999981"/>
    <s v="0-7 days"/>
  </r>
  <r>
    <s v="8bdeb84a6c1c0ab60f8034cc13d29821"/>
    <x v="0"/>
    <d v="2017-06-14T00:00:00"/>
    <d v="2017-06-25T00:00:00"/>
    <d v="2017-07-01T00:00:00"/>
    <s v="housewares"/>
    <n v="44.96"/>
    <n v="16.600000000000001"/>
    <s v="credit_card"/>
    <n v="5"/>
    <s v="delivered"/>
    <d v="2017-06-01T00:00:00"/>
    <n v="11"/>
    <n v="0"/>
    <n v="1"/>
    <n v="61.56"/>
    <n v="28.3248"/>
    <n v="9.9600000000000009"/>
    <n v="6.6752000000000002"/>
    <s v="8-14 days"/>
  </r>
  <r>
    <s v="c8d8e631e65cb372d71990246c09f3f0"/>
    <x v="0"/>
    <d v="2017-06-14T00:00:00"/>
    <d v="2017-06-24T00:00:00"/>
    <d v="2017-06-30T00:00:00"/>
    <s v="computers_accessories"/>
    <n v="367.05"/>
    <n v="20.16"/>
    <s v="credit_card"/>
    <n v="4"/>
    <s v="delivered"/>
    <d v="2017-06-01T00:00:00"/>
    <n v="10"/>
    <n v="0"/>
    <n v="1"/>
    <n v="387.21000000000004"/>
    <n v="271.61700000000002"/>
    <n v="12.096"/>
    <n v="83.336999999999989"/>
    <s v="8-14 days"/>
  </r>
  <r>
    <s v="09af9883eed21f940038dc84a3ed033a"/>
    <x v="4"/>
    <d v="2017-06-15T00:00:00"/>
    <d v="2017-06-29T00:00:00"/>
    <d v="2017-07-08T00:00:00"/>
    <s v="health_beauty"/>
    <n v="47.24"/>
    <n v="17.03"/>
    <s v="credit_card"/>
    <n v="5"/>
    <s v="delivered"/>
    <d v="2017-06-01T00:00:00"/>
    <n v="14"/>
    <n v="0"/>
    <n v="1"/>
    <n v="64.27000000000001"/>
    <n v="27.3992"/>
    <n v="10.218"/>
    <n v="9.6228000000000016"/>
    <s v="8-14 days"/>
  </r>
  <r>
    <s v="12d5dfe569eb337c059ef8d8cba20d38"/>
    <x v="4"/>
    <d v="2017-06-15T00:00:00"/>
    <d v="2017-06-24T00:00:00"/>
    <d v="2017-07-06T00:00:00"/>
    <s v="housewares"/>
    <n v="114.48"/>
    <n v="17.7"/>
    <s v="credit_card"/>
    <n v="5"/>
    <s v="delivered"/>
    <d v="2017-06-01T00:00:00"/>
    <n v="9"/>
    <n v="0"/>
    <n v="1"/>
    <n v="132.18"/>
    <n v="72.122399999999999"/>
    <n v="10.62"/>
    <n v="31.737600000000008"/>
    <s v="8-14 days"/>
  </r>
  <r>
    <s v="5b5cd6c54b11c1812dc1214344698c04"/>
    <x v="0"/>
    <d v="2017-06-16T00:00:00"/>
    <d v="2017-06-24T00:00:00"/>
    <d v="2017-06-30T00:00:00"/>
    <s v="furniture_decor"/>
    <n v="201.98"/>
    <n v="14.79"/>
    <s v="credit_card"/>
    <n v="4"/>
    <s v="delivered"/>
    <d v="2017-06-01T00:00:00"/>
    <n v="8"/>
    <n v="0"/>
    <n v="1"/>
    <n v="216.76999999999998"/>
    <n v="141.386"/>
    <n v="8.8739999999999988"/>
    <n v="51.72"/>
    <s v="8-14 days"/>
  </r>
  <r>
    <s v="42da860946e1ee40dc8ab6a7533c2ed5"/>
    <x v="0"/>
    <d v="2017-06-17T00:00:00"/>
    <d v="2017-06-30T00:00:00"/>
    <d v="2017-07-01T00:00:00"/>
    <s v="watches_gifts"/>
    <n v="144.61000000000001"/>
    <n v="16.3"/>
    <s v="credit_card"/>
    <n v="4"/>
    <s v="delivered"/>
    <d v="2017-06-01T00:00:00"/>
    <n v="13"/>
    <n v="0"/>
    <n v="1"/>
    <n v="160.91000000000003"/>
    <n v="95.442600000000013"/>
    <n v="9.7799999999999994"/>
    <n v="39.3874"/>
    <s v="8-14 days"/>
  </r>
  <r>
    <s v="cf1af57524b6a91c5df1f49be59a3a64"/>
    <x v="0"/>
    <d v="2017-06-17T00:00:00"/>
    <d v="2017-06-21T00:00:00"/>
    <d v="2017-07-05T00:00:00"/>
    <s v="computers_accessories"/>
    <n v="135.09"/>
    <n v="22.16"/>
    <s v="voucher"/>
    <n v="3"/>
    <s v="delivered"/>
    <d v="2017-06-01T00:00:00"/>
    <n v="4"/>
    <n v="0"/>
    <n v="1"/>
    <n v="157.25"/>
    <n v="99.9666"/>
    <n v="13.295999999999999"/>
    <n v="21.827400000000004"/>
    <s v="0-7 days"/>
  </r>
  <r>
    <s v="0bfe68af3a87b3e2dbafd3b150ff1ea7"/>
    <x v="2"/>
    <d v="2017-06-18T00:00:00"/>
    <d v="2017-07-14T00:00:00"/>
    <d v="2017-07-12T00:00:00"/>
    <s v="furniture_decor"/>
    <n v="180.18"/>
    <n v="31.54"/>
    <s v="credit_card"/>
    <n v="4"/>
    <s v="delivered"/>
    <d v="2017-06-01T00:00:00"/>
    <n v="26"/>
    <n v="2"/>
    <n v="0"/>
    <n v="211.72"/>
    <n v="126.12599999999999"/>
    <n v="18.923999999999999"/>
    <n v="35.130000000000017"/>
    <s v="22+ days"/>
  </r>
  <r>
    <s v="2bba25b5eaab212d13732d84f9350fc2"/>
    <x v="0"/>
    <d v="2017-06-18T00:00:00"/>
    <d v="2017-06-27T00:00:00"/>
    <d v="2017-07-01T00:00:00"/>
    <s v="housewares"/>
    <n v="79.22"/>
    <n v="19.2"/>
    <s v="voucher"/>
    <n v="4"/>
    <s v="delivered"/>
    <d v="2017-06-01T00:00:00"/>
    <n v="9"/>
    <n v="0"/>
    <n v="1"/>
    <n v="98.42"/>
    <n v="49.9086"/>
    <n v="11.52"/>
    <n v="17.791399999999999"/>
    <s v="8-14 days"/>
  </r>
  <r>
    <s v="89fab5cc95b04f8ad64f10b584d6b400"/>
    <x v="2"/>
    <d v="2017-06-19T00:00:00"/>
    <d v="2017-06-29T00:00:00"/>
    <d v="2017-07-12T00:00:00"/>
    <s v="computers_accessories"/>
    <n v="145.22"/>
    <n v="25.83"/>
    <s v="credit_card"/>
    <n v="4"/>
    <s v="delivered"/>
    <d v="2017-06-01T00:00:00"/>
    <n v="10"/>
    <n v="0"/>
    <n v="1"/>
    <n v="171.05"/>
    <n v="107.4628"/>
    <n v="15.497999999999998"/>
    <n v="22.2592"/>
    <s v="8-14 days"/>
  </r>
  <r>
    <s v="5fa9b21a504b10c8f3b937f29fe7e068"/>
    <x v="0"/>
    <d v="2017-06-19T00:00:00"/>
    <d v="2017-06-27T00:00:00"/>
    <d v="2017-07-04T00:00:00"/>
    <s v="computers_accessories"/>
    <n v="149.11000000000001"/>
    <n v="18.86"/>
    <s v="credit_card"/>
    <n v="5"/>
    <s v="delivered"/>
    <d v="2017-06-01T00:00:00"/>
    <n v="8"/>
    <n v="0"/>
    <n v="1"/>
    <n v="167.97000000000003"/>
    <n v="110.34140000000001"/>
    <n v="11.315999999999999"/>
    <n v="27.452600000000007"/>
    <s v="8-14 days"/>
  </r>
  <r>
    <s v="ee4401c971afc5ff5bbdcdb6f117bec0"/>
    <x v="3"/>
    <d v="2017-06-19T00:00:00"/>
    <d v="2017-07-04T00:00:00"/>
    <d v="2017-07-12T00:00:00"/>
    <s v="bed_bath_table"/>
    <n v="103.96"/>
    <n v="25.53"/>
    <s v="boleto"/>
    <n v="2"/>
    <s v="delivered"/>
    <d v="2017-06-01T00:00:00"/>
    <n v="15"/>
    <n v="0"/>
    <n v="1"/>
    <n v="129.49"/>
    <n v="64.455199999999991"/>
    <n v="15.318"/>
    <n v="24.186800000000005"/>
    <s v="15-21 days"/>
  </r>
  <r>
    <s v="34f735edb2398791d10f5d4aba209b9d"/>
    <x v="0"/>
    <d v="2017-06-19T00:00:00"/>
    <d v="2017-06-23T00:00:00"/>
    <d v="2017-07-02T00:00:00"/>
    <s v="bed_bath_table"/>
    <n v="49.74"/>
    <n v="21.62"/>
    <s v="credit_card"/>
    <n v="4"/>
    <s v="delivered"/>
    <d v="2017-06-01T00:00:00"/>
    <n v="4"/>
    <n v="0"/>
    <n v="1"/>
    <n v="71.36"/>
    <n v="30.838800000000003"/>
    <n v="12.972"/>
    <n v="5.9291999999999998"/>
    <s v="0-7 days"/>
  </r>
  <r>
    <s v="8468b74d85e3ade558c1aad6f3f8dea4"/>
    <x v="9"/>
    <d v="2017-06-20T00:00:00"/>
    <d v="2017-07-07T00:00:00"/>
    <d v="2017-07-14T00:00:00"/>
    <s v="bed_bath_table"/>
    <n v="156.41"/>
    <n v="21.87"/>
    <s v="boleto"/>
    <n v="3"/>
    <s v="delivered"/>
    <d v="2017-06-01T00:00:00"/>
    <n v="17"/>
    <n v="0"/>
    <n v="1"/>
    <n v="178.28"/>
    <n v="96.974199999999996"/>
    <n v="13.122"/>
    <n v="46.313800000000001"/>
    <s v="15-21 days"/>
  </r>
  <r>
    <s v="73a44f97e6faa03b2c85ef207db8aa1c"/>
    <x v="4"/>
    <d v="2017-06-22T00:00:00"/>
    <d v="2017-07-03T00:00:00"/>
    <d v="2017-07-10T00:00:00"/>
    <s v="sports_leisure"/>
    <n v="30.6"/>
    <n v="24.39"/>
    <s v="credit_card"/>
    <n v="5"/>
    <s v="delivered"/>
    <d v="2017-06-01T00:00:00"/>
    <n v="11"/>
    <n v="0"/>
    <n v="1"/>
    <n v="54.99"/>
    <n v="19.584"/>
    <n v="14.634"/>
    <n v="-3.6179999999999986"/>
    <s v="8-14 days"/>
  </r>
  <r>
    <s v="1f0110853727a7a5f89f057b0873cccf"/>
    <x v="0"/>
    <d v="2017-06-22T00:00:00"/>
    <d v="2017-06-29T00:00:00"/>
    <d v="2017-07-05T00:00:00"/>
    <s v="furniture_decor"/>
    <n v="73.63"/>
    <n v="15.7"/>
    <s v="boleto"/>
    <n v="5"/>
    <s v="delivered"/>
    <d v="2017-06-01T00:00:00"/>
    <n v="7"/>
    <n v="0"/>
    <n v="1"/>
    <n v="89.33"/>
    <n v="51.540999999999997"/>
    <n v="9.42"/>
    <n v="12.668999999999999"/>
    <s v="0-7 days"/>
  </r>
  <r>
    <s v="49b7e0374425dea7c83924d7d03bcbfc"/>
    <x v="5"/>
    <d v="2017-06-23T00:00:00"/>
    <d v="2017-07-09T00:00:00"/>
    <d v="2017-07-21T00:00:00"/>
    <s v="furniture_decor"/>
    <n v="75.38"/>
    <n v="31.48"/>
    <s v="boleto"/>
    <n v="4"/>
    <s v="delivered"/>
    <d v="2017-06-01T00:00:00"/>
    <n v="16"/>
    <n v="0"/>
    <n v="1"/>
    <n v="106.86"/>
    <n v="52.765999999999991"/>
    <n v="18.887999999999998"/>
    <n v="3.7260000000000062"/>
    <s v="15-21 days"/>
  </r>
  <r>
    <s v="cc654e5f370336f9c23b4ffaf69face8"/>
    <x v="0"/>
    <d v="2017-06-23T00:00:00"/>
    <d v="2017-07-08T00:00:00"/>
    <d v="2017-07-11T00:00:00"/>
    <s v="furniture_decor"/>
    <n v="345.77"/>
    <n v="18.260000000000002"/>
    <s v="credit_card"/>
    <n v="3"/>
    <s v="delivered"/>
    <d v="2017-06-01T00:00:00"/>
    <n v="15"/>
    <n v="0"/>
    <n v="1"/>
    <n v="364.03"/>
    <n v="242.03899999999996"/>
    <n v="10.956000000000001"/>
    <n v="92.77500000000002"/>
    <s v="15-21 days"/>
  </r>
  <r>
    <s v="6328143e2d9563ed747a48299c03d65c"/>
    <x v="0"/>
    <d v="2017-06-24T00:00:00"/>
    <d v="2017-07-01T00:00:00"/>
    <d v="2017-07-10T00:00:00"/>
    <s v="computers_accessories"/>
    <n v="52.18"/>
    <n v="13.81"/>
    <s v="credit_card"/>
    <n v="4"/>
    <s v="delivered"/>
    <d v="2017-06-01T00:00:00"/>
    <n v="7"/>
    <n v="0"/>
    <n v="1"/>
    <n v="65.989999999999995"/>
    <n v="38.613199999999999"/>
    <n v="8.2859999999999996"/>
    <n v="5.280800000000001"/>
    <s v="0-7 days"/>
  </r>
  <r>
    <s v="cf0523c50c23abb7890bbcd25600c174"/>
    <x v="3"/>
    <d v="2017-06-24T00:00:00"/>
    <d v="2017-07-10T00:00:00"/>
    <d v="2017-07-15T00:00:00"/>
    <s v="health_beauty"/>
    <n v="58.74"/>
    <n v="18.57"/>
    <s v="credit_card"/>
    <n v="5"/>
    <s v="delivered"/>
    <d v="2017-06-01T00:00:00"/>
    <n v="16"/>
    <n v="0"/>
    <n v="1"/>
    <n v="77.31"/>
    <n v="34.069200000000002"/>
    <n v="11.141999999999999"/>
    <n v="13.5288"/>
    <s v="15-21 days"/>
  </r>
  <r>
    <s v="34cb7b9a933882b320fa15b70a054950"/>
    <x v="1"/>
    <d v="2017-06-25T00:00:00"/>
    <d v="2017-07-02T00:00:00"/>
    <d v="2017-07-19T00:00:00"/>
    <s v="watches_gifts"/>
    <n v="71.45"/>
    <n v="19.829999999999998"/>
    <s v="credit_card"/>
    <n v="5"/>
    <s v="delivered"/>
    <d v="2017-06-01T00:00:00"/>
    <n v="7"/>
    <n v="0"/>
    <n v="1"/>
    <n v="91.28"/>
    <n v="47.157000000000004"/>
    <n v="11.897999999999998"/>
    <n v="12.395000000000001"/>
    <s v="0-7 days"/>
  </r>
  <r>
    <s v="e2682c9f3b482d28b7ed2c13f3ebe658"/>
    <x v="2"/>
    <d v="2017-06-26T00:00:00"/>
    <d v="2017-07-18T00:00:00"/>
    <d v="2017-07-21T00:00:00"/>
    <s v="health_beauty"/>
    <n v="108"/>
    <n v="27.2"/>
    <s v="credit_card"/>
    <n v="4"/>
    <s v="delivered"/>
    <d v="2017-06-01T00:00:00"/>
    <n v="22"/>
    <n v="0"/>
    <n v="1"/>
    <n v="135.19999999999999"/>
    <n v="62.639999999999993"/>
    <n v="16.32"/>
    <n v="29.040000000000006"/>
    <s v="22+ days"/>
  </r>
  <r>
    <s v="73eb0a4e0e4b4dbfcf4180b1b7e8b0a4"/>
    <x v="0"/>
    <d v="2017-06-27T00:00:00"/>
    <d v="2017-07-06T00:00:00"/>
    <d v="2017-07-16T00:00:00"/>
    <s v="housewares"/>
    <n v="55.99"/>
    <n v="14.86"/>
    <s v="credit_card"/>
    <n v="3"/>
    <s v="delivered"/>
    <d v="2017-06-01T00:00:00"/>
    <n v="9"/>
    <n v="0"/>
    <n v="1"/>
    <n v="70.849999999999994"/>
    <n v="35.273699999999998"/>
    <n v="8.9159999999999986"/>
    <n v="11.800300000000005"/>
    <s v="8-14 days"/>
  </r>
  <r>
    <s v="5cae9610c72c1fe372c22a1679eb4168"/>
    <x v="1"/>
    <d v="2017-06-28T00:00:00"/>
    <d v="2017-07-13T00:00:00"/>
    <d v="2017-07-18T00:00:00"/>
    <s v="bed_bath_table"/>
    <n v="133.56"/>
    <n v="27.11"/>
    <s v="credit_card"/>
    <n v="5"/>
    <s v="delivered"/>
    <d v="2017-06-01T00:00:00"/>
    <n v="15"/>
    <n v="0"/>
    <n v="1"/>
    <n v="160.67000000000002"/>
    <n v="82.807199999999995"/>
    <n v="16.265999999999998"/>
    <n v="34.486800000000009"/>
    <s v="15-21 days"/>
  </r>
  <r>
    <s v="bc8cfa8fc655a5977ccc63de82ac7e1d"/>
    <x v="0"/>
    <d v="2017-06-28T00:00:00"/>
    <d v="2017-07-09T00:00:00"/>
    <d v="2017-07-11T00:00:00"/>
    <s v="furniture_decor"/>
    <n v="187.21"/>
    <n v="17.66"/>
    <s v="credit_card"/>
    <n v="4"/>
    <s v="delivered"/>
    <d v="2017-06-01T00:00:00"/>
    <n v="11"/>
    <n v="0"/>
    <n v="1"/>
    <n v="204.87"/>
    <n v="131.047"/>
    <n v="10.596"/>
    <n v="45.567000000000007"/>
    <s v="8-14 days"/>
  </r>
  <r>
    <s v="730f8b28ecaf549ed37dcef34949ded7"/>
    <x v="0"/>
    <d v="2017-06-29T00:00:00"/>
    <d v="2017-07-10T00:00:00"/>
    <d v="2017-07-13T00:00:00"/>
    <s v="furniture_decor"/>
    <n v="64.38"/>
    <n v="19.73"/>
    <s v="credit_card"/>
    <n v="4"/>
    <s v="delivered"/>
    <d v="2017-06-01T00:00:00"/>
    <n v="11"/>
    <n v="0"/>
    <n v="1"/>
    <n v="84.11"/>
    <n v="45.065999999999995"/>
    <n v="11.837999999999999"/>
    <n v="7.4760000000000009"/>
    <s v="8-14 days"/>
  </r>
  <r>
    <s v="1f16a10e56685b027387d896c3d08178"/>
    <x v="0"/>
    <d v="2017-06-30T00:00:00"/>
    <d v="2017-07-11T00:00:00"/>
    <d v="2017-07-16T00:00:00"/>
    <s v="bed_bath_table"/>
    <n v="102.93"/>
    <n v="14.44"/>
    <s v="credit_card"/>
    <n v="5"/>
    <s v="delivered"/>
    <d v="2017-06-01T00:00:00"/>
    <n v="11"/>
    <n v="0"/>
    <n v="1"/>
    <n v="117.37"/>
    <n v="63.816600000000001"/>
    <n v="8.6639999999999997"/>
    <n v="30.449400000000004"/>
    <s v="8-14 days"/>
  </r>
  <r>
    <s v="0ccfd7fb438279e7ecf8022f2ed1027f"/>
    <x v="1"/>
    <d v="2017-06-30T00:00:00"/>
    <d v="2017-07-12T00:00:00"/>
    <d v="2017-07-17T00:00:00"/>
    <s v="sports_leisure"/>
    <n v="200.71"/>
    <n v="31.11"/>
    <s v="credit_card"/>
    <n v="4"/>
    <s v="delivered"/>
    <d v="2017-06-01T00:00:00"/>
    <n v="12"/>
    <n v="0"/>
    <n v="1"/>
    <n v="231.82"/>
    <n v="128.45440000000002"/>
    <n v="18.666"/>
    <n v="53.58959999999999"/>
    <s v="8-14 days"/>
  </r>
  <r>
    <s v="d83df6ae42fbc4a0ab5f69c9357cc20c"/>
    <x v="4"/>
    <d v="2017-06-30T00:00:00"/>
    <d v="2017-07-14T00:00:00"/>
    <d v="2017-07-18T00:00:00"/>
    <s v="bed_bath_table"/>
    <n v="41.24"/>
    <n v="22.83"/>
    <s v="credit_card"/>
    <n v="5"/>
    <s v="delivered"/>
    <d v="2017-06-01T00:00:00"/>
    <n v="14"/>
    <n v="0"/>
    <n v="1"/>
    <n v="64.069999999999993"/>
    <n v="25.5688"/>
    <n v="13.697999999999999"/>
    <n v="1.9732000000000038"/>
    <s v="8-14 days"/>
  </r>
  <r>
    <s v="6f3312ce71e7ac0c70a2302345a937a9"/>
    <x v="0"/>
    <d v="2017-06-30T00:00:00"/>
    <d v="2017-07-06T00:00:00"/>
    <d v="2017-07-12T00:00:00"/>
    <s v="health_beauty"/>
    <n v="121.39"/>
    <n v="18.920000000000002"/>
    <s v="credit_card"/>
    <n v="4"/>
    <s v="delivered"/>
    <d v="2017-06-01T00:00:00"/>
    <n v="6"/>
    <n v="0"/>
    <n v="1"/>
    <n v="140.31"/>
    <n v="70.406199999999998"/>
    <n v="11.352"/>
    <n v="39.631799999999998"/>
    <s v="0-7 days"/>
  </r>
  <r>
    <s v="40ef2762212b770912dee9714dafde3f"/>
    <x v="4"/>
    <d v="2017-06-30T00:00:00"/>
    <d v="2017-07-12T00:00:00"/>
    <d v="2017-07-20T00:00:00"/>
    <s v="sports_leisure"/>
    <n v="85.79"/>
    <n v="28.22"/>
    <s v="boleto"/>
    <n v="4"/>
    <s v="delivered"/>
    <d v="2017-06-01T00:00:00"/>
    <n v="12"/>
    <n v="0"/>
    <n v="1"/>
    <n v="114.01"/>
    <n v="54.905600000000007"/>
    <n v="16.931999999999999"/>
    <n v="13.952400000000001"/>
    <s v="8-14 days"/>
  </r>
  <r>
    <s v="a8c34b2544cca0575c9808f446368d12"/>
    <x v="9"/>
    <d v="2017-07-01T00:00:00"/>
    <d v="2017-07-11T00:00:00"/>
    <d v="2017-07-24T00:00:00"/>
    <s v="housewares"/>
    <n v="51.74"/>
    <n v="17.760000000000002"/>
    <s v="credit_card"/>
    <n v="5"/>
    <s v="delivered"/>
    <d v="2017-07-01T00:00:00"/>
    <n v="10"/>
    <n v="0"/>
    <n v="1"/>
    <n v="69.5"/>
    <n v="32.596200000000003"/>
    <n v="10.656000000000001"/>
    <n v="8.4877999999999982"/>
    <s v="8-14 days"/>
  </r>
  <r>
    <s v="7d2b87148de0b52ac2d0af1f43eb756f"/>
    <x v="3"/>
    <d v="2017-07-01T00:00:00"/>
    <d v="2017-08-04T00:00:00"/>
    <d v="2017-07-28T00:00:00"/>
    <s v="sports_leisure"/>
    <n v="87.48"/>
    <n v="29.44"/>
    <s v="credit_card"/>
    <n v="3"/>
    <s v="delivered"/>
    <d v="2017-07-01T00:00:00"/>
    <n v="34"/>
    <n v="7"/>
    <n v="0"/>
    <n v="116.92"/>
    <n v="55.987200000000001"/>
    <n v="17.664000000000001"/>
    <n v="13.828800000000001"/>
    <s v="22+ days"/>
  </r>
  <r>
    <s v="5e45295681e4ee990c286323d27f6d1f"/>
    <x v="7"/>
    <d v="2017-07-02T00:00:00"/>
    <d v="2017-07-10T00:00:00"/>
    <d v="2017-07-23T00:00:00"/>
    <s v="bed_bath_table"/>
    <n v="62.04"/>
    <n v="16.21"/>
    <s v="debit_card"/>
    <n v="4"/>
    <s v="delivered"/>
    <d v="2017-07-01T00:00:00"/>
    <n v="8"/>
    <n v="0"/>
    <n v="1"/>
    <n v="78.25"/>
    <n v="38.464799999999997"/>
    <n v="9.7260000000000009"/>
    <n v="13.849200000000002"/>
    <s v="8-14 days"/>
  </r>
  <r>
    <s v="befb3cb8c578f4f49b18276a1d7b8363"/>
    <x v="10"/>
    <d v="2017-07-02T00:00:00"/>
    <d v="2017-07-31T00:00:00"/>
    <d v="2017-08-04T00:00:00"/>
    <s v="toys"/>
    <n v="66.48"/>
    <n v="27.66"/>
    <s v="credit_card"/>
    <n v="4"/>
    <s v="delivered"/>
    <d v="2017-07-01T00:00:00"/>
    <n v="29"/>
    <n v="0"/>
    <n v="1"/>
    <n v="94.14"/>
    <n v="39.887999999999998"/>
    <n v="16.596"/>
    <n v="9.9960000000000058"/>
    <s v="22+ days"/>
  </r>
  <r>
    <s v="169f915e59828abf9c2ce814250e3556"/>
    <x v="0"/>
    <d v="2017-07-02T00:00:00"/>
    <d v="2017-07-14T00:00:00"/>
    <d v="2017-07-16T00:00:00"/>
    <s v="bed_bath_table"/>
    <n v="141.04"/>
    <n v="23.18"/>
    <s v="credit_card"/>
    <n v="5"/>
    <s v="delivered"/>
    <d v="2017-07-01T00:00:00"/>
    <n v="12"/>
    <n v="0"/>
    <n v="1"/>
    <n v="164.22"/>
    <n v="87.444800000000001"/>
    <n v="13.907999999999999"/>
    <n v="39.68719999999999"/>
    <s v="8-14 days"/>
  </r>
  <r>
    <s v="1b970c2328fd74e1c416b2781c74ca36"/>
    <x v="7"/>
    <d v="2017-07-02T00:00:00"/>
    <d v="2017-07-14T00:00:00"/>
    <d v="2017-07-26T00:00:00"/>
    <s v="sports_leisure"/>
    <n v="151.74"/>
    <n v="29.48"/>
    <s v="credit_card"/>
    <n v="5"/>
    <s v="delivered"/>
    <d v="2017-07-01T00:00:00"/>
    <n v="12"/>
    <n v="0"/>
    <n v="1"/>
    <n v="181.22"/>
    <n v="97.113600000000005"/>
    <n v="17.687999999999999"/>
    <n v="36.938400000000001"/>
    <s v="8-14 days"/>
  </r>
  <r>
    <s v="703c1286b71714cd200291bb44e9f8fb"/>
    <x v="0"/>
    <d v="2017-07-04T00:00:00"/>
    <d v="2017-07-14T00:00:00"/>
    <d v="2017-07-19T00:00:00"/>
    <s v="health_beauty"/>
    <n v="84.82"/>
    <n v="13.27"/>
    <s v="credit_card"/>
    <n v="5"/>
    <s v="delivered"/>
    <d v="2017-07-01T00:00:00"/>
    <n v="10"/>
    <n v="0"/>
    <n v="1"/>
    <n v="98.089999999999989"/>
    <n v="49.195599999999992"/>
    <n v="7.9619999999999997"/>
    <n v="27.662400000000002"/>
    <s v="8-14 days"/>
  </r>
  <r>
    <s v="1396a289c29a988f18a952109f8c2c51"/>
    <x v="4"/>
    <d v="2017-07-04T00:00:00"/>
    <d v="2017-08-03T00:00:00"/>
    <d v="2017-07-24T00:00:00"/>
    <s v="health_beauty"/>
    <n v="89.6"/>
    <n v="20.03"/>
    <s v="credit_card"/>
    <n v="2"/>
    <s v="delivered"/>
    <d v="2017-07-01T00:00:00"/>
    <n v="30"/>
    <n v="10"/>
    <n v="0"/>
    <n v="109.63"/>
    <n v="51.967999999999996"/>
    <n v="12.018000000000001"/>
    <n v="25.613999999999997"/>
    <s v="22+ days"/>
  </r>
  <r>
    <s v="16efacdf9375ee61ec94503eaf4afcdd"/>
    <x v="1"/>
    <d v="2017-07-05T00:00:00"/>
    <d v="2017-07-17T00:00:00"/>
    <d v="2017-07-24T00:00:00"/>
    <s v="computers_accessories"/>
    <n v="88.41"/>
    <n v="21.79"/>
    <s v="credit_card"/>
    <n v="5"/>
    <s v="delivered"/>
    <d v="2017-07-01T00:00:00"/>
    <n v="12"/>
    <n v="0"/>
    <n v="1"/>
    <n v="110.19999999999999"/>
    <n v="65.423400000000001"/>
    <n v="13.074"/>
    <n v="9.9125999999999959"/>
    <s v="8-14 days"/>
  </r>
  <r>
    <s v="e6766b0a3b9a3daf6321d75368dd66fd"/>
    <x v="8"/>
    <d v="2017-07-05T00:00:00"/>
    <d v="2017-07-19T00:00:00"/>
    <d v="2017-07-26T00:00:00"/>
    <s v="toys"/>
    <n v="39.31"/>
    <n v="25.25"/>
    <s v="credit_card"/>
    <n v="5"/>
    <s v="delivered"/>
    <d v="2017-07-01T00:00:00"/>
    <n v="14"/>
    <n v="0"/>
    <n v="1"/>
    <n v="64.56"/>
    <n v="23.586000000000002"/>
    <n v="15.149999999999999"/>
    <n v="0.57400000000000162"/>
    <s v="8-14 days"/>
  </r>
  <r>
    <s v="23167b59cfbbf4e3e160e35b4da7f632"/>
    <x v="0"/>
    <d v="2017-07-05T00:00:00"/>
    <d v="2017-07-15T00:00:00"/>
    <d v="2017-07-19T00:00:00"/>
    <s v="bed_bath_table"/>
    <n v="76.06"/>
    <n v="17.59"/>
    <s v="credit_card"/>
    <n v="5"/>
    <s v="delivered"/>
    <d v="2017-07-01T00:00:00"/>
    <n v="10"/>
    <n v="0"/>
    <n v="1"/>
    <n v="93.65"/>
    <n v="47.157200000000003"/>
    <n v="10.554"/>
    <n v="18.348799999999997"/>
    <s v="8-14 days"/>
  </r>
  <r>
    <s v="b0f1d20979432f6fda554d255d144588"/>
    <x v="7"/>
    <d v="2017-07-05T00:00:00"/>
    <d v="2017-07-24T00:00:00"/>
    <d v="2017-07-24T00:00:00"/>
    <s v="health_beauty"/>
    <n v="107.4"/>
    <n v="16.87"/>
    <s v="credit_card"/>
    <n v="5"/>
    <s v="delivered"/>
    <d v="2017-07-01T00:00:00"/>
    <n v="19"/>
    <n v="0"/>
    <n v="1"/>
    <n v="124.27000000000001"/>
    <n v="62.292000000000002"/>
    <n v="10.122"/>
    <n v="34.986000000000004"/>
    <s v="15-21 days"/>
  </r>
  <r>
    <s v="0fd5522406544239fbc3038797f33322"/>
    <x v="3"/>
    <d v="2017-07-05T00:00:00"/>
    <d v="2017-07-17T00:00:00"/>
    <d v="2017-07-28T00:00:00"/>
    <s v="sports_leisure"/>
    <n v="92.04"/>
    <n v="25.84"/>
    <s v="credit_card"/>
    <n v="4"/>
    <s v="delivered"/>
    <d v="2017-07-01T00:00:00"/>
    <n v="12"/>
    <n v="0"/>
    <n v="1"/>
    <n v="117.88000000000001"/>
    <n v="58.905600000000007"/>
    <n v="15.504"/>
    <n v="17.630400000000002"/>
    <s v="8-14 days"/>
  </r>
  <r>
    <s v="4767d76c162f8a24ef43613cd4aac9a3"/>
    <x v="3"/>
    <d v="2017-07-06T00:00:00"/>
    <d v="2017-07-13T00:00:00"/>
    <d v="2017-07-28T00:00:00"/>
    <s v="furniture_decor"/>
    <n v="123.29"/>
    <n v="29.69"/>
    <s v="boleto"/>
    <n v="4"/>
    <s v="delivered"/>
    <d v="2017-07-01T00:00:00"/>
    <n v="7"/>
    <n v="0"/>
    <n v="1"/>
    <n v="152.98000000000002"/>
    <n v="86.302999999999997"/>
    <n v="17.814"/>
    <n v="19.173000000000009"/>
    <s v="0-7 days"/>
  </r>
  <r>
    <s v="78ae8d5dfe268e779b4547e072fefdc2"/>
    <x v="7"/>
    <d v="2017-07-06T00:00:00"/>
    <d v="2017-07-17T00:00:00"/>
    <d v="2017-07-31T00:00:00"/>
    <s v="computers_accessories"/>
    <n v="170.06"/>
    <n v="19.36"/>
    <s v="boleto"/>
    <n v="4"/>
    <s v="delivered"/>
    <d v="2017-07-01T00:00:00"/>
    <n v="11"/>
    <n v="0"/>
    <n v="1"/>
    <n v="189.42000000000002"/>
    <n v="125.84439999999999"/>
    <n v="11.616"/>
    <n v="32.599600000000009"/>
    <s v="8-14 days"/>
  </r>
  <r>
    <s v="9b1911122d2ae08e6c8c5d0e3eb366fd"/>
    <x v="9"/>
    <d v="2017-07-06T00:00:00"/>
    <d v="2017-07-27T00:00:00"/>
    <d v="2017-08-01T00:00:00"/>
    <s v="bed_bath_table"/>
    <n v="110.35"/>
    <n v="29.93"/>
    <s v="credit_card"/>
    <n v="4"/>
    <s v="delivered"/>
    <d v="2017-07-01T00:00:00"/>
    <n v="21"/>
    <n v="0"/>
    <n v="1"/>
    <n v="140.28"/>
    <n v="68.417000000000002"/>
    <n v="17.957999999999998"/>
    <n v="23.974999999999994"/>
    <s v="15-21 days"/>
  </r>
  <r>
    <s v="1a710bdf7b6de07125b08a57a4ba1e5c"/>
    <x v="3"/>
    <d v="2017-07-06T00:00:00"/>
    <d v="2017-07-19T00:00:00"/>
    <d v="2017-07-30T00:00:00"/>
    <s v="watches_gifts"/>
    <n v="48.91"/>
    <n v="18.260000000000002"/>
    <s v="credit_card"/>
    <n v="4"/>
    <s v="delivered"/>
    <d v="2017-07-01T00:00:00"/>
    <n v="13"/>
    <n v="0"/>
    <n v="1"/>
    <n v="67.17"/>
    <n v="32.2806"/>
    <n v="10.956000000000001"/>
    <n v="5.6733999999999956"/>
    <s v="8-14 days"/>
  </r>
  <r>
    <s v="56e52992eecb09e58ff8749d49cf1e85"/>
    <x v="0"/>
    <d v="2017-07-06T00:00:00"/>
    <d v="2017-07-17T00:00:00"/>
    <d v="2017-07-24T00:00:00"/>
    <s v="watches_gifts"/>
    <n v="802.15"/>
    <n v="30"/>
    <s v="credit_card"/>
    <n v="4"/>
    <s v="delivered"/>
    <d v="2017-07-01T00:00:00"/>
    <n v="11"/>
    <n v="0"/>
    <n v="1"/>
    <n v="832.15"/>
    <n v="529.41899999999998"/>
    <n v="18"/>
    <n v="254.73099999999999"/>
    <s v="8-14 days"/>
  </r>
  <r>
    <s v="b7e4d6981c360249105d48579c10f74d"/>
    <x v="6"/>
    <d v="2017-07-06T00:00:00"/>
    <d v="2017-07-30T00:00:00"/>
    <d v="2017-08-05T00:00:00"/>
    <s v="sports_leisure"/>
    <n v="70.31"/>
    <n v="25.46"/>
    <s v="credit_card"/>
    <n v="4"/>
    <s v="delivered"/>
    <d v="2017-07-01T00:00:00"/>
    <n v="24"/>
    <n v="0"/>
    <n v="1"/>
    <n v="95.77000000000001"/>
    <n v="44.998400000000004"/>
    <n v="15.276"/>
    <n v="10.035599999999999"/>
    <s v="22+ days"/>
  </r>
  <r>
    <s v="f533cc8652bacd958d73e3f854f99b39"/>
    <x v="0"/>
    <d v="2017-07-08T00:00:00"/>
    <d v="2017-07-22T00:00:00"/>
    <d v="2017-07-25T00:00:00"/>
    <s v="toys"/>
    <n v="65.569999999999993"/>
    <n v="15.16"/>
    <s v="credit_card"/>
    <n v="4"/>
    <s v="delivered"/>
    <d v="2017-07-01T00:00:00"/>
    <n v="14"/>
    <n v="0"/>
    <n v="1"/>
    <n v="80.72999999999999"/>
    <n v="39.341999999999992"/>
    <n v="9.0960000000000001"/>
    <n v="17.132000000000001"/>
    <s v="8-14 days"/>
  </r>
  <r>
    <s v="7a8f36a2f88cd2b020769df3356cd31f"/>
    <x v="7"/>
    <d v="2017-07-08T00:00:00"/>
    <d v="2017-07-23T00:00:00"/>
    <d v="2017-07-31T00:00:00"/>
    <s v="computers_accessories"/>
    <n v="306.69"/>
    <n v="26.42"/>
    <s v="boleto"/>
    <n v="5"/>
    <s v="delivered"/>
    <d v="2017-07-01T00:00:00"/>
    <n v="15"/>
    <n v="0"/>
    <n v="1"/>
    <n v="333.11"/>
    <n v="226.95060000000001"/>
    <n v="15.852"/>
    <n v="63.887399999999985"/>
    <s v="15-21 days"/>
  </r>
  <r>
    <s v="53e7ad0248ffeea5fb33740c06b19eec"/>
    <x v="5"/>
    <d v="2017-07-09T00:00:00"/>
    <d v="2017-07-15T00:00:00"/>
    <d v="2017-08-08T00:00:00"/>
    <s v="sports_leisure"/>
    <n v="93.94"/>
    <n v="23.54"/>
    <s v="credit_card"/>
    <n v="4"/>
    <s v="delivered"/>
    <d v="2017-07-01T00:00:00"/>
    <n v="6"/>
    <n v="0"/>
    <n v="1"/>
    <n v="117.47999999999999"/>
    <n v="60.121600000000001"/>
    <n v="14.123999999999999"/>
    <n v="19.694399999999998"/>
    <s v="0-7 days"/>
  </r>
  <r>
    <s v="df83d859f13a5d893f21360a578dd65f"/>
    <x v="0"/>
    <d v="2017-07-09T00:00:00"/>
    <d v="2017-07-15T00:00:00"/>
    <d v="2017-07-25T00:00:00"/>
    <s v="bed_bath_table"/>
    <n v="98.05"/>
    <n v="20.02"/>
    <s v="credit_card"/>
    <n v="5"/>
    <s v="delivered"/>
    <d v="2017-07-01T00:00:00"/>
    <n v="6"/>
    <n v="0"/>
    <n v="1"/>
    <n v="118.07"/>
    <n v="60.790999999999997"/>
    <n v="12.011999999999999"/>
    <n v="25.247"/>
    <s v="0-7 days"/>
  </r>
  <r>
    <s v="fc98036a73947e22b1e2640c583cb7cb"/>
    <x v="0"/>
    <d v="2017-07-09T00:00:00"/>
    <d v="2017-07-17T00:00:00"/>
    <d v="2017-07-22T00:00:00"/>
    <s v="toys"/>
    <n v="107.49"/>
    <n v="15.95"/>
    <s v="debit_card"/>
    <n v="5"/>
    <s v="delivered"/>
    <d v="2017-07-01T00:00:00"/>
    <n v="8"/>
    <n v="0"/>
    <n v="1"/>
    <n v="123.44"/>
    <n v="64.494"/>
    <n v="9.5699999999999985"/>
    <n v="33.425999999999995"/>
    <s v="8-14 days"/>
  </r>
  <r>
    <s v="e134edfc97777f10f2d2393f8e85140d"/>
    <x v="1"/>
    <d v="2017-07-10T00:00:00"/>
    <d v="2017-07-23T00:00:00"/>
    <d v="2017-07-31T00:00:00"/>
    <s v="health_beauty"/>
    <n v="94.4"/>
    <n v="19.739999999999998"/>
    <s v="credit_card"/>
    <n v="3"/>
    <s v="delivered"/>
    <d v="2017-07-01T00:00:00"/>
    <n v="13"/>
    <n v="0"/>
    <n v="1"/>
    <n v="114.14"/>
    <n v="54.752000000000002"/>
    <n v="11.843999999999999"/>
    <n v="27.804000000000002"/>
    <s v="8-14 days"/>
  </r>
  <r>
    <s v="5de82b8cc23450bbc81076dd79267133"/>
    <x v="1"/>
    <d v="2017-07-10T00:00:00"/>
    <d v="2017-07-29T00:00:00"/>
    <d v="2017-07-30T00:00:00"/>
    <s v="toys"/>
    <n v="46.78"/>
    <n v="27.1"/>
    <s v="credit_card"/>
    <n v="4"/>
    <s v="delivered"/>
    <d v="2017-07-01T00:00:00"/>
    <n v="19"/>
    <n v="0"/>
    <n v="1"/>
    <n v="73.88"/>
    <n v="28.068000000000001"/>
    <n v="16.260000000000002"/>
    <n v="2.4519999999999982"/>
    <s v="15-21 days"/>
  </r>
  <r>
    <s v="4ea2afafe1b5eaf46f2d0a1b5c497fba"/>
    <x v="0"/>
    <d v="2017-07-10T00:00:00"/>
    <d v="2017-07-16T00:00:00"/>
    <d v="2017-07-25T00:00:00"/>
    <s v="health_beauty"/>
    <n v="45.02"/>
    <n v="15.55"/>
    <s v="credit_card"/>
    <n v="5"/>
    <s v="delivered"/>
    <d v="2017-07-01T00:00:00"/>
    <n v="6"/>
    <n v="0"/>
    <n v="1"/>
    <n v="60.570000000000007"/>
    <n v="26.111599999999999"/>
    <n v="9.33"/>
    <n v="9.5784000000000038"/>
    <s v="0-7 days"/>
  </r>
  <r>
    <s v="09bb6d1a92797a73cd839265a2ba9024"/>
    <x v="4"/>
    <d v="2017-07-10T00:00:00"/>
    <d v="2017-07-30T00:00:00"/>
    <d v="2017-07-28T00:00:00"/>
    <s v="health_beauty"/>
    <n v="193.99"/>
    <n v="25.67"/>
    <s v="credit_card"/>
    <n v="3"/>
    <s v="delivered"/>
    <d v="2017-07-01T00:00:00"/>
    <n v="20"/>
    <n v="2"/>
    <n v="0"/>
    <n v="219.66000000000003"/>
    <n v="112.5142"/>
    <n v="15.402000000000001"/>
    <n v="66.073800000000006"/>
    <s v="15-21 days"/>
  </r>
  <r>
    <s v="5263f8e03c5969c6a6ea0997f5a02c0a"/>
    <x v="0"/>
    <d v="2017-07-11T00:00:00"/>
    <d v="2017-07-22T00:00:00"/>
    <d v="2017-07-27T00:00:00"/>
    <s v="health_beauty"/>
    <n v="91.39"/>
    <n v="17.579999999999998"/>
    <s v="credit_card"/>
    <n v="4"/>
    <s v="delivered"/>
    <d v="2017-07-01T00:00:00"/>
    <n v="11"/>
    <n v="0"/>
    <n v="1"/>
    <n v="108.97"/>
    <n v="53.0062"/>
    <n v="10.547999999999998"/>
    <n v="27.835800000000003"/>
    <s v="8-14 days"/>
  </r>
  <r>
    <s v="b63f93f646b5b8f6c51b2922ca916df7"/>
    <x v="0"/>
    <d v="2017-07-11T00:00:00"/>
    <d v="2017-07-16T00:00:00"/>
    <d v="2017-07-23T00:00:00"/>
    <s v="auto"/>
    <n v="66.62"/>
    <n v="20"/>
    <s v="credit_card"/>
    <n v="4"/>
    <s v="delivered"/>
    <d v="2017-07-01T00:00:00"/>
    <n v="5"/>
    <n v="0"/>
    <n v="1"/>
    <n v="86.62"/>
    <n v="45.301600000000008"/>
    <n v="12"/>
    <n v="9.3183999999999969"/>
    <s v="0-7 days"/>
  </r>
  <r>
    <s v="333b5a5d0a45f6041165ed7f8cced653"/>
    <x v="5"/>
    <d v="2017-07-11T00:00:00"/>
    <d v="2017-07-20T00:00:00"/>
    <d v="2017-08-04T00:00:00"/>
    <s v="housewares"/>
    <n v="75.69"/>
    <n v="27.65"/>
    <s v="credit_card"/>
    <n v="4"/>
    <s v="delivered"/>
    <d v="2017-07-01T00:00:00"/>
    <n v="9"/>
    <n v="0"/>
    <n v="1"/>
    <n v="103.34"/>
    <n v="47.684699999999999"/>
    <n v="16.59"/>
    <n v="11.415299999999998"/>
    <s v="8-14 days"/>
  </r>
  <r>
    <s v="e8f68c8199f6a8932900b3a7eac04858"/>
    <x v="0"/>
    <d v="2017-07-11T00:00:00"/>
    <d v="2017-07-19T00:00:00"/>
    <d v="2017-07-25T00:00:00"/>
    <s v="bed_bath_table"/>
    <n v="86.03"/>
    <n v="16.98"/>
    <s v="credit_card"/>
    <n v="5"/>
    <s v="delivered"/>
    <d v="2017-07-01T00:00:00"/>
    <n v="8"/>
    <n v="0"/>
    <n v="1"/>
    <n v="103.01"/>
    <n v="53.3386"/>
    <n v="10.188000000000001"/>
    <n v="22.503399999999999"/>
    <s v="8-14 days"/>
  </r>
  <r>
    <s v="103a5cbe4a1a7220361f83dac6ed940c"/>
    <x v="1"/>
    <d v="2017-07-11T00:00:00"/>
    <d v="2017-07-28T00:00:00"/>
    <d v="2017-07-30T00:00:00"/>
    <s v="toys"/>
    <n v="130.94"/>
    <n v="24.35"/>
    <s v="voucher"/>
    <n v="3"/>
    <s v="delivered"/>
    <d v="2017-07-01T00:00:00"/>
    <n v="17"/>
    <n v="0"/>
    <n v="1"/>
    <n v="155.29"/>
    <n v="78.563999999999993"/>
    <n v="14.61"/>
    <n v="37.766000000000005"/>
    <s v="15-21 days"/>
  </r>
  <r>
    <s v="20e7118acf8da52b05e3d1071d0ffe16"/>
    <x v="2"/>
    <d v="2017-07-12T00:00:00"/>
    <d v="2017-08-02T00:00:00"/>
    <d v="2017-08-04T00:00:00"/>
    <s v="toys"/>
    <n v="112.79"/>
    <n v="25.49"/>
    <s v="boleto"/>
    <n v="4"/>
    <s v="delivered"/>
    <d v="2017-07-01T00:00:00"/>
    <n v="21"/>
    <n v="0"/>
    <n v="1"/>
    <n v="138.28"/>
    <n v="67.674000000000007"/>
    <n v="15.293999999999999"/>
    <n v="29.822000000000003"/>
    <s v="15-21 days"/>
  </r>
  <r>
    <s v="ec3e83c379613250d3752185a01989d1"/>
    <x v="3"/>
    <d v="2017-07-13T00:00:00"/>
    <d v="2017-08-02T00:00:00"/>
    <d v="2017-08-07T00:00:00"/>
    <s v="bed_bath_table"/>
    <n v="205.51"/>
    <n v="26.04"/>
    <s v="credit_card"/>
    <n v="4"/>
    <s v="delivered"/>
    <d v="2017-07-01T00:00:00"/>
    <n v="20"/>
    <n v="0"/>
    <n v="1"/>
    <n v="231.54999999999998"/>
    <n v="127.41619999999999"/>
    <n v="15.623999999999999"/>
    <n v="62.469800000000006"/>
    <s v="15-21 days"/>
  </r>
  <r>
    <s v="d732bacd8090661f4e02ffb304bdd646"/>
    <x v="0"/>
    <d v="2017-07-13T00:00:00"/>
    <d v="2017-07-17T00:00:00"/>
    <d v="2017-07-28T00:00:00"/>
    <s v="toys"/>
    <n v="57.51"/>
    <n v="21.15"/>
    <s v="credit_card"/>
    <n v="4"/>
    <s v="delivered"/>
    <d v="2017-07-01T00:00:00"/>
    <n v="4"/>
    <n v="0"/>
    <n v="1"/>
    <n v="78.66"/>
    <n v="34.506"/>
    <n v="12.69"/>
    <n v="10.313999999999998"/>
    <s v="0-7 days"/>
  </r>
  <r>
    <s v="b964502130ff1f0f649431d1d61dcbb1"/>
    <x v="0"/>
    <d v="2017-07-13T00:00:00"/>
    <d v="2017-07-25T00:00:00"/>
    <d v="2017-07-30T00:00:00"/>
    <s v="health_beauty"/>
    <n v="101.01"/>
    <n v="18.16"/>
    <s v="credit_card"/>
    <n v="3"/>
    <s v="delivered"/>
    <d v="2017-07-01T00:00:00"/>
    <n v="12"/>
    <n v="0"/>
    <n v="1"/>
    <n v="119.17"/>
    <n v="58.585799999999999"/>
    <n v="10.895999999999999"/>
    <n v="31.528200000000005"/>
    <s v="8-14 days"/>
  </r>
  <r>
    <s v="1b3684b41b13a85f21a44c4a097c763b"/>
    <x v="0"/>
    <d v="2017-07-14T00:00:00"/>
    <d v="2017-07-19T00:00:00"/>
    <d v="2017-07-31T00:00:00"/>
    <s v="bed_bath_table"/>
    <n v="55.2"/>
    <n v="12.78"/>
    <s v="credit_card"/>
    <n v="3"/>
    <s v="delivered"/>
    <d v="2017-07-01T00:00:00"/>
    <n v="5"/>
    <n v="0"/>
    <n v="1"/>
    <n v="67.98"/>
    <n v="34.224000000000004"/>
    <n v="7.6679999999999993"/>
    <n v="13.308"/>
    <s v="0-7 days"/>
  </r>
  <r>
    <s v="31c78f1c47c534e3831448cb053f349f"/>
    <x v="0"/>
    <d v="2017-07-14T00:00:00"/>
    <d v="2017-07-20T00:00:00"/>
    <d v="2017-07-29T00:00:00"/>
    <s v="computers_accessories"/>
    <n v="116.38"/>
    <n v="15.14"/>
    <s v="credit_card"/>
    <n v="4"/>
    <s v="delivered"/>
    <d v="2017-07-01T00:00:00"/>
    <n v="6"/>
    <n v="0"/>
    <n v="1"/>
    <n v="131.51999999999998"/>
    <n v="86.121200000000002"/>
    <n v="9.0839999999999996"/>
    <n v="21.174799999999994"/>
    <s v="0-7 days"/>
  </r>
  <r>
    <s v="2bc4a31953211cf18ddc5f0e523c0ed4"/>
    <x v="1"/>
    <d v="2017-07-15T00:00:00"/>
    <d v="2017-07-27T00:00:00"/>
    <d v="2017-08-04T00:00:00"/>
    <s v="watches_gifts"/>
    <n v="213.33"/>
    <n v="28.24"/>
    <s v="credit_card"/>
    <n v="5"/>
    <s v="delivered"/>
    <d v="2017-07-01T00:00:00"/>
    <n v="12"/>
    <n v="0"/>
    <n v="1"/>
    <n v="241.57000000000002"/>
    <n v="140.79780000000002"/>
    <n v="16.943999999999999"/>
    <n v="55.588199999999986"/>
    <s v="8-14 days"/>
  </r>
  <r>
    <s v="0e58877025660316f39ef1bec02553ea"/>
    <x v="0"/>
    <d v="2017-07-16T00:00:00"/>
    <d v="2017-07-22T00:00:00"/>
    <d v="2017-08-01T00:00:00"/>
    <s v="sports_leisure"/>
    <n v="109.06"/>
    <n v="13.52"/>
    <s v="credit_card"/>
    <n v="4"/>
    <s v="delivered"/>
    <d v="2017-07-01T00:00:00"/>
    <n v="6"/>
    <n v="0"/>
    <n v="1"/>
    <n v="122.58"/>
    <n v="69.798400000000001"/>
    <n v="8.1120000000000001"/>
    <n v="31.1496"/>
    <s v="0-7 days"/>
  </r>
  <r>
    <s v="3da34aca1e0724a8c28fd8cb80189536"/>
    <x v="4"/>
    <d v="2017-07-16T00:00:00"/>
    <d v="2017-08-02T00:00:00"/>
    <d v="2017-08-06T00:00:00"/>
    <s v="furniture_decor"/>
    <n v="79.75"/>
    <n v="20.170000000000002"/>
    <s v="credit_card"/>
    <n v="4"/>
    <s v="delivered"/>
    <d v="2017-07-01T00:00:00"/>
    <n v="17"/>
    <n v="0"/>
    <n v="1"/>
    <n v="99.92"/>
    <n v="55.824999999999996"/>
    <n v="12.102"/>
    <n v="11.823000000000004"/>
    <s v="15-21 days"/>
  </r>
  <r>
    <s v="142ec8b0cce52711950ce8353659fa8c"/>
    <x v="0"/>
    <d v="2017-07-17T00:00:00"/>
    <d v="2017-07-30T00:00:00"/>
    <d v="2017-08-01T00:00:00"/>
    <s v="health_beauty"/>
    <n v="19.98"/>
    <n v="12.82"/>
    <s v="credit_card"/>
    <n v="5"/>
    <s v="delivered"/>
    <d v="2017-07-01T00:00:00"/>
    <n v="13"/>
    <n v="0"/>
    <n v="1"/>
    <n v="32.799999999999997"/>
    <n v="11.5884"/>
    <n v="7.6920000000000002"/>
    <n v="0.69960000000000022"/>
    <s v="8-14 days"/>
  </r>
  <r>
    <s v="a1965413d881a73aa99e7d01e5ae81f3"/>
    <x v="1"/>
    <d v="2017-07-17T00:00:00"/>
    <d v="2017-08-19T00:00:00"/>
    <d v="2017-08-08T00:00:00"/>
    <s v="furniture_decor"/>
    <n v="149.52000000000001"/>
    <n v="25.52"/>
    <s v="boleto"/>
    <n v="2"/>
    <s v="delivered"/>
    <d v="2017-07-01T00:00:00"/>
    <n v="33"/>
    <n v="11"/>
    <n v="0"/>
    <n v="175.04000000000002"/>
    <n v="104.664"/>
    <n v="15.311999999999999"/>
    <n v="29.544000000000011"/>
    <s v="22+ days"/>
  </r>
  <r>
    <s v="421a51df9452f39a9c7d894489f4f37c"/>
    <x v="0"/>
    <d v="2017-07-17T00:00:00"/>
    <d v="2017-07-24T00:00:00"/>
    <d v="2017-08-01T00:00:00"/>
    <s v="watches_gifts"/>
    <n v="152.51"/>
    <n v="18.27"/>
    <s v="credit_card"/>
    <n v="3"/>
    <s v="delivered"/>
    <d v="2017-07-01T00:00:00"/>
    <n v="7"/>
    <n v="0"/>
    <n v="1"/>
    <n v="170.78"/>
    <n v="100.6566"/>
    <n v="10.962"/>
    <n v="40.89139999999999"/>
    <s v="0-7 days"/>
  </r>
  <r>
    <s v="89b80812c69c270f86f86d78ef87bdbe"/>
    <x v="0"/>
    <d v="2017-07-17T00:00:00"/>
    <d v="2017-07-24T00:00:00"/>
    <d v="2017-08-03T00:00:00"/>
    <s v="sports_leisure"/>
    <n v="142.07"/>
    <n v="23.33"/>
    <s v="credit_card"/>
    <n v="4"/>
    <s v="delivered"/>
    <d v="2017-07-01T00:00:00"/>
    <n v="7"/>
    <n v="0"/>
    <n v="1"/>
    <n v="165.39999999999998"/>
    <n v="90.924799999999991"/>
    <n v="13.997999999999999"/>
    <n v="37.147200000000005"/>
    <s v="0-7 days"/>
  </r>
  <r>
    <s v="700311ee1e99478141d5131160ae027d"/>
    <x v="3"/>
    <d v="2017-07-17T00:00:00"/>
    <d v="2017-07-24T00:00:00"/>
    <d v="2017-08-05T00:00:00"/>
    <s v="toys"/>
    <n v="90.61"/>
    <n v="25.98"/>
    <s v="credit_card"/>
    <n v="4"/>
    <s v="delivered"/>
    <d v="2017-07-01T00:00:00"/>
    <n v="7"/>
    <n v="0"/>
    <n v="1"/>
    <n v="116.59"/>
    <n v="54.366"/>
    <n v="15.587999999999999"/>
    <n v="20.655999999999999"/>
    <s v="0-7 days"/>
  </r>
  <r>
    <s v="07298d477c659dc94b425bba4da273ed"/>
    <x v="0"/>
    <d v="2017-07-18T00:00:00"/>
    <d v="2017-07-27T00:00:00"/>
    <d v="2017-08-04T00:00:00"/>
    <s v="bed_bath_table"/>
    <n v="43.8"/>
    <n v="21.78"/>
    <s v="boleto"/>
    <n v="5"/>
    <s v="delivered"/>
    <d v="2017-07-01T00:00:00"/>
    <n v="9"/>
    <n v="0"/>
    <n v="1"/>
    <n v="65.58"/>
    <n v="27.155999999999999"/>
    <n v="13.068"/>
    <n v="3.5759999999999987"/>
    <s v="8-14 days"/>
  </r>
  <r>
    <s v="be66de49ca6d6803f75ea48f6f747d68"/>
    <x v="2"/>
    <d v="2017-07-18T00:00:00"/>
    <d v="2017-07-30T00:00:00"/>
    <d v="2017-08-13T00:00:00"/>
    <s v="housewares"/>
    <n v="59.93"/>
    <n v="22.69"/>
    <s v="credit_card"/>
    <n v="3"/>
    <s v="delivered"/>
    <d v="2017-07-01T00:00:00"/>
    <n v="12"/>
    <n v="0"/>
    <n v="1"/>
    <n v="82.62"/>
    <n v="37.755899999999997"/>
    <n v="13.614000000000001"/>
    <n v="8.560100000000002"/>
    <s v="8-14 days"/>
  </r>
  <r>
    <s v="33777a8232efb83d28d3e1aac23f2471"/>
    <x v="0"/>
    <d v="2017-07-18T00:00:00"/>
    <d v="2017-08-01T00:00:00"/>
    <d v="2017-08-02T00:00:00"/>
    <s v="health_beauty"/>
    <n v="196.12"/>
    <n v="22.34"/>
    <s v="credit_card"/>
    <n v="5"/>
    <s v="delivered"/>
    <d v="2017-07-01T00:00:00"/>
    <n v="14"/>
    <n v="0"/>
    <n v="1"/>
    <n v="218.46"/>
    <n v="113.7496"/>
    <n v="13.404"/>
    <n v="68.966400000000007"/>
    <s v="8-14 days"/>
  </r>
  <r>
    <s v="21472a15fcce96f6250a4578fbe94499"/>
    <x v="0"/>
    <d v="2017-07-19T00:00:00"/>
    <d v="2017-07-28T00:00:00"/>
    <d v="2017-08-04T00:00:00"/>
    <s v="housewares"/>
    <n v="144.62"/>
    <n v="16.3"/>
    <s v="credit_card"/>
    <n v="4"/>
    <s v="delivered"/>
    <d v="2017-07-01T00:00:00"/>
    <n v="9"/>
    <n v="0"/>
    <n v="1"/>
    <n v="160.92000000000002"/>
    <n v="91.110600000000005"/>
    <n v="9.7799999999999994"/>
    <n v="43.729399999999998"/>
    <s v="8-14 days"/>
  </r>
  <r>
    <s v="f2435fb4ac7edd94397f9ba7dc461101"/>
    <x v="2"/>
    <d v="2017-07-19T00:00:00"/>
    <d v="2017-08-02T00:00:00"/>
    <d v="2017-08-10T00:00:00"/>
    <s v="housewares"/>
    <n v="108.75"/>
    <n v="19.059999999999999"/>
    <s v="credit_card"/>
    <n v="3"/>
    <s v="delivered"/>
    <d v="2017-07-01T00:00:00"/>
    <n v="14"/>
    <n v="0"/>
    <n v="1"/>
    <n v="127.81"/>
    <n v="68.512500000000003"/>
    <n v="11.435999999999998"/>
    <n v="28.801499999999997"/>
    <s v="8-14 days"/>
  </r>
  <r>
    <s v="362f5e5c53cd6268610cf37342999aa4"/>
    <x v="3"/>
    <d v="2017-07-20T00:00:00"/>
    <d v="2017-08-08T00:00:00"/>
    <d v="2017-08-11T00:00:00"/>
    <s v="bed_bath_table"/>
    <n v="40.880000000000003"/>
    <n v="18.190000000000001"/>
    <s v="credit_card"/>
    <n v="4"/>
    <s v="delivered"/>
    <d v="2017-07-01T00:00:00"/>
    <n v="19"/>
    <n v="0"/>
    <n v="1"/>
    <n v="59.070000000000007"/>
    <n v="25.345600000000001"/>
    <n v="10.914"/>
    <n v="4.6204000000000018"/>
    <s v="15-21 days"/>
  </r>
  <r>
    <s v="7c93f6cc97d7a560adb14670ad9fb00d"/>
    <x v="0"/>
    <d v="2017-07-20T00:00:00"/>
    <d v="2017-07-28T00:00:00"/>
    <d v="2017-08-03T00:00:00"/>
    <s v="health_beauty"/>
    <n v="82.91"/>
    <n v="13.32"/>
    <s v="credit_card"/>
    <n v="4"/>
    <s v="delivered"/>
    <d v="2017-07-01T00:00:00"/>
    <n v="8"/>
    <n v="0"/>
    <n v="1"/>
    <n v="96.22999999999999"/>
    <n v="48.087799999999994"/>
    <n v="7.992"/>
    <n v="26.830200000000001"/>
    <s v="8-14 days"/>
  </r>
  <r>
    <s v="cd638ba8f03c664b3abf9c656dd013f3"/>
    <x v="3"/>
    <d v="2017-07-20T00:00:00"/>
    <d v="2017-08-04T00:00:00"/>
    <d v="2017-08-16T00:00:00"/>
    <s v="furniture_decor"/>
    <n v="50.34"/>
    <n v="25.96"/>
    <s v="credit_card"/>
    <n v="4"/>
    <s v="delivered"/>
    <d v="2017-07-01T00:00:00"/>
    <n v="15"/>
    <n v="0"/>
    <n v="1"/>
    <n v="76.300000000000011"/>
    <n v="35.238"/>
    <n v="15.576000000000001"/>
    <n v="-0.47399999999999665"/>
    <s v="15-21 days"/>
  </r>
  <r>
    <s v="e4c834a771ad673d5f0a8b7945fb791c"/>
    <x v="0"/>
    <d v="2017-07-20T00:00:00"/>
    <d v="2017-07-31T00:00:00"/>
    <d v="2017-08-02T00:00:00"/>
    <s v="sports_leisure"/>
    <n v="81.540000000000006"/>
    <n v="16.88"/>
    <s v="credit_card"/>
    <n v="5"/>
    <s v="delivered"/>
    <d v="2017-07-01T00:00:00"/>
    <n v="11"/>
    <n v="0"/>
    <n v="1"/>
    <n v="98.42"/>
    <n v="52.185600000000008"/>
    <n v="10.127999999999998"/>
    <n v="19.226399999999998"/>
    <s v="8-14 days"/>
  </r>
  <r>
    <s v="5d4f7107911ddc7990c8042027035b27"/>
    <x v="0"/>
    <d v="2017-07-21T00:00:00"/>
    <d v="2017-07-27T00:00:00"/>
    <d v="2017-08-07T00:00:00"/>
    <s v="furniture_decor"/>
    <n v="61.83"/>
    <n v="19.02"/>
    <s v="boleto"/>
    <n v="5"/>
    <s v="delivered"/>
    <d v="2017-07-01T00:00:00"/>
    <n v="6"/>
    <n v="0"/>
    <n v="1"/>
    <n v="80.849999999999994"/>
    <n v="43.280999999999999"/>
    <n v="11.411999999999999"/>
    <n v="7.1370000000000005"/>
    <s v="0-7 days"/>
  </r>
  <r>
    <s v="dc4121765b59f28ea9de5b2608ffeab0"/>
    <x v="0"/>
    <d v="2017-07-21T00:00:00"/>
    <d v="2017-08-03T00:00:00"/>
    <d v="2017-08-06T00:00:00"/>
    <s v="furniture_decor"/>
    <n v="47.24"/>
    <n v="13.24"/>
    <s v="boleto"/>
    <n v="5"/>
    <s v="delivered"/>
    <d v="2017-07-01T00:00:00"/>
    <n v="13"/>
    <n v="0"/>
    <n v="1"/>
    <n v="60.480000000000004"/>
    <n v="33.067999999999998"/>
    <n v="7.944"/>
    <n v="6.2280000000000042"/>
    <s v="8-14 days"/>
  </r>
  <r>
    <s v="d7357f9d3cbb32de5a37fe116b9c7d7c"/>
    <x v="1"/>
    <d v="2017-07-21T00:00:00"/>
    <d v="2017-07-30T00:00:00"/>
    <d v="2017-08-09T00:00:00"/>
    <s v="computers_accessories"/>
    <n v="132.85"/>
    <n v="25.74"/>
    <s v="credit_card"/>
    <n v="5"/>
    <s v="delivered"/>
    <d v="2017-07-01T00:00:00"/>
    <n v="9"/>
    <n v="0"/>
    <n v="1"/>
    <n v="158.59"/>
    <n v="98.308999999999997"/>
    <n v="15.443999999999999"/>
    <n v="19.096999999999998"/>
    <s v="8-14 days"/>
  </r>
  <r>
    <s v="b960df1f17152d766fc1aaeb340ce8c9"/>
    <x v="4"/>
    <d v="2017-07-22T00:00:00"/>
    <d v="2017-08-10T00:00:00"/>
    <d v="2017-08-12T00:00:00"/>
    <s v="furniture_decor"/>
    <n v="77.08"/>
    <n v="18.850000000000001"/>
    <s v="credit_card"/>
    <n v="3"/>
    <s v="delivered"/>
    <d v="2017-07-01T00:00:00"/>
    <n v="19"/>
    <n v="0"/>
    <n v="1"/>
    <n v="95.93"/>
    <n v="53.955999999999996"/>
    <n v="11.31"/>
    <n v="11.814000000000002"/>
    <s v="15-21 days"/>
  </r>
  <r>
    <s v="f04dec45e6aadd6cdb27f24169a62dc2"/>
    <x v="0"/>
    <d v="2017-07-22T00:00:00"/>
    <d v="2017-07-28T00:00:00"/>
    <d v="2017-08-09T00:00:00"/>
    <s v="auto"/>
    <n v="91.31"/>
    <n v="18.920000000000002"/>
    <s v="credit_card"/>
    <n v="5"/>
    <s v="delivered"/>
    <d v="2017-07-01T00:00:00"/>
    <n v="6"/>
    <n v="0"/>
    <n v="1"/>
    <n v="110.23"/>
    <n v="62.090800000000009"/>
    <n v="11.352"/>
    <n v="17.867199999999993"/>
    <s v="0-7 days"/>
  </r>
  <r>
    <s v="a1628abf1a48280302040c8155773297"/>
    <x v="0"/>
    <d v="2017-07-23T00:00:00"/>
    <d v="2017-07-30T00:00:00"/>
    <d v="2017-08-10T00:00:00"/>
    <s v="health_beauty"/>
    <n v="26.18"/>
    <n v="15.14"/>
    <s v="boleto"/>
    <n v="5"/>
    <s v="delivered"/>
    <d v="2017-07-01T00:00:00"/>
    <n v="7"/>
    <n v="0"/>
    <n v="1"/>
    <n v="41.32"/>
    <n v="15.184399999999998"/>
    <n v="9.0839999999999996"/>
    <n v="1.9116000000000017"/>
    <s v="0-7 days"/>
  </r>
  <r>
    <s v="fd0d4cb1c9167a93ada63c4b1a1940e4"/>
    <x v="0"/>
    <d v="2017-07-23T00:00:00"/>
    <d v="2017-07-30T00:00:00"/>
    <d v="2017-08-08T00:00:00"/>
    <s v="health_beauty"/>
    <n v="101.87"/>
    <n v="21.53"/>
    <s v="boleto"/>
    <n v="5"/>
    <s v="delivered"/>
    <d v="2017-07-01T00:00:00"/>
    <n v="7"/>
    <n v="0"/>
    <n v="1"/>
    <n v="123.4"/>
    <n v="59.084600000000002"/>
    <n v="12.918000000000001"/>
    <n v="29.867400000000004"/>
    <s v="0-7 days"/>
  </r>
  <r>
    <s v="0a3e49186e4f8ea3f0ad16f7db1fb4d4"/>
    <x v="4"/>
    <d v="2017-07-23T00:00:00"/>
    <d v="2017-08-04T00:00:00"/>
    <d v="2017-08-10T00:00:00"/>
    <s v="sports_leisure"/>
    <n v="128.51"/>
    <n v="21.61"/>
    <s v="boleto"/>
    <n v="3"/>
    <s v="delivered"/>
    <d v="2017-07-01T00:00:00"/>
    <n v="12"/>
    <n v="0"/>
    <n v="1"/>
    <n v="150.12"/>
    <n v="82.246399999999994"/>
    <n v="12.965999999999999"/>
    <n v="33.297599999999996"/>
    <s v="8-14 days"/>
  </r>
  <r>
    <s v="0e38c34611725478b2389847dd6952d9"/>
    <x v="0"/>
    <d v="2017-07-23T00:00:00"/>
    <d v="2017-08-03T00:00:00"/>
    <d v="2017-08-06T00:00:00"/>
    <s v="bed_bath_table"/>
    <n v="48.31"/>
    <n v="12.91"/>
    <s v="boleto"/>
    <n v="5"/>
    <s v="delivered"/>
    <d v="2017-07-01T00:00:00"/>
    <n v="11"/>
    <n v="0"/>
    <n v="1"/>
    <n v="61.22"/>
    <n v="29.952200000000001"/>
    <n v="7.7459999999999996"/>
    <n v="10.611800000000002"/>
    <s v="8-14 days"/>
  </r>
  <r>
    <s v="04a1dd66bce88f22af001605ae93b319"/>
    <x v="3"/>
    <d v="2017-07-24T00:00:00"/>
    <d v="2017-08-08T00:00:00"/>
    <d v="2017-08-16T00:00:00"/>
    <s v="housewares"/>
    <n v="127.4"/>
    <n v="29.89"/>
    <s v="credit_card"/>
    <n v="5"/>
    <s v="delivered"/>
    <d v="2017-07-01T00:00:00"/>
    <n v="15"/>
    <n v="0"/>
    <n v="1"/>
    <n v="157.29000000000002"/>
    <n v="80.262"/>
    <n v="17.934000000000001"/>
    <n v="29.204000000000004"/>
    <s v="15-21 days"/>
  </r>
  <r>
    <s v="34efa156255ab787a292bd6cdb95e988"/>
    <x v="0"/>
    <d v="2017-07-24T00:00:00"/>
    <d v="2017-08-02T00:00:00"/>
    <d v="2017-08-05T00:00:00"/>
    <s v="sports_leisure"/>
    <n v="92.25"/>
    <n v="19.309999999999999"/>
    <s v="credit_card"/>
    <n v="5"/>
    <s v="delivered"/>
    <d v="2017-07-01T00:00:00"/>
    <n v="9"/>
    <n v="0"/>
    <n v="1"/>
    <n v="111.56"/>
    <n v="59.04"/>
    <n v="11.585999999999999"/>
    <n v="21.624000000000002"/>
    <s v="8-14 days"/>
  </r>
  <r>
    <s v="4236fb0e1e2f9c71b6a033e63ab5d8d0"/>
    <x v="7"/>
    <d v="2017-07-24T00:00:00"/>
    <d v="2017-08-12T00:00:00"/>
    <d v="2017-08-20T00:00:00"/>
    <s v="furniture_decor"/>
    <n v="148.04"/>
    <n v="26.32"/>
    <s v="boleto"/>
    <n v="4"/>
    <s v="delivered"/>
    <d v="2017-07-01T00:00:00"/>
    <n v="19"/>
    <n v="0"/>
    <n v="1"/>
    <n v="174.35999999999999"/>
    <n v="103.62799999999999"/>
    <n v="15.792"/>
    <n v="28.620000000000005"/>
    <s v="15-21 days"/>
  </r>
  <r>
    <s v="3345dd68e9ee045e2e27b51cf42e466d"/>
    <x v="2"/>
    <d v="2017-07-24T00:00:00"/>
    <d v="2017-08-05T00:00:00"/>
    <d v="2017-08-18T00:00:00"/>
    <s v="housewares"/>
    <n v="104.39"/>
    <n v="21.28"/>
    <s v="boleto"/>
    <n v="5"/>
    <s v="delivered"/>
    <d v="2017-07-01T00:00:00"/>
    <n v="12"/>
    <n v="0"/>
    <n v="1"/>
    <n v="125.67"/>
    <n v="65.765699999999995"/>
    <n v="12.768000000000001"/>
    <n v="25.856300000000005"/>
    <s v="8-14 days"/>
  </r>
  <r>
    <s v="4db3a04428876b7f64694f537f5085e7"/>
    <x v="3"/>
    <d v="2017-07-25T00:00:00"/>
    <d v="2017-08-02T00:00:00"/>
    <d v="2017-08-20T00:00:00"/>
    <s v="furniture_decor"/>
    <n v="88.3"/>
    <n v="19.37"/>
    <s v="boleto"/>
    <n v="5"/>
    <s v="delivered"/>
    <d v="2017-07-01T00:00:00"/>
    <n v="8"/>
    <n v="0"/>
    <n v="1"/>
    <n v="107.67"/>
    <n v="61.809999999999995"/>
    <n v="11.622"/>
    <n v="14.868000000000002"/>
    <s v="8-14 days"/>
  </r>
  <r>
    <s v="43662f06f12b37c65f4e3f9c127546d6"/>
    <x v="0"/>
    <d v="2017-07-25T00:00:00"/>
    <d v="2017-08-02T00:00:00"/>
    <d v="2017-08-08T00:00:00"/>
    <s v="bed_bath_table"/>
    <n v="89.61"/>
    <n v="20.78"/>
    <s v="credit_card"/>
    <n v="4"/>
    <s v="delivered"/>
    <d v="2017-07-01T00:00:00"/>
    <n v="8"/>
    <n v="0"/>
    <n v="1"/>
    <n v="110.39"/>
    <n v="55.558199999999999"/>
    <n v="12.468"/>
    <n v="21.5838"/>
    <s v="8-14 days"/>
  </r>
  <r>
    <s v="7321bdcbeff6c41cfe3d9753db9c26cb"/>
    <x v="0"/>
    <d v="2017-07-25T00:00:00"/>
    <d v="2017-07-31T00:00:00"/>
    <d v="2017-08-12T00:00:00"/>
    <s v="housewares"/>
    <n v="69.55"/>
    <n v="14.23"/>
    <s v="credit_card"/>
    <n v="4"/>
    <s v="delivered"/>
    <d v="2017-07-01T00:00:00"/>
    <n v="6"/>
    <n v="0"/>
    <n v="1"/>
    <n v="83.78"/>
    <n v="43.816499999999998"/>
    <n v="8.5380000000000003"/>
    <n v="17.195499999999999"/>
    <s v="0-7 days"/>
  </r>
  <r>
    <s v="c2d031ad1bc6229e42f19c7b91f29ea4"/>
    <x v="0"/>
    <d v="2017-07-26T00:00:00"/>
    <d v="2017-08-03T00:00:00"/>
    <d v="2017-08-08T00:00:00"/>
    <s v="health_beauty"/>
    <n v="66.209999999999994"/>
    <n v="14.81"/>
    <s v="credit_card"/>
    <n v="5"/>
    <s v="delivered"/>
    <d v="2017-07-01T00:00:00"/>
    <n v="8"/>
    <n v="0"/>
    <n v="1"/>
    <n v="81.02"/>
    <n v="38.401799999999994"/>
    <n v="8.8859999999999992"/>
    <n v="18.9222"/>
    <s v="8-14 days"/>
  </r>
  <r>
    <s v="3b8ff9d7c22edfc4381071770acc09da"/>
    <x v="0"/>
    <d v="2017-07-27T00:00:00"/>
    <d v="2017-08-02T00:00:00"/>
    <d v="2017-08-13T00:00:00"/>
    <s v="toys"/>
    <n v="127.16"/>
    <n v="18.07"/>
    <s v="voucher"/>
    <n v="5"/>
    <s v="delivered"/>
    <d v="2017-07-01T00:00:00"/>
    <n v="6"/>
    <n v="0"/>
    <n v="1"/>
    <n v="145.22999999999999"/>
    <n v="76.295999999999992"/>
    <n v="10.842000000000001"/>
    <n v="40.022000000000006"/>
    <s v="0-7 days"/>
  </r>
  <r>
    <s v="65a8bdc130158278198f2ed192e90654"/>
    <x v="0"/>
    <d v="2017-07-27T00:00:00"/>
    <d v="2017-08-05T00:00:00"/>
    <d v="2017-08-14T00:00:00"/>
    <s v="bed_bath_table"/>
    <n v="88.94"/>
    <n v="16.2"/>
    <s v="debit_card"/>
    <n v="4"/>
    <s v="delivered"/>
    <d v="2017-07-01T00:00:00"/>
    <n v="9"/>
    <n v="0"/>
    <n v="1"/>
    <n v="105.14"/>
    <n v="55.142800000000001"/>
    <n v="9.7199999999999989"/>
    <n v="24.077199999999998"/>
    <s v="8-14 days"/>
  </r>
  <r>
    <s v="ece9504b03d7f962f80443eec3b8d179"/>
    <x v="1"/>
    <d v="2017-07-28T00:00:00"/>
    <d v="2017-08-12T00:00:00"/>
    <d v="2017-08-15T00:00:00"/>
    <s v="furniture_decor"/>
    <n v="72.92"/>
    <n v="15.91"/>
    <s v="credit_card"/>
    <n v="5"/>
    <s v="delivered"/>
    <d v="2017-07-01T00:00:00"/>
    <n v="15"/>
    <n v="0"/>
    <n v="1"/>
    <n v="88.83"/>
    <n v="51.043999999999997"/>
    <n v="9.5459999999999994"/>
    <n v="12.330000000000005"/>
    <s v="15-21 days"/>
  </r>
  <r>
    <s v="083ed925c90d35aa914cc11c05f30bc5"/>
    <x v="0"/>
    <d v="2017-07-28T00:00:00"/>
    <d v="2017-08-08T00:00:00"/>
    <d v="2017-08-10T00:00:00"/>
    <s v="sports_leisure"/>
    <n v="158.94999999999999"/>
    <n v="17.100000000000001"/>
    <s v="boleto"/>
    <n v="5"/>
    <s v="delivered"/>
    <d v="2017-07-01T00:00:00"/>
    <n v="11"/>
    <n v="0"/>
    <n v="1"/>
    <n v="176.04999999999998"/>
    <n v="101.72799999999999"/>
    <n v="10.26"/>
    <n v="46.961999999999996"/>
    <s v="8-14 days"/>
  </r>
  <r>
    <s v="658064de1bc004500ddf8da34a086284"/>
    <x v="0"/>
    <d v="2017-07-28T00:00:00"/>
    <d v="2017-08-07T00:00:00"/>
    <d v="2017-08-11T00:00:00"/>
    <s v="bed_bath_table"/>
    <n v="127.59"/>
    <n v="16.59"/>
    <s v="credit_card"/>
    <n v="5"/>
    <s v="delivered"/>
    <d v="2017-07-01T00:00:00"/>
    <n v="10"/>
    <n v="0"/>
    <n v="1"/>
    <n v="144.18"/>
    <n v="79.105800000000002"/>
    <n v="9.9539999999999988"/>
    <n v="38.530200000000001"/>
    <s v="8-14 days"/>
  </r>
  <r>
    <s v="b1f4e511e6f9c201247803a1fb4a0283"/>
    <x v="5"/>
    <d v="2017-07-29T00:00:00"/>
    <d v="2017-08-14T00:00:00"/>
    <d v="2017-08-23T00:00:00"/>
    <s v="bed_bath_table"/>
    <n v="60.43"/>
    <n v="26.83"/>
    <s v="credit_card"/>
    <n v="4"/>
    <s v="delivered"/>
    <d v="2017-07-01T00:00:00"/>
    <n v="16"/>
    <n v="0"/>
    <n v="1"/>
    <n v="87.259999999999991"/>
    <n v="37.4666"/>
    <n v="16.097999999999999"/>
    <n v="6.8654000000000011"/>
    <s v="15-21 days"/>
  </r>
  <r>
    <s v="109368fffc0ea433ba9c5a2aba900186"/>
    <x v="0"/>
    <d v="2017-07-29T00:00:00"/>
    <d v="2017-08-05T00:00:00"/>
    <d v="2017-08-10T00:00:00"/>
    <s v="bed_bath_table"/>
    <n v="32.590000000000003"/>
    <n v="12.52"/>
    <s v="boleto"/>
    <n v="5"/>
    <s v="delivered"/>
    <d v="2017-07-01T00:00:00"/>
    <n v="7"/>
    <n v="0"/>
    <n v="1"/>
    <n v="45.11"/>
    <n v="20.205800000000004"/>
    <n v="7.5119999999999996"/>
    <n v="4.8722000000000003"/>
    <s v="0-7 days"/>
  </r>
  <r>
    <s v="ed1dedcd89caa69de741c19dceb4c025"/>
    <x v="0"/>
    <d v="2017-07-29T00:00:00"/>
    <d v="2017-08-13T00:00:00"/>
    <d v="2017-08-14T00:00:00"/>
    <s v="bed_bath_table"/>
    <n v="85.07"/>
    <n v="21.25"/>
    <s v="boleto"/>
    <n v="4"/>
    <s v="delivered"/>
    <d v="2017-07-01T00:00:00"/>
    <n v="15"/>
    <n v="0"/>
    <n v="1"/>
    <n v="106.32"/>
    <n v="52.743399999999994"/>
    <n v="12.75"/>
    <n v="19.576599999999999"/>
    <s v="15-21 days"/>
  </r>
  <r>
    <s v="8085c1471e910f365f705b2592502e59"/>
    <x v="0"/>
    <d v="2017-07-30T00:00:00"/>
    <d v="2017-08-15T00:00:00"/>
    <d v="2017-08-14T00:00:00"/>
    <s v="health_beauty"/>
    <n v="145.03"/>
    <n v="22.07"/>
    <s v="credit_card"/>
    <n v="3"/>
    <s v="delivered"/>
    <d v="2017-07-01T00:00:00"/>
    <n v="16"/>
    <n v="1"/>
    <n v="0"/>
    <n v="167.1"/>
    <n v="84.117399999999989"/>
    <n v="13.241999999999999"/>
    <n v="47.670600000000015"/>
    <s v="15-21 days"/>
  </r>
  <r>
    <s v="ab7aeb66f4acc7e2fa575cea39571344"/>
    <x v="10"/>
    <d v="2017-07-30T00:00:00"/>
    <d v="2017-08-19T00:00:00"/>
    <d v="2017-08-31T00:00:00"/>
    <s v="watches_gifts"/>
    <n v="187"/>
    <n v="43.56"/>
    <s v="boleto"/>
    <n v="4"/>
    <s v="delivered"/>
    <d v="2017-07-01T00:00:00"/>
    <n v="20"/>
    <n v="0"/>
    <n v="1"/>
    <n v="230.56"/>
    <n v="123.42"/>
    <n v="26.135999999999999"/>
    <n v="37.444000000000003"/>
    <s v="15-21 days"/>
  </r>
  <r>
    <s v="00801ed9743480a1e212f7e18f63c2bb"/>
    <x v="2"/>
    <d v="2017-07-30T00:00:00"/>
    <d v="2017-08-15T00:00:00"/>
    <d v="2017-08-20T00:00:00"/>
    <s v="health_beauty"/>
    <n v="132.31"/>
    <n v="21.94"/>
    <s v="voucher"/>
    <n v="4"/>
    <s v="delivered"/>
    <d v="2017-07-01T00:00:00"/>
    <n v="16"/>
    <n v="0"/>
    <n v="1"/>
    <n v="154.25"/>
    <n v="76.739800000000002"/>
    <n v="13.164"/>
    <n v="42.406199999999998"/>
    <s v="15-21 days"/>
  </r>
  <r>
    <s v="4ccf0a4b7c93243ec90b945450d3802d"/>
    <x v="0"/>
    <d v="2017-07-31T00:00:00"/>
    <d v="2017-08-11T00:00:00"/>
    <d v="2017-08-17T00:00:00"/>
    <s v="bed_bath_table"/>
    <n v="201.27"/>
    <n v="20.13"/>
    <s v="credit_card"/>
    <n v="5"/>
    <s v="delivered"/>
    <d v="2017-07-01T00:00:00"/>
    <n v="11"/>
    <n v="0"/>
    <n v="1"/>
    <n v="221.4"/>
    <n v="124.78740000000001"/>
    <n v="12.077999999999999"/>
    <n v="64.404600000000002"/>
    <s v="8-14 days"/>
  </r>
  <r>
    <s v="2c415f60b3c563babc9dea9702759964"/>
    <x v="1"/>
    <d v="2017-07-31T00:00:00"/>
    <d v="2017-08-06T00:00:00"/>
    <d v="2017-08-23T00:00:00"/>
    <s v="housewares"/>
    <n v="112.95"/>
    <n v="30.14"/>
    <s v="credit_card"/>
    <n v="5"/>
    <s v="delivered"/>
    <d v="2017-07-01T00:00:00"/>
    <n v="6"/>
    <n v="0"/>
    <n v="1"/>
    <n v="143.09"/>
    <n v="71.158500000000004"/>
    <n v="18.084"/>
    <n v="23.7075"/>
    <s v="0-7 days"/>
  </r>
  <r>
    <s v="6c0046f07957595f25ee2f0f76a30eb0"/>
    <x v="2"/>
    <d v="2017-08-01T00:00:00"/>
    <d v="2017-08-10T00:00:00"/>
    <d v="2017-08-24T00:00:00"/>
    <s v="computers_accessories"/>
    <n v="169.61"/>
    <n v="23.43"/>
    <s v="credit_card"/>
    <n v="4"/>
    <s v="delivered"/>
    <d v="2017-08-01T00:00:00"/>
    <n v="9"/>
    <n v="0"/>
    <n v="1"/>
    <n v="193.04000000000002"/>
    <n v="125.51140000000001"/>
    <n v="14.058"/>
    <n v="30.040600000000005"/>
    <s v="8-14 days"/>
  </r>
  <r>
    <s v="b43c7851e78dcf327e2a9f7347dfa607"/>
    <x v="0"/>
    <d v="2017-08-01T00:00:00"/>
    <d v="2017-08-08T00:00:00"/>
    <d v="2017-08-15T00:00:00"/>
    <s v="watches_gifts"/>
    <n v="90.44"/>
    <n v="16.12"/>
    <s v="credit_card"/>
    <n v="4"/>
    <s v="delivered"/>
    <d v="2017-08-01T00:00:00"/>
    <n v="7"/>
    <n v="0"/>
    <n v="1"/>
    <n v="106.56"/>
    <n v="59.690400000000004"/>
    <n v="9.6720000000000006"/>
    <n v="21.077599999999993"/>
    <s v="0-7 days"/>
  </r>
  <r>
    <s v="09f08f24e28f553768a64d97123c6a29"/>
    <x v="0"/>
    <d v="2017-08-01T00:00:00"/>
    <d v="2017-08-08T00:00:00"/>
    <d v="2017-08-15T00:00:00"/>
    <s v="housewares"/>
    <n v="62.92"/>
    <n v="22.13"/>
    <s v="debit_card"/>
    <n v="5"/>
    <s v="delivered"/>
    <d v="2017-08-01T00:00:00"/>
    <n v="7"/>
    <n v="0"/>
    <n v="1"/>
    <n v="85.05"/>
    <n v="39.639600000000002"/>
    <n v="13.277999999999999"/>
    <n v="10.002400000000002"/>
    <s v="0-7 days"/>
  </r>
  <r>
    <s v="d15f4acd97dfc472e2fba2a136df253c"/>
    <x v="0"/>
    <d v="2017-08-02T00:00:00"/>
    <d v="2017-08-09T00:00:00"/>
    <d v="2017-08-19T00:00:00"/>
    <s v="housewares"/>
    <n v="101.2"/>
    <n v="19.77"/>
    <s v="credit_card"/>
    <n v="4"/>
    <s v="delivered"/>
    <d v="2017-08-01T00:00:00"/>
    <n v="7"/>
    <n v="0"/>
    <n v="1"/>
    <n v="120.97"/>
    <n v="63.756"/>
    <n v="11.862"/>
    <n v="25.582000000000001"/>
    <s v="0-7 days"/>
  </r>
  <r>
    <s v="db97151da89e4fa6ae2bcab8551fe4f7"/>
    <x v="0"/>
    <d v="2017-08-02T00:00:00"/>
    <d v="2017-08-15T00:00:00"/>
    <d v="2017-08-17T00:00:00"/>
    <s v="sports_leisure"/>
    <n v="166.23"/>
    <n v="16.04"/>
    <s v="credit_card"/>
    <n v="3"/>
    <s v="delivered"/>
    <d v="2017-08-01T00:00:00"/>
    <n v="13"/>
    <n v="0"/>
    <n v="1"/>
    <n v="182.26999999999998"/>
    <n v="106.38719999999999"/>
    <n v="9.6239999999999988"/>
    <n v="50.218800000000002"/>
    <s v="8-14 days"/>
  </r>
  <r>
    <s v="082dc372c996a54bbcbb065803e6551e"/>
    <x v="3"/>
    <d v="2017-08-02T00:00:00"/>
    <d v="2017-08-21T00:00:00"/>
    <d v="2017-08-23T00:00:00"/>
    <s v="health_beauty"/>
    <n v="50.58"/>
    <n v="17.11"/>
    <s v="credit_card"/>
    <n v="4"/>
    <s v="delivered"/>
    <d v="2017-08-01T00:00:00"/>
    <n v="19"/>
    <n v="0"/>
    <n v="1"/>
    <n v="67.69"/>
    <n v="29.336399999999998"/>
    <n v="10.266"/>
    <n v="10.977600000000001"/>
    <s v="15-21 days"/>
  </r>
  <r>
    <s v="ebb48c9ebd1e9dd812e1725b0b94b2ab"/>
    <x v="0"/>
    <d v="2017-08-03T00:00:00"/>
    <d v="2017-08-10T00:00:00"/>
    <d v="2017-08-15T00:00:00"/>
    <s v="bed_bath_table"/>
    <n v="92.31"/>
    <n v="22.78"/>
    <s v="credit_card"/>
    <n v="4"/>
    <s v="delivered"/>
    <d v="2017-08-01T00:00:00"/>
    <n v="7"/>
    <n v="0"/>
    <n v="1"/>
    <n v="115.09"/>
    <n v="57.232199999999999"/>
    <n v="13.668000000000001"/>
    <n v="21.409800000000004"/>
    <s v="0-7 days"/>
  </r>
  <r>
    <s v="046606f63c7a912d2afd3660e5199bd9"/>
    <x v="0"/>
    <d v="2017-08-03T00:00:00"/>
    <d v="2017-08-10T00:00:00"/>
    <d v="2017-08-21T00:00:00"/>
    <s v="housewares"/>
    <n v="37.47"/>
    <n v="21.14"/>
    <s v="boleto"/>
    <n v="5"/>
    <s v="delivered"/>
    <d v="2017-08-01T00:00:00"/>
    <n v="7"/>
    <n v="0"/>
    <n v="1"/>
    <n v="58.61"/>
    <n v="23.606099999999998"/>
    <n v="12.683999999999999"/>
    <n v="1.1799000000000017"/>
    <s v="0-7 days"/>
  </r>
  <r>
    <s v="8eed8d34f3843346945f4281236603b4"/>
    <x v="0"/>
    <d v="2017-08-03T00:00:00"/>
    <d v="2017-08-09T00:00:00"/>
    <d v="2017-08-17T00:00:00"/>
    <s v="housewares"/>
    <n v="29.28"/>
    <n v="19.670000000000002"/>
    <s v="voucher"/>
    <n v="4"/>
    <s v="delivered"/>
    <d v="2017-08-01T00:00:00"/>
    <n v="6"/>
    <n v="0"/>
    <n v="1"/>
    <n v="48.95"/>
    <n v="18.446400000000001"/>
    <n v="11.802000000000001"/>
    <n v="-0.96840000000000082"/>
    <s v="0-7 days"/>
  </r>
  <r>
    <s v="31934d22976611eed2bfbcf2d709acc3"/>
    <x v="1"/>
    <d v="2017-08-03T00:00:00"/>
    <d v="2017-08-09T00:00:00"/>
    <d v="2017-08-22T00:00:00"/>
    <s v="bed_bath_table"/>
    <n v="51.96"/>
    <n v="16.84"/>
    <s v="credit_card"/>
    <n v="4"/>
    <s v="delivered"/>
    <d v="2017-08-01T00:00:00"/>
    <n v="6"/>
    <n v="0"/>
    <n v="1"/>
    <n v="68.8"/>
    <n v="32.215200000000003"/>
    <n v="10.103999999999999"/>
    <n v="9.6407999999999987"/>
    <s v="0-7 days"/>
  </r>
  <r>
    <s v="d4073daa68db33704cb37187eb469b21"/>
    <x v="0"/>
    <d v="2017-08-03T00:00:00"/>
    <d v="2017-08-10T00:00:00"/>
    <d v="2017-08-21T00:00:00"/>
    <s v="sports_leisure"/>
    <n v="49.42"/>
    <n v="20.079999999999998"/>
    <s v="credit_card"/>
    <n v="5"/>
    <s v="delivered"/>
    <d v="2017-08-01T00:00:00"/>
    <n v="7"/>
    <n v="0"/>
    <n v="1"/>
    <n v="69.5"/>
    <n v="31.628800000000002"/>
    <n v="12.047999999999998"/>
    <n v="5.7432000000000016"/>
    <s v="0-7 days"/>
  </r>
  <r>
    <s v="b0a20005981fd1de4332002227e76f64"/>
    <x v="0"/>
    <d v="2017-08-03T00:00:00"/>
    <d v="2017-08-10T00:00:00"/>
    <d v="2017-08-17T00:00:00"/>
    <s v="watches_gifts"/>
    <n v="123.85"/>
    <n v="19.52"/>
    <s v="credit_card"/>
    <n v="5"/>
    <s v="delivered"/>
    <d v="2017-08-01T00:00:00"/>
    <n v="7"/>
    <n v="0"/>
    <n v="1"/>
    <n v="143.37"/>
    <n v="81.741"/>
    <n v="11.712"/>
    <n v="30.396999999999995"/>
    <s v="0-7 days"/>
  </r>
  <r>
    <s v="cc09de64233e84ac3e3f3da02f98ad33"/>
    <x v="0"/>
    <d v="2017-08-04T00:00:00"/>
    <d v="2017-08-16T00:00:00"/>
    <d v="2017-08-20T00:00:00"/>
    <s v="furniture_decor"/>
    <n v="76.47"/>
    <n v="18.55"/>
    <s v="credit_card"/>
    <n v="4"/>
    <s v="delivered"/>
    <d v="2017-08-01T00:00:00"/>
    <n v="12"/>
    <n v="0"/>
    <n v="1"/>
    <n v="95.02"/>
    <n v="53.528999999999996"/>
    <n v="11.13"/>
    <n v="11.811000000000002"/>
    <s v="8-14 days"/>
  </r>
  <r>
    <s v="6d4772f8d46a77af2a736a676c461d48"/>
    <x v="4"/>
    <d v="2017-08-04T00:00:00"/>
    <d v="2017-08-24T00:00:00"/>
    <d v="2017-08-26T00:00:00"/>
    <s v="computers_accessories"/>
    <n v="229.19"/>
    <n v="21.23"/>
    <s v="credit_card"/>
    <n v="4"/>
    <s v="delivered"/>
    <d v="2017-08-01T00:00:00"/>
    <n v="20"/>
    <n v="0"/>
    <n v="1"/>
    <n v="250.42"/>
    <n v="169.60059999999999"/>
    <n v="12.738"/>
    <n v="46.851400000000012"/>
    <s v="15-21 days"/>
  </r>
  <r>
    <s v="0ca37885d7607ffeaa8b73eb3cde0596"/>
    <x v="0"/>
    <d v="2017-08-04T00:00:00"/>
    <d v="2017-08-16T00:00:00"/>
    <d v="2017-08-19T00:00:00"/>
    <s v="watches_gifts"/>
    <n v="65.8"/>
    <n v="12.92"/>
    <s v="credit_card"/>
    <n v="5"/>
    <s v="delivered"/>
    <d v="2017-08-01T00:00:00"/>
    <n v="12"/>
    <n v="0"/>
    <n v="1"/>
    <n v="78.72"/>
    <n v="43.427999999999997"/>
    <n v="7.7519999999999998"/>
    <n v="14.620000000000001"/>
    <s v="8-14 days"/>
  </r>
  <r>
    <s v="88ad3de9018e2f1dec0bcb99ea176ff6"/>
    <x v="3"/>
    <d v="2017-08-04T00:00:00"/>
    <d v="2017-08-20T00:00:00"/>
    <d v="2017-08-27T00:00:00"/>
    <s v="health_beauty"/>
    <n v="127.98"/>
    <n v="23.99"/>
    <s v="credit_card"/>
    <n v="5"/>
    <s v="delivered"/>
    <d v="2017-08-01T00:00:00"/>
    <n v="16"/>
    <n v="0"/>
    <n v="1"/>
    <n v="151.97"/>
    <n v="74.228399999999993"/>
    <n v="14.393999999999998"/>
    <n v="39.357600000000012"/>
    <s v="15-21 days"/>
  </r>
  <r>
    <s v="218c6e1c9e374f7ac42cbc39e05b46c5"/>
    <x v="1"/>
    <d v="2017-08-05T00:00:00"/>
    <d v="2017-08-14T00:00:00"/>
    <d v="2017-08-26T00:00:00"/>
    <s v="computers_accessories"/>
    <n v="198.13"/>
    <n v="27.23"/>
    <s v="credit_card"/>
    <n v="4"/>
    <s v="delivered"/>
    <d v="2017-08-01T00:00:00"/>
    <n v="9"/>
    <n v="0"/>
    <n v="1"/>
    <n v="225.35999999999999"/>
    <n v="146.61619999999999"/>
    <n v="16.338000000000001"/>
    <n v="35.175800000000002"/>
    <s v="8-14 days"/>
  </r>
  <r>
    <s v="7487d7727f0386fa13badc91a0a5fde6"/>
    <x v="2"/>
    <d v="2017-08-05T00:00:00"/>
    <d v="2017-08-23T00:00:00"/>
    <d v="2017-08-31T00:00:00"/>
    <s v="furniture_decor"/>
    <n v="112.83"/>
    <n v="32.67"/>
    <s v="credit_card"/>
    <n v="4"/>
    <s v="delivered"/>
    <d v="2017-08-01T00:00:00"/>
    <n v="18"/>
    <n v="0"/>
    <n v="1"/>
    <n v="145.5"/>
    <n v="78.980999999999995"/>
    <n v="19.602"/>
    <n v="14.247000000000003"/>
    <s v="15-21 days"/>
  </r>
  <r>
    <s v="fc5c960fad39e05292a0768834b5bf07"/>
    <x v="3"/>
    <d v="2017-08-05T00:00:00"/>
    <d v="2017-08-27T00:00:00"/>
    <d v="2017-08-31T00:00:00"/>
    <s v="computers_accessories"/>
    <n v="36.619999999999997"/>
    <n v="21.93"/>
    <s v="credit_card"/>
    <n v="5"/>
    <s v="delivered"/>
    <d v="2017-08-01T00:00:00"/>
    <n v="22"/>
    <n v="0"/>
    <n v="1"/>
    <n v="58.55"/>
    <n v="27.098799999999997"/>
    <n v="13.157999999999999"/>
    <n v="-3.6367999999999991"/>
    <s v="22+ days"/>
  </r>
  <r>
    <s v="085e9e90f12ff03e923b6567dcdc614f"/>
    <x v="4"/>
    <d v="2017-08-06T00:00:00"/>
    <d v="2017-08-26T00:00:00"/>
    <d v="2017-08-25T00:00:00"/>
    <s v="sports_leisure"/>
    <n v="108.01"/>
    <n v="21.46"/>
    <s v="credit_card"/>
    <n v="4"/>
    <s v="delivered"/>
    <d v="2017-08-01T00:00:00"/>
    <n v="20"/>
    <n v="1"/>
    <n v="0"/>
    <n v="129.47"/>
    <n v="69.126400000000004"/>
    <n v="12.875999999999999"/>
    <n v="26.007600000000004"/>
    <s v="15-21 days"/>
  </r>
  <r>
    <s v="91e610ddd72abf118f415cf0d99598fb"/>
    <x v="0"/>
    <d v="2017-08-06T00:00:00"/>
    <d v="2017-08-13T00:00:00"/>
    <d v="2017-08-20T00:00:00"/>
    <s v="bed_bath_table"/>
    <n v="57.56"/>
    <n v="17.16"/>
    <s v="boleto"/>
    <n v="5"/>
    <s v="delivered"/>
    <d v="2017-08-01T00:00:00"/>
    <n v="7"/>
    <n v="0"/>
    <n v="1"/>
    <n v="74.72"/>
    <n v="35.687200000000004"/>
    <n v="10.295999999999999"/>
    <n v="11.576799999999999"/>
    <s v="0-7 days"/>
  </r>
  <r>
    <s v="ad433e2d9bdc44e5311eb154c12690a1"/>
    <x v="0"/>
    <d v="2017-08-06T00:00:00"/>
    <d v="2017-08-14T00:00:00"/>
    <d v="2017-08-21T00:00:00"/>
    <s v="health_beauty"/>
    <n v="189.15"/>
    <n v="19.97"/>
    <s v="credit_card"/>
    <n v="5"/>
    <s v="delivered"/>
    <d v="2017-08-01T00:00:00"/>
    <n v="8"/>
    <n v="0"/>
    <n v="1"/>
    <n v="209.12"/>
    <n v="109.70699999999999"/>
    <n v="11.981999999999999"/>
    <n v="67.461000000000013"/>
    <s v="8-14 days"/>
  </r>
  <r>
    <s v="5926c059bfd0b387963dbc5ef11b9c1b"/>
    <x v="8"/>
    <d v="2017-08-07T00:00:00"/>
    <d v="2017-09-01T00:00:00"/>
    <d v="2017-08-31T00:00:00"/>
    <s v="housewares"/>
    <n v="95.32"/>
    <n v="30.23"/>
    <s v="credit_card"/>
    <n v="2"/>
    <s v="delivered"/>
    <d v="2017-08-01T00:00:00"/>
    <n v="25"/>
    <n v="1"/>
    <n v="0"/>
    <n v="125.55"/>
    <n v="60.051599999999993"/>
    <n v="18.137999999999998"/>
    <n v="17.130400000000002"/>
    <s v="22+ days"/>
  </r>
  <r>
    <s v="3e493f43b118f68d6786d50638ba8abc"/>
    <x v="3"/>
    <d v="2017-08-08T00:00:00"/>
    <d v="2017-08-28T00:00:00"/>
    <d v="2017-09-02T00:00:00"/>
    <s v="watches_gifts"/>
    <n v="130.94999999999999"/>
    <n v="18.690000000000001"/>
    <s v="credit_card"/>
    <n v="3"/>
    <s v="delivered"/>
    <d v="2017-08-01T00:00:00"/>
    <n v="20"/>
    <n v="0"/>
    <n v="1"/>
    <n v="149.63999999999999"/>
    <n v="86.426999999999992"/>
    <n v="11.214"/>
    <n v="33.308999999999997"/>
    <s v="15-21 days"/>
  </r>
  <r>
    <s v="2cbb71d76c1de2fa88f7b88e9f863762"/>
    <x v="0"/>
    <d v="2017-08-08T00:00:00"/>
    <d v="2017-08-12T00:00:00"/>
    <d v="2017-08-19T00:00:00"/>
    <s v="toys"/>
    <n v="27.79"/>
    <n v="18.2"/>
    <s v="boleto"/>
    <n v="5"/>
    <s v="delivered"/>
    <d v="2017-08-01T00:00:00"/>
    <n v="4"/>
    <n v="0"/>
    <n v="1"/>
    <n v="45.989999999999995"/>
    <n v="16.673999999999999"/>
    <n v="10.92"/>
    <n v="0.19599999999999973"/>
    <s v="0-7 days"/>
  </r>
  <r>
    <s v="01bb819c4dfe111722af711f1b628a9d"/>
    <x v="0"/>
    <d v="2017-08-09T00:00:00"/>
    <d v="2017-08-16T00:00:00"/>
    <d v="2017-08-26T00:00:00"/>
    <s v="health_beauty"/>
    <n v="108.9"/>
    <n v="14.73"/>
    <s v="voucher"/>
    <n v="5"/>
    <s v="delivered"/>
    <d v="2017-08-01T00:00:00"/>
    <n v="7"/>
    <n v="0"/>
    <n v="1"/>
    <n v="123.63000000000001"/>
    <n v="63.161999999999999"/>
    <n v="8.8379999999999992"/>
    <n v="36.900000000000006"/>
    <s v="0-7 days"/>
  </r>
  <r>
    <s v="d6de70c52ce4599df92408c32ea9ef6c"/>
    <x v="1"/>
    <d v="2017-08-09T00:00:00"/>
    <d v="2017-08-18T00:00:00"/>
    <d v="2017-08-29T00:00:00"/>
    <s v="bed_bath_table"/>
    <n v="94.32"/>
    <n v="23.38"/>
    <s v="credit_card"/>
    <n v="5"/>
    <s v="delivered"/>
    <d v="2017-08-01T00:00:00"/>
    <n v="9"/>
    <n v="0"/>
    <n v="1"/>
    <n v="117.69999999999999"/>
    <n v="58.478399999999993"/>
    <n v="14.027999999999999"/>
    <n v="21.813600000000001"/>
    <s v="8-14 days"/>
  </r>
  <r>
    <s v="b5d044fb2cd64d84747738793eec05dc"/>
    <x v="0"/>
    <d v="2017-08-09T00:00:00"/>
    <d v="2017-08-17T00:00:00"/>
    <d v="2017-08-24T00:00:00"/>
    <s v="bed_bath_table"/>
    <n v="154.49"/>
    <n v="16.52"/>
    <s v="credit_card"/>
    <n v="5"/>
    <s v="delivered"/>
    <d v="2017-08-01T00:00:00"/>
    <n v="8"/>
    <n v="0"/>
    <n v="1"/>
    <n v="171.01000000000002"/>
    <n v="95.783799999999999"/>
    <n v="9.911999999999999"/>
    <n v="48.794200000000011"/>
    <s v="8-14 days"/>
  </r>
  <r>
    <s v="17d8e814b669c307487a2d8b424c330b"/>
    <x v="0"/>
    <d v="2017-08-09T00:00:00"/>
    <d v="2017-08-16T00:00:00"/>
    <d v="2017-08-23T00:00:00"/>
    <s v="health_beauty"/>
    <n v="29.42"/>
    <n v="19.41"/>
    <s v="voucher"/>
    <n v="5"/>
    <s v="delivered"/>
    <d v="2017-08-01T00:00:00"/>
    <n v="7"/>
    <n v="0"/>
    <n v="1"/>
    <n v="48.83"/>
    <n v="17.063600000000001"/>
    <n v="11.645999999999999"/>
    <n v="0.7104000000000017"/>
    <s v="0-7 days"/>
  </r>
  <r>
    <s v="150a259157e8a949d483cb097b01e4c2"/>
    <x v="0"/>
    <d v="2017-08-09T00:00:00"/>
    <d v="2017-08-14T00:00:00"/>
    <d v="2017-08-22T00:00:00"/>
    <s v="health_beauty"/>
    <n v="105.49"/>
    <n v="12.84"/>
    <s v="credit_card"/>
    <n v="5"/>
    <s v="delivered"/>
    <d v="2017-08-01T00:00:00"/>
    <n v="5"/>
    <n v="0"/>
    <n v="1"/>
    <n v="118.33"/>
    <n v="61.18419999999999"/>
    <n v="7.7039999999999997"/>
    <n v="36.601800000000004"/>
    <s v="0-7 days"/>
  </r>
  <r>
    <s v="2bf8c7bd154e343333e5a4108656eee4"/>
    <x v="4"/>
    <d v="2017-08-09T00:00:00"/>
    <d v="2017-08-21T00:00:00"/>
    <d v="2017-09-02T00:00:00"/>
    <s v="housewares"/>
    <n v="30.75"/>
    <n v="24.64"/>
    <s v="credit_card"/>
    <n v="4"/>
    <s v="delivered"/>
    <d v="2017-08-01T00:00:00"/>
    <n v="12"/>
    <n v="0"/>
    <n v="1"/>
    <n v="55.39"/>
    <n v="19.372499999999999"/>
    <n v="14.783999999999999"/>
    <n v="-3.4064999999999976"/>
    <s v="8-14 days"/>
  </r>
  <r>
    <s v="7129e2f6e06ca678c35d8f64418af089"/>
    <x v="3"/>
    <d v="2017-08-10T00:00:00"/>
    <d v="2017-08-21T00:00:00"/>
    <d v="2017-09-03T00:00:00"/>
    <s v="health_beauty"/>
    <n v="105.89"/>
    <n v="23.77"/>
    <s v="credit_card"/>
    <n v="5"/>
    <s v="delivered"/>
    <d v="2017-08-01T00:00:00"/>
    <n v="11"/>
    <n v="0"/>
    <n v="1"/>
    <n v="129.66"/>
    <n v="61.416199999999996"/>
    <n v="14.261999999999999"/>
    <n v="30.211800000000004"/>
    <s v="8-14 days"/>
  </r>
  <r>
    <s v="7565e38f3d04dd10300a1b1bfed045c4"/>
    <x v="4"/>
    <d v="2017-08-10T00:00:00"/>
    <d v="2017-08-18T00:00:00"/>
    <d v="2017-08-29T00:00:00"/>
    <s v="furniture_decor"/>
    <n v="123.55"/>
    <n v="29.08"/>
    <s v="voucher"/>
    <n v="5"/>
    <s v="delivered"/>
    <d v="2017-08-01T00:00:00"/>
    <n v="8"/>
    <n v="0"/>
    <n v="1"/>
    <n v="152.63"/>
    <n v="86.484999999999999"/>
    <n v="17.447999999999997"/>
    <n v="19.617000000000001"/>
    <s v="8-14 days"/>
  </r>
  <r>
    <s v="1bdc74a98d3a5d767caa281b4e336644"/>
    <x v="5"/>
    <d v="2017-08-11T00:00:00"/>
    <d v="2017-08-23T00:00:00"/>
    <d v="2017-09-04T00:00:00"/>
    <s v="housewares"/>
    <n v="150.29"/>
    <n v="23.93"/>
    <s v="credit_card"/>
    <n v="4"/>
    <s v="delivered"/>
    <d v="2017-08-01T00:00:00"/>
    <n v="12"/>
    <n v="0"/>
    <n v="1"/>
    <n v="174.22"/>
    <n v="94.682699999999997"/>
    <n v="14.357999999999999"/>
    <n v="41.249299999999998"/>
    <s v="8-14 days"/>
  </r>
  <r>
    <s v="df8b40087d01b5a30041f5d49549e631"/>
    <x v="4"/>
    <d v="2017-08-11T00:00:00"/>
    <d v="2017-08-18T00:00:00"/>
    <d v="2017-08-31T00:00:00"/>
    <s v="health_beauty"/>
    <n v="175.79"/>
    <n v="31.09"/>
    <s v="credit_card"/>
    <n v="5"/>
    <s v="delivered"/>
    <d v="2017-08-01T00:00:00"/>
    <n v="7"/>
    <n v="0"/>
    <n v="1"/>
    <n v="206.88"/>
    <n v="101.95819999999999"/>
    <n v="18.654"/>
    <n v="55.177800000000005"/>
    <s v="0-7 days"/>
  </r>
  <r>
    <s v="bc4600bd584220f1d3105f4f403e3ee2"/>
    <x v="0"/>
    <d v="2017-08-11T00:00:00"/>
    <d v="2017-08-21T00:00:00"/>
    <d v="2017-08-23T00:00:00"/>
    <s v="health_beauty"/>
    <n v="64.7"/>
    <n v="14.09"/>
    <s v="credit_card"/>
    <n v="5"/>
    <s v="delivered"/>
    <d v="2017-08-01T00:00:00"/>
    <n v="10"/>
    <n v="0"/>
    <n v="1"/>
    <n v="78.790000000000006"/>
    <n v="37.525999999999996"/>
    <n v="8.4539999999999988"/>
    <n v="18.720000000000006"/>
    <s v="8-14 days"/>
  </r>
  <r>
    <s v="3457c8d7523664ef8d8b10518af35cd2"/>
    <x v="10"/>
    <d v="2017-08-11T00:00:00"/>
    <d v="2017-09-01T00:00:00"/>
    <d v="2017-09-12T00:00:00"/>
    <s v="watches_gifts"/>
    <n v="91.99"/>
    <n v="33.29"/>
    <s v="boleto"/>
    <n v="5"/>
    <s v="delivered"/>
    <d v="2017-08-01T00:00:00"/>
    <n v="21"/>
    <n v="0"/>
    <n v="1"/>
    <n v="125.28"/>
    <n v="60.7134"/>
    <n v="19.974"/>
    <n v="11.302599999999995"/>
    <s v="15-21 days"/>
  </r>
  <r>
    <s v="2823442c9a87e3574b8fb475e2ebb2d2"/>
    <x v="3"/>
    <d v="2017-08-12T00:00:00"/>
    <d v="2017-08-19T00:00:00"/>
    <d v="2017-09-07T00:00:00"/>
    <s v="housewares"/>
    <n v="64.680000000000007"/>
    <n v="21.04"/>
    <s v="boleto"/>
    <n v="5"/>
    <s v="delivered"/>
    <d v="2017-08-01T00:00:00"/>
    <n v="7"/>
    <n v="0"/>
    <n v="1"/>
    <n v="85.72"/>
    <n v="40.748400000000004"/>
    <n v="12.623999999999999"/>
    <n v="11.307600000000004"/>
    <s v="0-7 days"/>
  </r>
  <r>
    <s v="27e9184f07918b3577a63918acac1f3b"/>
    <x v="3"/>
    <d v="2017-08-13T00:00:00"/>
    <d v="2017-08-31T00:00:00"/>
    <d v="2017-09-06T00:00:00"/>
    <s v="auto"/>
    <n v="76.89"/>
    <n v="20.87"/>
    <s v="credit_card"/>
    <n v="5"/>
    <s v="delivered"/>
    <d v="2017-08-01T00:00:00"/>
    <n v="18"/>
    <n v="0"/>
    <n v="1"/>
    <n v="97.76"/>
    <n v="52.285200000000003"/>
    <n v="12.522"/>
    <n v="12.082799999999997"/>
    <s v="15-21 days"/>
  </r>
  <r>
    <s v="26c118f2eb1c0430df114270565f8687"/>
    <x v="0"/>
    <d v="2017-08-15T00:00:00"/>
    <d v="2017-08-26T00:00:00"/>
    <d v="2017-09-02T00:00:00"/>
    <s v="sports_leisure"/>
    <n v="33.950000000000003"/>
    <n v="19.829999999999998"/>
    <s v="credit_card"/>
    <n v="4"/>
    <s v="delivered"/>
    <d v="2017-08-01T00:00:00"/>
    <n v="11"/>
    <n v="0"/>
    <n v="1"/>
    <n v="53.78"/>
    <n v="21.728000000000002"/>
    <n v="11.897999999999998"/>
    <n v="0.3240000000000034"/>
    <s v="8-14 days"/>
  </r>
  <r>
    <s v="ed35839bf4d62658139b4c16fbcaebdc"/>
    <x v="4"/>
    <d v="2017-08-15T00:00:00"/>
    <d v="2017-09-10T00:00:00"/>
    <d v="2017-09-03T00:00:00"/>
    <s v="watches_gifts"/>
    <n v="126.16"/>
    <n v="18.34"/>
    <s v="credit_card"/>
    <n v="3"/>
    <s v="delivered"/>
    <d v="2017-08-01T00:00:00"/>
    <n v="26"/>
    <n v="7"/>
    <n v="0"/>
    <n v="144.5"/>
    <n v="83.265600000000006"/>
    <n v="11.004"/>
    <n v="31.890399999999993"/>
    <s v="22+ days"/>
  </r>
  <r>
    <s v="d69b019039c4dffaa527e02f7b190a51"/>
    <x v="3"/>
    <d v="2017-08-15T00:00:00"/>
    <d v="2017-08-27T00:00:00"/>
    <d v="2017-09-09T00:00:00"/>
    <s v="computers_accessories"/>
    <n v="32.61"/>
    <n v="26.86"/>
    <s v="credit_card"/>
    <n v="5"/>
    <s v="delivered"/>
    <d v="2017-08-01T00:00:00"/>
    <n v="12"/>
    <n v="0"/>
    <n v="1"/>
    <n v="59.47"/>
    <n v="24.131399999999999"/>
    <n v="16.116"/>
    <n v="-7.6373999999999995"/>
    <s v="8-14 days"/>
  </r>
  <r>
    <s v="08683cbfaa0be6875d124a2233d9014f"/>
    <x v="0"/>
    <d v="2017-08-16T00:00:00"/>
    <d v="2017-08-22T00:00:00"/>
    <d v="2017-09-04T00:00:00"/>
    <s v="housewares"/>
    <n v="129.19"/>
    <n v="15.48"/>
    <s v="credit_card"/>
    <n v="4"/>
    <s v="delivered"/>
    <d v="2017-08-01T00:00:00"/>
    <n v="6"/>
    <n v="0"/>
    <n v="1"/>
    <n v="144.66999999999999"/>
    <n v="81.389700000000005"/>
    <n v="9.2880000000000003"/>
    <n v="38.512299999999996"/>
    <s v="0-7 days"/>
  </r>
  <r>
    <s v="1fbf23bbb33109f53078f3d0f9046be7"/>
    <x v="3"/>
    <d v="2017-08-16T00:00:00"/>
    <d v="2017-09-01T00:00:00"/>
    <d v="2017-09-09T00:00:00"/>
    <s v="toys"/>
    <n v="53.7"/>
    <n v="23.74"/>
    <s v="credit_card"/>
    <n v="5"/>
    <s v="delivered"/>
    <d v="2017-08-01T00:00:00"/>
    <n v="16"/>
    <n v="0"/>
    <n v="1"/>
    <n v="77.44"/>
    <n v="32.22"/>
    <n v="14.243999999999998"/>
    <n v="7.236000000000006"/>
    <s v="15-21 days"/>
  </r>
  <r>
    <s v="7b82ff4c547304460a88bdd7cdf392f9"/>
    <x v="8"/>
    <d v="2017-08-18T00:00:00"/>
    <d v="2017-09-07T00:00:00"/>
    <d v="2017-09-11T00:00:00"/>
    <s v="computers_accessories"/>
    <n v="131.56"/>
    <n v="30.19"/>
    <s v="credit_card"/>
    <n v="4"/>
    <s v="delivered"/>
    <d v="2017-08-01T00:00:00"/>
    <n v="20"/>
    <n v="0"/>
    <n v="1"/>
    <n v="161.75"/>
    <n v="97.354399999999998"/>
    <n v="18.114000000000001"/>
    <n v="16.091600000000003"/>
    <s v="15-21 days"/>
  </r>
  <r>
    <s v="fa0b14f4f3d50d58933a10eea733dfe6"/>
    <x v="0"/>
    <d v="2017-08-18T00:00:00"/>
    <d v="2017-08-27T00:00:00"/>
    <d v="2017-09-04T00:00:00"/>
    <s v="furniture_decor"/>
    <n v="114.39"/>
    <n v="14.65"/>
    <s v="voucher"/>
    <n v="5"/>
    <s v="delivered"/>
    <d v="2017-08-01T00:00:00"/>
    <n v="9"/>
    <n v="0"/>
    <n v="1"/>
    <n v="129.04"/>
    <n v="80.072999999999993"/>
    <n v="8.7899999999999991"/>
    <n v="25.527000000000008"/>
    <s v="8-14 days"/>
  </r>
  <r>
    <s v="4662477c6eec28adf5c4dab44a32b32a"/>
    <x v="0"/>
    <d v="2017-08-19T00:00:00"/>
    <d v="2017-09-02T00:00:00"/>
    <d v="2017-09-07T00:00:00"/>
    <s v="auto"/>
    <n v="55.05"/>
    <n v="17.3"/>
    <s v="credit_card"/>
    <n v="5"/>
    <s v="delivered"/>
    <d v="2017-08-01T00:00:00"/>
    <n v="14"/>
    <n v="0"/>
    <n v="1"/>
    <n v="72.349999999999994"/>
    <n v="37.433999999999997"/>
    <n v="10.38"/>
    <n v="7.2359999999999989"/>
    <s v="8-14 days"/>
  </r>
  <r>
    <s v="1c0f0bdcac7e937c54cc1e2a5e4cb287"/>
    <x v="4"/>
    <d v="2017-08-20T00:00:00"/>
    <d v="2017-09-04T00:00:00"/>
    <d v="2017-09-08T00:00:00"/>
    <s v="furniture_decor"/>
    <n v="125.21"/>
    <n v="27.92"/>
    <s v="voucher"/>
    <n v="5"/>
    <s v="delivered"/>
    <d v="2017-08-01T00:00:00"/>
    <n v="15"/>
    <n v="0"/>
    <n v="1"/>
    <n v="153.13"/>
    <n v="87.646999999999991"/>
    <n v="16.751999999999999"/>
    <n v="20.811000000000003"/>
    <s v="15-21 days"/>
  </r>
  <r>
    <s v="6d4a125926d24d46e21734c6d36fa1c9"/>
    <x v="1"/>
    <d v="2017-08-20T00:00:00"/>
    <d v="2017-08-31T00:00:00"/>
    <d v="2017-09-11T00:00:00"/>
    <s v="auto"/>
    <n v="57.06"/>
    <n v="20.99"/>
    <s v="credit_card"/>
    <n v="5"/>
    <s v="delivered"/>
    <d v="2017-08-01T00:00:00"/>
    <n v="11"/>
    <n v="0"/>
    <n v="1"/>
    <n v="78.05"/>
    <n v="38.800800000000002"/>
    <n v="12.593999999999999"/>
    <n v="5.6652000000000005"/>
    <s v="8-14 days"/>
  </r>
  <r>
    <s v="55060c6923d146a9c340b86ff996cbae"/>
    <x v="3"/>
    <d v="2017-08-20T00:00:00"/>
    <d v="2017-09-01T00:00:00"/>
    <d v="2017-09-16T00:00:00"/>
    <s v="housewares"/>
    <n v="134.57"/>
    <n v="25.19"/>
    <s v="credit_card"/>
    <n v="3"/>
    <s v="delivered"/>
    <d v="2017-08-01T00:00:00"/>
    <n v="12"/>
    <n v="0"/>
    <n v="1"/>
    <n v="159.76"/>
    <n v="84.7791"/>
    <n v="15.114000000000001"/>
    <n v="34.676899999999989"/>
    <s v="8-14 days"/>
  </r>
  <r>
    <s v="04fcea60b5999215af36e28617645034"/>
    <x v="4"/>
    <d v="2017-08-20T00:00:00"/>
    <d v="2017-09-10T00:00:00"/>
    <d v="2017-09-10T00:00:00"/>
    <s v="bed_bath_table"/>
    <n v="108.37"/>
    <n v="21.12"/>
    <s v="credit_card"/>
    <n v="5"/>
    <s v="delivered"/>
    <d v="2017-08-01T00:00:00"/>
    <n v="21"/>
    <n v="0"/>
    <n v="1"/>
    <n v="129.49"/>
    <n v="67.189400000000006"/>
    <n v="12.672000000000001"/>
    <n v="28.508599999999998"/>
    <s v="15-21 days"/>
  </r>
  <r>
    <s v="f1d444f26ebe44cede11e863353e83e2"/>
    <x v="8"/>
    <d v="2017-08-20T00:00:00"/>
    <d v="2017-09-06T00:00:00"/>
    <d v="2017-09-09T00:00:00"/>
    <s v="housewares"/>
    <n v="23.61"/>
    <n v="28.67"/>
    <s v="credit_card"/>
    <n v="5"/>
    <s v="delivered"/>
    <d v="2017-08-01T00:00:00"/>
    <n v="17"/>
    <n v="0"/>
    <n v="1"/>
    <n v="52.28"/>
    <n v="14.8743"/>
    <n v="17.202000000000002"/>
    <n v="-8.4663000000000022"/>
    <s v="15-21 days"/>
  </r>
  <r>
    <s v="cee8efcf295c1b5938079a8e7e3beb35"/>
    <x v="0"/>
    <d v="2017-08-21T00:00:00"/>
    <d v="2017-08-29T00:00:00"/>
    <d v="2017-09-07T00:00:00"/>
    <s v="bed_bath_table"/>
    <n v="109.4"/>
    <n v="20.5"/>
    <s v="credit_card"/>
    <n v="4"/>
    <s v="delivered"/>
    <d v="2017-08-01T00:00:00"/>
    <n v="8"/>
    <n v="0"/>
    <n v="1"/>
    <n v="129.9"/>
    <n v="67.828000000000003"/>
    <n v="12.299999999999999"/>
    <n v="29.272000000000006"/>
    <s v="8-14 days"/>
  </r>
  <r>
    <s v="0dc4aa1006062b52688cce176d2d2c6c"/>
    <x v="0"/>
    <d v="2017-08-21T00:00:00"/>
    <d v="2017-09-03T00:00:00"/>
    <d v="2017-09-08T00:00:00"/>
    <s v="toys"/>
    <n v="78.23"/>
    <n v="12.65"/>
    <s v="credit_card"/>
    <n v="5"/>
    <s v="delivered"/>
    <d v="2017-08-01T00:00:00"/>
    <n v="13"/>
    <n v="0"/>
    <n v="1"/>
    <n v="90.88000000000001"/>
    <n v="46.938000000000002"/>
    <n v="7.59"/>
    <n v="23.702000000000002"/>
    <s v="8-14 days"/>
  </r>
  <r>
    <s v="8eed7ac976f3e6e13a333fa4fed1aaf9"/>
    <x v="3"/>
    <d v="2017-08-21T00:00:00"/>
    <d v="2017-09-05T00:00:00"/>
    <d v="2017-09-14T00:00:00"/>
    <s v="health_beauty"/>
    <n v="90.89"/>
    <n v="16.88"/>
    <s v="credit_card"/>
    <n v="4"/>
    <s v="delivered"/>
    <d v="2017-08-01T00:00:00"/>
    <n v="15"/>
    <n v="0"/>
    <n v="1"/>
    <n v="107.77"/>
    <n v="52.716199999999994"/>
    <n v="10.127999999999998"/>
    <n v="28.045800000000007"/>
    <s v="15-21 days"/>
  </r>
  <r>
    <s v="5e5ffeaa0eb540787464d6f211ea2c00"/>
    <x v="0"/>
    <d v="2017-08-22T00:00:00"/>
    <d v="2017-08-30T00:00:00"/>
    <d v="2017-09-06T00:00:00"/>
    <s v="health_beauty"/>
    <n v="62.43"/>
    <n v="18.670000000000002"/>
    <s v="credit_card"/>
    <n v="4"/>
    <s v="delivered"/>
    <d v="2017-08-01T00:00:00"/>
    <n v="8"/>
    <n v="0"/>
    <n v="1"/>
    <n v="81.099999999999994"/>
    <n v="36.209399999999995"/>
    <n v="11.202"/>
    <n v="15.018600000000005"/>
    <s v="8-14 days"/>
  </r>
  <r>
    <s v="e202f0226ef7ffc37ce28b5bb8d8f272"/>
    <x v="0"/>
    <d v="2017-08-22T00:00:00"/>
    <d v="2017-09-09T00:00:00"/>
    <d v="2017-09-07T00:00:00"/>
    <s v="housewares"/>
    <n v="81.37"/>
    <n v="14.29"/>
    <s v="credit_card"/>
    <n v="3"/>
    <s v="delivered"/>
    <d v="2017-08-01T00:00:00"/>
    <n v="18"/>
    <n v="2"/>
    <n v="0"/>
    <n v="95.66"/>
    <n v="51.263100000000001"/>
    <n v="8.5739999999999998"/>
    <n v="21.532900000000005"/>
    <s v="15-21 days"/>
  </r>
  <r>
    <s v="b30e4822f463beb70ea8fb71bd7bc80c"/>
    <x v="0"/>
    <d v="2017-08-22T00:00:00"/>
    <d v="2017-09-03T00:00:00"/>
    <d v="2017-09-09T00:00:00"/>
    <s v="computers_accessories"/>
    <n v="130.02000000000001"/>
    <n v="22.77"/>
    <s v="boleto"/>
    <n v="5"/>
    <s v="delivered"/>
    <d v="2017-08-01T00:00:00"/>
    <n v="12"/>
    <n v="0"/>
    <n v="1"/>
    <n v="152.79000000000002"/>
    <n v="96.214800000000011"/>
    <n v="13.661999999999999"/>
    <n v="20.1432"/>
    <s v="8-14 days"/>
  </r>
  <r>
    <s v="b8a7417eeaed87d90614f0057654865e"/>
    <x v="4"/>
    <d v="2017-08-22T00:00:00"/>
    <d v="2017-08-28T00:00:00"/>
    <d v="2017-09-11T00:00:00"/>
    <s v="furniture_decor"/>
    <n v="112.6"/>
    <n v="29.39"/>
    <s v="credit_card"/>
    <n v="4"/>
    <s v="delivered"/>
    <d v="2017-08-01T00:00:00"/>
    <n v="6"/>
    <n v="0"/>
    <n v="1"/>
    <n v="141.99"/>
    <n v="78.819999999999993"/>
    <n v="17.634"/>
    <n v="16.146000000000001"/>
    <s v="0-7 days"/>
  </r>
  <r>
    <s v="c8a723e9bfa016c2c09cb50648f1096d"/>
    <x v="0"/>
    <d v="2017-08-23T00:00:00"/>
    <d v="2017-09-12T00:00:00"/>
    <d v="2017-09-08T00:00:00"/>
    <s v="sports_leisure"/>
    <n v="111.97"/>
    <n v="17.399999999999999"/>
    <s v="credit_card"/>
    <n v="4"/>
    <s v="delivered"/>
    <d v="2017-08-01T00:00:00"/>
    <n v="20"/>
    <n v="4"/>
    <n v="0"/>
    <n v="129.37"/>
    <n v="71.660799999999995"/>
    <n v="10.44"/>
    <n v="29.869200000000006"/>
    <s v="15-21 days"/>
  </r>
  <r>
    <s v="52e0234e2505a2b69dd3c15a9417e0f5"/>
    <x v="4"/>
    <d v="2017-08-23T00:00:00"/>
    <d v="2017-08-30T00:00:00"/>
    <d v="2017-09-09T00:00:00"/>
    <s v="computers_accessories"/>
    <n v="166.05"/>
    <n v="27.44"/>
    <s v="credit_card"/>
    <n v="4"/>
    <s v="delivered"/>
    <d v="2017-08-01T00:00:00"/>
    <n v="7"/>
    <n v="0"/>
    <n v="1"/>
    <n v="193.49"/>
    <n v="122.87700000000001"/>
    <n v="16.463999999999999"/>
    <n v="26.709000000000003"/>
    <s v="0-7 days"/>
  </r>
  <r>
    <s v="d97bd00e3475717102b964d676d96b12"/>
    <x v="0"/>
    <d v="2017-08-23T00:00:00"/>
    <d v="2017-08-29T00:00:00"/>
    <d v="2017-09-08T00:00:00"/>
    <s v="toys"/>
    <n v="68.39"/>
    <n v="21.6"/>
    <s v="debit_card"/>
    <n v="5"/>
    <s v="delivered"/>
    <d v="2017-08-01T00:00:00"/>
    <n v="6"/>
    <n v="0"/>
    <n v="1"/>
    <n v="89.990000000000009"/>
    <n v="41.033999999999999"/>
    <n v="12.96"/>
    <n v="14.396000000000001"/>
    <s v="0-7 days"/>
  </r>
  <r>
    <s v="7bfdec746441e11e3ee1db8e5fffe8e6"/>
    <x v="4"/>
    <d v="2017-08-24T00:00:00"/>
    <d v="2017-09-08T00:00:00"/>
    <d v="2017-09-14T00:00:00"/>
    <s v="computers_accessories"/>
    <n v="26.78"/>
    <n v="25.87"/>
    <s v="credit_card"/>
    <n v="5"/>
    <s v="delivered"/>
    <d v="2017-08-01T00:00:00"/>
    <n v="15"/>
    <n v="0"/>
    <n v="1"/>
    <n v="52.650000000000006"/>
    <n v="19.8172"/>
    <n v="15.522"/>
    <n v="-8.5591999999999988"/>
    <s v="15-21 days"/>
  </r>
  <r>
    <s v="b206da830956f0e5ef0c1132415155db"/>
    <x v="0"/>
    <d v="2017-08-24T00:00:00"/>
    <d v="2017-08-30T00:00:00"/>
    <d v="2017-09-07T00:00:00"/>
    <s v="health_beauty"/>
    <n v="59.12"/>
    <n v="12.49"/>
    <s v="boleto"/>
    <n v="4"/>
    <s v="delivered"/>
    <d v="2017-08-01T00:00:00"/>
    <n v="6"/>
    <n v="0"/>
    <n v="1"/>
    <n v="71.61"/>
    <n v="34.289599999999993"/>
    <n v="7.4939999999999998"/>
    <n v="17.336400000000005"/>
    <s v="0-7 days"/>
  </r>
  <r>
    <s v="b1b8106de27e9a13022b2e42cc1e713d"/>
    <x v="0"/>
    <d v="2017-08-24T00:00:00"/>
    <d v="2017-09-02T00:00:00"/>
    <d v="2017-09-09T00:00:00"/>
    <s v="auto"/>
    <n v="47.23"/>
    <n v="20.71"/>
    <s v="credit_card"/>
    <n v="5"/>
    <s v="delivered"/>
    <d v="2017-08-01T00:00:00"/>
    <n v="9"/>
    <n v="0"/>
    <n v="1"/>
    <n v="67.94"/>
    <n v="32.116399999999999"/>
    <n v="12.426"/>
    <n v="2.687599999999998"/>
    <s v="8-14 days"/>
  </r>
  <r>
    <s v="039a8ed5f337b2615f8392d5bb0c7919"/>
    <x v="1"/>
    <d v="2017-08-25T00:00:00"/>
    <d v="2017-09-09T00:00:00"/>
    <d v="2017-09-13T00:00:00"/>
    <s v="furniture_decor"/>
    <n v="109.06"/>
    <n v="23.65"/>
    <s v="boleto"/>
    <n v="5"/>
    <s v="delivered"/>
    <d v="2017-08-01T00:00:00"/>
    <n v="15"/>
    <n v="0"/>
    <n v="1"/>
    <n v="132.71"/>
    <n v="76.341999999999999"/>
    <n v="14.19"/>
    <n v="18.528000000000006"/>
    <s v="15-21 days"/>
  </r>
  <r>
    <s v="219c00cb9a7fde23af59aa66e75b2113"/>
    <x v="8"/>
    <d v="2017-08-25T00:00:00"/>
    <d v="2017-09-06T00:00:00"/>
    <d v="2017-09-18T00:00:00"/>
    <s v="health_beauty"/>
    <n v="262.7"/>
    <n v="33.5"/>
    <s v="credit_card"/>
    <n v="4"/>
    <s v="delivered"/>
    <d v="2017-08-01T00:00:00"/>
    <n v="12"/>
    <n v="0"/>
    <n v="1"/>
    <n v="296.2"/>
    <n v="152.36599999999999"/>
    <n v="20.099999999999998"/>
    <n v="90.234000000000009"/>
    <s v="8-14 days"/>
  </r>
  <r>
    <s v="8f188e729696dc6c671adde586b8afef"/>
    <x v="3"/>
    <d v="2017-08-25T00:00:00"/>
    <d v="2017-09-08T00:00:00"/>
    <d v="2017-09-18T00:00:00"/>
    <s v="bed_bath_table"/>
    <n v="65.12"/>
    <n v="21.43"/>
    <s v="credit_card"/>
    <n v="3"/>
    <s v="delivered"/>
    <d v="2017-08-01T00:00:00"/>
    <n v="14"/>
    <n v="0"/>
    <n v="1"/>
    <n v="86.550000000000011"/>
    <n v="40.374400000000001"/>
    <n v="12.857999999999999"/>
    <n v="11.887600000000004"/>
    <s v="8-14 days"/>
  </r>
  <r>
    <s v="bb7b6c0528522ca2f9d2014a22ee7f07"/>
    <x v="0"/>
    <d v="2017-08-26T00:00:00"/>
    <d v="2017-09-06T00:00:00"/>
    <d v="2017-09-13T00:00:00"/>
    <s v="toys"/>
    <n v="73"/>
    <n v="15.13"/>
    <s v="voucher"/>
    <n v="5"/>
    <s v="delivered"/>
    <d v="2017-08-01T00:00:00"/>
    <n v="11"/>
    <n v="0"/>
    <n v="1"/>
    <n v="88.13"/>
    <n v="43.8"/>
    <n v="9.0779999999999994"/>
    <n v="20.122000000000003"/>
    <s v="8-14 days"/>
  </r>
  <r>
    <s v="8548867bad5cba244d59616b7779857f"/>
    <x v="0"/>
    <d v="2017-08-26T00:00:00"/>
    <d v="2017-09-06T00:00:00"/>
    <d v="2017-09-13T00:00:00"/>
    <s v="furniture_decor"/>
    <n v="83.18"/>
    <n v="14.81"/>
    <s v="boleto"/>
    <n v="4"/>
    <s v="delivered"/>
    <d v="2017-08-01T00:00:00"/>
    <n v="11"/>
    <n v="0"/>
    <n v="1"/>
    <n v="97.990000000000009"/>
    <n v="58.225999999999999"/>
    <n v="8.8859999999999992"/>
    <n v="16.068000000000008"/>
    <s v="8-14 days"/>
  </r>
  <r>
    <s v="37275969459b082cf8d91bd645ad48ed"/>
    <x v="0"/>
    <d v="2017-08-26T00:00:00"/>
    <d v="2017-09-01T00:00:00"/>
    <d v="2017-09-09T00:00:00"/>
    <s v="computers_accessories"/>
    <n v="143.81"/>
    <n v="15.75"/>
    <s v="credit_card"/>
    <n v="4"/>
    <s v="delivered"/>
    <d v="2017-08-01T00:00:00"/>
    <n v="6"/>
    <n v="0"/>
    <n v="1"/>
    <n v="159.56"/>
    <n v="106.4194"/>
    <n v="9.4499999999999993"/>
    <n v="27.940600000000007"/>
    <s v="0-7 days"/>
  </r>
  <r>
    <s v="10bb794e2cef755790ad07c69a5c68ad"/>
    <x v="0"/>
    <d v="2017-08-27T00:00:00"/>
    <d v="2017-09-05T00:00:00"/>
    <d v="2017-09-11T00:00:00"/>
    <s v="health_beauty"/>
    <n v="26.94"/>
    <n v="18.100000000000001"/>
    <s v="credit_card"/>
    <n v="5"/>
    <s v="delivered"/>
    <d v="2017-08-01T00:00:00"/>
    <n v="9"/>
    <n v="0"/>
    <n v="1"/>
    <n v="45.040000000000006"/>
    <n v="15.6252"/>
    <n v="10.860000000000001"/>
    <n v="0.45480000000000054"/>
    <s v="8-14 days"/>
  </r>
  <r>
    <s v="080fc9b3226f93e79e5f992d39c29259"/>
    <x v="4"/>
    <d v="2017-08-27T00:00:00"/>
    <d v="2017-09-01T00:00:00"/>
    <d v="2017-09-16T00:00:00"/>
    <s v="health_beauty"/>
    <n v="40.68"/>
    <n v="24.08"/>
    <s v="credit_card"/>
    <n v="4"/>
    <s v="delivered"/>
    <d v="2017-08-01T00:00:00"/>
    <n v="5"/>
    <n v="0"/>
    <n v="1"/>
    <n v="64.759999999999991"/>
    <n v="23.594399999999997"/>
    <n v="14.447999999999999"/>
    <n v="2.6376000000000044"/>
    <s v="0-7 days"/>
  </r>
  <r>
    <s v="ea8e81315603534d0e03622c110a156d"/>
    <x v="4"/>
    <d v="2017-08-27T00:00:00"/>
    <d v="2017-09-04T00:00:00"/>
    <d v="2017-09-16T00:00:00"/>
    <s v="auto"/>
    <n v="73.069999999999993"/>
    <n v="16.64"/>
    <s v="credit_card"/>
    <n v="5"/>
    <s v="delivered"/>
    <d v="2017-08-01T00:00:00"/>
    <n v="8"/>
    <n v="0"/>
    <n v="1"/>
    <n v="89.71"/>
    <n v="49.687599999999996"/>
    <n v="9.984"/>
    <n v="13.398399999999997"/>
    <s v="8-14 days"/>
  </r>
  <r>
    <s v="a7bbc32d115ca8024310357dec801a6f"/>
    <x v="5"/>
    <d v="2017-08-27T00:00:00"/>
    <d v="2017-09-13T00:00:00"/>
    <d v="2017-09-23T00:00:00"/>
    <s v="sports_leisure"/>
    <n v="48.27"/>
    <n v="31.3"/>
    <s v="boleto"/>
    <n v="4"/>
    <s v="delivered"/>
    <d v="2017-08-01T00:00:00"/>
    <n v="17"/>
    <n v="0"/>
    <n v="1"/>
    <n v="79.570000000000007"/>
    <n v="30.892800000000001"/>
    <n v="18.78"/>
    <n v="-1.4027999999999992"/>
    <s v="15-21 days"/>
  </r>
  <r>
    <s v="0519ae3678df7714aa97ff5165fe3fdd"/>
    <x v="0"/>
    <d v="2017-08-27T00:00:00"/>
    <d v="2017-08-31T00:00:00"/>
    <d v="2017-09-12T00:00:00"/>
    <s v="watches_gifts"/>
    <n v="125.05"/>
    <n v="17.79"/>
    <s v="credit_card"/>
    <n v="4"/>
    <s v="delivered"/>
    <d v="2017-08-01T00:00:00"/>
    <n v="4"/>
    <n v="0"/>
    <n v="1"/>
    <n v="142.84"/>
    <n v="82.533000000000001"/>
    <n v="10.673999999999999"/>
    <n v="31.842999999999996"/>
    <s v="0-7 days"/>
  </r>
  <r>
    <s v="91468a8cf87f7210212e5fdd941ec447"/>
    <x v="3"/>
    <d v="2017-08-27T00:00:00"/>
    <d v="2017-09-16T00:00:00"/>
    <d v="2017-09-20T00:00:00"/>
    <s v="sports_leisure"/>
    <n v="98.44"/>
    <n v="30.76"/>
    <s v="credit_card"/>
    <n v="4"/>
    <s v="delivered"/>
    <d v="2017-08-01T00:00:00"/>
    <n v="20"/>
    <n v="0"/>
    <n v="1"/>
    <n v="129.19999999999999"/>
    <n v="63.001600000000003"/>
    <n v="18.456"/>
    <n v="16.982399999999995"/>
    <s v="15-21 days"/>
  </r>
  <r>
    <s v="92ebc686609c17ac40f3de91eb142767"/>
    <x v="8"/>
    <d v="2017-08-27T00:00:00"/>
    <d v="2017-09-11T00:00:00"/>
    <d v="2017-09-17T00:00:00"/>
    <s v="toys"/>
    <n v="74.91"/>
    <n v="20.78"/>
    <s v="credit_card"/>
    <n v="5"/>
    <s v="delivered"/>
    <d v="2017-08-01T00:00:00"/>
    <n v="15"/>
    <n v="0"/>
    <n v="1"/>
    <n v="95.69"/>
    <n v="44.945999999999998"/>
    <n v="12.468"/>
    <n v="17.495999999999999"/>
    <s v="15-21 days"/>
  </r>
  <r>
    <s v="c0f63229725d42593c4b1eec6231ee73"/>
    <x v="1"/>
    <d v="2017-08-28T00:00:00"/>
    <d v="2017-09-11T00:00:00"/>
    <d v="2017-09-16T00:00:00"/>
    <s v="sports_leisure"/>
    <n v="72.37"/>
    <n v="15.54"/>
    <s v="credit_card"/>
    <n v="5"/>
    <s v="delivered"/>
    <d v="2017-08-01T00:00:00"/>
    <n v="14"/>
    <n v="0"/>
    <n v="1"/>
    <n v="87.91"/>
    <n v="46.316800000000001"/>
    <n v="9.3239999999999998"/>
    <n v="16.729200000000006"/>
    <s v="8-14 days"/>
  </r>
  <r>
    <s v="2c0ef6cf727d264a4cc4a7e5fd25bca9"/>
    <x v="3"/>
    <d v="2017-08-28T00:00:00"/>
    <d v="2017-09-07T00:00:00"/>
    <d v="2017-09-20T00:00:00"/>
    <s v="housewares"/>
    <n v="135.02000000000001"/>
    <n v="28.53"/>
    <s v="credit_card"/>
    <n v="4"/>
    <s v="delivered"/>
    <d v="2017-08-01T00:00:00"/>
    <n v="10"/>
    <n v="0"/>
    <n v="1"/>
    <n v="163.55000000000001"/>
    <n v="85.062600000000003"/>
    <n v="17.117999999999999"/>
    <n v="32.839400000000012"/>
    <s v="8-14 days"/>
  </r>
  <r>
    <s v="92e33940a32c5e99fd26a41b221a7c4e"/>
    <x v="7"/>
    <d v="2017-08-29T00:00:00"/>
    <d v="2017-09-15T00:00:00"/>
    <d v="2017-09-18T00:00:00"/>
    <s v="bed_bath_table"/>
    <n v="65.27"/>
    <n v="22.61"/>
    <s v="credit_card"/>
    <n v="5"/>
    <s v="delivered"/>
    <d v="2017-08-01T00:00:00"/>
    <n v="17"/>
    <n v="0"/>
    <n v="1"/>
    <n v="87.88"/>
    <n v="40.467399999999998"/>
    <n v="13.565999999999999"/>
    <n v="11.236599999999999"/>
    <s v="15-21 days"/>
  </r>
  <r>
    <s v="00257ad1eb2263dd87c5421eec24a3c5"/>
    <x v="3"/>
    <d v="2017-08-30T00:00:00"/>
    <d v="2017-09-07T00:00:00"/>
    <d v="2017-09-25T00:00:00"/>
    <s v="health_beauty"/>
    <n v="65.02"/>
    <n v="30.02"/>
    <s v="credit_card"/>
    <n v="4"/>
    <s v="delivered"/>
    <d v="2017-08-01T00:00:00"/>
    <n v="8"/>
    <n v="0"/>
    <n v="1"/>
    <n v="95.039999999999992"/>
    <n v="37.711599999999997"/>
    <n v="18.012"/>
    <n v="9.2963999999999984"/>
    <s v="8-14 days"/>
  </r>
  <r>
    <s v="8eac0a33cdf974a7d882b5c1f79efd70"/>
    <x v="0"/>
    <d v="2017-08-30T00:00:00"/>
    <d v="2017-09-11T00:00:00"/>
    <d v="2017-09-16T00:00:00"/>
    <s v="sports_leisure"/>
    <n v="308.63"/>
    <n v="26.96"/>
    <s v="credit_card"/>
    <n v="3"/>
    <s v="delivered"/>
    <d v="2017-08-01T00:00:00"/>
    <n v="12"/>
    <n v="0"/>
    <n v="1"/>
    <n v="335.59"/>
    <n v="197.5232"/>
    <n v="16.175999999999998"/>
    <n v="94.930799999999991"/>
    <s v="8-14 days"/>
  </r>
  <r>
    <s v="9d4b2bf94d85e9c7a0017720200b2903"/>
    <x v="0"/>
    <d v="2017-08-30T00:00:00"/>
    <d v="2017-09-09T00:00:00"/>
    <d v="2017-09-18T00:00:00"/>
    <s v="housewares"/>
    <n v="38.68"/>
    <n v="17.059999999999999"/>
    <s v="credit_card"/>
    <n v="4"/>
    <s v="delivered"/>
    <d v="2017-08-01T00:00:00"/>
    <n v="10"/>
    <n v="0"/>
    <n v="1"/>
    <n v="55.739999999999995"/>
    <n v="24.368400000000001"/>
    <n v="10.235999999999999"/>
    <n v="4.0755999999999997"/>
    <s v="8-14 days"/>
  </r>
  <r>
    <s v="48d9084655c551fcfba57cc8edaf3766"/>
    <x v="6"/>
    <d v="2017-08-30T00:00:00"/>
    <d v="2017-09-23T00:00:00"/>
    <d v="2017-09-29T00:00:00"/>
    <s v="health_beauty"/>
    <n v="41.54"/>
    <n v="33.369999999999997"/>
    <s v="credit_card"/>
    <n v="2"/>
    <s v="delivered"/>
    <d v="2017-08-01T00:00:00"/>
    <n v="24"/>
    <n v="0"/>
    <n v="1"/>
    <n v="74.91"/>
    <n v="24.0932"/>
    <n v="20.021999999999998"/>
    <n v="-2.5751999999999988"/>
    <s v="22+ days"/>
  </r>
  <r>
    <s v="015d441f8e220c2dea7719193dddd241"/>
    <x v="8"/>
    <d v="2017-08-30T00:00:00"/>
    <d v="2017-09-09T00:00:00"/>
    <d v="2017-09-25T00:00:00"/>
    <s v="furniture_decor"/>
    <n v="143.96"/>
    <n v="23.95"/>
    <s v="credit_card"/>
    <n v="3"/>
    <s v="delivered"/>
    <d v="2017-08-01T00:00:00"/>
    <n v="10"/>
    <n v="0"/>
    <n v="1"/>
    <n v="167.91"/>
    <n v="100.77200000000001"/>
    <n v="14.37"/>
    <n v="28.818000000000005"/>
    <s v="8-14 days"/>
  </r>
  <r>
    <s v="ff91e34055818a4240c9f77ea45532d8"/>
    <x v="1"/>
    <d v="2017-08-30T00:00:00"/>
    <d v="2017-09-09T00:00:00"/>
    <d v="2017-09-21T00:00:00"/>
    <s v="health_beauty"/>
    <n v="144.84"/>
    <n v="26.01"/>
    <s v="credit_card"/>
    <n v="4"/>
    <s v="delivered"/>
    <d v="2017-08-01T00:00:00"/>
    <n v="10"/>
    <n v="0"/>
    <n v="1"/>
    <n v="170.85"/>
    <n v="84.007199999999997"/>
    <n v="15.606"/>
    <n v="45.226800000000004"/>
    <s v="8-14 days"/>
  </r>
  <r>
    <s v="7f7f6c0a07c0d116a394ed549e3c5a88"/>
    <x v="3"/>
    <d v="2017-08-31T00:00:00"/>
    <d v="2017-09-16T00:00:00"/>
    <d v="2017-09-21T00:00:00"/>
    <s v="sports_leisure"/>
    <n v="62.5"/>
    <n v="24.36"/>
    <s v="boleto"/>
    <n v="3"/>
    <s v="delivered"/>
    <d v="2017-08-01T00:00:00"/>
    <n v="16"/>
    <n v="0"/>
    <n v="1"/>
    <n v="86.86"/>
    <n v="40"/>
    <n v="14.616"/>
    <n v="7.8840000000000003"/>
    <s v="15-21 days"/>
  </r>
  <r>
    <s v="38e7e019fb8986c8c7ecfe71d49347fc"/>
    <x v="8"/>
    <d v="2017-08-31T00:00:00"/>
    <d v="2017-09-12T00:00:00"/>
    <d v="2017-09-23T00:00:00"/>
    <s v="furniture_decor"/>
    <n v="152.72999999999999"/>
    <n v="17.93"/>
    <s v="credit_card"/>
    <n v="4"/>
    <s v="delivered"/>
    <d v="2017-08-01T00:00:00"/>
    <n v="12"/>
    <n v="0"/>
    <n v="1"/>
    <n v="170.66"/>
    <n v="106.91099999999999"/>
    <n v="10.757999999999999"/>
    <n v="35.061000000000007"/>
    <s v="8-14 days"/>
  </r>
  <r>
    <s v="df41c15518d2bfd058622bb4f9cc596e"/>
    <x v="0"/>
    <d v="2017-08-31T00:00:00"/>
    <d v="2017-09-07T00:00:00"/>
    <d v="2017-09-16T00:00:00"/>
    <s v="sports_leisure"/>
    <n v="116.35"/>
    <n v="18.45"/>
    <s v="credit_card"/>
    <n v="4"/>
    <s v="delivered"/>
    <d v="2017-08-01T00:00:00"/>
    <n v="7"/>
    <n v="0"/>
    <n v="1"/>
    <n v="134.79999999999998"/>
    <n v="74.463999999999999"/>
    <n v="11.069999999999999"/>
    <n v="30.815999999999995"/>
    <s v="0-7 days"/>
  </r>
  <r>
    <s v="f737e8bc90266418cc45e20cf48f854e"/>
    <x v="4"/>
    <d v="2017-08-31T00:00:00"/>
    <d v="2017-09-12T00:00:00"/>
    <d v="2017-09-19T00:00:00"/>
    <s v="sports_leisure"/>
    <n v="37.58"/>
    <n v="16.66"/>
    <s v="credit_card"/>
    <n v="5"/>
    <s v="delivered"/>
    <d v="2017-08-01T00:00:00"/>
    <n v="12"/>
    <n v="0"/>
    <n v="1"/>
    <n v="54.239999999999995"/>
    <n v="24.051199999999998"/>
    <n v="9.9960000000000004"/>
    <n v="3.5327999999999999"/>
    <s v="8-14 days"/>
  </r>
  <r>
    <s v="5c009a69aa373383ef9e3c5cb340e35d"/>
    <x v="1"/>
    <d v="2017-08-31T00:00:00"/>
    <d v="2017-09-17T00:00:00"/>
    <d v="2017-09-23T00:00:00"/>
    <s v="furniture_decor"/>
    <n v="181.57"/>
    <n v="19.28"/>
    <s v="voucher"/>
    <n v="5"/>
    <s v="delivered"/>
    <d v="2017-08-01T00:00:00"/>
    <n v="17"/>
    <n v="0"/>
    <n v="1"/>
    <n v="200.85"/>
    <n v="127.09899999999999"/>
    <n v="11.568"/>
    <n v="42.903000000000006"/>
    <s v="15-21 days"/>
  </r>
  <r>
    <s v="6dc86ca7b8e725ebf38321e3d6667cff"/>
    <x v="9"/>
    <d v="2017-08-31T00:00:00"/>
    <d v="2017-09-09T00:00:00"/>
    <d v="2017-09-27T00:00:00"/>
    <s v="watches_gifts"/>
    <n v="184.32"/>
    <n v="23.27"/>
    <s v="credit_card"/>
    <n v="5"/>
    <s v="delivered"/>
    <d v="2017-08-01T00:00:00"/>
    <n v="9"/>
    <n v="0"/>
    <n v="1"/>
    <n v="207.59"/>
    <n v="121.6512"/>
    <n v="13.962"/>
    <n v="48.706799999999987"/>
    <s v="8-14 days"/>
  </r>
  <r>
    <s v="8217009bf29ea0cebe3ccfac0835f5f4"/>
    <x v="0"/>
    <d v="2017-08-31T00:00:00"/>
    <d v="2017-09-09T00:00:00"/>
    <d v="2017-09-16T00:00:00"/>
    <s v="housewares"/>
    <n v="78.540000000000006"/>
    <n v="22.11"/>
    <s v="credit_card"/>
    <n v="5"/>
    <s v="delivered"/>
    <d v="2017-08-01T00:00:00"/>
    <n v="9"/>
    <n v="0"/>
    <n v="1"/>
    <n v="100.65"/>
    <n v="49.480200000000004"/>
    <n v="13.266"/>
    <n v="15.793800000000003"/>
    <s v="8-14 days"/>
  </r>
  <r>
    <s v="016b6287b00805cca7f36ae925c73c44"/>
    <x v="0"/>
    <d v="2017-09-01T00:00:00"/>
    <d v="2017-09-12T00:00:00"/>
    <d v="2017-09-12T00:00:00"/>
    <s v="computers_accessories"/>
    <n v="153.61000000000001"/>
    <n v="17.77"/>
    <s v="boleto"/>
    <n v="5"/>
    <s v="delivered"/>
    <d v="2017-09-01T00:00:00"/>
    <n v="11"/>
    <n v="0"/>
    <n v="1"/>
    <n v="171.38000000000002"/>
    <n v="113.67140000000001"/>
    <n v="10.661999999999999"/>
    <n v="29.276600000000009"/>
    <s v="8-14 days"/>
  </r>
  <r>
    <s v="8fb8b73685406adb983ae2351891f8cf"/>
    <x v="4"/>
    <d v="2017-09-02T00:00:00"/>
    <d v="2017-09-15T00:00:00"/>
    <d v="2017-09-22T00:00:00"/>
    <s v="sports_leisure"/>
    <n v="61.78"/>
    <n v="17.11"/>
    <s v="boleto"/>
    <n v="4"/>
    <s v="delivered"/>
    <d v="2017-09-01T00:00:00"/>
    <n v="13"/>
    <n v="0"/>
    <n v="1"/>
    <n v="78.89"/>
    <n v="39.539200000000001"/>
    <n v="10.266"/>
    <n v="11.9748"/>
    <s v="8-14 days"/>
  </r>
  <r>
    <s v="6dbbf0f8964f05a1a68e851a0bcfed34"/>
    <x v="0"/>
    <d v="2017-09-02T00:00:00"/>
    <d v="2017-09-11T00:00:00"/>
    <d v="2017-09-18T00:00:00"/>
    <s v="sports_leisure"/>
    <n v="113.3"/>
    <n v="22.82"/>
    <s v="credit_card"/>
    <n v="4"/>
    <s v="delivered"/>
    <d v="2017-09-01T00:00:00"/>
    <n v="9"/>
    <n v="0"/>
    <n v="1"/>
    <n v="136.12"/>
    <n v="72.512"/>
    <n v="13.692"/>
    <n v="27.095999999999997"/>
    <s v="8-14 days"/>
  </r>
  <r>
    <s v="bab2b77dfa740cc8a43afb7ac40d4874"/>
    <x v="0"/>
    <d v="2017-09-03T00:00:00"/>
    <d v="2017-09-08T00:00:00"/>
    <d v="2017-09-24T00:00:00"/>
    <s v="auto"/>
    <n v="47.11"/>
    <n v="19.52"/>
    <s v="credit_card"/>
    <n v="5"/>
    <s v="delivered"/>
    <d v="2017-09-01T00:00:00"/>
    <n v="5"/>
    <n v="0"/>
    <n v="1"/>
    <n v="66.63"/>
    <n v="32.034800000000004"/>
    <n v="11.712"/>
    <n v="3.3631999999999955"/>
    <s v="0-7 days"/>
  </r>
  <r>
    <s v="a1aa19f0a26c2d5a742617e7fbc1085b"/>
    <x v="5"/>
    <d v="2017-09-03T00:00:00"/>
    <d v="2017-09-21T00:00:00"/>
    <d v="2017-09-26T00:00:00"/>
    <s v="auto"/>
    <n v="111.98"/>
    <n v="28.95"/>
    <s v="boleto"/>
    <n v="4"/>
    <s v="delivered"/>
    <d v="2017-09-01T00:00:00"/>
    <n v="18"/>
    <n v="0"/>
    <n v="1"/>
    <n v="140.93"/>
    <n v="76.146400000000014"/>
    <n v="17.369999999999997"/>
    <n v="18.463599999999992"/>
    <s v="15-21 days"/>
  </r>
  <r>
    <s v="9770d013b080e9957ea7ccb8b0ad194d"/>
    <x v="6"/>
    <d v="2017-09-03T00:00:00"/>
    <d v="2017-09-28T00:00:00"/>
    <d v="2017-10-01T00:00:00"/>
    <s v="bed_bath_table"/>
    <n v="90.87"/>
    <n v="23.27"/>
    <s v="boleto"/>
    <n v="5"/>
    <s v="delivered"/>
    <d v="2017-09-01T00:00:00"/>
    <n v="25"/>
    <n v="0"/>
    <n v="1"/>
    <n v="114.14"/>
    <n v="56.339400000000005"/>
    <n v="13.962"/>
    <n v="20.5686"/>
    <s v="22+ days"/>
  </r>
  <r>
    <s v="54a2f8bdc228a0e7d51a8247dbc4da67"/>
    <x v="0"/>
    <d v="2017-09-03T00:00:00"/>
    <d v="2017-09-08T00:00:00"/>
    <d v="2017-09-18T00:00:00"/>
    <s v="watches_gifts"/>
    <n v="107.22"/>
    <n v="17.8"/>
    <s v="credit_card"/>
    <n v="5"/>
    <s v="delivered"/>
    <d v="2017-09-01T00:00:00"/>
    <n v="5"/>
    <n v="0"/>
    <n v="1"/>
    <n v="125.02"/>
    <n v="70.765200000000007"/>
    <n v="10.68"/>
    <n v="25.774799999999992"/>
    <s v="0-7 days"/>
  </r>
  <r>
    <s v="437956f8eb8acd151f2d3573cfea9738"/>
    <x v="6"/>
    <d v="2017-09-03T00:00:00"/>
    <d v="2017-09-20T00:00:00"/>
    <d v="2017-10-06T00:00:00"/>
    <s v="toys"/>
    <n v="27.86"/>
    <n v="33.67"/>
    <s v="boleto"/>
    <n v="4"/>
    <s v="delivered"/>
    <d v="2017-09-01T00:00:00"/>
    <n v="17"/>
    <n v="0"/>
    <n v="1"/>
    <n v="61.53"/>
    <n v="16.715999999999998"/>
    <n v="20.202000000000002"/>
    <n v="-9.0579999999999998"/>
    <s v="15-21 days"/>
  </r>
  <r>
    <s v="4764a95699685a3ce68479846b0dd81d"/>
    <x v="0"/>
    <d v="2017-09-04T00:00:00"/>
    <d v="2017-09-12T00:00:00"/>
    <d v="2017-09-21T00:00:00"/>
    <s v="watches_gifts"/>
    <n v="126.76"/>
    <n v="20.92"/>
    <s v="credit_card"/>
    <n v="5"/>
    <s v="delivered"/>
    <d v="2017-09-01T00:00:00"/>
    <n v="8"/>
    <n v="0"/>
    <n v="1"/>
    <n v="147.68"/>
    <n v="83.661600000000007"/>
    <n v="12.552000000000001"/>
    <n v="30.546399999999998"/>
    <s v="8-14 days"/>
  </r>
  <r>
    <s v="2c3a11e7c9164a3b42fd68fbcff88b63"/>
    <x v="0"/>
    <d v="2017-09-04T00:00:00"/>
    <d v="2017-09-13T00:00:00"/>
    <d v="2017-09-20T00:00:00"/>
    <s v="housewares"/>
    <n v="73.569999999999993"/>
    <n v="21.85"/>
    <s v="boleto"/>
    <n v="5"/>
    <s v="delivered"/>
    <d v="2017-09-01T00:00:00"/>
    <n v="9"/>
    <n v="0"/>
    <n v="1"/>
    <n v="95.419999999999987"/>
    <n v="46.349099999999993"/>
    <n v="13.110000000000001"/>
    <n v="14.110899999999999"/>
    <s v="8-14 days"/>
  </r>
  <r>
    <s v="db721b1452c2526e737e68ed8b0409e4"/>
    <x v="0"/>
    <d v="2017-09-05T00:00:00"/>
    <d v="2017-09-17T00:00:00"/>
    <d v="2017-09-25T00:00:00"/>
    <s v="sports_leisure"/>
    <n v="202.76"/>
    <n v="22.85"/>
    <s v="credit_card"/>
    <n v="4"/>
    <s v="delivered"/>
    <d v="2017-09-01T00:00:00"/>
    <n v="12"/>
    <n v="0"/>
    <n v="1"/>
    <n v="225.60999999999999"/>
    <n v="129.7664"/>
    <n v="13.71"/>
    <n v="59.283599999999986"/>
    <s v="8-14 days"/>
  </r>
  <r>
    <s v="4d2954179909b9c7bf30bbb67c69797c"/>
    <x v="0"/>
    <d v="2017-09-05T00:00:00"/>
    <d v="2017-09-21T00:00:00"/>
    <d v="2017-09-20T00:00:00"/>
    <s v="housewares"/>
    <n v="221.51"/>
    <n v="23.72"/>
    <s v="boleto"/>
    <n v="3"/>
    <s v="delivered"/>
    <d v="2017-09-01T00:00:00"/>
    <n v="16"/>
    <n v="1"/>
    <n v="0"/>
    <n v="245.23"/>
    <n v="139.5513"/>
    <n v="14.231999999999999"/>
    <n v="67.726699999999994"/>
    <s v="15-21 days"/>
  </r>
  <r>
    <s v="32a4a8a432f9b77107997940f9adde7d"/>
    <x v="2"/>
    <d v="2017-09-06T00:00:00"/>
    <d v="2017-09-15T00:00:00"/>
    <d v="2017-09-29T00:00:00"/>
    <s v="furniture_decor"/>
    <n v="452.56"/>
    <n v="29.99"/>
    <s v="credit_card"/>
    <n v="4"/>
    <s v="delivered"/>
    <d v="2017-09-01T00:00:00"/>
    <n v="9"/>
    <n v="0"/>
    <n v="1"/>
    <n v="482.55"/>
    <n v="316.79199999999997"/>
    <n v="17.994"/>
    <n v="117.77400000000003"/>
    <s v="8-14 days"/>
  </r>
  <r>
    <s v="0622a2946399839fcc0e8c1b6ecff11d"/>
    <x v="11"/>
    <d v="2017-09-06T00:00:00"/>
    <d v="2017-09-23T00:00:00"/>
    <d v="2017-10-10T00:00:00"/>
    <s v="computers_accessories"/>
    <n v="129.09"/>
    <n v="32.270000000000003"/>
    <s v="voucher"/>
    <n v="4"/>
    <s v="delivered"/>
    <d v="2017-09-01T00:00:00"/>
    <n v="17"/>
    <n v="0"/>
    <n v="1"/>
    <n v="161.36000000000001"/>
    <n v="95.526600000000002"/>
    <n v="19.362000000000002"/>
    <n v="14.2014"/>
    <s v="15-21 days"/>
  </r>
  <r>
    <s v="925d5ff485664da48422edc700dc1d6c"/>
    <x v="0"/>
    <d v="2017-09-07T00:00:00"/>
    <d v="2017-09-15T00:00:00"/>
    <d v="2017-09-23T00:00:00"/>
    <s v="auto"/>
    <n v="89.29"/>
    <n v="18.71"/>
    <s v="boleto"/>
    <n v="3"/>
    <s v="delivered"/>
    <d v="2017-09-01T00:00:00"/>
    <n v="8"/>
    <n v="0"/>
    <n v="1"/>
    <n v="108"/>
    <n v="60.717200000000005"/>
    <n v="11.226000000000001"/>
    <n v="17.346800000000002"/>
    <s v="8-14 days"/>
  </r>
  <r>
    <s v="fe9a7df943974997fae2dcede5693bb5"/>
    <x v="3"/>
    <d v="2017-09-08T00:00:00"/>
    <d v="2017-09-20T00:00:00"/>
    <d v="2017-10-03T00:00:00"/>
    <s v="watches_gifts"/>
    <n v="80.709999999999994"/>
    <n v="30.77"/>
    <s v="boleto"/>
    <n v="3"/>
    <s v="delivered"/>
    <d v="2017-09-01T00:00:00"/>
    <n v="12"/>
    <n v="0"/>
    <n v="1"/>
    <n v="111.47999999999999"/>
    <n v="53.268599999999999"/>
    <n v="18.462"/>
    <n v="8.9793999999999947"/>
    <s v="8-14 days"/>
  </r>
  <r>
    <s v="a5c8c0727a4578419d0953a0bd5ced10"/>
    <x v="0"/>
    <d v="2017-09-08T00:00:00"/>
    <d v="2017-09-18T00:00:00"/>
    <d v="2017-09-22T00:00:00"/>
    <s v="health_beauty"/>
    <n v="52.52"/>
    <n v="12.72"/>
    <s v="boleto"/>
    <n v="4"/>
    <s v="delivered"/>
    <d v="2017-09-01T00:00:00"/>
    <n v="10"/>
    <n v="0"/>
    <n v="1"/>
    <n v="65.240000000000009"/>
    <n v="30.461600000000001"/>
    <n v="7.6319999999999997"/>
    <n v="14.426400000000003"/>
    <s v="8-14 days"/>
  </r>
  <r>
    <s v="1a6cf45952f6531fa605b7c9fb07ee93"/>
    <x v="1"/>
    <d v="2017-09-09T00:00:00"/>
    <d v="2017-09-20T00:00:00"/>
    <d v="2017-10-01T00:00:00"/>
    <s v="sports_leisure"/>
    <n v="95.67"/>
    <n v="16.559999999999999"/>
    <s v="credit_card"/>
    <n v="5"/>
    <s v="delivered"/>
    <d v="2017-09-01T00:00:00"/>
    <n v="11"/>
    <n v="0"/>
    <n v="1"/>
    <n v="112.23"/>
    <n v="61.2288"/>
    <n v="9.9359999999999982"/>
    <n v="24.505200000000002"/>
    <s v="8-14 days"/>
  </r>
  <r>
    <s v="c33ffef764bf2e8c903389b46ce052ef"/>
    <x v="2"/>
    <d v="2017-09-09T00:00:00"/>
    <d v="2017-09-22T00:00:00"/>
    <d v="2017-10-03T00:00:00"/>
    <s v="sports_leisure"/>
    <n v="57.65"/>
    <n v="23.48"/>
    <s v="credit_card"/>
    <n v="5"/>
    <s v="delivered"/>
    <d v="2017-09-01T00:00:00"/>
    <n v="13"/>
    <n v="0"/>
    <n v="1"/>
    <n v="81.13"/>
    <n v="36.896000000000001"/>
    <n v="14.087999999999999"/>
    <n v="6.6659999999999986"/>
    <s v="8-14 days"/>
  </r>
  <r>
    <s v="7ff72b2097eea179afd063d635dde534"/>
    <x v="0"/>
    <d v="2017-09-09T00:00:00"/>
    <d v="2017-09-21T00:00:00"/>
    <d v="2017-09-25T00:00:00"/>
    <s v="health_beauty"/>
    <n v="36.619999999999997"/>
    <n v="16.170000000000002"/>
    <s v="credit_card"/>
    <n v="5"/>
    <s v="delivered"/>
    <d v="2017-09-01T00:00:00"/>
    <n v="12"/>
    <n v="0"/>
    <n v="1"/>
    <n v="52.79"/>
    <n v="21.239599999999996"/>
    <n v="9.702"/>
    <n v="5.6784000000000017"/>
    <s v="8-14 days"/>
  </r>
  <r>
    <s v="83c74cbe916baf876c27316bdd05b827"/>
    <x v="0"/>
    <d v="2017-09-10T00:00:00"/>
    <d v="2017-09-26T00:00:00"/>
    <d v="2017-09-27T00:00:00"/>
    <s v="sports_leisure"/>
    <n v="45.95"/>
    <n v="16.260000000000002"/>
    <s v="boleto"/>
    <n v="5"/>
    <s v="delivered"/>
    <d v="2017-09-01T00:00:00"/>
    <n v="16"/>
    <n v="0"/>
    <n v="1"/>
    <n v="62.210000000000008"/>
    <n v="29.408000000000001"/>
    <n v="9.7560000000000002"/>
    <n v="6.7860000000000014"/>
    <s v="15-21 days"/>
  </r>
  <r>
    <s v="ab73860c83f079b3f78ffd83b05ab6bf"/>
    <x v="0"/>
    <d v="2017-09-10T00:00:00"/>
    <d v="2017-09-24T00:00:00"/>
    <d v="2017-09-24T00:00:00"/>
    <s v="housewares"/>
    <n v="114.36"/>
    <n v="15"/>
    <s v="credit_card"/>
    <n v="4"/>
    <s v="delivered"/>
    <d v="2017-09-01T00:00:00"/>
    <n v="14"/>
    <n v="0"/>
    <n v="1"/>
    <n v="129.36000000000001"/>
    <n v="72.046800000000005"/>
    <n v="9"/>
    <n v="33.313199999999995"/>
    <s v="8-14 days"/>
  </r>
  <r>
    <s v="fd8793606593837999d8dfd21cd98e6b"/>
    <x v="0"/>
    <d v="2017-09-10T00:00:00"/>
    <d v="2017-09-21T00:00:00"/>
    <d v="2017-09-27T00:00:00"/>
    <s v="computers_accessories"/>
    <n v="69.349999999999994"/>
    <n v="17.260000000000002"/>
    <s v="credit_card"/>
    <n v="5"/>
    <s v="delivered"/>
    <d v="2017-09-01T00:00:00"/>
    <n v="11"/>
    <n v="0"/>
    <n v="1"/>
    <n v="86.61"/>
    <n v="51.318999999999996"/>
    <n v="10.356"/>
    <n v="7.6749999999999989"/>
    <s v="8-14 days"/>
  </r>
  <r>
    <s v="3ac2bf85b8cac62fd6e88c2ccabac975"/>
    <x v="3"/>
    <d v="2017-09-10T00:00:00"/>
    <d v="2017-09-22T00:00:00"/>
    <d v="2017-10-05T00:00:00"/>
    <s v="housewares"/>
    <n v="33.83"/>
    <n v="23.1"/>
    <s v="boleto"/>
    <n v="5"/>
    <s v="delivered"/>
    <d v="2017-09-01T00:00:00"/>
    <n v="12"/>
    <n v="0"/>
    <n v="1"/>
    <n v="56.93"/>
    <n v="21.312899999999999"/>
    <n v="13.860000000000001"/>
    <n v="-1.342900000000002"/>
    <s v="8-14 days"/>
  </r>
  <r>
    <s v="b3932fb84fd4c793016f2931fa1b1bac"/>
    <x v="3"/>
    <d v="2017-09-11T00:00:00"/>
    <d v="2017-10-01T00:00:00"/>
    <d v="2017-10-02T00:00:00"/>
    <s v="bed_bath_table"/>
    <n v="61.79"/>
    <n v="16.920000000000002"/>
    <s v="credit_card"/>
    <n v="4"/>
    <s v="delivered"/>
    <d v="2017-09-01T00:00:00"/>
    <n v="20"/>
    <n v="0"/>
    <n v="1"/>
    <n v="78.710000000000008"/>
    <n v="38.309800000000003"/>
    <n v="10.152000000000001"/>
    <n v="13.328199999999995"/>
    <s v="15-21 days"/>
  </r>
  <r>
    <s v="d0b3575ef309824633ca623ff30113f0"/>
    <x v="0"/>
    <d v="2017-09-11T00:00:00"/>
    <d v="2017-09-17T00:00:00"/>
    <d v="2017-09-30T00:00:00"/>
    <s v="watches_gifts"/>
    <n v="125.57"/>
    <n v="15.59"/>
    <s v="credit_card"/>
    <n v="4"/>
    <s v="delivered"/>
    <d v="2017-09-01T00:00:00"/>
    <n v="6"/>
    <n v="0"/>
    <n v="1"/>
    <n v="141.16"/>
    <n v="82.876199999999997"/>
    <n v="9.3539999999999992"/>
    <n v="33.339799999999997"/>
    <s v="0-7 days"/>
  </r>
  <r>
    <s v="0cf2b69b0577aea9f899924698de8ebb"/>
    <x v="3"/>
    <d v="2017-09-12T00:00:00"/>
    <d v="2017-11-06T00:00:00"/>
    <d v="2017-10-05T00:00:00"/>
    <s v="health_beauty"/>
    <n v="66.02"/>
    <n v="25.45"/>
    <s v="boleto"/>
    <n v="2"/>
    <s v="delivered"/>
    <d v="2017-09-01T00:00:00"/>
    <n v="55"/>
    <n v="32"/>
    <n v="0"/>
    <n v="91.47"/>
    <n v="38.291599999999995"/>
    <n v="15.27"/>
    <n v="12.458400000000001"/>
    <s v="22+ days"/>
  </r>
  <r>
    <s v="676d5654845e8f4ec256f22482b248b6"/>
    <x v="0"/>
    <d v="2017-09-12T00:00:00"/>
    <d v="2017-09-19T00:00:00"/>
    <d v="2017-09-30T00:00:00"/>
    <s v="watches_gifts"/>
    <n v="143.69999999999999"/>
    <n v="16.059999999999999"/>
    <s v="boleto"/>
    <n v="5"/>
    <s v="delivered"/>
    <d v="2017-09-01T00:00:00"/>
    <n v="7"/>
    <n v="0"/>
    <n v="1"/>
    <n v="159.76"/>
    <n v="94.841999999999999"/>
    <n v="9.6359999999999992"/>
    <n v="39.221999999999994"/>
    <s v="0-7 days"/>
  </r>
  <r>
    <s v="babddfeae59cfdf43cbeaea26a42b826"/>
    <x v="4"/>
    <d v="2017-09-12T00:00:00"/>
    <d v="2017-09-28T00:00:00"/>
    <d v="2017-09-30T00:00:00"/>
    <s v="sports_leisure"/>
    <n v="127.99"/>
    <n v="30.44"/>
    <s v="credit_card"/>
    <n v="5"/>
    <s v="delivered"/>
    <d v="2017-09-01T00:00:00"/>
    <n v="16"/>
    <n v="0"/>
    <n v="1"/>
    <n v="158.43"/>
    <n v="81.913600000000002"/>
    <n v="18.263999999999999"/>
    <n v="27.812399999999993"/>
    <s v="15-21 days"/>
  </r>
  <r>
    <s v="fcc4091bf45707c678946a15c34201db"/>
    <x v="1"/>
    <d v="2017-09-13T00:00:00"/>
    <d v="2017-09-20T00:00:00"/>
    <d v="2017-10-02T00:00:00"/>
    <s v="auto"/>
    <n v="123.35"/>
    <n v="26.03"/>
    <s v="boleto"/>
    <n v="4"/>
    <s v="delivered"/>
    <d v="2017-09-01T00:00:00"/>
    <n v="7"/>
    <n v="0"/>
    <n v="1"/>
    <n v="149.38"/>
    <n v="83.878"/>
    <n v="15.618"/>
    <n v="23.853999999999992"/>
    <s v="0-7 days"/>
  </r>
  <r>
    <s v="f64d4de0a92a9880368413397fcbcf31"/>
    <x v="3"/>
    <d v="2017-09-13T00:00:00"/>
    <d v="2017-09-24T00:00:00"/>
    <d v="2017-10-06T00:00:00"/>
    <s v="toys"/>
    <n v="96.15"/>
    <n v="19.37"/>
    <s v="boleto"/>
    <n v="4"/>
    <s v="delivered"/>
    <d v="2017-09-01T00:00:00"/>
    <n v="11"/>
    <n v="0"/>
    <n v="1"/>
    <n v="115.52000000000001"/>
    <n v="57.69"/>
    <n v="11.622"/>
    <n v="26.838000000000008"/>
    <s v="8-14 days"/>
  </r>
  <r>
    <s v="84a2092d2777fe38b58d4c9759df5bb2"/>
    <x v="1"/>
    <d v="2017-09-13T00:00:00"/>
    <d v="2017-09-26T00:00:00"/>
    <d v="2017-10-09T00:00:00"/>
    <s v="toys"/>
    <n v="63.98"/>
    <n v="23.99"/>
    <s v="boleto"/>
    <n v="5"/>
    <s v="delivered"/>
    <d v="2017-09-01T00:00:00"/>
    <n v="13"/>
    <n v="0"/>
    <n v="1"/>
    <n v="87.97"/>
    <n v="38.387999999999998"/>
    <n v="14.393999999999998"/>
    <n v="11.198"/>
    <s v="8-14 days"/>
  </r>
  <r>
    <s v="0d325a89aa088f0d02d1269daae53fff"/>
    <x v="10"/>
    <d v="2017-09-13T00:00:00"/>
    <d v="2017-09-27T00:00:00"/>
    <d v="2017-10-15T00:00:00"/>
    <s v="housewares"/>
    <n v="24.66"/>
    <n v="46.08"/>
    <s v="boleto"/>
    <n v="4"/>
    <s v="delivered"/>
    <d v="2017-09-01T00:00:00"/>
    <n v="14"/>
    <n v="0"/>
    <n v="1"/>
    <n v="70.739999999999995"/>
    <n v="15.5358"/>
    <n v="27.648"/>
    <n v="-18.523800000000001"/>
    <s v="8-14 days"/>
  </r>
  <r>
    <s v="69f27da18971ff47114181427df782eb"/>
    <x v="0"/>
    <d v="2017-09-13T00:00:00"/>
    <d v="2017-09-18T00:00:00"/>
    <d v="2017-09-28T00:00:00"/>
    <s v="housewares"/>
    <n v="208.4"/>
    <n v="22.55"/>
    <s v="credit_card"/>
    <n v="5"/>
    <s v="delivered"/>
    <d v="2017-09-01T00:00:00"/>
    <n v="5"/>
    <n v="0"/>
    <n v="1"/>
    <n v="230.95000000000002"/>
    <n v="131.292"/>
    <n v="13.53"/>
    <n v="63.578000000000003"/>
    <s v="0-7 days"/>
  </r>
  <r>
    <s v="58c6d166fe65b78257c26cfdf9d59f7f"/>
    <x v="4"/>
    <d v="2017-09-14T00:00:00"/>
    <d v="2017-09-25T00:00:00"/>
    <d v="2017-10-08T00:00:00"/>
    <s v="health_beauty"/>
    <n v="90.93"/>
    <n v="16.260000000000002"/>
    <s v="credit_card"/>
    <n v="4"/>
    <s v="delivered"/>
    <d v="2017-09-01T00:00:00"/>
    <n v="11"/>
    <n v="0"/>
    <n v="1"/>
    <n v="107.19000000000001"/>
    <n v="52.739400000000003"/>
    <n v="9.7560000000000002"/>
    <n v="28.434600000000003"/>
    <s v="8-14 days"/>
  </r>
  <r>
    <s v="6577b89106ecbbf336160e063ee2bae3"/>
    <x v="0"/>
    <d v="2017-09-14T00:00:00"/>
    <d v="2017-09-25T00:00:00"/>
    <d v="2017-09-29T00:00:00"/>
    <s v="watches_gifts"/>
    <n v="79.98"/>
    <n v="18.32"/>
    <s v="credit_card"/>
    <n v="5"/>
    <s v="delivered"/>
    <d v="2017-09-01T00:00:00"/>
    <n v="11"/>
    <n v="0"/>
    <n v="1"/>
    <n v="98.300000000000011"/>
    <n v="52.786800000000007"/>
    <n v="10.991999999999999"/>
    <n v="16.2012"/>
    <s v="8-14 days"/>
  </r>
  <r>
    <s v="dbb6c4a302e7848415c78ccb7bf80355"/>
    <x v="5"/>
    <d v="2017-09-14T00:00:00"/>
    <d v="2017-10-13T00:00:00"/>
    <d v="2017-10-02T00:00:00"/>
    <s v="auto"/>
    <n v="201.3"/>
    <n v="20.49"/>
    <s v="credit_card"/>
    <n v="3"/>
    <s v="delivered"/>
    <d v="2017-09-01T00:00:00"/>
    <n v="29"/>
    <n v="11"/>
    <n v="0"/>
    <n v="221.79000000000002"/>
    <n v="136.88400000000001"/>
    <n v="12.293999999999999"/>
    <n v="52.122"/>
    <s v="22+ days"/>
  </r>
  <r>
    <s v="6a34c85410714d5136c59dacb4d7e28e"/>
    <x v="3"/>
    <d v="2017-09-15T00:00:00"/>
    <d v="2017-09-25T00:00:00"/>
    <d v="2017-10-09T00:00:00"/>
    <s v="computers_accessories"/>
    <n v="64.89"/>
    <n v="26.2"/>
    <s v="credit_card"/>
    <n v="5"/>
    <s v="delivered"/>
    <d v="2017-09-01T00:00:00"/>
    <n v="10"/>
    <n v="0"/>
    <n v="1"/>
    <n v="91.09"/>
    <n v="48.018599999999999"/>
    <n v="15.719999999999999"/>
    <n v="1.1514000000000024"/>
    <s v="8-14 days"/>
  </r>
  <r>
    <s v="ca97ebf555d596afa663d2cdb6f6dbf1"/>
    <x v="5"/>
    <d v="2017-09-15T00:00:00"/>
    <d v="2017-09-29T00:00:00"/>
    <d v="2017-10-08T00:00:00"/>
    <s v="bed_bath_table"/>
    <n v="52.84"/>
    <n v="17.98"/>
    <s v="credit_card"/>
    <n v="5"/>
    <s v="delivered"/>
    <d v="2017-09-01T00:00:00"/>
    <n v="14"/>
    <n v="0"/>
    <n v="1"/>
    <n v="70.820000000000007"/>
    <n v="32.760800000000003"/>
    <n v="10.788"/>
    <n v="9.2911999999999999"/>
    <s v="8-14 days"/>
  </r>
  <r>
    <s v="8618e40d15d6a6585ce9dbbca25291f3"/>
    <x v="2"/>
    <d v="2017-09-15T00:00:00"/>
    <d v="2017-09-25T00:00:00"/>
    <d v="2017-10-08T00:00:00"/>
    <s v="health_beauty"/>
    <n v="114.15"/>
    <n v="28.56"/>
    <s v="credit_card"/>
    <n v="4"/>
    <s v="delivered"/>
    <d v="2017-09-01T00:00:00"/>
    <n v="10"/>
    <n v="0"/>
    <n v="1"/>
    <n v="142.71"/>
    <n v="66.206999999999994"/>
    <n v="17.135999999999999"/>
    <n v="30.807000000000013"/>
    <s v="8-14 days"/>
  </r>
  <r>
    <s v="63cd0cb1a7b3b6f9135896aae2751ce6"/>
    <x v="1"/>
    <d v="2017-09-15T00:00:00"/>
    <d v="2017-09-22T00:00:00"/>
    <d v="2017-10-06T00:00:00"/>
    <s v="computers_accessories"/>
    <n v="109.5"/>
    <n v="23.32"/>
    <s v="credit_card"/>
    <n v="5"/>
    <s v="delivered"/>
    <d v="2017-09-01T00:00:00"/>
    <n v="7"/>
    <n v="0"/>
    <n v="1"/>
    <n v="132.82"/>
    <n v="81.03"/>
    <n v="13.991999999999999"/>
    <n v="14.478"/>
    <s v="0-7 days"/>
  </r>
  <r>
    <s v="20156a7212e153a6932cae01d2c65ee4"/>
    <x v="1"/>
    <d v="2017-09-16T00:00:00"/>
    <d v="2017-09-24T00:00:00"/>
    <d v="2017-10-04T00:00:00"/>
    <s v="bed_bath_table"/>
    <n v="127.58"/>
    <n v="27.32"/>
    <s v="voucher"/>
    <n v="4"/>
    <s v="delivered"/>
    <d v="2017-09-01T00:00:00"/>
    <n v="8"/>
    <n v="0"/>
    <n v="1"/>
    <n v="154.9"/>
    <n v="79.099599999999995"/>
    <n v="16.391999999999999"/>
    <n v="32.088400000000007"/>
    <s v="8-14 days"/>
  </r>
  <r>
    <s v="a18028d567c7955eabe015719d79c79e"/>
    <x v="0"/>
    <d v="2017-09-16T00:00:00"/>
    <d v="2017-09-24T00:00:00"/>
    <d v="2017-10-04T00:00:00"/>
    <s v="furniture_decor"/>
    <n v="110.1"/>
    <n v="13.72"/>
    <s v="credit_card"/>
    <n v="5"/>
    <s v="delivered"/>
    <d v="2017-09-01T00:00:00"/>
    <n v="8"/>
    <n v="0"/>
    <n v="1"/>
    <n v="123.82"/>
    <n v="77.069999999999993"/>
    <n v="8.2319999999999993"/>
    <n v="24.798000000000002"/>
    <s v="8-14 days"/>
  </r>
  <r>
    <s v="bd54da044dcd0009c8d577179055a36f"/>
    <x v="0"/>
    <d v="2017-09-17T00:00:00"/>
    <d v="2017-09-22T00:00:00"/>
    <d v="2017-10-02T00:00:00"/>
    <s v="sports_leisure"/>
    <n v="94.68"/>
    <n v="14.5"/>
    <s v="credit_card"/>
    <n v="5"/>
    <s v="delivered"/>
    <d v="2017-09-01T00:00:00"/>
    <n v="5"/>
    <n v="0"/>
    <n v="1"/>
    <n v="109.18"/>
    <n v="60.595200000000006"/>
    <n v="8.6999999999999993"/>
    <n v="25.384800000000002"/>
    <s v="0-7 days"/>
  </r>
  <r>
    <s v="5bf9bfad03b93598ddc096d225fc850a"/>
    <x v="0"/>
    <d v="2017-09-17T00:00:00"/>
    <d v="2017-09-24T00:00:00"/>
    <d v="2017-10-04T00:00:00"/>
    <s v="bed_bath_table"/>
    <n v="115.81"/>
    <n v="22.67"/>
    <s v="boleto"/>
    <n v="5"/>
    <s v="delivered"/>
    <d v="2017-09-01T00:00:00"/>
    <n v="7"/>
    <n v="0"/>
    <n v="1"/>
    <n v="138.48000000000002"/>
    <n v="71.802199999999999"/>
    <n v="13.602"/>
    <n v="30.405800000000003"/>
    <s v="0-7 days"/>
  </r>
  <r>
    <s v="97783a80ed9ac1dcf0702886d65b7bc2"/>
    <x v="8"/>
    <d v="2017-09-17T00:00:00"/>
    <d v="2017-09-29T00:00:00"/>
    <d v="2017-10-11T00:00:00"/>
    <s v="sports_leisure"/>
    <n v="26.33"/>
    <n v="16.64"/>
    <s v="credit_card"/>
    <n v="5"/>
    <s v="delivered"/>
    <d v="2017-09-01T00:00:00"/>
    <n v="12"/>
    <n v="0"/>
    <n v="1"/>
    <n v="42.97"/>
    <n v="16.851199999999999"/>
    <n v="9.984"/>
    <n v="-0.50520000000000032"/>
    <s v="8-14 days"/>
  </r>
  <r>
    <s v="3360d11548b51c880f635f4a2b9a118e"/>
    <x v="2"/>
    <d v="2017-09-18T00:00:00"/>
    <d v="2017-10-03T00:00:00"/>
    <d v="2017-10-09T00:00:00"/>
    <s v="bed_bath_table"/>
    <n v="102.32"/>
    <n v="18.12"/>
    <s v="boleto"/>
    <n v="4"/>
    <s v="delivered"/>
    <d v="2017-09-01T00:00:00"/>
    <n v="15"/>
    <n v="0"/>
    <n v="1"/>
    <n v="120.44"/>
    <n v="63.438399999999994"/>
    <n v="10.872"/>
    <n v="28.009599999999999"/>
    <s v="15-21 days"/>
  </r>
  <r>
    <s v="f8e351ea9aebbc3ea1f7815758f34359"/>
    <x v="0"/>
    <d v="2017-09-18T00:00:00"/>
    <d v="2017-09-30T00:00:00"/>
    <d v="2017-10-04T00:00:00"/>
    <s v="health_beauty"/>
    <n v="156.91"/>
    <n v="13.65"/>
    <s v="credit_card"/>
    <n v="3"/>
    <s v="delivered"/>
    <d v="2017-09-01T00:00:00"/>
    <n v="12"/>
    <n v="0"/>
    <n v="1"/>
    <n v="170.56"/>
    <n v="91.007799999999989"/>
    <n v="8.19"/>
    <n v="57.71220000000001"/>
    <s v="8-14 days"/>
  </r>
  <r>
    <s v="66384b25a9f9f36c496d4895c8d7f25c"/>
    <x v="4"/>
    <d v="2017-09-18T00:00:00"/>
    <d v="2017-10-02T00:00:00"/>
    <d v="2017-10-12T00:00:00"/>
    <s v="health_beauty"/>
    <n v="64.59"/>
    <n v="16.09"/>
    <s v="credit_card"/>
    <n v="4"/>
    <s v="delivered"/>
    <d v="2017-09-01T00:00:00"/>
    <n v="14"/>
    <n v="0"/>
    <n v="1"/>
    <n v="80.680000000000007"/>
    <n v="37.462200000000003"/>
    <n v="9.6539999999999999"/>
    <n v="17.473800000000001"/>
    <s v="8-14 days"/>
  </r>
  <r>
    <s v="09b4413ca45ca94a345298c460310461"/>
    <x v="4"/>
    <d v="2017-09-19T00:00:00"/>
    <d v="2017-09-28T00:00:00"/>
    <d v="2017-10-08T00:00:00"/>
    <s v="bed_bath_table"/>
    <n v="35.39"/>
    <n v="17.54"/>
    <s v="credit_card"/>
    <n v="5"/>
    <s v="delivered"/>
    <d v="2017-09-01T00:00:00"/>
    <n v="9"/>
    <n v="0"/>
    <n v="1"/>
    <n v="52.93"/>
    <n v="21.941800000000001"/>
    <n v="10.523999999999999"/>
    <n v="2.9242000000000008"/>
    <s v="8-14 days"/>
  </r>
  <r>
    <s v="ce6322b6ab05347fd556b37d8f0881ee"/>
    <x v="0"/>
    <d v="2017-09-20T00:00:00"/>
    <d v="2017-09-30T00:00:00"/>
    <d v="2017-10-07T00:00:00"/>
    <s v="furniture_decor"/>
    <n v="47.06"/>
    <n v="13.86"/>
    <s v="credit_card"/>
    <n v="5"/>
    <s v="delivered"/>
    <d v="2017-09-01T00:00:00"/>
    <n v="10"/>
    <n v="0"/>
    <n v="1"/>
    <n v="60.92"/>
    <n v="32.942"/>
    <n v="8.3159999999999989"/>
    <n v="5.8020000000000032"/>
    <s v="8-14 days"/>
  </r>
  <r>
    <s v="7af985ff8ff198865a2c41bcc2c226ff"/>
    <x v="4"/>
    <d v="2017-09-20T00:00:00"/>
    <d v="2017-10-09T00:00:00"/>
    <d v="2017-10-12T00:00:00"/>
    <s v="watches_gifts"/>
    <n v="157.44999999999999"/>
    <n v="27.09"/>
    <s v="credit_card"/>
    <n v="4"/>
    <s v="delivered"/>
    <d v="2017-09-01T00:00:00"/>
    <n v="19"/>
    <n v="0"/>
    <n v="1"/>
    <n v="184.54"/>
    <n v="103.917"/>
    <n v="16.253999999999998"/>
    <n v="37.278999999999989"/>
    <s v="15-21 days"/>
  </r>
  <r>
    <s v="1b186be4578efffee4588c5ef608f37b"/>
    <x v="8"/>
    <d v="2017-09-20T00:00:00"/>
    <d v="2017-10-16T00:00:00"/>
    <d v="2017-10-14T00:00:00"/>
    <s v="housewares"/>
    <n v="93.8"/>
    <n v="21.31"/>
    <s v="credit_card"/>
    <n v="2"/>
    <s v="delivered"/>
    <d v="2017-09-01T00:00:00"/>
    <n v="26"/>
    <n v="2"/>
    <n v="0"/>
    <n v="115.11"/>
    <n v="59.094000000000001"/>
    <n v="12.786"/>
    <n v="21.919999999999995"/>
    <s v="22+ days"/>
  </r>
  <r>
    <s v="5eebafad38ebf35d32389b8d2689bcec"/>
    <x v="4"/>
    <d v="2017-09-20T00:00:00"/>
    <d v="2017-09-29T00:00:00"/>
    <d v="2017-10-08T00:00:00"/>
    <s v="watches_gifts"/>
    <n v="81.739999999999995"/>
    <n v="25.07"/>
    <s v="credit_card"/>
    <n v="4"/>
    <s v="delivered"/>
    <d v="2017-09-01T00:00:00"/>
    <n v="9"/>
    <n v="0"/>
    <n v="1"/>
    <n v="106.81"/>
    <n v="53.948399999999999"/>
    <n v="15.042"/>
    <n v="12.749599999999996"/>
    <s v="8-14 days"/>
  </r>
  <r>
    <s v="4c955f6a966b1964fcd6bdca5876fd09"/>
    <x v="4"/>
    <d v="2017-09-21T00:00:00"/>
    <d v="2017-10-01T00:00:00"/>
    <d v="2017-10-15T00:00:00"/>
    <s v="toys"/>
    <n v="94.42"/>
    <n v="22.07"/>
    <s v="credit_card"/>
    <n v="5"/>
    <s v="delivered"/>
    <d v="2017-09-01T00:00:00"/>
    <n v="10"/>
    <n v="0"/>
    <n v="1"/>
    <n v="116.49000000000001"/>
    <n v="56.652000000000001"/>
    <n v="13.241999999999999"/>
    <n v="24.526000000000003"/>
    <s v="8-14 days"/>
  </r>
  <r>
    <s v="8874a1c508fe3f405fe191732bdf3df4"/>
    <x v="7"/>
    <d v="2017-09-21T00:00:00"/>
    <d v="2017-10-17T00:00:00"/>
    <d v="2017-10-14T00:00:00"/>
    <s v="watches_gifts"/>
    <n v="269.74"/>
    <n v="25.65"/>
    <s v="credit_card"/>
    <n v="2"/>
    <s v="delivered"/>
    <d v="2017-09-01T00:00:00"/>
    <n v="26"/>
    <n v="3"/>
    <n v="0"/>
    <n v="295.39"/>
    <n v="178.0284"/>
    <n v="15.389999999999999"/>
    <n v="76.321600000000004"/>
    <s v="22+ days"/>
  </r>
  <r>
    <s v="f6d294aae55126a3cdcc049eef4d2c57"/>
    <x v="2"/>
    <d v="2017-09-22T00:00:00"/>
    <d v="2017-10-01T00:00:00"/>
    <d v="2017-10-18T00:00:00"/>
    <s v="bed_bath_table"/>
    <n v="39.93"/>
    <n v="28.76"/>
    <s v="credit_card"/>
    <n v="4"/>
    <s v="delivered"/>
    <d v="2017-09-01T00:00:00"/>
    <n v="9"/>
    <n v="0"/>
    <n v="1"/>
    <n v="68.69"/>
    <n v="24.756599999999999"/>
    <n v="17.256"/>
    <n v="-2.0825999999999993"/>
    <s v="8-14 days"/>
  </r>
  <r>
    <s v="478f8cad0bcc903239f2b7a3630a3b56"/>
    <x v="11"/>
    <d v="2017-09-22T00:00:00"/>
    <d v="2017-10-17T00:00:00"/>
    <d v="2017-10-25T00:00:00"/>
    <s v="bed_bath_table"/>
    <n v="397.75"/>
    <n v="35.07"/>
    <s v="credit_card"/>
    <n v="4"/>
    <s v="delivered"/>
    <d v="2017-09-01T00:00:00"/>
    <n v="25"/>
    <n v="0"/>
    <n v="1"/>
    <n v="432.82"/>
    <n v="246.60499999999999"/>
    <n v="21.041999999999998"/>
    <n v="130.10300000000001"/>
    <s v="22+ days"/>
  </r>
  <r>
    <s v="d6793ab4eae6c3da5f2d38b83a769378"/>
    <x v="9"/>
    <d v="2017-09-23T00:00:00"/>
    <d v="2017-10-04T00:00:00"/>
    <d v="2017-10-20T00:00:00"/>
    <s v="toys"/>
    <n v="73.790000000000006"/>
    <n v="23.85"/>
    <s v="credit_card"/>
    <n v="4"/>
    <s v="delivered"/>
    <d v="2017-09-01T00:00:00"/>
    <n v="11"/>
    <n v="0"/>
    <n v="1"/>
    <n v="97.640000000000015"/>
    <n v="44.274000000000001"/>
    <n v="14.31"/>
    <n v="15.206000000000005"/>
    <s v="8-14 days"/>
  </r>
  <r>
    <s v="e32e3ac453fe40e39c6c3c4e8f5b8149"/>
    <x v="4"/>
    <d v="2017-09-23T00:00:00"/>
    <d v="2017-10-12T00:00:00"/>
    <d v="2017-10-16T00:00:00"/>
    <s v="health_beauty"/>
    <n v="74.760000000000005"/>
    <n v="17.78"/>
    <s v="credit_card"/>
    <n v="4"/>
    <s v="delivered"/>
    <d v="2017-09-01T00:00:00"/>
    <n v="19"/>
    <n v="0"/>
    <n v="1"/>
    <n v="92.54"/>
    <n v="43.360799999999998"/>
    <n v="10.668000000000001"/>
    <n v="20.731200000000008"/>
    <s v="15-21 days"/>
  </r>
  <r>
    <s v="014d7938643536b3aae35cae6d13e01d"/>
    <x v="1"/>
    <d v="2017-09-23T00:00:00"/>
    <d v="2017-10-09T00:00:00"/>
    <d v="2017-10-13T00:00:00"/>
    <s v="furniture_decor"/>
    <n v="84.33"/>
    <n v="29.4"/>
    <s v="boleto"/>
    <n v="4"/>
    <s v="delivered"/>
    <d v="2017-09-01T00:00:00"/>
    <n v="16"/>
    <n v="0"/>
    <n v="1"/>
    <n v="113.72999999999999"/>
    <n v="59.030999999999992"/>
    <n v="17.639999999999997"/>
    <n v="7.6590000000000096"/>
    <s v="15-21 days"/>
  </r>
  <r>
    <s v="a5c6c5ae2e2f2127babf3375f17fb786"/>
    <x v="0"/>
    <d v="2017-09-24T00:00:00"/>
    <d v="2017-10-02T00:00:00"/>
    <d v="2017-10-07T00:00:00"/>
    <s v="furniture_decor"/>
    <n v="142.80000000000001"/>
    <n v="19.34"/>
    <s v="credit_card"/>
    <n v="5"/>
    <s v="delivered"/>
    <d v="2017-09-01T00:00:00"/>
    <n v="8"/>
    <n v="0"/>
    <n v="1"/>
    <n v="162.14000000000001"/>
    <n v="99.960000000000008"/>
    <n v="11.603999999999999"/>
    <n v="31.236000000000004"/>
    <s v="8-14 days"/>
  </r>
  <r>
    <s v="685183410766699f7bf2aa0610c1de9c"/>
    <x v="0"/>
    <d v="2017-09-25T00:00:00"/>
    <d v="2017-10-04T00:00:00"/>
    <d v="2017-10-08T00:00:00"/>
    <s v="auto"/>
    <n v="72.290000000000006"/>
    <n v="17.75"/>
    <s v="credit_card"/>
    <n v="5"/>
    <s v="delivered"/>
    <d v="2017-09-01T00:00:00"/>
    <n v="9"/>
    <n v="0"/>
    <n v="1"/>
    <n v="90.04"/>
    <n v="49.15720000000001"/>
    <n v="10.65"/>
    <n v="12.482799999999996"/>
    <s v="8-14 days"/>
  </r>
  <r>
    <s v="bd676ba089c9c0f39dcc91b05a0fdf61"/>
    <x v="1"/>
    <d v="2017-09-25T00:00:00"/>
    <d v="2017-10-19T00:00:00"/>
    <d v="2017-10-15T00:00:00"/>
    <s v="housewares"/>
    <n v="44.46"/>
    <n v="16.13"/>
    <s v="boleto"/>
    <n v="1"/>
    <s v="delivered"/>
    <d v="2017-09-01T00:00:00"/>
    <n v="24"/>
    <n v="4"/>
    <n v="0"/>
    <n v="60.59"/>
    <n v="28.009800000000002"/>
    <n v="9.677999999999999"/>
    <n v="6.7721999999999998"/>
    <s v="22+ days"/>
  </r>
  <r>
    <s v="5c2c107b20bceac5151e087bf7e04b1e"/>
    <x v="0"/>
    <d v="2017-09-25T00:00:00"/>
    <d v="2017-10-01T00:00:00"/>
    <d v="2017-10-07T00:00:00"/>
    <s v="furniture_decor"/>
    <n v="104.56"/>
    <n v="19.25"/>
    <s v="credit_card"/>
    <n v="3"/>
    <s v="delivered"/>
    <d v="2017-09-01T00:00:00"/>
    <n v="6"/>
    <n v="0"/>
    <n v="1"/>
    <n v="123.81"/>
    <n v="73.191999999999993"/>
    <n v="11.549999999999999"/>
    <n v="19.818000000000012"/>
    <s v="0-7 days"/>
  </r>
  <r>
    <s v="9c83cfae10501d6538973d1553199080"/>
    <x v="0"/>
    <d v="2017-09-26T00:00:00"/>
    <d v="2017-10-04T00:00:00"/>
    <d v="2017-10-11T00:00:00"/>
    <s v="auto"/>
    <n v="79.81"/>
    <n v="12.29"/>
    <s v="credit_card"/>
    <n v="5"/>
    <s v="delivered"/>
    <d v="2017-09-01T00:00:00"/>
    <n v="8"/>
    <n v="0"/>
    <n v="1"/>
    <n v="92.1"/>
    <n v="54.270800000000008"/>
    <n v="7.3739999999999988"/>
    <n v="18.165199999999995"/>
    <s v="8-14 days"/>
  </r>
  <r>
    <s v="9f80bd12299606d23e14196514c4e22c"/>
    <x v="0"/>
    <d v="2017-09-26T00:00:00"/>
    <d v="2017-10-04T00:00:00"/>
    <d v="2017-10-13T00:00:00"/>
    <s v="sports_leisure"/>
    <n v="133.49"/>
    <n v="16.649999999999999"/>
    <s v="credit_card"/>
    <n v="5"/>
    <s v="delivered"/>
    <d v="2017-09-01T00:00:00"/>
    <n v="8"/>
    <n v="0"/>
    <n v="1"/>
    <n v="150.14000000000001"/>
    <n v="85.433600000000013"/>
    <n v="9.9899999999999984"/>
    <n v="38.066400000000002"/>
    <s v="8-14 days"/>
  </r>
  <r>
    <s v="339a34cb30fa0cb468fd116b45292253"/>
    <x v="4"/>
    <d v="2017-09-26T00:00:00"/>
    <d v="2017-10-06T00:00:00"/>
    <d v="2017-10-16T00:00:00"/>
    <s v="bed_bath_table"/>
    <n v="64.22"/>
    <n v="25.71"/>
    <s v="boleto"/>
    <n v="4"/>
    <s v="delivered"/>
    <d v="2017-09-01T00:00:00"/>
    <n v="10"/>
    <n v="0"/>
    <n v="1"/>
    <n v="89.93"/>
    <n v="39.816400000000002"/>
    <n v="15.426"/>
    <n v="8.9775999999999971"/>
    <s v="8-14 days"/>
  </r>
  <r>
    <s v="8d84067fce58e7fc6cc0e350f7c40cb2"/>
    <x v="6"/>
    <d v="2017-09-27T00:00:00"/>
    <d v="2017-10-25T00:00:00"/>
    <d v="2017-10-28T00:00:00"/>
    <s v="furniture_decor"/>
    <n v="63.82"/>
    <n v="22.01"/>
    <s v="voucher"/>
    <n v="4"/>
    <s v="delivered"/>
    <d v="2017-09-01T00:00:00"/>
    <n v="28"/>
    <n v="0"/>
    <n v="1"/>
    <n v="85.83"/>
    <n v="44.673999999999999"/>
    <n v="13.206000000000001"/>
    <n v="5.9399999999999995"/>
    <s v="22+ days"/>
  </r>
  <r>
    <s v="376d65f70faae5bfb9004086aa21e153"/>
    <x v="0"/>
    <d v="2017-09-27T00:00:00"/>
    <d v="2017-10-05T00:00:00"/>
    <d v="2017-10-11T00:00:00"/>
    <s v="watches_gifts"/>
    <n v="161.26"/>
    <n v="16.14"/>
    <s v="credit_card"/>
    <n v="5"/>
    <s v="delivered"/>
    <d v="2017-09-01T00:00:00"/>
    <n v="8"/>
    <n v="0"/>
    <n v="1"/>
    <n v="177.39999999999998"/>
    <n v="106.4316"/>
    <n v="9.6839999999999993"/>
    <n v="45.14439999999999"/>
    <s v="8-14 days"/>
  </r>
  <r>
    <s v="931b5970e946033f79b22b20db8d1836"/>
    <x v="3"/>
    <d v="2017-09-27T00:00:00"/>
    <d v="2017-10-09T00:00:00"/>
    <d v="2017-10-22T00:00:00"/>
    <s v="toys"/>
    <n v="51.96"/>
    <n v="21.77"/>
    <s v="credit_card"/>
    <n v="4"/>
    <s v="delivered"/>
    <d v="2017-09-01T00:00:00"/>
    <n v="12"/>
    <n v="0"/>
    <n v="1"/>
    <n v="73.73"/>
    <n v="31.175999999999998"/>
    <n v="13.061999999999999"/>
    <n v="7.7220000000000031"/>
    <s v="8-14 days"/>
  </r>
  <r>
    <s v="fec52f69ac436e121480eabd9d9f2662"/>
    <x v="0"/>
    <d v="2017-09-27T00:00:00"/>
    <d v="2017-10-09T00:00:00"/>
    <d v="2017-10-17T00:00:00"/>
    <s v="bed_bath_table"/>
    <n v="102.42"/>
    <n v="17.89"/>
    <s v="credit_card"/>
    <n v="4"/>
    <s v="delivered"/>
    <d v="2017-09-01T00:00:00"/>
    <n v="12"/>
    <n v="0"/>
    <n v="1"/>
    <n v="120.31"/>
    <n v="63.500399999999999"/>
    <n v="10.734"/>
    <n v="28.185600000000001"/>
    <s v="8-14 days"/>
  </r>
  <r>
    <s v="6e12bda9b2ec7ff4cb59b1515dde7466"/>
    <x v="0"/>
    <d v="2017-09-28T00:00:00"/>
    <d v="2017-10-15T00:00:00"/>
    <d v="2017-10-14T00:00:00"/>
    <s v="watches_gifts"/>
    <n v="389.13"/>
    <n v="22.88"/>
    <s v="credit_card"/>
    <n v="4"/>
    <s v="delivered"/>
    <d v="2017-09-01T00:00:00"/>
    <n v="17"/>
    <n v="1"/>
    <n v="0"/>
    <n v="412.01"/>
    <n v="256.82580000000002"/>
    <n v="13.728"/>
    <n v="118.57619999999999"/>
    <s v="15-21 days"/>
  </r>
  <r>
    <s v="2048ba6e72ec6f04ff8bb8911b908e3f"/>
    <x v="1"/>
    <d v="2017-09-28T00:00:00"/>
    <d v="2017-10-08T00:00:00"/>
    <d v="2017-10-19T00:00:00"/>
    <s v="bed_bath_table"/>
    <n v="31.53"/>
    <n v="16.28"/>
    <s v="credit_card"/>
    <n v="5"/>
    <s v="delivered"/>
    <d v="2017-09-01T00:00:00"/>
    <n v="10"/>
    <n v="0"/>
    <n v="1"/>
    <n v="47.81"/>
    <n v="19.5486"/>
    <n v="9.7680000000000007"/>
    <n v="2.2134"/>
    <s v="8-14 days"/>
  </r>
  <r>
    <s v="57deb702b026d60ac82d4afa95be2ff6"/>
    <x v="4"/>
    <d v="2017-09-28T00:00:00"/>
    <d v="2017-10-14T00:00:00"/>
    <d v="2017-10-16T00:00:00"/>
    <s v="bed_bath_table"/>
    <n v="31.14"/>
    <n v="25.86"/>
    <s v="credit_card"/>
    <n v="5"/>
    <s v="delivered"/>
    <d v="2017-09-01T00:00:00"/>
    <n v="16"/>
    <n v="0"/>
    <n v="1"/>
    <n v="57"/>
    <n v="19.306799999999999"/>
    <n v="15.515999999999998"/>
    <n v="-3.6827999999999967"/>
    <s v="15-21 days"/>
  </r>
  <r>
    <s v="afc63d341dbefabd8c881f361b705635"/>
    <x v="0"/>
    <d v="2017-09-30T00:00:00"/>
    <d v="2017-10-07T00:00:00"/>
    <d v="2017-10-17T00:00:00"/>
    <s v="furniture_decor"/>
    <n v="106.25"/>
    <n v="19.989999999999998"/>
    <s v="credit_card"/>
    <n v="4"/>
    <s v="delivered"/>
    <d v="2017-09-01T00:00:00"/>
    <n v="7"/>
    <n v="0"/>
    <n v="1"/>
    <n v="126.24"/>
    <n v="74.375"/>
    <n v="11.993999999999998"/>
    <n v="19.881"/>
    <s v="0-7 days"/>
  </r>
  <r>
    <s v="8f940a739c2e7760cddedd24c57dfa49"/>
    <x v="3"/>
    <d v="2017-10-01T00:00:00"/>
    <d v="2017-10-15T00:00:00"/>
    <d v="2017-10-28T00:00:00"/>
    <s v="computers_accessories"/>
    <n v="34.840000000000003"/>
    <n v="24.96"/>
    <s v="credit_card"/>
    <n v="4"/>
    <s v="delivered"/>
    <d v="2017-10-01T00:00:00"/>
    <n v="14"/>
    <n v="0"/>
    <n v="1"/>
    <n v="59.800000000000004"/>
    <n v="25.781600000000001"/>
    <n v="14.975999999999999"/>
    <n v="-5.9175999999999966"/>
    <s v="8-14 days"/>
  </r>
  <r>
    <s v="9a26755a3f5693814119055925b9de82"/>
    <x v="2"/>
    <d v="2017-10-02T00:00:00"/>
    <d v="2017-10-25T00:00:00"/>
    <d v="2017-10-26T00:00:00"/>
    <s v="watches_gifts"/>
    <n v="70.34"/>
    <n v="31.35"/>
    <s v="credit_card"/>
    <n v="4"/>
    <s v="delivered"/>
    <d v="2017-10-01T00:00:00"/>
    <n v="23"/>
    <n v="0"/>
    <n v="1"/>
    <n v="101.69"/>
    <n v="46.424400000000006"/>
    <n v="18.809999999999999"/>
    <n v="5.105599999999999"/>
    <s v="22+ days"/>
  </r>
  <r>
    <s v="1c3da4eba012c6c2c790b84c34c993ae"/>
    <x v="3"/>
    <d v="2017-10-02T00:00:00"/>
    <d v="2017-10-11T00:00:00"/>
    <d v="2017-10-25T00:00:00"/>
    <s v="sports_leisure"/>
    <n v="67.87"/>
    <n v="18.510000000000002"/>
    <s v="voucher"/>
    <n v="5"/>
    <s v="delivered"/>
    <d v="2017-10-01T00:00:00"/>
    <n v="9"/>
    <n v="0"/>
    <n v="1"/>
    <n v="86.38000000000001"/>
    <n v="43.436800000000005"/>
    <n v="11.106"/>
    <n v="13.327199999999999"/>
    <s v="8-14 days"/>
  </r>
  <r>
    <s v="feb3a85548e61273468013786e607c2f"/>
    <x v="0"/>
    <d v="2017-10-02T00:00:00"/>
    <d v="2017-10-12T00:00:00"/>
    <d v="2017-10-17T00:00:00"/>
    <s v="toys"/>
    <n v="66.48"/>
    <n v="20.41"/>
    <s v="credit_card"/>
    <n v="4"/>
    <s v="delivered"/>
    <d v="2017-10-01T00:00:00"/>
    <n v="10"/>
    <n v="0"/>
    <n v="1"/>
    <n v="86.89"/>
    <n v="39.887999999999998"/>
    <n v="12.246"/>
    <n v="14.346000000000005"/>
    <s v="8-14 days"/>
  </r>
  <r>
    <s v="74f72d9ffeea6e19328ecb96464ffd1f"/>
    <x v="0"/>
    <d v="2017-10-02T00:00:00"/>
    <d v="2017-10-06T00:00:00"/>
    <d v="2017-10-18T00:00:00"/>
    <s v="health_beauty"/>
    <n v="63.36"/>
    <n v="20.37"/>
    <s v="credit_card"/>
    <n v="5"/>
    <s v="delivered"/>
    <d v="2017-10-01T00:00:00"/>
    <n v="4"/>
    <n v="0"/>
    <n v="1"/>
    <n v="83.73"/>
    <n v="36.748799999999996"/>
    <n v="12.222"/>
    <n v="14.389200000000004"/>
    <s v="0-7 days"/>
  </r>
  <r>
    <s v="13c3fc1bd77a80b89ae6befe8f2de908"/>
    <x v="9"/>
    <d v="2017-10-03T00:00:00"/>
    <d v="2017-10-31T00:00:00"/>
    <d v="2017-10-28T00:00:00"/>
    <s v="computers_accessories"/>
    <n v="87.39"/>
    <n v="29.86"/>
    <s v="boleto"/>
    <n v="3"/>
    <s v="delivered"/>
    <d v="2017-10-01T00:00:00"/>
    <n v="28"/>
    <n v="3"/>
    <n v="0"/>
    <n v="117.25"/>
    <n v="64.668599999999998"/>
    <n v="17.916"/>
    <n v="4.8054000000000023"/>
    <s v="22+ days"/>
  </r>
  <r>
    <s v="7f2487bc8c102bc1736b8385522fb6b0"/>
    <x v="10"/>
    <d v="2017-10-03T00:00:00"/>
    <d v="2017-11-08T00:00:00"/>
    <d v="2017-11-03T00:00:00"/>
    <s v="bed_bath_table"/>
    <n v="141.34"/>
    <n v="30.81"/>
    <s v="credit_card"/>
    <n v="3"/>
    <s v="delivered"/>
    <d v="2017-10-01T00:00:00"/>
    <n v="36"/>
    <n v="5"/>
    <n v="0"/>
    <n v="172.15"/>
    <n v="87.630800000000008"/>
    <n v="18.485999999999997"/>
    <n v="35.223199999999999"/>
    <s v="22+ days"/>
  </r>
  <r>
    <s v="e533f1c5d23eb130eb56fde3d839ea8d"/>
    <x v="1"/>
    <d v="2017-10-03T00:00:00"/>
    <d v="2017-10-10T00:00:00"/>
    <d v="2017-10-27T00:00:00"/>
    <s v="computers_accessories"/>
    <n v="220.46"/>
    <n v="25.2"/>
    <s v="credit_card"/>
    <n v="5"/>
    <s v="delivered"/>
    <d v="2017-10-01T00:00:00"/>
    <n v="7"/>
    <n v="0"/>
    <n v="1"/>
    <n v="245.66"/>
    <n v="163.1404"/>
    <n v="15.12"/>
    <n v="42.199600000000011"/>
    <s v="0-7 days"/>
  </r>
  <r>
    <s v="8a39dfaf21b84e48a96de59593a1f127"/>
    <x v="0"/>
    <d v="2017-10-03T00:00:00"/>
    <d v="2017-10-19T00:00:00"/>
    <d v="2017-10-18T00:00:00"/>
    <s v="sports_leisure"/>
    <n v="81.31"/>
    <n v="18.34"/>
    <s v="boleto"/>
    <n v="2"/>
    <s v="delivered"/>
    <d v="2017-10-01T00:00:00"/>
    <n v="16"/>
    <n v="1"/>
    <n v="0"/>
    <n v="99.65"/>
    <n v="52.038400000000003"/>
    <n v="11.004"/>
    <n v="18.267600000000002"/>
    <s v="15-21 days"/>
  </r>
  <r>
    <s v="ad5be3c80c880714837217e0657046ea"/>
    <x v="0"/>
    <d v="2017-10-04T00:00:00"/>
    <d v="2017-10-09T00:00:00"/>
    <d v="2017-10-18T00:00:00"/>
    <s v="toys"/>
    <n v="25.82"/>
    <n v="21.18"/>
    <s v="credit_card"/>
    <n v="4"/>
    <s v="delivered"/>
    <d v="2017-10-01T00:00:00"/>
    <n v="5"/>
    <n v="0"/>
    <n v="1"/>
    <n v="47"/>
    <n v="15.491999999999999"/>
    <n v="12.708"/>
    <n v="-2.379999999999999"/>
    <s v="0-7 days"/>
  </r>
  <r>
    <s v="67a0deec1a4b0992a834f352e9721813"/>
    <x v="0"/>
    <d v="2017-10-04T00:00:00"/>
    <d v="2017-10-12T00:00:00"/>
    <d v="2017-10-19T00:00:00"/>
    <s v="auto"/>
    <n v="112.26"/>
    <n v="17.600000000000001"/>
    <s v="boleto"/>
    <n v="5"/>
    <s v="delivered"/>
    <d v="2017-10-01T00:00:00"/>
    <n v="8"/>
    <n v="0"/>
    <n v="1"/>
    <n v="129.86000000000001"/>
    <n v="76.336800000000011"/>
    <n v="10.56"/>
    <n v="25.363199999999992"/>
    <s v="8-14 days"/>
  </r>
  <r>
    <s v="530f7e66f49eaaa30ef147f76a846c2c"/>
    <x v="3"/>
    <d v="2017-10-05T00:00:00"/>
    <d v="2017-10-16T00:00:00"/>
    <d v="2017-10-26T00:00:00"/>
    <s v="sports_leisure"/>
    <n v="154.22999999999999"/>
    <n v="29.19"/>
    <s v="boleto"/>
    <n v="4"/>
    <s v="delivered"/>
    <d v="2017-10-01T00:00:00"/>
    <n v="11"/>
    <n v="0"/>
    <n v="1"/>
    <n v="183.42"/>
    <n v="98.7072"/>
    <n v="17.513999999999999"/>
    <n v="38.008799999999994"/>
    <s v="8-14 days"/>
  </r>
  <r>
    <s v="fed6d62dab167f5d8dcc967f9c148474"/>
    <x v="0"/>
    <d v="2017-10-05T00:00:00"/>
    <d v="2017-10-19T00:00:00"/>
    <d v="2017-10-22T00:00:00"/>
    <s v="auto"/>
    <n v="47.92"/>
    <n v="20.88"/>
    <s v="credit_card"/>
    <n v="3"/>
    <s v="delivered"/>
    <d v="2017-10-01T00:00:00"/>
    <n v="14"/>
    <n v="0"/>
    <n v="1"/>
    <n v="68.8"/>
    <n v="32.585600000000007"/>
    <n v="12.527999999999999"/>
    <n v="2.8063999999999965"/>
    <s v="8-14 days"/>
  </r>
  <r>
    <s v="4fb67094123cf9112bd8ad4d3eacdb28"/>
    <x v="4"/>
    <d v="2017-10-06T00:00:00"/>
    <d v="2017-10-20T00:00:00"/>
    <d v="2017-10-27T00:00:00"/>
    <s v="sports_leisure"/>
    <n v="27.24"/>
    <n v="18.510000000000002"/>
    <s v="credit_card"/>
    <n v="5"/>
    <s v="delivered"/>
    <d v="2017-10-01T00:00:00"/>
    <n v="14"/>
    <n v="0"/>
    <n v="1"/>
    <n v="45.75"/>
    <n v="17.433599999999998"/>
    <n v="11.106"/>
    <n v="-1.2995999999999999"/>
    <s v="8-14 days"/>
  </r>
  <r>
    <s v="35d21deaefa52c8a56a049431c687714"/>
    <x v="0"/>
    <d v="2017-10-06T00:00:00"/>
    <d v="2017-10-12T00:00:00"/>
    <d v="2017-10-22T00:00:00"/>
    <s v="housewares"/>
    <n v="96.5"/>
    <n v="20.7"/>
    <s v="credit_card"/>
    <n v="5"/>
    <s v="delivered"/>
    <d v="2017-10-01T00:00:00"/>
    <n v="6"/>
    <n v="0"/>
    <n v="1"/>
    <n v="117.2"/>
    <n v="60.795000000000002"/>
    <n v="12.42"/>
    <n v="23.284999999999997"/>
    <s v="0-7 days"/>
  </r>
  <r>
    <s v="1af0bb9521c390e2ea8f37c74432dbd9"/>
    <x v="0"/>
    <d v="2017-10-06T00:00:00"/>
    <d v="2017-10-12T00:00:00"/>
    <d v="2017-10-18T00:00:00"/>
    <s v="toys"/>
    <n v="138.41"/>
    <n v="20.95"/>
    <s v="boleto"/>
    <n v="5"/>
    <s v="delivered"/>
    <d v="2017-10-01T00:00:00"/>
    <n v="6"/>
    <n v="0"/>
    <n v="1"/>
    <n v="159.35999999999999"/>
    <n v="83.045999999999992"/>
    <n v="12.569999999999999"/>
    <n v="42.794000000000004"/>
    <s v="0-7 days"/>
  </r>
  <r>
    <s v="79eef2c0aa7a907d41f3f1b9b81bda1d"/>
    <x v="4"/>
    <d v="2017-10-07T00:00:00"/>
    <d v="2017-10-21T00:00:00"/>
    <d v="2017-10-28T00:00:00"/>
    <s v="toys"/>
    <n v="59.33"/>
    <n v="19.11"/>
    <s v="voucher"/>
    <n v="4"/>
    <s v="delivered"/>
    <d v="2017-10-01T00:00:00"/>
    <n v="14"/>
    <n v="0"/>
    <n v="1"/>
    <n v="78.44"/>
    <n v="35.597999999999999"/>
    <n v="11.465999999999999"/>
    <n v="12.266"/>
    <s v="8-14 days"/>
  </r>
  <r>
    <s v="7e85f617f17e993d84cda1d23c32f2ee"/>
    <x v="6"/>
    <d v="2017-10-07T00:00:00"/>
    <d v="2017-10-25T00:00:00"/>
    <d v="2017-11-01T00:00:00"/>
    <s v="health_beauty"/>
    <n v="56.27"/>
    <n v="27.3"/>
    <s v="boleto"/>
    <n v="5"/>
    <s v="delivered"/>
    <d v="2017-10-01T00:00:00"/>
    <n v="18"/>
    <n v="0"/>
    <n v="1"/>
    <n v="83.570000000000007"/>
    <n v="32.636600000000001"/>
    <n v="16.38"/>
    <n v="7.2534000000000027"/>
    <s v="15-21 days"/>
  </r>
  <r>
    <s v="9d70773edcd9f69f789759ef170d5c13"/>
    <x v="0"/>
    <d v="2017-10-07T00:00:00"/>
    <d v="2017-10-17T00:00:00"/>
    <d v="2017-10-22T00:00:00"/>
    <s v="toys"/>
    <n v="129.91999999999999"/>
    <n v="22.19"/>
    <s v="credit_card"/>
    <n v="3"/>
    <s v="delivered"/>
    <d v="2017-10-01T00:00:00"/>
    <n v="10"/>
    <n v="0"/>
    <n v="1"/>
    <n v="152.10999999999999"/>
    <n v="77.951999999999984"/>
    <n v="13.314"/>
    <n v="38.654000000000003"/>
    <s v="8-14 days"/>
  </r>
  <r>
    <s v="9787edf2c313e1be09a27c560128e485"/>
    <x v="5"/>
    <d v="2017-10-07T00:00:00"/>
    <d v="2017-10-20T00:00:00"/>
    <d v="2017-11-02T00:00:00"/>
    <s v="bed_bath_table"/>
    <n v="63.28"/>
    <n v="24.72"/>
    <s v="boleto"/>
    <n v="4"/>
    <s v="delivered"/>
    <d v="2017-10-01T00:00:00"/>
    <n v="13"/>
    <n v="0"/>
    <n v="1"/>
    <n v="88"/>
    <n v="39.233600000000003"/>
    <n v="14.831999999999999"/>
    <n v="9.2143999999999995"/>
    <s v="8-14 days"/>
  </r>
  <r>
    <s v="2201c38820ca516d745722800ecb845e"/>
    <x v="0"/>
    <d v="2017-10-07T00:00:00"/>
    <d v="2017-10-19T00:00:00"/>
    <d v="2017-10-23T00:00:00"/>
    <s v="housewares"/>
    <n v="118.24"/>
    <n v="13.34"/>
    <s v="credit_card"/>
    <n v="5"/>
    <s v="delivered"/>
    <d v="2017-10-01T00:00:00"/>
    <n v="12"/>
    <n v="0"/>
    <n v="1"/>
    <n v="131.57999999999998"/>
    <n v="74.491199999999992"/>
    <n v="8.0039999999999996"/>
    <n v="35.744800000000005"/>
    <s v="8-14 days"/>
  </r>
  <r>
    <s v="4f74edc2245942f984b8fcb2c75795ba"/>
    <x v="0"/>
    <d v="2017-10-08T00:00:00"/>
    <d v="2017-10-15T00:00:00"/>
    <d v="2017-10-25T00:00:00"/>
    <s v="bed_bath_table"/>
    <n v="122.17"/>
    <n v="16.77"/>
    <s v="credit_card"/>
    <n v="3"/>
    <s v="delivered"/>
    <d v="2017-10-01T00:00:00"/>
    <n v="7"/>
    <n v="0"/>
    <n v="1"/>
    <n v="138.94"/>
    <n v="75.745400000000004"/>
    <n v="10.061999999999999"/>
    <n v="36.3626"/>
    <s v="0-7 days"/>
  </r>
  <r>
    <s v="7537fe4f0d174a200218c6a9d29e8c00"/>
    <x v="8"/>
    <d v="2017-10-08T00:00:00"/>
    <d v="2017-10-15T00:00:00"/>
    <d v="2017-10-29T00:00:00"/>
    <s v="computers_accessories"/>
    <n v="127.2"/>
    <n v="19.670000000000002"/>
    <s v="credit_card"/>
    <n v="5"/>
    <s v="delivered"/>
    <d v="2017-10-01T00:00:00"/>
    <n v="7"/>
    <n v="0"/>
    <n v="1"/>
    <n v="146.87"/>
    <n v="94.128"/>
    <n v="11.802000000000001"/>
    <n v="21.270000000000003"/>
    <s v="0-7 days"/>
  </r>
  <r>
    <s v="6e988798c2ac0d6d10c881792dc58521"/>
    <x v="6"/>
    <d v="2017-10-09T00:00:00"/>
    <d v="2017-11-02T00:00:00"/>
    <d v="2017-11-07T00:00:00"/>
    <s v="housewares"/>
    <n v="149.22999999999999"/>
    <n v="33.35"/>
    <s v="credit_card"/>
    <n v="4"/>
    <s v="delivered"/>
    <d v="2017-10-01T00:00:00"/>
    <n v="24"/>
    <n v="0"/>
    <n v="1"/>
    <n v="182.57999999999998"/>
    <n v="94.014899999999997"/>
    <n v="20.010000000000002"/>
    <n v="35.205099999999987"/>
    <s v="22+ days"/>
  </r>
  <r>
    <s v="8d843ad9b0385cd1fb8671c158be6c14"/>
    <x v="1"/>
    <d v="2017-10-09T00:00:00"/>
    <d v="2017-10-18T00:00:00"/>
    <d v="2017-10-30T00:00:00"/>
    <s v="computers_accessories"/>
    <n v="113.48"/>
    <n v="19.57"/>
    <s v="credit_card"/>
    <n v="5"/>
    <s v="delivered"/>
    <d v="2017-10-01T00:00:00"/>
    <n v="9"/>
    <n v="0"/>
    <n v="1"/>
    <n v="133.05000000000001"/>
    <n v="83.975200000000001"/>
    <n v="11.741999999999999"/>
    <n v="17.762800000000006"/>
    <s v="8-14 days"/>
  </r>
  <r>
    <s v="66f21e777ecbca9c6b1b8c030b7ecd79"/>
    <x v="0"/>
    <d v="2017-10-09T00:00:00"/>
    <d v="2017-10-16T00:00:00"/>
    <d v="2017-10-22T00:00:00"/>
    <s v="housewares"/>
    <n v="190.14"/>
    <n v="20.34"/>
    <s v="credit_card"/>
    <n v="4"/>
    <s v="delivered"/>
    <d v="2017-10-01T00:00:00"/>
    <n v="7"/>
    <n v="0"/>
    <n v="1"/>
    <n v="210.48"/>
    <n v="119.78819999999999"/>
    <n v="12.203999999999999"/>
    <n v="58.147799999999997"/>
    <s v="0-7 days"/>
  </r>
  <r>
    <s v="cd5ae324fe7c80e9a1791e933fc825ac"/>
    <x v="4"/>
    <d v="2017-10-10T00:00:00"/>
    <d v="2017-10-22T00:00:00"/>
    <d v="2017-10-30T00:00:00"/>
    <s v="sports_leisure"/>
    <n v="69.09"/>
    <n v="26.54"/>
    <s v="credit_card"/>
    <n v="4"/>
    <s v="delivered"/>
    <d v="2017-10-01T00:00:00"/>
    <n v="12"/>
    <n v="0"/>
    <n v="1"/>
    <n v="95.63"/>
    <n v="44.217600000000004"/>
    <n v="15.923999999999999"/>
    <n v="8.9483999999999995"/>
    <s v="8-14 days"/>
  </r>
  <r>
    <s v="798816f2e5d23d4112a1720bd1d46f58"/>
    <x v="1"/>
    <d v="2017-10-10T00:00:00"/>
    <d v="2017-10-26T00:00:00"/>
    <d v="2017-10-31T00:00:00"/>
    <s v="health_beauty"/>
    <n v="180.17"/>
    <n v="27.19"/>
    <s v="credit_card"/>
    <n v="5"/>
    <s v="delivered"/>
    <d v="2017-10-01T00:00:00"/>
    <n v="16"/>
    <n v="0"/>
    <n v="1"/>
    <n v="207.35999999999999"/>
    <n v="104.49859999999998"/>
    <n v="16.314"/>
    <n v="59.357400000000005"/>
    <s v="15-21 days"/>
  </r>
  <r>
    <s v="83370bc204595ccb6d0144d8ff843d1a"/>
    <x v="0"/>
    <d v="2017-10-10T00:00:00"/>
    <d v="2017-10-14T00:00:00"/>
    <d v="2017-10-23T00:00:00"/>
    <s v="health_beauty"/>
    <n v="44.8"/>
    <n v="20.97"/>
    <s v="boleto"/>
    <n v="4"/>
    <s v="delivered"/>
    <d v="2017-10-01T00:00:00"/>
    <n v="4"/>
    <n v="0"/>
    <n v="1"/>
    <n v="65.77"/>
    <n v="25.983999999999998"/>
    <n v="12.581999999999999"/>
    <n v="6.234"/>
    <s v="0-7 days"/>
  </r>
  <r>
    <s v="c0d42af4f6597e63070a0069de84bcd1"/>
    <x v="0"/>
    <d v="2017-10-10T00:00:00"/>
    <d v="2017-10-27T00:00:00"/>
    <d v="2017-10-27T00:00:00"/>
    <s v="health_beauty"/>
    <n v="246.69"/>
    <n v="24.65"/>
    <s v="boleto"/>
    <n v="5"/>
    <s v="delivered"/>
    <d v="2017-10-01T00:00:00"/>
    <n v="17"/>
    <n v="0"/>
    <n v="1"/>
    <n v="271.33999999999997"/>
    <n v="143.08019999999999"/>
    <n v="14.79"/>
    <n v="88.819800000000015"/>
    <s v="15-21 days"/>
  </r>
  <r>
    <s v="097e0cad67052038c43ecc48b6c12525"/>
    <x v="8"/>
    <d v="2017-10-10T00:00:00"/>
    <d v="2017-10-20T00:00:00"/>
    <d v="2017-11-01T00:00:00"/>
    <s v="bed_bath_table"/>
    <n v="121.08"/>
    <n v="21.29"/>
    <s v="credit_card"/>
    <n v="5"/>
    <s v="delivered"/>
    <d v="2017-10-01T00:00:00"/>
    <n v="10"/>
    <n v="0"/>
    <n v="1"/>
    <n v="142.37"/>
    <n v="75.069599999999994"/>
    <n v="12.773999999999999"/>
    <n v="33.236400000000003"/>
    <s v="8-14 days"/>
  </r>
  <r>
    <s v="260c037e305d0ef70d9ff83d70a32883"/>
    <x v="1"/>
    <d v="2017-10-11T00:00:00"/>
    <d v="2017-10-22T00:00:00"/>
    <d v="2017-10-31T00:00:00"/>
    <s v="auto"/>
    <n v="220.14"/>
    <n v="27.32"/>
    <s v="credit_card"/>
    <n v="4"/>
    <s v="delivered"/>
    <d v="2017-10-01T00:00:00"/>
    <n v="11"/>
    <n v="0"/>
    <n v="1"/>
    <n v="247.45999999999998"/>
    <n v="149.6952"/>
    <n v="16.391999999999999"/>
    <n v="54.052799999999991"/>
    <s v="8-14 days"/>
  </r>
  <r>
    <s v="40c8c7a382e847aef545dfb308a47ee1"/>
    <x v="4"/>
    <d v="2017-10-11T00:00:00"/>
    <d v="2017-10-26T00:00:00"/>
    <d v="2017-10-29T00:00:00"/>
    <s v="sports_leisure"/>
    <n v="97.76"/>
    <n v="18.3"/>
    <s v="credit_card"/>
    <n v="5"/>
    <s v="delivered"/>
    <d v="2017-10-01T00:00:00"/>
    <n v="15"/>
    <n v="0"/>
    <n v="1"/>
    <n v="116.06"/>
    <n v="62.566400000000002"/>
    <n v="10.98"/>
    <n v="24.213600000000003"/>
    <s v="15-21 days"/>
  </r>
  <r>
    <s v="52d7ed321de883ef20448d4cc732ca9b"/>
    <x v="0"/>
    <d v="2017-10-11T00:00:00"/>
    <d v="2017-10-27T00:00:00"/>
    <d v="2017-10-30T00:00:00"/>
    <s v="sports_leisure"/>
    <n v="74.040000000000006"/>
    <n v="13.47"/>
    <s v="boleto"/>
    <n v="4"/>
    <s v="delivered"/>
    <d v="2017-10-01T00:00:00"/>
    <n v="16"/>
    <n v="0"/>
    <n v="1"/>
    <n v="87.51"/>
    <n v="47.385600000000004"/>
    <n v="8.0820000000000007"/>
    <n v="18.572400000000002"/>
    <s v="15-21 days"/>
  </r>
  <r>
    <s v="6acaefa571880139a223b2ec387ae2d2"/>
    <x v="2"/>
    <d v="2017-10-11T00:00:00"/>
    <d v="2017-11-05T00:00:00"/>
    <d v="2017-11-05T00:00:00"/>
    <s v="bed_bath_table"/>
    <n v="102.83"/>
    <n v="21.5"/>
    <s v="credit_card"/>
    <n v="3"/>
    <s v="delivered"/>
    <d v="2017-10-01T00:00:00"/>
    <n v="25"/>
    <n v="0"/>
    <n v="1"/>
    <n v="124.33"/>
    <n v="63.754599999999996"/>
    <n v="12.9"/>
    <n v="26.175400000000003"/>
    <s v="22+ days"/>
  </r>
  <r>
    <s v="9b20dac7cff7ce327649a52a0ddf6858"/>
    <x v="1"/>
    <d v="2017-10-11T00:00:00"/>
    <d v="2017-11-03T00:00:00"/>
    <d v="2017-11-01T00:00:00"/>
    <s v="sports_leisure"/>
    <n v="152.38"/>
    <n v="25"/>
    <s v="credit_card"/>
    <n v="4"/>
    <s v="delivered"/>
    <d v="2017-10-01T00:00:00"/>
    <n v="23"/>
    <n v="2"/>
    <n v="0"/>
    <n v="177.38"/>
    <n v="97.523200000000003"/>
    <n v="15"/>
    <n v="39.856799999999993"/>
    <s v="22+ days"/>
  </r>
  <r>
    <s v="32c973195e35534ea725a5e2a99b1357"/>
    <x v="4"/>
    <d v="2017-10-11T00:00:00"/>
    <d v="2017-10-29T00:00:00"/>
    <d v="2017-11-01T00:00:00"/>
    <s v="sports_leisure"/>
    <n v="126.75"/>
    <n v="22.63"/>
    <s v="credit_card"/>
    <n v="5"/>
    <s v="delivered"/>
    <d v="2017-10-01T00:00:00"/>
    <n v="18"/>
    <n v="0"/>
    <n v="1"/>
    <n v="149.38"/>
    <n v="81.12"/>
    <n v="13.577999999999999"/>
    <n v="32.051999999999992"/>
    <s v="15-21 days"/>
  </r>
  <r>
    <s v="972d5d57669be896760272ba8862036f"/>
    <x v="8"/>
    <d v="2017-10-12T00:00:00"/>
    <d v="2017-10-27T00:00:00"/>
    <d v="2017-11-07T00:00:00"/>
    <s v="housewares"/>
    <n v="50.74"/>
    <n v="27.36"/>
    <s v="credit_card"/>
    <n v="5"/>
    <s v="delivered"/>
    <d v="2017-10-01T00:00:00"/>
    <n v="15"/>
    <n v="0"/>
    <n v="1"/>
    <n v="78.099999999999994"/>
    <n v="31.966200000000001"/>
    <n v="16.416"/>
    <n v="2.357800000000001"/>
    <s v="15-21 days"/>
  </r>
  <r>
    <s v="5e938891848c9fe63faf5eac7f97fe08"/>
    <x v="0"/>
    <d v="2017-10-13T00:00:00"/>
    <d v="2017-10-24T00:00:00"/>
    <d v="2017-10-30T00:00:00"/>
    <s v="bed_bath_table"/>
    <n v="45.05"/>
    <n v="16.14"/>
    <s v="credit_card"/>
    <n v="4"/>
    <s v="delivered"/>
    <d v="2017-10-01T00:00:00"/>
    <n v="11"/>
    <n v="0"/>
    <n v="1"/>
    <n v="61.19"/>
    <n v="27.930999999999997"/>
    <n v="9.6839999999999993"/>
    <n v="7.4350000000000005"/>
    <s v="8-14 days"/>
  </r>
  <r>
    <s v="1666bc2b053a6494314ce4b284c291a6"/>
    <x v="0"/>
    <d v="2017-10-13T00:00:00"/>
    <d v="2017-10-26T00:00:00"/>
    <d v="2017-10-28T00:00:00"/>
    <s v="furniture_decor"/>
    <n v="65.63"/>
    <n v="16.850000000000001"/>
    <s v="credit_card"/>
    <n v="4"/>
    <s v="delivered"/>
    <d v="2017-10-01T00:00:00"/>
    <n v="13"/>
    <n v="0"/>
    <n v="1"/>
    <n v="82.47999999999999"/>
    <n v="45.940999999999995"/>
    <n v="10.110000000000001"/>
    <n v="9.5789999999999988"/>
    <s v="8-14 days"/>
  </r>
  <r>
    <s v="f75820c17eec7024c8972af543d4d1a6"/>
    <x v="0"/>
    <d v="2017-10-13T00:00:00"/>
    <d v="2017-10-21T00:00:00"/>
    <d v="2017-10-31T00:00:00"/>
    <s v="toys"/>
    <n v="219.65"/>
    <n v="23.44"/>
    <s v="boleto"/>
    <n v="5"/>
    <s v="delivered"/>
    <d v="2017-10-01T00:00:00"/>
    <n v="8"/>
    <n v="0"/>
    <n v="1"/>
    <n v="243.09"/>
    <n v="131.79"/>
    <n v="14.064"/>
    <n v="73.796000000000021"/>
    <s v="8-14 days"/>
  </r>
  <r>
    <s v="64f22a7c87f797fa6cfa855f089b5b49"/>
    <x v="6"/>
    <d v="2017-10-14T00:00:00"/>
    <d v="2017-11-14T00:00:00"/>
    <d v="2017-11-12T00:00:00"/>
    <s v="computers_accessories"/>
    <n v="46.01"/>
    <n v="36.82"/>
    <s v="credit_card"/>
    <n v="2"/>
    <s v="delivered"/>
    <d v="2017-10-01T00:00:00"/>
    <n v="31"/>
    <n v="2"/>
    <n v="0"/>
    <n v="82.83"/>
    <n v="34.047399999999996"/>
    <n v="22.091999999999999"/>
    <n v="-10.129399999999997"/>
    <s v="22+ days"/>
  </r>
  <r>
    <s v="058ac91fd07cbff24c546b59f42ad9b5"/>
    <x v="1"/>
    <d v="2017-10-14T00:00:00"/>
    <d v="2017-10-26T00:00:00"/>
    <d v="2017-11-06T00:00:00"/>
    <s v="health_beauty"/>
    <n v="153.83000000000001"/>
    <n v="29.06"/>
    <s v="credit_card"/>
    <n v="4"/>
    <s v="delivered"/>
    <d v="2017-10-01T00:00:00"/>
    <n v="12"/>
    <n v="0"/>
    <n v="1"/>
    <n v="182.89000000000001"/>
    <n v="89.221400000000003"/>
    <n v="17.436"/>
    <n v="47.17260000000001"/>
    <s v="8-14 days"/>
  </r>
  <r>
    <s v="e6a7caf754ca6897be71cd606bca4f86"/>
    <x v="3"/>
    <d v="2017-10-15T00:00:00"/>
    <d v="2017-11-02T00:00:00"/>
    <d v="2017-11-11T00:00:00"/>
    <s v="bed_bath_table"/>
    <n v="40.57"/>
    <n v="17.48"/>
    <s v="credit_card"/>
    <n v="5"/>
    <s v="delivered"/>
    <d v="2017-10-01T00:00:00"/>
    <n v="18"/>
    <n v="0"/>
    <n v="1"/>
    <n v="58.05"/>
    <n v="25.153400000000001"/>
    <n v="10.488"/>
    <n v="4.9285999999999994"/>
    <s v="15-21 days"/>
  </r>
  <r>
    <s v="bdee5f357b51446a501da458e2b910f0"/>
    <x v="4"/>
    <d v="2017-10-15T00:00:00"/>
    <d v="2017-10-23T00:00:00"/>
    <d v="2017-11-04T00:00:00"/>
    <s v="watches_gifts"/>
    <n v="103.98"/>
    <n v="20.8"/>
    <s v="voucher"/>
    <n v="4"/>
    <s v="delivered"/>
    <d v="2017-10-01T00:00:00"/>
    <n v="8"/>
    <n v="0"/>
    <n v="1"/>
    <n v="124.78"/>
    <n v="68.626800000000003"/>
    <n v="12.48"/>
    <n v="22.873200000000001"/>
    <s v="8-14 days"/>
  </r>
  <r>
    <s v="076451d3275dd45952d36897d6442365"/>
    <x v="9"/>
    <d v="2017-10-16T00:00:00"/>
    <d v="2017-11-27T00:00:00"/>
    <d v="2017-11-12T00:00:00"/>
    <s v="watches_gifts"/>
    <n v="127.94"/>
    <n v="33.97"/>
    <s v="credit_card"/>
    <n v="2"/>
    <s v="delivered"/>
    <d v="2017-10-01T00:00:00"/>
    <n v="42"/>
    <n v="15"/>
    <n v="0"/>
    <n v="161.91"/>
    <n v="84.440399999999997"/>
    <n v="20.381999999999998"/>
    <n v="23.117600000000003"/>
    <s v="22+ days"/>
  </r>
  <r>
    <s v="366fbdddb1c8d50a1e390f218775cabf"/>
    <x v="0"/>
    <d v="2017-10-16T00:00:00"/>
    <d v="2017-10-26T00:00:00"/>
    <d v="2017-11-02T00:00:00"/>
    <s v="furniture_decor"/>
    <n v="28.56"/>
    <n v="16.46"/>
    <s v="credit_card"/>
    <n v="5"/>
    <s v="delivered"/>
    <d v="2017-10-01T00:00:00"/>
    <n v="10"/>
    <n v="0"/>
    <n v="1"/>
    <n v="45.019999999999996"/>
    <n v="19.991999999999997"/>
    <n v="9.8759999999999994"/>
    <n v="-1.3079999999999981"/>
    <s v="8-14 days"/>
  </r>
  <r>
    <s v="70fbb28e0d9bb3b5556ff3c182077e01"/>
    <x v="3"/>
    <d v="2017-10-16T00:00:00"/>
    <d v="2017-11-03T00:00:00"/>
    <d v="2017-11-09T00:00:00"/>
    <s v="bed_bath_table"/>
    <n v="62.83"/>
    <n v="23.34"/>
    <s v="credit_card"/>
    <n v="5"/>
    <s v="delivered"/>
    <d v="2017-10-01T00:00:00"/>
    <n v="18"/>
    <n v="0"/>
    <n v="1"/>
    <n v="86.17"/>
    <n v="38.954599999999999"/>
    <n v="14.004"/>
    <n v="9.8713999999999995"/>
    <s v="15-21 days"/>
  </r>
  <r>
    <s v="18209c030a8ef99723b3b81b86174aa0"/>
    <x v="3"/>
    <d v="2017-10-16T00:00:00"/>
    <d v="2017-11-02T00:00:00"/>
    <d v="2017-11-09T00:00:00"/>
    <s v="computers_accessories"/>
    <n v="174.86"/>
    <n v="21.29"/>
    <s v="credit_card"/>
    <n v="3"/>
    <s v="delivered"/>
    <d v="2017-10-01T00:00:00"/>
    <n v="17"/>
    <n v="0"/>
    <n v="1"/>
    <n v="196.15"/>
    <n v="129.3964"/>
    <n v="12.773999999999999"/>
    <n v="32.689600000000013"/>
    <s v="15-21 days"/>
  </r>
  <r>
    <s v="9053317b5f4dec1d52af891a9639e2b7"/>
    <x v="2"/>
    <d v="2017-10-17T00:00:00"/>
    <d v="2017-11-05T00:00:00"/>
    <d v="2017-11-10T00:00:00"/>
    <s v="bed_bath_table"/>
    <n v="97.41"/>
    <n v="19.5"/>
    <s v="credit_card"/>
    <n v="4"/>
    <s v="delivered"/>
    <d v="2017-10-01T00:00:00"/>
    <n v="19"/>
    <n v="0"/>
    <n v="1"/>
    <n v="116.91"/>
    <n v="60.394199999999998"/>
    <n v="11.7"/>
    <n v="25.315799999999999"/>
    <s v="15-21 days"/>
  </r>
  <r>
    <s v="a265df650d56e00031456a6cf42323d9"/>
    <x v="0"/>
    <d v="2017-10-18T00:00:00"/>
    <d v="2017-10-27T00:00:00"/>
    <d v="2017-11-04T00:00:00"/>
    <s v="health_beauty"/>
    <n v="92.84"/>
    <n v="17.52"/>
    <s v="debit_card"/>
    <n v="4"/>
    <s v="delivered"/>
    <d v="2017-10-01T00:00:00"/>
    <n v="9"/>
    <n v="0"/>
    <n v="1"/>
    <n v="110.36"/>
    <n v="53.847200000000001"/>
    <n v="10.511999999999999"/>
    <n v="28.480800000000002"/>
    <s v="8-14 days"/>
  </r>
  <r>
    <s v="bd8e880c923ccd6417576cc8290fb2bd"/>
    <x v="4"/>
    <d v="2017-10-18T00:00:00"/>
    <d v="2017-10-29T00:00:00"/>
    <d v="2017-11-10T00:00:00"/>
    <s v="housewares"/>
    <n v="55.06"/>
    <n v="15.35"/>
    <s v="credit_card"/>
    <n v="5"/>
    <s v="delivered"/>
    <d v="2017-10-01T00:00:00"/>
    <n v="11"/>
    <n v="0"/>
    <n v="1"/>
    <n v="70.41"/>
    <n v="34.687800000000003"/>
    <n v="9.2099999999999991"/>
    <n v="11.1622"/>
    <s v="8-14 days"/>
  </r>
  <r>
    <s v="a30d5097aa189a7d49e2b4f467b28af7"/>
    <x v="2"/>
    <d v="2017-10-18T00:00:00"/>
    <d v="2017-10-28T00:00:00"/>
    <d v="2017-11-11T00:00:00"/>
    <s v="auto"/>
    <n v="148.78"/>
    <n v="20.309999999999999"/>
    <s v="debit_card"/>
    <n v="5"/>
    <s v="delivered"/>
    <d v="2017-10-01T00:00:00"/>
    <n v="10"/>
    <n v="0"/>
    <n v="1"/>
    <n v="169.09"/>
    <n v="101.17040000000001"/>
    <n v="12.185999999999998"/>
    <n v="35.423599999999986"/>
    <s v="8-14 days"/>
  </r>
  <r>
    <s v="0ba6eab94639447b2067bdac88bd13d1"/>
    <x v="2"/>
    <d v="2017-10-19T00:00:00"/>
    <d v="2017-11-17T00:00:00"/>
    <d v="2017-11-12T00:00:00"/>
    <s v="health_beauty"/>
    <n v="65.489999999999995"/>
    <n v="16.93"/>
    <s v="voucher"/>
    <n v="3"/>
    <s v="delivered"/>
    <d v="2017-10-01T00:00:00"/>
    <n v="29"/>
    <n v="5"/>
    <n v="0"/>
    <n v="82.419999999999987"/>
    <n v="37.984199999999994"/>
    <n v="10.157999999999999"/>
    <n v="17.347799999999999"/>
    <s v="22+ days"/>
  </r>
  <r>
    <s v="e7ea8d5a31a3ac4d828c37e787d5b7be"/>
    <x v="8"/>
    <d v="2017-10-19T00:00:00"/>
    <d v="2017-11-01T00:00:00"/>
    <d v="2017-11-13T00:00:00"/>
    <s v="health_beauty"/>
    <n v="119.16"/>
    <n v="26.39"/>
    <s v="boleto"/>
    <n v="3"/>
    <s v="delivered"/>
    <d v="2017-10-01T00:00:00"/>
    <n v="13"/>
    <n v="0"/>
    <n v="1"/>
    <n v="145.55000000000001"/>
    <n v="69.112799999999993"/>
    <n v="15.834"/>
    <n v="34.213200000000001"/>
    <s v="8-14 days"/>
  </r>
  <r>
    <s v="b73f6e64378d2f8d8761f9da039479c1"/>
    <x v="2"/>
    <d v="2017-10-19T00:00:00"/>
    <d v="2017-11-01T00:00:00"/>
    <d v="2017-11-09T00:00:00"/>
    <s v="health_beauty"/>
    <n v="96.44"/>
    <n v="26.23"/>
    <s v="credit_card"/>
    <n v="4"/>
    <s v="delivered"/>
    <d v="2017-10-01T00:00:00"/>
    <n v="13"/>
    <n v="0"/>
    <n v="1"/>
    <n v="122.67"/>
    <n v="55.935199999999995"/>
    <n v="15.738"/>
    <n v="24.766800000000003"/>
    <s v="8-14 days"/>
  </r>
  <r>
    <s v="b9291d34db6ea0ba842ca512f369c683"/>
    <x v="4"/>
    <d v="2017-10-19T00:00:00"/>
    <d v="2017-11-02T00:00:00"/>
    <d v="2017-11-11T00:00:00"/>
    <s v="watches_gifts"/>
    <n v="109.15"/>
    <n v="28.45"/>
    <s v="boleto"/>
    <n v="5"/>
    <s v="delivered"/>
    <d v="2017-10-01T00:00:00"/>
    <n v="14"/>
    <n v="0"/>
    <n v="1"/>
    <n v="137.6"/>
    <n v="72.039000000000001"/>
    <n v="17.07"/>
    <n v="20.041000000000004"/>
    <s v="8-14 days"/>
  </r>
  <r>
    <s v="cf63961d041aabfdb8949e59a4dab893"/>
    <x v="4"/>
    <d v="2017-10-19T00:00:00"/>
    <d v="2017-11-05T00:00:00"/>
    <d v="2017-11-07T00:00:00"/>
    <s v="watches_gifts"/>
    <n v="60.31"/>
    <n v="18.940000000000001"/>
    <s v="credit_card"/>
    <n v="5"/>
    <s v="delivered"/>
    <d v="2017-10-01T00:00:00"/>
    <n v="17"/>
    <n v="0"/>
    <n v="1"/>
    <n v="79.25"/>
    <n v="39.804600000000001"/>
    <n v="11.364000000000001"/>
    <n v="9.1414000000000009"/>
    <s v="15-21 days"/>
  </r>
  <r>
    <s v="d0887e041a187531d4b0927b1fc7aa60"/>
    <x v="4"/>
    <d v="2017-10-19T00:00:00"/>
    <d v="2017-10-30T00:00:00"/>
    <d v="2017-11-11T00:00:00"/>
    <s v="housewares"/>
    <n v="32.380000000000003"/>
    <n v="26.31"/>
    <s v="credit_card"/>
    <n v="5"/>
    <s v="delivered"/>
    <d v="2017-10-01T00:00:00"/>
    <n v="11"/>
    <n v="0"/>
    <n v="1"/>
    <n v="58.69"/>
    <n v="20.399400000000004"/>
    <n v="15.785999999999998"/>
    <n v="-3.8053999999999988"/>
    <s v="8-14 days"/>
  </r>
  <r>
    <s v="806273b3e9669f6ce89f5c90d42161da"/>
    <x v="8"/>
    <d v="2017-10-19T00:00:00"/>
    <d v="2017-10-31T00:00:00"/>
    <d v="2017-11-12T00:00:00"/>
    <s v="sports_leisure"/>
    <n v="155.88"/>
    <n v="28.7"/>
    <s v="credit_card"/>
    <n v="4"/>
    <s v="delivered"/>
    <d v="2017-10-01T00:00:00"/>
    <n v="12"/>
    <n v="0"/>
    <n v="1"/>
    <n v="184.57999999999998"/>
    <n v="99.763199999999998"/>
    <n v="17.22"/>
    <n v="38.896799999999999"/>
    <s v="8-14 days"/>
  </r>
  <r>
    <s v="7d531cdcd7906117ed1d4adb01a0960b"/>
    <x v="0"/>
    <d v="2017-10-20T00:00:00"/>
    <d v="2017-10-29T00:00:00"/>
    <d v="2017-11-04T00:00:00"/>
    <s v="watches_gifts"/>
    <n v="166.18"/>
    <n v="21.13"/>
    <s v="boleto"/>
    <n v="4"/>
    <s v="delivered"/>
    <d v="2017-10-01T00:00:00"/>
    <n v="9"/>
    <n v="0"/>
    <n v="1"/>
    <n v="187.31"/>
    <n v="109.67880000000001"/>
    <n v="12.677999999999999"/>
    <n v="43.8232"/>
    <s v="8-14 days"/>
  </r>
  <r>
    <s v="c8a41ff065f286794914e34efaa2bdc6"/>
    <x v="9"/>
    <d v="2017-10-20T00:00:00"/>
    <d v="2017-11-03T00:00:00"/>
    <d v="2017-11-11T00:00:00"/>
    <s v="computers_accessories"/>
    <n v="130.88"/>
    <n v="34.479999999999997"/>
    <s v="credit_card"/>
    <n v="4"/>
    <s v="delivered"/>
    <d v="2017-10-01T00:00:00"/>
    <n v="14"/>
    <n v="0"/>
    <n v="1"/>
    <n v="165.35999999999999"/>
    <n v="96.851199999999992"/>
    <n v="20.687999999999999"/>
    <n v="13.340800000000005"/>
    <s v="8-14 days"/>
  </r>
  <r>
    <s v="bf1644542685602c3d8925a925d287d0"/>
    <x v="9"/>
    <d v="2017-10-21T00:00:00"/>
    <d v="2017-11-06T00:00:00"/>
    <d v="2017-11-15T00:00:00"/>
    <s v="computers_accessories"/>
    <n v="155.35"/>
    <n v="25.07"/>
    <s v="credit_card"/>
    <n v="3"/>
    <s v="delivered"/>
    <d v="2017-10-01T00:00:00"/>
    <n v="16"/>
    <n v="0"/>
    <n v="1"/>
    <n v="180.42"/>
    <n v="114.95899999999999"/>
    <n v="15.042"/>
    <n v="25.349000000000004"/>
    <s v="15-21 days"/>
  </r>
  <r>
    <s v="0d92bc7eb78a2037bd46ebd582c52802"/>
    <x v="0"/>
    <d v="2017-10-21T00:00:00"/>
    <d v="2017-10-25T00:00:00"/>
    <d v="2017-11-07T00:00:00"/>
    <s v="watches_gifts"/>
    <n v="219.48"/>
    <n v="21.03"/>
    <s v="credit_card"/>
    <n v="4"/>
    <s v="delivered"/>
    <d v="2017-10-01T00:00:00"/>
    <n v="4"/>
    <n v="0"/>
    <n v="1"/>
    <n v="240.51"/>
    <n v="144.85679999999999"/>
    <n v="12.618"/>
    <n v="62.005199999999995"/>
    <s v="0-7 days"/>
  </r>
  <r>
    <s v="8bab9c9cc0266d51a5c5bce0dffbdc2d"/>
    <x v="0"/>
    <d v="2017-10-21T00:00:00"/>
    <d v="2017-10-27T00:00:00"/>
    <d v="2017-11-08T00:00:00"/>
    <s v="health_beauty"/>
    <n v="104.04"/>
    <n v="17.55"/>
    <s v="boleto"/>
    <n v="5"/>
    <s v="delivered"/>
    <d v="2017-10-01T00:00:00"/>
    <n v="6"/>
    <n v="0"/>
    <n v="1"/>
    <n v="121.59"/>
    <n v="60.343199999999996"/>
    <n v="10.53"/>
    <n v="33.166800000000009"/>
    <s v="0-7 days"/>
  </r>
  <r>
    <s v="ab1635f01e3640b11742b052f01f7382"/>
    <x v="6"/>
    <d v="2017-10-22T00:00:00"/>
    <d v="2017-11-13T00:00:00"/>
    <d v="2017-11-22T00:00:00"/>
    <s v="watches_gifts"/>
    <n v="103.58"/>
    <n v="36.61"/>
    <s v="credit_card"/>
    <n v="3"/>
    <s v="delivered"/>
    <d v="2017-10-01T00:00:00"/>
    <n v="22"/>
    <n v="0"/>
    <n v="1"/>
    <n v="140.19"/>
    <n v="68.362800000000007"/>
    <n v="21.965999999999998"/>
    <n v="13.251199999999994"/>
    <s v="22+ days"/>
  </r>
  <r>
    <s v="4775d7abd2077bc478858b6d23e7cd20"/>
    <x v="0"/>
    <d v="2017-10-23T00:00:00"/>
    <d v="2017-11-04T00:00:00"/>
    <d v="2017-11-07T00:00:00"/>
    <s v="bed_bath_table"/>
    <n v="78.28"/>
    <n v="22.04"/>
    <s v="boleto"/>
    <n v="4"/>
    <s v="delivered"/>
    <d v="2017-10-01T00:00:00"/>
    <n v="12"/>
    <n v="0"/>
    <n v="1"/>
    <n v="100.32"/>
    <n v="48.5336"/>
    <n v="13.223999999999998"/>
    <n v="16.522400000000005"/>
    <s v="8-14 days"/>
  </r>
  <r>
    <s v="cbacc3c6bb8ec1cbead217d1cefd7dee"/>
    <x v="4"/>
    <d v="2017-10-23T00:00:00"/>
    <d v="2017-11-01T00:00:00"/>
    <d v="2017-11-12T00:00:00"/>
    <s v="housewares"/>
    <n v="63.82"/>
    <n v="29.01"/>
    <s v="credit_card"/>
    <n v="5"/>
    <s v="delivered"/>
    <d v="2017-10-01T00:00:00"/>
    <n v="9"/>
    <n v="0"/>
    <n v="1"/>
    <n v="92.83"/>
    <n v="40.206600000000002"/>
    <n v="17.405999999999999"/>
    <n v="6.2073999999999998"/>
    <s v="8-14 days"/>
  </r>
  <r>
    <s v="1f9d1e74049cd1603238a70896f35771"/>
    <x v="0"/>
    <d v="2017-10-23T00:00:00"/>
    <d v="2017-11-02T00:00:00"/>
    <d v="2017-11-04T00:00:00"/>
    <s v="furniture_decor"/>
    <n v="138.91"/>
    <n v="21.4"/>
    <s v="credit_card"/>
    <n v="5"/>
    <s v="delivered"/>
    <d v="2017-10-01T00:00:00"/>
    <n v="10"/>
    <n v="0"/>
    <n v="1"/>
    <n v="160.31"/>
    <n v="97.236999999999995"/>
    <n v="12.839999999999998"/>
    <n v="28.833000000000006"/>
    <s v="8-14 days"/>
  </r>
  <r>
    <s v="fefac198c3d6cd548623bc7465a29cc8"/>
    <x v="0"/>
    <d v="2017-10-24T00:00:00"/>
    <d v="2017-11-02T00:00:00"/>
    <d v="2017-11-09T00:00:00"/>
    <s v="bed_bath_table"/>
    <n v="162.6"/>
    <n v="14.03"/>
    <s v="credit_card"/>
    <n v="5"/>
    <s v="delivered"/>
    <d v="2017-10-01T00:00:00"/>
    <n v="9"/>
    <n v="0"/>
    <n v="1"/>
    <n v="176.63"/>
    <n v="100.812"/>
    <n v="8.4179999999999993"/>
    <n v="53.37"/>
    <s v="8-14 days"/>
  </r>
  <r>
    <s v="df61766abf5eabf2aa8fd30932d93235"/>
    <x v="0"/>
    <d v="2017-10-24T00:00:00"/>
    <d v="2017-10-29T00:00:00"/>
    <d v="2017-11-06T00:00:00"/>
    <s v="furniture_decor"/>
    <n v="159.38"/>
    <n v="22.86"/>
    <s v="credit_card"/>
    <n v="5"/>
    <s v="delivered"/>
    <d v="2017-10-01T00:00:00"/>
    <n v="5"/>
    <n v="0"/>
    <n v="1"/>
    <n v="182.24"/>
    <n v="111.56599999999999"/>
    <n v="13.715999999999999"/>
    <n v="34.098000000000006"/>
    <s v="0-7 days"/>
  </r>
  <r>
    <s v="b95fd28824c382be9943d04b7e22329a"/>
    <x v="3"/>
    <d v="2017-10-24T00:00:00"/>
    <d v="2017-11-11T00:00:00"/>
    <d v="2017-11-17T00:00:00"/>
    <s v="toys"/>
    <n v="49.89"/>
    <n v="21.59"/>
    <s v="credit_card"/>
    <n v="4"/>
    <s v="delivered"/>
    <d v="2017-10-01T00:00:00"/>
    <n v="18"/>
    <n v="0"/>
    <n v="1"/>
    <n v="71.48"/>
    <n v="29.933999999999997"/>
    <n v="12.953999999999999"/>
    <n v="7.0020000000000042"/>
    <s v="15-21 days"/>
  </r>
  <r>
    <s v="f3d6b9f2d4d7b0cab08d16769d09a404"/>
    <x v="0"/>
    <d v="2017-10-25T00:00:00"/>
    <d v="2017-11-02T00:00:00"/>
    <d v="2017-11-10T00:00:00"/>
    <s v="bed_bath_table"/>
    <n v="53.29"/>
    <n v="20.98"/>
    <s v="credit_card"/>
    <n v="4"/>
    <s v="delivered"/>
    <d v="2017-10-01T00:00:00"/>
    <n v="8"/>
    <n v="0"/>
    <n v="1"/>
    <n v="74.27"/>
    <n v="33.0398"/>
    <n v="12.587999999999999"/>
    <n v="7.6622000000000003"/>
    <s v="8-14 days"/>
  </r>
  <r>
    <s v="23cd8a4471e64bce88baef4aa8be8d1f"/>
    <x v="0"/>
    <d v="2017-10-25T00:00:00"/>
    <d v="2017-11-02T00:00:00"/>
    <d v="2017-11-07T00:00:00"/>
    <s v="auto"/>
    <n v="238.92"/>
    <n v="23.5"/>
    <s v="credit_card"/>
    <n v="4"/>
    <s v="delivered"/>
    <d v="2017-10-01T00:00:00"/>
    <n v="8"/>
    <n v="0"/>
    <n v="1"/>
    <n v="262.41999999999996"/>
    <n v="162.46559999999999"/>
    <n v="14.1"/>
    <n v="62.354399999999991"/>
    <s v="8-14 days"/>
  </r>
  <r>
    <s v="1357d2fe2a8f29cecd61647ccbf8b7e9"/>
    <x v="4"/>
    <d v="2017-10-25T00:00:00"/>
    <d v="2017-11-09T00:00:00"/>
    <d v="2017-11-11T00:00:00"/>
    <s v="sports_leisure"/>
    <n v="208.88"/>
    <n v="31.57"/>
    <s v="credit_card"/>
    <n v="4"/>
    <s v="delivered"/>
    <d v="2017-10-01T00:00:00"/>
    <n v="15"/>
    <n v="0"/>
    <n v="1"/>
    <n v="240.45"/>
    <n v="133.6832"/>
    <n v="18.942"/>
    <n v="56.254799999999996"/>
    <s v="15-21 days"/>
  </r>
  <r>
    <s v="c6ce72ab1dc4e66e2e7904592afaa00e"/>
    <x v="3"/>
    <d v="2017-10-25T00:00:00"/>
    <d v="2017-11-17T00:00:00"/>
    <d v="2017-11-17T00:00:00"/>
    <s v="furniture_decor"/>
    <n v="51.95"/>
    <n v="29.39"/>
    <s v="credit_card"/>
    <n v="5"/>
    <s v="delivered"/>
    <d v="2017-10-01T00:00:00"/>
    <n v="23"/>
    <n v="0"/>
    <n v="1"/>
    <n v="81.34"/>
    <n v="36.365000000000002"/>
    <n v="17.634"/>
    <n v="-2.0489999999999995"/>
    <s v="22+ days"/>
  </r>
  <r>
    <s v="47691dcbd0c9dfc1d13f24955ebc23bf"/>
    <x v="1"/>
    <d v="2017-10-26T00:00:00"/>
    <d v="2017-11-08T00:00:00"/>
    <d v="2017-11-14T00:00:00"/>
    <s v="computers_accessories"/>
    <n v="209.43"/>
    <n v="20.74"/>
    <s v="voucher"/>
    <n v="5"/>
    <s v="delivered"/>
    <d v="2017-10-01T00:00:00"/>
    <n v="13"/>
    <n v="0"/>
    <n v="1"/>
    <n v="230.17000000000002"/>
    <n v="154.97820000000002"/>
    <n v="12.443999999999999"/>
    <n v="42.007799999999989"/>
    <s v="8-14 days"/>
  </r>
  <r>
    <s v="07f2bde7eadce24462ff74f44e92078b"/>
    <x v="2"/>
    <d v="2017-10-26T00:00:00"/>
    <d v="2017-11-04T00:00:00"/>
    <d v="2017-11-16T00:00:00"/>
    <s v="watches_gifts"/>
    <n v="68.08"/>
    <n v="18.579999999999998"/>
    <s v="boleto"/>
    <n v="4"/>
    <s v="delivered"/>
    <d v="2017-10-01T00:00:00"/>
    <n v="9"/>
    <n v="0"/>
    <n v="1"/>
    <n v="86.66"/>
    <n v="44.9328"/>
    <n v="11.147999999999998"/>
    <n v="11.9992"/>
    <s v="8-14 days"/>
  </r>
  <r>
    <s v="41f4d834dcf5d1fccd3a7e734ce33ed4"/>
    <x v="1"/>
    <d v="2017-10-27T00:00:00"/>
    <d v="2017-11-03T00:00:00"/>
    <d v="2017-11-15T00:00:00"/>
    <s v="furniture_decor"/>
    <n v="158.97999999999999"/>
    <n v="30.51"/>
    <s v="credit_card"/>
    <n v="5"/>
    <s v="delivered"/>
    <d v="2017-10-01T00:00:00"/>
    <n v="7"/>
    <n v="0"/>
    <n v="1"/>
    <n v="189.48999999999998"/>
    <n v="111.28599999999999"/>
    <n v="18.306000000000001"/>
    <n v="29.388000000000002"/>
    <s v="0-7 days"/>
  </r>
  <r>
    <s v="01462442cb0568b66d9e4e0f7155fedf"/>
    <x v="2"/>
    <d v="2017-10-27T00:00:00"/>
    <d v="2017-11-27T00:00:00"/>
    <d v="2017-11-20T00:00:00"/>
    <s v="health_beauty"/>
    <n v="59.11"/>
    <n v="21.17"/>
    <s v="credit_card"/>
    <n v="3"/>
    <s v="delivered"/>
    <d v="2017-10-01T00:00:00"/>
    <n v="31"/>
    <n v="7"/>
    <n v="0"/>
    <n v="80.28"/>
    <n v="34.283799999999999"/>
    <n v="12.702"/>
    <n v="12.1242"/>
    <s v="22+ days"/>
  </r>
  <r>
    <s v="969b666205628059568cc69b1064005c"/>
    <x v="3"/>
    <d v="2017-10-28T00:00:00"/>
    <d v="2017-11-20T00:00:00"/>
    <d v="2017-11-19T00:00:00"/>
    <s v="sports_leisure"/>
    <n v="164.68"/>
    <n v="21.64"/>
    <s v="credit_card"/>
    <n v="3"/>
    <s v="delivered"/>
    <d v="2017-10-01T00:00:00"/>
    <n v="23"/>
    <n v="1"/>
    <n v="0"/>
    <n v="186.32"/>
    <n v="105.3952"/>
    <n v="12.984"/>
    <n v="46.300800000000002"/>
    <s v="22+ days"/>
  </r>
  <r>
    <s v="bea29dfec73f6e1baf908e3cdd750e98"/>
    <x v="3"/>
    <d v="2017-10-28T00:00:00"/>
    <d v="2017-11-10T00:00:00"/>
    <d v="2017-11-21T00:00:00"/>
    <s v="bed_bath_table"/>
    <n v="113.52"/>
    <n v="17.09"/>
    <s v="voucher"/>
    <n v="5"/>
    <s v="delivered"/>
    <d v="2017-10-01T00:00:00"/>
    <n v="13"/>
    <n v="0"/>
    <n v="1"/>
    <n v="130.60999999999999"/>
    <n v="70.382400000000004"/>
    <n v="10.254"/>
    <n v="32.883599999999994"/>
    <s v="8-14 days"/>
  </r>
  <r>
    <s v="1eb6d3f0948841cba40cd0eed07f8c45"/>
    <x v="0"/>
    <d v="2017-10-28T00:00:00"/>
    <d v="2017-11-02T00:00:00"/>
    <d v="2017-11-13T00:00:00"/>
    <s v="computers_accessories"/>
    <n v="233.76"/>
    <n v="21.23"/>
    <s v="voucher"/>
    <n v="5"/>
    <s v="delivered"/>
    <d v="2017-10-01T00:00:00"/>
    <n v="5"/>
    <n v="0"/>
    <n v="1"/>
    <n v="254.98999999999998"/>
    <n v="172.98239999999998"/>
    <n v="12.738"/>
    <n v="48.039600000000007"/>
    <s v="0-7 days"/>
  </r>
  <r>
    <s v="02b622e9808e08d25d264b1b6593b659"/>
    <x v="0"/>
    <d v="2017-10-29T00:00:00"/>
    <d v="2017-11-09T00:00:00"/>
    <d v="2017-11-14T00:00:00"/>
    <s v="watches_gifts"/>
    <n v="102.68"/>
    <n v="17.91"/>
    <s v="credit_card"/>
    <n v="5"/>
    <s v="delivered"/>
    <d v="2017-10-01T00:00:00"/>
    <n v="11"/>
    <n v="0"/>
    <n v="1"/>
    <n v="120.59"/>
    <n v="67.768800000000013"/>
    <n v="10.746"/>
    <n v="24.165199999999992"/>
    <s v="8-14 days"/>
  </r>
  <r>
    <s v="4aeedf7232256d64c9947eba25b85a8e"/>
    <x v="1"/>
    <d v="2017-10-29T00:00:00"/>
    <d v="2017-11-08T00:00:00"/>
    <d v="2017-11-19T00:00:00"/>
    <s v="furniture_decor"/>
    <n v="170.27"/>
    <n v="17.47"/>
    <s v="boleto"/>
    <n v="5"/>
    <s v="delivered"/>
    <d v="2017-10-01T00:00:00"/>
    <n v="10"/>
    <n v="0"/>
    <n v="1"/>
    <n v="187.74"/>
    <n v="119.18899999999999"/>
    <n v="10.481999999999999"/>
    <n v="40.599000000000018"/>
    <s v="8-14 days"/>
  </r>
  <r>
    <s v="e208945f04c6050953e1eeef84622ac5"/>
    <x v="4"/>
    <d v="2017-10-29T00:00:00"/>
    <d v="2017-11-12T00:00:00"/>
    <d v="2017-11-18T00:00:00"/>
    <s v="auto"/>
    <n v="126.29"/>
    <n v="22.61"/>
    <s v="voucher"/>
    <n v="5"/>
    <s v="delivered"/>
    <d v="2017-10-01T00:00:00"/>
    <n v="14"/>
    <n v="0"/>
    <n v="1"/>
    <n v="148.9"/>
    <n v="85.877200000000016"/>
    <n v="13.565999999999999"/>
    <n v="26.846799999999991"/>
    <s v="8-14 days"/>
  </r>
  <r>
    <s v="540f6345edd44660e80767cca22694a6"/>
    <x v="9"/>
    <d v="2017-10-29T00:00:00"/>
    <d v="2017-11-03T00:00:00"/>
    <d v="2017-11-20T00:00:00"/>
    <s v="computers_accessories"/>
    <n v="279.63"/>
    <n v="29.2"/>
    <s v="credit_card"/>
    <n v="4"/>
    <s v="delivered"/>
    <d v="2017-10-01T00:00:00"/>
    <n v="5"/>
    <n v="0"/>
    <n v="1"/>
    <n v="308.83"/>
    <n v="206.92619999999999"/>
    <n v="17.52"/>
    <n v="55.183800000000005"/>
    <s v="0-7 days"/>
  </r>
  <r>
    <s v="8e242b1dc5736b1cc0b15ca389ae67cb"/>
    <x v="11"/>
    <d v="2017-10-30T00:00:00"/>
    <d v="2017-11-15T00:00:00"/>
    <d v="2017-12-01T00:00:00"/>
    <s v="bed_bath_table"/>
    <n v="88.57"/>
    <n v="45.39"/>
    <s v="boleto"/>
    <n v="5"/>
    <s v="delivered"/>
    <d v="2017-10-01T00:00:00"/>
    <n v="16"/>
    <n v="0"/>
    <n v="1"/>
    <n v="133.95999999999998"/>
    <n v="54.913399999999996"/>
    <n v="27.233999999999998"/>
    <n v="6.4225999999999992"/>
    <s v="15-21 days"/>
  </r>
  <r>
    <s v="b69f68c3e60fd4202c33350c73b911d8"/>
    <x v="0"/>
    <d v="2017-10-31T00:00:00"/>
    <d v="2017-11-08T00:00:00"/>
    <d v="2017-11-14T00:00:00"/>
    <s v="health_beauty"/>
    <n v="80.680000000000007"/>
    <n v="21.07"/>
    <s v="credit_card"/>
    <n v="4"/>
    <s v="delivered"/>
    <d v="2017-10-01T00:00:00"/>
    <n v="8"/>
    <n v="0"/>
    <n v="1"/>
    <n v="101.75"/>
    <n v="46.794400000000003"/>
    <n v="12.641999999999999"/>
    <n v="21.243600000000004"/>
    <s v="8-14 days"/>
  </r>
  <r>
    <s v="82601132c02fb24f70100d7e2a5f66e4"/>
    <x v="0"/>
    <d v="2017-10-31T00:00:00"/>
    <d v="2017-11-10T00:00:00"/>
    <d v="2017-11-14T00:00:00"/>
    <s v="sports_leisure"/>
    <n v="344.87"/>
    <n v="27.6"/>
    <s v="credit_card"/>
    <n v="3"/>
    <s v="delivered"/>
    <d v="2017-10-01T00:00:00"/>
    <n v="10"/>
    <n v="0"/>
    <n v="1"/>
    <n v="372.47"/>
    <n v="220.71680000000001"/>
    <n v="16.559999999999999"/>
    <n v="107.5932"/>
    <s v="8-14 days"/>
  </r>
  <r>
    <s v="2fc5229853effcdfea7ec9acae372e39"/>
    <x v="0"/>
    <d v="2017-10-31T00:00:00"/>
    <d v="2017-11-05T00:00:00"/>
    <d v="2017-11-14T00:00:00"/>
    <s v="sports_leisure"/>
    <n v="75.150000000000006"/>
    <n v="12.84"/>
    <s v="credit_card"/>
    <n v="4"/>
    <s v="delivered"/>
    <d v="2017-10-01T00:00:00"/>
    <n v="5"/>
    <n v="0"/>
    <n v="1"/>
    <n v="87.990000000000009"/>
    <n v="48.096000000000004"/>
    <n v="7.7039999999999997"/>
    <n v="19.350000000000001"/>
    <s v="0-7 days"/>
  </r>
  <r>
    <s v="82e52a4070f82c5d8768462a429b01a5"/>
    <x v="0"/>
    <d v="2017-10-31T00:00:00"/>
    <d v="2017-11-13T00:00:00"/>
    <d v="2017-11-17T00:00:00"/>
    <s v="sports_leisure"/>
    <n v="166.3"/>
    <n v="24.09"/>
    <s v="credit_card"/>
    <n v="3"/>
    <s v="delivered"/>
    <d v="2017-10-01T00:00:00"/>
    <n v="13"/>
    <n v="0"/>
    <n v="1"/>
    <n v="190.39000000000001"/>
    <n v="106.43200000000002"/>
    <n v="14.453999999999999"/>
    <n v="45.413999999999994"/>
    <s v="8-14 days"/>
  </r>
  <r>
    <s v="7f651d8ad6d4f7ef284b73dd60e3fe8d"/>
    <x v="3"/>
    <d v="2017-10-31T00:00:00"/>
    <d v="2017-11-13T00:00:00"/>
    <d v="2017-12-01T00:00:00"/>
    <s v="watches_gifts"/>
    <n v="134.28"/>
    <n v="23.2"/>
    <s v="boleto"/>
    <n v="3"/>
    <s v="delivered"/>
    <d v="2017-10-01T00:00:00"/>
    <n v="13"/>
    <n v="0"/>
    <n v="1"/>
    <n v="157.47999999999999"/>
    <n v="88.624800000000008"/>
    <n v="13.92"/>
    <n v="31.735199999999992"/>
    <s v="8-14 days"/>
  </r>
  <r>
    <s v="76dae194439db29d4bc81c16fa2fbd74"/>
    <x v="9"/>
    <d v="2017-11-01T00:00:00"/>
    <d v="2017-11-09T00:00:00"/>
    <d v="2017-11-21T00:00:00"/>
    <s v="housewares"/>
    <n v="237.26"/>
    <n v="28.2"/>
    <s v="credit_card"/>
    <n v="5"/>
    <s v="delivered"/>
    <d v="2017-11-01T00:00:00"/>
    <n v="8"/>
    <n v="0"/>
    <n v="1"/>
    <n v="265.45999999999998"/>
    <n v="149.47379999999998"/>
    <n v="16.919999999999998"/>
    <n v="70.866200000000006"/>
    <s v="8-14 days"/>
  </r>
  <r>
    <s v="f5b7741490a6c5b41a70bcdbec202e90"/>
    <x v="3"/>
    <d v="2017-11-01T00:00:00"/>
    <d v="2017-11-15T00:00:00"/>
    <d v="2017-11-24T00:00:00"/>
    <s v="toys"/>
    <n v="37.74"/>
    <n v="25.23"/>
    <s v="boleto"/>
    <n v="5"/>
    <s v="delivered"/>
    <d v="2017-11-01T00:00:00"/>
    <n v="14"/>
    <n v="0"/>
    <n v="1"/>
    <n v="62.97"/>
    <n v="22.644000000000002"/>
    <n v="15.138"/>
    <n v="-4.1999999999999815E-2"/>
    <s v="8-14 days"/>
  </r>
  <r>
    <s v="3e0643114b2c4073c1143151eb151b3a"/>
    <x v="0"/>
    <d v="2017-11-01T00:00:00"/>
    <d v="2017-11-10T00:00:00"/>
    <d v="2017-11-18T00:00:00"/>
    <s v="health_beauty"/>
    <n v="50.06"/>
    <n v="11.51"/>
    <s v="credit_card"/>
    <n v="3"/>
    <s v="delivered"/>
    <d v="2017-11-01T00:00:00"/>
    <n v="9"/>
    <n v="0"/>
    <n v="1"/>
    <n v="61.57"/>
    <n v="29.034800000000001"/>
    <n v="6.9059999999999997"/>
    <n v="14.119200000000003"/>
    <s v="8-14 days"/>
  </r>
  <r>
    <s v="3a20bb07297c2bb12e6060c3fed6b3b6"/>
    <x v="6"/>
    <d v="2017-11-01T00:00:00"/>
    <d v="2017-11-12T00:00:00"/>
    <d v="2017-12-01T00:00:00"/>
    <s v="health_beauty"/>
    <n v="59.64"/>
    <n v="28.49"/>
    <s v="boleto"/>
    <n v="4"/>
    <s v="delivered"/>
    <d v="2017-11-01T00:00:00"/>
    <n v="11"/>
    <n v="0"/>
    <n v="1"/>
    <n v="88.13"/>
    <n v="34.591200000000001"/>
    <n v="17.093999999999998"/>
    <n v="7.9548000000000023"/>
    <s v="8-14 days"/>
  </r>
  <r>
    <s v="cedaccec56c07f2b3875c569ee85fb01"/>
    <x v="2"/>
    <d v="2017-11-01T00:00:00"/>
    <d v="2017-11-19T00:00:00"/>
    <d v="2017-11-24T00:00:00"/>
    <s v="computers_accessories"/>
    <n v="140.66"/>
    <n v="27.12"/>
    <s v="boleto"/>
    <n v="4"/>
    <s v="delivered"/>
    <d v="2017-11-01T00:00:00"/>
    <n v="18"/>
    <n v="0"/>
    <n v="1"/>
    <n v="167.78"/>
    <n v="104.08839999999999"/>
    <n v="16.271999999999998"/>
    <n v="20.299600000000005"/>
    <s v="15-21 days"/>
  </r>
  <r>
    <s v="97104075b8dbfc463a8b17bd0ac35863"/>
    <x v="0"/>
    <d v="2017-11-01T00:00:00"/>
    <d v="2017-11-08T00:00:00"/>
    <d v="2017-11-19T00:00:00"/>
    <s v="computers_accessories"/>
    <n v="101.14"/>
    <n v="19.649999999999999"/>
    <s v="voucher"/>
    <n v="4"/>
    <s v="delivered"/>
    <d v="2017-11-01T00:00:00"/>
    <n v="7"/>
    <n v="0"/>
    <n v="1"/>
    <n v="120.78999999999999"/>
    <n v="74.843599999999995"/>
    <n v="11.79"/>
    <n v="14.506400000000006"/>
    <s v="0-7 days"/>
  </r>
  <r>
    <s v="166c3d7f3dcebe0c65861976f2acf3fc"/>
    <x v="0"/>
    <d v="2017-11-01T00:00:00"/>
    <d v="2017-11-04T00:00:00"/>
    <d v="2017-11-15T00:00:00"/>
    <s v="bed_bath_table"/>
    <n v="85.13"/>
    <n v="17.34"/>
    <s v="credit_card"/>
    <n v="5"/>
    <s v="delivered"/>
    <d v="2017-11-01T00:00:00"/>
    <n v="3"/>
    <n v="0"/>
    <n v="1"/>
    <n v="102.47"/>
    <n v="52.7806"/>
    <n v="10.404"/>
    <n v="21.945399999999996"/>
    <s v="0-7 days"/>
  </r>
  <r>
    <s v="754182e8f8cb57ff586b3c2246527e16"/>
    <x v="3"/>
    <d v="2017-11-02T00:00:00"/>
    <d v="2017-11-19T00:00:00"/>
    <d v="2017-11-30T00:00:00"/>
    <s v="health_beauty"/>
    <n v="134.22999999999999"/>
    <n v="23.72"/>
    <s v="credit_card"/>
    <n v="5"/>
    <s v="delivered"/>
    <d v="2017-11-01T00:00:00"/>
    <n v="17"/>
    <n v="0"/>
    <n v="1"/>
    <n v="157.94999999999999"/>
    <n v="77.853399999999993"/>
    <n v="14.231999999999999"/>
    <n v="42.144599999999997"/>
    <s v="15-21 days"/>
  </r>
  <r>
    <s v="a4ba0ef5284af9d8428e31edda36967d"/>
    <x v="7"/>
    <d v="2017-11-02T00:00:00"/>
    <d v="2017-11-15T00:00:00"/>
    <d v="2017-11-23T00:00:00"/>
    <s v="bed_bath_table"/>
    <n v="104.23"/>
    <n v="23.58"/>
    <s v="boleto"/>
    <n v="5"/>
    <s v="delivered"/>
    <d v="2017-11-01T00:00:00"/>
    <n v="13"/>
    <n v="0"/>
    <n v="1"/>
    <n v="127.81"/>
    <n v="64.622600000000006"/>
    <n v="14.147999999999998"/>
    <n v="25.459400000000002"/>
    <s v="8-14 days"/>
  </r>
  <r>
    <s v="cdc7bd02ad3c21793a41a2bc70d294b7"/>
    <x v="9"/>
    <d v="2017-11-02T00:00:00"/>
    <d v="2017-11-27T00:00:00"/>
    <d v="2017-11-28T00:00:00"/>
    <s v="toys"/>
    <n v="29.95"/>
    <n v="28.35"/>
    <s v="credit_card"/>
    <n v="3"/>
    <s v="delivered"/>
    <d v="2017-11-01T00:00:00"/>
    <n v="25"/>
    <n v="0"/>
    <n v="1"/>
    <n v="58.3"/>
    <n v="17.97"/>
    <n v="17.010000000000002"/>
    <n v="-5.0300000000000011"/>
    <s v="22+ days"/>
  </r>
  <r>
    <s v="98d00c2c17d30f328de1596c5a9a206a"/>
    <x v="0"/>
    <d v="2017-11-03T00:00:00"/>
    <d v="2017-11-10T00:00:00"/>
    <d v="2017-11-19T00:00:00"/>
    <s v="furniture_decor"/>
    <n v="108.55"/>
    <n v="12.95"/>
    <s v="credit_card"/>
    <n v="5"/>
    <s v="delivered"/>
    <d v="2017-11-01T00:00:00"/>
    <n v="7"/>
    <n v="0"/>
    <n v="1"/>
    <n v="121.5"/>
    <n v="75.984999999999999"/>
    <n v="7.77"/>
    <n v="24.794999999999998"/>
    <s v="0-7 days"/>
  </r>
  <r>
    <s v="3754a771aba5d1c9035c5d033664cafa"/>
    <x v="0"/>
    <d v="2017-11-03T00:00:00"/>
    <d v="2017-11-07T00:00:00"/>
    <d v="2017-11-19T00:00:00"/>
    <s v="toys"/>
    <n v="99.38"/>
    <n v="17.68"/>
    <s v="credit_card"/>
    <n v="5"/>
    <s v="delivered"/>
    <d v="2017-11-01T00:00:00"/>
    <n v="4"/>
    <n v="0"/>
    <n v="1"/>
    <n v="117.06"/>
    <n v="59.627999999999993"/>
    <n v="10.607999999999999"/>
    <n v="29.144000000000005"/>
    <s v="0-7 days"/>
  </r>
  <r>
    <s v="23f2f68f476a25332d91ac23497dd968"/>
    <x v="0"/>
    <d v="2017-11-03T00:00:00"/>
    <d v="2017-11-08T00:00:00"/>
    <d v="2017-11-22T00:00:00"/>
    <s v="housewares"/>
    <n v="102.09"/>
    <n v="16.52"/>
    <s v="credit_card"/>
    <n v="4"/>
    <s v="delivered"/>
    <d v="2017-11-01T00:00:00"/>
    <n v="5"/>
    <n v="0"/>
    <n v="1"/>
    <n v="118.61"/>
    <n v="64.316699999999997"/>
    <n v="9.911999999999999"/>
    <n v="27.861300000000007"/>
    <s v="0-7 days"/>
  </r>
  <r>
    <s v="a69b4d21efb38c42b0901da22ec46bfe"/>
    <x v="0"/>
    <d v="2017-11-03T00:00:00"/>
    <d v="2017-11-16T00:00:00"/>
    <d v="2017-11-22T00:00:00"/>
    <s v="furniture_decor"/>
    <n v="102.38"/>
    <n v="20.92"/>
    <s v="boleto"/>
    <n v="5"/>
    <s v="delivered"/>
    <d v="2017-11-01T00:00:00"/>
    <n v="13"/>
    <n v="0"/>
    <n v="1"/>
    <n v="123.3"/>
    <n v="71.665999999999997"/>
    <n v="12.552000000000001"/>
    <n v="18.161999999999999"/>
    <s v="8-14 days"/>
  </r>
  <r>
    <s v="f9f8f5f4ce96c887f8db37f6c3bc5ca7"/>
    <x v="2"/>
    <d v="2017-11-03T00:00:00"/>
    <d v="2017-11-13T00:00:00"/>
    <d v="2017-11-26T00:00:00"/>
    <s v="computers_accessories"/>
    <n v="109.57"/>
    <n v="30.26"/>
    <s v="voucher"/>
    <n v="5"/>
    <s v="delivered"/>
    <d v="2017-11-01T00:00:00"/>
    <n v="10"/>
    <n v="0"/>
    <n v="1"/>
    <n v="139.82999999999998"/>
    <n v="81.081799999999987"/>
    <n v="18.155999999999999"/>
    <n v="10.332200000000007"/>
    <s v="8-14 days"/>
  </r>
  <r>
    <s v="e0f0200824a994d79b48c6fb333f117b"/>
    <x v="9"/>
    <d v="2017-11-03T00:00:00"/>
    <d v="2017-11-19T00:00:00"/>
    <d v="2017-11-29T00:00:00"/>
    <s v="housewares"/>
    <n v="106.87"/>
    <n v="19.25"/>
    <s v="boleto"/>
    <n v="5"/>
    <s v="delivered"/>
    <d v="2017-11-01T00:00:00"/>
    <n v="16"/>
    <n v="0"/>
    <n v="1"/>
    <n v="126.12"/>
    <n v="67.328100000000006"/>
    <n v="11.549999999999999"/>
    <n v="27.991900000000001"/>
    <s v="15-21 days"/>
  </r>
  <r>
    <s v="84c84c23676e34be78bec228c455da79"/>
    <x v="0"/>
    <d v="2017-11-03T00:00:00"/>
    <d v="2017-11-16T00:00:00"/>
    <d v="2017-11-16T00:00:00"/>
    <s v="health_beauty"/>
    <n v="87.88"/>
    <n v="17.850000000000001"/>
    <s v="credit_card"/>
    <n v="5"/>
    <s v="delivered"/>
    <d v="2017-11-01T00:00:00"/>
    <n v="13"/>
    <n v="0"/>
    <n v="1"/>
    <n v="105.72999999999999"/>
    <n v="50.970399999999991"/>
    <n v="10.71"/>
    <n v="26.199600000000004"/>
    <s v="8-14 days"/>
  </r>
  <r>
    <s v="c339d513afa2c76a29d9525f793aec89"/>
    <x v="4"/>
    <d v="2017-11-03T00:00:00"/>
    <d v="2017-11-17T00:00:00"/>
    <d v="2017-11-26T00:00:00"/>
    <s v="sports_leisure"/>
    <n v="44.46"/>
    <n v="18.940000000000001"/>
    <s v="voucher"/>
    <n v="5"/>
    <s v="delivered"/>
    <d v="2017-11-01T00:00:00"/>
    <n v="14"/>
    <n v="0"/>
    <n v="1"/>
    <n v="63.400000000000006"/>
    <n v="28.4544"/>
    <n v="11.364000000000001"/>
    <n v="4.6416000000000004"/>
    <s v="8-14 days"/>
  </r>
  <r>
    <s v="735741e5fe1a1ba9c8969c5b45f8c28d"/>
    <x v="2"/>
    <d v="2017-11-04T00:00:00"/>
    <d v="2017-11-16T00:00:00"/>
    <d v="2017-11-27T00:00:00"/>
    <s v="auto"/>
    <n v="71.16"/>
    <n v="17.28"/>
    <s v="credit_card"/>
    <n v="5"/>
    <s v="delivered"/>
    <d v="2017-11-01T00:00:00"/>
    <n v="12"/>
    <n v="0"/>
    <n v="1"/>
    <n v="88.44"/>
    <n v="48.388800000000003"/>
    <n v="10.368"/>
    <n v="12.403199999999993"/>
    <s v="8-14 days"/>
  </r>
  <r>
    <s v="72ef917e3af834f29aef9aec7bf18cf4"/>
    <x v="0"/>
    <d v="2017-11-04T00:00:00"/>
    <d v="2017-11-14T00:00:00"/>
    <d v="2017-11-21T00:00:00"/>
    <s v="bed_bath_table"/>
    <n v="78.400000000000006"/>
    <n v="15.87"/>
    <s v="boleto"/>
    <n v="4"/>
    <s v="delivered"/>
    <d v="2017-11-01T00:00:00"/>
    <n v="10"/>
    <n v="0"/>
    <n v="1"/>
    <n v="94.27000000000001"/>
    <n v="48.608000000000004"/>
    <n v="9.5219999999999985"/>
    <n v="20.270000000000003"/>
    <s v="8-14 days"/>
  </r>
  <r>
    <s v="172dc64717e6ae9932d8bc2913707fcb"/>
    <x v="5"/>
    <d v="2017-11-04T00:00:00"/>
    <d v="2017-11-15T00:00:00"/>
    <d v="2017-11-26T00:00:00"/>
    <s v="health_beauty"/>
    <n v="91.61"/>
    <n v="26.76"/>
    <s v="credit_card"/>
    <n v="4"/>
    <s v="delivered"/>
    <d v="2017-11-01T00:00:00"/>
    <n v="11"/>
    <n v="0"/>
    <n v="1"/>
    <n v="118.37"/>
    <n v="53.133799999999994"/>
    <n v="16.056000000000001"/>
    <n v="22.420200000000005"/>
    <s v="8-14 days"/>
  </r>
  <r>
    <s v="0182c4813bd14558af2f5f8b1a9226d6"/>
    <x v="3"/>
    <d v="2017-11-04T00:00:00"/>
    <d v="2017-11-22T00:00:00"/>
    <d v="2017-11-26T00:00:00"/>
    <s v="health_beauty"/>
    <n v="143.34"/>
    <n v="19.68"/>
    <s v="credit_card"/>
    <n v="4"/>
    <s v="delivered"/>
    <d v="2017-11-01T00:00:00"/>
    <n v="18"/>
    <n v="0"/>
    <n v="1"/>
    <n v="163.02000000000001"/>
    <n v="83.137199999999993"/>
    <n v="11.808"/>
    <n v="48.394800000000011"/>
    <s v="15-21 days"/>
  </r>
  <r>
    <s v="56aa814e779bfee4a6f70a504903528a"/>
    <x v="3"/>
    <d v="2017-11-04T00:00:00"/>
    <d v="2017-11-26T00:00:00"/>
    <d v="2017-11-29T00:00:00"/>
    <s v="health_beauty"/>
    <n v="131.53"/>
    <n v="26.93"/>
    <s v="credit_card"/>
    <n v="5"/>
    <s v="delivered"/>
    <d v="2017-11-01T00:00:00"/>
    <n v="22"/>
    <n v="0"/>
    <n v="1"/>
    <n v="158.46"/>
    <n v="76.287399999999991"/>
    <n v="16.157999999999998"/>
    <n v="39.084600000000009"/>
    <s v="22+ days"/>
  </r>
  <r>
    <s v="aefae7b6f49ee85fafd580eb175217cb"/>
    <x v="0"/>
    <d v="2017-11-04T00:00:00"/>
    <d v="2017-11-20T00:00:00"/>
    <d v="2017-11-16T00:00:00"/>
    <s v="furniture_decor"/>
    <n v="220.42"/>
    <n v="20.02"/>
    <s v="boleto"/>
    <n v="3"/>
    <s v="delivered"/>
    <d v="2017-11-01T00:00:00"/>
    <n v="16"/>
    <n v="4"/>
    <n v="0"/>
    <n v="240.44"/>
    <n v="154.29399999999998"/>
    <n v="12.011999999999999"/>
    <n v="54.114000000000004"/>
    <s v="15-21 days"/>
  </r>
  <r>
    <s v="6e0d264835ce884149732d6c4dcabfb7"/>
    <x v="0"/>
    <d v="2017-11-05T00:00:00"/>
    <d v="2017-11-09T00:00:00"/>
    <d v="2017-11-18T00:00:00"/>
    <s v="health_beauty"/>
    <n v="90.9"/>
    <n v="21.07"/>
    <s v="boleto"/>
    <n v="5"/>
    <s v="delivered"/>
    <d v="2017-11-01T00:00:00"/>
    <n v="4"/>
    <n v="0"/>
    <n v="1"/>
    <n v="111.97"/>
    <n v="52.722000000000001"/>
    <n v="12.641999999999999"/>
    <n v="25.536000000000005"/>
    <s v="0-7 days"/>
  </r>
  <r>
    <s v="d3616b3a7cffae922c4356677b874b4a"/>
    <x v="0"/>
    <d v="2017-11-05T00:00:00"/>
    <d v="2017-11-11T00:00:00"/>
    <d v="2017-11-20T00:00:00"/>
    <s v="computers_accessories"/>
    <n v="82.36"/>
    <n v="15.56"/>
    <s v="boleto"/>
    <n v="5"/>
    <s v="delivered"/>
    <d v="2017-11-01T00:00:00"/>
    <n v="6"/>
    <n v="0"/>
    <n v="1"/>
    <n v="97.92"/>
    <n v="60.946399999999997"/>
    <n v="9.3360000000000003"/>
    <n v="12.077600000000002"/>
    <s v="0-7 days"/>
  </r>
  <r>
    <s v="124311591df56402492ca61297affdcd"/>
    <x v="0"/>
    <d v="2017-11-05T00:00:00"/>
    <d v="2017-11-12T00:00:00"/>
    <d v="2017-11-22T00:00:00"/>
    <s v="bed_bath_table"/>
    <n v="46.99"/>
    <n v="13.1"/>
    <s v="credit_card"/>
    <n v="5"/>
    <s v="delivered"/>
    <d v="2017-11-01T00:00:00"/>
    <n v="7"/>
    <n v="0"/>
    <n v="1"/>
    <n v="60.09"/>
    <n v="29.133800000000001"/>
    <n v="7.8599999999999994"/>
    <n v="9.9962000000000018"/>
    <s v="0-7 days"/>
  </r>
  <r>
    <s v="b9296f54aecb962566c6ea9bdd43fb54"/>
    <x v="4"/>
    <d v="2017-11-05T00:00:00"/>
    <d v="2017-11-14T00:00:00"/>
    <d v="2017-11-24T00:00:00"/>
    <s v="toys"/>
    <n v="60.65"/>
    <n v="16.3"/>
    <s v="credit_card"/>
    <n v="5"/>
    <s v="delivered"/>
    <d v="2017-11-01T00:00:00"/>
    <n v="9"/>
    <n v="0"/>
    <n v="1"/>
    <n v="76.95"/>
    <n v="36.39"/>
    <n v="9.7799999999999994"/>
    <n v="14.479999999999999"/>
    <s v="8-14 days"/>
  </r>
  <r>
    <s v="6ca6743866dc0f3ddc237929fbacb2e8"/>
    <x v="0"/>
    <d v="2017-11-05T00:00:00"/>
    <d v="2017-11-10T00:00:00"/>
    <d v="2017-11-22T00:00:00"/>
    <s v="health_beauty"/>
    <n v="136.87"/>
    <n v="13.44"/>
    <s v="boleto"/>
    <n v="5"/>
    <s v="delivered"/>
    <d v="2017-11-01T00:00:00"/>
    <n v="5"/>
    <n v="0"/>
    <n v="1"/>
    <n v="150.31"/>
    <n v="79.384599999999992"/>
    <n v="8.0640000000000001"/>
    <n v="49.421400000000013"/>
    <s v="0-7 days"/>
  </r>
  <r>
    <s v="833ba35ea5a9c1be48d3ef98b8702def"/>
    <x v="3"/>
    <d v="2017-11-05T00:00:00"/>
    <d v="2017-11-12T00:00:00"/>
    <d v="2017-12-01T00:00:00"/>
    <s v="bed_bath_table"/>
    <n v="118.73"/>
    <n v="26.42"/>
    <s v="credit_card"/>
    <n v="5"/>
    <s v="delivered"/>
    <d v="2017-11-01T00:00:00"/>
    <n v="7"/>
    <n v="0"/>
    <n v="1"/>
    <n v="145.15"/>
    <n v="73.6126"/>
    <n v="15.852"/>
    <n v="29.265400000000003"/>
    <s v="0-7 days"/>
  </r>
  <r>
    <s v="0cba3ea338d1651188914fbff59d079f"/>
    <x v="9"/>
    <d v="2017-11-05T00:00:00"/>
    <d v="2017-11-23T00:00:00"/>
    <d v="2017-11-29T00:00:00"/>
    <s v="furniture_decor"/>
    <n v="42.43"/>
    <n v="29.52"/>
    <s v="boleto"/>
    <n v="5"/>
    <s v="delivered"/>
    <d v="2017-11-01T00:00:00"/>
    <n v="18"/>
    <n v="0"/>
    <n v="1"/>
    <n v="71.95"/>
    <n v="29.700999999999997"/>
    <n v="17.712"/>
    <n v="-4.982999999999997"/>
    <s v="15-21 days"/>
  </r>
  <r>
    <s v="93d025137a045c437f97ebd8457d80a9"/>
    <x v="0"/>
    <d v="2017-11-05T00:00:00"/>
    <d v="2017-11-12T00:00:00"/>
    <d v="2017-11-20T00:00:00"/>
    <s v="computers_accessories"/>
    <n v="76.900000000000006"/>
    <n v="22.52"/>
    <s v="credit_card"/>
    <n v="4"/>
    <s v="delivered"/>
    <d v="2017-11-01T00:00:00"/>
    <n v="7"/>
    <n v="0"/>
    <n v="1"/>
    <n v="99.42"/>
    <n v="56.906000000000006"/>
    <n v="13.511999999999999"/>
    <n v="6.4820000000000011"/>
    <s v="0-7 days"/>
  </r>
  <r>
    <s v="3f1be0d0f5141058313839757bf33a34"/>
    <x v="3"/>
    <d v="2017-11-06T00:00:00"/>
    <d v="2017-11-20T00:00:00"/>
    <d v="2017-11-28T00:00:00"/>
    <s v="toys"/>
    <n v="178.61"/>
    <n v="22.16"/>
    <s v="credit_card"/>
    <n v="4"/>
    <s v="delivered"/>
    <d v="2017-11-01T00:00:00"/>
    <n v="14"/>
    <n v="0"/>
    <n v="1"/>
    <n v="200.77"/>
    <n v="107.16600000000001"/>
    <n v="13.295999999999999"/>
    <n v="58.148000000000003"/>
    <s v="8-14 days"/>
  </r>
  <r>
    <s v="fff96acfee4205eea52fc3eceb4e2281"/>
    <x v="0"/>
    <d v="2017-11-06T00:00:00"/>
    <d v="2017-11-13T00:00:00"/>
    <d v="2017-11-19T00:00:00"/>
    <s v="computers_accessories"/>
    <n v="95.44"/>
    <n v="18.05"/>
    <s v="credit_card"/>
    <n v="5"/>
    <s v="delivered"/>
    <d v="2017-11-01T00:00:00"/>
    <n v="7"/>
    <n v="0"/>
    <n v="1"/>
    <n v="113.49"/>
    <n v="70.625599999999991"/>
    <n v="10.83"/>
    <n v="13.984400000000006"/>
    <s v="0-7 days"/>
  </r>
  <r>
    <s v="b5cbe3f56a66c1847de1bf5daf4847f0"/>
    <x v="0"/>
    <d v="2017-11-06T00:00:00"/>
    <d v="2017-11-12T00:00:00"/>
    <d v="2017-11-23T00:00:00"/>
    <s v="bed_bath_table"/>
    <n v="178.56"/>
    <n v="19.27"/>
    <s v="boleto"/>
    <n v="5"/>
    <s v="delivered"/>
    <d v="2017-11-01T00:00:00"/>
    <n v="6"/>
    <n v="0"/>
    <n v="1"/>
    <n v="197.83"/>
    <n v="110.7072"/>
    <n v="11.561999999999999"/>
    <n v="56.290800000000004"/>
    <s v="0-7 days"/>
  </r>
  <r>
    <s v="ef2adff8cea4f9c41ecadf24f0d1fa72"/>
    <x v="0"/>
    <d v="2017-11-06T00:00:00"/>
    <d v="2017-11-17T00:00:00"/>
    <d v="2017-11-24T00:00:00"/>
    <s v="bed_bath_table"/>
    <n v="28.76"/>
    <n v="21.13"/>
    <s v="credit_card"/>
    <n v="5"/>
    <s v="delivered"/>
    <d v="2017-11-01T00:00:00"/>
    <n v="11"/>
    <n v="0"/>
    <n v="1"/>
    <n v="49.89"/>
    <n v="17.831200000000003"/>
    <n v="12.677999999999999"/>
    <n v="-1.7492000000000001"/>
    <s v="8-14 days"/>
  </r>
  <r>
    <s v="638b66acd4eee3138c487218a892ab6f"/>
    <x v="0"/>
    <d v="2017-11-06T00:00:00"/>
    <d v="2017-11-15T00:00:00"/>
    <d v="2017-11-22T00:00:00"/>
    <s v="bed_bath_table"/>
    <n v="86.59"/>
    <n v="17.010000000000002"/>
    <s v="boleto"/>
    <n v="5"/>
    <s v="delivered"/>
    <d v="2017-11-01T00:00:00"/>
    <n v="9"/>
    <n v="0"/>
    <n v="1"/>
    <n v="103.60000000000001"/>
    <n v="53.6858"/>
    <n v="10.206000000000001"/>
    <n v="22.6982"/>
    <s v="8-14 days"/>
  </r>
  <r>
    <s v="439c725df6b90ae07395d3fc518775b3"/>
    <x v="4"/>
    <d v="2017-11-06T00:00:00"/>
    <d v="2017-11-21T00:00:00"/>
    <d v="2017-11-28T00:00:00"/>
    <s v="computers_accessories"/>
    <n v="184.48"/>
    <n v="28.3"/>
    <s v="credit_card"/>
    <n v="5"/>
    <s v="delivered"/>
    <d v="2017-11-01T00:00:00"/>
    <n v="15"/>
    <n v="0"/>
    <n v="1"/>
    <n v="212.78"/>
    <n v="136.51519999999999"/>
    <n v="16.98"/>
    <n v="30.984799999999996"/>
    <s v="15-21 days"/>
  </r>
  <r>
    <s v="3b1e27d9997f14d6c829f373699f96c9"/>
    <x v="0"/>
    <d v="2017-11-06T00:00:00"/>
    <d v="2017-11-13T00:00:00"/>
    <d v="2017-11-25T00:00:00"/>
    <s v="bed_bath_table"/>
    <n v="56.5"/>
    <n v="11.98"/>
    <s v="credit_card"/>
    <n v="4"/>
    <s v="delivered"/>
    <d v="2017-11-01T00:00:00"/>
    <n v="7"/>
    <n v="0"/>
    <n v="1"/>
    <n v="68.48"/>
    <n v="35.03"/>
    <n v="7.1879999999999997"/>
    <n v="14.282"/>
    <s v="0-7 days"/>
  </r>
  <r>
    <s v="5717876833fcfd7df605aa9c2de75a92"/>
    <x v="8"/>
    <d v="2017-11-06T00:00:00"/>
    <d v="2017-11-15T00:00:00"/>
    <d v="2017-12-04T00:00:00"/>
    <s v="health_beauty"/>
    <n v="113.89"/>
    <n v="19.149999999999999"/>
    <s v="credit_card"/>
    <n v="4"/>
    <s v="delivered"/>
    <d v="2017-11-01T00:00:00"/>
    <n v="9"/>
    <n v="0"/>
    <n v="1"/>
    <n v="133.04"/>
    <n v="66.05619999999999"/>
    <n v="11.489999999999998"/>
    <n v="36.343800000000016"/>
    <s v="8-14 days"/>
  </r>
  <r>
    <s v="ca84000350834fef6dec6bbdf69777a1"/>
    <x v="0"/>
    <d v="2017-11-07T00:00:00"/>
    <d v="2017-11-16T00:00:00"/>
    <d v="2017-11-20T00:00:00"/>
    <s v="toys"/>
    <n v="145.53"/>
    <n v="17.440000000000001"/>
    <s v="credit_card"/>
    <n v="5"/>
    <s v="delivered"/>
    <d v="2017-11-01T00:00:00"/>
    <n v="9"/>
    <n v="0"/>
    <n v="1"/>
    <n v="162.97"/>
    <n v="87.317999999999998"/>
    <n v="10.464"/>
    <n v="47.748000000000005"/>
    <s v="8-14 days"/>
  </r>
  <r>
    <s v="69be173a850ef0add872f72ee5b4a1ae"/>
    <x v="2"/>
    <d v="2017-11-07T00:00:00"/>
    <d v="2017-11-22T00:00:00"/>
    <d v="2017-12-01T00:00:00"/>
    <s v="auto"/>
    <n v="136.38999999999999"/>
    <n v="32.32"/>
    <s v="credit_card"/>
    <n v="4"/>
    <s v="delivered"/>
    <d v="2017-11-01T00:00:00"/>
    <n v="15"/>
    <n v="0"/>
    <n v="1"/>
    <n v="168.70999999999998"/>
    <n v="92.745199999999997"/>
    <n v="19.391999999999999"/>
    <n v="24.25279999999999"/>
    <s v="15-21 days"/>
  </r>
  <r>
    <s v="3aad584034ef71df43f19b58df6c0d60"/>
    <x v="0"/>
    <d v="2017-11-07T00:00:00"/>
    <d v="2017-11-18T00:00:00"/>
    <d v="2017-11-25T00:00:00"/>
    <s v="toys"/>
    <n v="81.349999999999994"/>
    <n v="19.850000000000001"/>
    <s v="credit_card"/>
    <n v="4"/>
    <s v="delivered"/>
    <d v="2017-11-01T00:00:00"/>
    <n v="11"/>
    <n v="0"/>
    <n v="1"/>
    <n v="101.19999999999999"/>
    <n v="48.809999999999995"/>
    <n v="11.91"/>
    <n v="20.63"/>
    <s v="8-14 days"/>
  </r>
  <r>
    <s v="af73b3cf331e91f23bc5f97fd173b70b"/>
    <x v="0"/>
    <d v="2017-11-07T00:00:00"/>
    <d v="2017-11-13T00:00:00"/>
    <d v="2017-11-24T00:00:00"/>
    <s v="auto"/>
    <n v="93.33"/>
    <n v="12.84"/>
    <s v="credit_card"/>
    <n v="5"/>
    <s v="delivered"/>
    <d v="2017-11-01T00:00:00"/>
    <n v="6"/>
    <n v="0"/>
    <n v="1"/>
    <n v="106.17"/>
    <n v="63.464400000000005"/>
    <n v="7.7039999999999997"/>
    <n v="22.161599999999993"/>
    <s v="0-7 days"/>
  </r>
  <r>
    <s v="17cb67b86d0f74e6a174a7856f2190cb"/>
    <x v="0"/>
    <d v="2017-11-07T00:00:00"/>
    <d v="2017-11-15T00:00:00"/>
    <d v="2017-11-20T00:00:00"/>
    <s v="furniture_decor"/>
    <n v="357.96"/>
    <n v="24.1"/>
    <s v="credit_card"/>
    <n v="5"/>
    <s v="delivered"/>
    <d v="2017-11-01T00:00:00"/>
    <n v="8"/>
    <n v="0"/>
    <n v="1"/>
    <n v="382.06"/>
    <n v="250.57199999999997"/>
    <n v="14.46"/>
    <n v="92.927999999999997"/>
    <s v="8-14 days"/>
  </r>
  <r>
    <s v="8e8ded4549adb07b874f7c5c9a0664b9"/>
    <x v="9"/>
    <d v="2017-11-07T00:00:00"/>
    <d v="2017-11-22T00:00:00"/>
    <d v="2017-11-30T00:00:00"/>
    <s v="watches_gifts"/>
    <n v="73.31"/>
    <n v="31.15"/>
    <s v="credit_card"/>
    <n v="4"/>
    <s v="delivered"/>
    <d v="2017-11-01T00:00:00"/>
    <n v="15"/>
    <n v="0"/>
    <n v="1"/>
    <n v="104.46000000000001"/>
    <n v="48.384600000000006"/>
    <n v="18.689999999999998"/>
    <n v="6.2353999999999985"/>
    <s v="15-21 days"/>
  </r>
  <r>
    <s v="82ce4e0c503eeaf204f73882e3fb8c1d"/>
    <x v="4"/>
    <d v="2017-11-07T00:00:00"/>
    <d v="2017-11-25T00:00:00"/>
    <d v="2017-11-30T00:00:00"/>
    <s v="computers_accessories"/>
    <n v="154.84"/>
    <n v="24.98"/>
    <s v="boleto"/>
    <n v="4"/>
    <s v="delivered"/>
    <d v="2017-11-01T00:00:00"/>
    <n v="18"/>
    <n v="0"/>
    <n v="1"/>
    <n v="179.82"/>
    <n v="114.58159999999999"/>
    <n v="14.988"/>
    <n v="25.270400000000009"/>
    <s v="15-21 days"/>
  </r>
  <r>
    <s v="58a44e034ac1a8f4a4ba67d7712b8f43"/>
    <x v="0"/>
    <d v="2017-11-07T00:00:00"/>
    <d v="2017-11-17T00:00:00"/>
    <d v="2017-11-19T00:00:00"/>
    <s v="sports_leisure"/>
    <n v="109.16"/>
    <n v="17.8"/>
    <s v="boleto"/>
    <n v="5"/>
    <s v="delivered"/>
    <d v="2017-11-01T00:00:00"/>
    <n v="10"/>
    <n v="0"/>
    <n v="1"/>
    <n v="126.96"/>
    <n v="69.862399999999994"/>
    <n v="10.68"/>
    <n v="28.617600000000003"/>
    <s v="8-14 days"/>
  </r>
  <r>
    <s v="d01548989187c9a0b8663c7ca92dcf4f"/>
    <x v="4"/>
    <d v="2017-11-08T00:00:00"/>
    <d v="2017-11-20T00:00:00"/>
    <d v="2017-11-29T00:00:00"/>
    <s v="bed_bath_table"/>
    <n v="36.78"/>
    <n v="16.059999999999999"/>
    <s v="credit_card"/>
    <n v="5"/>
    <s v="delivered"/>
    <d v="2017-11-01T00:00:00"/>
    <n v="12"/>
    <n v="0"/>
    <n v="1"/>
    <n v="52.84"/>
    <n v="22.803599999999999"/>
    <n v="9.6359999999999992"/>
    <n v="4.3404000000000025"/>
    <s v="8-14 days"/>
  </r>
  <r>
    <s v="585dfd17925814d9638cf9e30599e1f2"/>
    <x v="0"/>
    <d v="2017-11-08T00:00:00"/>
    <d v="2017-11-12T00:00:00"/>
    <d v="2017-11-26T00:00:00"/>
    <s v="computers_accessories"/>
    <n v="127.33"/>
    <n v="20.53"/>
    <s v="credit_card"/>
    <n v="4"/>
    <s v="delivered"/>
    <d v="2017-11-01T00:00:00"/>
    <n v="4"/>
    <n v="0"/>
    <n v="1"/>
    <n v="147.86000000000001"/>
    <n v="94.224199999999996"/>
    <n v="12.318"/>
    <n v="20.787800000000004"/>
    <s v="0-7 days"/>
  </r>
  <r>
    <s v="63abd48ffdcdd45c53d32d79f632090a"/>
    <x v="0"/>
    <d v="2017-11-08T00:00:00"/>
    <d v="2017-11-13T00:00:00"/>
    <d v="2017-11-24T00:00:00"/>
    <s v="bed_bath_table"/>
    <n v="198.07"/>
    <n v="19.68"/>
    <s v="credit_card"/>
    <n v="5"/>
    <s v="delivered"/>
    <d v="2017-11-01T00:00:00"/>
    <n v="5"/>
    <n v="0"/>
    <n v="1"/>
    <n v="217.75"/>
    <n v="122.8034"/>
    <n v="11.808"/>
    <n v="63.458599999999997"/>
    <s v="0-7 days"/>
  </r>
  <r>
    <s v="94e40f2fd957cd96678180493fcc7644"/>
    <x v="5"/>
    <d v="2017-11-08T00:00:00"/>
    <d v="2017-12-03T00:00:00"/>
    <d v="2017-12-01T00:00:00"/>
    <s v="health_beauty"/>
    <n v="31.03"/>
    <n v="21.71"/>
    <s v="credit_card"/>
    <n v="2"/>
    <s v="delivered"/>
    <d v="2017-11-01T00:00:00"/>
    <n v="25"/>
    <n v="2"/>
    <n v="0"/>
    <n v="52.74"/>
    <n v="17.997399999999999"/>
    <n v="13.026"/>
    <n v="6.6000000000023817E-3"/>
    <s v="22+ days"/>
  </r>
  <r>
    <s v="b2a5c85ba515a145dd0885b17529a2f6"/>
    <x v="3"/>
    <d v="2017-11-08T00:00:00"/>
    <d v="2017-11-19T00:00:00"/>
    <d v="2017-12-05T00:00:00"/>
    <s v="sports_leisure"/>
    <n v="40.6"/>
    <n v="17.809999999999999"/>
    <s v="voucher"/>
    <n v="4"/>
    <s v="delivered"/>
    <d v="2017-11-01T00:00:00"/>
    <n v="11"/>
    <n v="0"/>
    <n v="1"/>
    <n v="58.41"/>
    <n v="25.984000000000002"/>
    <n v="10.685999999999998"/>
    <n v="3.9300000000000015"/>
    <s v="8-14 days"/>
  </r>
  <r>
    <s v="2959b9688169d0cf5728c50d95e2b5fc"/>
    <x v="2"/>
    <d v="2017-11-08T00:00:00"/>
    <d v="2017-11-20T00:00:00"/>
    <d v="2017-11-29T00:00:00"/>
    <s v="housewares"/>
    <n v="130.63999999999999"/>
    <n v="29.62"/>
    <s v="credit_card"/>
    <n v="4"/>
    <s v="delivered"/>
    <d v="2017-11-01T00:00:00"/>
    <n v="12"/>
    <n v="0"/>
    <n v="1"/>
    <n v="160.26"/>
    <n v="82.30319999999999"/>
    <n v="17.771999999999998"/>
    <n v="30.564799999999998"/>
    <s v="8-14 days"/>
  </r>
  <r>
    <s v="f67839b222b5f4571860ad28d0afb235"/>
    <x v="0"/>
    <d v="2017-11-09T00:00:00"/>
    <d v="2017-11-18T00:00:00"/>
    <d v="2017-11-26T00:00:00"/>
    <s v="computers_accessories"/>
    <n v="264.82"/>
    <n v="25.25"/>
    <s v="boleto"/>
    <n v="4"/>
    <s v="delivered"/>
    <d v="2017-11-01T00:00:00"/>
    <n v="9"/>
    <n v="0"/>
    <n v="1"/>
    <n v="290.07"/>
    <n v="195.96680000000001"/>
    <n v="15.149999999999999"/>
    <n v="53.703199999999988"/>
    <s v="8-14 days"/>
  </r>
  <r>
    <s v="8faf6d4aa5a99ebcbe0ec2da396c357b"/>
    <x v="0"/>
    <d v="2017-11-09T00:00:00"/>
    <d v="2017-11-19T00:00:00"/>
    <d v="2017-11-23T00:00:00"/>
    <s v="furniture_decor"/>
    <n v="139.44"/>
    <n v="19.190000000000001"/>
    <s v="credit_card"/>
    <n v="4"/>
    <s v="delivered"/>
    <d v="2017-11-01T00:00:00"/>
    <n v="10"/>
    <n v="0"/>
    <n v="1"/>
    <n v="158.63"/>
    <n v="97.60799999999999"/>
    <n v="11.514000000000001"/>
    <n v="30.318000000000005"/>
    <s v="8-14 days"/>
  </r>
  <r>
    <s v="05e9f407daada0b12f132a6d2ad55c0b"/>
    <x v="0"/>
    <d v="2017-11-09T00:00:00"/>
    <d v="2017-11-18T00:00:00"/>
    <d v="2017-11-27T00:00:00"/>
    <s v="auto"/>
    <n v="162.1"/>
    <n v="18.47"/>
    <s v="credit_card"/>
    <n v="4"/>
    <s v="delivered"/>
    <d v="2017-11-01T00:00:00"/>
    <n v="9"/>
    <n v="0"/>
    <n v="1"/>
    <n v="180.57"/>
    <n v="110.22800000000001"/>
    <n v="11.081999999999999"/>
    <n v="40.789999999999985"/>
    <s v="8-14 days"/>
  </r>
  <r>
    <s v="fce5205510627761fdb536ada9da5dd7"/>
    <x v="0"/>
    <d v="2017-11-09T00:00:00"/>
    <d v="2017-11-23T00:00:00"/>
    <d v="2017-11-25T00:00:00"/>
    <s v="sports_leisure"/>
    <n v="101.26"/>
    <n v="17.29"/>
    <s v="credit_card"/>
    <n v="4"/>
    <s v="delivered"/>
    <d v="2017-11-01T00:00:00"/>
    <n v="14"/>
    <n v="0"/>
    <n v="1"/>
    <n v="118.55000000000001"/>
    <n v="64.806400000000011"/>
    <n v="10.373999999999999"/>
    <n v="26.079599999999996"/>
    <s v="8-14 days"/>
  </r>
  <r>
    <s v="3defa84993364f7e83efa9f3a1c7cc8a"/>
    <x v="0"/>
    <d v="2017-11-10T00:00:00"/>
    <d v="2017-11-16T00:00:00"/>
    <d v="2017-11-24T00:00:00"/>
    <s v="bed_bath_table"/>
    <n v="139.09"/>
    <n v="18.91"/>
    <s v="credit_card"/>
    <n v="4"/>
    <s v="delivered"/>
    <d v="2017-11-01T00:00:00"/>
    <n v="6"/>
    <n v="0"/>
    <n v="1"/>
    <n v="158"/>
    <n v="86.235799999999998"/>
    <n v="11.346"/>
    <n v="41.508200000000002"/>
    <s v="0-7 days"/>
  </r>
  <r>
    <s v="f7aeede80a119bac8df21ad52d36db7e"/>
    <x v="11"/>
    <d v="2017-11-10T00:00:00"/>
    <d v="2017-11-28T00:00:00"/>
    <d v="2017-12-13T00:00:00"/>
    <s v="furniture_decor"/>
    <n v="84.51"/>
    <n v="40.909999999999997"/>
    <s v="credit_card"/>
    <n v="4"/>
    <s v="delivered"/>
    <d v="2017-11-01T00:00:00"/>
    <n v="18"/>
    <n v="0"/>
    <n v="1"/>
    <n v="125.42"/>
    <n v="59.156999999999996"/>
    <n v="24.545999999999996"/>
    <n v="0.80700000000001282"/>
    <s v="15-21 days"/>
  </r>
  <r>
    <s v="54d144d518ede297acb83fceb3e1511b"/>
    <x v="0"/>
    <d v="2017-11-10T00:00:00"/>
    <d v="2017-11-15T00:00:00"/>
    <d v="2017-11-25T00:00:00"/>
    <s v="health_beauty"/>
    <n v="193.69"/>
    <n v="24.6"/>
    <s v="credit_card"/>
    <n v="5"/>
    <s v="delivered"/>
    <d v="2017-11-01T00:00:00"/>
    <n v="5"/>
    <n v="0"/>
    <n v="1"/>
    <n v="218.29"/>
    <n v="112.3402"/>
    <n v="14.76"/>
    <n v="66.589799999999997"/>
    <s v="0-7 days"/>
  </r>
  <r>
    <s v="5c88da6ee551da7a7011a2bece4f4c66"/>
    <x v="10"/>
    <d v="2017-11-10T00:00:00"/>
    <d v="2017-12-04T00:00:00"/>
    <d v="2017-12-11T00:00:00"/>
    <s v="sports_leisure"/>
    <n v="48.47"/>
    <n v="32.17"/>
    <s v="boleto"/>
    <n v="4"/>
    <s v="delivered"/>
    <d v="2017-11-01T00:00:00"/>
    <n v="24"/>
    <n v="0"/>
    <n v="1"/>
    <n v="80.64"/>
    <n v="31.020800000000001"/>
    <n v="19.302"/>
    <n v="-1.852800000000002"/>
    <s v="22+ days"/>
  </r>
  <r>
    <s v="4e2b952ee58d55cbcaad515c12afbaeb"/>
    <x v="4"/>
    <d v="2017-11-10T00:00:00"/>
    <d v="2017-11-21T00:00:00"/>
    <d v="2017-11-30T00:00:00"/>
    <s v="health_beauty"/>
    <n v="108.09"/>
    <n v="19.77"/>
    <s v="credit_card"/>
    <n v="5"/>
    <s v="delivered"/>
    <d v="2017-11-01T00:00:00"/>
    <n v="11"/>
    <n v="0"/>
    <n v="1"/>
    <n v="127.86"/>
    <n v="62.6922"/>
    <n v="11.862"/>
    <n v="33.535800000000002"/>
    <s v="8-14 days"/>
  </r>
  <r>
    <s v="1d9ddee1e09189f1ca33dd8458c277f1"/>
    <x v="3"/>
    <d v="2017-11-10T00:00:00"/>
    <d v="2017-11-24T00:00:00"/>
    <d v="2017-12-02T00:00:00"/>
    <s v="housewares"/>
    <n v="41.97"/>
    <n v="18.27"/>
    <s v="credit_card"/>
    <n v="3"/>
    <s v="delivered"/>
    <d v="2017-11-01T00:00:00"/>
    <n v="14"/>
    <n v="0"/>
    <n v="1"/>
    <n v="60.239999999999995"/>
    <n v="26.441099999999999"/>
    <n v="10.962"/>
    <n v="4.5669000000000004"/>
    <s v="8-14 days"/>
  </r>
  <r>
    <s v="29c036fc58eef3cfdca9fd3393dec16a"/>
    <x v="0"/>
    <d v="2017-11-10T00:00:00"/>
    <d v="2017-11-16T00:00:00"/>
    <d v="2017-11-23T00:00:00"/>
    <s v="bed_bath_table"/>
    <n v="52.97"/>
    <n v="20.3"/>
    <s v="voucher"/>
    <n v="5"/>
    <s v="delivered"/>
    <d v="2017-11-01T00:00:00"/>
    <n v="6"/>
    <n v="0"/>
    <n v="1"/>
    <n v="73.27"/>
    <n v="32.8414"/>
    <n v="12.18"/>
    <n v="7.948599999999999"/>
    <s v="0-7 days"/>
  </r>
  <r>
    <s v="695f30c595638ea4bbaafa3c7628aede"/>
    <x v="3"/>
    <d v="2017-11-10T00:00:00"/>
    <d v="2017-11-25T00:00:00"/>
    <d v="2017-12-07T00:00:00"/>
    <s v="watches_gifts"/>
    <n v="140.94"/>
    <n v="21.64"/>
    <s v="credit_card"/>
    <n v="5"/>
    <s v="delivered"/>
    <d v="2017-11-01T00:00:00"/>
    <n v="15"/>
    <n v="0"/>
    <n v="1"/>
    <n v="162.57999999999998"/>
    <n v="93.020400000000009"/>
    <n v="12.984"/>
    <n v="34.935599999999987"/>
    <s v="15-21 days"/>
  </r>
  <r>
    <s v="0695a0ba33d5ceaf769633d743177b8e"/>
    <x v="0"/>
    <d v="2017-11-10T00:00:00"/>
    <d v="2017-11-17T00:00:00"/>
    <d v="2017-11-26T00:00:00"/>
    <s v="watches_gifts"/>
    <n v="142.51"/>
    <n v="19.89"/>
    <s v="credit_card"/>
    <n v="5"/>
    <s v="delivered"/>
    <d v="2017-11-01T00:00:00"/>
    <n v="7"/>
    <n v="0"/>
    <n v="1"/>
    <n v="162.39999999999998"/>
    <n v="94.056600000000003"/>
    <n v="11.933999999999999"/>
    <n v="36.51939999999999"/>
    <s v="0-7 days"/>
  </r>
  <r>
    <s v="410bfc29be9cafcfed17f6e98cdc718d"/>
    <x v="0"/>
    <d v="2017-11-11T00:00:00"/>
    <d v="2017-11-23T00:00:00"/>
    <d v="2017-11-24T00:00:00"/>
    <s v="sports_leisure"/>
    <n v="52.54"/>
    <n v="15.49"/>
    <s v="credit_card"/>
    <n v="3"/>
    <s v="delivered"/>
    <d v="2017-11-01T00:00:00"/>
    <n v="12"/>
    <n v="0"/>
    <n v="1"/>
    <n v="68.03"/>
    <n v="33.625599999999999"/>
    <n v="9.2940000000000005"/>
    <n v="9.6204000000000001"/>
    <s v="8-14 days"/>
  </r>
  <r>
    <s v="c5c01d052d37ba8ce7c8f28da7641ff1"/>
    <x v="0"/>
    <d v="2017-11-11T00:00:00"/>
    <d v="2017-11-18T00:00:00"/>
    <d v="2017-11-27T00:00:00"/>
    <s v="furniture_decor"/>
    <n v="67.59"/>
    <n v="19.670000000000002"/>
    <s v="credit_card"/>
    <n v="5"/>
    <s v="delivered"/>
    <d v="2017-11-01T00:00:00"/>
    <n v="7"/>
    <n v="0"/>
    <n v="1"/>
    <n v="87.26"/>
    <n v="47.313000000000002"/>
    <n v="11.802000000000001"/>
    <n v="8.4749999999999996"/>
    <s v="0-7 days"/>
  </r>
  <r>
    <s v="a9f99d4f9545201e6ecad0f561b0d81f"/>
    <x v="4"/>
    <d v="2017-11-11T00:00:00"/>
    <d v="2017-11-24T00:00:00"/>
    <d v="2017-11-26T00:00:00"/>
    <s v="bed_bath_table"/>
    <n v="123.62"/>
    <n v="21.82"/>
    <s v="voucher"/>
    <n v="3"/>
    <s v="delivered"/>
    <d v="2017-11-01T00:00:00"/>
    <n v="13"/>
    <n v="0"/>
    <n v="1"/>
    <n v="145.44"/>
    <n v="76.644400000000005"/>
    <n v="13.092000000000001"/>
    <n v="33.883600000000001"/>
    <s v="8-14 days"/>
  </r>
  <r>
    <s v="f43006a3dd918930ec1343672e974f7a"/>
    <x v="4"/>
    <d v="2017-11-11T00:00:00"/>
    <d v="2017-11-30T00:00:00"/>
    <d v="2017-12-04T00:00:00"/>
    <s v="bed_bath_table"/>
    <n v="55.87"/>
    <n v="25.32"/>
    <s v="credit_card"/>
    <n v="3"/>
    <s v="delivered"/>
    <d v="2017-11-01T00:00:00"/>
    <n v="19"/>
    <n v="0"/>
    <n v="1"/>
    <n v="81.19"/>
    <n v="34.639399999999995"/>
    <n v="15.192"/>
    <n v="6.0386000000000024"/>
    <s v="15-21 days"/>
  </r>
  <r>
    <s v="8995791d8ed3afeff897c7d97a077232"/>
    <x v="10"/>
    <d v="2017-11-11T00:00:00"/>
    <d v="2017-11-28T00:00:00"/>
    <d v="2017-12-10T00:00:00"/>
    <s v="watches_gifts"/>
    <n v="208.3"/>
    <n v="29.67"/>
    <s v="boleto"/>
    <n v="3"/>
    <s v="delivered"/>
    <d v="2017-11-01T00:00:00"/>
    <n v="17"/>
    <n v="0"/>
    <n v="1"/>
    <n v="237.97000000000003"/>
    <n v="137.47800000000001"/>
    <n v="17.802"/>
    <n v="53.02"/>
    <s v="15-21 days"/>
  </r>
  <r>
    <s v="0426fcc9255b30e2bdc2b74b38a56b49"/>
    <x v="4"/>
    <d v="2017-11-12T00:00:00"/>
    <d v="2017-11-24T00:00:00"/>
    <d v="2017-12-07T00:00:00"/>
    <s v="furniture_decor"/>
    <n v="76.75"/>
    <n v="23.41"/>
    <s v="credit_card"/>
    <n v="5"/>
    <s v="delivered"/>
    <d v="2017-11-01T00:00:00"/>
    <n v="12"/>
    <n v="0"/>
    <n v="1"/>
    <n v="100.16"/>
    <n v="53.724999999999994"/>
    <n v="14.045999999999999"/>
    <n v="8.9790000000000063"/>
    <s v="8-14 days"/>
  </r>
  <r>
    <s v="022111e588fc3da1781d5b6c49694032"/>
    <x v="4"/>
    <d v="2017-11-12T00:00:00"/>
    <d v="2017-11-24T00:00:00"/>
    <d v="2017-12-04T00:00:00"/>
    <s v="sports_leisure"/>
    <n v="93.67"/>
    <n v="17.78"/>
    <s v="credit_card"/>
    <n v="5"/>
    <s v="delivered"/>
    <d v="2017-11-01T00:00:00"/>
    <n v="12"/>
    <n v="0"/>
    <n v="1"/>
    <n v="111.45"/>
    <n v="59.948800000000006"/>
    <n v="10.668000000000001"/>
    <n v="23.053199999999997"/>
    <s v="8-14 days"/>
  </r>
  <r>
    <s v="bb09e7634f39a47fb3288760a1027a45"/>
    <x v="4"/>
    <d v="2017-11-12T00:00:00"/>
    <d v="2017-11-26T00:00:00"/>
    <d v="2017-12-03T00:00:00"/>
    <s v="auto"/>
    <n v="165.79"/>
    <n v="17.91"/>
    <s v="credit_card"/>
    <n v="4"/>
    <s v="delivered"/>
    <d v="2017-11-01T00:00:00"/>
    <n v="14"/>
    <n v="0"/>
    <n v="1"/>
    <n v="183.7"/>
    <n v="112.7372"/>
    <n v="10.746"/>
    <n v="42.306799999999988"/>
    <s v="8-14 days"/>
  </r>
  <r>
    <s v="16b3bada122f0f9481d2645b8f8072b9"/>
    <x v="10"/>
    <d v="2017-11-12T00:00:00"/>
    <d v="2017-12-02T00:00:00"/>
    <d v="2017-12-16T00:00:00"/>
    <s v="sports_leisure"/>
    <n v="75.78"/>
    <n v="35.89"/>
    <s v="credit_card"/>
    <n v="4"/>
    <s v="delivered"/>
    <d v="2017-11-01T00:00:00"/>
    <n v="20"/>
    <n v="0"/>
    <n v="1"/>
    <n v="111.67"/>
    <n v="48.499200000000002"/>
    <n v="21.533999999999999"/>
    <n v="5.7468000000000004"/>
    <s v="15-21 days"/>
  </r>
  <r>
    <s v="8c3824311779a44c926aa390f4604426"/>
    <x v="3"/>
    <d v="2017-11-12T00:00:00"/>
    <d v="2017-11-25T00:00:00"/>
    <d v="2017-12-08T00:00:00"/>
    <s v="auto"/>
    <n v="56.21"/>
    <n v="23.65"/>
    <s v="boleto"/>
    <n v="5"/>
    <s v="delivered"/>
    <d v="2017-11-01T00:00:00"/>
    <n v="13"/>
    <n v="0"/>
    <n v="1"/>
    <n v="79.86"/>
    <n v="38.222800000000007"/>
    <n v="14.19"/>
    <n v="3.7971999999999948"/>
    <s v="8-14 days"/>
  </r>
  <r>
    <s v="0d586c759c1890b3edd79dd87a99cb22"/>
    <x v="8"/>
    <d v="2017-11-12T00:00:00"/>
    <d v="2017-11-29T00:00:00"/>
    <d v="2017-12-04T00:00:00"/>
    <s v="toys"/>
    <n v="112.19"/>
    <n v="24.02"/>
    <s v="credit_card"/>
    <n v="3"/>
    <s v="delivered"/>
    <d v="2017-11-01T00:00:00"/>
    <n v="17"/>
    <n v="0"/>
    <n v="1"/>
    <n v="136.21"/>
    <n v="67.313999999999993"/>
    <n v="14.411999999999999"/>
    <n v="30.464000000000006"/>
    <s v="15-21 days"/>
  </r>
  <r>
    <s v="ac0f680115b24e1d971546339d4edb71"/>
    <x v="10"/>
    <d v="2017-11-13T00:00:00"/>
    <d v="2017-12-08T00:00:00"/>
    <d v="2017-12-13T00:00:00"/>
    <s v="computers_accessories"/>
    <n v="346.06"/>
    <n v="36.89"/>
    <s v="credit_card"/>
    <n v="5"/>
    <s v="delivered"/>
    <d v="2017-11-01T00:00:00"/>
    <n v="25"/>
    <n v="0"/>
    <n v="1"/>
    <n v="382.95"/>
    <n v="256.08440000000002"/>
    <n v="22.134"/>
    <n v="67.841599999999985"/>
    <s v="22+ days"/>
  </r>
  <r>
    <s v="e08644187f3ef59b1638613769f35b2d"/>
    <x v="8"/>
    <d v="2017-11-13T00:00:00"/>
    <d v="2017-12-07T00:00:00"/>
    <d v="2017-12-04T00:00:00"/>
    <s v="computers_accessories"/>
    <n v="160.43"/>
    <n v="18.37"/>
    <s v="credit_card"/>
    <n v="2"/>
    <s v="delivered"/>
    <d v="2017-11-01T00:00:00"/>
    <n v="24"/>
    <n v="3"/>
    <n v="0"/>
    <n v="178.8"/>
    <n v="118.71820000000001"/>
    <n v="11.022"/>
    <n v="30.689799999999998"/>
    <s v="22+ days"/>
  </r>
  <r>
    <s v="7cc9d887639ac771b739a28a4ffd5b7a"/>
    <x v="0"/>
    <d v="2017-11-13T00:00:00"/>
    <d v="2017-11-21T00:00:00"/>
    <d v="2017-11-30T00:00:00"/>
    <s v="housewares"/>
    <n v="113.78"/>
    <n v="17.3"/>
    <s v="boleto"/>
    <n v="5"/>
    <s v="delivered"/>
    <d v="2017-11-01T00:00:00"/>
    <n v="8"/>
    <n v="0"/>
    <n v="1"/>
    <n v="131.08000000000001"/>
    <n v="71.681399999999996"/>
    <n v="10.38"/>
    <n v="31.718600000000002"/>
    <s v="8-14 days"/>
  </r>
  <r>
    <s v="8a063bf5839818fc9d96bf5e4d9e9bb9"/>
    <x v="4"/>
    <d v="2017-11-13T00:00:00"/>
    <d v="2017-11-21T00:00:00"/>
    <d v="2017-12-06T00:00:00"/>
    <s v="furniture_decor"/>
    <n v="60.4"/>
    <n v="18.86"/>
    <s v="boleto"/>
    <n v="4"/>
    <s v="delivered"/>
    <d v="2017-11-01T00:00:00"/>
    <n v="8"/>
    <n v="0"/>
    <n v="1"/>
    <n v="79.259999999999991"/>
    <n v="42.279999999999994"/>
    <n v="11.315999999999999"/>
    <n v="6.8040000000000056"/>
    <s v="8-14 days"/>
  </r>
  <r>
    <s v="51d3649c7fffa983081190e9fa1d8ded"/>
    <x v="0"/>
    <d v="2017-11-13T00:00:00"/>
    <d v="2017-11-20T00:00:00"/>
    <d v="2017-11-27T00:00:00"/>
    <s v="toys"/>
    <n v="111.47"/>
    <n v="19.86"/>
    <s v="credit_card"/>
    <n v="5"/>
    <s v="delivered"/>
    <d v="2017-11-01T00:00:00"/>
    <n v="7"/>
    <n v="0"/>
    <n v="1"/>
    <n v="131.32999999999998"/>
    <n v="66.881999999999991"/>
    <n v="11.915999999999999"/>
    <n v="32.672000000000011"/>
    <s v="0-7 days"/>
  </r>
  <r>
    <s v="b517272df7797643becac08c53b04133"/>
    <x v="4"/>
    <d v="2017-11-13T00:00:00"/>
    <d v="2017-11-23T00:00:00"/>
    <d v="2017-12-01T00:00:00"/>
    <s v="sports_leisure"/>
    <n v="114.48"/>
    <n v="18.149999999999999"/>
    <s v="credit_card"/>
    <n v="5"/>
    <s v="delivered"/>
    <d v="2017-11-01T00:00:00"/>
    <n v="10"/>
    <n v="0"/>
    <n v="1"/>
    <n v="132.63"/>
    <n v="73.267200000000003"/>
    <n v="10.889999999999999"/>
    <n v="30.322800000000001"/>
    <s v="8-14 days"/>
  </r>
  <r>
    <s v="93303626fac34112bf6247e277b09c85"/>
    <x v="10"/>
    <d v="2017-11-13T00:00:00"/>
    <d v="2017-12-04T00:00:00"/>
    <d v="2017-12-18T00:00:00"/>
    <s v="watches_gifts"/>
    <n v="89.51"/>
    <n v="34.15"/>
    <s v="credit_card"/>
    <n v="5"/>
    <s v="delivered"/>
    <d v="2017-11-01T00:00:00"/>
    <n v="21"/>
    <n v="0"/>
    <n v="1"/>
    <n v="123.66"/>
    <n v="59.076600000000006"/>
    <n v="20.49"/>
    <n v="9.9434000000000005"/>
    <s v="15-21 days"/>
  </r>
  <r>
    <s v="39d3a9cfcdfa76af66eb43b092d2408e"/>
    <x v="0"/>
    <d v="2017-11-14T00:00:00"/>
    <d v="2017-11-19T00:00:00"/>
    <d v="2017-11-30T00:00:00"/>
    <s v="housewares"/>
    <n v="51.05"/>
    <n v="14.64"/>
    <s v="credit_card"/>
    <n v="5"/>
    <s v="delivered"/>
    <d v="2017-11-01T00:00:00"/>
    <n v="5"/>
    <n v="0"/>
    <n v="1"/>
    <n v="65.69"/>
    <n v="32.161499999999997"/>
    <n v="8.7840000000000007"/>
    <n v="10.1045"/>
    <s v="0-7 days"/>
  </r>
  <r>
    <s v="56c76990740173c10155aa51bca2c581"/>
    <x v="8"/>
    <d v="2017-11-14T00:00:00"/>
    <d v="2017-11-23T00:00:00"/>
    <d v="2017-12-06T00:00:00"/>
    <s v="bed_bath_table"/>
    <n v="95.4"/>
    <n v="20.99"/>
    <s v="debit_card"/>
    <n v="4"/>
    <s v="delivered"/>
    <d v="2017-11-01T00:00:00"/>
    <n v="9"/>
    <n v="0"/>
    <n v="1"/>
    <n v="116.39"/>
    <n v="59.148000000000003"/>
    <n v="12.593999999999999"/>
    <n v="23.658000000000001"/>
    <s v="8-14 days"/>
  </r>
  <r>
    <s v="9d6932c9a9db47b9ca7ecb33787da6d7"/>
    <x v="2"/>
    <d v="2017-11-14T00:00:00"/>
    <d v="2017-11-24T00:00:00"/>
    <d v="2017-12-09T00:00:00"/>
    <s v="bed_bath_table"/>
    <n v="128.47"/>
    <n v="19.22"/>
    <s v="credit_card"/>
    <n v="4"/>
    <s v="delivered"/>
    <d v="2017-11-01T00:00:00"/>
    <n v="10"/>
    <n v="0"/>
    <n v="1"/>
    <n v="147.69"/>
    <n v="79.651399999999995"/>
    <n v="11.531999999999998"/>
    <n v="37.286600000000007"/>
    <s v="8-14 days"/>
  </r>
  <r>
    <s v="79468eaed3dc00ee9203c5d2351d1137"/>
    <x v="7"/>
    <d v="2017-11-14T00:00:00"/>
    <d v="2017-12-02T00:00:00"/>
    <d v="2017-12-04T00:00:00"/>
    <s v="auto"/>
    <n v="196.3"/>
    <n v="21.42"/>
    <s v="credit_card"/>
    <n v="5"/>
    <s v="delivered"/>
    <d v="2017-11-01T00:00:00"/>
    <n v="18"/>
    <n v="0"/>
    <n v="1"/>
    <n v="217.72000000000003"/>
    <n v="133.48400000000001"/>
    <n v="12.852"/>
    <n v="49.963999999999999"/>
    <s v="15-21 days"/>
  </r>
  <r>
    <s v="d983dadff2e5cecf9b6c549460e0b673"/>
    <x v="0"/>
    <d v="2017-11-14T00:00:00"/>
    <d v="2017-11-20T00:00:00"/>
    <d v="2017-11-29T00:00:00"/>
    <s v="housewares"/>
    <n v="154.41"/>
    <n v="19.23"/>
    <s v="credit_card"/>
    <n v="4"/>
    <s v="delivered"/>
    <d v="2017-11-01T00:00:00"/>
    <n v="6"/>
    <n v="0"/>
    <n v="1"/>
    <n v="173.64"/>
    <n v="97.278300000000002"/>
    <n v="11.538"/>
    <n v="45.593699999999998"/>
    <s v="0-7 days"/>
  </r>
  <r>
    <s v="299152e6c95bc9171c01160cecc9d15a"/>
    <x v="4"/>
    <d v="2017-11-14T00:00:00"/>
    <d v="2017-12-01T00:00:00"/>
    <d v="2017-12-06T00:00:00"/>
    <s v="bed_bath_table"/>
    <n v="168.99"/>
    <n v="22.49"/>
    <s v="credit_card"/>
    <n v="5"/>
    <s v="delivered"/>
    <d v="2017-11-01T00:00:00"/>
    <n v="17"/>
    <n v="0"/>
    <n v="1"/>
    <n v="191.48000000000002"/>
    <n v="104.77380000000001"/>
    <n v="13.493999999999998"/>
    <n v="50.722200000000001"/>
    <s v="15-21 days"/>
  </r>
  <r>
    <s v="bbc0e8ed32dc80ee0447b659c6a22085"/>
    <x v="6"/>
    <d v="2017-11-14T00:00:00"/>
    <d v="2017-12-18T00:00:00"/>
    <d v="2017-12-19T00:00:00"/>
    <s v="health_beauty"/>
    <n v="78.31"/>
    <n v="35.68"/>
    <s v="boleto"/>
    <n v="3"/>
    <s v="delivered"/>
    <d v="2017-11-01T00:00:00"/>
    <n v="34"/>
    <n v="0"/>
    <n v="1"/>
    <n v="113.99000000000001"/>
    <n v="45.419799999999995"/>
    <n v="21.407999999999998"/>
    <n v="11.48220000000001"/>
    <s v="22+ days"/>
  </r>
  <r>
    <s v="9492ba69f8a5764a87c534504c787ac6"/>
    <x v="0"/>
    <d v="2017-11-14T00:00:00"/>
    <d v="2017-11-18T00:00:00"/>
    <d v="2017-11-28T00:00:00"/>
    <s v="sports_leisure"/>
    <n v="127.02"/>
    <n v="21.51"/>
    <s v="credit_card"/>
    <n v="5"/>
    <s v="delivered"/>
    <d v="2017-11-01T00:00:00"/>
    <n v="4"/>
    <n v="0"/>
    <n v="1"/>
    <n v="148.53"/>
    <n v="81.2928"/>
    <n v="12.906000000000001"/>
    <n v="32.821199999999997"/>
    <s v="0-7 days"/>
  </r>
  <r>
    <s v="1cd04b14dd79170f4c67c10f3db195a9"/>
    <x v="3"/>
    <d v="2017-11-14T00:00:00"/>
    <d v="2017-12-03T00:00:00"/>
    <d v="2017-12-09T00:00:00"/>
    <s v="computers_accessories"/>
    <n v="49.85"/>
    <n v="29.65"/>
    <s v="credit_card"/>
    <n v="4"/>
    <s v="delivered"/>
    <d v="2017-11-01T00:00:00"/>
    <n v="19"/>
    <n v="0"/>
    <n v="1"/>
    <n v="79.5"/>
    <n v="36.889000000000003"/>
    <n v="17.79"/>
    <n v="-4.8290000000000006"/>
    <s v="15-21 days"/>
  </r>
  <r>
    <s v="266a8733144c3815af4d65d456a6526c"/>
    <x v="0"/>
    <d v="2017-11-14T00:00:00"/>
    <d v="2017-11-19T00:00:00"/>
    <d v="2017-11-30T00:00:00"/>
    <s v="sports_leisure"/>
    <n v="113.48"/>
    <n v="17.89"/>
    <s v="voucher"/>
    <n v="5"/>
    <s v="delivered"/>
    <d v="2017-11-01T00:00:00"/>
    <n v="5"/>
    <n v="0"/>
    <n v="1"/>
    <n v="131.37"/>
    <n v="72.627200000000002"/>
    <n v="10.734"/>
    <n v="30.1188"/>
    <s v="0-7 days"/>
  </r>
  <r>
    <s v="bb100491e3fce36716ca77c89d9a7088"/>
    <x v="0"/>
    <d v="2017-11-14T00:00:00"/>
    <d v="2017-11-21T00:00:00"/>
    <d v="2017-12-01T00:00:00"/>
    <s v="furniture_decor"/>
    <n v="57.81"/>
    <n v="15.42"/>
    <s v="credit_card"/>
    <n v="4"/>
    <s v="delivered"/>
    <d v="2017-11-01T00:00:00"/>
    <n v="7"/>
    <n v="0"/>
    <n v="1"/>
    <n v="73.23"/>
    <n v="40.466999999999999"/>
    <n v="9.2519999999999989"/>
    <n v="8.0910000000000046"/>
    <s v="0-7 days"/>
  </r>
  <r>
    <s v="3c20592fc04a96c4f3b63fe1d1843324"/>
    <x v="4"/>
    <d v="2017-11-15T00:00:00"/>
    <d v="2017-11-26T00:00:00"/>
    <d v="2017-12-01T00:00:00"/>
    <s v="housewares"/>
    <n v="72.849999999999994"/>
    <n v="20.149999999999999"/>
    <s v="credit_card"/>
    <n v="5"/>
    <s v="delivered"/>
    <d v="2017-11-01T00:00:00"/>
    <n v="11"/>
    <n v="0"/>
    <n v="1"/>
    <n v="93"/>
    <n v="45.895499999999998"/>
    <n v="12.089999999999998"/>
    <n v="14.864499999999998"/>
    <s v="8-14 days"/>
  </r>
  <r>
    <s v="5820b3f25989dd6c8d2434f9963dc8bf"/>
    <x v="0"/>
    <d v="2017-11-15T00:00:00"/>
    <d v="2017-11-23T00:00:00"/>
    <d v="2017-12-01T00:00:00"/>
    <s v="sports_leisure"/>
    <n v="100.27"/>
    <n v="21.65"/>
    <s v="credit_card"/>
    <n v="5"/>
    <s v="delivered"/>
    <d v="2017-11-01T00:00:00"/>
    <n v="8"/>
    <n v="0"/>
    <n v="1"/>
    <n v="121.91999999999999"/>
    <n v="64.172799999999995"/>
    <n v="12.989999999999998"/>
    <n v="23.107200000000002"/>
    <s v="8-14 days"/>
  </r>
  <r>
    <s v="c1b0f44b29b2b32c1f27fa2c84391819"/>
    <x v="8"/>
    <d v="2017-11-15T00:00:00"/>
    <d v="2017-11-28T00:00:00"/>
    <d v="2017-12-09T00:00:00"/>
    <s v="bed_bath_table"/>
    <n v="198.91"/>
    <n v="27.18"/>
    <s v="credit_card"/>
    <n v="3"/>
    <s v="delivered"/>
    <d v="2017-11-01T00:00:00"/>
    <n v="13"/>
    <n v="0"/>
    <n v="1"/>
    <n v="226.09"/>
    <n v="123.32419999999999"/>
    <n v="16.308"/>
    <n v="59.277800000000006"/>
    <s v="8-14 days"/>
  </r>
  <r>
    <s v="f9c084d4d916fabeda65c703739c937a"/>
    <x v="0"/>
    <d v="2017-11-15T00:00:00"/>
    <d v="2017-11-28T00:00:00"/>
    <d v="2017-12-02T00:00:00"/>
    <s v="health_beauty"/>
    <n v="59.13"/>
    <n v="19.489999999999998"/>
    <s v="voucher"/>
    <n v="5"/>
    <s v="delivered"/>
    <d v="2017-11-01T00:00:00"/>
    <n v="13"/>
    <n v="0"/>
    <n v="1"/>
    <n v="78.62"/>
    <n v="34.295400000000001"/>
    <n v="11.693999999999999"/>
    <n v="13.140600000000003"/>
    <s v="8-14 days"/>
  </r>
  <r>
    <s v="de61f70d76b00d9f673ad8cbf8e7158b"/>
    <x v="0"/>
    <d v="2017-11-16T00:00:00"/>
    <d v="2017-11-21T00:00:00"/>
    <d v="2017-12-03T00:00:00"/>
    <s v="furniture_decor"/>
    <n v="62"/>
    <n v="20.63"/>
    <s v="boleto"/>
    <n v="5"/>
    <s v="delivered"/>
    <d v="2017-11-01T00:00:00"/>
    <n v="5"/>
    <n v="0"/>
    <n v="1"/>
    <n v="82.63"/>
    <n v="43.4"/>
    <n v="12.377999999999998"/>
    <n v="6.2220000000000031"/>
    <s v="0-7 days"/>
  </r>
  <r>
    <s v="bbfc3897f0271efc049fb2fd9313ea0f"/>
    <x v="0"/>
    <d v="2017-11-16T00:00:00"/>
    <d v="2017-11-23T00:00:00"/>
    <d v="2017-12-04T00:00:00"/>
    <s v="bed_bath_table"/>
    <n v="147.41999999999999"/>
    <n v="13.45"/>
    <s v="credit_card"/>
    <n v="5"/>
    <s v="delivered"/>
    <d v="2017-11-01T00:00:00"/>
    <n v="7"/>
    <n v="0"/>
    <n v="1"/>
    <n v="160.86999999999998"/>
    <n v="91.400399999999991"/>
    <n v="8.0699999999999985"/>
    <n v="47.949599999999997"/>
    <s v="0-7 days"/>
  </r>
  <r>
    <s v="6e7eb978869d7b0161f03b994e33db37"/>
    <x v="0"/>
    <d v="2017-11-16T00:00:00"/>
    <d v="2017-12-02T00:00:00"/>
    <d v="2017-12-01T00:00:00"/>
    <s v="bed_bath_table"/>
    <n v="80.14"/>
    <n v="12.47"/>
    <s v="credit_card"/>
    <n v="3"/>
    <s v="delivered"/>
    <d v="2017-11-01T00:00:00"/>
    <n v="16"/>
    <n v="1"/>
    <n v="0"/>
    <n v="92.61"/>
    <n v="49.686799999999998"/>
    <n v="7.4820000000000002"/>
    <n v="22.971200000000003"/>
    <s v="15-21 days"/>
  </r>
  <r>
    <s v="f273f4a4c7a5b7557a97a5df881e04ef"/>
    <x v="0"/>
    <d v="2017-11-16T00:00:00"/>
    <d v="2017-11-25T00:00:00"/>
    <d v="2017-12-02T00:00:00"/>
    <s v="health_beauty"/>
    <n v="96.59"/>
    <n v="15.96"/>
    <s v="credit_card"/>
    <n v="3"/>
    <s v="delivered"/>
    <d v="2017-11-01T00:00:00"/>
    <n v="9"/>
    <n v="0"/>
    <n v="1"/>
    <n v="112.55000000000001"/>
    <n v="56.022199999999998"/>
    <n v="9.5760000000000005"/>
    <n v="30.991800000000005"/>
    <s v="8-14 days"/>
  </r>
  <r>
    <s v="902a459a224e11ba6300423aa112d6a2"/>
    <x v="4"/>
    <d v="2017-11-16T00:00:00"/>
    <d v="2017-11-26T00:00:00"/>
    <d v="2017-12-02T00:00:00"/>
    <s v="bed_bath_table"/>
    <n v="16.66"/>
    <n v="17.690000000000001"/>
    <s v="credit_card"/>
    <n v="4"/>
    <s v="delivered"/>
    <d v="2017-11-01T00:00:00"/>
    <n v="10"/>
    <n v="0"/>
    <n v="1"/>
    <n v="34.35"/>
    <n v="10.3292"/>
    <n v="10.614000000000001"/>
    <n v="-4.2832000000000008"/>
    <s v="8-14 days"/>
  </r>
  <r>
    <s v="b7461b725d00df1ba83c1c2bb776e729"/>
    <x v="4"/>
    <d v="2017-11-17T00:00:00"/>
    <d v="2017-11-30T00:00:00"/>
    <d v="2017-12-06T00:00:00"/>
    <s v="housewares"/>
    <n v="35.409999999999997"/>
    <n v="23.11"/>
    <s v="credit_card"/>
    <n v="5"/>
    <s v="delivered"/>
    <d v="2017-11-01T00:00:00"/>
    <n v="13"/>
    <n v="0"/>
    <n v="1"/>
    <n v="58.519999999999996"/>
    <n v="22.308299999999999"/>
    <n v="13.866"/>
    <n v="-0.7643000000000022"/>
    <s v="8-14 days"/>
  </r>
  <r>
    <s v="c4bb4aced0c8da67bec62bbe4d7ec4b1"/>
    <x v="7"/>
    <d v="2017-11-17T00:00:00"/>
    <d v="2017-11-30T00:00:00"/>
    <d v="2017-12-10T00:00:00"/>
    <s v="bed_bath_table"/>
    <n v="64.790000000000006"/>
    <n v="20.84"/>
    <s v="credit_card"/>
    <n v="3"/>
    <s v="delivered"/>
    <d v="2017-11-01T00:00:00"/>
    <n v="13"/>
    <n v="0"/>
    <n v="1"/>
    <n v="85.63000000000001"/>
    <n v="40.169800000000002"/>
    <n v="12.504"/>
    <n v="12.116200000000005"/>
    <s v="8-14 days"/>
  </r>
  <r>
    <s v="e2f7da514c40a716bcf8fa8f71c01cb1"/>
    <x v="3"/>
    <d v="2017-11-17T00:00:00"/>
    <d v="2017-12-13T00:00:00"/>
    <d v="2017-12-12T00:00:00"/>
    <s v="computers_accessories"/>
    <n v="156.19"/>
    <n v="17.96"/>
    <s v="credit_card"/>
    <n v="3"/>
    <s v="delivered"/>
    <d v="2017-11-01T00:00:00"/>
    <n v="26"/>
    <n v="1"/>
    <n v="0"/>
    <n v="174.15"/>
    <n v="115.5806"/>
    <n v="10.776"/>
    <n v="29.833399999999994"/>
    <s v="22+ days"/>
  </r>
  <r>
    <s v="e9c3d3719f688611033057449ae416ba"/>
    <x v="4"/>
    <d v="2017-11-17T00:00:00"/>
    <d v="2017-11-26T00:00:00"/>
    <d v="2017-12-05T00:00:00"/>
    <s v="furniture_decor"/>
    <n v="133.19999999999999"/>
    <n v="26.71"/>
    <s v="credit_card"/>
    <n v="5"/>
    <s v="delivered"/>
    <d v="2017-11-01T00:00:00"/>
    <n v="9"/>
    <n v="0"/>
    <n v="1"/>
    <n v="159.91"/>
    <n v="93.239999999999981"/>
    <n v="16.026"/>
    <n v="23.934000000000008"/>
    <s v="8-14 days"/>
  </r>
  <r>
    <s v="ce54c3a983a95baeb242c5dc657c8dac"/>
    <x v="0"/>
    <d v="2017-11-17T00:00:00"/>
    <d v="2017-11-27T00:00:00"/>
    <d v="2017-11-29T00:00:00"/>
    <s v="bed_bath_table"/>
    <n v="117.99"/>
    <n v="18.32"/>
    <s v="voucher"/>
    <n v="5"/>
    <s v="delivered"/>
    <d v="2017-11-01T00:00:00"/>
    <n v="10"/>
    <n v="0"/>
    <n v="1"/>
    <n v="136.31"/>
    <n v="73.15379999999999"/>
    <n v="10.991999999999999"/>
    <n v="33.844200000000008"/>
    <s v="8-14 days"/>
  </r>
  <r>
    <s v="6ded23f89d60cc7341b74316668e180e"/>
    <x v="0"/>
    <d v="2017-11-17T00:00:00"/>
    <d v="2017-11-24T00:00:00"/>
    <d v="2017-12-06T00:00:00"/>
    <s v="watches_gifts"/>
    <n v="127.54"/>
    <n v="16.5"/>
    <s v="credit_card"/>
    <n v="5"/>
    <s v="delivered"/>
    <d v="2017-11-01T00:00:00"/>
    <n v="7"/>
    <n v="0"/>
    <n v="1"/>
    <n v="144.04000000000002"/>
    <n v="84.176400000000001"/>
    <n v="9.9"/>
    <n v="33.463600000000007"/>
    <s v="0-7 days"/>
  </r>
  <r>
    <s v="9c7a3fb54f601dfdb04701f9baae8df2"/>
    <x v="0"/>
    <d v="2017-11-17T00:00:00"/>
    <d v="2017-11-25T00:00:00"/>
    <d v="2017-11-29T00:00:00"/>
    <s v="housewares"/>
    <n v="132.29"/>
    <n v="20.95"/>
    <s v="voucher"/>
    <n v="4"/>
    <s v="delivered"/>
    <d v="2017-11-01T00:00:00"/>
    <n v="8"/>
    <n v="0"/>
    <n v="1"/>
    <n v="153.23999999999998"/>
    <n v="83.342699999999994"/>
    <n v="12.569999999999999"/>
    <n v="36.377299999999998"/>
    <s v="8-14 days"/>
  </r>
  <r>
    <s v="014d98294e4a516f7d05955b0d9e1328"/>
    <x v="3"/>
    <d v="2017-11-18T00:00:00"/>
    <d v="2017-12-05T00:00:00"/>
    <d v="2017-12-12T00:00:00"/>
    <s v="bed_bath_table"/>
    <n v="37.06"/>
    <n v="24.16"/>
    <s v="credit_card"/>
    <n v="5"/>
    <s v="delivered"/>
    <d v="2017-11-01T00:00:00"/>
    <n v="17"/>
    <n v="0"/>
    <n v="1"/>
    <n v="61.22"/>
    <n v="22.9772"/>
    <n v="14.495999999999999"/>
    <n v="-0.41319999999999624"/>
    <s v="15-21 days"/>
  </r>
  <r>
    <s v="ca3761d219504cc0cf962bfa5427becd"/>
    <x v="8"/>
    <d v="2017-11-18T00:00:00"/>
    <d v="2017-11-26T00:00:00"/>
    <d v="2017-12-14T00:00:00"/>
    <s v="furniture_decor"/>
    <n v="151.72"/>
    <n v="21.6"/>
    <s v="credit_card"/>
    <n v="3"/>
    <s v="delivered"/>
    <d v="2017-11-01T00:00:00"/>
    <n v="8"/>
    <n v="0"/>
    <n v="1"/>
    <n v="173.32"/>
    <n v="106.20399999999999"/>
    <n v="12.96"/>
    <n v="32.556000000000004"/>
    <s v="8-14 days"/>
  </r>
  <r>
    <s v="b27b3d901a16342c3e2b6091a092f52a"/>
    <x v="0"/>
    <d v="2017-11-19T00:00:00"/>
    <d v="2017-11-24T00:00:00"/>
    <d v="2017-12-02T00:00:00"/>
    <s v="sports_leisure"/>
    <n v="112.12"/>
    <n v="19.989999999999998"/>
    <s v="boleto"/>
    <n v="3"/>
    <s v="delivered"/>
    <d v="2017-11-01T00:00:00"/>
    <n v="5"/>
    <n v="0"/>
    <n v="1"/>
    <n v="132.11000000000001"/>
    <n v="71.756799999999998"/>
    <n v="11.993999999999998"/>
    <n v="28.369200000000006"/>
    <s v="0-7 days"/>
  </r>
  <r>
    <s v="304b8590de9e37575260001eeecf67d2"/>
    <x v="0"/>
    <d v="2017-11-19T00:00:00"/>
    <d v="2017-11-28T00:00:00"/>
    <d v="2017-12-06T00:00:00"/>
    <s v="furniture_decor"/>
    <n v="51.07"/>
    <n v="15.48"/>
    <s v="debit_card"/>
    <n v="4"/>
    <s v="delivered"/>
    <d v="2017-11-01T00:00:00"/>
    <n v="9"/>
    <n v="0"/>
    <n v="1"/>
    <n v="66.55"/>
    <n v="35.748999999999995"/>
    <n v="9.2880000000000003"/>
    <n v="6.0330000000000048"/>
    <s v="8-14 days"/>
  </r>
  <r>
    <s v="0c80b56fa33be6ce910220ca6e0f97b7"/>
    <x v="3"/>
    <d v="2017-11-19T00:00:00"/>
    <d v="2017-11-28T00:00:00"/>
    <d v="2017-12-12T00:00:00"/>
    <s v="computers_accessories"/>
    <n v="388.47"/>
    <n v="31.33"/>
    <s v="credit_card"/>
    <n v="4"/>
    <s v="delivered"/>
    <d v="2017-11-01T00:00:00"/>
    <n v="9"/>
    <n v="0"/>
    <n v="1"/>
    <n v="419.8"/>
    <n v="287.46780000000001"/>
    <n v="18.797999999999998"/>
    <n v="82.204200000000014"/>
    <s v="8-14 days"/>
  </r>
  <r>
    <s v="8dbe81e1161aa2030216d82068195119"/>
    <x v="3"/>
    <d v="2017-11-19T00:00:00"/>
    <d v="2017-12-15T00:00:00"/>
    <d v="2017-12-14T00:00:00"/>
    <s v="housewares"/>
    <n v="313.51"/>
    <n v="25.75"/>
    <s v="boleto"/>
    <n v="2"/>
    <s v="delivered"/>
    <d v="2017-11-01T00:00:00"/>
    <n v="26"/>
    <n v="1"/>
    <n v="0"/>
    <n v="339.26"/>
    <n v="197.51130000000001"/>
    <n v="15.45"/>
    <n v="100.54869999999998"/>
    <s v="22+ days"/>
  </r>
  <r>
    <s v="4811e562a91cf19243e8644b8a45a905"/>
    <x v="10"/>
    <d v="2017-11-20T00:00:00"/>
    <d v="2017-12-08T00:00:00"/>
    <d v="2017-12-21T00:00:00"/>
    <s v="bed_bath_table"/>
    <n v="69.95"/>
    <n v="45.88"/>
    <s v="credit_card"/>
    <n v="4"/>
    <s v="delivered"/>
    <d v="2017-11-01T00:00:00"/>
    <n v="18"/>
    <n v="0"/>
    <n v="1"/>
    <n v="115.83000000000001"/>
    <n v="43.369"/>
    <n v="27.528000000000002"/>
    <n v="-0.94699999999999918"/>
    <s v="15-21 days"/>
  </r>
  <r>
    <s v="68e8f3115295ea96487b25d79cf023dd"/>
    <x v="4"/>
    <d v="2017-11-20T00:00:00"/>
    <d v="2017-11-27T00:00:00"/>
    <d v="2017-12-09T00:00:00"/>
    <s v="sports_leisure"/>
    <n v="89.47"/>
    <n v="23.51"/>
    <s v="credit_card"/>
    <n v="4"/>
    <s v="delivered"/>
    <d v="2017-11-01T00:00:00"/>
    <n v="7"/>
    <n v="0"/>
    <n v="1"/>
    <n v="112.98"/>
    <n v="57.260800000000003"/>
    <n v="14.106"/>
    <n v="18.103199999999994"/>
    <s v="0-7 days"/>
  </r>
  <r>
    <s v="84c62e4b0c995e2da7a998ab103f3a46"/>
    <x v="4"/>
    <d v="2017-11-20T00:00:00"/>
    <d v="2017-12-10T00:00:00"/>
    <d v="2017-12-13T00:00:00"/>
    <s v="housewares"/>
    <n v="54.91"/>
    <n v="25.82"/>
    <s v="credit_card"/>
    <n v="4"/>
    <s v="delivered"/>
    <d v="2017-11-01T00:00:00"/>
    <n v="20"/>
    <n v="0"/>
    <n v="1"/>
    <n v="80.72999999999999"/>
    <n v="34.593299999999999"/>
    <n v="15.491999999999999"/>
    <n v="4.8246999999999982"/>
    <s v="15-21 days"/>
  </r>
  <r>
    <s v="124038bb9bb99a3cc1ce653ac7032c2d"/>
    <x v="8"/>
    <d v="2017-11-20T00:00:00"/>
    <d v="2017-12-03T00:00:00"/>
    <d v="2017-12-15T00:00:00"/>
    <s v="bed_bath_table"/>
    <n v="114.1"/>
    <n v="21.71"/>
    <s v="boleto"/>
    <n v="4"/>
    <s v="delivered"/>
    <d v="2017-11-01T00:00:00"/>
    <n v="13"/>
    <n v="0"/>
    <n v="1"/>
    <n v="135.81"/>
    <n v="70.74199999999999"/>
    <n v="13.026"/>
    <n v="30.332000000000004"/>
    <s v="8-14 days"/>
  </r>
  <r>
    <s v="54e07431cf133b65d450afa2d8e70aeb"/>
    <x v="8"/>
    <d v="2017-11-21T00:00:00"/>
    <d v="2017-12-19T00:00:00"/>
    <d v="2017-12-20T00:00:00"/>
    <s v="health_beauty"/>
    <n v="184.49"/>
    <n v="19.739999999999998"/>
    <s v="credit_card"/>
    <n v="5"/>
    <s v="delivered"/>
    <d v="2017-11-01T00:00:00"/>
    <n v="28"/>
    <n v="0"/>
    <n v="1"/>
    <n v="204.23000000000002"/>
    <n v="107.0042"/>
    <n v="11.843999999999999"/>
    <n v="65.641800000000018"/>
    <s v="22+ days"/>
  </r>
  <r>
    <s v="1ce8e12ff9287d2637c0f87aaaac826e"/>
    <x v="0"/>
    <d v="2017-11-21T00:00:00"/>
    <d v="2017-12-05T00:00:00"/>
    <d v="2017-12-05T00:00:00"/>
    <s v="furniture_decor"/>
    <n v="73.94"/>
    <n v="12.53"/>
    <s v="credit_card"/>
    <n v="4"/>
    <s v="delivered"/>
    <d v="2017-11-01T00:00:00"/>
    <n v="14"/>
    <n v="0"/>
    <n v="1"/>
    <n v="86.47"/>
    <n v="51.757999999999996"/>
    <n v="7.5179999999999989"/>
    <n v="14.664000000000003"/>
    <s v="8-14 days"/>
  </r>
  <r>
    <s v="072e35dd55e17880d8bb62b7c75f41dc"/>
    <x v="3"/>
    <d v="2017-11-21T00:00:00"/>
    <d v="2017-12-05T00:00:00"/>
    <d v="2017-12-17T00:00:00"/>
    <s v="furniture_decor"/>
    <n v="71.819999999999993"/>
    <n v="21.47"/>
    <s v="credit_card"/>
    <n v="5"/>
    <s v="delivered"/>
    <d v="2017-11-01T00:00:00"/>
    <n v="14"/>
    <n v="0"/>
    <n v="1"/>
    <n v="93.289999999999992"/>
    <n v="50.273999999999994"/>
    <n v="12.882"/>
    <n v="8.6639999999999997"/>
    <s v="8-14 days"/>
  </r>
  <r>
    <s v="275759a074516c969c2b4ca9be2f7685"/>
    <x v="0"/>
    <d v="2017-11-21T00:00:00"/>
    <d v="2017-11-27T00:00:00"/>
    <d v="2017-12-09T00:00:00"/>
    <s v="furniture_decor"/>
    <n v="123.45"/>
    <n v="14.28"/>
    <s v="credit_card"/>
    <n v="5"/>
    <s v="delivered"/>
    <d v="2017-11-01T00:00:00"/>
    <n v="6"/>
    <n v="0"/>
    <n v="1"/>
    <n v="137.72999999999999"/>
    <n v="86.414999999999992"/>
    <n v="8.5679999999999996"/>
    <n v="28.467000000000013"/>
    <s v="0-7 days"/>
  </r>
  <r>
    <s v="e6cfaf54ca9dc28c8d5af123085d07e6"/>
    <x v="0"/>
    <d v="2017-11-22T00:00:00"/>
    <d v="2017-11-29T00:00:00"/>
    <d v="2017-12-04T00:00:00"/>
    <s v="housewares"/>
    <n v="42.58"/>
    <n v="20.079999999999998"/>
    <s v="debit_card"/>
    <n v="5"/>
    <s v="delivered"/>
    <d v="2017-11-01T00:00:00"/>
    <n v="7"/>
    <n v="0"/>
    <n v="1"/>
    <n v="62.66"/>
    <n v="26.825399999999998"/>
    <n v="12.047999999999998"/>
    <n v="3.7066000000000017"/>
    <s v="0-7 days"/>
  </r>
  <r>
    <s v="413e3c2c256373ffd0ed7c33a4bc556b"/>
    <x v="0"/>
    <d v="2017-11-22T00:00:00"/>
    <d v="2017-12-02T00:00:00"/>
    <d v="2017-12-04T00:00:00"/>
    <s v="watches_gifts"/>
    <n v="113.77"/>
    <n v="18.7"/>
    <s v="credit_card"/>
    <n v="5"/>
    <s v="delivered"/>
    <d v="2017-11-01T00:00:00"/>
    <n v="10"/>
    <n v="0"/>
    <n v="1"/>
    <n v="132.47"/>
    <n v="75.088200000000001"/>
    <n v="11.219999999999999"/>
    <n v="27.461799999999997"/>
    <s v="8-14 days"/>
  </r>
  <r>
    <s v="c2d72b23acaae9bd30c6dff3d914b16d"/>
    <x v="0"/>
    <d v="2017-11-22T00:00:00"/>
    <d v="2017-12-01T00:00:00"/>
    <d v="2017-12-06T00:00:00"/>
    <s v="toys"/>
    <n v="379.53"/>
    <n v="19.97"/>
    <s v="credit_card"/>
    <n v="4"/>
    <s v="delivered"/>
    <d v="2017-11-01T00:00:00"/>
    <n v="9"/>
    <n v="0"/>
    <n v="1"/>
    <n v="399.5"/>
    <n v="227.71799999999999"/>
    <n v="11.981999999999999"/>
    <n v="139.82999999999998"/>
    <s v="8-14 days"/>
  </r>
  <r>
    <s v="ec170298143df5b3a58e83dd548c1d84"/>
    <x v="8"/>
    <d v="2017-11-23T00:00:00"/>
    <d v="2017-12-02T00:00:00"/>
    <d v="2017-12-18T00:00:00"/>
    <s v="sports_leisure"/>
    <n v="103.71"/>
    <n v="20.52"/>
    <s v="credit_card"/>
    <n v="5"/>
    <s v="delivered"/>
    <d v="2017-11-01T00:00:00"/>
    <n v="9"/>
    <n v="0"/>
    <n v="1"/>
    <n v="124.22999999999999"/>
    <n v="66.374399999999994"/>
    <n v="12.311999999999999"/>
    <n v="25.023600000000002"/>
    <s v="8-14 days"/>
  </r>
  <r>
    <s v="90441ec65ef0195ee152dc3a3894de06"/>
    <x v="1"/>
    <d v="2017-11-23T00:00:00"/>
    <d v="2017-12-03T00:00:00"/>
    <d v="2017-12-13T00:00:00"/>
    <s v="computers_accessories"/>
    <n v="164.47"/>
    <n v="21.33"/>
    <s v="credit_card"/>
    <n v="4"/>
    <s v="delivered"/>
    <d v="2017-11-01T00:00:00"/>
    <n v="10"/>
    <n v="0"/>
    <n v="1"/>
    <n v="185.8"/>
    <n v="121.70779999999999"/>
    <n v="12.797999999999998"/>
    <n v="29.964200000000009"/>
    <s v="8-14 days"/>
  </r>
  <r>
    <s v="16933dc7e27d114a05e54cf09771ab1d"/>
    <x v="6"/>
    <d v="2017-11-23T00:00:00"/>
    <d v="2017-12-14T00:00:00"/>
    <d v="2017-12-24T00:00:00"/>
    <s v="bed_bath_table"/>
    <n v="234.29"/>
    <n v="27.79"/>
    <s v="debit_card"/>
    <n v="5"/>
    <s v="delivered"/>
    <d v="2017-11-01T00:00:00"/>
    <n v="21"/>
    <n v="0"/>
    <n v="1"/>
    <n v="262.08"/>
    <n v="145.25979999999998"/>
    <n v="16.673999999999999"/>
    <n v="72.356200000000001"/>
    <s v="15-21 days"/>
  </r>
  <r>
    <s v="ff4cc10f979c30cf33261887905881df"/>
    <x v="0"/>
    <d v="2017-11-24T00:00:00"/>
    <d v="2017-12-04T00:00:00"/>
    <d v="2017-12-08T00:00:00"/>
    <s v="sports_leisure"/>
    <n v="147.22"/>
    <n v="14.64"/>
    <s v="credit_card"/>
    <n v="4"/>
    <s v="delivered"/>
    <d v="2017-11-01T00:00:00"/>
    <n v="10"/>
    <n v="0"/>
    <n v="1"/>
    <n v="161.86000000000001"/>
    <n v="94.220799999999997"/>
    <n v="8.7840000000000007"/>
    <n v="44.215200000000003"/>
    <s v="8-14 days"/>
  </r>
  <r>
    <s v="ed6ae39fb5604484937749f62e2d0681"/>
    <x v="4"/>
    <d v="2017-11-24T00:00:00"/>
    <d v="2017-12-07T00:00:00"/>
    <d v="2017-12-15T00:00:00"/>
    <s v="housewares"/>
    <n v="46.48"/>
    <n v="23.41"/>
    <s v="credit_card"/>
    <n v="4"/>
    <s v="delivered"/>
    <d v="2017-11-01T00:00:00"/>
    <n v="13"/>
    <n v="0"/>
    <n v="1"/>
    <n v="69.89"/>
    <n v="29.282399999999999"/>
    <n v="14.045999999999999"/>
    <n v="3.1515999999999984"/>
    <s v="8-14 days"/>
  </r>
  <r>
    <s v="c0539b74fa00a281dfb2591df9b5a1db"/>
    <x v="0"/>
    <d v="2017-11-24T00:00:00"/>
    <d v="2017-12-03T00:00:00"/>
    <d v="2017-12-10T00:00:00"/>
    <s v="computers_accessories"/>
    <n v="184.26"/>
    <n v="19.899999999999999"/>
    <s v="boleto"/>
    <n v="5"/>
    <s v="delivered"/>
    <d v="2017-11-01T00:00:00"/>
    <n v="9"/>
    <n v="0"/>
    <n v="1"/>
    <n v="204.16"/>
    <n v="136.35239999999999"/>
    <n v="11.94"/>
    <n v="35.967600000000004"/>
    <s v="8-14 days"/>
  </r>
  <r>
    <s v="a3b5bc49f05afb4adaa51cfb605a79a3"/>
    <x v="0"/>
    <d v="2017-11-24T00:00:00"/>
    <d v="2017-12-01T00:00:00"/>
    <d v="2017-12-10T00:00:00"/>
    <s v="computers_accessories"/>
    <n v="111.01"/>
    <n v="15.45"/>
    <s v="credit_card"/>
    <n v="5"/>
    <s v="delivered"/>
    <d v="2017-11-01T00:00:00"/>
    <n v="7"/>
    <n v="0"/>
    <n v="1"/>
    <n v="126.46000000000001"/>
    <n v="82.147400000000005"/>
    <n v="9.27"/>
    <n v="19.592600000000001"/>
    <s v="0-7 days"/>
  </r>
  <r>
    <s v="a6a0b2d06293ff3bf65e166d15354005"/>
    <x v="10"/>
    <d v="2017-11-24T00:00:00"/>
    <d v="2017-12-21T00:00:00"/>
    <d v="2017-12-30T00:00:00"/>
    <s v="sports_leisure"/>
    <n v="149.30000000000001"/>
    <n v="43.25"/>
    <s v="credit_card"/>
    <n v="4"/>
    <s v="delivered"/>
    <d v="2017-11-01T00:00:00"/>
    <n v="27"/>
    <n v="0"/>
    <n v="1"/>
    <n v="192.55"/>
    <n v="95.552000000000007"/>
    <n v="25.95"/>
    <n v="27.798000000000005"/>
    <s v="22+ days"/>
  </r>
  <r>
    <s v="64425305fa87fb096f26324b3740eaf1"/>
    <x v="0"/>
    <d v="2017-11-24T00:00:00"/>
    <d v="2017-12-10T00:00:00"/>
    <d v="2017-12-12T00:00:00"/>
    <s v="auto"/>
    <n v="231.35"/>
    <n v="23.86"/>
    <s v="boleto"/>
    <n v="4"/>
    <s v="delivered"/>
    <d v="2017-11-01T00:00:00"/>
    <n v="16"/>
    <n v="0"/>
    <n v="1"/>
    <n v="255.20999999999998"/>
    <n v="157.31800000000001"/>
    <n v="14.315999999999999"/>
    <n v="59.71599999999998"/>
    <s v="15-21 days"/>
  </r>
  <r>
    <s v="96bfae6e37850b5c3ce5988c7e53d702"/>
    <x v="0"/>
    <d v="2017-11-25T00:00:00"/>
    <d v="2017-12-07T00:00:00"/>
    <d v="2017-12-12T00:00:00"/>
    <s v="auto"/>
    <n v="98.82"/>
    <n v="18.86"/>
    <s v="credit_card"/>
    <n v="5"/>
    <s v="delivered"/>
    <d v="2017-11-01T00:00:00"/>
    <n v="12"/>
    <n v="0"/>
    <n v="1"/>
    <n v="117.67999999999999"/>
    <n v="67.197599999999994"/>
    <n v="11.315999999999999"/>
    <n v="20.3064"/>
    <s v="8-14 days"/>
  </r>
  <r>
    <s v="1761f1ce3768d6aafd34d21e3b59475e"/>
    <x v="1"/>
    <d v="2017-11-25T00:00:00"/>
    <d v="2017-12-16T00:00:00"/>
    <d v="2017-12-19T00:00:00"/>
    <s v="computers_accessories"/>
    <n v="200.67"/>
    <n v="18.05"/>
    <s v="boleto"/>
    <n v="4"/>
    <s v="delivered"/>
    <d v="2017-11-01T00:00:00"/>
    <n v="21"/>
    <n v="0"/>
    <n v="1"/>
    <n v="218.72"/>
    <n v="148.4958"/>
    <n v="10.83"/>
    <n v="41.344199999999987"/>
    <s v="15-21 days"/>
  </r>
  <r>
    <s v="76e9efdc47e4b3f364ad2b394702fe75"/>
    <x v="4"/>
    <d v="2017-11-25T00:00:00"/>
    <d v="2017-12-01T00:00:00"/>
    <d v="2017-12-13T00:00:00"/>
    <s v="watches_gifts"/>
    <n v="445.8"/>
    <n v="23.48"/>
    <s v="credit_card"/>
    <n v="5"/>
    <s v="delivered"/>
    <d v="2017-11-01T00:00:00"/>
    <n v="6"/>
    <n v="0"/>
    <n v="1"/>
    <n v="469.28000000000003"/>
    <n v="294.22800000000001"/>
    <n v="14.087999999999999"/>
    <n v="137.48400000000001"/>
    <s v="0-7 days"/>
  </r>
  <r>
    <s v="347837520b3b81a9ddd652a86925f2d5"/>
    <x v="6"/>
    <d v="2017-11-25T00:00:00"/>
    <d v="2017-12-10T00:00:00"/>
    <d v="2017-12-25T00:00:00"/>
    <s v="bed_bath_table"/>
    <n v="27.92"/>
    <n v="23.64"/>
    <s v="credit_card"/>
    <n v="5"/>
    <s v="delivered"/>
    <d v="2017-11-01T00:00:00"/>
    <n v="15"/>
    <n v="0"/>
    <n v="1"/>
    <n v="51.56"/>
    <n v="17.310400000000001"/>
    <n v="14.183999999999999"/>
    <n v="-3.5743999999999989"/>
    <s v="15-21 days"/>
  </r>
  <r>
    <s v="cd1f5318331f63fbd11fc8c0297ca4ff"/>
    <x v="3"/>
    <d v="2017-11-26T00:00:00"/>
    <d v="2017-12-04T00:00:00"/>
    <d v="2017-12-19T00:00:00"/>
    <s v="housewares"/>
    <n v="114.95"/>
    <n v="23.15"/>
    <s v="credit_card"/>
    <n v="4"/>
    <s v="delivered"/>
    <d v="2017-11-01T00:00:00"/>
    <n v="8"/>
    <n v="0"/>
    <n v="1"/>
    <n v="138.1"/>
    <n v="72.418500000000009"/>
    <n v="13.889999999999999"/>
    <n v="28.641499999999994"/>
    <s v="8-14 days"/>
  </r>
  <r>
    <s v="8b31f4d8e073c1d09929afeb48842a14"/>
    <x v="1"/>
    <d v="2017-11-26T00:00:00"/>
    <d v="2017-12-19T00:00:00"/>
    <d v="2017-12-16T00:00:00"/>
    <s v="bed_bath_table"/>
    <n v="80.260000000000005"/>
    <n v="27.63"/>
    <s v="credit_card"/>
    <n v="2"/>
    <s v="delivered"/>
    <d v="2017-11-01T00:00:00"/>
    <n v="23"/>
    <n v="3"/>
    <n v="0"/>
    <n v="107.89"/>
    <n v="49.761200000000002"/>
    <n v="16.577999999999999"/>
    <n v="13.920800000000003"/>
    <s v="22+ days"/>
  </r>
  <r>
    <s v="b9398e8e25fc57c710681724edcc6a95"/>
    <x v="0"/>
    <d v="2017-11-26T00:00:00"/>
    <d v="2017-12-08T00:00:00"/>
    <d v="2017-12-12T00:00:00"/>
    <s v="bed_bath_table"/>
    <n v="50.95"/>
    <n v="14.72"/>
    <s v="credit_card"/>
    <n v="5"/>
    <s v="delivered"/>
    <d v="2017-11-01T00:00:00"/>
    <n v="12"/>
    <n v="0"/>
    <n v="1"/>
    <n v="65.67"/>
    <n v="31.589000000000002"/>
    <n v="8.8320000000000007"/>
    <n v="10.529"/>
    <s v="8-14 days"/>
  </r>
  <r>
    <s v="14f32e9bd4977ff67d35960301903474"/>
    <x v="0"/>
    <d v="2017-11-26T00:00:00"/>
    <d v="2017-12-02T00:00:00"/>
    <d v="2017-12-10T00:00:00"/>
    <s v="bed_bath_table"/>
    <n v="109.73"/>
    <n v="15.06"/>
    <s v="voucher"/>
    <n v="4"/>
    <s v="delivered"/>
    <d v="2017-11-01T00:00:00"/>
    <n v="6"/>
    <n v="0"/>
    <n v="1"/>
    <n v="124.79"/>
    <n v="68.032600000000002"/>
    <n v="9.0359999999999996"/>
    <n v="32.6614"/>
    <s v="0-7 days"/>
  </r>
  <r>
    <s v="a08a6208ebec8b0a1513a64ba67a2cc7"/>
    <x v="7"/>
    <d v="2017-11-26T00:00:00"/>
    <d v="2017-12-07T00:00:00"/>
    <d v="2017-12-18T00:00:00"/>
    <s v="bed_bath_table"/>
    <n v="157.47"/>
    <n v="25.86"/>
    <s v="credit_card"/>
    <n v="5"/>
    <s v="delivered"/>
    <d v="2017-11-01T00:00:00"/>
    <n v="11"/>
    <n v="0"/>
    <n v="1"/>
    <n v="183.32999999999998"/>
    <n v="97.631399999999999"/>
    <n v="15.515999999999998"/>
    <n v="44.322600000000001"/>
    <s v="8-14 days"/>
  </r>
  <r>
    <s v="7677fdd887789f1b24ded4ff78a072f4"/>
    <x v="3"/>
    <d v="2017-11-26T00:00:00"/>
    <d v="2017-12-07T00:00:00"/>
    <d v="2017-12-19T00:00:00"/>
    <s v="furniture_decor"/>
    <n v="102.84"/>
    <n v="21.72"/>
    <s v="credit_card"/>
    <n v="5"/>
    <s v="delivered"/>
    <d v="2017-11-01T00:00:00"/>
    <n v="11"/>
    <n v="0"/>
    <n v="1"/>
    <n v="124.56"/>
    <n v="71.988"/>
    <n v="13.031999999999998"/>
    <n v="17.820000000000007"/>
    <s v="8-14 days"/>
  </r>
  <r>
    <s v="aea398c6ec677b258f6875a3b1fbe012"/>
    <x v="11"/>
    <d v="2017-11-27T00:00:00"/>
    <d v="2017-12-19T00:00:00"/>
    <d v="2017-12-28T00:00:00"/>
    <s v="furniture_decor"/>
    <n v="43.2"/>
    <n v="41.05"/>
    <s v="credit_card"/>
    <n v="5"/>
    <s v="delivered"/>
    <d v="2017-11-01T00:00:00"/>
    <n v="22"/>
    <n v="0"/>
    <n v="1"/>
    <n v="84.25"/>
    <n v="30.24"/>
    <n v="24.63"/>
    <n v="-11.669999999999995"/>
    <s v="22+ days"/>
  </r>
  <r>
    <s v="0961b31934033f089a607945e6bbba9e"/>
    <x v="8"/>
    <d v="2017-11-27T00:00:00"/>
    <d v="2017-12-17T00:00:00"/>
    <d v="2017-12-19T00:00:00"/>
    <s v="housewares"/>
    <n v="88.15"/>
    <n v="20.72"/>
    <s v="credit_card"/>
    <n v="5"/>
    <s v="delivered"/>
    <d v="2017-11-01T00:00:00"/>
    <n v="20"/>
    <n v="0"/>
    <n v="1"/>
    <n v="108.87"/>
    <n v="55.534500000000001"/>
    <n v="12.431999999999999"/>
    <n v="20.183500000000006"/>
    <s v="15-21 days"/>
  </r>
  <r>
    <s v="e502fd39b0e0565ab72423d687d5292c"/>
    <x v="9"/>
    <d v="2017-11-27T00:00:00"/>
    <d v="2018-01-03T00:00:00"/>
    <d v="2017-12-22T00:00:00"/>
    <s v="sports_leisure"/>
    <n v="81.47"/>
    <n v="30.4"/>
    <s v="credit_card"/>
    <n v="2"/>
    <s v="delivered"/>
    <d v="2017-11-01T00:00:00"/>
    <n v="37"/>
    <n v="12"/>
    <n v="0"/>
    <n v="111.87"/>
    <n v="52.140799999999999"/>
    <n v="18.239999999999998"/>
    <n v="11.089200000000002"/>
    <s v="22+ days"/>
  </r>
  <r>
    <s v="5e0a72ab7f5db163b12b66807f072cb9"/>
    <x v="4"/>
    <d v="2017-11-28T00:00:00"/>
    <d v="2017-12-09T00:00:00"/>
    <d v="2017-12-16T00:00:00"/>
    <s v="housewares"/>
    <n v="128.47999999999999"/>
    <n v="30.2"/>
    <s v="boleto"/>
    <n v="5"/>
    <s v="delivered"/>
    <d v="2017-11-01T00:00:00"/>
    <n v="11"/>
    <n v="0"/>
    <n v="1"/>
    <n v="158.67999999999998"/>
    <n v="80.942399999999992"/>
    <n v="18.119999999999997"/>
    <n v="29.4176"/>
    <s v="8-14 days"/>
  </r>
  <r>
    <s v="6274d2408e301bcc302fa247239a046d"/>
    <x v="8"/>
    <d v="2017-11-28T00:00:00"/>
    <d v="2017-12-11T00:00:00"/>
    <d v="2017-12-19T00:00:00"/>
    <s v="sports_leisure"/>
    <n v="91.63"/>
    <n v="19.079999999999998"/>
    <s v="boleto"/>
    <n v="4"/>
    <s v="delivered"/>
    <d v="2017-11-01T00:00:00"/>
    <n v="13"/>
    <n v="0"/>
    <n v="1"/>
    <n v="110.71"/>
    <n v="58.6432"/>
    <n v="11.447999999999999"/>
    <n v="21.538799999999995"/>
    <s v="8-14 days"/>
  </r>
  <r>
    <s v="15c2f297ad3053cea8969e7085cd3384"/>
    <x v="3"/>
    <d v="2017-11-28T00:00:00"/>
    <d v="2017-12-09T00:00:00"/>
    <d v="2017-12-25T00:00:00"/>
    <s v="auto"/>
    <n v="151.07"/>
    <n v="23.55"/>
    <s v="credit_card"/>
    <n v="4"/>
    <s v="delivered"/>
    <d v="2017-11-01T00:00:00"/>
    <n v="11"/>
    <n v="0"/>
    <n v="1"/>
    <n v="174.62"/>
    <n v="102.72760000000001"/>
    <n v="14.13"/>
    <n v="34.212399999999981"/>
    <s v="8-14 days"/>
  </r>
  <r>
    <s v="c72bf2e89bcfe969473fb005266c3392"/>
    <x v="0"/>
    <d v="2017-11-28T00:00:00"/>
    <d v="2017-12-11T00:00:00"/>
    <d v="2017-12-11T00:00:00"/>
    <s v="watches_gifts"/>
    <n v="87.38"/>
    <n v="14.42"/>
    <s v="credit_card"/>
    <n v="4"/>
    <s v="delivered"/>
    <d v="2017-11-01T00:00:00"/>
    <n v="13"/>
    <n v="0"/>
    <n v="1"/>
    <n v="101.8"/>
    <n v="57.6708"/>
    <n v="8.6519999999999992"/>
    <n v="21.057199999999995"/>
    <s v="8-14 days"/>
  </r>
  <r>
    <s v="81a4dce0c8009f5e3139c12d3881efd7"/>
    <x v="9"/>
    <d v="2017-11-28T00:00:00"/>
    <d v="2017-12-08T00:00:00"/>
    <d v="2017-12-20T00:00:00"/>
    <s v="computers_accessories"/>
    <n v="177.83"/>
    <n v="24.79"/>
    <s v="boleto"/>
    <n v="5"/>
    <s v="delivered"/>
    <d v="2017-11-01T00:00:00"/>
    <n v="10"/>
    <n v="0"/>
    <n v="1"/>
    <n v="202.62"/>
    <n v="131.5942"/>
    <n v="14.873999999999999"/>
    <n v="31.361800000000013"/>
    <s v="8-14 days"/>
  </r>
  <r>
    <s v="ebfabe59cd2ad4f53f916981f6208a2b"/>
    <x v="4"/>
    <d v="2017-11-28T00:00:00"/>
    <d v="2017-12-07T00:00:00"/>
    <d v="2017-12-20T00:00:00"/>
    <s v="housewares"/>
    <n v="34.020000000000003"/>
    <n v="18.579999999999998"/>
    <s v="boleto"/>
    <n v="5"/>
    <s v="delivered"/>
    <d v="2017-11-01T00:00:00"/>
    <n v="9"/>
    <n v="0"/>
    <n v="1"/>
    <n v="52.6"/>
    <n v="21.432600000000001"/>
    <n v="11.147999999999998"/>
    <n v="1.4394000000000045"/>
    <s v="8-14 days"/>
  </r>
  <r>
    <s v="2f9e3955d8f18fca8b665e8b7dd5be8f"/>
    <x v="0"/>
    <d v="2017-11-28T00:00:00"/>
    <d v="2017-12-10T00:00:00"/>
    <d v="2017-12-16T00:00:00"/>
    <s v="bed_bath_table"/>
    <n v="85.62"/>
    <n v="19.55"/>
    <s v="credit_card"/>
    <n v="3"/>
    <s v="delivered"/>
    <d v="2017-11-01T00:00:00"/>
    <n v="12"/>
    <n v="0"/>
    <n v="1"/>
    <n v="105.17"/>
    <n v="53.084400000000002"/>
    <n v="11.73"/>
    <n v="20.805600000000002"/>
    <s v="8-14 days"/>
  </r>
  <r>
    <s v="0a35653cf57a431e3e6b74fd9f027cbf"/>
    <x v="0"/>
    <d v="2017-11-29T00:00:00"/>
    <d v="2017-12-05T00:00:00"/>
    <d v="2017-12-13T00:00:00"/>
    <s v="housewares"/>
    <n v="43.09"/>
    <n v="17.809999999999999"/>
    <s v="credit_card"/>
    <n v="5"/>
    <s v="delivered"/>
    <d v="2017-11-01T00:00:00"/>
    <n v="6"/>
    <n v="0"/>
    <n v="1"/>
    <n v="60.900000000000006"/>
    <n v="27.146700000000003"/>
    <n v="10.685999999999998"/>
    <n v="5.2573000000000025"/>
    <s v="0-7 days"/>
  </r>
  <r>
    <s v="4518f4c6612a9cc6cfff0d34caa81f13"/>
    <x v="7"/>
    <d v="2017-11-29T00:00:00"/>
    <d v="2017-12-12T00:00:00"/>
    <d v="2017-12-21T00:00:00"/>
    <s v="toys"/>
    <n v="79.23"/>
    <n v="26.4"/>
    <s v="credit_card"/>
    <n v="4"/>
    <s v="delivered"/>
    <d v="2017-11-01T00:00:00"/>
    <n v="13"/>
    <n v="0"/>
    <n v="1"/>
    <n v="105.63"/>
    <n v="47.538000000000004"/>
    <n v="15.839999999999998"/>
    <n v="15.852000000000002"/>
    <s v="8-14 days"/>
  </r>
  <r>
    <s v="2263e16c66b768bd4f848c317954af2d"/>
    <x v="4"/>
    <d v="2017-11-30T00:00:00"/>
    <d v="2017-12-14T00:00:00"/>
    <d v="2017-12-21T00:00:00"/>
    <s v="health_beauty"/>
    <n v="43.71"/>
    <n v="24.59"/>
    <s v="boleto"/>
    <n v="5"/>
    <s v="delivered"/>
    <d v="2017-11-01T00:00:00"/>
    <n v="14"/>
    <n v="0"/>
    <n v="1"/>
    <n v="68.3"/>
    <n v="25.351799999999997"/>
    <n v="14.754"/>
    <n v="3.6042000000000041"/>
    <s v="8-14 days"/>
  </r>
  <r>
    <s v="bfd80514b6413edad327aa9722be2e23"/>
    <x v="9"/>
    <d v="2017-11-30T00:00:00"/>
    <d v="2017-12-09T00:00:00"/>
    <d v="2017-12-21T00:00:00"/>
    <s v="computers_accessories"/>
    <n v="274.77999999999997"/>
    <n v="26.6"/>
    <s v="boleto"/>
    <n v="5"/>
    <s v="delivered"/>
    <d v="2017-11-01T00:00:00"/>
    <n v="9"/>
    <n v="0"/>
    <n v="1"/>
    <n v="301.38"/>
    <n v="203.33719999999997"/>
    <n v="15.96"/>
    <n v="55.482800000000005"/>
    <s v="8-14 days"/>
  </r>
  <r>
    <s v="efede7bb5909b7d6c353b9e48aa2f756"/>
    <x v="6"/>
    <d v="2017-12-01T00:00:00"/>
    <d v="2017-12-29T00:00:00"/>
    <d v="2018-01-01T00:00:00"/>
    <s v="health_beauty"/>
    <n v="72.25"/>
    <n v="27.94"/>
    <s v="credit_card"/>
    <n v="4"/>
    <s v="delivered"/>
    <d v="2017-12-01T00:00:00"/>
    <n v="28"/>
    <n v="0"/>
    <n v="1"/>
    <n v="100.19"/>
    <n v="41.904999999999994"/>
    <n v="16.763999999999999"/>
    <n v="13.581000000000007"/>
    <s v="22+ days"/>
  </r>
  <r>
    <s v="076f3b07a2ec377a305a1bef690903c4"/>
    <x v="6"/>
    <d v="2017-12-01T00:00:00"/>
    <d v="2017-12-21T00:00:00"/>
    <d v="2017-12-30T00:00:00"/>
    <s v="toys"/>
    <n v="56.34"/>
    <n v="41.2"/>
    <s v="credit_card"/>
    <n v="4"/>
    <s v="delivered"/>
    <d v="2017-12-01T00:00:00"/>
    <n v="20"/>
    <n v="0"/>
    <n v="1"/>
    <n v="97.54"/>
    <n v="33.804000000000002"/>
    <n v="24.720000000000002"/>
    <n v="-2.1840000000000011"/>
    <s v="15-21 days"/>
  </r>
  <r>
    <s v="0eba6e49946cf4bee13445042964aa99"/>
    <x v="0"/>
    <d v="2017-12-01T00:00:00"/>
    <d v="2017-12-10T00:00:00"/>
    <d v="2017-12-18T00:00:00"/>
    <s v="bed_bath_table"/>
    <n v="134.53"/>
    <n v="16.03"/>
    <s v="credit_card"/>
    <n v="5"/>
    <s v="delivered"/>
    <d v="2017-12-01T00:00:00"/>
    <n v="9"/>
    <n v="0"/>
    <n v="1"/>
    <n v="150.56"/>
    <n v="83.408600000000007"/>
    <n v="9.6180000000000003"/>
    <n v="41.503399999999992"/>
    <s v="8-14 days"/>
  </r>
  <r>
    <s v="f76e173b0ce401aac7d1b01b198774c1"/>
    <x v="0"/>
    <d v="2017-12-01T00:00:00"/>
    <d v="2017-12-09T00:00:00"/>
    <d v="2017-12-16T00:00:00"/>
    <s v="furniture_decor"/>
    <n v="85.6"/>
    <n v="19.55"/>
    <s v="credit_card"/>
    <n v="3"/>
    <s v="delivered"/>
    <d v="2017-12-01T00:00:00"/>
    <n v="8"/>
    <n v="0"/>
    <n v="1"/>
    <n v="105.14999999999999"/>
    <n v="59.919999999999995"/>
    <n v="11.73"/>
    <n v="13.95"/>
    <s v="8-14 days"/>
  </r>
  <r>
    <s v="6ebd40abb7539235f2cfea1de44b847c"/>
    <x v="10"/>
    <d v="2017-12-01T00:00:00"/>
    <d v="2018-01-01T00:00:00"/>
    <d v="2018-01-02T00:00:00"/>
    <s v="housewares"/>
    <n v="301.54000000000002"/>
    <n v="44.31"/>
    <s v="credit_card"/>
    <n v="3"/>
    <s v="delivered"/>
    <d v="2017-12-01T00:00:00"/>
    <n v="31"/>
    <n v="0"/>
    <n v="1"/>
    <n v="345.85"/>
    <n v="189.97020000000001"/>
    <n v="26.586000000000002"/>
    <n v="84.983800000000016"/>
    <s v="22+ days"/>
  </r>
  <r>
    <s v="2b0c456b8ab20bf4196dedc0fad34352"/>
    <x v="4"/>
    <d v="2017-12-02T00:00:00"/>
    <d v="2017-12-13T00:00:00"/>
    <d v="2017-12-22T00:00:00"/>
    <s v="bed_bath_table"/>
    <n v="73.06"/>
    <n v="16.739999999999998"/>
    <s v="credit_card"/>
    <n v="5"/>
    <s v="delivered"/>
    <d v="2017-12-01T00:00:00"/>
    <n v="11"/>
    <n v="0"/>
    <n v="1"/>
    <n v="89.8"/>
    <n v="45.297200000000004"/>
    <n v="10.043999999999999"/>
    <n v="17.718800000000002"/>
    <s v="8-14 days"/>
  </r>
  <r>
    <s v="b1bdd56a5e8fb079a550a4d18e27e044"/>
    <x v="11"/>
    <d v="2017-12-02T00:00:00"/>
    <d v="2017-12-24T00:00:00"/>
    <d v="2018-01-03T00:00:00"/>
    <s v="bed_bath_table"/>
    <n v="125.12"/>
    <n v="42.06"/>
    <s v="credit_card"/>
    <n v="4"/>
    <s v="delivered"/>
    <d v="2017-12-01T00:00:00"/>
    <n v="22"/>
    <n v="0"/>
    <n v="1"/>
    <n v="167.18"/>
    <n v="77.574399999999997"/>
    <n v="25.236000000000001"/>
    <n v="22.309600000000007"/>
    <s v="22+ days"/>
  </r>
  <r>
    <s v="3c91accc5538b109168e8bf69f3df699"/>
    <x v="0"/>
    <d v="2017-12-02T00:00:00"/>
    <d v="2017-12-14T00:00:00"/>
    <d v="2017-12-18T00:00:00"/>
    <s v="furniture_decor"/>
    <n v="33.770000000000003"/>
    <n v="11.44"/>
    <s v="credit_card"/>
    <n v="5"/>
    <s v="delivered"/>
    <d v="2017-12-01T00:00:00"/>
    <n v="12"/>
    <n v="0"/>
    <n v="1"/>
    <n v="45.21"/>
    <n v="23.638999999999999"/>
    <n v="6.8639999999999999"/>
    <n v="3.2670000000000039"/>
    <s v="8-14 days"/>
  </r>
  <r>
    <s v="3dc1e88207122fb9dcd6f58eb457bba6"/>
    <x v="2"/>
    <d v="2017-12-02T00:00:00"/>
    <d v="2017-12-22T00:00:00"/>
    <d v="2017-12-28T00:00:00"/>
    <s v="sports_leisure"/>
    <n v="65.67"/>
    <n v="17.899999999999999"/>
    <s v="boleto"/>
    <n v="3"/>
    <s v="delivered"/>
    <d v="2017-12-01T00:00:00"/>
    <n v="20"/>
    <n v="0"/>
    <n v="1"/>
    <n v="83.57"/>
    <n v="42.028800000000004"/>
    <n v="10.739999999999998"/>
    <n v="12.901199999999999"/>
    <s v="15-21 days"/>
  </r>
  <r>
    <s v="13ea7ae06be1de7dd31096065c969bed"/>
    <x v="0"/>
    <d v="2017-12-02T00:00:00"/>
    <d v="2017-12-24T00:00:00"/>
    <d v="2017-12-17T00:00:00"/>
    <s v="auto"/>
    <n v="203.54"/>
    <n v="22.48"/>
    <s v="credit_card"/>
    <n v="3"/>
    <s v="delivered"/>
    <d v="2017-12-01T00:00:00"/>
    <n v="22"/>
    <n v="7"/>
    <n v="0"/>
    <n v="226.01999999999998"/>
    <n v="138.40720000000002"/>
    <n v="13.488"/>
    <n v="51.644799999999975"/>
    <s v="22+ days"/>
  </r>
  <r>
    <s v="cb2b970402134726464bcffb089918a2"/>
    <x v="3"/>
    <d v="2017-12-02T00:00:00"/>
    <d v="2017-12-18T00:00:00"/>
    <d v="2017-12-26T00:00:00"/>
    <s v="bed_bath_table"/>
    <n v="23.15"/>
    <n v="22.6"/>
    <s v="credit_card"/>
    <n v="5"/>
    <s v="delivered"/>
    <d v="2017-12-01T00:00:00"/>
    <n v="16"/>
    <n v="0"/>
    <n v="1"/>
    <n v="45.75"/>
    <n v="14.353"/>
    <n v="13.56"/>
    <n v="-4.7630000000000017"/>
    <s v="15-21 days"/>
  </r>
  <r>
    <s v="bb6e3ec1e87f50875c27af1ca03d6f69"/>
    <x v="8"/>
    <d v="2017-12-02T00:00:00"/>
    <d v="2017-12-13T00:00:00"/>
    <d v="2017-12-26T00:00:00"/>
    <s v="sports_leisure"/>
    <n v="163.07"/>
    <n v="20.170000000000002"/>
    <s v="boleto"/>
    <n v="5"/>
    <s v="delivered"/>
    <d v="2017-12-01T00:00:00"/>
    <n v="11"/>
    <n v="0"/>
    <n v="1"/>
    <n v="183.24"/>
    <n v="104.3648"/>
    <n v="12.102"/>
    <n v="46.603199999999987"/>
    <s v="8-14 days"/>
  </r>
  <r>
    <s v="b701492522fbe906554ed52c126aa315"/>
    <x v="1"/>
    <d v="2017-12-03T00:00:00"/>
    <d v="2017-12-16T00:00:00"/>
    <d v="2017-12-23T00:00:00"/>
    <s v="furniture_decor"/>
    <n v="103.88"/>
    <n v="24.56"/>
    <s v="credit_card"/>
    <n v="4"/>
    <s v="delivered"/>
    <d v="2017-12-01T00:00:00"/>
    <n v="13"/>
    <n v="0"/>
    <n v="1"/>
    <n v="128.44"/>
    <n v="72.715999999999994"/>
    <n v="14.735999999999999"/>
    <n v="16.428000000000004"/>
    <s v="8-14 days"/>
  </r>
  <r>
    <s v="fce12a250804ccea9175fc6351f7c017"/>
    <x v="3"/>
    <d v="2017-12-03T00:00:00"/>
    <d v="2017-12-18T00:00:00"/>
    <d v="2017-12-26T00:00:00"/>
    <s v="bed_bath_table"/>
    <n v="36.74"/>
    <n v="24.85"/>
    <s v="credit_card"/>
    <n v="4"/>
    <s v="delivered"/>
    <d v="2017-12-01T00:00:00"/>
    <n v="15"/>
    <n v="0"/>
    <n v="1"/>
    <n v="61.59"/>
    <n v="22.7788"/>
    <n v="14.91"/>
    <n v="-0.94879999999999853"/>
    <s v="15-21 days"/>
  </r>
  <r>
    <s v="87e6d238ad592953e24297fc8e144e1f"/>
    <x v="8"/>
    <d v="2017-12-03T00:00:00"/>
    <d v="2017-12-20T00:00:00"/>
    <d v="2017-12-27T00:00:00"/>
    <s v="health_beauty"/>
    <n v="133.91999999999999"/>
    <n v="25.03"/>
    <s v="voucher"/>
    <n v="5"/>
    <s v="delivered"/>
    <d v="2017-12-01T00:00:00"/>
    <n v="17"/>
    <n v="0"/>
    <n v="1"/>
    <n v="158.94999999999999"/>
    <n v="77.673599999999993"/>
    <n v="15.018000000000001"/>
    <n v="41.228399999999993"/>
    <s v="15-21 days"/>
  </r>
  <r>
    <s v="04273eced1213c1bd8fc0b1eed1cf073"/>
    <x v="9"/>
    <d v="2017-12-03T00:00:00"/>
    <d v="2017-12-15T00:00:00"/>
    <d v="2017-12-30T00:00:00"/>
    <s v="housewares"/>
    <n v="108.96"/>
    <n v="29.26"/>
    <s v="debit_card"/>
    <n v="3"/>
    <s v="delivered"/>
    <d v="2017-12-01T00:00:00"/>
    <n v="12"/>
    <n v="0"/>
    <n v="1"/>
    <n v="138.22"/>
    <n v="68.644800000000004"/>
    <n v="17.556000000000001"/>
    <n v="22.759199999999989"/>
    <s v="8-14 days"/>
  </r>
  <r>
    <s v="5ab858a095abe7ae3d9290f06cf7dc55"/>
    <x v="0"/>
    <d v="2017-12-03T00:00:00"/>
    <d v="2017-12-09T00:00:00"/>
    <d v="2017-12-18T00:00:00"/>
    <s v="housewares"/>
    <n v="73.819999999999993"/>
    <n v="13.46"/>
    <s v="credit_card"/>
    <n v="4"/>
    <s v="delivered"/>
    <d v="2017-12-01T00:00:00"/>
    <n v="6"/>
    <n v="0"/>
    <n v="1"/>
    <n v="87.28"/>
    <n v="46.506599999999999"/>
    <n v="8.0760000000000005"/>
    <n v="19.237399999999994"/>
    <s v="0-7 days"/>
  </r>
  <r>
    <s v="6e7ec1b28deb04141e2d5c821c33eea2"/>
    <x v="0"/>
    <d v="2017-12-03T00:00:00"/>
    <d v="2017-12-20T00:00:00"/>
    <d v="2017-12-18T00:00:00"/>
    <s v="toys"/>
    <n v="71.459999999999994"/>
    <n v="12.91"/>
    <s v="credit_card"/>
    <n v="2"/>
    <s v="delivered"/>
    <d v="2017-12-01T00:00:00"/>
    <n v="17"/>
    <n v="2"/>
    <n v="0"/>
    <n v="84.36999999999999"/>
    <n v="42.875999999999998"/>
    <n v="7.7459999999999996"/>
    <n v="20.837999999999997"/>
    <s v="15-21 days"/>
  </r>
  <r>
    <s v="4a1a7c2e7aededf46f302743020e2e6a"/>
    <x v="8"/>
    <d v="2017-12-04T00:00:00"/>
    <d v="2017-12-14T00:00:00"/>
    <d v="2017-12-30T00:00:00"/>
    <s v="bed_bath_table"/>
    <n v="139.91"/>
    <n v="26.28"/>
    <s v="credit_card"/>
    <n v="5"/>
    <s v="delivered"/>
    <d v="2017-12-01T00:00:00"/>
    <n v="10"/>
    <n v="0"/>
    <n v="1"/>
    <n v="166.19"/>
    <n v="86.744199999999992"/>
    <n v="15.768000000000001"/>
    <n v="37.397800000000004"/>
    <s v="8-14 days"/>
  </r>
  <r>
    <s v="3fa916f9eeb1ecb97008f9e0c28c36b8"/>
    <x v="0"/>
    <d v="2017-12-04T00:00:00"/>
    <d v="2017-12-10T00:00:00"/>
    <d v="2017-12-22T00:00:00"/>
    <s v="furniture_decor"/>
    <n v="185.3"/>
    <n v="23.92"/>
    <s v="credit_card"/>
    <n v="5"/>
    <s v="delivered"/>
    <d v="2017-12-01T00:00:00"/>
    <n v="6"/>
    <n v="0"/>
    <n v="1"/>
    <n v="209.22000000000003"/>
    <n v="129.71"/>
    <n v="14.352"/>
    <n v="41.238"/>
    <s v="0-7 days"/>
  </r>
  <r>
    <s v="c2afaa5f019108800f5a1a7cfe4db9ea"/>
    <x v="4"/>
    <d v="2017-12-04T00:00:00"/>
    <d v="2017-12-12T00:00:00"/>
    <d v="2017-12-25T00:00:00"/>
    <s v="toys"/>
    <n v="24.36"/>
    <n v="23.44"/>
    <s v="boleto"/>
    <n v="5"/>
    <s v="delivered"/>
    <d v="2017-12-01T00:00:00"/>
    <n v="8"/>
    <n v="0"/>
    <n v="1"/>
    <n v="47.8"/>
    <n v="14.616"/>
    <n v="14.064"/>
    <n v="-4.32"/>
    <s v="8-14 days"/>
  </r>
  <r>
    <s v="d7deaa33738d21e8c0a007018acfbadc"/>
    <x v="4"/>
    <d v="2017-12-04T00:00:00"/>
    <d v="2017-12-13T00:00:00"/>
    <d v="2017-12-27T00:00:00"/>
    <s v="health_beauty"/>
    <n v="72.349999999999994"/>
    <n v="20.7"/>
    <s v="credit_card"/>
    <n v="4"/>
    <s v="delivered"/>
    <d v="2017-12-01T00:00:00"/>
    <n v="9"/>
    <n v="0"/>
    <n v="1"/>
    <n v="93.05"/>
    <n v="41.962999999999994"/>
    <n v="12.42"/>
    <n v="17.966999999999999"/>
    <s v="8-14 days"/>
  </r>
  <r>
    <s v="bb822a1351936ec1e69f4f215b385a6a"/>
    <x v="0"/>
    <d v="2017-12-04T00:00:00"/>
    <d v="2017-12-08T00:00:00"/>
    <d v="2017-12-18T00:00:00"/>
    <s v="bed_bath_table"/>
    <n v="67.069999999999993"/>
    <n v="16.239999999999998"/>
    <s v="credit_card"/>
    <n v="4"/>
    <s v="delivered"/>
    <d v="2017-12-01T00:00:00"/>
    <n v="4"/>
    <n v="0"/>
    <n v="1"/>
    <n v="83.309999999999988"/>
    <n v="41.583399999999997"/>
    <n v="9.743999999999998"/>
    <n v="15.742599999999998"/>
    <s v="0-7 days"/>
  </r>
  <r>
    <s v="2e5b80a157a25d1c24e1d1d903f10ab7"/>
    <x v="0"/>
    <d v="2017-12-05T00:00:00"/>
    <d v="2017-12-24T00:00:00"/>
    <d v="2017-12-19T00:00:00"/>
    <s v="toys"/>
    <n v="57.47"/>
    <n v="18.45"/>
    <s v="credit_card"/>
    <n v="4"/>
    <s v="delivered"/>
    <d v="2017-12-01T00:00:00"/>
    <n v="19"/>
    <n v="5"/>
    <n v="0"/>
    <n v="75.92"/>
    <n v="34.481999999999999"/>
    <n v="11.069999999999999"/>
    <n v="11.918000000000001"/>
    <s v="15-21 days"/>
  </r>
  <r>
    <s v="9677593ecdd118d00ddc0d6e7fa7f07d"/>
    <x v="7"/>
    <d v="2017-12-05T00:00:00"/>
    <d v="2017-12-16T00:00:00"/>
    <d v="2017-12-27T00:00:00"/>
    <s v="watches_gifts"/>
    <n v="152.34"/>
    <n v="25.6"/>
    <s v="voucher"/>
    <n v="5"/>
    <s v="delivered"/>
    <d v="2017-12-01T00:00:00"/>
    <n v="11"/>
    <n v="0"/>
    <n v="1"/>
    <n v="177.94"/>
    <n v="100.54440000000001"/>
    <n v="15.36"/>
    <n v="36.435599999999994"/>
    <s v="8-14 days"/>
  </r>
  <r>
    <s v="dd7edcf9fbf0bc30da6173ed594a4f2e"/>
    <x v="0"/>
    <d v="2017-12-06T00:00:00"/>
    <d v="2017-12-15T00:00:00"/>
    <d v="2017-12-18T00:00:00"/>
    <s v="bed_bath_table"/>
    <n v="28.83"/>
    <n v="16.54"/>
    <s v="boleto"/>
    <n v="4"/>
    <s v="delivered"/>
    <d v="2017-12-01T00:00:00"/>
    <n v="9"/>
    <n v="0"/>
    <n v="1"/>
    <n v="45.37"/>
    <n v="17.874599999999997"/>
    <n v="9.9239999999999995"/>
    <n v="1.0314000000000014"/>
    <s v="8-14 days"/>
  </r>
  <r>
    <s v="c0e3befd4c71e0fe5a0cdd7cf1578470"/>
    <x v="3"/>
    <d v="2017-12-07T00:00:00"/>
    <d v="2017-12-28T00:00:00"/>
    <d v="2018-01-01T00:00:00"/>
    <s v="bed_bath_table"/>
    <n v="158.08000000000001"/>
    <n v="24.87"/>
    <s v="credit_card"/>
    <n v="2"/>
    <s v="delivered"/>
    <d v="2017-12-01T00:00:00"/>
    <n v="21"/>
    <n v="0"/>
    <n v="1"/>
    <n v="182.95000000000002"/>
    <n v="98.009600000000006"/>
    <n v="14.922000000000001"/>
    <n v="45.148400000000009"/>
    <s v="15-21 days"/>
  </r>
  <r>
    <s v="16509f14e5278ea2c80cd031cc214b4e"/>
    <x v="1"/>
    <d v="2017-12-07T00:00:00"/>
    <d v="2017-12-31T00:00:00"/>
    <d v="2017-12-29T00:00:00"/>
    <s v="bed_bath_table"/>
    <n v="118.78"/>
    <n v="28.52"/>
    <s v="credit_card"/>
    <n v="3"/>
    <s v="delivered"/>
    <d v="2017-12-01T00:00:00"/>
    <n v="24"/>
    <n v="2"/>
    <n v="0"/>
    <n v="147.30000000000001"/>
    <n v="73.643600000000006"/>
    <n v="17.111999999999998"/>
    <n v="28.024399999999996"/>
    <s v="22+ days"/>
  </r>
  <r>
    <s v="7b4bcaf86b4a3541f123167e596a2b36"/>
    <x v="3"/>
    <d v="2017-12-07T00:00:00"/>
    <d v="2017-12-24T00:00:00"/>
    <d v="2018-01-01T00:00:00"/>
    <s v="toys"/>
    <n v="40.96"/>
    <n v="17.940000000000001"/>
    <s v="credit_card"/>
    <n v="4"/>
    <s v="delivered"/>
    <d v="2017-12-01T00:00:00"/>
    <n v="17"/>
    <n v="0"/>
    <n v="1"/>
    <n v="58.900000000000006"/>
    <n v="24.576000000000001"/>
    <n v="10.764000000000001"/>
    <n v="5.6199999999999992"/>
    <s v="15-21 days"/>
  </r>
  <r>
    <s v="d10c798391237a9d4f77283d94dbaa54"/>
    <x v="2"/>
    <d v="2017-12-07T00:00:00"/>
    <d v="2017-12-16T00:00:00"/>
    <d v="2017-12-28T00:00:00"/>
    <s v="auto"/>
    <n v="88.71"/>
    <n v="19.170000000000002"/>
    <s v="credit_card"/>
    <n v="5"/>
    <s v="delivered"/>
    <d v="2017-12-01T00:00:00"/>
    <n v="9"/>
    <n v="0"/>
    <n v="1"/>
    <n v="107.88"/>
    <n v="60.322800000000001"/>
    <n v="11.502000000000001"/>
    <n v="16.88519999999999"/>
    <s v="8-14 days"/>
  </r>
  <r>
    <s v="bbe8793ef38b9f9eca8733db9a6b7a29"/>
    <x v="4"/>
    <d v="2017-12-07T00:00:00"/>
    <d v="2017-12-25T00:00:00"/>
    <d v="2018-01-01T00:00:00"/>
    <s v="auto"/>
    <n v="112.64"/>
    <n v="29.06"/>
    <s v="credit_card"/>
    <n v="4"/>
    <s v="delivered"/>
    <d v="2017-12-01T00:00:00"/>
    <n v="18"/>
    <n v="0"/>
    <n v="1"/>
    <n v="141.69999999999999"/>
    <n v="76.595200000000006"/>
    <n v="17.436"/>
    <n v="18.608799999999995"/>
    <s v="15-21 days"/>
  </r>
  <r>
    <s v="877409a977d21e02ff01cf99988c24c9"/>
    <x v="7"/>
    <d v="2017-12-08T00:00:00"/>
    <d v="2017-12-21T00:00:00"/>
    <d v="2017-12-31T00:00:00"/>
    <s v="health_beauty"/>
    <n v="155.26"/>
    <n v="23.46"/>
    <s v="credit_card"/>
    <n v="4"/>
    <s v="delivered"/>
    <d v="2017-12-01T00:00:00"/>
    <n v="13"/>
    <n v="0"/>
    <n v="1"/>
    <n v="178.72"/>
    <n v="90.050799999999995"/>
    <n v="14.076000000000001"/>
    <n v="51.133199999999995"/>
    <s v="8-14 days"/>
  </r>
  <r>
    <s v="d41bd8bf64b078a7a4f9a67f9dc3bbee"/>
    <x v="1"/>
    <d v="2017-12-08T00:00:00"/>
    <d v="2017-12-21T00:00:00"/>
    <d v="2017-12-28T00:00:00"/>
    <s v="computers_accessories"/>
    <n v="106.13"/>
    <n v="21.6"/>
    <s v="credit_card"/>
    <n v="5"/>
    <s v="delivered"/>
    <d v="2017-12-01T00:00:00"/>
    <n v="13"/>
    <n v="0"/>
    <n v="1"/>
    <n v="127.72999999999999"/>
    <n v="78.536199999999994"/>
    <n v="12.96"/>
    <n v="14.633800000000001"/>
    <s v="8-14 days"/>
  </r>
  <r>
    <s v="8e36d254d01dc98b7c7519b75fbc8473"/>
    <x v="0"/>
    <d v="2017-12-08T00:00:00"/>
    <d v="2017-12-13T00:00:00"/>
    <d v="2017-12-23T00:00:00"/>
    <s v="health_beauty"/>
    <n v="34.32"/>
    <n v="11.36"/>
    <s v="boleto"/>
    <n v="5"/>
    <s v="delivered"/>
    <d v="2017-12-01T00:00:00"/>
    <n v="5"/>
    <n v="0"/>
    <n v="1"/>
    <n v="45.68"/>
    <n v="19.9056"/>
    <n v="6.8159999999999998"/>
    <n v="7.5984000000000007"/>
    <s v="0-7 days"/>
  </r>
  <r>
    <s v="75912faf2a6e5a4c47aadc66c1b9f9a5"/>
    <x v="0"/>
    <d v="2017-12-08T00:00:00"/>
    <d v="2017-12-17T00:00:00"/>
    <d v="2017-12-25T00:00:00"/>
    <s v="watches_gifts"/>
    <n v="110.9"/>
    <n v="20.239999999999998"/>
    <s v="credit_card"/>
    <n v="4"/>
    <s v="delivered"/>
    <d v="2017-12-01T00:00:00"/>
    <n v="9"/>
    <n v="0"/>
    <n v="1"/>
    <n v="131.14000000000001"/>
    <n v="73.194000000000003"/>
    <n v="12.143999999999998"/>
    <n v="25.562000000000005"/>
    <s v="8-14 days"/>
  </r>
  <r>
    <s v="ab48cfb7c9cf9646b8011c296c03c1b1"/>
    <x v="0"/>
    <d v="2017-12-08T00:00:00"/>
    <d v="2017-12-16T00:00:00"/>
    <d v="2017-12-24T00:00:00"/>
    <s v="auto"/>
    <n v="74.75"/>
    <n v="18.34"/>
    <s v="credit_card"/>
    <n v="5"/>
    <s v="delivered"/>
    <d v="2017-12-01T00:00:00"/>
    <n v="8"/>
    <n v="0"/>
    <n v="1"/>
    <n v="93.09"/>
    <n v="50.830000000000005"/>
    <n v="11.004"/>
    <n v="12.915999999999995"/>
    <s v="8-14 days"/>
  </r>
  <r>
    <s v="a981b098b2cf952da7f333b3f7baf55e"/>
    <x v="3"/>
    <d v="2017-12-09T00:00:00"/>
    <d v="2018-01-01T00:00:00"/>
    <d v="2018-01-06T00:00:00"/>
    <s v="sports_leisure"/>
    <n v="90.7"/>
    <n v="21.66"/>
    <s v="credit_card"/>
    <n v="3"/>
    <s v="delivered"/>
    <d v="2017-12-01T00:00:00"/>
    <n v="23"/>
    <n v="0"/>
    <n v="1"/>
    <n v="112.36"/>
    <n v="58.048000000000002"/>
    <n v="12.996"/>
    <n v="19.655999999999999"/>
    <s v="22+ days"/>
  </r>
  <r>
    <s v="69b4119444d18524cf0e1567882d7fc1"/>
    <x v="0"/>
    <d v="2017-12-09T00:00:00"/>
    <d v="2017-12-13T00:00:00"/>
    <d v="2017-12-21T00:00:00"/>
    <s v="computers_accessories"/>
    <n v="141.36000000000001"/>
    <n v="20.14"/>
    <s v="credit_card"/>
    <n v="4"/>
    <s v="delivered"/>
    <d v="2017-12-01T00:00:00"/>
    <n v="4"/>
    <n v="0"/>
    <n v="1"/>
    <n v="161.5"/>
    <n v="104.60640000000001"/>
    <n v="12.084"/>
    <n v="24.669600000000006"/>
    <s v="0-7 days"/>
  </r>
  <r>
    <s v="b5502e2b4bde7d883867f62dda3bce8e"/>
    <x v="1"/>
    <d v="2017-12-09T00:00:00"/>
    <d v="2017-12-22T00:00:00"/>
    <d v="2018-01-03T00:00:00"/>
    <s v="furniture_decor"/>
    <n v="112.87"/>
    <n v="19.88"/>
    <s v="credit_card"/>
    <n v="5"/>
    <s v="delivered"/>
    <d v="2017-12-01T00:00:00"/>
    <n v="13"/>
    <n v="0"/>
    <n v="1"/>
    <n v="132.75"/>
    <n v="79.009"/>
    <n v="11.927999999999999"/>
    <n v="21.933000000000007"/>
    <s v="8-14 days"/>
  </r>
  <r>
    <s v="3914dce2b08307e1a9b7f1f520fed1f3"/>
    <x v="0"/>
    <d v="2017-12-09T00:00:00"/>
    <d v="2017-12-20T00:00:00"/>
    <d v="2017-12-25T00:00:00"/>
    <s v="bed_bath_table"/>
    <n v="89.08"/>
    <n v="20.34"/>
    <s v="credit_card"/>
    <n v="4"/>
    <s v="delivered"/>
    <d v="2017-12-01T00:00:00"/>
    <n v="11"/>
    <n v="0"/>
    <n v="1"/>
    <n v="109.42"/>
    <n v="55.229599999999998"/>
    <n v="12.203999999999999"/>
    <n v="21.6464"/>
    <s v="8-14 days"/>
  </r>
  <r>
    <s v="4674a2f56818f77ea15c6648d355441e"/>
    <x v="9"/>
    <d v="2017-12-09T00:00:00"/>
    <d v="2017-12-23T00:00:00"/>
    <d v="2018-01-03T00:00:00"/>
    <s v="computers_accessories"/>
    <n v="244.67"/>
    <n v="33.229999999999997"/>
    <s v="credit_card"/>
    <n v="4"/>
    <s v="delivered"/>
    <d v="2017-12-01T00:00:00"/>
    <n v="14"/>
    <n v="0"/>
    <n v="1"/>
    <n v="277.89999999999998"/>
    <n v="181.05579999999998"/>
    <n v="19.937999999999999"/>
    <n v="43.676200000000009"/>
    <s v="8-14 days"/>
  </r>
  <r>
    <s v="4e0270220cc6f6d16d66392cac05ad5c"/>
    <x v="0"/>
    <d v="2017-12-09T00:00:00"/>
    <d v="2017-12-13T00:00:00"/>
    <d v="2017-12-21T00:00:00"/>
    <s v="bed_bath_table"/>
    <n v="122.36"/>
    <n v="13.76"/>
    <s v="credit_card"/>
    <n v="4"/>
    <s v="delivered"/>
    <d v="2017-12-01T00:00:00"/>
    <n v="4"/>
    <n v="0"/>
    <n v="1"/>
    <n v="136.12"/>
    <n v="75.863200000000006"/>
    <n v="8.2560000000000002"/>
    <n v="38.240799999999993"/>
    <s v="0-7 days"/>
  </r>
  <r>
    <s v="a45a2d29ce87cc55178ebbc2b0bcb6e5"/>
    <x v="4"/>
    <d v="2017-12-09T00:00:00"/>
    <d v="2017-12-25T00:00:00"/>
    <d v="2017-12-28T00:00:00"/>
    <s v="housewares"/>
    <n v="92.31"/>
    <n v="28.22"/>
    <s v="boleto"/>
    <n v="5"/>
    <s v="delivered"/>
    <d v="2017-12-01T00:00:00"/>
    <n v="16"/>
    <n v="0"/>
    <n v="1"/>
    <n v="120.53"/>
    <n v="58.155300000000004"/>
    <n v="16.931999999999999"/>
    <n v="17.2227"/>
    <s v="15-21 days"/>
  </r>
  <r>
    <s v="4d16f04944d7df9a238b05b72b64777c"/>
    <x v="0"/>
    <d v="2017-12-10T00:00:00"/>
    <d v="2017-12-16T00:00:00"/>
    <d v="2017-12-25T00:00:00"/>
    <s v="auto"/>
    <n v="59.93"/>
    <n v="18.89"/>
    <s v="credit_card"/>
    <n v="4"/>
    <s v="delivered"/>
    <d v="2017-12-01T00:00:00"/>
    <n v="6"/>
    <n v="0"/>
    <n v="1"/>
    <n v="78.819999999999993"/>
    <n v="40.752400000000002"/>
    <n v="11.334"/>
    <n v="7.8435999999999986"/>
    <s v="0-7 days"/>
  </r>
  <r>
    <s v="e60d7a94b483d162b043a39a4f1a84cb"/>
    <x v="4"/>
    <d v="2017-12-10T00:00:00"/>
    <d v="2017-12-28T00:00:00"/>
    <d v="2017-12-29T00:00:00"/>
    <s v="bed_bath_table"/>
    <n v="85.11"/>
    <n v="27.78"/>
    <s v="credit_card"/>
    <n v="4"/>
    <s v="delivered"/>
    <d v="2017-12-01T00:00:00"/>
    <n v="18"/>
    <n v="0"/>
    <n v="1"/>
    <n v="112.89"/>
    <n v="52.7682"/>
    <n v="16.667999999999999"/>
    <n v="15.6738"/>
    <s v="15-21 days"/>
  </r>
  <r>
    <s v="9f8d367d6cfaf2ddee28dccd9abbe46b"/>
    <x v="0"/>
    <d v="2017-12-10T00:00:00"/>
    <d v="2017-12-18T00:00:00"/>
    <d v="2017-12-26T00:00:00"/>
    <s v="computers_accessories"/>
    <n v="95.02"/>
    <n v="20.68"/>
    <s v="credit_card"/>
    <n v="5"/>
    <s v="delivered"/>
    <d v="2017-12-01T00:00:00"/>
    <n v="8"/>
    <n v="0"/>
    <n v="1"/>
    <n v="115.69999999999999"/>
    <n v="70.314799999999991"/>
    <n v="12.407999999999999"/>
    <n v="12.297200000000005"/>
    <s v="8-14 days"/>
  </r>
  <r>
    <s v="84f612df5f0a74fbb6e7d214f3b5f7d7"/>
    <x v="3"/>
    <d v="2017-12-10T00:00:00"/>
    <d v="2017-12-22T00:00:00"/>
    <d v="2018-01-05T00:00:00"/>
    <s v="health_beauty"/>
    <n v="39.97"/>
    <n v="27.3"/>
    <s v="credit_card"/>
    <n v="4"/>
    <s v="delivered"/>
    <d v="2017-12-01T00:00:00"/>
    <n v="12"/>
    <n v="0"/>
    <n v="1"/>
    <n v="67.27"/>
    <n v="23.182599999999997"/>
    <n v="16.38"/>
    <n v="0.40740000000000265"/>
    <s v="8-14 days"/>
  </r>
  <r>
    <s v="08699c3c1c666748999eff31387e1146"/>
    <x v="2"/>
    <d v="2017-12-10T00:00:00"/>
    <d v="2017-12-26T00:00:00"/>
    <d v="2017-12-29T00:00:00"/>
    <s v="bed_bath_table"/>
    <n v="118.79"/>
    <n v="21.14"/>
    <s v="credit_card"/>
    <n v="5"/>
    <s v="delivered"/>
    <d v="2017-12-01T00:00:00"/>
    <n v="16"/>
    <n v="0"/>
    <n v="1"/>
    <n v="139.93"/>
    <n v="73.649799999999999"/>
    <n v="12.683999999999999"/>
    <n v="32.45620000000001"/>
    <s v="15-21 days"/>
  </r>
  <r>
    <s v="9682d9ff910c4cb725f06b0a264ef59d"/>
    <x v="0"/>
    <d v="2017-12-11T00:00:00"/>
    <d v="2017-12-24T00:00:00"/>
    <d v="2017-12-27T00:00:00"/>
    <s v="watches_gifts"/>
    <n v="216.7"/>
    <n v="16.02"/>
    <s v="credit_card"/>
    <n v="4"/>
    <s v="delivered"/>
    <d v="2017-12-01T00:00:00"/>
    <n v="13"/>
    <n v="0"/>
    <n v="1"/>
    <n v="232.72"/>
    <n v="143.02199999999999"/>
    <n v="9.6120000000000001"/>
    <n v="64.066000000000003"/>
    <s v="8-14 days"/>
  </r>
  <r>
    <s v="0adbc4ffe0b55615d3b6ef1b74f76d09"/>
    <x v="2"/>
    <d v="2017-12-11T00:00:00"/>
    <d v="2017-12-16T00:00:00"/>
    <d v="2018-01-02T00:00:00"/>
    <s v="computers_accessories"/>
    <n v="147.76"/>
    <n v="20.04"/>
    <s v="boleto"/>
    <n v="4"/>
    <s v="delivered"/>
    <d v="2017-12-01T00:00:00"/>
    <n v="5"/>
    <n v="0"/>
    <n v="1"/>
    <n v="167.79999999999998"/>
    <n v="109.3424"/>
    <n v="12.023999999999999"/>
    <n v="26.393599999999992"/>
    <s v="0-7 days"/>
  </r>
  <r>
    <s v="5e7e2813a9673fe17fcee629ea8e55a5"/>
    <x v="0"/>
    <d v="2017-12-11T00:00:00"/>
    <d v="2017-12-21T00:00:00"/>
    <d v="2017-12-28T00:00:00"/>
    <s v="health_beauty"/>
    <n v="129"/>
    <n v="14.17"/>
    <s v="voucher"/>
    <n v="5"/>
    <s v="delivered"/>
    <d v="2017-12-01T00:00:00"/>
    <n v="10"/>
    <n v="0"/>
    <n v="1"/>
    <n v="143.16999999999999"/>
    <n v="74.819999999999993"/>
    <n v="8.5019999999999989"/>
    <n v="45.678000000000011"/>
    <s v="8-14 days"/>
  </r>
  <r>
    <s v="48e80f7958eba4621976a39a507a61a9"/>
    <x v="8"/>
    <d v="2017-12-11T00:00:00"/>
    <d v="2017-12-21T00:00:00"/>
    <d v="2018-01-04T00:00:00"/>
    <s v="auto"/>
    <n v="99.93"/>
    <n v="29.63"/>
    <s v="credit_card"/>
    <n v="4"/>
    <s v="delivered"/>
    <d v="2017-12-01T00:00:00"/>
    <n v="10"/>
    <n v="0"/>
    <n v="1"/>
    <n v="129.56"/>
    <n v="67.952400000000011"/>
    <n v="17.777999999999999"/>
    <n v="14.199599999999997"/>
    <s v="8-14 days"/>
  </r>
  <r>
    <s v="3c33499fc4916b7f2d9be5429bc81ea5"/>
    <x v="9"/>
    <d v="2017-12-11T00:00:00"/>
    <d v="2017-12-30T00:00:00"/>
    <d v="2018-01-04T00:00:00"/>
    <s v="furniture_decor"/>
    <n v="189.4"/>
    <n v="23.46"/>
    <s v="credit_card"/>
    <n v="4"/>
    <s v="delivered"/>
    <d v="2017-12-01T00:00:00"/>
    <n v="19"/>
    <n v="0"/>
    <n v="1"/>
    <n v="212.86"/>
    <n v="132.57999999999998"/>
    <n v="14.076000000000001"/>
    <n v="42.744000000000021"/>
    <s v="15-21 days"/>
  </r>
  <r>
    <s v="105a4d407f2632df21c20510b6b2b13c"/>
    <x v="4"/>
    <d v="2017-12-11T00:00:00"/>
    <d v="2017-12-27T00:00:00"/>
    <d v="2017-12-31T00:00:00"/>
    <s v="housewares"/>
    <n v="28.75"/>
    <n v="24.69"/>
    <s v="boleto"/>
    <n v="4"/>
    <s v="delivered"/>
    <d v="2017-12-01T00:00:00"/>
    <n v="16"/>
    <n v="0"/>
    <n v="1"/>
    <n v="53.44"/>
    <n v="18.112500000000001"/>
    <n v="14.814"/>
    <n v="-4.1765000000000008"/>
    <s v="15-21 days"/>
  </r>
  <r>
    <s v="a0909a10fb0f79e518f67e0cbd2898b0"/>
    <x v="0"/>
    <d v="2017-12-11T00:00:00"/>
    <d v="2017-12-16T00:00:00"/>
    <d v="2017-12-27T00:00:00"/>
    <s v="bed_bath_table"/>
    <n v="126.3"/>
    <n v="14.75"/>
    <s v="credit_card"/>
    <n v="5"/>
    <s v="delivered"/>
    <d v="2017-12-01T00:00:00"/>
    <n v="5"/>
    <n v="0"/>
    <n v="1"/>
    <n v="141.05000000000001"/>
    <n v="78.305999999999997"/>
    <n v="8.85"/>
    <n v="39.143999999999998"/>
    <s v="0-7 days"/>
  </r>
  <r>
    <s v="6963acba77bd8a1854d3e54dc2335b06"/>
    <x v="0"/>
    <d v="2017-12-11T00:00:00"/>
    <d v="2017-12-18T00:00:00"/>
    <d v="2017-12-27T00:00:00"/>
    <s v="watches_gifts"/>
    <n v="213.04"/>
    <n v="22.2"/>
    <s v="voucher"/>
    <n v="5"/>
    <s v="delivered"/>
    <d v="2017-12-01T00:00:00"/>
    <n v="7"/>
    <n v="0"/>
    <n v="1"/>
    <n v="235.23999999999998"/>
    <n v="140.60640000000001"/>
    <n v="13.319999999999999"/>
    <n v="59.113599999999984"/>
    <s v="0-7 days"/>
  </r>
  <r>
    <s v="8fe069b6eedaa8024568f42689e03e22"/>
    <x v="7"/>
    <d v="2017-12-12T00:00:00"/>
    <d v="2017-12-23T00:00:00"/>
    <d v="2018-01-02T00:00:00"/>
    <s v="furniture_decor"/>
    <n v="80"/>
    <n v="19.27"/>
    <s v="credit_card"/>
    <n v="4"/>
    <s v="delivered"/>
    <d v="2017-12-01T00:00:00"/>
    <n v="11"/>
    <n v="0"/>
    <n v="1"/>
    <n v="99.27"/>
    <n v="56"/>
    <n v="11.561999999999999"/>
    <n v="12.438000000000001"/>
    <s v="8-14 days"/>
  </r>
  <r>
    <s v="bcef40f800926d61368b7d6843c6b532"/>
    <x v="0"/>
    <d v="2017-12-12T00:00:00"/>
    <d v="2017-12-25T00:00:00"/>
    <d v="2017-12-26T00:00:00"/>
    <s v="housewares"/>
    <n v="118.57"/>
    <n v="17.940000000000001"/>
    <s v="credit_card"/>
    <n v="3"/>
    <s v="delivered"/>
    <d v="2017-12-01T00:00:00"/>
    <n v="13"/>
    <n v="0"/>
    <n v="1"/>
    <n v="136.51"/>
    <n v="74.699100000000001"/>
    <n v="10.764000000000001"/>
    <n v="33.106899999999989"/>
    <s v="8-14 days"/>
  </r>
  <r>
    <s v="19a12723287dff8e2b7418988673cf07"/>
    <x v="0"/>
    <d v="2017-12-12T00:00:00"/>
    <d v="2017-12-23T00:00:00"/>
    <d v="2017-12-26T00:00:00"/>
    <s v="sports_leisure"/>
    <n v="45.29"/>
    <n v="17.690000000000001"/>
    <s v="credit_card"/>
    <n v="5"/>
    <s v="delivered"/>
    <d v="2017-12-01T00:00:00"/>
    <n v="11"/>
    <n v="0"/>
    <n v="1"/>
    <n v="62.980000000000004"/>
    <n v="28.985600000000002"/>
    <n v="10.614000000000001"/>
    <n v="5.6903999999999968"/>
    <s v="8-14 days"/>
  </r>
  <r>
    <s v="b5abf66e0e7e481143eddd879131e5c3"/>
    <x v="0"/>
    <d v="2017-12-12T00:00:00"/>
    <d v="2017-12-20T00:00:00"/>
    <d v="2017-12-27T00:00:00"/>
    <s v="health_beauty"/>
    <n v="41.66"/>
    <n v="14.56"/>
    <s v="credit_card"/>
    <n v="5"/>
    <s v="delivered"/>
    <d v="2017-12-01T00:00:00"/>
    <n v="8"/>
    <n v="0"/>
    <n v="1"/>
    <n v="56.22"/>
    <n v="24.162799999999997"/>
    <n v="8.7360000000000007"/>
    <n v="8.7611999999999988"/>
    <s v="8-14 days"/>
  </r>
  <r>
    <s v="35783a449611116ba54bddbb7c56ea1b"/>
    <x v="3"/>
    <d v="2017-12-12T00:00:00"/>
    <d v="2017-12-30T00:00:00"/>
    <d v="2017-12-31T00:00:00"/>
    <s v="computers_accessories"/>
    <n v="69.78"/>
    <n v="20.73"/>
    <s v="credit_card"/>
    <n v="4"/>
    <s v="delivered"/>
    <d v="2017-12-01T00:00:00"/>
    <n v="18"/>
    <n v="0"/>
    <n v="1"/>
    <n v="90.51"/>
    <n v="51.6372"/>
    <n v="12.438000000000001"/>
    <n v="5.7048000000000005"/>
    <s v="15-21 days"/>
  </r>
  <r>
    <s v="ac651eb4d460f4be40ddcb1e784f515d"/>
    <x v="0"/>
    <d v="2017-12-12T00:00:00"/>
    <d v="2017-12-22T00:00:00"/>
    <d v="2017-12-27T00:00:00"/>
    <s v="furniture_decor"/>
    <n v="205.19"/>
    <n v="16.05"/>
    <s v="credit_card"/>
    <n v="5"/>
    <s v="delivered"/>
    <d v="2017-12-01T00:00:00"/>
    <n v="10"/>
    <n v="0"/>
    <n v="1"/>
    <n v="221.24"/>
    <n v="143.63299999999998"/>
    <n v="9.6300000000000008"/>
    <n v="51.927000000000014"/>
    <s v="8-14 days"/>
  </r>
  <r>
    <s v="f541a44e16ccb813263553ba4299b351"/>
    <x v="0"/>
    <d v="2017-12-13T00:00:00"/>
    <d v="2018-01-01T00:00:00"/>
    <d v="2017-12-30T00:00:00"/>
    <s v="watches_gifts"/>
    <n v="88.08"/>
    <n v="16.77"/>
    <s v="credit_card"/>
    <n v="3"/>
    <s v="delivered"/>
    <d v="2017-12-01T00:00:00"/>
    <n v="19"/>
    <n v="2"/>
    <n v="0"/>
    <n v="104.85"/>
    <n v="58.132800000000003"/>
    <n v="10.061999999999999"/>
    <n v="19.885199999999998"/>
    <s v="15-21 days"/>
  </r>
  <r>
    <s v="3025f0410aa86e33d4cd45a9870d8661"/>
    <x v="4"/>
    <d v="2017-12-13T00:00:00"/>
    <d v="2017-12-20T00:00:00"/>
    <d v="2018-01-01T00:00:00"/>
    <s v="auto"/>
    <n v="288.14999999999998"/>
    <n v="29.55"/>
    <s v="voucher"/>
    <n v="4"/>
    <s v="delivered"/>
    <d v="2017-12-01T00:00:00"/>
    <n v="7"/>
    <n v="0"/>
    <n v="1"/>
    <n v="317.7"/>
    <n v="195.94200000000001"/>
    <n v="17.73"/>
    <n v="74.477999999999966"/>
    <s v="0-7 days"/>
  </r>
  <r>
    <s v="4d4e0bd1cb33e3c6a62989b923cce3bb"/>
    <x v="4"/>
    <d v="2017-12-13T00:00:00"/>
    <d v="2017-12-25T00:00:00"/>
    <d v="2018-01-03T00:00:00"/>
    <s v="housewares"/>
    <n v="62.39"/>
    <n v="25.87"/>
    <s v="credit_card"/>
    <n v="5"/>
    <s v="delivered"/>
    <d v="2017-12-01T00:00:00"/>
    <n v="12"/>
    <n v="0"/>
    <n v="1"/>
    <n v="88.26"/>
    <n v="39.305700000000002"/>
    <n v="15.522"/>
    <n v="7.5622999999999987"/>
    <s v="8-14 days"/>
  </r>
  <r>
    <s v="1cbd0fb28dd15aebfbc7b2a5a368d7fa"/>
    <x v="4"/>
    <d v="2017-12-13T00:00:00"/>
    <d v="2017-12-30T00:00:00"/>
    <d v="2018-01-04T00:00:00"/>
    <s v="furniture_decor"/>
    <n v="120.15"/>
    <n v="16.43"/>
    <s v="credit_card"/>
    <n v="5"/>
    <s v="delivered"/>
    <d v="2017-12-01T00:00:00"/>
    <n v="17"/>
    <n v="0"/>
    <n v="1"/>
    <n v="136.58000000000001"/>
    <n v="84.105000000000004"/>
    <n v="9.8579999999999988"/>
    <n v="26.187000000000005"/>
    <s v="15-21 days"/>
  </r>
  <r>
    <s v="4b225d64fd3e1424782b76f41f9b41d4"/>
    <x v="0"/>
    <d v="2017-12-13T00:00:00"/>
    <d v="2017-12-27T00:00:00"/>
    <d v="2017-12-29T00:00:00"/>
    <s v="bed_bath_table"/>
    <n v="73.03"/>
    <n v="18.579999999999998"/>
    <s v="credit_card"/>
    <n v="4"/>
    <s v="delivered"/>
    <d v="2017-12-01T00:00:00"/>
    <n v="14"/>
    <n v="0"/>
    <n v="1"/>
    <n v="91.61"/>
    <n v="45.278599999999997"/>
    <n v="11.147999999999998"/>
    <n v="16.603400000000008"/>
    <s v="8-14 days"/>
  </r>
  <r>
    <s v="d3501f5bcb34dc5ee21eb19b2368d3c1"/>
    <x v="3"/>
    <d v="2017-12-14T00:00:00"/>
    <d v="2018-01-02T00:00:00"/>
    <d v="2018-01-10T00:00:00"/>
    <s v="housewares"/>
    <n v="63.23"/>
    <n v="16.95"/>
    <s v="credit_card"/>
    <n v="3"/>
    <s v="delivered"/>
    <d v="2017-12-01T00:00:00"/>
    <n v="19"/>
    <n v="0"/>
    <n v="1"/>
    <n v="80.179999999999993"/>
    <n v="39.834899999999998"/>
    <n v="10.17"/>
    <n v="13.225099999999999"/>
    <s v="15-21 days"/>
  </r>
  <r>
    <s v="19570f0cb0c2598c202e608cafde8320"/>
    <x v="0"/>
    <d v="2017-12-14T00:00:00"/>
    <d v="2017-12-23T00:00:00"/>
    <d v="2017-12-31T00:00:00"/>
    <s v="housewares"/>
    <n v="55.57"/>
    <n v="21.14"/>
    <s v="credit_card"/>
    <n v="5"/>
    <s v="delivered"/>
    <d v="2017-12-01T00:00:00"/>
    <n v="9"/>
    <n v="0"/>
    <n v="1"/>
    <n v="76.710000000000008"/>
    <n v="35.009100000000004"/>
    <n v="12.683999999999999"/>
    <n v="7.8768999999999973"/>
    <s v="8-14 days"/>
  </r>
  <r>
    <s v="ea163354a35fc9c1980495628972abbd"/>
    <x v="0"/>
    <d v="2017-12-15T00:00:00"/>
    <d v="2017-12-22T00:00:00"/>
    <d v="2018-01-02T00:00:00"/>
    <s v="computers_accessories"/>
    <n v="168.73"/>
    <n v="23.28"/>
    <s v="credit_card"/>
    <n v="4"/>
    <s v="delivered"/>
    <d v="2017-12-01T00:00:00"/>
    <n v="7"/>
    <n v="0"/>
    <n v="1"/>
    <n v="192.01"/>
    <n v="124.86019999999999"/>
    <n v="13.968"/>
    <n v="29.901799999999998"/>
    <s v="0-7 days"/>
  </r>
  <r>
    <s v="e545fcc626fa466b15733a738266557c"/>
    <x v="3"/>
    <d v="2017-12-15T00:00:00"/>
    <d v="2018-01-04T00:00:00"/>
    <d v="2018-01-09T00:00:00"/>
    <s v="watches_gifts"/>
    <n v="228.35"/>
    <n v="31.32"/>
    <s v="credit_card"/>
    <n v="3"/>
    <s v="delivered"/>
    <d v="2017-12-01T00:00:00"/>
    <n v="20"/>
    <n v="0"/>
    <n v="1"/>
    <n v="259.67"/>
    <n v="150.71100000000001"/>
    <n v="18.791999999999998"/>
    <n v="58.84699999999998"/>
    <s v="15-21 days"/>
  </r>
  <r>
    <s v="147cc606d7bf06363bb18ac9d78f9cf5"/>
    <x v="1"/>
    <d v="2017-12-15T00:00:00"/>
    <d v="2018-01-02T00:00:00"/>
    <d v="2018-01-06T00:00:00"/>
    <s v="health_beauty"/>
    <n v="153.1"/>
    <n v="25.95"/>
    <s v="credit_card"/>
    <n v="4"/>
    <s v="delivered"/>
    <d v="2017-12-01T00:00:00"/>
    <n v="18"/>
    <n v="0"/>
    <n v="1"/>
    <n v="179.04999999999998"/>
    <n v="88.797999999999988"/>
    <n v="15.569999999999999"/>
    <n v="48.732000000000006"/>
    <s v="15-21 days"/>
  </r>
  <r>
    <s v="de1d4653d1128bb8e7b2df91adbd2e33"/>
    <x v="3"/>
    <d v="2017-12-16T00:00:00"/>
    <d v="2018-01-07T00:00:00"/>
    <d v="2018-01-08T00:00:00"/>
    <s v="furniture_decor"/>
    <n v="88.64"/>
    <n v="25.46"/>
    <s v="credit_card"/>
    <n v="4"/>
    <s v="delivered"/>
    <d v="2017-12-01T00:00:00"/>
    <n v="22"/>
    <n v="0"/>
    <n v="1"/>
    <n v="114.1"/>
    <n v="62.047999999999995"/>
    <n v="15.276"/>
    <n v="11.316000000000006"/>
    <s v="22+ days"/>
  </r>
  <r>
    <s v="551a7dcd4f842010a48fc1f11be40ba9"/>
    <x v="3"/>
    <d v="2017-12-16T00:00:00"/>
    <d v="2018-01-12T00:00:00"/>
    <d v="2018-01-07T00:00:00"/>
    <s v="bed_bath_table"/>
    <n v="107.71"/>
    <n v="23.86"/>
    <s v="credit_card"/>
    <n v="3"/>
    <s v="delivered"/>
    <d v="2017-12-01T00:00:00"/>
    <n v="27"/>
    <n v="5"/>
    <n v="0"/>
    <n v="131.57"/>
    <n v="66.780199999999994"/>
    <n v="14.315999999999999"/>
    <n v="26.613800000000001"/>
    <s v="22+ days"/>
  </r>
  <r>
    <s v="d7021edd24940bbdb61ae1b04719c1a8"/>
    <x v="0"/>
    <d v="2017-12-16T00:00:00"/>
    <d v="2017-12-20T00:00:00"/>
    <d v="2017-12-31T00:00:00"/>
    <s v="computers_accessories"/>
    <n v="79.540000000000006"/>
    <n v="18.75"/>
    <s v="credit_card"/>
    <n v="5"/>
    <s v="delivered"/>
    <d v="2017-12-01T00:00:00"/>
    <n v="4"/>
    <n v="0"/>
    <n v="1"/>
    <n v="98.29"/>
    <n v="58.859600000000007"/>
    <n v="11.25"/>
    <n v="9.4303999999999988"/>
    <s v="0-7 days"/>
  </r>
  <r>
    <s v="939954133112585dfc753dd6db9a7707"/>
    <x v="2"/>
    <d v="2017-12-16T00:00:00"/>
    <d v="2017-12-31T00:00:00"/>
    <d v="2018-01-07T00:00:00"/>
    <s v="toys"/>
    <n v="42.06"/>
    <n v="23.76"/>
    <s v="credit_card"/>
    <n v="4"/>
    <s v="delivered"/>
    <d v="2017-12-01T00:00:00"/>
    <n v="15"/>
    <n v="0"/>
    <n v="1"/>
    <n v="65.820000000000007"/>
    <n v="25.236000000000001"/>
    <n v="14.256"/>
    <n v="2.5680000000000014"/>
    <s v="15-21 days"/>
  </r>
  <r>
    <s v="3c1e0ac4daf09b921da9c3c5c798c498"/>
    <x v="3"/>
    <d v="2017-12-17T00:00:00"/>
    <d v="2018-01-20T00:00:00"/>
    <d v="2018-01-11T00:00:00"/>
    <s v="furniture_decor"/>
    <n v="107.66"/>
    <n v="24.97"/>
    <s v="boleto"/>
    <n v="1"/>
    <s v="delivered"/>
    <d v="2017-12-01T00:00:00"/>
    <n v="34"/>
    <n v="9"/>
    <n v="0"/>
    <n v="132.63"/>
    <n v="75.361999999999995"/>
    <n v="14.981999999999999"/>
    <n v="17.316000000000003"/>
    <s v="22+ days"/>
  </r>
  <r>
    <s v="fdb1080f37d425bbd2e54b9efef9b10b"/>
    <x v="4"/>
    <d v="2017-12-17T00:00:00"/>
    <d v="2018-01-04T00:00:00"/>
    <d v="2018-01-07T00:00:00"/>
    <s v="furniture_decor"/>
    <n v="102.3"/>
    <n v="23.41"/>
    <s v="credit_card"/>
    <n v="2"/>
    <s v="delivered"/>
    <d v="2017-12-01T00:00:00"/>
    <n v="18"/>
    <n v="0"/>
    <n v="1"/>
    <n v="125.71"/>
    <n v="71.61"/>
    <n v="14.045999999999999"/>
    <n v="16.643999999999998"/>
    <s v="15-21 days"/>
  </r>
  <r>
    <s v="cdefeef209c39ca741b419ca1a2a3a8e"/>
    <x v="0"/>
    <d v="2017-12-17T00:00:00"/>
    <d v="2017-12-21T00:00:00"/>
    <d v="2018-01-03T00:00:00"/>
    <s v="toys"/>
    <n v="150.91999999999999"/>
    <n v="18.760000000000002"/>
    <s v="boleto"/>
    <n v="3"/>
    <s v="delivered"/>
    <d v="2017-12-01T00:00:00"/>
    <n v="4"/>
    <n v="0"/>
    <n v="1"/>
    <n v="169.67999999999998"/>
    <n v="90.551999999999992"/>
    <n v="11.256"/>
    <n v="49.111999999999995"/>
    <s v="0-7 days"/>
  </r>
  <r>
    <s v="a36076812bbba89d34fadee106969d48"/>
    <x v="0"/>
    <d v="2017-12-18T00:00:00"/>
    <d v="2017-12-28T00:00:00"/>
    <d v="2018-01-01T00:00:00"/>
    <s v="health_beauty"/>
    <n v="119.39"/>
    <n v="14.98"/>
    <s v="credit_card"/>
    <n v="5"/>
    <s v="delivered"/>
    <d v="2017-12-01T00:00:00"/>
    <n v="10"/>
    <n v="0"/>
    <n v="1"/>
    <n v="134.37"/>
    <n v="69.246200000000002"/>
    <n v="8.9879999999999995"/>
    <n v="41.155799999999999"/>
    <s v="8-14 days"/>
  </r>
  <r>
    <s v="a12b61ae121017873429ce3b89310697"/>
    <x v="2"/>
    <d v="2017-12-18T00:00:00"/>
    <d v="2017-12-30T00:00:00"/>
    <d v="2018-01-13T00:00:00"/>
    <s v="bed_bath_table"/>
    <n v="54.15"/>
    <n v="27.18"/>
    <s v="credit_card"/>
    <n v="4"/>
    <s v="delivered"/>
    <d v="2017-12-01T00:00:00"/>
    <n v="12"/>
    <n v="0"/>
    <n v="1"/>
    <n v="81.33"/>
    <n v="33.573"/>
    <n v="16.308"/>
    <n v="4.2689999999999984"/>
    <s v="8-14 days"/>
  </r>
  <r>
    <s v="97caeef5b8a4c19ff105c2d87acc7c3b"/>
    <x v="3"/>
    <d v="2017-12-18T00:00:00"/>
    <d v="2018-01-03T00:00:00"/>
    <d v="2018-01-12T00:00:00"/>
    <s v="toys"/>
    <n v="45.9"/>
    <n v="20.399999999999999"/>
    <s v="credit_card"/>
    <n v="5"/>
    <s v="delivered"/>
    <d v="2017-12-01T00:00:00"/>
    <n v="16"/>
    <n v="0"/>
    <n v="1"/>
    <n v="66.3"/>
    <n v="27.54"/>
    <n v="12.239999999999998"/>
    <n v="6.120000000000001"/>
    <s v="15-21 days"/>
  </r>
  <r>
    <s v="e9a84c51aac782acdce2ab067a15422e"/>
    <x v="8"/>
    <d v="2017-12-18T00:00:00"/>
    <d v="2018-01-03T00:00:00"/>
    <d v="2018-01-11T00:00:00"/>
    <s v="health_beauty"/>
    <n v="84.25"/>
    <n v="20.77"/>
    <s v="credit_card"/>
    <n v="5"/>
    <s v="delivered"/>
    <d v="2017-12-01T00:00:00"/>
    <n v="16"/>
    <n v="0"/>
    <n v="1"/>
    <n v="105.02"/>
    <n v="48.864999999999995"/>
    <n v="12.462"/>
    <n v="22.923000000000005"/>
    <s v="15-21 days"/>
  </r>
  <r>
    <s v="b85975b0806272a1313250472b22d9cd"/>
    <x v="10"/>
    <d v="2017-12-18T00:00:00"/>
    <d v="2018-01-13T00:00:00"/>
    <d v="2018-01-23T00:00:00"/>
    <s v="bed_bath_table"/>
    <n v="56.8"/>
    <n v="35.130000000000003"/>
    <s v="credit_card"/>
    <n v="4"/>
    <s v="delivered"/>
    <d v="2017-12-01T00:00:00"/>
    <n v="26"/>
    <n v="0"/>
    <n v="1"/>
    <n v="91.93"/>
    <n v="35.216000000000001"/>
    <n v="21.077999999999999"/>
    <n v="0.50599999999999667"/>
    <s v="22+ days"/>
  </r>
  <r>
    <s v="026b5383a301ec030e5d8c6a79db7862"/>
    <x v="0"/>
    <d v="2017-12-19T00:00:00"/>
    <d v="2017-12-24T00:00:00"/>
    <d v="2018-01-02T00:00:00"/>
    <s v="bed_bath_table"/>
    <n v="35.06"/>
    <n v="15.16"/>
    <s v="credit_card"/>
    <n v="5"/>
    <s v="delivered"/>
    <d v="2017-12-01T00:00:00"/>
    <n v="5"/>
    <n v="0"/>
    <n v="1"/>
    <n v="50.22"/>
    <n v="21.737200000000001"/>
    <n v="9.0960000000000001"/>
    <n v="4.2268000000000008"/>
    <s v="0-7 days"/>
  </r>
  <r>
    <s v="bca0258eb63d65d5505c7527dc57546d"/>
    <x v="3"/>
    <d v="2017-12-20T00:00:00"/>
    <d v="2018-01-15T00:00:00"/>
    <d v="2018-01-15T00:00:00"/>
    <s v="watches_gifts"/>
    <n v="190.75"/>
    <n v="28.83"/>
    <s v="voucher"/>
    <n v="4"/>
    <s v="delivered"/>
    <d v="2017-12-01T00:00:00"/>
    <n v="26"/>
    <n v="0"/>
    <n v="1"/>
    <n v="219.57999999999998"/>
    <n v="125.89500000000001"/>
    <n v="17.297999999999998"/>
    <n v="47.556999999999988"/>
    <s v="22+ days"/>
  </r>
  <r>
    <s v="31f090219b6fbe204b3a9a83628616f4"/>
    <x v="4"/>
    <d v="2017-12-20T00:00:00"/>
    <d v="2018-01-05T00:00:00"/>
    <d v="2018-01-14T00:00:00"/>
    <s v="furniture_decor"/>
    <n v="155.38"/>
    <n v="18.510000000000002"/>
    <s v="credit_card"/>
    <n v="4"/>
    <s v="delivered"/>
    <d v="2017-12-01T00:00:00"/>
    <n v="16"/>
    <n v="0"/>
    <n v="1"/>
    <n v="173.89"/>
    <n v="108.76599999999999"/>
    <n v="11.106"/>
    <n v="35.508000000000003"/>
    <s v="15-21 days"/>
  </r>
  <r>
    <s v="baff361ab37e3c411a6275f5cf590b8e"/>
    <x v="0"/>
    <d v="2017-12-20T00:00:00"/>
    <d v="2017-12-25T00:00:00"/>
    <d v="2018-01-04T00:00:00"/>
    <s v="toys"/>
    <n v="118.79"/>
    <n v="20.29"/>
    <s v="credit_card"/>
    <n v="5"/>
    <s v="delivered"/>
    <d v="2017-12-01T00:00:00"/>
    <n v="5"/>
    <n v="0"/>
    <n v="1"/>
    <n v="139.08000000000001"/>
    <n v="71.274000000000001"/>
    <n v="12.173999999999999"/>
    <n v="35.342000000000006"/>
    <s v="0-7 days"/>
  </r>
  <r>
    <s v="e00c04a33826ad580e98686d051852dc"/>
    <x v="8"/>
    <d v="2017-12-20T00:00:00"/>
    <d v="2018-01-05T00:00:00"/>
    <d v="2018-01-10T00:00:00"/>
    <s v="watches_gifts"/>
    <n v="165.91"/>
    <n v="28.83"/>
    <s v="credit_card"/>
    <n v="4"/>
    <s v="delivered"/>
    <d v="2017-12-01T00:00:00"/>
    <n v="16"/>
    <n v="0"/>
    <n v="1"/>
    <n v="194.74"/>
    <n v="109.50060000000001"/>
    <n v="17.297999999999998"/>
    <n v="39.111399999999989"/>
    <s v="15-21 days"/>
  </r>
  <r>
    <s v="7b0ea5cd1f1ed5a94994d0add26b24e9"/>
    <x v="0"/>
    <d v="2017-12-20T00:00:00"/>
    <d v="2018-01-01T00:00:00"/>
    <d v="2018-01-05T00:00:00"/>
    <s v="sports_leisure"/>
    <n v="148.30000000000001"/>
    <n v="23.8"/>
    <s v="credit_card"/>
    <n v="5"/>
    <s v="delivered"/>
    <d v="2017-12-01T00:00:00"/>
    <n v="12"/>
    <n v="0"/>
    <n v="1"/>
    <n v="172.10000000000002"/>
    <n v="94.912000000000006"/>
    <n v="14.28"/>
    <n v="39.108000000000004"/>
    <s v="8-14 days"/>
  </r>
  <r>
    <s v="9f04fdd0133727c0c533fd1e3f532270"/>
    <x v="3"/>
    <d v="2017-12-21T00:00:00"/>
    <d v="2018-01-25T00:00:00"/>
    <d v="2018-01-16T00:00:00"/>
    <s v="auto"/>
    <n v="106.2"/>
    <n v="28.78"/>
    <s v="credit_card"/>
    <n v="3"/>
    <s v="delivered"/>
    <d v="2017-12-01T00:00:00"/>
    <n v="35"/>
    <n v="9"/>
    <n v="0"/>
    <n v="134.98000000000002"/>
    <n v="72.216000000000008"/>
    <n v="17.268000000000001"/>
    <n v="16.715999999999994"/>
    <s v="22+ days"/>
  </r>
  <r>
    <s v="9865f96f99f8d29021abbbf24087550b"/>
    <x v="3"/>
    <d v="2017-12-21T00:00:00"/>
    <d v="2018-01-07T00:00:00"/>
    <d v="2018-01-12T00:00:00"/>
    <s v="bed_bath_table"/>
    <n v="49.92"/>
    <n v="29.66"/>
    <s v="voucher"/>
    <n v="5"/>
    <s v="delivered"/>
    <d v="2017-12-01T00:00:00"/>
    <n v="17"/>
    <n v="0"/>
    <n v="1"/>
    <n v="79.58"/>
    <n v="30.950400000000002"/>
    <n v="17.795999999999999"/>
    <n v="1.1736000000000004"/>
    <s v="15-21 days"/>
  </r>
  <r>
    <s v="224daafa4003d920aa05fbd528f8344e"/>
    <x v="2"/>
    <d v="2017-12-21T00:00:00"/>
    <d v="2018-01-02T00:00:00"/>
    <d v="2018-01-19T00:00:00"/>
    <s v="toys"/>
    <n v="299.79000000000002"/>
    <n v="31.2"/>
    <s v="boleto"/>
    <n v="5"/>
    <s v="delivered"/>
    <d v="2017-12-01T00:00:00"/>
    <n v="12"/>
    <n v="0"/>
    <n v="1"/>
    <n v="330.99"/>
    <n v="179.874"/>
    <n v="18.72"/>
    <n v="101.19600000000003"/>
    <s v="8-14 days"/>
  </r>
  <r>
    <s v="58f42098591cc524953b0f1fea3e072a"/>
    <x v="0"/>
    <d v="2017-12-22T00:00:00"/>
    <d v="2017-12-29T00:00:00"/>
    <d v="2018-01-03T00:00:00"/>
    <s v="bed_bath_table"/>
    <n v="42.93"/>
    <n v="20.07"/>
    <s v="voucher"/>
    <n v="4"/>
    <s v="delivered"/>
    <d v="2017-12-01T00:00:00"/>
    <n v="7"/>
    <n v="0"/>
    <n v="1"/>
    <n v="63"/>
    <n v="26.616599999999998"/>
    <n v="12.042"/>
    <n v="4.2714000000000016"/>
    <s v="0-7 days"/>
  </r>
  <r>
    <s v="d76ac5a808e945489b16acb8e7bd1db7"/>
    <x v="0"/>
    <d v="2017-12-22T00:00:00"/>
    <d v="2017-12-28T00:00:00"/>
    <d v="2018-01-07T00:00:00"/>
    <s v="furniture_decor"/>
    <n v="83.06"/>
    <n v="18.940000000000001"/>
    <s v="credit_card"/>
    <n v="4"/>
    <s v="delivered"/>
    <d v="2017-12-01T00:00:00"/>
    <n v="6"/>
    <n v="0"/>
    <n v="1"/>
    <n v="102"/>
    <n v="58.141999999999996"/>
    <n v="11.364000000000001"/>
    <n v="13.554000000000006"/>
    <s v="0-7 days"/>
  </r>
  <r>
    <s v="216920d1b78cbafcc1a8a33b6b77fe6e"/>
    <x v="0"/>
    <d v="2017-12-22T00:00:00"/>
    <d v="2017-12-29T00:00:00"/>
    <d v="2018-01-04T00:00:00"/>
    <s v="watches_gifts"/>
    <n v="133.81"/>
    <n v="15.72"/>
    <s v="credit_card"/>
    <n v="4"/>
    <s v="delivered"/>
    <d v="2017-12-01T00:00:00"/>
    <n v="7"/>
    <n v="0"/>
    <n v="1"/>
    <n v="149.53"/>
    <n v="88.314599999999999"/>
    <n v="9.4320000000000004"/>
    <n v="36.063400000000001"/>
    <s v="0-7 days"/>
  </r>
  <r>
    <s v="013319d168ec88eb60d2642ea670af0f"/>
    <x v="0"/>
    <d v="2017-12-22T00:00:00"/>
    <d v="2018-01-01T00:00:00"/>
    <d v="2018-01-09T00:00:00"/>
    <s v="furniture_decor"/>
    <n v="44.93"/>
    <n v="21.86"/>
    <s v="credit_card"/>
    <n v="3"/>
    <s v="delivered"/>
    <d v="2017-12-01T00:00:00"/>
    <n v="10"/>
    <n v="0"/>
    <n v="1"/>
    <n v="66.789999999999992"/>
    <n v="31.450999999999997"/>
    <n v="13.116"/>
    <n v="0.3630000000000031"/>
    <s v="8-14 days"/>
  </r>
  <r>
    <s v="cf89569de550d73607806e713811b519"/>
    <x v="0"/>
    <d v="2017-12-23T00:00:00"/>
    <d v="2017-12-30T00:00:00"/>
    <d v="2018-01-03T00:00:00"/>
    <s v="furniture_decor"/>
    <n v="87.5"/>
    <n v="15.6"/>
    <s v="boleto"/>
    <n v="5"/>
    <s v="delivered"/>
    <d v="2017-12-01T00:00:00"/>
    <n v="7"/>
    <n v="0"/>
    <n v="1"/>
    <n v="103.1"/>
    <n v="61.249999999999993"/>
    <n v="9.36"/>
    <n v="16.890000000000008"/>
    <s v="0-7 days"/>
  </r>
  <r>
    <s v="3eb0b8d1e3e7e32d323eab009fe70bb8"/>
    <x v="2"/>
    <d v="2017-12-23T00:00:00"/>
    <d v="2018-01-16T00:00:00"/>
    <d v="2018-01-14T00:00:00"/>
    <s v="auto"/>
    <n v="120.42"/>
    <n v="23.66"/>
    <s v="credit_card"/>
    <n v="2"/>
    <s v="delivered"/>
    <d v="2017-12-01T00:00:00"/>
    <n v="24"/>
    <n v="2"/>
    <n v="0"/>
    <n v="144.08000000000001"/>
    <n v="81.885600000000011"/>
    <n v="14.196"/>
    <n v="24.338399999999993"/>
    <s v="22+ days"/>
  </r>
  <r>
    <s v="4ccb8ee777ea8daafc46b0719adad16b"/>
    <x v="10"/>
    <d v="2017-12-23T00:00:00"/>
    <d v="2018-01-11T00:00:00"/>
    <d v="2018-01-26T00:00:00"/>
    <s v="sports_leisure"/>
    <n v="93.92"/>
    <n v="46.52"/>
    <s v="credit_card"/>
    <n v="3"/>
    <s v="delivered"/>
    <d v="2017-12-01T00:00:00"/>
    <n v="19"/>
    <n v="0"/>
    <n v="1"/>
    <n v="140.44"/>
    <n v="60.108800000000002"/>
    <n v="27.912000000000003"/>
    <n v="5.8991999999999969"/>
    <s v="15-21 days"/>
  </r>
  <r>
    <s v="02f5b56384c6c9e3ca318a9c3169f269"/>
    <x v="8"/>
    <d v="2017-12-23T00:00:00"/>
    <d v="2018-01-13T00:00:00"/>
    <d v="2018-01-15T00:00:00"/>
    <s v="toys"/>
    <n v="55.74"/>
    <n v="28.38"/>
    <s v="credit_card"/>
    <n v="4"/>
    <s v="delivered"/>
    <d v="2017-12-01T00:00:00"/>
    <n v="21"/>
    <n v="0"/>
    <n v="1"/>
    <n v="84.12"/>
    <n v="33.444000000000003"/>
    <n v="17.027999999999999"/>
    <n v="5.2680000000000007"/>
    <s v="15-21 days"/>
  </r>
  <r>
    <s v="1b49371038de44f1973d18559a039d06"/>
    <x v="0"/>
    <d v="2017-12-24T00:00:00"/>
    <d v="2018-01-02T00:00:00"/>
    <d v="2018-01-10T00:00:00"/>
    <s v="sports_leisure"/>
    <n v="206.77"/>
    <n v="20.09"/>
    <s v="credit_card"/>
    <n v="4"/>
    <s v="delivered"/>
    <d v="2017-12-01T00:00:00"/>
    <n v="9"/>
    <n v="0"/>
    <n v="1"/>
    <n v="226.86"/>
    <n v="132.33280000000002"/>
    <n v="12.054"/>
    <n v="62.383199999999988"/>
    <s v="8-14 days"/>
  </r>
  <r>
    <s v="3b1514908b949c8b5e38ff70fe602765"/>
    <x v="0"/>
    <d v="2017-12-24T00:00:00"/>
    <d v="2018-01-03T00:00:00"/>
    <d v="2018-01-09T00:00:00"/>
    <s v="bed_bath_table"/>
    <n v="166.72"/>
    <n v="15.92"/>
    <s v="boleto"/>
    <n v="4"/>
    <s v="delivered"/>
    <d v="2017-12-01T00:00:00"/>
    <n v="10"/>
    <n v="0"/>
    <n v="1"/>
    <n v="182.64"/>
    <n v="103.3664"/>
    <n v="9.5519999999999996"/>
    <n v="53.801600000000001"/>
    <s v="8-14 days"/>
  </r>
  <r>
    <s v="379ef4678a2db2e63bfda8a6705fddf5"/>
    <x v="1"/>
    <d v="2017-12-25T00:00:00"/>
    <d v="2018-01-04T00:00:00"/>
    <d v="2018-01-13T00:00:00"/>
    <s v="watches_gifts"/>
    <n v="264.63"/>
    <n v="19.91"/>
    <s v="boleto"/>
    <n v="4"/>
    <s v="delivered"/>
    <d v="2017-12-01T00:00:00"/>
    <n v="10"/>
    <n v="0"/>
    <n v="1"/>
    <n v="284.54000000000002"/>
    <n v="174.6558"/>
    <n v="11.946"/>
    <n v="78.028199999999998"/>
    <s v="8-14 days"/>
  </r>
  <r>
    <s v="8e2ac3ff3c5dba42cdd8af09451b6267"/>
    <x v="0"/>
    <d v="2017-12-25T00:00:00"/>
    <d v="2017-12-30T00:00:00"/>
    <d v="2018-01-09T00:00:00"/>
    <s v="bed_bath_table"/>
    <n v="80.87"/>
    <n v="13.17"/>
    <s v="credit_card"/>
    <n v="5"/>
    <s v="delivered"/>
    <d v="2017-12-01T00:00:00"/>
    <n v="5"/>
    <n v="0"/>
    <n v="1"/>
    <n v="94.04"/>
    <n v="50.139400000000002"/>
    <n v="7.9019999999999992"/>
    <n v="22.828600000000002"/>
    <s v="0-7 days"/>
  </r>
  <r>
    <s v="1c7bf8eb4969b2a10361b157b1fbb587"/>
    <x v="8"/>
    <d v="2017-12-25T00:00:00"/>
    <d v="2017-12-31T00:00:00"/>
    <d v="2018-01-17T00:00:00"/>
    <s v="health_beauty"/>
    <n v="78.989999999999995"/>
    <n v="27.77"/>
    <s v="credit_card"/>
    <n v="3"/>
    <s v="delivered"/>
    <d v="2017-12-01T00:00:00"/>
    <n v="6"/>
    <n v="0"/>
    <n v="1"/>
    <n v="106.75999999999999"/>
    <n v="45.814199999999992"/>
    <n v="16.661999999999999"/>
    <n v="16.513800000000003"/>
    <s v="0-7 days"/>
  </r>
  <r>
    <s v="6f54d2b9747a2ecddf48d6faba45e0ff"/>
    <x v="0"/>
    <d v="2017-12-25T00:00:00"/>
    <d v="2017-12-31T00:00:00"/>
    <d v="2018-01-10T00:00:00"/>
    <s v="toys"/>
    <n v="90.56"/>
    <n v="20.85"/>
    <s v="credit_card"/>
    <n v="5"/>
    <s v="delivered"/>
    <d v="2017-12-01T00:00:00"/>
    <n v="6"/>
    <n v="0"/>
    <n v="1"/>
    <n v="111.41"/>
    <n v="54.335999999999999"/>
    <n v="12.51"/>
    <n v="23.714000000000006"/>
    <s v="0-7 days"/>
  </r>
  <r>
    <s v="07fcb800da4954080011be30e268d92f"/>
    <x v="3"/>
    <d v="2017-12-25T00:00:00"/>
    <d v="2018-01-04T00:00:00"/>
    <d v="2018-01-17T00:00:00"/>
    <s v="auto"/>
    <n v="143.35"/>
    <n v="26.63"/>
    <s v="credit_card"/>
    <n v="4"/>
    <s v="delivered"/>
    <d v="2017-12-01T00:00:00"/>
    <n v="10"/>
    <n v="0"/>
    <n v="1"/>
    <n v="169.98"/>
    <n v="97.478000000000009"/>
    <n v="15.977999999999998"/>
    <n v="29.893999999999988"/>
    <s v="8-14 days"/>
  </r>
  <r>
    <s v="a1d60cf18a95e0d84794c44dab583656"/>
    <x v="4"/>
    <d v="2017-12-25T00:00:00"/>
    <d v="2018-01-05T00:00:00"/>
    <d v="2018-01-14T00:00:00"/>
    <s v="furniture_decor"/>
    <n v="75.03"/>
    <n v="25.87"/>
    <s v="credit_card"/>
    <n v="5"/>
    <s v="delivered"/>
    <d v="2017-12-01T00:00:00"/>
    <n v="11"/>
    <n v="0"/>
    <n v="1"/>
    <n v="100.9"/>
    <n v="52.521000000000001"/>
    <n v="15.522"/>
    <n v="6.9870000000000001"/>
    <s v="8-14 days"/>
  </r>
  <r>
    <s v="6f35fae2c0821f39577ae5a180b6068f"/>
    <x v="9"/>
    <d v="2017-12-25T00:00:00"/>
    <d v="2018-01-19T00:00:00"/>
    <d v="2018-01-17T00:00:00"/>
    <s v="bed_bath_table"/>
    <n v="146.19999999999999"/>
    <n v="22.4"/>
    <s v="boleto"/>
    <n v="3"/>
    <s v="delivered"/>
    <d v="2017-12-01T00:00:00"/>
    <n v="25"/>
    <n v="2"/>
    <n v="0"/>
    <n v="168.6"/>
    <n v="90.643999999999991"/>
    <n v="13.44"/>
    <n v="42.116"/>
    <s v="22+ days"/>
  </r>
  <r>
    <s v="d6f34114292ff954c863453a9786eef2"/>
    <x v="5"/>
    <d v="2017-12-25T00:00:00"/>
    <d v="2018-01-13T00:00:00"/>
    <d v="2018-01-16T00:00:00"/>
    <s v="housewares"/>
    <n v="53.62"/>
    <n v="23.88"/>
    <s v="credit_card"/>
    <n v="4"/>
    <s v="delivered"/>
    <d v="2017-12-01T00:00:00"/>
    <n v="19"/>
    <n v="0"/>
    <n v="1"/>
    <n v="77.5"/>
    <n v="33.7806"/>
    <n v="14.327999999999999"/>
    <n v="5.5113999999999983"/>
    <s v="15-21 days"/>
  </r>
  <r>
    <s v="5684b61efdebd7e047e3265250942b90"/>
    <x v="10"/>
    <d v="2017-12-25T00:00:00"/>
    <d v="2018-01-09T00:00:00"/>
    <d v="2018-01-30T00:00:00"/>
    <s v="health_beauty"/>
    <n v="281.66000000000003"/>
    <n v="43.33"/>
    <s v="boleto"/>
    <n v="4"/>
    <s v="delivered"/>
    <d v="2017-12-01T00:00:00"/>
    <n v="15"/>
    <n v="0"/>
    <n v="1"/>
    <n v="324.99"/>
    <n v="163.36279999999999"/>
    <n v="25.997999999999998"/>
    <n v="92.299200000000042"/>
    <s v="15-21 days"/>
  </r>
  <r>
    <s v="011deb990b2882a5c61c33975c6e7e01"/>
    <x v="0"/>
    <d v="2017-12-26T00:00:00"/>
    <d v="2017-12-31T00:00:00"/>
    <d v="2018-01-11T00:00:00"/>
    <s v="auto"/>
    <n v="102.02"/>
    <n v="21.71"/>
    <s v="credit_card"/>
    <n v="5"/>
    <s v="delivered"/>
    <d v="2017-12-01T00:00:00"/>
    <n v="5"/>
    <n v="0"/>
    <n v="1"/>
    <n v="123.72999999999999"/>
    <n v="69.373599999999996"/>
    <n v="13.026"/>
    <n v="19.6204"/>
    <s v="0-7 days"/>
  </r>
  <r>
    <s v="b42557ec800afc1e579d16cc88120589"/>
    <x v="4"/>
    <d v="2017-12-26T00:00:00"/>
    <d v="2018-01-03T00:00:00"/>
    <d v="2018-01-13T00:00:00"/>
    <s v="health_beauty"/>
    <n v="69.97"/>
    <n v="25.78"/>
    <s v="credit_card"/>
    <n v="5"/>
    <s v="delivered"/>
    <d v="2017-12-01T00:00:00"/>
    <n v="8"/>
    <n v="0"/>
    <n v="1"/>
    <n v="95.75"/>
    <n v="40.582599999999999"/>
    <n v="15.468"/>
    <n v="13.9194"/>
    <s v="8-14 days"/>
  </r>
  <r>
    <s v="e310ff72ad62d0944c4d6e4024e2226c"/>
    <x v="9"/>
    <d v="2017-12-27T00:00:00"/>
    <d v="2018-01-14T00:00:00"/>
    <d v="2018-01-19T00:00:00"/>
    <s v="sports_leisure"/>
    <n v="183.68"/>
    <n v="35.229999999999997"/>
    <s v="boleto"/>
    <n v="4"/>
    <s v="delivered"/>
    <d v="2017-12-01T00:00:00"/>
    <n v="18"/>
    <n v="0"/>
    <n v="1"/>
    <n v="218.91"/>
    <n v="117.55520000000001"/>
    <n v="21.137999999999998"/>
    <n v="44.986799999999995"/>
    <s v="15-21 days"/>
  </r>
  <r>
    <s v="c7ea7fd1ff4f38081a9d7acc44087701"/>
    <x v="3"/>
    <d v="2017-12-27T00:00:00"/>
    <d v="2018-01-08T00:00:00"/>
    <d v="2018-01-24T00:00:00"/>
    <s v="furniture_decor"/>
    <n v="101.55"/>
    <n v="23.11"/>
    <s v="boleto"/>
    <n v="5"/>
    <s v="delivered"/>
    <d v="2017-12-01T00:00:00"/>
    <n v="12"/>
    <n v="0"/>
    <n v="1"/>
    <n v="124.66"/>
    <n v="71.084999999999994"/>
    <n v="13.866"/>
    <n v="16.599000000000004"/>
    <s v="8-14 days"/>
  </r>
  <r>
    <s v="abfe1fb5a6c2b716f7bd77509a7650dd"/>
    <x v="0"/>
    <d v="2017-12-27T00:00:00"/>
    <d v="2018-01-01T00:00:00"/>
    <d v="2018-01-10T00:00:00"/>
    <s v="health_beauty"/>
    <n v="49.26"/>
    <n v="11.79"/>
    <s v="credit_card"/>
    <n v="5"/>
    <s v="delivered"/>
    <d v="2017-12-01T00:00:00"/>
    <n v="5"/>
    <n v="0"/>
    <n v="1"/>
    <n v="61.05"/>
    <n v="28.570799999999998"/>
    <n v="7.073999999999999"/>
    <n v="13.615200000000002"/>
    <s v="0-7 days"/>
  </r>
  <r>
    <s v="7a52e4f6865634e3da216cf7d897de9a"/>
    <x v="0"/>
    <d v="2017-12-27T00:00:00"/>
    <d v="2018-01-02T00:00:00"/>
    <d v="2018-01-07T00:00:00"/>
    <s v="sports_leisure"/>
    <n v="89.15"/>
    <n v="14.34"/>
    <s v="boleto"/>
    <n v="4"/>
    <s v="delivered"/>
    <d v="2017-12-01T00:00:00"/>
    <n v="6"/>
    <n v="0"/>
    <n v="1"/>
    <n v="103.49000000000001"/>
    <n v="57.056000000000004"/>
    <n v="8.6039999999999992"/>
    <n v="23.490000000000002"/>
    <s v="0-7 days"/>
  </r>
  <r>
    <s v="b21382b179b62e0121dfbdc3a9524bf2"/>
    <x v="0"/>
    <d v="2017-12-27T00:00:00"/>
    <d v="2018-01-06T00:00:00"/>
    <d v="2018-01-11T00:00:00"/>
    <s v="health_beauty"/>
    <n v="196.47"/>
    <n v="16.920000000000002"/>
    <s v="boleto"/>
    <n v="5"/>
    <s v="delivered"/>
    <d v="2017-12-01T00:00:00"/>
    <n v="10"/>
    <n v="0"/>
    <n v="1"/>
    <n v="213.39"/>
    <n v="113.95259999999999"/>
    <n v="10.152000000000001"/>
    <n v="72.365400000000008"/>
    <s v="8-14 days"/>
  </r>
  <r>
    <s v="19b17e80dea4ae1754fd9ad39716108e"/>
    <x v="0"/>
    <d v="2017-12-28T00:00:00"/>
    <d v="2018-01-11T00:00:00"/>
    <d v="2018-01-13T00:00:00"/>
    <s v="watches_gifts"/>
    <n v="147.74"/>
    <n v="18.73"/>
    <s v="boleto"/>
    <n v="4"/>
    <s v="delivered"/>
    <d v="2017-12-01T00:00:00"/>
    <n v="14"/>
    <n v="0"/>
    <n v="1"/>
    <n v="166.47"/>
    <n v="97.508400000000009"/>
    <n v="11.238"/>
    <n v="38.993600000000001"/>
    <s v="8-14 days"/>
  </r>
  <r>
    <s v="06a61b3dc86e0b55acffa99ff0058f9a"/>
    <x v="4"/>
    <d v="2017-12-28T00:00:00"/>
    <d v="2018-01-12T00:00:00"/>
    <d v="2018-01-20T00:00:00"/>
    <s v="housewares"/>
    <n v="179.5"/>
    <n v="22.34"/>
    <s v="credit_card"/>
    <n v="4"/>
    <s v="delivered"/>
    <d v="2017-12-01T00:00:00"/>
    <n v="15"/>
    <n v="0"/>
    <n v="1"/>
    <n v="201.84"/>
    <n v="113.08499999999999"/>
    <n v="13.404"/>
    <n v="53.01100000000001"/>
    <s v="15-21 days"/>
  </r>
  <r>
    <s v="3ad4f2040d0147b0d342b5872bba374c"/>
    <x v="0"/>
    <d v="2017-12-28T00:00:00"/>
    <d v="2018-01-05T00:00:00"/>
    <d v="2018-01-13T00:00:00"/>
    <s v="health_beauty"/>
    <n v="121.28"/>
    <n v="15.58"/>
    <s v="boleto"/>
    <n v="5"/>
    <s v="delivered"/>
    <d v="2017-12-01T00:00:00"/>
    <n v="8"/>
    <n v="0"/>
    <n v="1"/>
    <n v="136.86000000000001"/>
    <n v="70.342399999999998"/>
    <n v="9.347999999999999"/>
    <n v="41.589600000000004"/>
    <s v="8-14 days"/>
  </r>
  <r>
    <s v="462741ec08ac784fca10b49968028b3b"/>
    <x v="7"/>
    <d v="2017-12-30T00:00:00"/>
    <d v="2018-01-10T00:00:00"/>
    <d v="2018-01-22T00:00:00"/>
    <s v="health_beauty"/>
    <n v="284.68"/>
    <n v="31.66"/>
    <s v="boleto"/>
    <n v="4"/>
    <s v="delivered"/>
    <d v="2017-12-01T00:00:00"/>
    <n v="11"/>
    <n v="0"/>
    <n v="1"/>
    <n v="316.34000000000003"/>
    <n v="165.11439999999999"/>
    <n v="18.995999999999999"/>
    <n v="100.56960000000002"/>
    <s v="8-14 days"/>
  </r>
  <r>
    <s v="41365c29c881464bc3585cfbc75fa0cf"/>
    <x v="10"/>
    <d v="2017-12-30T00:00:00"/>
    <d v="2018-01-15T00:00:00"/>
    <d v="2018-02-02T00:00:00"/>
    <s v="housewares"/>
    <n v="73.790000000000006"/>
    <n v="38"/>
    <s v="credit_card"/>
    <n v="5"/>
    <s v="delivered"/>
    <d v="2017-12-01T00:00:00"/>
    <n v="16"/>
    <n v="0"/>
    <n v="1"/>
    <n v="111.79"/>
    <n v="46.487700000000004"/>
    <n v="22.8"/>
    <n v="4.5023000000000017"/>
    <s v="15-21 days"/>
  </r>
  <r>
    <s v="2b621afd502d58d99d46df4155c65dc2"/>
    <x v="0"/>
    <d v="2017-12-30T00:00:00"/>
    <d v="2018-01-05T00:00:00"/>
    <d v="2018-01-16T00:00:00"/>
    <s v="health_beauty"/>
    <n v="68.61"/>
    <n v="20.25"/>
    <s v="credit_card"/>
    <n v="4"/>
    <s v="delivered"/>
    <d v="2017-12-01T00:00:00"/>
    <n v="6"/>
    <n v="0"/>
    <n v="1"/>
    <n v="88.86"/>
    <n v="39.793799999999997"/>
    <n v="12.15"/>
    <n v="16.666200000000003"/>
    <s v="0-7 days"/>
  </r>
  <r>
    <s v="14493be43e1707b10b61783d27741bc2"/>
    <x v="4"/>
    <d v="2017-12-30T00:00:00"/>
    <d v="2018-01-15T00:00:00"/>
    <d v="2018-01-19T00:00:00"/>
    <s v="toys"/>
    <n v="179.12"/>
    <n v="18.09"/>
    <s v="credit_card"/>
    <n v="5"/>
    <s v="delivered"/>
    <d v="2017-12-01T00:00:00"/>
    <n v="16"/>
    <n v="0"/>
    <n v="1"/>
    <n v="197.21"/>
    <n v="107.47199999999999"/>
    <n v="10.853999999999999"/>
    <n v="60.794000000000011"/>
    <s v="15-21 days"/>
  </r>
  <r>
    <s v="7f53a88e4efc8248e10b1a477faeb748"/>
    <x v="6"/>
    <d v="2017-12-31T00:00:00"/>
    <d v="2018-01-25T00:00:00"/>
    <d v="2018-01-28T00:00:00"/>
    <s v="sports_leisure"/>
    <n v="140.26"/>
    <n v="33.549999999999997"/>
    <s v="credit_card"/>
    <n v="5"/>
    <s v="delivered"/>
    <d v="2017-12-01T00:00:00"/>
    <n v="25"/>
    <n v="0"/>
    <n v="1"/>
    <n v="173.81"/>
    <n v="89.76639999999999"/>
    <n v="20.13"/>
    <n v="30.363600000000002"/>
    <s v="22+ days"/>
  </r>
  <r>
    <s v="d65bc676429e70e0eaaa94c8a097efe3"/>
    <x v="9"/>
    <d v="2017-12-31T00:00:00"/>
    <d v="2018-01-15T00:00:00"/>
    <d v="2018-01-27T00:00:00"/>
    <s v="furniture_decor"/>
    <n v="194.46"/>
    <n v="33.56"/>
    <s v="credit_card"/>
    <n v="5"/>
    <s v="delivered"/>
    <d v="2017-12-01T00:00:00"/>
    <n v="15"/>
    <n v="0"/>
    <n v="1"/>
    <n v="228.02"/>
    <n v="136.12199999999999"/>
    <n v="20.135999999999999"/>
    <n v="38.202000000000027"/>
    <s v="15-21 days"/>
  </r>
  <r>
    <s v="5f9c11f0d5221c404b77cf1c418495a4"/>
    <x v="1"/>
    <d v="2017-12-31T00:00:00"/>
    <d v="2018-01-10T00:00:00"/>
    <d v="2018-01-22T00:00:00"/>
    <s v="health_beauty"/>
    <n v="132.96"/>
    <n v="25.93"/>
    <s v="credit_card"/>
    <n v="5"/>
    <s v="delivered"/>
    <d v="2017-12-01T00:00:00"/>
    <n v="10"/>
    <n v="0"/>
    <n v="1"/>
    <n v="158.89000000000001"/>
    <n v="77.116799999999998"/>
    <n v="15.558"/>
    <n v="40.28520000000001"/>
    <s v="8-14 days"/>
  </r>
  <r>
    <s v="cbbf77ab66ca9c9c2bffd2bff3dda144"/>
    <x v="0"/>
    <d v="2017-12-31T00:00:00"/>
    <d v="2018-01-06T00:00:00"/>
    <d v="2018-01-15T00:00:00"/>
    <s v="computers_accessories"/>
    <n v="98.32"/>
    <n v="21.65"/>
    <s v="credit_card"/>
    <n v="5"/>
    <s v="delivered"/>
    <d v="2017-12-01T00:00:00"/>
    <n v="6"/>
    <n v="0"/>
    <n v="1"/>
    <n v="119.97"/>
    <n v="72.756799999999998"/>
    <n v="12.989999999999998"/>
    <n v="12.573199999999996"/>
    <s v="0-7 days"/>
  </r>
  <r>
    <s v="47d0e6eec96c209079e76f99f8f79639"/>
    <x v="4"/>
    <d v="2018-01-01T00:00:00"/>
    <d v="2018-01-12T00:00:00"/>
    <d v="2018-01-22T00:00:00"/>
    <s v="health_beauty"/>
    <n v="128.91"/>
    <n v="29.4"/>
    <s v="credit_card"/>
    <n v="5"/>
    <s v="delivered"/>
    <d v="2018-01-01T00:00:00"/>
    <n v="11"/>
    <n v="0"/>
    <n v="1"/>
    <n v="158.31"/>
    <n v="74.767799999999994"/>
    <n v="17.639999999999997"/>
    <n v="36.502200000000002"/>
    <s v="8-14 days"/>
  </r>
  <r>
    <s v="7d2e11bd1708f96ef1762fbdc37114e3"/>
    <x v="1"/>
    <d v="2018-01-01T00:00:00"/>
    <d v="2018-01-08T00:00:00"/>
    <d v="2018-01-22T00:00:00"/>
    <s v="furniture_decor"/>
    <n v="117.9"/>
    <n v="21.94"/>
    <s v="credit_card"/>
    <n v="3"/>
    <s v="delivered"/>
    <d v="2018-01-01T00:00:00"/>
    <n v="7"/>
    <n v="0"/>
    <n v="1"/>
    <n v="139.84"/>
    <n v="82.53"/>
    <n v="13.164"/>
    <n v="22.206000000000003"/>
    <s v="0-7 days"/>
  </r>
  <r>
    <s v="c07c5f323e5fe7f59252a62033a83451"/>
    <x v="0"/>
    <d v="2018-01-01T00:00:00"/>
    <d v="2018-01-10T00:00:00"/>
    <d v="2018-01-18T00:00:00"/>
    <s v="bed_bath_table"/>
    <n v="88.18"/>
    <n v="13.03"/>
    <s v="credit_card"/>
    <n v="4"/>
    <s v="delivered"/>
    <d v="2018-01-01T00:00:00"/>
    <n v="9"/>
    <n v="0"/>
    <n v="1"/>
    <n v="101.21000000000001"/>
    <n v="54.671600000000005"/>
    <n v="7.8179999999999996"/>
    <n v="25.690400000000004"/>
    <s v="8-14 days"/>
  </r>
  <r>
    <s v="ed10891ff0546821170bdd1495e7b610"/>
    <x v="8"/>
    <d v="2018-01-01T00:00:00"/>
    <d v="2018-02-03T00:00:00"/>
    <d v="2018-01-25T00:00:00"/>
    <s v="health_beauty"/>
    <n v="140.94"/>
    <n v="26.29"/>
    <s v="credit_card"/>
    <n v="2"/>
    <s v="delivered"/>
    <d v="2018-01-01T00:00:00"/>
    <n v="33"/>
    <n v="9"/>
    <n v="0"/>
    <n v="167.23"/>
    <n v="81.745199999999997"/>
    <n v="15.773999999999999"/>
    <n v="43.4208"/>
    <s v="22+ days"/>
  </r>
  <r>
    <s v="f4644b99980afee92e65e66bcfb16cfd"/>
    <x v="3"/>
    <d v="2018-01-01T00:00:00"/>
    <d v="2018-01-18T00:00:00"/>
    <d v="2018-01-23T00:00:00"/>
    <s v="watches_gifts"/>
    <n v="244.51"/>
    <n v="21.41"/>
    <s v="credit_card"/>
    <n v="4"/>
    <s v="delivered"/>
    <d v="2018-01-01T00:00:00"/>
    <n v="17"/>
    <n v="0"/>
    <n v="1"/>
    <n v="265.92"/>
    <n v="161.3766"/>
    <n v="12.846"/>
    <n v="70.287399999999991"/>
    <s v="15-21 days"/>
  </r>
  <r>
    <s v="7c16128db2c08394e17f29e170286046"/>
    <x v="6"/>
    <d v="2018-01-02T00:00:00"/>
    <d v="2018-01-16T00:00:00"/>
    <d v="2018-02-01T00:00:00"/>
    <s v="housewares"/>
    <n v="37.65"/>
    <n v="39.880000000000003"/>
    <s v="credit_card"/>
    <n v="3"/>
    <s v="delivered"/>
    <d v="2018-01-01T00:00:00"/>
    <n v="14"/>
    <n v="0"/>
    <n v="1"/>
    <n v="77.53"/>
    <n v="23.7195"/>
    <n v="23.928000000000001"/>
    <n v="-9.9975000000000023"/>
    <s v="8-14 days"/>
  </r>
  <r>
    <s v="be98703f50261309a830b0bad43d347d"/>
    <x v="0"/>
    <d v="2018-01-02T00:00:00"/>
    <d v="2018-01-09T00:00:00"/>
    <d v="2018-01-20T00:00:00"/>
    <s v="computers_accessories"/>
    <n v="31.52"/>
    <n v="12.07"/>
    <s v="credit_card"/>
    <n v="3"/>
    <s v="delivered"/>
    <d v="2018-01-01T00:00:00"/>
    <n v="7"/>
    <n v="0"/>
    <n v="1"/>
    <n v="43.59"/>
    <n v="23.3248"/>
    <n v="7.242"/>
    <n v="0.95319999999999983"/>
    <s v="0-7 days"/>
  </r>
  <r>
    <s v="020978dcb8116c2677489b6b97f3d71d"/>
    <x v="0"/>
    <d v="2018-01-03T00:00:00"/>
    <d v="2018-01-07T00:00:00"/>
    <d v="2018-01-18T00:00:00"/>
    <s v="watches_gifts"/>
    <n v="106.76"/>
    <n v="19.93"/>
    <s v="credit_card"/>
    <n v="4"/>
    <s v="delivered"/>
    <d v="2018-01-01T00:00:00"/>
    <n v="4"/>
    <n v="0"/>
    <n v="1"/>
    <n v="126.69"/>
    <n v="70.461600000000004"/>
    <n v="11.958"/>
    <n v="24.340400000000002"/>
    <s v="0-7 days"/>
  </r>
  <r>
    <s v="b67333e08ceb424f1eca85b31c7378e6"/>
    <x v="1"/>
    <d v="2018-01-04T00:00:00"/>
    <d v="2018-01-18T00:00:00"/>
    <d v="2018-01-24T00:00:00"/>
    <s v="sports_leisure"/>
    <n v="63.88"/>
    <n v="21.68"/>
    <s v="credit_card"/>
    <n v="4"/>
    <s v="delivered"/>
    <d v="2018-01-01T00:00:00"/>
    <n v="14"/>
    <n v="0"/>
    <n v="1"/>
    <n v="85.56"/>
    <n v="40.883200000000002"/>
    <n v="13.007999999999999"/>
    <n v="9.9888000000000012"/>
    <s v="8-14 days"/>
  </r>
  <r>
    <s v="4de69711a9718b56b489593eebf8e648"/>
    <x v="0"/>
    <d v="2018-01-04T00:00:00"/>
    <d v="2018-01-13T00:00:00"/>
    <d v="2018-01-20T00:00:00"/>
    <s v="bed_bath_table"/>
    <n v="78.83"/>
    <n v="17.95"/>
    <s v="credit_card"/>
    <n v="4"/>
    <s v="delivered"/>
    <d v="2018-01-01T00:00:00"/>
    <n v="9"/>
    <n v="0"/>
    <n v="1"/>
    <n v="96.78"/>
    <n v="48.874600000000001"/>
    <n v="10.77"/>
    <n v="19.185399999999998"/>
    <s v="8-14 days"/>
  </r>
  <r>
    <s v="e8e23a61107175c2cf13ee0c56f8ad8d"/>
    <x v="10"/>
    <d v="2018-01-04T00:00:00"/>
    <d v="2018-01-28T00:00:00"/>
    <d v="2018-02-06T00:00:00"/>
    <s v="computers_accessories"/>
    <n v="148.72"/>
    <n v="44.14"/>
    <s v="credit_card"/>
    <n v="4"/>
    <s v="delivered"/>
    <d v="2018-01-01T00:00:00"/>
    <n v="24"/>
    <n v="0"/>
    <n v="1"/>
    <n v="192.86"/>
    <n v="110.0528"/>
    <n v="26.483999999999998"/>
    <n v="12.183199999999996"/>
    <s v="22+ days"/>
  </r>
  <r>
    <s v="895bf8a9b1b9585a432da027a8c5792a"/>
    <x v="0"/>
    <d v="2018-01-04T00:00:00"/>
    <d v="2018-01-14T00:00:00"/>
    <d v="2018-01-22T00:00:00"/>
    <s v="computers_accessories"/>
    <n v="56.57"/>
    <n v="20.23"/>
    <s v="credit_card"/>
    <n v="3"/>
    <s v="delivered"/>
    <d v="2018-01-01T00:00:00"/>
    <n v="10"/>
    <n v="0"/>
    <n v="1"/>
    <n v="76.8"/>
    <n v="41.861800000000002"/>
    <n v="12.138"/>
    <n v="2.570199999999998"/>
    <s v="8-14 days"/>
  </r>
  <r>
    <s v="4ffc1c545b0a31ea9dc6d7837222534d"/>
    <x v="0"/>
    <d v="2018-01-05T00:00:00"/>
    <d v="2018-01-10T00:00:00"/>
    <d v="2018-01-22T00:00:00"/>
    <s v="watches_gifts"/>
    <n v="401.97"/>
    <n v="25.79"/>
    <s v="credit_card"/>
    <n v="5"/>
    <s v="delivered"/>
    <d v="2018-01-01T00:00:00"/>
    <n v="5"/>
    <n v="0"/>
    <n v="1"/>
    <n v="427.76000000000005"/>
    <n v="265.30020000000002"/>
    <n v="15.473999999999998"/>
    <n v="121.19580000000001"/>
    <s v="0-7 days"/>
  </r>
  <r>
    <s v="9950385808cac260b3f5a21cd3e78237"/>
    <x v="3"/>
    <d v="2018-01-05T00:00:00"/>
    <d v="2018-01-25T00:00:00"/>
    <d v="2018-01-30T00:00:00"/>
    <s v="bed_bath_table"/>
    <n v="30.22"/>
    <n v="27.79"/>
    <s v="credit_card"/>
    <n v="5"/>
    <s v="delivered"/>
    <d v="2018-01-01T00:00:00"/>
    <n v="20"/>
    <n v="0"/>
    <n v="1"/>
    <n v="58.01"/>
    <n v="18.7364"/>
    <n v="16.673999999999999"/>
    <n v="-5.1904000000000003"/>
    <s v="15-21 days"/>
  </r>
  <r>
    <s v="b21eafabf64909e81e032a652346f26d"/>
    <x v="0"/>
    <d v="2018-01-05T00:00:00"/>
    <d v="2018-01-09T00:00:00"/>
    <d v="2018-01-23T00:00:00"/>
    <s v="health_beauty"/>
    <n v="19.86"/>
    <n v="11.48"/>
    <s v="credit_card"/>
    <n v="4"/>
    <s v="delivered"/>
    <d v="2018-01-01T00:00:00"/>
    <n v="4"/>
    <n v="0"/>
    <n v="1"/>
    <n v="31.34"/>
    <n v="11.518799999999999"/>
    <n v="6.8879999999999999"/>
    <n v="1.4532000000000007"/>
    <s v="0-7 days"/>
  </r>
  <r>
    <s v="472678ac7eaef4528eba2e783b162773"/>
    <x v="0"/>
    <d v="2018-01-05T00:00:00"/>
    <d v="2018-01-11T00:00:00"/>
    <d v="2018-01-19T00:00:00"/>
    <s v="sports_leisure"/>
    <n v="80.27"/>
    <n v="13.81"/>
    <s v="credit_card"/>
    <n v="5"/>
    <s v="delivered"/>
    <d v="2018-01-01T00:00:00"/>
    <n v="6"/>
    <n v="0"/>
    <n v="1"/>
    <n v="94.08"/>
    <n v="51.372799999999998"/>
    <n v="8.2859999999999996"/>
    <n v="20.611199999999997"/>
    <s v="0-7 days"/>
  </r>
  <r>
    <s v="b8427379d888dcb61ccc33c17e347f69"/>
    <x v="0"/>
    <d v="2018-01-06T00:00:00"/>
    <d v="2018-01-16T00:00:00"/>
    <d v="2018-01-26T00:00:00"/>
    <s v="bed_bath_table"/>
    <n v="46.28"/>
    <n v="16.52"/>
    <s v="boleto"/>
    <n v="4"/>
    <s v="delivered"/>
    <d v="2018-01-01T00:00:00"/>
    <n v="10"/>
    <n v="0"/>
    <n v="1"/>
    <n v="62.8"/>
    <n v="28.6936"/>
    <n v="9.911999999999999"/>
    <n v="7.6744000000000021"/>
    <s v="8-14 days"/>
  </r>
  <r>
    <s v="6f9254fd12e184cef3276dbb5605dfb3"/>
    <x v="1"/>
    <d v="2018-01-06T00:00:00"/>
    <d v="2018-01-12T00:00:00"/>
    <d v="2018-01-30T00:00:00"/>
    <s v="health_beauty"/>
    <n v="130.46"/>
    <n v="25.27"/>
    <s v="boleto"/>
    <n v="5"/>
    <s v="delivered"/>
    <d v="2018-01-01T00:00:00"/>
    <n v="6"/>
    <n v="0"/>
    <n v="1"/>
    <n v="155.73000000000002"/>
    <n v="75.666799999999995"/>
    <n v="15.161999999999999"/>
    <n v="39.631200000000014"/>
    <s v="0-7 days"/>
  </r>
  <r>
    <s v="284e4cd4f9c3ee050012d399a7af5545"/>
    <x v="4"/>
    <d v="2018-01-07T00:00:00"/>
    <d v="2018-01-19T00:00:00"/>
    <d v="2018-01-28T00:00:00"/>
    <s v="watches_gifts"/>
    <n v="196.79"/>
    <n v="22.97"/>
    <s v="credit_card"/>
    <n v="4"/>
    <s v="delivered"/>
    <d v="2018-01-01T00:00:00"/>
    <n v="12"/>
    <n v="0"/>
    <n v="1"/>
    <n v="219.76"/>
    <n v="129.88140000000001"/>
    <n v="13.781999999999998"/>
    <n v="53.126599999999982"/>
    <s v="8-14 days"/>
  </r>
  <r>
    <s v="953922c05ea0942c3f91c419e846a9df"/>
    <x v="0"/>
    <d v="2018-01-07T00:00:00"/>
    <d v="2018-01-12T00:00:00"/>
    <d v="2018-01-21T00:00:00"/>
    <s v="bed_bath_table"/>
    <n v="56.36"/>
    <n v="18.11"/>
    <s v="credit_card"/>
    <n v="5"/>
    <s v="delivered"/>
    <d v="2018-01-01T00:00:00"/>
    <n v="5"/>
    <n v="0"/>
    <n v="1"/>
    <n v="74.47"/>
    <n v="34.943199999999997"/>
    <n v="10.866"/>
    <n v="10.550800000000002"/>
    <s v="0-7 days"/>
  </r>
  <r>
    <s v="db9bc56e2080293caac5e8a325679f2a"/>
    <x v="0"/>
    <d v="2018-01-07T00:00:00"/>
    <d v="2018-01-12T00:00:00"/>
    <d v="2018-01-21T00:00:00"/>
    <s v="sports_leisure"/>
    <n v="118.45"/>
    <n v="21.31"/>
    <s v="credit_card"/>
    <n v="5"/>
    <s v="delivered"/>
    <d v="2018-01-01T00:00:00"/>
    <n v="5"/>
    <n v="0"/>
    <n v="1"/>
    <n v="139.76"/>
    <n v="75.808000000000007"/>
    <n v="12.786"/>
    <n v="29.855999999999995"/>
    <s v="0-7 days"/>
  </r>
  <r>
    <s v="d2296fceddf1b853e7a83acba006b58f"/>
    <x v="4"/>
    <d v="2018-01-07T00:00:00"/>
    <d v="2018-01-14T00:00:00"/>
    <d v="2018-01-27T00:00:00"/>
    <s v="sports_leisure"/>
    <n v="76.73"/>
    <n v="24.91"/>
    <s v="credit_card"/>
    <n v="4"/>
    <s v="delivered"/>
    <d v="2018-01-01T00:00:00"/>
    <n v="7"/>
    <n v="0"/>
    <n v="1"/>
    <n v="101.64"/>
    <n v="49.107200000000006"/>
    <n v="14.946"/>
    <n v="12.676799999999998"/>
    <s v="0-7 days"/>
  </r>
  <r>
    <s v="5f62c1be68b6ec5bcbdae3ef089344bf"/>
    <x v="0"/>
    <d v="2018-01-07T00:00:00"/>
    <d v="2018-01-16T00:00:00"/>
    <d v="2018-01-22T00:00:00"/>
    <s v="bed_bath_table"/>
    <n v="118.94"/>
    <n v="15.8"/>
    <s v="credit_card"/>
    <n v="4"/>
    <s v="delivered"/>
    <d v="2018-01-01T00:00:00"/>
    <n v="9"/>
    <n v="0"/>
    <n v="1"/>
    <n v="134.74"/>
    <n v="73.742800000000003"/>
    <n v="9.48"/>
    <n v="35.717199999999991"/>
    <s v="8-14 days"/>
  </r>
  <r>
    <s v="c534ca08f6f24d1c5bb8b9c8893259f3"/>
    <x v="0"/>
    <d v="2018-01-08T00:00:00"/>
    <d v="2018-01-14T00:00:00"/>
    <d v="2018-01-24T00:00:00"/>
    <s v="bed_bath_table"/>
    <n v="40.729999999999997"/>
    <n v="15.58"/>
    <s v="credit_card"/>
    <n v="4"/>
    <s v="delivered"/>
    <d v="2018-01-01T00:00:00"/>
    <n v="6"/>
    <n v="0"/>
    <n v="1"/>
    <n v="56.309999999999995"/>
    <n v="25.252599999999997"/>
    <n v="9.347999999999999"/>
    <n v="6.1294000000000004"/>
    <s v="0-7 days"/>
  </r>
  <r>
    <s v="260b13e04ce6929f7a44bd05cd320878"/>
    <x v="0"/>
    <d v="2018-01-08T00:00:00"/>
    <d v="2018-01-19T00:00:00"/>
    <d v="2018-01-26T00:00:00"/>
    <s v="watches_gifts"/>
    <n v="70.94"/>
    <n v="12.75"/>
    <s v="debit_card"/>
    <n v="4"/>
    <s v="delivered"/>
    <d v="2018-01-01T00:00:00"/>
    <n v="11"/>
    <n v="0"/>
    <n v="1"/>
    <n v="83.69"/>
    <n v="46.820399999999999"/>
    <n v="7.6499999999999995"/>
    <n v="16.4696"/>
    <s v="8-14 days"/>
  </r>
  <r>
    <s v="9930300a07006af32b39e995c13ed0d3"/>
    <x v="0"/>
    <d v="2018-01-08T00:00:00"/>
    <d v="2018-01-19T00:00:00"/>
    <d v="2018-01-29T00:00:00"/>
    <s v="housewares"/>
    <n v="48.08"/>
    <n v="20.27"/>
    <s v="boleto"/>
    <n v="3"/>
    <s v="delivered"/>
    <d v="2018-01-01T00:00:00"/>
    <n v="11"/>
    <n v="0"/>
    <n v="1"/>
    <n v="68.349999999999994"/>
    <n v="30.290399999999998"/>
    <n v="12.161999999999999"/>
    <n v="5.627600000000001"/>
    <s v="8-14 days"/>
  </r>
  <r>
    <s v="ae99193708464aa4bfa4cfdd01c31adc"/>
    <x v="4"/>
    <d v="2018-01-08T00:00:00"/>
    <d v="2018-01-20T00:00:00"/>
    <d v="2018-01-27T00:00:00"/>
    <s v="toys"/>
    <n v="42.56"/>
    <n v="28.33"/>
    <s v="credit_card"/>
    <n v="4"/>
    <s v="delivered"/>
    <d v="2018-01-01T00:00:00"/>
    <n v="12"/>
    <n v="0"/>
    <n v="1"/>
    <n v="70.89"/>
    <n v="25.536000000000001"/>
    <n v="16.997999999999998"/>
    <n v="2.6000000000003354E-2"/>
    <s v="8-14 days"/>
  </r>
  <r>
    <s v="26696e53022c6449bcc839fbcbd363a5"/>
    <x v="0"/>
    <d v="2018-01-08T00:00:00"/>
    <d v="2018-01-14T00:00:00"/>
    <d v="2018-01-24T00:00:00"/>
    <s v="sports_leisure"/>
    <n v="79.3"/>
    <n v="12.95"/>
    <s v="credit_card"/>
    <n v="5"/>
    <s v="delivered"/>
    <d v="2018-01-01T00:00:00"/>
    <n v="6"/>
    <n v="0"/>
    <n v="1"/>
    <n v="92.25"/>
    <n v="50.752000000000002"/>
    <n v="7.77"/>
    <n v="20.777999999999995"/>
    <s v="0-7 days"/>
  </r>
  <r>
    <s v="ae0136ccc6b216df7ae4395e1be0bce6"/>
    <x v="4"/>
    <d v="2018-01-08T00:00:00"/>
    <d v="2018-01-15T00:00:00"/>
    <d v="2018-01-26T00:00:00"/>
    <s v="watches_gifts"/>
    <n v="122.35"/>
    <n v="24.39"/>
    <s v="credit_card"/>
    <n v="4"/>
    <s v="delivered"/>
    <d v="2018-01-01T00:00:00"/>
    <n v="7"/>
    <n v="0"/>
    <n v="1"/>
    <n v="146.74"/>
    <n v="80.751000000000005"/>
    <n v="14.634"/>
    <n v="26.964999999999989"/>
    <s v="0-7 days"/>
  </r>
  <r>
    <s v="a6fea49817c32ec613ab1631ba640f90"/>
    <x v="6"/>
    <d v="2018-01-08T00:00:00"/>
    <d v="2018-01-20T00:00:00"/>
    <d v="2018-02-07T00:00:00"/>
    <s v="bed_bath_table"/>
    <n v="39.549999999999997"/>
    <n v="34.130000000000003"/>
    <s v="voucher"/>
    <n v="4"/>
    <s v="delivered"/>
    <d v="2018-01-01T00:00:00"/>
    <n v="12"/>
    <n v="0"/>
    <n v="1"/>
    <n v="73.680000000000007"/>
    <n v="24.520999999999997"/>
    <n v="20.478000000000002"/>
    <n v="-5.4490000000000016"/>
    <s v="8-14 days"/>
  </r>
  <r>
    <s v="399b747bdca4b19e5ffdf1cffc8e920d"/>
    <x v="0"/>
    <d v="2018-01-09T00:00:00"/>
    <d v="2018-01-18T00:00:00"/>
    <d v="2018-01-25T00:00:00"/>
    <s v="health_beauty"/>
    <n v="130.85"/>
    <n v="20.46"/>
    <s v="credit_card"/>
    <n v="4"/>
    <s v="delivered"/>
    <d v="2018-01-01T00:00:00"/>
    <n v="9"/>
    <n v="0"/>
    <n v="1"/>
    <n v="151.31"/>
    <n v="75.892999999999986"/>
    <n v="12.276"/>
    <n v="42.681000000000012"/>
    <s v="8-14 days"/>
  </r>
  <r>
    <s v="51a3dfe47962e5a87f7d7604ebd92165"/>
    <x v="1"/>
    <d v="2018-01-09T00:00:00"/>
    <d v="2018-02-06T00:00:00"/>
    <d v="2018-01-27T00:00:00"/>
    <s v="health_beauty"/>
    <n v="72.790000000000006"/>
    <n v="18.05"/>
    <s v="boleto"/>
    <n v="3"/>
    <s v="delivered"/>
    <d v="2018-01-01T00:00:00"/>
    <n v="28"/>
    <n v="10"/>
    <n v="0"/>
    <n v="90.84"/>
    <n v="42.218200000000003"/>
    <n v="10.83"/>
    <n v="19.741800000000005"/>
    <s v="22+ days"/>
  </r>
  <r>
    <s v="3388cf1bd0f383cd6b77548916ca7742"/>
    <x v="10"/>
    <d v="2018-01-10T00:00:00"/>
    <d v="2018-01-24T00:00:00"/>
    <d v="2018-02-09T00:00:00"/>
    <s v="computers_accessories"/>
    <n v="397.71"/>
    <n v="51.49"/>
    <s v="credit_card"/>
    <n v="5"/>
    <s v="delivered"/>
    <d v="2018-01-01T00:00:00"/>
    <n v="14"/>
    <n v="0"/>
    <n v="1"/>
    <n v="449.2"/>
    <n v="294.30539999999996"/>
    <n v="30.893999999999998"/>
    <n v="72.510600000000011"/>
    <s v="8-14 days"/>
  </r>
  <r>
    <s v="88a0d69a95935df6c6c286af4affe799"/>
    <x v="0"/>
    <d v="2018-01-10T00:00:00"/>
    <d v="2018-01-23T00:00:00"/>
    <d v="2018-01-24T00:00:00"/>
    <s v="watches_gifts"/>
    <n v="159.76"/>
    <n v="24.17"/>
    <s v="credit_card"/>
    <n v="4"/>
    <s v="delivered"/>
    <d v="2018-01-01T00:00:00"/>
    <n v="13"/>
    <n v="0"/>
    <n v="1"/>
    <n v="183.93"/>
    <n v="105.44159999999999"/>
    <n v="14.502000000000001"/>
    <n v="39.816399999999994"/>
    <s v="8-14 days"/>
  </r>
  <r>
    <s v="a8f806e8d49892f6b7eb09235c983385"/>
    <x v="11"/>
    <d v="2018-01-10T00:00:00"/>
    <d v="2018-02-12T00:00:00"/>
    <d v="2018-02-13T00:00:00"/>
    <s v="health_beauty"/>
    <n v="257.93"/>
    <n v="50.41"/>
    <s v="credit_card"/>
    <n v="4"/>
    <s v="delivered"/>
    <d v="2018-01-01T00:00:00"/>
    <n v="33"/>
    <n v="0"/>
    <n v="1"/>
    <n v="308.34000000000003"/>
    <n v="149.5994"/>
    <n v="30.245999999999995"/>
    <n v="78.084600000000009"/>
    <s v="22+ days"/>
  </r>
  <r>
    <s v="3bf0d9c1c156e501b30e96e8b9da5f8c"/>
    <x v="4"/>
    <d v="2018-01-11T00:00:00"/>
    <d v="2018-01-15T00:00:00"/>
    <d v="2018-02-01T00:00:00"/>
    <s v="sports_leisure"/>
    <n v="99.17"/>
    <n v="24.74"/>
    <s v="credit_card"/>
    <n v="4"/>
    <s v="delivered"/>
    <d v="2018-01-01T00:00:00"/>
    <n v="4"/>
    <n v="0"/>
    <n v="1"/>
    <n v="123.91"/>
    <n v="63.468800000000002"/>
    <n v="14.843999999999998"/>
    <n v="20.857200000000002"/>
    <s v="0-7 days"/>
  </r>
  <r>
    <s v="3edec38e07179ef3312168632663ed11"/>
    <x v="0"/>
    <d v="2018-01-11T00:00:00"/>
    <d v="2018-01-25T00:00:00"/>
    <d v="2018-01-26T00:00:00"/>
    <s v="health_beauty"/>
    <n v="102.6"/>
    <n v="15.06"/>
    <s v="boleto"/>
    <n v="5"/>
    <s v="delivered"/>
    <d v="2018-01-01T00:00:00"/>
    <n v="14"/>
    <n v="0"/>
    <n v="1"/>
    <n v="117.66"/>
    <n v="59.507999999999996"/>
    <n v="9.0359999999999996"/>
    <n v="34.055999999999997"/>
    <s v="8-14 days"/>
  </r>
  <r>
    <s v="5d08c2549e6eac9cc8bc7784a8c99656"/>
    <x v="5"/>
    <d v="2018-01-11T00:00:00"/>
    <d v="2018-01-23T00:00:00"/>
    <d v="2018-02-04T00:00:00"/>
    <s v="health_beauty"/>
    <n v="59.55"/>
    <n v="30.04"/>
    <s v="boleto"/>
    <n v="4"/>
    <s v="delivered"/>
    <d v="2018-01-01T00:00:00"/>
    <n v="12"/>
    <n v="0"/>
    <n v="1"/>
    <n v="89.59"/>
    <n v="34.538999999999994"/>
    <n v="18.023999999999997"/>
    <n v="6.9870000000000054"/>
    <s v="8-14 days"/>
  </r>
  <r>
    <s v="82d8a7f546ef7aaad2376d229565bc2f"/>
    <x v="9"/>
    <d v="2018-01-11T00:00:00"/>
    <d v="2018-01-19T00:00:00"/>
    <d v="2018-02-04T00:00:00"/>
    <s v="housewares"/>
    <n v="169.97"/>
    <n v="35.450000000000003"/>
    <s v="credit_card"/>
    <n v="5"/>
    <s v="delivered"/>
    <d v="2018-01-01T00:00:00"/>
    <n v="8"/>
    <n v="0"/>
    <n v="1"/>
    <n v="205.42000000000002"/>
    <n v="107.08110000000001"/>
    <n v="21.27"/>
    <n v="41.618899999999996"/>
    <s v="8-14 days"/>
  </r>
  <r>
    <s v="3ec77a8f16a46b839c2d9672e3d1803c"/>
    <x v="0"/>
    <d v="2018-01-12T00:00:00"/>
    <d v="2018-01-17T00:00:00"/>
    <d v="2018-01-27T00:00:00"/>
    <s v="watches_gifts"/>
    <n v="242.68"/>
    <n v="16.18"/>
    <s v="credit_card"/>
    <n v="4"/>
    <s v="delivered"/>
    <d v="2018-01-01T00:00:00"/>
    <n v="5"/>
    <n v="0"/>
    <n v="1"/>
    <n v="258.86"/>
    <n v="160.1688"/>
    <n v="9.7080000000000002"/>
    <n v="72.803200000000004"/>
    <s v="0-7 days"/>
  </r>
  <r>
    <s v="a535f9d743fffdea3bd9b01571127f4b"/>
    <x v="0"/>
    <d v="2018-01-12T00:00:00"/>
    <d v="2018-01-20T00:00:00"/>
    <d v="2018-01-25T00:00:00"/>
    <s v="sports_leisure"/>
    <n v="89.73"/>
    <n v="12.55"/>
    <s v="credit_card"/>
    <n v="5"/>
    <s v="delivered"/>
    <d v="2018-01-01T00:00:00"/>
    <n v="8"/>
    <n v="0"/>
    <n v="1"/>
    <n v="102.28"/>
    <n v="57.427200000000006"/>
    <n v="7.53"/>
    <n v="24.772799999999997"/>
    <s v="8-14 days"/>
  </r>
  <r>
    <s v="465fd96b73b6b1439d96d6ddef145b36"/>
    <x v="2"/>
    <d v="2018-01-12T00:00:00"/>
    <d v="2018-02-03T00:00:00"/>
    <d v="2018-02-03T00:00:00"/>
    <s v="furniture_decor"/>
    <n v="413.16"/>
    <n v="26.54"/>
    <s v="credit_card"/>
    <n v="4"/>
    <s v="delivered"/>
    <d v="2018-01-01T00:00:00"/>
    <n v="22"/>
    <n v="0"/>
    <n v="1"/>
    <n v="439.70000000000005"/>
    <n v="289.21199999999999"/>
    <n v="15.923999999999999"/>
    <n v="108.02400000000003"/>
    <s v="22+ days"/>
  </r>
  <r>
    <s v="5e4815f7113a19a0a8e15405a04f3f5c"/>
    <x v="8"/>
    <d v="2018-01-12T00:00:00"/>
    <d v="2018-01-25T00:00:00"/>
    <d v="2018-02-04T00:00:00"/>
    <s v="sports_leisure"/>
    <n v="76.89"/>
    <n v="18.8"/>
    <s v="credit_card"/>
    <n v="5"/>
    <s v="delivered"/>
    <d v="2018-01-01T00:00:00"/>
    <n v="13"/>
    <n v="0"/>
    <n v="1"/>
    <n v="95.69"/>
    <n v="49.209600000000002"/>
    <n v="11.28"/>
    <n v="16.400399999999998"/>
    <s v="8-14 days"/>
  </r>
  <r>
    <s v="3b9180f58daf7c9793be6e0f67764388"/>
    <x v="0"/>
    <d v="2018-01-12T00:00:00"/>
    <d v="2018-01-22T00:00:00"/>
    <d v="2018-01-23T00:00:00"/>
    <s v="bed_bath_table"/>
    <n v="62.18"/>
    <n v="20.53"/>
    <s v="credit_card"/>
    <n v="3"/>
    <s v="delivered"/>
    <d v="2018-01-01T00:00:00"/>
    <n v="10"/>
    <n v="0"/>
    <n v="1"/>
    <n v="82.710000000000008"/>
    <n v="38.551600000000001"/>
    <n v="12.318"/>
    <n v="11.3104"/>
    <s v="8-14 days"/>
  </r>
  <r>
    <s v="aa3f75218ca9724ad481ba963e5bb677"/>
    <x v="4"/>
    <d v="2018-01-12T00:00:00"/>
    <d v="2018-01-22T00:00:00"/>
    <d v="2018-02-01T00:00:00"/>
    <s v="housewares"/>
    <n v="73.13"/>
    <n v="16.52"/>
    <s v="credit_card"/>
    <n v="4"/>
    <s v="delivered"/>
    <d v="2018-01-01T00:00:00"/>
    <n v="10"/>
    <n v="0"/>
    <n v="1"/>
    <n v="89.649999999999991"/>
    <n v="46.071899999999999"/>
    <n v="9.911999999999999"/>
    <n v="17.146099999999997"/>
    <s v="8-14 days"/>
  </r>
  <r>
    <s v="f6babccc0acfbd89da3ed15aa4f0708a"/>
    <x v="0"/>
    <d v="2018-01-14T00:00:00"/>
    <d v="2018-01-19T00:00:00"/>
    <d v="2018-01-30T00:00:00"/>
    <s v="bed_bath_table"/>
    <n v="107.6"/>
    <n v="18.43"/>
    <s v="credit_card"/>
    <n v="5"/>
    <s v="delivered"/>
    <d v="2018-01-01T00:00:00"/>
    <n v="5"/>
    <n v="0"/>
    <n v="1"/>
    <n v="126.03"/>
    <n v="66.711999999999989"/>
    <n v="11.058"/>
    <n v="29.830000000000005"/>
    <s v="0-7 days"/>
  </r>
  <r>
    <s v="94eeda02f9aa5d6db2e9d9393fbce063"/>
    <x v="0"/>
    <d v="2018-01-14T00:00:00"/>
    <d v="2018-02-04T00:00:00"/>
    <d v="2018-01-26T00:00:00"/>
    <s v="computers_accessories"/>
    <n v="139.5"/>
    <n v="21.74"/>
    <s v="credit_card"/>
    <n v="1"/>
    <s v="delivered"/>
    <d v="2018-01-01T00:00:00"/>
    <n v="21"/>
    <n v="9"/>
    <n v="0"/>
    <n v="161.24"/>
    <n v="103.23"/>
    <n v="13.043999999999999"/>
    <n v="23.225999999999999"/>
    <s v="15-21 days"/>
  </r>
  <r>
    <s v="0781eccd512caa25064e97f5883e54a9"/>
    <x v="3"/>
    <d v="2018-01-14T00:00:00"/>
    <d v="2018-01-25T00:00:00"/>
    <d v="2018-02-06T00:00:00"/>
    <s v="computers_accessories"/>
    <n v="52.04"/>
    <n v="29.85"/>
    <s v="boleto"/>
    <n v="4"/>
    <s v="delivered"/>
    <d v="2018-01-01T00:00:00"/>
    <n v="11"/>
    <n v="0"/>
    <n v="1"/>
    <n v="81.89"/>
    <n v="38.509599999999999"/>
    <n v="17.91"/>
    <n v="-4.3795999999999999"/>
    <s v="8-14 days"/>
  </r>
  <r>
    <s v="63ef5e69b61d56f5b91633574b1bdf3b"/>
    <x v="2"/>
    <d v="2018-01-15T00:00:00"/>
    <d v="2018-01-27T00:00:00"/>
    <d v="2018-02-10T00:00:00"/>
    <s v="computers_accessories"/>
    <n v="310.22000000000003"/>
    <n v="23.62"/>
    <s v="voucher"/>
    <n v="4"/>
    <s v="delivered"/>
    <d v="2018-01-01T00:00:00"/>
    <n v="12"/>
    <n v="0"/>
    <n v="1"/>
    <n v="333.84000000000003"/>
    <n v="229.56280000000001"/>
    <n v="14.172000000000001"/>
    <n v="66.48520000000002"/>
    <s v="8-14 days"/>
  </r>
  <r>
    <s v="61a651c5faaa53fc094a8492d88d11dd"/>
    <x v="0"/>
    <d v="2018-01-15T00:00:00"/>
    <d v="2018-01-22T00:00:00"/>
    <d v="2018-01-26T00:00:00"/>
    <s v="furniture_decor"/>
    <n v="139.94999999999999"/>
    <n v="21.81"/>
    <s v="credit_card"/>
    <n v="5"/>
    <s v="delivered"/>
    <d v="2018-01-01T00:00:00"/>
    <n v="7"/>
    <n v="0"/>
    <n v="1"/>
    <n v="161.76"/>
    <n v="97.964999999999989"/>
    <n v="13.085999999999999"/>
    <n v="28.899000000000001"/>
    <s v="0-7 days"/>
  </r>
  <r>
    <s v="0a7bf7f23d49d1d7bd0a239abcd7bda6"/>
    <x v="0"/>
    <d v="2018-01-15T00:00:00"/>
    <d v="2018-01-31T00:00:00"/>
    <d v="2018-02-02T00:00:00"/>
    <s v="health_beauty"/>
    <n v="106.39"/>
    <n v="22.62"/>
    <s v="boleto"/>
    <n v="5"/>
    <s v="delivered"/>
    <d v="2018-01-01T00:00:00"/>
    <n v="16"/>
    <n v="0"/>
    <n v="1"/>
    <n v="129.01"/>
    <n v="61.706199999999995"/>
    <n v="13.572000000000001"/>
    <n v="31.111800000000002"/>
    <s v="15-21 days"/>
  </r>
  <r>
    <s v="7afb83cc4eab6bdd7fb82b3e4234e83e"/>
    <x v="4"/>
    <d v="2018-01-16T00:00:00"/>
    <d v="2018-01-31T00:00:00"/>
    <d v="2018-02-06T00:00:00"/>
    <s v="bed_bath_table"/>
    <n v="85.29"/>
    <n v="26.81"/>
    <s v="boleto"/>
    <n v="4"/>
    <s v="delivered"/>
    <d v="2018-01-01T00:00:00"/>
    <n v="15"/>
    <n v="0"/>
    <n v="1"/>
    <n v="112.10000000000001"/>
    <n v="52.879800000000003"/>
    <n v="16.085999999999999"/>
    <n v="16.324200000000005"/>
    <s v="15-21 days"/>
  </r>
  <r>
    <s v="0c0004329244479fea712e4e9d06b0ab"/>
    <x v="4"/>
    <d v="2018-01-16T00:00:00"/>
    <d v="2018-01-26T00:00:00"/>
    <d v="2018-02-05T00:00:00"/>
    <s v="watches_gifts"/>
    <n v="376.19"/>
    <n v="33.21"/>
    <s v="boleto"/>
    <n v="5"/>
    <s v="delivered"/>
    <d v="2018-01-01T00:00:00"/>
    <n v="10"/>
    <n v="0"/>
    <n v="1"/>
    <n v="409.4"/>
    <n v="248.28540000000001"/>
    <n v="19.925999999999998"/>
    <n v="107.97859999999999"/>
    <s v="8-14 days"/>
  </r>
  <r>
    <s v="2f65fafab0ae8f08c31edbbcf36cb62b"/>
    <x v="4"/>
    <d v="2018-01-17T00:00:00"/>
    <d v="2018-01-30T00:00:00"/>
    <d v="2018-02-05T00:00:00"/>
    <s v="health_beauty"/>
    <n v="104.98"/>
    <n v="26.5"/>
    <s v="credit_card"/>
    <n v="5"/>
    <s v="delivered"/>
    <d v="2018-01-01T00:00:00"/>
    <n v="13"/>
    <n v="0"/>
    <n v="1"/>
    <n v="131.48000000000002"/>
    <n v="60.888399999999997"/>
    <n v="15.899999999999999"/>
    <n v="28.191600000000008"/>
    <s v="8-14 days"/>
  </r>
  <r>
    <s v="867a211ade162c17fd06a17979803efa"/>
    <x v="0"/>
    <d v="2018-01-18T00:00:00"/>
    <d v="2018-01-29T00:00:00"/>
    <d v="2018-02-04T00:00:00"/>
    <s v="furniture_decor"/>
    <n v="108.85"/>
    <n v="14.86"/>
    <s v="debit_card"/>
    <n v="2"/>
    <s v="delivered"/>
    <d v="2018-01-01T00:00:00"/>
    <n v="11"/>
    <n v="0"/>
    <n v="1"/>
    <n v="123.71"/>
    <n v="76.194999999999993"/>
    <n v="8.9159999999999986"/>
    <n v="23.739000000000004"/>
    <s v="8-14 days"/>
  </r>
  <r>
    <s v="f0657d730e0ec75e1b48732fdbd0f097"/>
    <x v="4"/>
    <d v="2018-01-18T00:00:00"/>
    <d v="2018-01-27T00:00:00"/>
    <d v="2018-02-11T00:00:00"/>
    <s v="sports_leisure"/>
    <n v="31.55"/>
    <n v="18.739999999999998"/>
    <s v="credit_card"/>
    <n v="5"/>
    <s v="delivered"/>
    <d v="2018-01-01T00:00:00"/>
    <n v="9"/>
    <n v="0"/>
    <n v="1"/>
    <n v="50.29"/>
    <n v="20.192"/>
    <n v="11.243999999999998"/>
    <n v="0.11400000000000254"/>
    <s v="8-14 days"/>
  </r>
  <r>
    <s v="6725be2592095726489fc7771b9894c5"/>
    <x v="0"/>
    <d v="2018-01-18T00:00:00"/>
    <d v="2018-01-29T00:00:00"/>
    <d v="2018-02-01T00:00:00"/>
    <s v="watches_gifts"/>
    <n v="41.77"/>
    <n v="17.64"/>
    <s v="credit_card"/>
    <n v="5"/>
    <s v="delivered"/>
    <d v="2018-01-01T00:00:00"/>
    <n v="11"/>
    <n v="0"/>
    <n v="1"/>
    <n v="59.410000000000004"/>
    <n v="27.568200000000004"/>
    <n v="10.584"/>
    <n v="3.617799999999999"/>
    <s v="8-14 days"/>
  </r>
  <r>
    <s v="4c4cd8ab3320ee9459c9971671f57def"/>
    <x v="3"/>
    <d v="2018-01-18T00:00:00"/>
    <d v="2018-02-02T00:00:00"/>
    <d v="2018-02-12T00:00:00"/>
    <s v="toys"/>
    <n v="66.78"/>
    <n v="20.57"/>
    <s v="credit_card"/>
    <n v="4"/>
    <s v="delivered"/>
    <d v="2018-01-01T00:00:00"/>
    <n v="15"/>
    <n v="0"/>
    <n v="1"/>
    <n v="87.35"/>
    <n v="40.067999999999998"/>
    <n v="12.342000000000001"/>
    <n v="14.370000000000003"/>
    <s v="15-21 days"/>
  </r>
  <r>
    <s v="6287729e12194d94a0970ff4dc420980"/>
    <x v="0"/>
    <d v="2018-01-19T00:00:00"/>
    <d v="2018-01-26T00:00:00"/>
    <d v="2018-02-05T00:00:00"/>
    <s v="housewares"/>
    <n v="58.66"/>
    <n v="18.32"/>
    <s v="boleto"/>
    <n v="4"/>
    <s v="delivered"/>
    <d v="2018-01-01T00:00:00"/>
    <n v="7"/>
    <n v="0"/>
    <n v="1"/>
    <n v="76.97999999999999"/>
    <n v="36.955799999999996"/>
    <n v="10.991999999999999"/>
    <n v="10.712200000000001"/>
    <s v="0-7 days"/>
  </r>
  <r>
    <s v="adfc1dc4f8c43f7a30efcbd3f3cef8b7"/>
    <x v="0"/>
    <d v="2018-01-19T00:00:00"/>
    <d v="2018-01-25T00:00:00"/>
    <d v="2018-02-05T00:00:00"/>
    <s v="computers_accessories"/>
    <n v="66.28"/>
    <n v="15.48"/>
    <s v="credit_card"/>
    <n v="4"/>
    <s v="delivered"/>
    <d v="2018-01-01T00:00:00"/>
    <n v="6"/>
    <n v="0"/>
    <n v="1"/>
    <n v="81.760000000000005"/>
    <n v="49.047200000000004"/>
    <n v="9.2880000000000003"/>
    <n v="7.9447999999999972"/>
    <s v="0-7 days"/>
  </r>
  <r>
    <s v="46b98991e14eb70db380c73a989d9d4a"/>
    <x v="0"/>
    <d v="2018-01-20T00:00:00"/>
    <d v="2018-01-29T00:00:00"/>
    <d v="2018-02-03T00:00:00"/>
    <s v="furniture_decor"/>
    <n v="82.71"/>
    <n v="15.09"/>
    <s v="credit_card"/>
    <n v="5"/>
    <s v="delivered"/>
    <d v="2018-01-01T00:00:00"/>
    <n v="9"/>
    <n v="0"/>
    <n v="1"/>
    <n v="97.8"/>
    <n v="57.896999999999991"/>
    <n v="9.0540000000000003"/>
    <n v="15.759000000000002"/>
    <s v="8-14 days"/>
  </r>
  <r>
    <s v="a9434aa096fc734da003cd28ca8f3653"/>
    <x v="0"/>
    <d v="2018-01-20T00:00:00"/>
    <d v="2018-01-28T00:00:00"/>
    <d v="2018-02-04T00:00:00"/>
    <s v="toys"/>
    <n v="48.05"/>
    <n v="14.24"/>
    <s v="boleto"/>
    <n v="5"/>
    <s v="delivered"/>
    <d v="2018-01-01T00:00:00"/>
    <n v="8"/>
    <n v="0"/>
    <n v="1"/>
    <n v="62.29"/>
    <n v="28.83"/>
    <n v="8.5440000000000005"/>
    <n v="10.675999999999998"/>
    <s v="8-14 days"/>
  </r>
  <r>
    <s v="93fde248aac04912084d7822da948e70"/>
    <x v="3"/>
    <d v="2018-01-20T00:00:00"/>
    <d v="2018-02-05T00:00:00"/>
    <d v="2018-02-11T00:00:00"/>
    <s v="computers_accessories"/>
    <n v="38.840000000000003"/>
    <n v="16.02"/>
    <s v="boleto"/>
    <n v="4"/>
    <s v="delivered"/>
    <d v="2018-01-01T00:00:00"/>
    <n v="16"/>
    <n v="0"/>
    <n v="1"/>
    <n v="54.86"/>
    <n v="28.741600000000002"/>
    <n v="9.6120000000000001"/>
    <n v="0.4864000000000015"/>
    <s v="15-21 days"/>
  </r>
  <r>
    <s v="88914b26e555157009795e75671e9bb8"/>
    <x v="0"/>
    <d v="2018-01-20T00:00:00"/>
    <d v="2018-01-27T00:00:00"/>
    <d v="2018-02-03T00:00:00"/>
    <s v="computers_accessories"/>
    <n v="189.19"/>
    <n v="23.12"/>
    <s v="boleto"/>
    <n v="4"/>
    <s v="delivered"/>
    <d v="2018-01-01T00:00:00"/>
    <n v="7"/>
    <n v="0"/>
    <n v="1"/>
    <n v="212.31"/>
    <n v="140.00059999999999"/>
    <n v="13.872"/>
    <n v="35.317400000000006"/>
    <s v="0-7 days"/>
  </r>
  <r>
    <s v="0a45e44d4cd8284766b1f859adb5d5e6"/>
    <x v="2"/>
    <d v="2018-01-20T00:00:00"/>
    <d v="2018-02-03T00:00:00"/>
    <d v="2018-02-12T00:00:00"/>
    <s v="housewares"/>
    <n v="55.86"/>
    <n v="21.72"/>
    <s v="voucher"/>
    <n v="5"/>
    <s v="delivered"/>
    <d v="2018-01-01T00:00:00"/>
    <n v="14"/>
    <n v="0"/>
    <n v="1"/>
    <n v="77.58"/>
    <n v="35.191800000000001"/>
    <n v="13.031999999999998"/>
    <n v="7.6362000000000005"/>
    <s v="8-14 days"/>
  </r>
  <r>
    <s v="c62dbaeade70bd3000a2136794fb09f0"/>
    <x v="0"/>
    <d v="2018-01-21T00:00:00"/>
    <d v="2018-02-08T00:00:00"/>
    <d v="2018-02-03T00:00:00"/>
    <s v="watches_gifts"/>
    <n v="285.11"/>
    <n v="21.33"/>
    <s v="boleto"/>
    <n v="4"/>
    <s v="delivered"/>
    <d v="2018-01-01T00:00:00"/>
    <n v="18"/>
    <n v="5"/>
    <n v="0"/>
    <n v="306.44"/>
    <n v="188.17260000000002"/>
    <n v="12.797999999999998"/>
    <n v="84.139399999999995"/>
    <s v="15-21 days"/>
  </r>
  <r>
    <s v="cb26a809f42973f5d1d18e0b27e7a6bd"/>
    <x v="0"/>
    <d v="2018-01-21T00:00:00"/>
    <d v="2018-01-27T00:00:00"/>
    <d v="2018-02-04T00:00:00"/>
    <s v="furniture_decor"/>
    <n v="82.54"/>
    <n v="16.7"/>
    <s v="credit_card"/>
    <n v="5"/>
    <s v="delivered"/>
    <d v="2018-01-01T00:00:00"/>
    <n v="6"/>
    <n v="0"/>
    <n v="1"/>
    <n v="99.240000000000009"/>
    <n v="57.777999999999999"/>
    <n v="10.02"/>
    <n v="14.742000000000008"/>
    <s v="0-7 days"/>
  </r>
  <r>
    <s v="a5310be0f3914a3648a436ae83a2a06f"/>
    <x v="2"/>
    <d v="2018-01-21T00:00:00"/>
    <d v="2018-02-07T00:00:00"/>
    <d v="2018-02-18T00:00:00"/>
    <s v="computers_accessories"/>
    <n v="119.92"/>
    <n v="25.61"/>
    <s v="credit_card"/>
    <n v="4"/>
    <s v="delivered"/>
    <d v="2018-01-01T00:00:00"/>
    <n v="17"/>
    <n v="0"/>
    <n v="1"/>
    <n v="145.53"/>
    <n v="88.740800000000007"/>
    <n v="15.366"/>
    <n v="15.813199999999995"/>
    <s v="15-21 days"/>
  </r>
  <r>
    <s v="00256416b908803c73e072cb05fd35aa"/>
    <x v="2"/>
    <d v="2018-01-21T00:00:00"/>
    <d v="2018-02-03T00:00:00"/>
    <d v="2018-02-16T00:00:00"/>
    <s v="sports_leisure"/>
    <n v="40.909999999999997"/>
    <n v="25.25"/>
    <s v="credit_card"/>
    <n v="4"/>
    <s v="delivered"/>
    <d v="2018-01-01T00:00:00"/>
    <n v="13"/>
    <n v="0"/>
    <n v="1"/>
    <n v="66.16"/>
    <n v="26.182399999999998"/>
    <n v="15.149999999999999"/>
    <n v="-0.42239999999999966"/>
    <s v="8-14 days"/>
  </r>
  <r>
    <s v="1fc905f8d4d607350e2f8958de431e06"/>
    <x v="4"/>
    <d v="2018-01-22T00:00:00"/>
    <d v="2018-02-03T00:00:00"/>
    <d v="2018-02-13T00:00:00"/>
    <s v="computers_accessories"/>
    <n v="139.6"/>
    <n v="23.83"/>
    <s v="credit_card"/>
    <n v="4"/>
    <s v="delivered"/>
    <d v="2018-01-01T00:00:00"/>
    <n v="12"/>
    <n v="0"/>
    <n v="1"/>
    <n v="163.43"/>
    <n v="103.30399999999999"/>
    <n v="14.297999999999998"/>
    <n v="21.998000000000008"/>
    <s v="8-14 days"/>
  </r>
  <r>
    <s v="810a9f84cd4ebc4b9bb718a5cd7f9010"/>
    <x v="1"/>
    <d v="2018-01-22T00:00:00"/>
    <d v="2018-02-05T00:00:00"/>
    <d v="2018-02-10T00:00:00"/>
    <s v="computers_accessories"/>
    <n v="111.84"/>
    <n v="23.36"/>
    <s v="boleto"/>
    <n v="5"/>
    <s v="delivered"/>
    <d v="2018-01-01T00:00:00"/>
    <n v="14"/>
    <n v="0"/>
    <n v="1"/>
    <n v="135.19999999999999"/>
    <n v="82.761600000000001"/>
    <n v="14.016"/>
    <n v="15.062400000000002"/>
    <s v="8-14 days"/>
  </r>
  <r>
    <s v="33d8ae7b505a14fc505fb2037f140af5"/>
    <x v="4"/>
    <d v="2018-01-22T00:00:00"/>
    <d v="2018-02-08T00:00:00"/>
    <d v="2018-02-09T00:00:00"/>
    <s v="sports_leisure"/>
    <n v="46.53"/>
    <n v="21.16"/>
    <s v="credit_card"/>
    <n v="4"/>
    <s v="delivered"/>
    <d v="2018-01-01T00:00:00"/>
    <n v="17"/>
    <n v="0"/>
    <n v="1"/>
    <n v="67.69"/>
    <n v="29.779200000000003"/>
    <n v="12.696"/>
    <n v="4.0547999999999984"/>
    <s v="15-21 days"/>
  </r>
  <r>
    <s v="667393437cfd24be650b8d2cec2adb5f"/>
    <x v="0"/>
    <d v="2018-01-22T00:00:00"/>
    <d v="2018-01-27T00:00:00"/>
    <d v="2018-02-09T00:00:00"/>
    <s v="toys"/>
    <n v="105.29"/>
    <n v="13.28"/>
    <s v="boleto"/>
    <n v="4"/>
    <s v="delivered"/>
    <d v="2018-01-01T00:00:00"/>
    <n v="5"/>
    <n v="0"/>
    <n v="1"/>
    <n v="118.57000000000001"/>
    <n v="63.173999999999999"/>
    <n v="7.9679999999999991"/>
    <n v="34.14800000000001"/>
    <s v="0-7 days"/>
  </r>
  <r>
    <s v="40d92bce7930ba208b040f49d0be73ee"/>
    <x v="1"/>
    <d v="2018-01-23T00:00:00"/>
    <d v="2018-02-04T00:00:00"/>
    <d v="2018-02-15T00:00:00"/>
    <s v="auto"/>
    <n v="86.59"/>
    <n v="21.31"/>
    <s v="credit_card"/>
    <n v="5"/>
    <s v="delivered"/>
    <d v="2018-01-01T00:00:00"/>
    <n v="12"/>
    <n v="0"/>
    <n v="1"/>
    <n v="107.9"/>
    <n v="58.881200000000007"/>
    <n v="12.786"/>
    <n v="14.922799999999997"/>
    <s v="8-14 days"/>
  </r>
  <r>
    <s v="2248fe755885dca5cac5ebc79c1817a3"/>
    <x v="0"/>
    <d v="2018-01-23T00:00:00"/>
    <d v="2018-01-31T00:00:00"/>
    <d v="2018-02-09T00:00:00"/>
    <s v="auto"/>
    <n v="307.23"/>
    <n v="20.76"/>
    <s v="boleto"/>
    <n v="4"/>
    <s v="delivered"/>
    <d v="2018-01-01T00:00:00"/>
    <n v="8"/>
    <n v="0"/>
    <n v="1"/>
    <n v="327.99"/>
    <n v="208.91640000000004"/>
    <n v="12.456000000000001"/>
    <n v="85.857599999999977"/>
    <s v="8-14 days"/>
  </r>
  <r>
    <s v="8d9a58d83c7c53724d9e6b9fa3ee785f"/>
    <x v="0"/>
    <d v="2018-01-23T00:00:00"/>
    <d v="2018-01-30T00:00:00"/>
    <d v="2018-02-05T00:00:00"/>
    <s v="computers_accessories"/>
    <n v="250.69"/>
    <n v="21.66"/>
    <s v="credit_card"/>
    <n v="4"/>
    <s v="delivered"/>
    <d v="2018-01-01T00:00:00"/>
    <n v="7"/>
    <n v="0"/>
    <n v="1"/>
    <n v="272.35000000000002"/>
    <n v="185.51059999999998"/>
    <n v="12.996"/>
    <n v="52.183400000000013"/>
    <s v="0-7 days"/>
  </r>
  <r>
    <s v="4a4b970c80fb89ee9e6557d072a7410e"/>
    <x v="0"/>
    <d v="2018-01-23T00:00:00"/>
    <d v="2018-02-03T00:00:00"/>
    <d v="2018-02-11T00:00:00"/>
    <s v="bed_bath_table"/>
    <n v="91.09"/>
    <n v="14.45"/>
    <s v="voucher"/>
    <n v="4"/>
    <s v="delivered"/>
    <d v="2018-01-01T00:00:00"/>
    <n v="11"/>
    <n v="0"/>
    <n v="1"/>
    <n v="105.54"/>
    <n v="56.4758"/>
    <n v="8.67"/>
    <n v="25.944200000000002"/>
    <s v="8-14 days"/>
  </r>
  <r>
    <s v="07f8d4f0f3ea018428f4e3ceadedda80"/>
    <x v="3"/>
    <d v="2018-01-24T00:00:00"/>
    <d v="2018-02-15T00:00:00"/>
    <d v="2018-02-19T00:00:00"/>
    <s v="auto"/>
    <n v="112.21"/>
    <n v="28.72"/>
    <s v="credit_card"/>
    <n v="4"/>
    <s v="delivered"/>
    <d v="2018-01-01T00:00:00"/>
    <n v="22"/>
    <n v="0"/>
    <n v="1"/>
    <n v="140.93"/>
    <n v="76.302800000000005"/>
    <n v="17.231999999999999"/>
    <n v="18.67519999999999"/>
    <s v="22+ days"/>
  </r>
  <r>
    <s v="13075157d8c128e7d6cd315508a8ac7f"/>
    <x v="2"/>
    <d v="2018-01-24T00:00:00"/>
    <d v="2018-02-12T00:00:00"/>
    <d v="2018-02-17T00:00:00"/>
    <s v="toys"/>
    <n v="100.11"/>
    <n v="18.309999999999999"/>
    <s v="voucher"/>
    <n v="3"/>
    <s v="delivered"/>
    <d v="2018-01-01T00:00:00"/>
    <n v="19"/>
    <n v="0"/>
    <n v="1"/>
    <n v="118.42"/>
    <n v="60.065999999999995"/>
    <n v="10.985999999999999"/>
    <n v="29.058000000000007"/>
    <s v="15-21 days"/>
  </r>
  <r>
    <s v="41c7a4069359fb5d9ac725209670efb3"/>
    <x v="0"/>
    <d v="2018-01-24T00:00:00"/>
    <d v="2018-01-31T00:00:00"/>
    <d v="2018-02-09T00:00:00"/>
    <s v="bed_bath_table"/>
    <n v="58.77"/>
    <n v="15.83"/>
    <s v="boleto"/>
    <n v="4"/>
    <s v="delivered"/>
    <d v="2018-01-01T00:00:00"/>
    <n v="7"/>
    <n v="0"/>
    <n v="1"/>
    <n v="74.600000000000009"/>
    <n v="36.437400000000004"/>
    <n v="9.4979999999999993"/>
    <n v="12.8346"/>
    <s v="0-7 days"/>
  </r>
  <r>
    <s v="257c3b02153bd49ae84b5e24714d466c"/>
    <x v="3"/>
    <d v="2018-01-24T00:00:00"/>
    <d v="2018-02-18T00:00:00"/>
    <d v="2018-02-18T00:00:00"/>
    <s v="watches_gifts"/>
    <n v="37.409999999999997"/>
    <n v="16.350000000000001"/>
    <s v="credit_card"/>
    <n v="4"/>
    <s v="delivered"/>
    <d v="2018-01-01T00:00:00"/>
    <n v="25"/>
    <n v="0"/>
    <n v="1"/>
    <n v="53.76"/>
    <n v="24.6906"/>
    <n v="9.81"/>
    <n v="2.9093999999999962"/>
    <s v="22+ days"/>
  </r>
  <r>
    <s v="57d3ec63e3e103bbae8e60755eebc618"/>
    <x v="0"/>
    <d v="2018-01-25T00:00:00"/>
    <d v="2018-01-30T00:00:00"/>
    <d v="2018-02-12T00:00:00"/>
    <s v="auto"/>
    <n v="95.77"/>
    <n v="16.920000000000002"/>
    <s v="debit_card"/>
    <n v="5"/>
    <s v="delivered"/>
    <d v="2018-01-01T00:00:00"/>
    <n v="5"/>
    <n v="0"/>
    <n v="1"/>
    <n v="112.69"/>
    <n v="65.123599999999996"/>
    <n v="10.152000000000001"/>
    <n v="20.494399999999999"/>
    <s v="0-7 days"/>
  </r>
  <r>
    <s v="492eb70c2f035a0c6423421be61aa316"/>
    <x v="0"/>
    <d v="2018-01-25T00:00:00"/>
    <d v="2018-02-04T00:00:00"/>
    <d v="2018-02-09T00:00:00"/>
    <s v="computers_accessories"/>
    <n v="71.010000000000005"/>
    <n v="14.6"/>
    <s v="credit_card"/>
    <n v="5"/>
    <s v="delivered"/>
    <d v="2018-01-01T00:00:00"/>
    <n v="10"/>
    <n v="0"/>
    <n v="1"/>
    <n v="85.61"/>
    <n v="52.547400000000003"/>
    <n v="8.76"/>
    <n v="9.7026000000000021"/>
    <s v="8-14 days"/>
  </r>
  <r>
    <s v="721e0a41be396a773454793408b625a3"/>
    <x v="0"/>
    <d v="2018-01-25T00:00:00"/>
    <d v="2018-02-08T00:00:00"/>
    <d v="2018-02-12T00:00:00"/>
    <s v="computers_accessories"/>
    <n v="71.84"/>
    <n v="21.76"/>
    <s v="credit_card"/>
    <n v="5"/>
    <s v="delivered"/>
    <d v="2018-01-01T00:00:00"/>
    <n v="14"/>
    <n v="0"/>
    <n v="1"/>
    <n v="93.600000000000009"/>
    <n v="53.1616"/>
    <n v="13.056000000000001"/>
    <n v="5.6224000000000025"/>
    <s v="8-14 days"/>
  </r>
  <r>
    <s v="812a1f9b15969802b6dd6257fb7d9f1c"/>
    <x v="7"/>
    <d v="2018-01-26T00:00:00"/>
    <d v="2018-02-09T00:00:00"/>
    <d v="2018-02-15T00:00:00"/>
    <s v="auto"/>
    <n v="97.14"/>
    <n v="28.95"/>
    <s v="credit_card"/>
    <n v="4"/>
    <s v="delivered"/>
    <d v="2018-01-01T00:00:00"/>
    <n v="14"/>
    <n v="0"/>
    <n v="1"/>
    <n v="126.09"/>
    <n v="66.055199999999999"/>
    <n v="17.369999999999997"/>
    <n v="13.714800000000004"/>
    <s v="8-14 days"/>
  </r>
  <r>
    <s v="c39bf6de704377c39e9be9e29997496b"/>
    <x v="0"/>
    <d v="2018-01-26T00:00:00"/>
    <d v="2018-02-01T00:00:00"/>
    <d v="2018-02-14T00:00:00"/>
    <s v="housewares"/>
    <n v="75.510000000000005"/>
    <n v="12.78"/>
    <s v="credit_card"/>
    <n v="4"/>
    <s v="delivered"/>
    <d v="2018-01-01T00:00:00"/>
    <n v="6"/>
    <n v="0"/>
    <n v="1"/>
    <n v="88.29"/>
    <n v="47.571300000000001"/>
    <n v="7.6679999999999993"/>
    <n v="20.270700000000005"/>
    <s v="0-7 days"/>
  </r>
  <r>
    <s v="163a6695e7e77386c25110f87cc96b10"/>
    <x v="0"/>
    <d v="2018-01-26T00:00:00"/>
    <d v="2018-02-02T00:00:00"/>
    <d v="2018-02-13T00:00:00"/>
    <s v="computers_accessories"/>
    <n v="108.92"/>
    <n v="13.08"/>
    <s v="credit_card"/>
    <n v="5"/>
    <s v="delivered"/>
    <d v="2018-01-01T00:00:00"/>
    <n v="7"/>
    <n v="0"/>
    <n v="1"/>
    <n v="122"/>
    <n v="80.600800000000007"/>
    <n v="7.8479999999999999"/>
    <n v="20.471199999999996"/>
    <s v="0-7 days"/>
  </r>
  <r>
    <s v="5373c0730b91eff62e591333e11899a3"/>
    <x v="8"/>
    <d v="2018-01-26T00:00:00"/>
    <d v="2018-02-13T00:00:00"/>
    <d v="2018-02-15T00:00:00"/>
    <s v="sports_leisure"/>
    <n v="208.75"/>
    <n v="24.23"/>
    <s v="credit_card"/>
    <n v="3"/>
    <s v="delivered"/>
    <d v="2018-01-01T00:00:00"/>
    <n v="18"/>
    <n v="0"/>
    <n v="1"/>
    <n v="232.98"/>
    <n v="133.6"/>
    <n v="14.538"/>
    <n v="60.612000000000009"/>
    <s v="15-21 days"/>
  </r>
  <r>
    <s v="812ded7e45e0dd8e3c0d541a83cd2fa7"/>
    <x v="2"/>
    <d v="2018-01-26T00:00:00"/>
    <d v="2018-02-17T00:00:00"/>
    <d v="2018-02-23T00:00:00"/>
    <s v="housewares"/>
    <n v="127.57"/>
    <n v="31.65"/>
    <s v="credit_card"/>
    <n v="4"/>
    <s v="delivered"/>
    <d v="2018-01-01T00:00:00"/>
    <n v="22"/>
    <n v="0"/>
    <n v="1"/>
    <n v="159.22"/>
    <n v="80.369100000000003"/>
    <n v="18.989999999999998"/>
    <n v="28.210899999999992"/>
    <s v="22+ days"/>
  </r>
  <r>
    <s v="ae6b04559cddd7c2d25a0b3f42a1279b"/>
    <x v="0"/>
    <d v="2018-01-27T00:00:00"/>
    <d v="2018-02-04T00:00:00"/>
    <d v="2018-02-13T00:00:00"/>
    <s v="furniture_decor"/>
    <n v="67.38"/>
    <n v="20.75"/>
    <s v="credit_card"/>
    <n v="4"/>
    <s v="delivered"/>
    <d v="2018-01-01T00:00:00"/>
    <n v="8"/>
    <n v="0"/>
    <n v="1"/>
    <n v="88.13"/>
    <n v="47.165999999999997"/>
    <n v="12.45"/>
    <n v="7.7639999999999993"/>
    <s v="8-14 days"/>
  </r>
  <r>
    <s v="acda0a9c2c4d9dd16d91e8b9e2da32dd"/>
    <x v="0"/>
    <d v="2018-01-27T00:00:00"/>
    <d v="2018-02-05T00:00:00"/>
    <d v="2018-02-14T00:00:00"/>
    <s v="toys"/>
    <n v="20.04"/>
    <n v="15.74"/>
    <s v="credit_card"/>
    <n v="4"/>
    <s v="delivered"/>
    <d v="2018-01-01T00:00:00"/>
    <n v="9"/>
    <n v="0"/>
    <n v="1"/>
    <n v="35.78"/>
    <n v="12.023999999999999"/>
    <n v="9.4439999999999991"/>
    <n v="-1.427999999999999"/>
    <s v="8-14 days"/>
  </r>
  <r>
    <s v="6abaefa2bbb15da9c076e606831a0705"/>
    <x v="11"/>
    <d v="2018-01-27T00:00:00"/>
    <d v="2018-02-28T00:00:00"/>
    <d v="2018-03-02T00:00:00"/>
    <s v="housewares"/>
    <n v="69.88"/>
    <n v="37.76"/>
    <s v="boleto"/>
    <n v="4"/>
    <s v="delivered"/>
    <d v="2018-01-01T00:00:00"/>
    <n v="32"/>
    <n v="0"/>
    <n v="1"/>
    <n v="107.63999999999999"/>
    <n v="44.0244"/>
    <n v="22.655999999999999"/>
    <n v="3.1995999999999967"/>
    <s v="22+ days"/>
  </r>
  <r>
    <s v="6f5aad529061498fe096521ea2c723d4"/>
    <x v="6"/>
    <d v="2018-01-28T00:00:00"/>
    <d v="2018-02-17T00:00:00"/>
    <d v="2018-02-22T00:00:00"/>
    <s v="watches_gifts"/>
    <n v="66.12"/>
    <n v="34.43"/>
    <s v="credit_card"/>
    <n v="5"/>
    <s v="delivered"/>
    <d v="2018-01-01T00:00:00"/>
    <n v="20"/>
    <n v="0"/>
    <n v="1"/>
    <n v="100.55000000000001"/>
    <n v="43.639200000000002"/>
    <n v="20.657999999999998"/>
    <n v="1.8228000000000044"/>
    <s v="15-21 days"/>
  </r>
  <r>
    <s v="ef13319e7c0d5c79e89c8fca22ffe9fc"/>
    <x v="0"/>
    <d v="2018-01-28T00:00:00"/>
    <d v="2018-02-06T00:00:00"/>
    <d v="2018-02-13T00:00:00"/>
    <s v="bed_bath_table"/>
    <n v="91.2"/>
    <n v="15.46"/>
    <s v="credit_card"/>
    <n v="5"/>
    <s v="delivered"/>
    <d v="2018-01-01T00:00:00"/>
    <n v="9"/>
    <n v="0"/>
    <n v="1"/>
    <n v="106.66"/>
    <n v="56.544000000000004"/>
    <n v="9.2759999999999998"/>
    <n v="25.38"/>
    <s v="8-14 days"/>
  </r>
  <r>
    <s v="1ecacae925bf213d9eca381bfb95d0fc"/>
    <x v="6"/>
    <d v="2018-01-29T00:00:00"/>
    <d v="2018-02-13T00:00:00"/>
    <d v="2018-02-25T00:00:00"/>
    <s v="bed_bath_table"/>
    <n v="80.459999999999994"/>
    <n v="33.51"/>
    <s v="voucher"/>
    <n v="5"/>
    <s v="delivered"/>
    <d v="2018-01-01T00:00:00"/>
    <n v="15"/>
    <n v="0"/>
    <n v="1"/>
    <n v="113.97"/>
    <n v="49.885199999999998"/>
    <n v="20.105999999999998"/>
    <n v="10.468799999999998"/>
    <s v="15-21 days"/>
  </r>
  <r>
    <s v="6035d9af4a68bbad1af4cf72da622059"/>
    <x v="0"/>
    <d v="2018-01-29T00:00:00"/>
    <d v="2018-02-15T00:00:00"/>
    <d v="2018-02-11T00:00:00"/>
    <s v="housewares"/>
    <n v="19.170000000000002"/>
    <n v="10.97"/>
    <s v="credit_card"/>
    <n v="2"/>
    <s v="delivered"/>
    <d v="2018-01-01T00:00:00"/>
    <n v="17"/>
    <n v="4"/>
    <n v="0"/>
    <n v="30.14"/>
    <n v="12.077100000000002"/>
    <n v="6.5819999999999999"/>
    <n v="0.51090000000000035"/>
    <s v="15-21 days"/>
  </r>
  <r>
    <s v="04579d6f93d3125a3a5604b37acd003a"/>
    <x v="4"/>
    <d v="2018-01-29T00:00:00"/>
    <d v="2018-02-07T00:00:00"/>
    <d v="2018-02-15T00:00:00"/>
    <s v="watches_gifts"/>
    <n v="64.48"/>
    <n v="23.05"/>
    <s v="credit_card"/>
    <n v="4"/>
    <s v="delivered"/>
    <d v="2018-01-01T00:00:00"/>
    <n v="9"/>
    <n v="0"/>
    <n v="1"/>
    <n v="87.53"/>
    <n v="42.556800000000003"/>
    <n v="13.83"/>
    <n v="8.0932000000000013"/>
    <s v="8-14 days"/>
  </r>
  <r>
    <s v="356bf58832c2c61a9553507b4a8c6e28"/>
    <x v="0"/>
    <d v="2018-01-29T00:00:00"/>
    <d v="2018-02-08T00:00:00"/>
    <d v="2018-02-15T00:00:00"/>
    <s v="housewares"/>
    <n v="235.96"/>
    <n v="25.1"/>
    <s v="credit_card"/>
    <n v="4"/>
    <s v="delivered"/>
    <d v="2018-01-01T00:00:00"/>
    <n v="10"/>
    <n v="0"/>
    <n v="1"/>
    <n v="261.06"/>
    <n v="148.65479999999999"/>
    <n v="15.06"/>
    <n v="72.245200000000011"/>
    <s v="8-14 days"/>
  </r>
  <r>
    <s v="46510367cbdc43184d85a3d2a1a27485"/>
    <x v="1"/>
    <d v="2018-01-30T00:00:00"/>
    <d v="2018-02-23T00:00:00"/>
    <d v="2018-02-21T00:00:00"/>
    <s v="auto"/>
    <n v="81.75"/>
    <n v="22.2"/>
    <s v="credit_card"/>
    <n v="3"/>
    <s v="delivered"/>
    <d v="2018-01-01T00:00:00"/>
    <n v="24"/>
    <n v="2"/>
    <n v="0"/>
    <n v="103.95"/>
    <n v="55.59"/>
    <n v="13.319999999999999"/>
    <n v="12.839999999999998"/>
    <s v="22+ days"/>
  </r>
  <r>
    <s v="5bf88d1d06ad7920aff7ff5d3b1d12cf"/>
    <x v="0"/>
    <d v="2018-01-30T00:00:00"/>
    <d v="2018-02-13T00:00:00"/>
    <d v="2018-02-14T00:00:00"/>
    <s v="health_beauty"/>
    <n v="105.32"/>
    <n v="18.87"/>
    <s v="credit_card"/>
    <n v="4"/>
    <s v="delivered"/>
    <d v="2018-01-01T00:00:00"/>
    <n v="14"/>
    <n v="0"/>
    <n v="1"/>
    <n v="124.19"/>
    <n v="61.085599999999992"/>
    <n v="11.322000000000001"/>
    <n v="32.912399999999998"/>
    <s v="8-14 days"/>
  </r>
  <r>
    <s v="0037447f0d99c071f7c8435f8c83bc68"/>
    <x v="9"/>
    <d v="2018-01-30T00:00:00"/>
    <d v="2018-02-12T00:00:00"/>
    <d v="2018-03-01T00:00:00"/>
    <s v="sports_leisure"/>
    <n v="60.19"/>
    <n v="23.25"/>
    <s v="credit_card"/>
    <n v="5"/>
    <s v="delivered"/>
    <d v="2018-01-01T00:00:00"/>
    <n v="13"/>
    <n v="0"/>
    <n v="1"/>
    <n v="83.44"/>
    <n v="38.521599999999999"/>
    <n v="13.95"/>
    <n v="7.718399999999999"/>
    <s v="8-14 days"/>
  </r>
  <r>
    <s v="8356ed6163fff4b5866a0c09b4cb22f4"/>
    <x v="4"/>
    <d v="2018-01-30T00:00:00"/>
    <d v="2018-02-10T00:00:00"/>
    <d v="2018-02-19T00:00:00"/>
    <s v="sports_leisure"/>
    <n v="168.1"/>
    <n v="22.25"/>
    <s v="credit_card"/>
    <n v="5"/>
    <s v="delivered"/>
    <d v="2018-01-01T00:00:00"/>
    <n v="11"/>
    <n v="0"/>
    <n v="1"/>
    <n v="190.35"/>
    <n v="107.584"/>
    <n v="13.35"/>
    <n v="47.16599999999999"/>
    <s v="8-14 days"/>
  </r>
  <r>
    <s v="a282bbabfdb09520b2f881eb754ce511"/>
    <x v="2"/>
    <d v="2018-01-30T00:00:00"/>
    <d v="2018-03-02T00:00:00"/>
    <d v="2018-02-24T00:00:00"/>
    <s v="housewares"/>
    <n v="52.84"/>
    <n v="17.190000000000001"/>
    <s v="credit_card"/>
    <n v="2"/>
    <s v="delivered"/>
    <d v="2018-01-01T00:00:00"/>
    <n v="31"/>
    <n v="6"/>
    <n v="0"/>
    <n v="70.03"/>
    <n v="33.289200000000001"/>
    <n v="10.314"/>
    <n v="9.2368000000000023"/>
    <s v="22+ days"/>
  </r>
  <r>
    <s v="10335eb47acf41f0902fe243b3efbaa9"/>
    <x v="0"/>
    <d v="2018-01-30T00:00:00"/>
    <d v="2018-02-12T00:00:00"/>
    <d v="2018-02-19T00:00:00"/>
    <s v="furniture_decor"/>
    <n v="117.93"/>
    <n v="15.69"/>
    <s v="credit_card"/>
    <n v="5"/>
    <s v="delivered"/>
    <d v="2018-01-01T00:00:00"/>
    <n v="13"/>
    <n v="0"/>
    <n v="1"/>
    <n v="133.62"/>
    <n v="82.551000000000002"/>
    <n v="9.4139999999999997"/>
    <n v="25.965000000000003"/>
    <s v="8-14 days"/>
  </r>
  <r>
    <s v="affce532d84606250effa0c12e3a9584"/>
    <x v="4"/>
    <d v="2018-01-30T00:00:00"/>
    <d v="2018-02-11T00:00:00"/>
    <d v="2018-02-18T00:00:00"/>
    <s v="sports_leisure"/>
    <n v="56.76"/>
    <n v="23.52"/>
    <s v="boleto"/>
    <n v="3"/>
    <s v="delivered"/>
    <d v="2018-01-01T00:00:00"/>
    <n v="12"/>
    <n v="0"/>
    <n v="1"/>
    <n v="80.28"/>
    <n v="36.3264"/>
    <n v="14.112"/>
    <n v="6.3215999999999983"/>
    <s v="8-14 days"/>
  </r>
  <r>
    <s v="65dc8a7e3756befe8e2e160ab054d5c8"/>
    <x v="0"/>
    <d v="2018-01-30T00:00:00"/>
    <d v="2018-02-09T00:00:00"/>
    <d v="2018-02-10T00:00:00"/>
    <s v="health_beauty"/>
    <n v="82.63"/>
    <n v="21.62"/>
    <s v="credit_card"/>
    <n v="4"/>
    <s v="delivered"/>
    <d v="2018-01-01T00:00:00"/>
    <n v="10"/>
    <n v="0"/>
    <n v="1"/>
    <n v="104.25"/>
    <n v="47.925399999999996"/>
    <n v="12.972"/>
    <n v="21.732599999999998"/>
    <s v="8-14 days"/>
  </r>
  <r>
    <s v="3c7cb085c784f38bba85241b77087d96"/>
    <x v="3"/>
    <d v="2018-01-30T00:00:00"/>
    <d v="2018-02-09T00:00:00"/>
    <d v="2018-02-24T00:00:00"/>
    <s v="health_beauty"/>
    <n v="35.630000000000003"/>
    <n v="26.32"/>
    <s v="credit_card"/>
    <n v="4"/>
    <s v="delivered"/>
    <d v="2018-01-01T00:00:00"/>
    <n v="10"/>
    <n v="0"/>
    <n v="1"/>
    <n v="61.95"/>
    <n v="20.665400000000002"/>
    <n v="15.792"/>
    <n v="-0.82739999999999903"/>
    <s v="8-14 days"/>
  </r>
  <r>
    <s v="d0ef118d9315e61eba1e47dc3cdc8310"/>
    <x v="0"/>
    <d v="2018-01-30T00:00:00"/>
    <d v="2018-02-08T00:00:00"/>
    <d v="2018-02-16T00:00:00"/>
    <s v="health_beauty"/>
    <n v="47.1"/>
    <n v="21.78"/>
    <s v="credit_card"/>
    <n v="4"/>
    <s v="delivered"/>
    <d v="2018-01-01T00:00:00"/>
    <n v="9"/>
    <n v="0"/>
    <n v="1"/>
    <n v="68.88"/>
    <n v="27.317999999999998"/>
    <n v="13.068"/>
    <n v="6.714000000000004"/>
    <s v="8-14 days"/>
  </r>
  <r>
    <s v="1e57deb08695864941ee0c2383818bda"/>
    <x v="0"/>
    <d v="2018-01-31T00:00:00"/>
    <d v="2018-02-07T00:00:00"/>
    <d v="2018-02-16T00:00:00"/>
    <s v="furniture_decor"/>
    <n v="154.06"/>
    <n v="18.04"/>
    <s v="credit_card"/>
    <n v="4"/>
    <s v="delivered"/>
    <d v="2018-01-01T00:00:00"/>
    <n v="7"/>
    <n v="0"/>
    <n v="1"/>
    <n v="172.1"/>
    <n v="107.842"/>
    <n v="10.824"/>
    <n v="35.394000000000005"/>
    <s v="0-7 days"/>
  </r>
  <r>
    <s v="abff9892c722acc4bd457fdb364665ab"/>
    <x v="0"/>
    <d v="2018-01-31T00:00:00"/>
    <d v="2018-02-04T00:00:00"/>
    <d v="2018-02-17T00:00:00"/>
    <s v="health_beauty"/>
    <n v="74"/>
    <n v="15.33"/>
    <s v="credit_card"/>
    <n v="4"/>
    <s v="delivered"/>
    <d v="2018-01-01T00:00:00"/>
    <n v="4"/>
    <n v="0"/>
    <n v="1"/>
    <n v="89.33"/>
    <n v="42.919999999999995"/>
    <n v="9.1980000000000004"/>
    <n v="21.882000000000005"/>
    <s v="0-7 days"/>
  </r>
  <r>
    <s v="0bb432b3d2e76deb10b6a6622ac1d5ca"/>
    <x v="1"/>
    <d v="2018-02-01T00:00:00"/>
    <d v="2018-02-17T00:00:00"/>
    <d v="2018-02-22T00:00:00"/>
    <s v="sports_leisure"/>
    <n v="57.13"/>
    <n v="23.38"/>
    <s v="credit_card"/>
    <n v="5"/>
    <s v="delivered"/>
    <d v="2018-02-01T00:00:00"/>
    <n v="16"/>
    <n v="0"/>
    <n v="1"/>
    <n v="80.510000000000005"/>
    <n v="36.563200000000002"/>
    <n v="14.027999999999999"/>
    <n v="6.5388000000000019"/>
    <s v="15-21 days"/>
  </r>
  <r>
    <s v="4a298783099c492957059671b031a179"/>
    <x v="8"/>
    <d v="2018-02-01T00:00:00"/>
    <d v="2018-02-28T00:00:00"/>
    <d v="2018-02-22T00:00:00"/>
    <s v="furniture_decor"/>
    <n v="90.27"/>
    <n v="17.41"/>
    <s v="credit_card"/>
    <n v="3"/>
    <s v="delivered"/>
    <d v="2018-02-01T00:00:00"/>
    <n v="27"/>
    <n v="6"/>
    <n v="0"/>
    <n v="107.67999999999999"/>
    <n v="63.188999999999993"/>
    <n v="10.446"/>
    <n v="16.635000000000005"/>
    <s v="22+ days"/>
  </r>
  <r>
    <s v="50ebda02ece22b67e94d11330a9ffb25"/>
    <x v="0"/>
    <d v="2018-02-01T00:00:00"/>
    <d v="2018-02-10T00:00:00"/>
    <d v="2018-02-19T00:00:00"/>
    <s v="toys"/>
    <n v="85.44"/>
    <n v="16.75"/>
    <s v="boleto"/>
    <n v="5"/>
    <s v="delivered"/>
    <d v="2018-02-01T00:00:00"/>
    <n v="9"/>
    <n v="0"/>
    <n v="1"/>
    <n v="102.19"/>
    <n v="51.263999999999996"/>
    <n v="10.049999999999999"/>
    <n v="24.126000000000005"/>
    <s v="8-14 days"/>
  </r>
  <r>
    <s v="bc5f615359d627e32af15324f914cc19"/>
    <x v="0"/>
    <d v="2018-02-02T00:00:00"/>
    <d v="2018-02-06T00:00:00"/>
    <d v="2018-02-17T00:00:00"/>
    <s v="auto"/>
    <n v="83"/>
    <n v="19.329999999999998"/>
    <s v="credit_card"/>
    <n v="3"/>
    <s v="delivered"/>
    <d v="2018-02-01T00:00:00"/>
    <n v="4"/>
    <n v="0"/>
    <n v="1"/>
    <n v="102.33"/>
    <n v="56.440000000000005"/>
    <n v="11.597999999999999"/>
    <n v="14.961999999999996"/>
    <s v="0-7 days"/>
  </r>
  <r>
    <s v="9b1fc6d1388149dc5dc960970c90e028"/>
    <x v="0"/>
    <d v="2018-02-03T00:00:00"/>
    <d v="2018-02-09T00:00:00"/>
    <d v="2018-02-21T00:00:00"/>
    <s v="sports_leisure"/>
    <n v="87.77"/>
    <n v="18.45"/>
    <s v="credit_card"/>
    <n v="5"/>
    <s v="delivered"/>
    <d v="2018-02-01T00:00:00"/>
    <n v="6"/>
    <n v="0"/>
    <n v="1"/>
    <n v="106.22"/>
    <n v="56.172799999999995"/>
    <n v="11.069999999999999"/>
    <n v="20.527200000000001"/>
    <s v="0-7 days"/>
  </r>
  <r>
    <s v="fc9dc0d0c2d94cc9dcdbf14e5ca59057"/>
    <x v="0"/>
    <d v="2018-02-03T00:00:00"/>
    <d v="2018-02-15T00:00:00"/>
    <d v="2018-02-18T00:00:00"/>
    <s v="health_beauty"/>
    <n v="37.78"/>
    <n v="12.26"/>
    <s v="credit_card"/>
    <n v="5"/>
    <s v="delivered"/>
    <d v="2018-02-01T00:00:00"/>
    <n v="12"/>
    <n v="0"/>
    <n v="1"/>
    <n v="50.04"/>
    <n v="21.912399999999998"/>
    <n v="7.3559999999999999"/>
    <n v="8.5116000000000032"/>
    <s v="8-14 days"/>
  </r>
  <r>
    <s v="69d533176dc75587cd40b648235398a6"/>
    <x v="0"/>
    <d v="2018-02-03T00:00:00"/>
    <d v="2018-02-08T00:00:00"/>
    <d v="2018-02-16T00:00:00"/>
    <s v="health_beauty"/>
    <n v="135.36000000000001"/>
    <n v="21.47"/>
    <s v="boleto"/>
    <n v="5"/>
    <s v="delivered"/>
    <d v="2018-02-01T00:00:00"/>
    <n v="5"/>
    <n v="0"/>
    <n v="1"/>
    <n v="156.83000000000001"/>
    <n v="78.508800000000008"/>
    <n v="12.882"/>
    <n v="43.969200000000008"/>
    <s v="0-7 days"/>
  </r>
  <r>
    <s v="6da7c95b5d4f97154c9df0495fd2bec3"/>
    <x v="0"/>
    <d v="2018-02-03T00:00:00"/>
    <d v="2018-02-13T00:00:00"/>
    <d v="2018-02-15T00:00:00"/>
    <s v="bed_bath_table"/>
    <n v="103.45"/>
    <n v="17.510000000000002"/>
    <s v="boleto"/>
    <n v="5"/>
    <s v="delivered"/>
    <d v="2018-02-01T00:00:00"/>
    <n v="10"/>
    <n v="0"/>
    <n v="1"/>
    <n v="120.96000000000001"/>
    <n v="64.138999999999996"/>
    <n v="10.506"/>
    <n v="28.805000000000007"/>
    <s v="8-14 days"/>
  </r>
  <r>
    <s v="d1c76cf135d3fe5b881fea11d36b06cd"/>
    <x v="3"/>
    <d v="2018-02-03T00:00:00"/>
    <d v="2018-02-24T00:00:00"/>
    <d v="2018-02-28T00:00:00"/>
    <s v="toys"/>
    <n v="134.12"/>
    <n v="23.67"/>
    <s v="credit_card"/>
    <n v="5"/>
    <s v="delivered"/>
    <d v="2018-02-01T00:00:00"/>
    <n v="21"/>
    <n v="0"/>
    <n v="1"/>
    <n v="157.79000000000002"/>
    <n v="80.471999999999994"/>
    <n v="14.202"/>
    <n v="39.446000000000012"/>
    <s v="15-21 days"/>
  </r>
  <r>
    <s v="2bc133fba9065b41b9be1d009ba585ae"/>
    <x v="0"/>
    <d v="2018-02-03T00:00:00"/>
    <d v="2018-02-14T00:00:00"/>
    <d v="2018-02-18T00:00:00"/>
    <s v="health_beauty"/>
    <n v="102.24"/>
    <n v="19.34"/>
    <s v="credit_card"/>
    <n v="4"/>
    <s v="delivered"/>
    <d v="2018-02-01T00:00:00"/>
    <n v="11"/>
    <n v="0"/>
    <n v="1"/>
    <n v="121.58"/>
    <n v="59.299199999999992"/>
    <n v="11.603999999999999"/>
    <n v="31.336800000000004"/>
    <s v="8-14 days"/>
  </r>
  <r>
    <s v="c099739c91de413f3ee373b4e88859dd"/>
    <x v="0"/>
    <d v="2018-02-03T00:00:00"/>
    <d v="2018-02-10T00:00:00"/>
    <d v="2018-02-18T00:00:00"/>
    <s v="bed_bath_table"/>
    <n v="112.79"/>
    <n v="16.29"/>
    <s v="credit_card"/>
    <n v="5"/>
    <s v="delivered"/>
    <d v="2018-02-01T00:00:00"/>
    <n v="7"/>
    <n v="0"/>
    <n v="1"/>
    <n v="129.08000000000001"/>
    <n v="69.9298"/>
    <n v="9.7739999999999991"/>
    <n v="33.086200000000005"/>
    <s v="0-7 days"/>
  </r>
  <r>
    <s v="5512a5075f15ee3f891887a73620ab79"/>
    <x v="7"/>
    <d v="2018-02-04T00:00:00"/>
    <d v="2018-02-19T00:00:00"/>
    <d v="2018-02-25T00:00:00"/>
    <s v="computers_accessories"/>
    <n v="104.37"/>
    <n v="24.18"/>
    <s v="credit_card"/>
    <n v="3"/>
    <s v="delivered"/>
    <d v="2018-02-01T00:00:00"/>
    <n v="15"/>
    <n v="0"/>
    <n v="1"/>
    <n v="128.55000000000001"/>
    <n v="77.233800000000002"/>
    <n v="14.507999999999999"/>
    <n v="12.628200000000003"/>
    <s v="15-21 days"/>
  </r>
  <r>
    <s v="38e61f158dba2c36fb0100d9d2d93182"/>
    <x v="0"/>
    <d v="2018-02-04T00:00:00"/>
    <d v="2018-02-24T00:00:00"/>
    <d v="2018-02-20T00:00:00"/>
    <s v="bed_bath_table"/>
    <n v="63.35"/>
    <n v="20.64"/>
    <s v="boleto"/>
    <n v="2"/>
    <s v="delivered"/>
    <d v="2018-02-01T00:00:00"/>
    <n v="20"/>
    <n v="4"/>
    <n v="0"/>
    <n v="83.990000000000009"/>
    <n v="39.277000000000001"/>
    <n v="12.384"/>
    <n v="11.689"/>
    <s v="15-21 days"/>
  </r>
  <r>
    <s v="5315746f2e9ebcda0f2d73b932173c94"/>
    <x v="4"/>
    <d v="2018-02-04T00:00:00"/>
    <d v="2018-02-18T00:00:00"/>
    <d v="2018-02-23T00:00:00"/>
    <s v="health_beauty"/>
    <n v="228.83"/>
    <n v="31.54"/>
    <s v="credit_card"/>
    <n v="3"/>
    <s v="delivered"/>
    <d v="2018-02-01T00:00:00"/>
    <n v="14"/>
    <n v="0"/>
    <n v="1"/>
    <n v="260.37"/>
    <n v="132.72139999999999"/>
    <n v="18.923999999999999"/>
    <n v="77.184600000000017"/>
    <s v="8-14 days"/>
  </r>
  <r>
    <s v="03c72ba8d605e7708a63f881ffd0f9d5"/>
    <x v="0"/>
    <d v="2018-02-05T00:00:00"/>
    <d v="2018-02-12T00:00:00"/>
    <d v="2018-02-20T00:00:00"/>
    <s v="furniture_decor"/>
    <n v="212.34"/>
    <n v="15.28"/>
    <s v="voucher"/>
    <n v="5"/>
    <s v="delivered"/>
    <d v="2018-02-01T00:00:00"/>
    <n v="7"/>
    <n v="0"/>
    <n v="1"/>
    <n v="227.62"/>
    <n v="148.63800000000001"/>
    <n v="9.1679999999999993"/>
    <n v="54.533999999999999"/>
    <s v="0-7 days"/>
  </r>
  <r>
    <s v="4b86b5a1ca6fbff8564cfbd2bc92fd81"/>
    <x v="4"/>
    <d v="2018-02-05T00:00:00"/>
    <d v="2018-02-23T00:00:00"/>
    <d v="2018-02-26T00:00:00"/>
    <s v="health_beauty"/>
    <n v="73.44"/>
    <n v="18.079999999999998"/>
    <s v="credit_card"/>
    <n v="5"/>
    <s v="delivered"/>
    <d v="2018-02-01T00:00:00"/>
    <n v="18"/>
    <n v="0"/>
    <n v="1"/>
    <n v="91.52"/>
    <n v="42.595199999999998"/>
    <n v="10.847999999999999"/>
    <n v="19.9968"/>
    <s v="15-21 days"/>
  </r>
  <r>
    <s v="75d106f2849c30c6dffa28aec353ac87"/>
    <x v="0"/>
    <d v="2018-02-05T00:00:00"/>
    <d v="2018-02-23T00:00:00"/>
    <d v="2018-02-21T00:00:00"/>
    <s v="housewares"/>
    <n v="25.29"/>
    <n v="15.87"/>
    <s v="boleto"/>
    <n v="3"/>
    <s v="delivered"/>
    <d v="2018-02-01T00:00:00"/>
    <n v="18"/>
    <n v="2"/>
    <n v="0"/>
    <n v="41.16"/>
    <n v="15.932699999999999"/>
    <n v="9.5219999999999985"/>
    <n v="-0.16469999999999807"/>
    <s v="15-21 days"/>
  </r>
  <r>
    <s v="386e995d3b0148933d9d38e36e078bdc"/>
    <x v="0"/>
    <d v="2018-02-05T00:00:00"/>
    <d v="2018-02-14T00:00:00"/>
    <d v="2018-02-22T00:00:00"/>
    <s v="bed_bath_table"/>
    <n v="49.01"/>
    <n v="14.39"/>
    <s v="credit_card"/>
    <n v="4"/>
    <s v="delivered"/>
    <d v="2018-02-01T00:00:00"/>
    <n v="9"/>
    <n v="0"/>
    <n v="1"/>
    <n v="63.4"/>
    <n v="30.386199999999999"/>
    <n v="8.6340000000000003"/>
    <n v="9.9897999999999989"/>
    <s v="8-14 days"/>
  </r>
  <r>
    <s v="6576796ddf61dbe1b7146c4411b21524"/>
    <x v="2"/>
    <d v="2018-02-05T00:00:00"/>
    <d v="2018-02-18T00:00:00"/>
    <d v="2018-03-01T00:00:00"/>
    <s v="toys"/>
    <n v="150.12"/>
    <n v="20"/>
    <s v="credit_card"/>
    <n v="5"/>
    <s v="delivered"/>
    <d v="2018-02-01T00:00:00"/>
    <n v="13"/>
    <n v="0"/>
    <n v="1"/>
    <n v="170.12"/>
    <n v="90.072000000000003"/>
    <n v="12"/>
    <n v="48.048000000000002"/>
    <s v="8-14 days"/>
  </r>
  <r>
    <s v="aee5b68c6093418ae4723a97a7178558"/>
    <x v="0"/>
    <d v="2018-02-05T00:00:00"/>
    <d v="2018-02-16T00:00:00"/>
    <d v="2018-02-19T00:00:00"/>
    <s v="bed_bath_table"/>
    <n v="66.349999999999994"/>
    <n v="11.93"/>
    <s v="credit_card"/>
    <n v="4"/>
    <s v="delivered"/>
    <d v="2018-02-01T00:00:00"/>
    <n v="11"/>
    <n v="0"/>
    <n v="1"/>
    <n v="78.28"/>
    <n v="41.136999999999993"/>
    <n v="7.1579999999999995"/>
    <n v="18.055"/>
    <s v="8-14 days"/>
  </r>
  <r>
    <s v="d1e62f2eb5798280e9c7d673e3c08f2d"/>
    <x v="4"/>
    <d v="2018-02-05T00:00:00"/>
    <d v="2018-02-18T00:00:00"/>
    <d v="2018-02-26T00:00:00"/>
    <s v="sports_leisure"/>
    <n v="140.72"/>
    <n v="26.43"/>
    <s v="credit_card"/>
    <n v="3"/>
    <s v="delivered"/>
    <d v="2018-02-01T00:00:00"/>
    <n v="13"/>
    <n v="0"/>
    <n v="1"/>
    <n v="167.15"/>
    <n v="90.0608"/>
    <n v="15.857999999999999"/>
    <n v="34.801200000000001"/>
    <s v="8-14 days"/>
  </r>
  <r>
    <s v="eb04159c0cf173f974d9d1f508775804"/>
    <x v="8"/>
    <d v="2018-02-06T00:00:00"/>
    <d v="2018-02-17T00:00:00"/>
    <d v="2018-02-27T00:00:00"/>
    <s v="health_beauty"/>
    <n v="139.52000000000001"/>
    <n v="18.34"/>
    <s v="credit_card"/>
    <n v="4"/>
    <s v="delivered"/>
    <d v="2018-02-01T00:00:00"/>
    <n v="11"/>
    <n v="0"/>
    <n v="1"/>
    <n v="157.86000000000001"/>
    <n v="80.921599999999998"/>
    <n v="11.004"/>
    <n v="47.594400000000014"/>
    <s v="8-14 days"/>
  </r>
  <r>
    <s v="639d8fe7790b185c355cca9cfb6bf1dc"/>
    <x v="0"/>
    <d v="2018-02-06T00:00:00"/>
    <d v="2018-02-10T00:00:00"/>
    <d v="2018-02-18T00:00:00"/>
    <s v="bed_bath_table"/>
    <n v="62.72"/>
    <n v="17.23"/>
    <s v="credit_card"/>
    <n v="5"/>
    <s v="delivered"/>
    <d v="2018-02-01T00:00:00"/>
    <n v="4"/>
    <n v="0"/>
    <n v="1"/>
    <n v="79.95"/>
    <n v="38.886400000000002"/>
    <n v="10.337999999999999"/>
    <n v="13.495599999999998"/>
    <s v="0-7 days"/>
  </r>
  <r>
    <s v="378a8ba6e608d6d31d62c6b55d697934"/>
    <x v="4"/>
    <d v="2018-02-06T00:00:00"/>
    <d v="2018-02-18T00:00:00"/>
    <d v="2018-03-01T00:00:00"/>
    <s v="furniture_decor"/>
    <n v="101.47"/>
    <n v="19.059999999999999"/>
    <s v="credit_card"/>
    <n v="5"/>
    <s v="delivered"/>
    <d v="2018-02-01T00:00:00"/>
    <n v="12"/>
    <n v="0"/>
    <n v="1"/>
    <n v="120.53"/>
    <n v="71.028999999999996"/>
    <n v="11.435999999999998"/>
    <n v="19.005000000000003"/>
    <s v="8-14 days"/>
  </r>
  <r>
    <s v="df3e03c2217244cf08081d218d204cf6"/>
    <x v="7"/>
    <d v="2018-02-06T00:00:00"/>
    <d v="2018-02-15T00:00:00"/>
    <d v="2018-02-27T00:00:00"/>
    <s v="furniture_decor"/>
    <n v="195.47"/>
    <n v="19.79"/>
    <s v="voucher"/>
    <n v="5"/>
    <s v="delivered"/>
    <d v="2018-02-01T00:00:00"/>
    <n v="9"/>
    <n v="0"/>
    <n v="1"/>
    <n v="215.26"/>
    <n v="136.82899999999998"/>
    <n v="11.873999999999999"/>
    <n v="46.767000000000024"/>
    <s v="8-14 days"/>
  </r>
  <r>
    <s v="a9ae7949c5b504dd4e28c5e937080b78"/>
    <x v="0"/>
    <d v="2018-02-06T00:00:00"/>
    <d v="2018-02-15T00:00:00"/>
    <d v="2018-02-24T00:00:00"/>
    <s v="bed_bath_table"/>
    <n v="81.069999999999993"/>
    <n v="20.440000000000001"/>
    <s v="credit_card"/>
    <n v="5"/>
    <s v="delivered"/>
    <d v="2018-02-01T00:00:00"/>
    <n v="9"/>
    <n v="0"/>
    <n v="1"/>
    <n v="101.50999999999999"/>
    <n v="50.263399999999997"/>
    <n v="12.264000000000001"/>
    <n v="18.542599999999993"/>
    <s v="8-14 days"/>
  </r>
  <r>
    <s v="ddc418d24a658a7dc1f5e0145fa881b0"/>
    <x v="2"/>
    <d v="2018-02-07T00:00:00"/>
    <d v="2018-02-18T00:00:00"/>
    <d v="2018-03-05T00:00:00"/>
    <s v="auto"/>
    <n v="126.8"/>
    <n v="32.51"/>
    <s v="boleto"/>
    <n v="5"/>
    <s v="delivered"/>
    <d v="2018-02-01T00:00:00"/>
    <n v="11"/>
    <n v="0"/>
    <n v="1"/>
    <n v="159.31"/>
    <n v="86.224000000000004"/>
    <n v="19.505999999999997"/>
    <n v="21.069999999999997"/>
    <s v="8-14 days"/>
  </r>
  <r>
    <s v="22498f666e51484d1b84edc3d8e049de"/>
    <x v="5"/>
    <d v="2018-02-08T00:00:00"/>
    <d v="2018-02-19T00:00:00"/>
    <d v="2018-03-07T00:00:00"/>
    <s v="toys"/>
    <n v="112.59"/>
    <n v="25.92"/>
    <s v="boleto"/>
    <n v="5"/>
    <s v="delivered"/>
    <d v="2018-02-01T00:00:00"/>
    <n v="11"/>
    <n v="0"/>
    <n v="1"/>
    <n v="138.51"/>
    <n v="67.554000000000002"/>
    <n v="15.552"/>
    <n v="29.484000000000002"/>
    <s v="8-14 days"/>
  </r>
  <r>
    <s v="d08c1e18b4a5f712a74b151c4b2cdc4e"/>
    <x v="3"/>
    <d v="2018-02-08T00:00:00"/>
    <d v="2018-02-25T00:00:00"/>
    <d v="2018-03-06T00:00:00"/>
    <s v="watches_gifts"/>
    <n v="215.54"/>
    <n v="26.49"/>
    <s v="credit_card"/>
    <n v="3"/>
    <s v="delivered"/>
    <d v="2018-02-01T00:00:00"/>
    <n v="17"/>
    <n v="0"/>
    <n v="1"/>
    <n v="242.03"/>
    <n v="142.25640000000001"/>
    <n v="15.893999999999998"/>
    <n v="57.38959999999998"/>
    <s v="15-21 days"/>
  </r>
  <r>
    <s v="67f396b405109ebfb347fd7bf0e3b50f"/>
    <x v="3"/>
    <d v="2018-02-08T00:00:00"/>
    <d v="2018-02-21T00:00:00"/>
    <d v="2018-03-04T00:00:00"/>
    <s v="bed_bath_table"/>
    <n v="62.92"/>
    <n v="27.19"/>
    <s v="voucher"/>
    <n v="3"/>
    <s v="delivered"/>
    <d v="2018-02-01T00:00:00"/>
    <n v="13"/>
    <n v="0"/>
    <n v="1"/>
    <n v="90.11"/>
    <n v="39.010400000000004"/>
    <n v="16.314"/>
    <n v="7.5955999999999975"/>
    <s v="8-14 days"/>
  </r>
  <r>
    <s v="797486268352a5d609954fc3efb3eb37"/>
    <x v="3"/>
    <d v="2018-02-08T00:00:00"/>
    <d v="2018-02-18T00:00:00"/>
    <d v="2018-03-01T00:00:00"/>
    <s v="bed_bath_table"/>
    <n v="71.28"/>
    <n v="18.8"/>
    <s v="credit_card"/>
    <n v="5"/>
    <s v="delivered"/>
    <d v="2018-02-01T00:00:00"/>
    <n v="10"/>
    <n v="0"/>
    <n v="1"/>
    <n v="90.08"/>
    <n v="44.193600000000004"/>
    <n v="11.28"/>
    <n v="15.806399999999998"/>
    <s v="8-14 days"/>
  </r>
  <r>
    <s v="6f45bada81fa9da6098b5863bb4db99f"/>
    <x v="4"/>
    <d v="2018-02-08T00:00:00"/>
    <d v="2018-02-26T00:00:00"/>
    <d v="2018-02-28T00:00:00"/>
    <s v="auto"/>
    <n v="98.85"/>
    <n v="24.55"/>
    <s v="boleto"/>
    <n v="4"/>
    <s v="delivered"/>
    <d v="2018-02-01T00:00:00"/>
    <n v="18"/>
    <n v="0"/>
    <n v="1"/>
    <n v="123.39999999999999"/>
    <n v="67.218000000000004"/>
    <n v="14.73"/>
    <n v="16.90199999999999"/>
    <s v="15-21 days"/>
  </r>
  <r>
    <s v="8f9797b06d7ce3c9b4a69f3c8d3aed99"/>
    <x v="8"/>
    <d v="2018-02-09T00:00:00"/>
    <d v="2018-02-18T00:00:00"/>
    <d v="2018-03-04T00:00:00"/>
    <s v="housewares"/>
    <n v="96.6"/>
    <n v="27.53"/>
    <s v="credit_card"/>
    <n v="5"/>
    <s v="delivered"/>
    <d v="2018-02-01T00:00:00"/>
    <n v="9"/>
    <n v="0"/>
    <n v="1"/>
    <n v="124.13"/>
    <n v="60.857999999999997"/>
    <n v="16.518000000000001"/>
    <n v="19.223999999999997"/>
    <s v="8-14 days"/>
  </r>
  <r>
    <s v="091f73f3a046d4d3e0a8a8afd66f3fff"/>
    <x v="0"/>
    <d v="2018-02-09T00:00:00"/>
    <d v="2018-02-16T00:00:00"/>
    <d v="2018-02-24T00:00:00"/>
    <s v="watches_gifts"/>
    <n v="152.13999999999999"/>
    <n v="19.399999999999999"/>
    <s v="voucher"/>
    <n v="4"/>
    <s v="delivered"/>
    <d v="2018-02-01T00:00:00"/>
    <n v="7"/>
    <n v="0"/>
    <n v="1"/>
    <n v="171.54"/>
    <n v="100.41239999999999"/>
    <n v="11.639999999999999"/>
    <n v="40.087599999999995"/>
    <s v="0-7 days"/>
  </r>
  <r>
    <s v="41d893a5ffc7aba263719357f7a58f8d"/>
    <x v="0"/>
    <d v="2018-02-09T00:00:00"/>
    <d v="2018-02-15T00:00:00"/>
    <d v="2018-02-26T00:00:00"/>
    <s v="sports_leisure"/>
    <n v="35.71"/>
    <n v="13.04"/>
    <s v="boleto"/>
    <n v="5"/>
    <s v="delivered"/>
    <d v="2018-02-01T00:00:00"/>
    <n v="6"/>
    <n v="0"/>
    <n v="1"/>
    <n v="48.75"/>
    <n v="22.854400000000002"/>
    <n v="7.823999999999999"/>
    <n v="5.0316000000000001"/>
    <s v="0-7 days"/>
  </r>
  <r>
    <s v="89ed4d64b984933d7745c60d1349ca14"/>
    <x v="11"/>
    <d v="2018-02-09T00:00:00"/>
    <d v="2018-03-07T00:00:00"/>
    <d v="2018-03-14T00:00:00"/>
    <s v="watches_gifts"/>
    <n v="354.71"/>
    <n v="50.46"/>
    <s v="credit_card"/>
    <n v="2"/>
    <s v="delivered"/>
    <d v="2018-02-01T00:00:00"/>
    <n v="26"/>
    <n v="0"/>
    <n v="1"/>
    <n v="405.16999999999996"/>
    <n v="234.1086"/>
    <n v="30.276"/>
    <n v="90.325399999999988"/>
    <s v="22+ days"/>
  </r>
  <r>
    <s v="18f23779e63f174d0f4634eff98b05df"/>
    <x v="1"/>
    <d v="2018-02-09T00:00:00"/>
    <d v="2018-02-16T00:00:00"/>
    <d v="2018-03-04T00:00:00"/>
    <s v="health_beauty"/>
    <n v="93.64"/>
    <n v="20.399999999999999"/>
    <s v="credit_card"/>
    <n v="5"/>
    <s v="delivered"/>
    <d v="2018-02-01T00:00:00"/>
    <n v="7"/>
    <n v="0"/>
    <n v="1"/>
    <n v="114.03999999999999"/>
    <n v="54.311199999999999"/>
    <n v="12.239999999999998"/>
    <n v="27.088800000000003"/>
    <s v="0-7 days"/>
  </r>
  <r>
    <s v="92ecc3bd16757d7ed9fafbb9d8a712cb"/>
    <x v="0"/>
    <d v="2018-02-10T00:00:00"/>
    <d v="2018-02-19T00:00:00"/>
    <d v="2018-02-25T00:00:00"/>
    <s v="auto"/>
    <n v="175.11"/>
    <n v="22.39"/>
    <s v="boleto"/>
    <n v="4"/>
    <s v="delivered"/>
    <d v="2018-02-01T00:00:00"/>
    <n v="9"/>
    <n v="0"/>
    <n v="1"/>
    <n v="197.5"/>
    <n v="119.07480000000002"/>
    <n v="13.433999999999999"/>
    <n v="42.601199999999992"/>
    <s v="8-14 days"/>
  </r>
  <r>
    <s v="362e75cf3e573ce2a49acb023d46aa7f"/>
    <x v="4"/>
    <d v="2018-02-10T00:00:00"/>
    <d v="2018-02-27T00:00:00"/>
    <d v="2018-03-02T00:00:00"/>
    <s v="bed_bath_table"/>
    <n v="27.89"/>
    <n v="16.05"/>
    <s v="credit_card"/>
    <n v="5"/>
    <s v="delivered"/>
    <d v="2018-02-01T00:00:00"/>
    <n v="17"/>
    <n v="0"/>
    <n v="1"/>
    <n v="43.94"/>
    <n v="17.291799999999999"/>
    <n v="9.6300000000000008"/>
    <n v="0.96820000000000128"/>
    <s v="15-21 days"/>
  </r>
  <r>
    <s v="0b102144f687df9ed99989111c3de334"/>
    <x v="3"/>
    <d v="2018-02-10T00:00:00"/>
    <d v="2018-02-27T00:00:00"/>
    <d v="2018-03-06T00:00:00"/>
    <s v="toys"/>
    <n v="237.43"/>
    <n v="24"/>
    <s v="credit_card"/>
    <n v="5"/>
    <s v="delivered"/>
    <d v="2018-02-01T00:00:00"/>
    <n v="17"/>
    <n v="0"/>
    <n v="1"/>
    <n v="261.43"/>
    <n v="142.458"/>
    <n v="14.399999999999999"/>
    <n v="80.572000000000003"/>
    <s v="15-21 days"/>
  </r>
  <r>
    <s v="4362262de07ee721e71d6ba3486dce57"/>
    <x v="0"/>
    <d v="2018-02-11T00:00:00"/>
    <d v="2018-02-22T00:00:00"/>
    <d v="2018-02-25T00:00:00"/>
    <s v="bed_bath_table"/>
    <n v="257.93"/>
    <n v="25.38"/>
    <s v="credit_card"/>
    <n v="5"/>
    <s v="delivered"/>
    <d v="2018-02-01T00:00:00"/>
    <n v="11"/>
    <n v="0"/>
    <n v="1"/>
    <n v="283.31"/>
    <n v="159.91660000000002"/>
    <n v="15.227999999999998"/>
    <n v="82.785399999999996"/>
    <s v="8-14 days"/>
  </r>
  <r>
    <s v="10168d654f90f91a544810de2a1b76e3"/>
    <x v="9"/>
    <d v="2018-02-11T00:00:00"/>
    <d v="2018-02-19T00:00:00"/>
    <d v="2018-03-11T00:00:00"/>
    <s v="auto"/>
    <n v="101.26"/>
    <n v="22.15"/>
    <s v="credit_card"/>
    <n v="5"/>
    <s v="delivered"/>
    <d v="2018-02-01T00:00:00"/>
    <n v="8"/>
    <n v="0"/>
    <n v="1"/>
    <n v="123.41"/>
    <n v="68.856800000000007"/>
    <n v="13.29"/>
    <n v="19.113199999999999"/>
    <s v="8-14 days"/>
  </r>
  <r>
    <s v="214ba540ea041d0b1b0c90928127a8f7"/>
    <x v="0"/>
    <d v="2018-02-11T00:00:00"/>
    <d v="2018-02-16T00:00:00"/>
    <d v="2018-02-23T00:00:00"/>
    <s v="housewares"/>
    <n v="53.24"/>
    <n v="13.18"/>
    <s v="credit_card"/>
    <n v="4"/>
    <s v="delivered"/>
    <d v="2018-02-01T00:00:00"/>
    <n v="5"/>
    <n v="0"/>
    <n v="1"/>
    <n v="66.42"/>
    <n v="33.541200000000003"/>
    <n v="7.9079999999999995"/>
    <n v="11.790799999999999"/>
    <s v="0-7 days"/>
  </r>
  <r>
    <s v="776094f625aa620faf7ead9eed5f24c3"/>
    <x v="0"/>
    <d v="2018-02-11T00:00:00"/>
    <d v="2018-02-21T00:00:00"/>
    <d v="2018-02-27T00:00:00"/>
    <s v="housewares"/>
    <n v="62.66"/>
    <n v="11.84"/>
    <s v="credit_card"/>
    <n v="4"/>
    <s v="delivered"/>
    <d v="2018-02-01T00:00:00"/>
    <n v="10"/>
    <n v="0"/>
    <n v="1"/>
    <n v="74.5"/>
    <n v="39.4758"/>
    <n v="7.1040000000000001"/>
    <n v="16.080199999999998"/>
    <s v="8-14 days"/>
  </r>
  <r>
    <s v="d21cf64348c08457464aea483150e60d"/>
    <x v="2"/>
    <d v="2018-02-11T00:00:00"/>
    <d v="2018-02-18T00:00:00"/>
    <d v="2018-03-07T00:00:00"/>
    <s v="computers_accessories"/>
    <n v="210.08"/>
    <n v="19.82"/>
    <s v="boleto"/>
    <n v="4"/>
    <s v="delivered"/>
    <d v="2018-02-01T00:00:00"/>
    <n v="7"/>
    <n v="0"/>
    <n v="1"/>
    <n v="229.9"/>
    <n v="155.45920000000001"/>
    <n v="11.891999999999999"/>
    <n v="42.728800000000007"/>
    <s v="0-7 days"/>
  </r>
  <r>
    <s v="4bdc759502af25377298dc1d07cdc1e3"/>
    <x v="3"/>
    <d v="2018-02-11T00:00:00"/>
    <d v="2018-03-01T00:00:00"/>
    <d v="2018-03-08T00:00:00"/>
    <s v="bed_bath_table"/>
    <n v="62.11"/>
    <n v="23.91"/>
    <s v="credit_card"/>
    <n v="5"/>
    <s v="delivered"/>
    <d v="2018-02-01T00:00:00"/>
    <n v="18"/>
    <n v="0"/>
    <n v="1"/>
    <n v="86.02"/>
    <n v="38.508200000000002"/>
    <n v="14.346"/>
    <n v="9.2557999999999971"/>
    <s v="15-21 days"/>
  </r>
  <r>
    <s v="73c1f6a25e71b6622a1f7077470d8b46"/>
    <x v="0"/>
    <d v="2018-02-11T00:00:00"/>
    <d v="2018-02-18T00:00:00"/>
    <d v="2018-02-26T00:00:00"/>
    <s v="health_beauty"/>
    <n v="81.040000000000006"/>
    <n v="12.28"/>
    <s v="credit_card"/>
    <n v="5"/>
    <s v="delivered"/>
    <d v="2018-02-01T00:00:00"/>
    <n v="7"/>
    <n v="0"/>
    <n v="1"/>
    <n v="93.320000000000007"/>
    <n v="47.0032"/>
    <n v="7.3679999999999994"/>
    <n v="26.668800000000008"/>
    <s v="0-7 days"/>
  </r>
  <r>
    <s v="95db4721ec607079ca9d32b9c54958d7"/>
    <x v="0"/>
    <d v="2018-02-11T00:00:00"/>
    <d v="2018-02-21T00:00:00"/>
    <d v="2018-02-26T00:00:00"/>
    <s v="housewares"/>
    <n v="103.21"/>
    <n v="19.54"/>
    <s v="credit_card"/>
    <n v="4"/>
    <s v="delivered"/>
    <d v="2018-02-01T00:00:00"/>
    <n v="10"/>
    <n v="0"/>
    <n v="1"/>
    <n v="122.75"/>
    <n v="65.022300000000001"/>
    <n v="11.723999999999998"/>
    <n v="26.463699999999996"/>
    <s v="8-14 days"/>
  </r>
  <r>
    <s v="142ee8fe8256fea784266a0564179ff7"/>
    <x v="0"/>
    <d v="2018-02-11T00:00:00"/>
    <d v="2018-02-19T00:00:00"/>
    <d v="2018-02-27T00:00:00"/>
    <s v="watches_gifts"/>
    <n v="267.94"/>
    <n v="22.32"/>
    <s v="credit_card"/>
    <n v="4"/>
    <s v="delivered"/>
    <d v="2018-02-01T00:00:00"/>
    <n v="8"/>
    <n v="0"/>
    <n v="1"/>
    <n v="290.26"/>
    <n v="176.84040000000002"/>
    <n v="13.391999999999999"/>
    <n v="77.707599999999985"/>
    <s v="8-14 days"/>
  </r>
  <r>
    <s v="ffd2f491dff389aa4c36a70c3f5e3b8c"/>
    <x v="0"/>
    <d v="2018-02-12T00:00:00"/>
    <d v="2018-02-21T00:00:00"/>
    <d v="2018-02-28T00:00:00"/>
    <s v="health_beauty"/>
    <n v="62.33"/>
    <n v="18.61"/>
    <s v="credit_card"/>
    <n v="4"/>
    <s v="delivered"/>
    <d v="2018-02-01T00:00:00"/>
    <n v="9"/>
    <n v="0"/>
    <n v="1"/>
    <n v="80.94"/>
    <n v="36.151399999999995"/>
    <n v="11.165999999999999"/>
    <n v="15.012600000000004"/>
    <s v="8-14 days"/>
  </r>
  <r>
    <s v="5bebb1c7977f199a374e65388d548038"/>
    <x v="2"/>
    <d v="2018-02-12T00:00:00"/>
    <d v="2018-03-01T00:00:00"/>
    <d v="2018-03-07T00:00:00"/>
    <s v="bed_bath_table"/>
    <n v="124.39"/>
    <n v="19.95"/>
    <s v="credit_card"/>
    <n v="3"/>
    <s v="delivered"/>
    <d v="2018-02-01T00:00:00"/>
    <n v="17"/>
    <n v="0"/>
    <n v="1"/>
    <n v="144.34"/>
    <n v="77.121799999999993"/>
    <n v="11.969999999999999"/>
    <n v="35.298200000000008"/>
    <s v="15-21 days"/>
  </r>
  <r>
    <s v="c46ea4cd58f1a399fbc77e9877ad0afc"/>
    <x v="8"/>
    <d v="2018-02-12T00:00:00"/>
    <d v="2018-03-01T00:00:00"/>
    <d v="2018-03-06T00:00:00"/>
    <s v="watches_gifts"/>
    <n v="137.04"/>
    <n v="23.35"/>
    <s v="credit_card"/>
    <n v="4"/>
    <s v="delivered"/>
    <d v="2018-02-01T00:00:00"/>
    <n v="17"/>
    <n v="0"/>
    <n v="1"/>
    <n v="160.38999999999999"/>
    <n v="90.446399999999997"/>
    <n v="14.01"/>
    <n v="32.583599999999997"/>
    <s v="15-21 days"/>
  </r>
  <r>
    <s v="334b2922c6e9c9c4df466896cdbc3b08"/>
    <x v="3"/>
    <d v="2018-02-12T00:00:00"/>
    <d v="2018-02-25T00:00:00"/>
    <d v="2018-03-07T00:00:00"/>
    <s v="health_beauty"/>
    <n v="81.73"/>
    <n v="31.03"/>
    <s v="credit_card"/>
    <n v="4"/>
    <s v="delivered"/>
    <d v="2018-02-01T00:00:00"/>
    <n v="13"/>
    <n v="0"/>
    <n v="1"/>
    <n v="112.76"/>
    <n v="47.403399999999998"/>
    <n v="18.617999999999999"/>
    <n v="15.708600000000008"/>
    <s v="8-14 days"/>
  </r>
  <r>
    <s v="5a6f9b6b50702efc37ca273b3506880f"/>
    <x v="0"/>
    <d v="2018-02-13T00:00:00"/>
    <d v="2018-02-27T00:00:00"/>
    <d v="2018-02-26T00:00:00"/>
    <s v="computers_accessories"/>
    <n v="148.65"/>
    <n v="21.75"/>
    <s v="credit_card"/>
    <n v="4"/>
    <s v="delivered"/>
    <d v="2018-02-01T00:00:00"/>
    <n v="14"/>
    <n v="1"/>
    <n v="0"/>
    <n v="170.4"/>
    <n v="110.001"/>
    <n v="13.049999999999999"/>
    <n v="25.599000000000004"/>
    <s v="8-14 days"/>
  </r>
  <r>
    <s v="95ea0734c925f7fa1484e9d65f8c2498"/>
    <x v="0"/>
    <d v="2018-02-13T00:00:00"/>
    <d v="2018-02-21T00:00:00"/>
    <d v="2018-03-01T00:00:00"/>
    <s v="toys"/>
    <n v="209.2"/>
    <n v="18.03"/>
    <s v="credit_card"/>
    <n v="4"/>
    <s v="delivered"/>
    <d v="2018-02-01T00:00:00"/>
    <n v="8"/>
    <n v="0"/>
    <n v="1"/>
    <n v="227.23"/>
    <n v="125.51999999999998"/>
    <n v="10.818"/>
    <n v="72.862000000000009"/>
    <s v="8-14 days"/>
  </r>
  <r>
    <s v="c685d4ec3cbba6ad8b20658ef8a8b40f"/>
    <x v="3"/>
    <d v="2018-02-13T00:00:00"/>
    <d v="2018-02-27T00:00:00"/>
    <d v="2018-03-11T00:00:00"/>
    <s v="furniture_decor"/>
    <n v="73.430000000000007"/>
    <n v="22.57"/>
    <s v="credit_card"/>
    <n v="4"/>
    <s v="delivered"/>
    <d v="2018-02-01T00:00:00"/>
    <n v="14"/>
    <n v="0"/>
    <n v="1"/>
    <n v="96"/>
    <n v="51.401000000000003"/>
    <n v="13.542"/>
    <n v="8.4870000000000037"/>
    <s v="8-14 days"/>
  </r>
  <r>
    <s v="63b1b1812c7350caec85cb819f02e5f4"/>
    <x v="0"/>
    <d v="2018-02-13T00:00:00"/>
    <d v="2018-02-19T00:00:00"/>
    <d v="2018-03-02T00:00:00"/>
    <s v="bed_bath_table"/>
    <n v="180.51"/>
    <n v="17.57"/>
    <s v="debit_card"/>
    <n v="4"/>
    <s v="delivered"/>
    <d v="2018-02-01T00:00:00"/>
    <n v="6"/>
    <n v="0"/>
    <n v="1"/>
    <n v="198.07999999999998"/>
    <n v="111.91619999999999"/>
    <n v="10.542"/>
    <n v="58.0518"/>
    <s v="0-7 days"/>
  </r>
  <r>
    <s v="cb80f288446f64dd5abca6e5d0b1e3eb"/>
    <x v="0"/>
    <d v="2018-02-14T00:00:00"/>
    <d v="2018-02-28T00:00:00"/>
    <d v="2018-03-02T00:00:00"/>
    <s v="bed_bath_table"/>
    <n v="48.91"/>
    <n v="17.010000000000002"/>
    <s v="credit_card"/>
    <n v="4"/>
    <s v="delivered"/>
    <d v="2018-02-01T00:00:00"/>
    <n v="14"/>
    <n v="0"/>
    <n v="1"/>
    <n v="65.92"/>
    <n v="30.324199999999998"/>
    <n v="10.206000000000001"/>
    <n v="8.3797999999999977"/>
    <s v="8-14 days"/>
  </r>
  <r>
    <s v="05539a506facc50db2904e7372c573e9"/>
    <x v="2"/>
    <d v="2018-02-14T00:00:00"/>
    <d v="2018-03-03T00:00:00"/>
    <d v="2018-03-10T00:00:00"/>
    <s v="toys"/>
    <n v="34.380000000000003"/>
    <n v="26.04"/>
    <s v="credit_card"/>
    <n v="5"/>
    <s v="delivered"/>
    <d v="2018-02-01T00:00:00"/>
    <n v="17"/>
    <n v="0"/>
    <n v="1"/>
    <n v="60.42"/>
    <n v="20.628"/>
    <n v="15.623999999999999"/>
    <n v="-1.8719999999999963"/>
    <s v="15-21 days"/>
  </r>
  <r>
    <s v="7b708f15ebfbc97aeefa4d760f67a174"/>
    <x v="1"/>
    <d v="2018-02-14T00:00:00"/>
    <d v="2018-03-10T00:00:00"/>
    <d v="2018-03-10T00:00:00"/>
    <s v="auto"/>
    <n v="154.72999999999999"/>
    <n v="19.440000000000001"/>
    <s v="credit_card"/>
    <n v="4"/>
    <s v="delivered"/>
    <d v="2018-02-01T00:00:00"/>
    <n v="24"/>
    <n v="0"/>
    <n v="1"/>
    <n v="174.17"/>
    <n v="105.21640000000001"/>
    <n v="11.664"/>
    <n v="37.849599999999981"/>
    <s v="22+ days"/>
  </r>
  <r>
    <s v="d2242ae57035dec53b108cbabfcbaa55"/>
    <x v="7"/>
    <d v="2018-02-14T00:00:00"/>
    <d v="2018-02-22T00:00:00"/>
    <d v="2018-03-12T00:00:00"/>
    <s v="furniture_decor"/>
    <n v="83.33"/>
    <n v="16.71"/>
    <s v="credit_card"/>
    <n v="5"/>
    <s v="delivered"/>
    <d v="2018-02-01T00:00:00"/>
    <n v="8"/>
    <n v="0"/>
    <n v="1"/>
    <n v="100.03999999999999"/>
    <n v="58.330999999999996"/>
    <n v="10.026"/>
    <n v="14.973000000000003"/>
    <s v="8-14 days"/>
  </r>
  <r>
    <s v="318cac328771aa3b07cd57062560f364"/>
    <x v="0"/>
    <d v="2018-02-14T00:00:00"/>
    <d v="2018-02-25T00:00:00"/>
    <d v="2018-03-01T00:00:00"/>
    <s v="housewares"/>
    <n v="153.54"/>
    <n v="17.579999999999998"/>
    <s v="credit_card"/>
    <n v="4"/>
    <s v="delivered"/>
    <d v="2018-02-01T00:00:00"/>
    <n v="11"/>
    <n v="0"/>
    <n v="1"/>
    <n v="171.12"/>
    <n v="96.730199999999996"/>
    <n v="10.547999999999998"/>
    <n v="46.261799999999994"/>
    <s v="8-14 days"/>
  </r>
  <r>
    <s v="c268283ee32f2e63b7fddd71a075e927"/>
    <x v="3"/>
    <d v="2018-02-15T00:00:00"/>
    <d v="2018-02-25T00:00:00"/>
    <d v="2018-03-11T00:00:00"/>
    <s v="sports_leisure"/>
    <n v="117.84"/>
    <n v="31.08"/>
    <s v="credit_card"/>
    <n v="5"/>
    <s v="delivered"/>
    <d v="2018-02-01T00:00:00"/>
    <n v="10"/>
    <n v="0"/>
    <n v="1"/>
    <n v="148.92000000000002"/>
    <n v="75.417600000000007"/>
    <n v="18.648"/>
    <n v="23.774399999999996"/>
    <s v="8-14 days"/>
  </r>
  <r>
    <s v="e14fea786e2f1d3bfd9f45f40816d739"/>
    <x v="3"/>
    <d v="2018-02-15T00:00:00"/>
    <d v="2018-02-23T00:00:00"/>
    <d v="2018-03-10T00:00:00"/>
    <s v="sports_leisure"/>
    <n v="175.06"/>
    <n v="32.200000000000003"/>
    <s v="boleto"/>
    <n v="5"/>
    <s v="delivered"/>
    <d v="2018-02-01T00:00:00"/>
    <n v="8"/>
    <n v="0"/>
    <n v="1"/>
    <n v="207.26"/>
    <n v="112.03840000000001"/>
    <n v="19.32"/>
    <n v="43.701599999999992"/>
    <s v="8-14 days"/>
  </r>
  <r>
    <s v="e9d79f8fbb02e930e4260ae1c59b7de8"/>
    <x v="3"/>
    <d v="2018-02-15T00:00:00"/>
    <d v="2018-03-03T00:00:00"/>
    <d v="2018-03-12T00:00:00"/>
    <s v="toys"/>
    <n v="68.45"/>
    <n v="30.12"/>
    <s v="voucher"/>
    <n v="4"/>
    <s v="delivered"/>
    <d v="2018-02-01T00:00:00"/>
    <n v="16"/>
    <n v="0"/>
    <n v="1"/>
    <n v="98.570000000000007"/>
    <n v="41.07"/>
    <n v="18.071999999999999"/>
    <n v="9.3080000000000034"/>
    <s v="15-21 days"/>
  </r>
  <r>
    <s v="ab6b3f08a9a0f4ef2c4f54163c749c16"/>
    <x v="4"/>
    <d v="2018-02-16T00:00:00"/>
    <d v="2018-02-27T00:00:00"/>
    <d v="2018-03-10T00:00:00"/>
    <s v="housewares"/>
    <n v="52.56"/>
    <n v="22.67"/>
    <s v="credit_card"/>
    <n v="3"/>
    <s v="delivered"/>
    <d v="2018-02-01T00:00:00"/>
    <n v="11"/>
    <n v="0"/>
    <n v="1"/>
    <n v="75.23"/>
    <n v="33.1128"/>
    <n v="13.602"/>
    <n v="5.8452000000000019"/>
    <s v="8-14 days"/>
  </r>
  <r>
    <s v="d751af9cf9e6debbafe2487f4fdfaf5d"/>
    <x v="3"/>
    <d v="2018-02-16T00:00:00"/>
    <d v="2018-03-15T00:00:00"/>
    <d v="2018-03-12T00:00:00"/>
    <s v="sports_leisure"/>
    <n v="49.92"/>
    <n v="24.52"/>
    <s v="credit_card"/>
    <n v="2"/>
    <s v="delivered"/>
    <d v="2018-02-01T00:00:00"/>
    <n v="27"/>
    <n v="3"/>
    <n v="0"/>
    <n v="74.44"/>
    <n v="31.948800000000002"/>
    <n v="14.712"/>
    <n v="3.2591999999999999"/>
    <s v="22+ days"/>
  </r>
  <r>
    <s v="ff16e0f09af50294b37c32d18140d0ac"/>
    <x v="6"/>
    <d v="2018-02-16T00:00:00"/>
    <d v="2018-03-23T00:00:00"/>
    <d v="2018-03-21T00:00:00"/>
    <s v="health_beauty"/>
    <n v="59.44"/>
    <n v="34.85"/>
    <s v="boleto"/>
    <n v="3"/>
    <s v="delivered"/>
    <d v="2018-02-01T00:00:00"/>
    <n v="35"/>
    <n v="2"/>
    <n v="0"/>
    <n v="94.289999999999992"/>
    <n v="34.475199999999994"/>
    <n v="20.91"/>
    <n v="4.0548000000000037"/>
    <s v="22+ days"/>
  </r>
  <r>
    <s v="711c767385351a69dabf984e53ff8461"/>
    <x v="1"/>
    <d v="2018-02-17T00:00:00"/>
    <d v="2018-03-03T00:00:00"/>
    <d v="2018-03-09T00:00:00"/>
    <s v="computers_accessories"/>
    <n v="124.64"/>
    <n v="18.59"/>
    <s v="credit_card"/>
    <n v="4"/>
    <s v="delivered"/>
    <d v="2018-02-01T00:00:00"/>
    <n v="14"/>
    <n v="0"/>
    <n v="1"/>
    <n v="143.22999999999999"/>
    <n v="92.233599999999996"/>
    <n v="11.154"/>
    <n v="21.252400000000005"/>
    <s v="8-14 days"/>
  </r>
  <r>
    <s v="bdc5a633ce5b961f585d40112e408d57"/>
    <x v="8"/>
    <d v="2018-02-17T00:00:00"/>
    <d v="2018-02-28T00:00:00"/>
    <d v="2018-03-12T00:00:00"/>
    <s v="bed_bath_table"/>
    <n v="43.38"/>
    <n v="26.62"/>
    <s v="credit_card"/>
    <n v="5"/>
    <s v="delivered"/>
    <d v="2018-02-01T00:00:00"/>
    <n v="11"/>
    <n v="0"/>
    <n v="1"/>
    <n v="70"/>
    <n v="26.895600000000002"/>
    <n v="15.972"/>
    <n v="0.5124000000000013"/>
    <s v="8-14 days"/>
  </r>
  <r>
    <s v="48d40d840b653f5f74d90398c17a608e"/>
    <x v="3"/>
    <d v="2018-02-17T00:00:00"/>
    <d v="2018-03-06T00:00:00"/>
    <d v="2018-03-17T00:00:00"/>
    <s v="furniture_decor"/>
    <n v="144.47999999999999"/>
    <n v="25.51"/>
    <s v="credit_card"/>
    <n v="4"/>
    <s v="delivered"/>
    <d v="2018-02-01T00:00:00"/>
    <n v="17"/>
    <n v="0"/>
    <n v="1"/>
    <n v="169.98999999999998"/>
    <n v="101.13599999999998"/>
    <n v="15.306000000000001"/>
    <n v="28.038000000000007"/>
    <s v="15-21 days"/>
  </r>
  <r>
    <s v="04aa8f68b9ae429240121516f1e7a280"/>
    <x v="8"/>
    <d v="2018-02-17T00:00:00"/>
    <d v="2018-02-24T00:00:00"/>
    <d v="2018-03-12T00:00:00"/>
    <s v="housewares"/>
    <n v="64.66"/>
    <n v="18.78"/>
    <s v="boleto"/>
    <n v="5"/>
    <s v="delivered"/>
    <d v="2018-02-01T00:00:00"/>
    <n v="7"/>
    <n v="0"/>
    <n v="1"/>
    <n v="83.44"/>
    <n v="40.735799999999998"/>
    <n v="11.268000000000001"/>
    <n v="12.656199999999998"/>
    <s v="0-7 days"/>
  </r>
  <r>
    <s v="73f56452689925840ade0b418224153c"/>
    <x v="3"/>
    <d v="2018-02-17T00:00:00"/>
    <d v="2018-03-03T00:00:00"/>
    <d v="2018-03-10T00:00:00"/>
    <s v="bed_bath_table"/>
    <n v="57.89"/>
    <n v="17.100000000000001"/>
    <s v="credit_card"/>
    <n v="3"/>
    <s v="delivered"/>
    <d v="2018-02-01T00:00:00"/>
    <n v="14"/>
    <n v="0"/>
    <n v="1"/>
    <n v="74.990000000000009"/>
    <n v="35.891800000000003"/>
    <n v="10.26"/>
    <n v="11.738199999999997"/>
    <s v="8-14 days"/>
  </r>
  <r>
    <s v="c5388e2adec01aa2a6ba6a872c81a569"/>
    <x v="3"/>
    <d v="2018-02-17T00:00:00"/>
    <d v="2018-03-19T00:00:00"/>
    <d v="2018-03-15T00:00:00"/>
    <s v="sports_leisure"/>
    <n v="88.62"/>
    <n v="22.57"/>
    <s v="credit_card"/>
    <n v="2"/>
    <s v="delivered"/>
    <d v="2018-02-01T00:00:00"/>
    <n v="30"/>
    <n v="4"/>
    <n v="0"/>
    <n v="111.19"/>
    <n v="56.716800000000006"/>
    <n v="13.542"/>
    <n v="18.361199999999997"/>
    <s v="22+ days"/>
  </r>
  <r>
    <s v="0230861491877077e583fa3be8cc5248"/>
    <x v="6"/>
    <d v="2018-02-17T00:00:00"/>
    <d v="2018-03-13T00:00:00"/>
    <d v="2018-03-19T00:00:00"/>
    <s v="auto"/>
    <n v="85.4"/>
    <n v="23.05"/>
    <s v="credit_card"/>
    <n v="3"/>
    <s v="delivered"/>
    <d v="2018-02-01T00:00:00"/>
    <n v="24"/>
    <n v="0"/>
    <n v="1"/>
    <n v="108.45"/>
    <n v="58.07200000000001"/>
    <n v="13.83"/>
    <n v="13.497999999999996"/>
    <s v="22+ days"/>
  </r>
  <r>
    <s v="c4376d895a4eb9f3ad2e4db89defc23f"/>
    <x v="4"/>
    <d v="2018-02-18T00:00:00"/>
    <d v="2018-03-06T00:00:00"/>
    <d v="2018-03-07T00:00:00"/>
    <s v="furniture_decor"/>
    <n v="77.16"/>
    <n v="29.14"/>
    <s v="voucher"/>
    <n v="5"/>
    <s v="delivered"/>
    <d v="2018-02-01T00:00:00"/>
    <n v="16"/>
    <n v="0"/>
    <n v="1"/>
    <n v="106.3"/>
    <n v="54.011999999999993"/>
    <n v="17.483999999999998"/>
    <n v="5.664000000000005"/>
    <s v="15-21 days"/>
  </r>
  <r>
    <s v="201cbf3b0f3b5f066de28a01d12dbd50"/>
    <x v="11"/>
    <d v="2018-02-18T00:00:00"/>
    <d v="2018-03-18T00:00:00"/>
    <d v="2018-03-19T00:00:00"/>
    <s v="health_beauty"/>
    <n v="99.96"/>
    <n v="44.18"/>
    <s v="boleto"/>
    <n v="3"/>
    <s v="delivered"/>
    <d v="2018-02-01T00:00:00"/>
    <n v="28"/>
    <n v="0"/>
    <n v="1"/>
    <n v="144.13999999999999"/>
    <n v="57.97679999999999"/>
    <n v="26.507999999999999"/>
    <n v="15.475200000000005"/>
    <s v="22+ days"/>
  </r>
  <r>
    <s v="948be5484adb6da17b7192b0afc77dad"/>
    <x v="0"/>
    <d v="2018-02-18T00:00:00"/>
    <d v="2018-02-26T00:00:00"/>
    <d v="2018-03-06T00:00:00"/>
    <s v="sports_leisure"/>
    <n v="57.91"/>
    <n v="12.54"/>
    <s v="boleto"/>
    <n v="5"/>
    <s v="delivered"/>
    <d v="2018-02-01T00:00:00"/>
    <n v="8"/>
    <n v="0"/>
    <n v="1"/>
    <n v="70.449999999999989"/>
    <n v="37.062399999999997"/>
    <n v="7.5239999999999991"/>
    <n v="13.323600000000001"/>
    <s v="8-14 days"/>
  </r>
  <r>
    <s v="97cf6e6dc25d0c74b4ea341101ca4c2e"/>
    <x v="3"/>
    <d v="2018-02-18T00:00:00"/>
    <d v="2018-02-27T00:00:00"/>
    <d v="2018-03-14T00:00:00"/>
    <s v="health_beauty"/>
    <n v="138.15"/>
    <n v="29.19"/>
    <s v="credit_card"/>
    <n v="5"/>
    <s v="delivered"/>
    <d v="2018-02-01T00:00:00"/>
    <n v="9"/>
    <n v="0"/>
    <n v="1"/>
    <n v="167.34"/>
    <n v="80.126999999999995"/>
    <n v="17.513999999999999"/>
    <n v="40.509000000000015"/>
    <s v="8-14 days"/>
  </r>
  <r>
    <s v="6160745985c7504bc693da1139c6a1ca"/>
    <x v="0"/>
    <d v="2018-02-19T00:00:00"/>
    <d v="2018-02-28T00:00:00"/>
    <d v="2018-03-08T00:00:00"/>
    <s v="sports_leisure"/>
    <n v="169.66"/>
    <n v="22.2"/>
    <s v="credit_card"/>
    <n v="5"/>
    <s v="delivered"/>
    <d v="2018-02-01T00:00:00"/>
    <n v="9"/>
    <n v="0"/>
    <n v="1"/>
    <n v="191.85999999999999"/>
    <n v="108.58240000000001"/>
    <n v="13.319999999999999"/>
    <n v="47.757599999999989"/>
    <s v="8-14 days"/>
  </r>
  <r>
    <s v="93645e439a18e6bb71f6f1a886f73047"/>
    <x v="0"/>
    <d v="2018-02-19T00:00:00"/>
    <d v="2018-02-25T00:00:00"/>
    <d v="2018-03-06T00:00:00"/>
    <s v="bed_bath_table"/>
    <n v="65.59"/>
    <n v="22.18"/>
    <s v="credit_card"/>
    <n v="4"/>
    <s v="delivered"/>
    <d v="2018-02-01T00:00:00"/>
    <n v="6"/>
    <n v="0"/>
    <n v="1"/>
    <n v="87.77000000000001"/>
    <n v="40.665800000000004"/>
    <n v="13.308"/>
    <n v="11.616199999999999"/>
    <s v="0-7 days"/>
  </r>
  <r>
    <s v="308c4fb3c49b3bd602044acf6f75793a"/>
    <x v="0"/>
    <d v="2018-02-19T00:00:00"/>
    <d v="2018-03-05T00:00:00"/>
    <d v="2018-03-09T00:00:00"/>
    <s v="auto"/>
    <n v="62.73"/>
    <n v="17.43"/>
    <s v="credit_card"/>
    <n v="5"/>
    <s v="delivered"/>
    <d v="2018-02-01T00:00:00"/>
    <n v="14"/>
    <n v="0"/>
    <n v="1"/>
    <n v="80.16"/>
    <n v="42.656399999999998"/>
    <n v="10.458"/>
    <n v="9.6155999999999988"/>
    <s v="8-14 days"/>
  </r>
  <r>
    <s v="718d4d05e8e22743b65feea97d824264"/>
    <x v="0"/>
    <d v="2018-02-20T00:00:00"/>
    <d v="2018-03-05T00:00:00"/>
    <d v="2018-03-02T00:00:00"/>
    <s v="bed_bath_table"/>
    <n v="71.3"/>
    <n v="19.13"/>
    <s v="credit_card"/>
    <n v="4"/>
    <s v="delivered"/>
    <d v="2018-02-01T00:00:00"/>
    <n v="13"/>
    <n v="3"/>
    <n v="0"/>
    <n v="90.429999999999993"/>
    <n v="44.205999999999996"/>
    <n v="11.478"/>
    <n v="15.616000000000001"/>
    <s v="8-14 days"/>
  </r>
  <r>
    <s v="e90d21cb7f111a368c52d2710a167e18"/>
    <x v="7"/>
    <d v="2018-02-20T00:00:00"/>
    <d v="2018-03-01T00:00:00"/>
    <d v="2018-03-14T00:00:00"/>
    <s v="furniture_decor"/>
    <n v="48.13"/>
    <n v="20"/>
    <s v="credit_card"/>
    <n v="5"/>
    <s v="delivered"/>
    <d v="2018-02-01T00:00:00"/>
    <n v="9"/>
    <n v="0"/>
    <n v="1"/>
    <n v="68.13"/>
    <n v="33.691000000000003"/>
    <n v="12"/>
    <n v="2.4390000000000001"/>
    <s v="8-14 days"/>
  </r>
  <r>
    <s v="14503e5b2584e91255b067537995ec3f"/>
    <x v="4"/>
    <d v="2018-02-20T00:00:00"/>
    <d v="2018-03-10T00:00:00"/>
    <d v="2018-03-13T00:00:00"/>
    <s v="auto"/>
    <n v="158.82"/>
    <n v="28.81"/>
    <s v="credit_card"/>
    <n v="4"/>
    <s v="delivered"/>
    <d v="2018-02-01T00:00:00"/>
    <n v="18"/>
    <n v="0"/>
    <n v="1"/>
    <n v="187.63"/>
    <n v="107.99760000000001"/>
    <n v="17.285999999999998"/>
    <n v="33.536399999999986"/>
    <s v="15-21 days"/>
  </r>
  <r>
    <s v="168843992b91aace39f180276f88e2c0"/>
    <x v="10"/>
    <d v="2018-02-21T00:00:00"/>
    <d v="2018-03-10T00:00:00"/>
    <d v="2018-03-26T00:00:00"/>
    <s v="bed_bath_table"/>
    <n v="48.89"/>
    <n v="39.96"/>
    <s v="credit_card"/>
    <n v="4"/>
    <s v="delivered"/>
    <d v="2018-02-01T00:00:00"/>
    <n v="17"/>
    <n v="0"/>
    <n v="1"/>
    <n v="88.85"/>
    <n v="30.311800000000002"/>
    <n v="23.975999999999999"/>
    <n v="-5.3978000000000002"/>
    <s v="15-21 days"/>
  </r>
  <r>
    <s v="673fb5b0ec139f071a655ef60313e3ef"/>
    <x v="0"/>
    <d v="2018-02-21T00:00:00"/>
    <d v="2018-02-26T00:00:00"/>
    <d v="2018-03-09T00:00:00"/>
    <s v="sports_leisure"/>
    <n v="90.62"/>
    <n v="18.87"/>
    <s v="credit_card"/>
    <n v="5"/>
    <s v="delivered"/>
    <d v="2018-02-01T00:00:00"/>
    <n v="5"/>
    <n v="0"/>
    <n v="1"/>
    <n v="109.49000000000001"/>
    <n v="57.996800000000007"/>
    <n v="11.322000000000001"/>
    <n v="21.301199999999994"/>
    <s v="0-7 days"/>
  </r>
  <r>
    <s v="36a1b4f73d03994f2aeabc3a691973ce"/>
    <x v="0"/>
    <d v="2018-02-21T00:00:00"/>
    <d v="2018-03-01T00:00:00"/>
    <d v="2018-03-09T00:00:00"/>
    <s v="housewares"/>
    <n v="39.53"/>
    <n v="19.45"/>
    <s v="boleto"/>
    <n v="3"/>
    <s v="delivered"/>
    <d v="2018-02-01T00:00:00"/>
    <n v="8"/>
    <n v="0"/>
    <n v="1"/>
    <n v="58.980000000000004"/>
    <n v="24.9039"/>
    <n v="11.67"/>
    <n v="2.9561000000000011"/>
    <s v="8-14 days"/>
  </r>
  <r>
    <s v="feb3034b1c56cbe0dbf54731b22c79f6"/>
    <x v="0"/>
    <d v="2018-02-21T00:00:00"/>
    <d v="2018-03-02T00:00:00"/>
    <d v="2018-03-04T00:00:00"/>
    <s v="toys"/>
    <n v="67.650000000000006"/>
    <n v="16.68"/>
    <s v="boleto"/>
    <n v="3"/>
    <s v="delivered"/>
    <d v="2018-02-01T00:00:00"/>
    <n v="9"/>
    <n v="0"/>
    <n v="1"/>
    <n v="84.330000000000013"/>
    <n v="40.590000000000003"/>
    <n v="10.007999999999999"/>
    <n v="17.052000000000003"/>
    <s v="8-14 days"/>
  </r>
  <r>
    <s v="08b6f61d316da914407c43704886274c"/>
    <x v="1"/>
    <d v="2018-02-22T00:00:00"/>
    <d v="2018-03-08T00:00:00"/>
    <d v="2018-03-12T00:00:00"/>
    <s v="housewares"/>
    <n v="42.05"/>
    <n v="17.91"/>
    <s v="credit_card"/>
    <n v="4"/>
    <s v="delivered"/>
    <d v="2018-02-01T00:00:00"/>
    <n v="14"/>
    <n v="0"/>
    <n v="1"/>
    <n v="59.959999999999994"/>
    <n v="26.491499999999998"/>
    <n v="10.746"/>
    <n v="4.8124999999999982"/>
    <s v="8-14 days"/>
  </r>
  <r>
    <s v="e0218cafba73aa4e86c71c162cfcbb3f"/>
    <x v="0"/>
    <d v="2018-02-22T00:00:00"/>
    <d v="2018-03-02T00:00:00"/>
    <d v="2018-03-08T00:00:00"/>
    <s v="sports_leisure"/>
    <n v="79.209999999999994"/>
    <n v="21.8"/>
    <s v="credit_card"/>
    <n v="4"/>
    <s v="delivered"/>
    <d v="2018-02-01T00:00:00"/>
    <n v="8"/>
    <n v="0"/>
    <n v="1"/>
    <n v="101.00999999999999"/>
    <n v="50.694399999999995"/>
    <n v="13.08"/>
    <n v="15.435599999999999"/>
    <s v="8-14 days"/>
  </r>
  <r>
    <s v="08825d14341b2c0918a0f6c0ab2d2fef"/>
    <x v="0"/>
    <d v="2018-02-22T00:00:00"/>
    <d v="2018-03-01T00:00:00"/>
    <d v="2018-03-11T00:00:00"/>
    <s v="housewares"/>
    <n v="36.79"/>
    <n v="17.84"/>
    <s v="boleto"/>
    <n v="5"/>
    <s v="delivered"/>
    <d v="2018-02-01T00:00:00"/>
    <n v="7"/>
    <n v="0"/>
    <n v="1"/>
    <n v="54.629999999999995"/>
    <n v="23.177699999999998"/>
    <n v="10.703999999999999"/>
    <n v="2.9083000000000023"/>
    <s v="0-7 days"/>
  </r>
  <r>
    <s v="6332472ccdccd0ec7c65182ecaec902d"/>
    <x v="0"/>
    <d v="2018-02-22T00:00:00"/>
    <d v="2018-03-04T00:00:00"/>
    <d v="2018-03-09T00:00:00"/>
    <s v="computers_accessories"/>
    <n v="183.23"/>
    <n v="18.59"/>
    <s v="debit_card"/>
    <n v="3"/>
    <s v="delivered"/>
    <d v="2018-02-01T00:00:00"/>
    <n v="10"/>
    <n v="0"/>
    <n v="1"/>
    <n v="201.82"/>
    <n v="135.59019999999998"/>
    <n v="11.154"/>
    <n v="36.485800000000012"/>
    <s v="8-14 days"/>
  </r>
  <r>
    <s v="fe17e8f39700abb04bb8b91d5793f70e"/>
    <x v="0"/>
    <d v="2018-02-22T00:00:00"/>
    <d v="2018-02-26T00:00:00"/>
    <d v="2018-03-11T00:00:00"/>
    <s v="housewares"/>
    <n v="62.96"/>
    <n v="12.37"/>
    <s v="credit_card"/>
    <n v="5"/>
    <s v="delivered"/>
    <d v="2018-02-01T00:00:00"/>
    <n v="4"/>
    <n v="0"/>
    <n v="1"/>
    <n v="75.33"/>
    <n v="39.6648"/>
    <n v="7.4219999999999988"/>
    <n v="15.873200000000002"/>
    <s v="0-7 days"/>
  </r>
  <r>
    <s v="9d148109db18fefb8e534765ee6e5ef6"/>
    <x v="2"/>
    <d v="2018-02-23T00:00:00"/>
    <d v="2018-03-10T00:00:00"/>
    <d v="2018-03-19T00:00:00"/>
    <s v="auto"/>
    <n v="80.3"/>
    <n v="31.75"/>
    <s v="credit_card"/>
    <n v="4"/>
    <s v="delivered"/>
    <d v="2018-02-01T00:00:00"/>
    <n v="15"/>
    <n v="0"/>
    <n v="1"/>
    <n v="112.05"/>
    <n v="54.603999999999999"/>
    <n v="19.05"/>
    <n v="6.6459999999999972"/>
    <s v="15-21 days"/>
  </r>
  <r>
    <s v="fdb943886d0f881213ad147a7fe5339c"/>
    <x v="7"/>
    <d v="2018-02-23T00:00:00"/>
    <d v="2018-03-14T00:00:00"/>
    <d v="2018-03-17T00:00:00"/>
    <s v="furniture_decor"/>
    <n v="78.540000000000006"/>
    <n v="28.37"/>
    <s v="credit_card"/>
    <n v="4"/>
    <s v="delivered"/>
    <d v="2018-02-01T00:00:00"/>
    <n v="19"/>
    <n v="0"/>
    <n v="1"/>
    <n v="106.91000000000001"/>
    <n v="54.978000000000002"/>
    <n v="17.021999999999998"/>
    <n v="6.5400000000000063"/>
    <s v="15-21 days"/>
  </r>
  <r>
    <s v="6c267b562a9edda7761ad9144931b2d4"/>
    <x v="0"/>
    <d v="2018-02-24T00:00:00"/>
    <d v="2018-03-01T00:00:00"/>
    <d v="2018-03-12T00:00:00"/>
    <s v="health_beauty"/>
    <n v="49.73"/>
    <n v="19.62"/>
    <s v="credit_card"/>
    <n v="3"/>
    <s v="delivered"/>
    <d v="2018-02-01T00:00:00"/>
    <n v="5"/>
    <n v="0"/>
    <n v="1"/>
    <n v="69.349999999999994"/>
    <n v="28.843399999999995"/>
    <n v="11.772"/>
    <n v="9.1146000000000011"/>
    <s v="0-7 days"/>
  </r>
  <r>
    <s v="54f5e2f09e9a1e40ba49ccd561853b1a"/>
    <x v="4"/>
    <d v="2018-02-24T00:00:00"/>
    <d v="2018-03-05T00:00:00"/>
    <d v="2018-03-16T00:00:00"/>
    <s v="computers_accessories"/>
    <n v="186.97"/>
    <n v="31.66"/>
    <s v="credit_card"/>
    <n v="5"/>
    <s v="delivered"/>
    <d v="2018-02-01T00:00:00"/>
    <n v="9"/>
    <n v="0"/>
    <n v="1"/>
    <n v="218.63"/>
    <n v="138.3578"/>
    <n v="18.995999999999999"/>
    <n v="29.616200000000003"/>
    <s v="8-14 days"/>
  </r>
  <r>
    <s v="15ab7cd271b905c8945d91a5e33d6982"/>
    <x v="5"/>
    <d v="2018-02-25T00:00:00"/>
    <d v="2018-03-05T00:00:00"/>
    <d v="2018-03-22T00:00:00"/>
    <s v="toys"/>
    <n v="122.4"/>
    <n v="28.71"/>
    <s v="boleto"/>
    <n v="5"/>
    <s v="delivered"/>
    <d v="2018-02-01T00:00:00"/>
    <n v="8"/>
    <n v="0"/>
    <n v="1"/>
    <n v="151.11000000000001"/>
    <n v="73.44"/>
    <n v="17.225999999999999"/>
    <n v="31.734000000000009"/>
    <s v="8-14 days"/>
  </r>
  <r>
    <s v="08b92ed4de94da10205b9db819dad534"/>
    <x v="0"/>
    <d v="2018-02-25T00:00:00"/>
    <d v="2018-03-03T00:00:00"/>
    <d v="2018-03-11T00:00:00"/>
    <s v="sports_leisure"/>
    <n v="214.43"/>
    <n v="19.72"/>
    <s v="boleto"/>
    <n v="5"/>
    <s v="delivered"/>
    <d v="2018-02-01T00:00:00"/>
    <n v="6"/>
    <n v="0"/>
    <n v="1"/>
    <n v="234.15"/>
    <n v="137.23520000000002"/>
    <n v="11.831999999999999"/>
    <n v="65.362799999999993"/>
    <s v="0-7 days"/>
  </r>
  <r>
    <s v="44610c94a29cc64fb8f89cbabb404bc8"/>
    <x v="3"/>
    <d v="2018-02-25T00:00:00"/>
    <d v="2018-03-12T00:00:00"/>
    <d v="2018-03-18T00:00:00"/>
    <s v="furniture_decor"/>
    <n v="144.6"/>
    <n v="28.09"/>
    <s v="credit_card"/>
    <n v="4"/>
    <s v="delivered"/>
    <d v="2018-02-01T00:00:00"/>
    <n v="15"/>
    <n v="0"/>
    <n v="1"/>
    <n v="172.69"/>
    <n v="101.21999999999998"/>
    <n v="16.853999999999999"/>
    <n v="26.52600000000001"/>
    <s v="15-21 days"/>
  </r>
  <r>
    <s v="42e397d9a97b43bd00b736360c81a3cc"/>
    <x v="0"/>
    <d v="2018-02-25T00:00:00"/>
    <d v="2018-03-08T00:00:00"/>
    <d v="2018-03-13T00:00:00"/>
    <s v="furniture_decor"/>
    <n v="100.75"/>
    <n v="12.98"/>
    <s v="boleto"/>
    <n v="4"/>
    <s v="delivered"/>
    <d v="2018-02-01T00:00:00"/>
    <n v="11"/>
    <n v="0"/>
    <n v="1"/>
    <n v="113.73"/>
    <n v="70.524999999999991"/>
    <n v="7.7880000000000003"/>
    <n v="22.437000000000008"/>
    <s v="8-14 days"/>
  </r>
  <r>
    <s v="1035ddda2cf0c77d7801792ba53a43d6"/>
    <x v="4"/>
    <d v="2018-02-25T00:00:00"/>
    <d v="2018-03-07T00:00:00"/>
    <d v="2018-03-18T00:00:00"/>
    <s v="bed_bath_table"/>
    <n v="240.98"/>
    <n v="32.26"/>
    <s v="credit_card"/>
    <n v="5"/>
    <s v="delivered"/>
    <d v="2018-02-01T00:00:00"/>
    <n v="10"/>
    <n v="0"/>
    <n v="1"/>
    <n v="273.24"/>
    <n v="149.4076"/>
    <n v="19.355999999999998"/>
    <n v="72.216399999999993"/>
    <s v="8-14 days"/>
  </r>
  <r>
    <s v="efe31ce46c48923d008f03ca8a32c05e"/>
    <x v="0"/>
    <d v="2018-02-25T00:00:00"/>
    <d v="2018-03-05T00:00:00"/>
    <d v="2018-03-11T00:00:00"/>
    <s v="computers_accessories"/>
    <n v="105.31"/>
    <n v="13.4"/>
    <s v="credit_card"/>
    <n v="5"/>
    <s v="delivered"/>
    <d v="2018-02-01T00:00:00"/>
    <n v="8"/>
    <n v="0"/>
    <n v="1"/>
    <n v="118.71000000000001"/>
    <n v="77.929400000000001"/>
    <n v="8.0399999999999991"/>
    <n v="19.340600000000002"/>
    <s v="8-14 days"/>
  </r>
  <r>
    <s v="01cce1243a2f1b3bb8b5658f9e0fbcff"/>
    <x v="0"/>
    <d v="2018-02-25T00:00:00"/>
    <d v="2018-03-05T00:00:00"/>
    <d v="2018-03-09T00:00:00"/>
    <s v="bed_bath_table"/>
    <n v="74.959999999999994"/>
    <n v="17.420000000000002"/>
    <s v="credit_card"/>
    <n v="5"/>
    <s v="delivered"/>
    <d v="2018-02-01T00:00:00"/>
    <n v="8"/>
    <n v="0"/>
    <n v="1"/>
    <n v="92.38"/>
    <n v="46.475199999999994"/>
    <n v="10.452"/>
    <n v="18.032800000000002"/>
    <s v="8-14 days"/>
  </r>
  <r>
    <s v="73315c49704d628f35a758ab6aed979f"/>
    <x v="3"/>
    <d v="2018-02-26T00:00:00"/>
    <d v="2018-03-14T00:00:00"/>
    <d v="2018-03-23T00:00:00"/>
    <s v="bed_bath_table"/>
    <n v="120.04"/>
    <n v="30.95"/>
    <s v="boleto"/>
    <n v="4"/>
    <s v="delivered"/>
    <d v="2018-02-01T00:00:00"/>
    <n v="16"/>
    <n v="0"/>
    <n v="1"/>
    <n v="150.99"/>
    <n v="74.424800000000005"/>
    <n v="18.57"/>
    <n v="27.045200000000001"/>
    <s v="15-21 days"/>
  </r>
  <r>
    <s v="4b814a84742f790ed4bee4e4204d3f55"/>
    <x v="5"/>
    <d v="2018-02-26T00:00:00"/>
    <d v="2018-03-08T00:00:00"/>
    <d v="2018-03-23T00:00:00"/>
    <s v="health_beauty"/>
    <n v="178.69"/>
    <n v="25.82"/>
    <s v="boleto"/>
    <n v="4"/>
    <s v="delivered"/>
    <d v="2018-02-01T00:00:00"/>
    <n v="10"/>
    <n v="0"/>
    <n v="1"/>
    <n v="204.51"/>
    <n v="103.64019999999999"/>
    <n v="15.491999999999999"/>
    <n v="59.557800000000007"/>
    <s v="8-14 days"/>
  </r>
  <r>
    <s v="dc739cbc6e04775894eb2ddd02754eca"/>
    <x v="3"/>
    <d v="2018-02-26T00:00:00"/>
    <d v="2018-03-07T00:00:00"/>
    <d v="2018-03-20T00:00:00"/>
    <s v="bed_bath_table"/>
    <n v="83.64"/>
    <n v="20.78"/>
    <s v="boleto"/>
    <n v="5"/>
    <s v="delivered"/>
    <d v="2018-02-01T00:00:00"/>
    <n v="9"/>
    <n v="0"/>
    <n v="1"/>
    <n v="104.42"/>
    <n v="51.8568"/>
    <n v="12.468"/>
    <n v="19.315200000000001"/>
    <s v="8-14 days"/>
  </r>
  <r>
    <s v="fa96a00dcaf6a7d4fe8c686a9bdf9c67"/>
    <x v="0"/>
    <d v="2018-02-26T00:00:00"/>
    <d v="2018-03-12T00:00:00"/>
    <d v="2018-03-12T00:00:00"/>
    <s v="bed_bath_table"/>
    <n v="47.34"/>
    <n v="11.8"/>
    <s v="credit_card"/>
    <n v="5"/>
    <s v="delivered"/>
    <d v="2018-02-01T00:00:00"/>
    <n v="14"/>
    <n v="0"/>
    <n v="1"/>
    <n v="59.14"/>
    <n v="29.350800000000003"/>
    <n v="7.08"/>
    <n v="10.9092"/>
    <s v="8-14 days"/>
  </r>
  <r>
    <s v="3579c1437ab99428378e65108f10d33e"/>
    <x v="0"/>
    <d v="2018-02-27T00:00:00"/>
    <d v="2018-03-05T00:00:00"/>
    <d v="2018-03-13T00:00:00"/>
    <s v="toys"/>
    <n v="23.7"/>
    <n v="18.579999999999998"/>
    <s v="boleto"/>
    <n v="4"/>
    <s v="delivered"/>
    <d v="2018-02-01T00:00:00"/>
    <n v="6"/>
    <n v="0"/>
    <n v="1"/>
    <n v="42.28"/>
    <n v="14.219999999999999"/>
    <n v="11.147999999999998"/>
    <n v="-1.6679999999999975"/>
    <s v="0-7 days"/>
  </r>
  <r>
    <s v="02288f07fbda05aeb2709103cfd6b161"/>
    <x v="4"/>
    <d v="2018-02-27T00:00:00"/>
    <d v="2018-03-16T00:00:00"/>
    <d v="2018-03-23T00:00:00"/>
    <s v="sports_leisure"/>
    <n v="99.94"/>
    <n v="27.75"/>
    <s v="credit_card"/>
    <n v="5"/>
    <s v="delivered"/>
    <d v="2018-02-01T00:00:00"/>
    <n v="17"/>
    <n v="0"/>
    <n v="1"/>
    <n v="127.69"/>
    <n v="63.961599999999997"/>
    <n v="16.649999999999999"/>
    <n v="19.328400000000002"/>
    <s v="15-21 days"/>
  </r>
  <r>
    <s v="fe709416340a22d700bbd5435c98fd57"/>
    <x v="3"/>
    <d v="2018-02-27T00:00:00"/>
    <d v="2018-03-11T00:00:00"/>
    <d v="2018-03-23T00:00:00"/>
    <s v="housewares"/>
    <n v="98.78"/>
    <n v="17.96"/>
    <s v="boleto"/>
    <n v="3"/>
    <s v="delivered"/>
    <d v="2018-02-01T00:00:00"/>
    <n v="12"/>
    <n v="0"/>
    <n v="1"/>
    <n v="116.74000000000001"/>
    <n v="62.231400000000001"/>
    <n v="10.776"/>
    <n v="25.772600000000001"/>
    <s v="8-14 days"/>
  </r>
  <r>
    <s v="701c3f0c9b43324cafd0c396bb31caeb"/>
    <x v="0"/>
    <d v="2018-02-27T00:00:00"/>
    <d v="2018-03-10T00:00:00"/>
    <d v="2018-03-15T00:00:00"/>
    <s v="furniture_decor"/>
    <n v="117.21"/>
    <n v="18"/>
    <s v="credit_card"/>
    <n v="5"/>
    <s v="delivered"/>
    <d v="2018-02-01T00:00:00"/>
    <n v="11"/>
    <n v="0"/>
    <n v="1"/>
    <n v="135.20999999999998"/>
    <n v="82.046999999999997"/>
    <n v="10.799999999999999"/>
    <n v="24.363"/>
    <s v="8-14 days"/>
  </r>
  <r>
    <s v="65a664a23f06051f8cc9308797fcfb3a"/>
    <x v="6"/>
    <d v="2018-02-27T00:00:00"/>
    <d v="2018-03-15T00:00:00"/>
    <d v="2018-03-29T00:00:00"/>
    <s v="furniture_decor"/>
    <n v="48.3"/>
    <n v="24.45"/>
    <s v="credit_card"/>
    <n v="4"/>
    <s v="delivered"/>
    <d v="2018-02-01T00:00:00"/>
    <n v="16"/>
    <n v="0"/>
    <n v="1"/>
    <n v="72.75"/>
    <n v="33.809999999999995"/>
    <n v="14.669999999999998"/>
    <n v="-0.17999999999999616"/>
    <s v="15-21 days"/>
  </r>
  <r>
    <s v="9ceeaf74a3f2a3db9236948e34ecb64f"/>
    <x v="3"/>
    <d v="2018-02-28T00:00:00"/>
    <d v="2018-03-11T00:00:00"/>
    <d v="2018-03-23T00:00:00"/>
    <s v="bed_bath_table"/>
    <n v="84.17"/>
    <n v="19.38"/>
    <s v="credit_card"/>
    <n v="3"/>
    <s v="delivered"/>
    <d v="2018-02-01T00:00:00"/>
    <n v="11"/>
    <n v="0"/>
    <n v="1"/>
    <n v="103.55"/>
    <n v="52.185400000000001"/>
    <n v="11.627999999999998"/>
    <n v="20.3566"/>
    <s v="8-14 days"/>
  </r>
  <r>
    <s v="a15b293e497d1e5c3155dc875905fd87"/>
    <x v="1"/>
    <d v="2018-02-28T00:00:00"/>
    <d v="2018-03-12T00:00:00"/>
    <d v="2018-03-22T00:00:00"/>
    <s v="housewares"/>
    <n v="80.23"/>
    <n v="27.53"/>
    <s v="credit_card"/>
    <n v="5"/>
    <s v="delivered"/>
    <d v="2018-02-01T00:00:00"/>
    <n v="12"/>
    <n v="0"/>
    <n v="1"/>
    <n v="107.76"/>
    <n v="50.544900000000005"/>
    <n v="16.518000000000001"/>
    <n v="13.167099999999998"/>
    <s v="8-14 days"/>
  </r>
  <r>
    <s v="1cd6cf0de228d8e4e964f172a9a9bd76"/>
    <x v="0"/>
    <d v="2018-02-28T00:00:00"/>
    <d v="2018-03-05T00:00:00"/>
    <d v="2018-03-12T00:00:00"/>
    <s v="watches_gifts"/>
    <n v="226.77"/>
    <n v="18.14"/>
    <s v="credit_card"/>
    <n v="4"/>
    <s v="delivered"/>
    <d v="2018-02-01T00:00:00"/>
    <n v="5"/>
    <n v="0"/>
    <n v="1"/>
    <n v="244.91000000000003"/>
    <n v="149.66820000000001"/>
    <n v="10.884"/>
    <n v="66.217799999999997"/>
    <s v="0-7 days"/>
  </r>
  <r>
    <s v="01219aeb07823bfb02851b016707065f"/>
    <x v="0"/>
    <d v="2018-02-28T00:00:00"/>
    <d v="2018-03-10T00:00:00"/>
    <d v="2018-03-16T00:00:00"/>
    <s v="health_beauty"/>
    <n v="106.97"/>
    <n v="23.05"/>
    <s v="boleto"/>
    <n v="5"/>
    <s v="delivered"/>
    <d v="2018-02-01T00:00:00"/>
    <n v="10"/>
    <n v="0"/>
    <n v="1"/>
    <n v="130.02000000000001"/>
    <n v="62.042599999999993"/>
    <n v="13.83"/>
    <n v="31.097400000000007"/>
    <s v="8-14 days"/>
  </r>
  <r>
    <s v="bb48bbbaac735be00ceeddc22737f345"/>
    <x v="4"/>
    <d v="2018-03-01T00:00:00"/>
    <d v="2018-03-16T00:00:00"/>
    <d v="2018-03-24T00:00:00"/>
    <s v="sports_leisure"/>
    <n v="93.66"/>
    <n v="25.64"/>
    <s v="debit_card"/>
    <n v="5"/>
    <s v="delivered"/>
    <d v="2018-03-01T00:00:00"/>
    <n v="15"/>
    <n v="0"/>
    <n v="1"/>
    <n v="119.3"/>
    <n v="59.942399999999999"/>
    <n v="15.384"/>
    <n v="18.333599999999997"/>
    <s v="15-21 days"/>
  </r>
  <r>
    <s v="480af4599f6f4967be876c4fa0af9f67"/>
    <x v="0"/>
    <d v="2018-03-01T00:00:00"/>
    <d v="2018-03-08T00:00:00"/>
    <d v="2018-03-18T00:00:00"/>
    <s v="housewares"/>
    <n v="65.73"/>
    <n v="11.89"/>
    <s v="credit_card"/>
    <n v="4"/>
    <s v="delivered"/>
    <d v="2018-03-01T00:00:00"/>
    <n v="7"/>
    <n v="0"/>
    <n v="1"/>
    <n v="77.62"/>
    <n v="41.4099"/>
    <n v="7.1340000000000003"/>
    <n v="17.186100000000003"/>
    <s v="0-7 days"/>
  </r>
  <r>
    <s v="ed2337951313104893b3f363d3073295"/>
    <x v="5"/>
    <d v="2018-03-01T00:00:00"/>
    <d v="2018-03-21T00:00:00"/>
    <d v="2018-03-26T00:00:00"/>
    <s v="health_beauty"/>
    <n v="221.3"/>
    <n v="33.590000000000003"/>
    <s v="boleto"/>
    <n v="3"/>
    <s v="delivered"/>
    <d v="2018-03-01T00:00:00"/>
    <n v="20"/>
    <n v="0"/>
    <n v="1"/>
    <n v="254.89000000000001"/>
    <n v="128.35399999999998"/>
    <n v="20.154"/>
    <n v="72.79200000000003"/>
    <s v="15-21 days"/>
  </r>
  <r>
    <s v="17f4f88cddfe9121c37b24715e9d870c"/>
    <x v="6"/>
    <d v="2018-03-01T00:00:00"/>
    <d v="2018-03-21T00:00:00"/>
    <d v="2018-03-28T00:00:00"/>
    <s v="housewares"/>
    <n v="44.7"/>
    <n v="26.5"/>
    <s v="boleto"/>
    <n v="5"/>
    <s v="delivered"/>
    <d v="2018-03-01T00:00:00"/>
    <n v="20"/>
    <n v="0"/>
    <n v="1"/>
    <n v="71.2"/>
    <n v="28.161000000000001"/>
    <n v="15.899999999999999"/>
    <n v="0.6390000000000029"/>
    <s v="15-21 days"/>
  </r>
  <r>
    <s v="84221d34d87652b586078b108bac739c"/>
    <x v="0"/>
    <d v="2018-03-01T00:00:00"/>
    <d v="2018-03-09T00:00:00"/>
    <d v="2018-03-16T00:00:00"/>
    <s v="sports_leisure"/>
    <n v="213.45"/>
    <n v="15.21"/>
    <s v="credit_card"/>
    <n v="4"/>
    <s v="delivered"/>
    <d v="2018-03-01T00:00:00"/>
    <n v="8"/>
    <n v="0"/>
    <n v="1"/>
    <n v="228.66"/>
    <n v="136.608"/>
    <n v="9.1259999999999994"/>
    <n v="67.71599999999998"/>
    <s v="8-14 days"/>
  </r>
  <r>
    <s v="79a8832f60971a15c80682d3567b9583"/>
    <x v="0"/>
    <d v="2018-03-02T00:00:00"/>
    <d v="2018-03-14T00:00:00"/>
    <d v="2018-03-17T00:00:00"/>
    <s v="housewares"/>
    <n v="71.83"/>
    <n v="16.690000000000001"/>
    <s v="boleto"/>
    <n v="5"/>
    <s v="delivered"/>
    <d v="2018-03-01T00:00:00"/>
    <n v="12"/>
    <n v="0"/>
    <n v="1"/>
    <n v="88.52"/>
    <n v="45.252899999999997"/>
    <n v="10.014000000000001"/>
    <n v="16.563099999999999"/>
    <s v="8-14 days"/>
  </r>
  <r>
    <s v="897bae296e919cf9c40dc418fbe6cd41"/>
    <x v="1"/>
    <d v="2018-03-02T00:00:00"/>
    <d v="2018-03-14T00:00:00"/>
    <d v="2018-03-22T00:00:00"/>
    <s v="watches_gifts"/>
    <n v="286.39999999999998"/>
    <n v="24.01"/>
    <s v="credit_card"/>
    <n v="5"/>
    <s v="delivered"/>
    <d v="2018-03-01T00:00:00"/>
    <n v="12"/>
    <n v="0"/>
    <n v="1"/>
    <n v="310.40999999999997"/>
    <n v="189.024"/>
    <n v="14.406000000000001"/>
    <n v="82.96999999999997"/>
    <s v="8-14 days"/>
  </r>
  <r>
    <s v="b3a7d0e0cb08587d1963c26d6e218b09"/>
    <x v="0"/>
    <d v="2018-03-03T00:00:00"/>
    <d v="2018-03-07T00:00:00"/>
    <d v="2018-03-16T00:00:00"/>
    <s v="sports_leisure"/>
    <n v="102.55"/>
    <n v="17.86"/>
    <s v="credit_card"/>
    <n v="4"/>
    <s v="delivered"/>
    <d v="2018-03-01T00:00:00"/>
    <n v="4"/>
    <n v="0"/>
    <n v="1"/>
    <n v="120.41"/>
    <n v="65.632000000000005"/>
    <n v="10.715999999999999"/>
    <n v="26.201999999999991"/>
    <s v="0-7 days"/>
  </r>
  <r>
    <s v="655ce5080592bfa5b928e23f4ee4334e"/>
    <x v="0"/>
    <d v="2018-03-03T00:00:00"/>
    <d v="2018-03-16T00:00:00"/>
    <d v="2018-03-19T00:00:00"/>
    <s v="sports_leisure"/>
    <n v="103.2"/>
    <n v="19.63"/>
    <s v="credit_card"/>
    <n v="5"/>
    <s v="delivered"/>
    <d v="2018-03-01T00:00:00"/>
    <n v="13"/>
    <n v="0"/>
    <n v="1"/>
    <n v="122.83"/>
    <n v="66.048000000000002"/>
    <n v="11.777999999999999"/>
    <n v="25.374000000000002"/>
    <s v="8-14 days"/>
  </r>
  <r>
    <s v="cab24f241744ee3fd36ec1bd000b1f5e"/>
    <x v="3"/>
    <d v="2018-03-03T00:00:00"/>
    <d v="2018-03-26T00:00:00"/>
    <d v="2018-03-29T00:00:00"/>
    <s v="watches_gifts"/>
    <n v="72.14"/>
    <n v="24.33"/>
    <s v="credit_card"/>
    <n v="5"/>
    <s v="delivered"/>
    <d v="2018-03-01T00:00:00"/>
    <n v="23"/>
    <n v="0"/>
    <n v="1"/>
    <n v="96.47"/>
    <n v="47.612400000000001"/>
    <n v="14.597999999999999"/>
    <n v="9.9296000000000006"/>
    <s v="22+ days"/>
  </r>
  <r>
    <s v="45708ada42b4d95573af2d34d5cd8ed2"/>
    <x v="0"/>
    <d v="2018-03-03T00:00:00"/>
    <d v="2018-03-11T00:00:00"/>
    <d v="2018-03-20T00:00:00"/>
    <s v="housewares"/>
    <n v="226.69"/>
    <n v="18.399999999999999"/>
    <s v="credit_card"/>
    <n v="5"/>
    <s v="delivered"/>
    <d v="2018-03-01T00:00:00"/>
    <n v="8"/>
    <n v="0"/>
    <n v="1"/>
    <n v="245.09"/>
    <n v="142.81469999999999"/>
    <n v="11.04"/>
    <n v="72.835300000000018"/>
    <s v="8-14 days"/>
  </r>
  <r>
    <s v="bd6e2570839d8c611061abba7e02bf27"/>
    <x v="0"/>
    <d v="2018-03-03T00:00:00"/>
    <d v="2018-03-12T00:00:00"/>
    <d v="2018-03-17T00:00:00"/>
    <s v="bed_bath_table"/>
    <n v="48.77"/>
    <n v="14.42"/>
    <s v="credit_card"/>
    <n v="4"/>
    <s v="delivered"/>
    <d v="2018-03-01T00:00:00"/>
    <n v="9"/>
    <n v="0"/>
    <n v="1"/>
    <n v="63.190000000000005"/>
    <n v="30.237400000000001"/>
    <n v="8.6519999999999992"/>
    <n v="9.8806000000000029"/>
    <s v="8-14 days"/>
  </r>
  <r>
    <s v="588e3ff3edb50d4c1ab52a7b7c688e33"/>
    <x v="7"/>
    <d v="2018-03-03T00:00:00"/>
    <d v="2018-03-21T00:00:00"/>
    <d v="2018-03-26T00:00:00"/>
    <s v="sports_leisure"/>
    <n v="204.72"/>
    <n v="33.299999999999997"/>
    <s v="credit_card"/>
    <n v="5"/>
    <s v="delivered"/>
    <d v="2018-03-01T00:00:00"/>
    <n v="18"/>
    <n v="0"/>
    <n v="1"/>
    <n v="238.01999999999998"/>
    <n v="131.02080000000001"/>
    <n v="19.979999999999997"/>
    <n v="53.719199999999994"/>
    <s v="15-21 days"/>
  </r>
  <r>
    <s v="a2b5b4985cb85aedf5f62c976efb63b1"/>
    <x v="8"/>
    <d v="2018-03-04T00:00:00"/>
    <d v="2018-03-26T00:00:00"/>
    <d v="2018-03-30T00:00:00"/>
    <s v="watches_gifts"/>
    <n v="73.88"/>
    <n v="23.38"/>
    <s v="boleto"/>
    <n v="4"/>
    <s v="delivered"/>
    <d v="2018-03-01T00:00:00"/>
    <n v="22"/>
    <n v="0"/>
    <n v="1"/>
    <n v="97.259999999999991"/>
    <n v="48.760799999999996"/>
    <n v="14.027999999999999"/>
    <n v="11.091200000000001"/>
    <s v="22+ days"/>
  </r>
  <r>
    <s v="7b92a41dbb19f0fec5cbfedd5268c879"/>
    <x v="9"/>
    <d v="2018-03-04T00:00:00"/>
    <d v="2018-03-29T00:00:00"/>
    <d v="2018-03-28T00:00:00"/>
    <s v="furniture_decor"/>
    <n v="135.94999999999999"/>
    <n v="34.54"/>
    <s v="credit_card"/>
    <n v="3"/>
    <s v="delivered"/>
    <d v="2018-03-01T00:00:00"/>
    <n v="25"/>
    <n v="1"/>
    <n v="0"/>
    <n v="170.48999999999998"/>
    <n v="95.164999999999992"/>
    <n v="20.724"/>
    <n v="20.060999999999996"/>
    <s v="22+ days"/>
  </r>
  <r>
    <s v="2b5997f2c447ee3f0525c1b4f73c6a1f"/>
    <x v="0"/>
    <d v="2018-03-04T00:00:00"/>
    <d v="2018-03-10T00:00:00"/>
    <d v="2018-03-19T00:00:00"/>
    <s v="furniture_decor"/>
    <n v="129.80000000000001"/>
    <n v="19.3"/>
    <s v="boleto"/>
    <n v="4"/>
    <s v="delivered"/>
    <d v="2018-03-01T00:00:00"/>
    <n v="6"/>
    <n v="0"/>
    <n v="1"/>
    <n v="149.10000000000002"/>
    <n v="90.86"/>
    <n v="11.58"/>
    <n v="27.360000000000014"/>
    <s v="0-7 days"/>
  </r>
  <r>
    <s v="36df223906bc0d7123baa2caa90ae1cd"/>
    <x v="0"/>
    <d v="2018-03-04T00:00:00"/>
    <d v="2018-03-18T00:00:00"/>
    <d v="2018-03-23T00:00:00"/>
    <s v="toys"/>
    <n v="46.76"/>
    <n v="21.81"/>
    <s v="credit_card"/>
    <n v="4"/>
    <s v="delivered"/>
    <d v="2018-03-01T00:00:00"/>
    <n v="14"/>
    <n v="0"/>
    <n v="1"/>
    <n v="68.569999999999993"/>
    <n v="28.055999999999997"/>
    <n v="13.085999999999999"/>
    <n v="5.6180000000000021"/>
    <s v="8-14 days"/>
  </r>
  <r>
    <s v="c76e8e041b64ef325aa288e1609c6c82"/>
    <x v="0"/>
    <d v="2018-03-04T00:00:00"/>
    <d v="2018-03-11T00:00:00"/>
    <d v="2018-03-22T00:00:00"/>
    <s v="health_beauty"/>
    <n v="122.46"/>
    <n v="16.45"/>
    <s v="voucher"/>
    <n v="4"/>
    <s v="delivered"/>
    <d v="2018-03-01T00:00:00"/>
    <n v="7"/>
    <n v="0"/>
    <n v="1"/>
    <n v="138.91"/>
    <n v="71.026799999999994"/>
    <n v="9.8699999999999992"/>
    <n v="41.563200000000002"/>
    <s v="0-7 days"/>
  </r>
  <r>
    <s v="cff287e167d135ce1a95a394ba7d3996"/>
    <x v="0"/>
    <d v="2018-03-04T00:00:00"/>
    <d v="2018-03-14T00:00:00"/>
    <d v="2018-03-18T00:00:00"/>
    <s v="auto"/>
    <n v="140.05000000000001"/>
    <n v="13.6"/>
    <s v="credit_card"/>
    <n v="5"/>
    <s v="delivered"/>
    <d v="2018-03-01T00:00:00"/>
    <n v="10"/>
    <n v="0"/>
    <n v="1"/>
    <n v="153.65"/>
    <n v="95.234000000000009"/>
    <n v="8.16"/>
    <n v="36.656000000000006"/>
    <s v="8-14 days"/>
  </r>
  <r>
    <s v="f8c143756b5a967205dd49911a5cd165"/>
    <x v="10"/>
    <d v="2018-03-04T00:00:00"/>
    <d v="2018-04-11T00:00:00"/>
    <d v="2018-04-05T00:00:00"/>
    <s v="sports_leisure"/>
    <n v="36.86"/>
    <n v="40.79"/>
    <s v="credit_card"/>
    <n v="2"/>
    <s v="delivered"/>
    <d v="2018-03-01T00:00:00"/>
    <n v="38"/>
    <n v="6"/>
    <n v="0"/>
    <n v="77.650000000000006"/>
    <n v="23.590399999999999"/>
    <n v="24.474"/>
    <n v="-11.2044"/>
    <s v="22+ days"/>
  </r>
  <r>
    <s v="59bb814cfe35fadc0bb6014a988be34c"/>
    <x v="9"/>
    <d v="2018-03-04T00:00:00"/>
    <d v="2018-03-17T00:00:00"/>
    <d v="2018-03-28T00:00:00"/>
    <s v="bed_bath_table"/>
    <n v="128.79"/>
    <n v="25.45"/>
    <s v="credit_card"/>
    <n v="3"/>
    <s v="delivered"/>
    <d v="2018-03-01T00:00:00"/>
    <n v="13"/>
    <n v="0"/>
    <n v="1"/>
    <n v="154.23999999999998"/>
    <n v="79.849799999999988"/>
    <n v="15.27"/>
    <n v="33.670200000000008"/>
    <s v="8-14 days"/>
  </r>
  <r>
    <s v="964e81dd27e78bbaa4d37418581e60ef"/>
    <x v="8"/>
    <d v="2018-03-05T00:00:00"/>
    <d v="2018-03-20T00:00:00"/>
    <d v="2018-03-28T00:00:00"/>
    <s v="auto"/>
    <n v="86.7"/>
    <n v="18.940000000000001"/>
    <s v="boleto"/>
    <n v="3"/>
    <s v="delivered"/>
    <d v="2018-03-01T00:00:00"/>
    <n v="15"/>
    <n v="0"/>
    <n v="1"/>
    <n v="105.64"/>
    <n v="58.956000000000003"/>
    <n v="11.364000000000001"/>
    <n v="16.38"/>
    <s v="15-21 days"/>
  </r>
  <r>
    <s v="c9eb6e3c9860f848a74b2973794954db"/>
    <x v="4"/>
    <d v="2018-03-05T00:00:00"/>
    <d v="2018-03-15T00:00:00"/>
    <d v="2018-03-25T00:00:00"/>
    <s v="health_beauty"/>
    <n v="97.15"/>
    <n v="23.17"/>
    <s v="credit_card"/>
    <n v="5"/>
    <s v="delivered"/>
    <d v="2018-03-01T00:00:00"/>
    <n v="10"/>
    <n v="0"/>
    <n v="1"/>
    <n v="120.32000000000001"/>
    <n v="56.347000000000001"/>
    <n v="13.902000000000001"/>
    <n v="26.901000000000003"/>
    <s v="8-14 days"/>
  </r>
  <r>
    <s v="cca8f708df77c1cc45d1cfbdd2ec8e7a"/>
    <x v="3"/>
    <d v="2018-03-05T00:00:00"/>
    <d v="2018-03-26T00:00:00"/>
    <d v="2018-03-28T00:00:00"/>
    <s v="bed_bath_table"/>
    <n v="235.21"/>
    <n v="25.7"/>
    <s v="credit_card"/>
    <n v="3"/>
    <s v="delivered"/>
    <d v="2018-03-01T00:00:00"/>
    <n v="21"/>
    <n v="0"/>
    <n v="1"/>
    <n v="260.91000000000003"/>
    <n v="145.83019999999999"/>
    <n v="15.419999999999998"/>
    <n v="73.959800000000016"/>
    <s v="15-21 days"/>
  </r>
  <r>
    <s v="55417f438de848d5f4351ab72140da62"/>
    <x v="0"/>
    <d v="2018-03-05T00:00:00"/>
    <d v="2018-03-09T00:00:00"/>
    <d v="2018-03-19T00:00:00"/>
    <s v="health_beauty"/>
    <n v="40.4"/>
    <n v="17.649999999999999"/>
    <s v="credit_card"/>
    <n v="5"/>
    <s v="delivered"/>
    <d v="2018-03-01T00:00:00"/>
    <n v="4"/>
    <n v="0"/>
    <n v="1"/>
    <n v="58.05"/>
    <n v="23.431999999999999"/>
    <n v="10.589999999999998"/>
    <n v="6.3780000000000019"/>
    <s v="0-7 days"/>
  </r>
  <r>
    <s v="bae2719803b686574777be217677a166"/>
    <x v="4"/>
    <d v="2018-03-06T00:00:00"/>
    <d v="2018-03-19T00:00:00"/>
    <d v="2018-03-27T00:00:00"/>
    <s v="furniture_decor"/>
    <n v="146.18"/>
    <n v="23.55"/>
    <s v="credit_card"/>
    <n v="5"/>
    <s v="delivered"/>
    <d v="2018-03-01T00:00:00"/>
    <n v="13"/>
    <n v="0"/>
    <n v="1"/>
    <n v="169.73000000000002"/>
    <n v="102.32599999999999"/>
    <n v="14.13"/>
    <n v="29.724000000000011"/>
    <s v="8-14 days"/>
  </r>
  <r>
    <s v="d3dd8cf853a70e7d1b869a7274242892"/>
    <x v="7"/>
    <d v="2018-03-06T00:00:00"/>
    <d v="2018-03-13T00:00:00"/>
    <d v="2018-03-27T00:00:00"/>
    <s v="health_beauty"/>
    <n v="68.599999999999994"/>
    <n v="20.85"/>
    <s v="credit_card"/>
    <n v="4"/>
    <s v="delivered"/>
    <d v="2018-03-01T00:00:00"/>
    <n v="7"/>
    <n v="0"/>
    <n v="1"/>
    <n v="89.449999999999989"/>
    <n v="39.787999999999997"/>
    <n v="12.51"/>
    <n v="16.302"/>
    <s v="0-7 days"/>
  </r>
  <r>
    <s v="eefdf1cf6fa760a9c19bfe2a75176bfa"/>
    <x v="9"/>
    <d v="2018-03-06T00:00:00"/>
    <d v="2018-03-25T00:00:00"/>
    <d v="2018-03-28T00:00:00"/>
    <s v="bed_bath_table"/>
    <n v="59"/>
    <n v="19.920000000000002"/>
    <s v="credit_card"/>
    <n v="4"/>
    <s v="delivered"/>
    <d v="2018-03-01T00:00:00"/>
    <n v="19"/>
    <n v="0"/>
    <n v="1"/>
    <n v="78.92"/>
    <n v="36.58"/>
    <n v="11.952"/>
    <n v="10.468000000000002"/>
    <s v="15-21 days"/>
  </r>
  <r>
    <s v="9307b36eeeecde56dd94b1cc41797153"/>
    <x v="0"/>
    <d v="2018-03-06T00:00:00"/>
    <d v="2018-03-11T00:00:00"/>
    <d v="2018-03-24T00:00:00"/>
    <s v="watches_gifts"/>
    <n v="158.30000000000001"/>
    <n v="17.760000000000002"/>
    <s v="credit_card"/>
    <n v="5"/>
    <s v="delivered"/>
    <d v="2018-03-01T00:00:00"/>
    <n v="5"/>
    <n v="0"/>
    <n v="1"/>
    <n v="176.06"/>
    <n v="104.47800000000001"/>
    <n v="10.656000000000001"/>
    <n v="43.166000000000004"/>
    <s v="0-7 days"/>
  </r>
  <r>
    <s v="108d6ac75baca4390963c291242f478f"/>
    <x v="4"/>
    <d v="2018-03-06T00:00:00"/>
    <d v="2018-03-15T00:00:00"/>
    <d v="2018-03-29T00:00:00"/>
    <s v="furniture_decor"/>
    <n v="147.36000000000001"/>
    <n v="23.42"/>
    <s v="credit_card"/>
    <n v="5"/>
    <s v="delivered"/>
    <d v="2018-03-01T00:00:00"/>
    <n v="9"/>
    <n v="0"/>
    <n v="1"/>
    <n v="170.78000000000003"/>
    <n v="103.152"/>
    <n v="14.052000000000001"/>
    <n v="30.156000000000013"/>
    <s v="8-14 days"/>
  </r>
  <r>
    <s v="3cc6985fc565ad41acb0bce4164c0e98"/>
    <x v="8"/>
    <d v="2018-03-06T00:00:00"/>
    <d v="2018-03-19T00:00:00"/>
    <d v="2018-04-01T00:00:00"/>
    <s v="computers_accessories"/>
    <n v="204.73"/>
    <n v="33.090000000000003"/>
    <s v="voucher"/>
    <n v="5"/>
    <s v="delivered"/>
    <d v="2018-03-01T00:00:00"/>
    <n v="13"/>
    <n v="0"/>
    <n v="1"/>
    <n v="237.82"/>
    <n v="151.50019999999998"/>
    <n v="19.854000000000003"/>
    <n v="33.375800000000012"/>
    <s v="8-14 days"/>
  </r>
  <r>
    <s v="3d0120f722fc31db0bf6c4172404595d"/>
    <x v="4"/>
    <d v="2018-03-06T00:00:00"/>
    <d v="2018-03-15T00:00:00"/>
    <d v="2018-03-29T00:00:00"/>
    <s v="watches_gifts"/>
    <n v="80.510000000000005"/>
    <n v="20.34"/>
    <s v="credit_card"/>
    <n v="4"/>
    <s v="delivered"/>
    <d v="2018-03-01T00:00:00"/>
    <n v="9"/>
    <n v="0"/>
    <n v="1"/>
    <n v="100.85000000000001"/>
    <n v="53.136600000000008"/>
    <n v="12.203999999999999"/>
    <n v="15.169399999999998"/>
    <s v="8-14 days"/>
  </r>
  <r>
    <s v="33932b6c9d37efb6eafb3e9054ec84ce"/>
    <x v="4"/>
    <d v="2018-03-07T00:00:00"/>
    <d v="2018-03-30T00:00:00"/>
    <d v="2018-03-28T00:00:00"/>
    <s v="bed_bath_table"/>
    <n v="77.209999999999994"/>
    <n v="22.24"/>
    <s v="boleto"/>
    <n v="3"/>
    <s v="delivered"/>
    <d v="2018-03-01T00:00:00"/>
    <n v="23"/>
    <n v="2"/>
    <n v="0"/>
    <n v="99.449999999999989"/>
    <n v="47.870199999999997"/>
    <n v="13.343999999999999"/>
    <n v="15.995799999999997"/>
    <s v="22+ days"/>
  </r>
  <r>
    <s v="f4c8e39396dd6c82a8909e3175175f39"/>
    <x v="0"/>
    <d v="2018-03-07T00:00:00"/>
    <d v="2018-03-13T00:00:00"/>
    <d v="2018-03-22T00:00:00"/>
    <s v="computers_accessories"/>
    <n v="132.32"/>
    <n v="22.51"/>
    <s v="credit_card"/>
    <n v="4"/>
    <s v="delivered"/>
    <d v="2018-03-01T00:00:00"/>
    <n v="6"/>
    <n v="0"/>
    <n v="1"/>
    <n v="154.82999999999998"/>
    <n v="97.916799999999995"/>
    <n v="13.506"/>
    <n v="20.897199999999998"/>
    <s v="0-7 days"/>
  </r>
  <r>
    <s v="f4eae7698366c189cd8d9f751df44d3e"/>
    <x v="0"/>
    <d v="2018-03-07T00:00:00"/>
    <d v="2018-03-15T00:00:00"/>
    <d v="2018-03-24T00:00:00"/>
    <s v="furniture_decor"/>
    <n v="111.2"/>
    <n v="16.29"/>
    <s v="credit_card"/>
    <n v="5"/>
    <s v="delivered"/>
    <d v="2018-03-01T00:00:00"/>
    <n v="8"/>
    <n v="0"/>
    <n v="1"/>
    <n v="127.49000000000001"/>
    <n v="77.84"/>
    <n v="9.7739999999999991"/>
    <n v="23.585999999999999"/>
    <s v="8-14 days"/>
  </r>
  <r>
    <s v="7f95897c276aa6ced50755d9a5d04d53"/>
    <x v="10"/>
    <d v="2018-03-08T00:00:00"/>
    <d v="2018-04-03T00:00:00"/>
    <d v="2018-04-11T00:00:00"/>
    <s v="health_beauty"/>
    <n v="134.71"/>
    <n v="47.67"/>
    <s v="voucher"/>
    <n v="4"/>
    <s v="delivered"/>
    <d v="2018-03-01T00:00:00"/>
    <n v="26"/>
    <n v="0"/>
    <n v="1"/>
    <n v="182.38"/>
    <n v="78.131799999999998"/>
    <n v="28.602"/>
    <n v="27.976200000000009"/>
    <s v="22+ days"/>
  </r>
  <r>
    <s v="ecf27e7685197ff4006ed6e36fa17735"/>
    <x v="0"/>
    <d v="2018-03-09T00:00:00"/>
    <d v="2018-03-14T00:00:00"/>
    <d v="2018-03-19T00:00:00"/>
    <s v="bed_bath_table"/>
    <n v="117.38"/>
    <n v="13.31"/>
    <s v="boleto"/>
    <n v="5"/>
    <s v="delivered"/>
    <d v="2018-03-01T00:00:00"/>
    <n v="5"/>
    <n v="0"/>
    <n v="1"/>
    <n v="130.69"/>
    <n v="72.775599999999997"/>
    <n v="7.9859999999999998"/>
    <n v="36.618400000000001"/>
    <s v="0-7 days"/>
  </r>
  <r>
    <s v="80fd963df3d36295ee6bcb89861550f6"/>
    <x v="0"/>
    <d v="2018-03-09T00:00:00"/>
    <d v="2018-03-22T00:00:00"/>
    <d v="2018-03-23T00:00:00"/>
    <s v="computers_accessories"/>
    <n v="57.96"/>
    <n v="16.73"/>
    <s v="boleto"/>
    <n v="5"/>
    <s v="delivered"/>
    <d v="2018-03-01T00:00:00"/>
    <n v="13"/>
    <n v="0"/>
    <n v="1"/>
    <n v="74.69"/>
    <n v="42.8904"/>
    <n v="10.038"/>
    <n v="5.031600000000001"/>
    <s v="8-14 days"/>
  </r>
  <r>
    <s v="76120622b0a5448837dbf5313f710a1a"/>
    <x v="0"/>
    <d v="2018-03-09T00:00:00"/>
    <d v="2018-03-16T00:00:00"/>
    <d v="2018-03-25T00:00:00"/>
    <s v="watches_gifts"/>
    <n v="63.79"/>
    <n v="22.14"/>
    <s v="credit_card"/>
    <n v="4"/>
    <s v="delivered"/>
    <d v="2018-03-01T00:00:00"/>
    <n v="7"/>
    <n v="0"/>
    <n v="1"/>
    <n v="85.93"/>
    <n v="42.101399999999998"/>
    <n v="13.284000000000001"/>
    <n v="8.4046000000000003"/>
    <s v="0-7 days"/>
  </r>
  <r>
    <s v="b11184e79c4c37b32caf3d2ff026a418"/>
    <x v="2"/>
    <d v="2018-03-10T00:00:00"/>
    <d v="2018-03-21T00:00:00"/>
    <d v="2018-04-04T00:00:00"/>
    <s v="health_beauty"/>
    <n v="118.15"/>
    <n v="24.11"/>
    <s v="credit_card"/>
    <n v="3"/>
    <s v="delivered"/>
    <d v="2018-03-01T00:00:00"/>
    <n v="11"/>
    <n v="0"/>
    <n v="1"/>
    <n v="142.26"/>
    <n v="68.527000000000001"/>
    <n v="14.465999999999999"/>
    <n v="35.157000000000004"/>
    <s v="8-14 days"/>
  </r>
  <r>
    <s v="3449131842d01a0b4c55542d02cb42d1"/>
    <x v="9"/>
    <d v="2018-03-10T00:00:00"/>
    <d v="2018-04-06T00:00:00"/>
    <d v="2018-04-05T00:00:00"/>
    <s v="health_beauty"/>
    <n v="144.13"/>
    <n v="32.159999999999997"/>
    <s v="credit_card"/>
    <n v="4"/>
    <s v="delivered"/>
    <d v="2018-03-01T00:00:00"/>
    <n v="27"/>
    <n v="1"/>
    <n v="0"/>
    <n v="176.29"/>
    <n v="83.595399999999998"/>
    <n v="19.295999999999996"/>
    <n v="41.238600000000005"/>
    <s v="22+ days"/>
  </r>
  <r>
    <s v="0684e4388cd5219a6001e75db872c503"/>
    <x v="0"/>
    <d v="2018-03-10T00:00:00"/>
    <d v="2018-03-16T00:00:00"/>
    <d v="2018-03-26T00:00:00"/>
    <s v="toys"/>
    <n v="88.11"/>
    <n v="15.57"/>
    <s v="credit_card"/>
    <n v="4"/>
    <s v="delivered"/>
    <d v="2018-03-01T00:00:00"/>
    <n v="6"/>
    <n v="0"/>
    <n v="1"/>
    <n v="103.68"/>
    <n v="52.866"/>
    <n v="9.3420000000000005"/>
    <n v="25.902000000000001"/>
    <s v="0-7 days"/>
  </r>
  <r>
    <s v="aba024bd999328992a545726ca9d569a"/>
    <x v="0"/>
    <d v="2018-03-10T00:00:00"/>
    <d v="2018-03-19T00:00:00"/>
    <d v="2018-03-25T00:00:00"/>
    <s v="bed_bath_table"/>
    <n v="228.79"/>
    <n v="21.28"/>
    <s v="credit_card"/>
    <n v="4"/>
    <s v="delivered"/>
    <d v="2018-03-01T00:00:00"/>
    <n v="9"/>
    <n v="0"/>
    <n v="1"/>
    <n v="250.07"/>
    <n v="141.84979999999999"/>
    <n v="12.768000000000001"/>
    <n v="74.172200000000004"/>
    <s v="8-14 days"/>
  </r>
  <r>
    <s v="c87849c11ea34e544db7255be2e7855f"/>
    <x v="0"/>
    <d v="2018-03-10T00:00:00"/>
    <d v="2018-03-19T00:00:00"/>
    <d v="2018-03-22T00:00:00"/>
    <s v="watches_gifts"/>
    <n v="42.93"/>
    <n v="14.78"/>
    <s v="credit_card"/>
    <n v="5"/>
    <s v="delivered"/>
    <d v="2018-03-01T00:00:00"/>
    <n v="9"/>
    <n v="0"/>
    <n v="1"/>
    <n v="57.71"/>
    <n v="28.3338"/>
    <n v="8.8679999999999986"/>
    <n v="5.7282000000000011"/>
    <s v="8-14 days"/>
  </r>
  <r>
    <s v="d08d13dff3dcd264c4b27b21bc0dd6ed"/>
    <x v="8"/>
    <d v="2018-03-11T00:00:00"/>
    <d v="2018-03-27T00:00:00"/>
    <d v="2018-04-04T00:00:00"/>
    <s v="housewares"/>
    <n v="41.21"/>
    <n v="19.04"/>
    <s v="credit_card"/>
    <n v="5"/>
    <s v="delivered"/>
    <d v="2018-03-01T00:00:00"/>
    <n v="16"/>
    <n v="0"/>
    <n v="1"/>
    <n v="60.25"/>
    <n v="25.962299999999999"/>
    <n v="11.423999999999999"/>
    <n v="3.8237000000000023"/>
    <s v="15-21 days"/>
  </r>
  <r>
    <s v="56f4927fc5eba017fe0eeda1c01b07c4"/>
    <x v="0"/>
    <d v="2018-03-11T00:00:00"/>
    <d v="2018-03-20T00:00:00"/>
    <d v="2018-03-28T00:00:00"/>
    <s v="watches_gifts"/>
    <n v="117.81"/>
    <n v="20.3"/>
    <s v="boleto"/>
    <n v="4"/>
    <s v="delivered"/>
    <d v="2018-03-01T00:00:00"/>
    <n v="9"/>
    <n v="0"/>
    <n v="1"/>
    <n v="138.11000000000001"/>
    <n v="77.754600000000011"/>
    <n v="12.18"/>
    <n v="27.875399999999992"/>
    <s v="8-14 days"/>
  </r>
  <r>
    <s v="dffd1d40c41e63d49cb11b5912456606"/>
    <x v="3"/>
    <d v="2018-03-11T00:00:00"/>
    <d v="2018-03-19T00:00:00"/>
    <d v="2018-04-05T00:00:00"/>
    <s v="sports_leisure"/>
    <n v="173.27"/>
    <n v="28.23"/>
    <s v="credit_card"/>
    <n v="4"/>
    <s v="delivered"/>
    <d v="2018-03-01T00:00:00"/>
    <n v="8"/>
    <n v="0"/>
    <n v="1"/>
    <n v="201.5"/>
    <n v="110.89280000000001"/>
    <n v="16.937999999999999"/>
    <n v="45.4392"/>
    <s v="8-14 days"/>
  </r>
  <r>
    <s v="96870bf14f19f81075b4849c7b2ad1ba"/>
    <x v="0"/>
    <d v="2018-03-11T00:00:00"/>
    <d v="2018-03-27T00:00:00"/>
    <d v="2018-03-23T00:00:00"/>
    <s v="bed_bath_table"/>
    <n v="45.51"/>
    <n v="13.49"/>
    <s v="credit_card"/>
    <n v="2"/>
    <s v="delivered"/>
    <d v="2018-03-01T00:00:00"/>
    <n v="16"/>
    <n v="4"/>
    <n v="0"/>
    <n v="59"/>
    <n v="28.216199999999997"/>
    <n v="8.0939999999999994"/>
    <n v="9.1998000000000015"/>
    <s v="15-21 days"/>
  </r>
  <r>
    <s v="59782ca7227be08908498f04b842231b"/>
    <x v="0"/>
    <d v="2018-03-12T00:00:00"/>
    <d v="2018-03-22T00:00:00"/>
    <d v="2018-03-26T00:00:00"/>
    <s v="bed_bath_table"/>
    <n v="64.06"/>
    <n v="13.32"/>
    <s v="credit_card"/>
    <n v="5"/>
    <s v="delivered"/>
    <d v="2018-03-01T00:00:00"/>
    <n v="10"/>
    <n v="0"/>
    <n v="1"/>
    <n v="77.38"/>
    <n v="39.717199999999998"/>
    <n v="7.992"/>
    <n v="16.350800000000003"/>
    <s v="8-14 days"/>
  </r>
  <r>
    <s v="dcd5bfaeabb316a7432997801d2c2721"/>
    <x v="0"/>
    <d v="2018-03-13T00:00:00"/>
    <d v="2018-03-18T00:00:00"/>
    <d v="2018-03-29T00:00:00"/>
    <s v="housewares"/>
    <n v="77.86"/>
    <n v="14.13"/>
    <s v="credit_card"/>
    <n v="4"/>
    <s v="delivered"/>
    <d v="2018-03-01T00:00:00"/>
    <n v="5"/>
    <n v="0"/>
    <n v="1"/>
    <n v="91.99"/>
    <n v="49.0518"/>
    <n v="8.4779999999999998"/>
    <n v="20.330199999999998"/>
    <s v="0-7 days"/>
  </r>
  <r>
    <s v="8906a4e2460cec89cda40209cd698214"/>
    <x v="4"/>
    <d v="2018-03-13T00:00:00"/>
    <d v="2018-03-22T00:00:00"/>
    <d v="2018-04-07T00:00:00"/>
    <s v="furniture_decor"/>
    <n v="79.69"/>
    <n v="29.01"/>
    <s v="boleto"/>
    <n v="5"/>
    <s v="delivered"/>
    <d v="2018-03-01T00:00:00"/>
    <n v="9"/>
    <n v="0"/>
    <n v="1"/>
    <n v="108.7"/>
    <n v="55.782999999999994"/>
    <n v="17.405999999999999"/>
    <n v="6.5010000000000048"/>
    <s v="8-14 days"/>
  </r>
  <r>
    <s v="e39f6cc716f39bed74c9abd9daacfe2b"/>
    <x v="1"/>
    <d v="2018-03-13T00:00:00"/>
    <d v="2018-04-06T00:00:00"/>
    <d v="2018-04-04T00:00:00"/>
    <s v="housewares"/>
    <n v="168.95"/>
    <n v="28.03"/>
    <s v="credit_card"/>
    <n v="2"/>
    <s v="delivered"/>
    <d v="2018-03-01T00:00:00"/>
    <n v="24"/>
    <n v="2"/>
    <n v="0"/>
    <n v="196.98"/>
    <n v="106.43849999999999"/>
    <n v="16.818000000000001"/>
    <n v="45.6935"/>
    <s v="22+ days"/>
  </r>
  <r>
    <s v="d699f908d95a017ccb1e7a8c2269d377"/>
    <x v="3"/>
    <d v="2018-03-13T00:00:00"/>
    <d v="2018-04-08T00:00:00"/>
    <d v="2018-04-07T00:00:00"/>
    <s v="auto"/>
    <n v="30.14"/>
    <n v="28.85"/>
    <s v="credit_card"/>
    <n v="3"/>
    <s v="delivered"/>
    <d v="2018-03-01T00:00:00"/>
    <n v="26"/>
    <n v="1"/>
    <n v="0"/>
    <n v="58.99"/>
    <n v="20.495200000000001"/>
    <n v="17.309999999999999"/>
    <n v="-7.6651999999999987"/>
    <s v="22+ days"/>
  </r>
  <r>
    <s v="8aa499b776c968256842e7f5164679a4"/>
    <x v="8"/>
    <d v="2018-03-13T00:00:00"/>
    <d v="2018-03-28T00:00:00"/>
    <d v="2018-04-06T00:00:00"/>
    <s v="auto"/>
    <n v="190.4"/>
    <n v="18.899999999999999"/>
    <s v="boleto"/>
    <n v="5"/>
    <s v="delivered"/>
    <d v="2018-03-01T00:00:00"/>
    <n v="15"/>
    <n v="0"/>
    <n v="1"/>
    <n v="209.3"/>
    <n v="129.47200000000001"/>
    <n v="11.339999999999998"/>
    <n v="49.588000000000001"/>
    <s v="15-21 days"/>
  </r>
  <r>
    <s v="6eb6c1e08b01c9be7d27519b088fc1e1"/>
    <x v="0"/>
    <d v="2018-03-13T00:00:00"/>
    <d v="2018-03-19T00:00:00"/>
    <d v="2018-03-28T00:00:00"/>
    <s v="bed_bath_table"/>
    <n v="61.55"/>
    <n v="14.56"/>
    <s v="credit_card"/>
    <n v="4"/>
    <s v="delivered"/>
    <d v="2018-03-01T00:00:00"/>
    <n v="6"/>
    <n v="0"/>
    <n v="1"/>
    <n v="76.11"/>
    <n v="38.161000000000001"/>
    <n v="8.7360000000000007"/>
    <n v="14.652999999999995"/>
    <s v="0-7 days"/>
  </r>
  <r>
    <s v="7c8e107bc02d24a8b5abf569b8253bbb"/>
    <x v="0"/>
    <d v="2018-03-13T00:00:00"/>
    <d v="2018-03-22T00:00:00"/>
    <d v="2018-03-28T00:00:00"/>
    <s v="toys"/>
    <n v="155.77000000000001"/>
    <n v="23.75"/>
    <s v="credit_card"/>
    <n v="4"/>
    <s v="delivered"/>
    <d v="2018-03-01T00:00:00"/>
    <n v="9"/>
    <n v="0"/>
    <n v="1"/>
    <n v="179.52"/>
    <n v="93.462000000000003"/>
    <n v="14.25"/>
    <n v="48.058000000000007"/>
    <s v="8-14 days"/>
  </r>
  <r>
    <s v="d425906597792b8da519c3e8921603fe"/>
    <x v="0"/>
    <d v="2018-03-13T00:00:00"/>
    <d v="2018-03-21T00:00:00"/>
    <d v="2018-03-26T00:00:00"/>
    <s v="housewares"/>
    <n v="42.57"/>
    <n v="16.72"/>
    <s v="credit_card"/>
    <n v="5"/>
    <s v="delivered"/>
    <d v="2018-03-01T00:00:00"/>
    <n v="8"/>
    <n v="0"/>
    <n v="1"/>
    <n v="59.29"/>
    <n v="26.819099999999999"/>
    <n v="10.031999999999998"/>
    <n v="5.7189000000000032"/>
    <s v="8-14 days"/>
  </r>
  <r>
    <s v="f76d15fd7d1645a0d253d966c36b9a0a"/>
    <x v="9"/>
    <d v="2018-03-14T00:00:00"/>
    <d v="2018-03-27T00:00:00"/>
    <d v="2018-04-08T00:00:00"/>
    <s v="health_beauty"/>
    <n v="208.62"/>
    <n v="25.71"/>
    <s v="credit_card"/>
    <n v="5"/>
    <s v="delivered"/>
    <d v="2018-03-01T00:00:00"/>
    <n v="13"/>
    <n v="0"/>
    <n v="1"/>
    <n v="234.33"/>
    <n v="120.9996"/>
    <n v="15.426"/>
    <n v="72.194400000000002"/>
    <s v="8-14 days"/>
  </r>
  <r>
    <s v="a31c6761eb002062099a344a1466a2ae"/>
    <x v="1"/>
    <d v="2018-03-14T00:00:00"/>
    <d v="2018-03-26T00:00:00"/>
    <d v="2018-04-02T00:00:00"/>
    <s v="furniture_decor"/>
    <n v="126.94"/>
    <n v="27.58"/>
    <s v="credit_card"/>
    <n v="4"/>
    <s v="delivered"/>
    <d v="2018-03-01T00:00:00"/>
    <n v="12"/>
    <n v="0"/>
    <n v="1"/>
    <n v="154.51999999999998"/>
    <n v="88.85799999999999"/>
    <n v="16.547999999999998"/>
    <n v="21.53400000000001"/>
    <s v="8-14 days"/>
  </r>
  <r>
    <s v="2390f607008428f51336980ee4b7405a"/>
    <x v="0"/>
    <d v="2018-03-14T00:00:00"/>
    <d v="2018-03-18T00:00:00"/>
    <d v="2018-03-30T00:00:00"/>
    <s v="auto"/>
    <n v="40.85"/>
    <n v="19.079999999999998"/>
    <s v="credit_card"/>
    <n v="4"/>
    <s v="delivered"/>
    <d v="2018-03-01T00:00:00"/>
    <n v="4"/>
    <n v="0"/>
    <n v="1"/>
    <n v="59.93"/>
    <n v="27.778000000000002"/>
    <n v="11.447999999999999"/>
    <n v="1.6240000000000006"/>
    <s v="0-7 days"/>
  </r>
  <r>
    <s v="274b852ab40f1f18c04a00cb58c4c481"/>
    <x v="1"/>
    <d v="2018-03-14T00:00:00"/>
    <d v="2018-03-21T00:00:00"/>
    <d v="2018-04-04T00:00:00"/>
    <s v="housewares"/>
    <n v="35.54"/>
    <n v="21.65"/>
    <s v="credit_card"/>
    <n v="5"/>
    <s v="delivered"/>
    <d v="2018-03-01T00:00:00"/>
    <n v="7"/>
    <n v="0"/>
    <n v="1"/>
    <n v="57.19"/>
    <n v="22.3902"/>
    <n v="12.989999999999998"/>
    <n v="0.15980000000000061"/>
    <s v="0-7 days"/>
  </r>
  <r>
    <s v="57f7d71f2978cc731440adec12439b0f"/>
    <x v="0"/>
    <d v="2018-03-15T00:00:00"/>
    <d v="2018-03-24T00:00:00"/>
    <d v="2018-04-01T00:00:00"/>
    <s v="sports_leisure"/>
    <n v="120.2"/>
    <n v="21.82"/>
    <s v="credit_card"/>
    <n v="5"/>
    <s v="delivered"/>
    <d v="2018-03-01T00:00:00"/>
    <n v="9"/>
    <n v="0"/>
    <n v="1"/>
    <n v="142.02000000000001"/>
    <n v="76.927999999999997"/>
    <n v="13.092000000000001"/>
    <n v="30.180000000000007"/>
    <s v="8-14 days"/>
  </r>
  <r>
    <s v="5df1bf6f938bd3f88bd18d4bed3353fc"/>
    <x v="3"/>
    <d v="2018-03-15T00:00:00"/>
    <d v="2018-03-29T00:00:00"/>
    <d v="2018-04-08T00:00:00"/>
    <s v="furniture_decor"/>
    <n v="195.09"/>
    <n v="22.56"/>
    <s v="credit_card"/>
    <n v="4"/>
    <s v="delivered"/>
    <d v="2018-03-01T00:00:00"/>
    <n v="14"/>
    <n v="0"/>
    <n v="1"/>
    <n v="217.65"/>
    <n v="136.56299999999999"/>
    <n v="13.536"/>
    <n v="44.991000000000014"/>
    <s v="8-14 days"/>
  </r>
  <r>
    <s v="2dee003e01d96e9601a0204714aa3ca3"/>
    <x v="2"/>
    <d v="2018-03-15T00:00:00"/>
    <d v="2018-03-25T00:00:00"/>
    <d v="2018-04-11T00:00:00"/>
    <s v="computers_accessories"/>
    <n v="105.27"/>
    <n v="31.05"/>
    <s v="boleto"/>
    <n v="5"/>
    <s v="delivered"/>
    <d v="2018-03-01T00:00:00"/>
    <n v="10"/>
    <n v="0"/>
    <n v="1"/>
    <n v="136.32"/>
    <n v="77.899799999999999"/>
    <n v="18.63"/>
    <n v="8.740199999999998"/>
    <s v="8-14 days"/>
  </r>
  <r>
    <s v="a5b5c511e7ad3be20356b6fe12e63e97"/>
    <x v="5"/>
    <d v="2018-03-15T00:00:00"/>
    <d v="2018-04-05T00:00:00"/>
    <d v="2018-04-09T00:00:00"/>
    <s v="furniture_decor"/>
    <n v="192.99"/>
    <n v="23.4"/>
    <s v="credit_card"/>
    <n v="4"/>
    <s v="delivered"/>
    <d v="2018-03-01T00:00:00"/>
    <n v="21"/>
    <n v="0"/>
    <n v="1"/>
    <n v="216.39000000000001"/>
    <n v="135.09299999999999"/>
    <n v="14.04"/>
    <n v="43.857000000000021"/>
    <s v="15-21 days"/>
  </r>
  <r>
    <s v="bb926370d619e0ce69d5ddf51d95cdea"/>
    <x v="0"/>
    <d v="2018-03-15T00:00:00"/>
    <d v="2018-03-22T00:00:00"/>
    <d v="2018-03-31T00:00:00"/>
    <s v="sports_leisure"/>
    <n v="101.96"/>
    <n v="17.5"/>
    <s v="credit_card"/>
    <n v="5"/>
    <s v="delivered"/>
    <d v="2018-03-01T00:00:00"/>
    <n v="7"/>
    <n v="0"/>
    <n v="1"/>
    <n v="119.46"/>
    <n v="65.254400000000004"/>
    <n v="10.5"/>
    <n v="26.20559999999999"/>
    <s v="0-7 days"/>
  </r>
  <r>
    <s v="2e783af91c1e4c10aaf2f24efe546eed"/>
    <x v="8"/>
    <d v="2018-03-15T00:00:00"/>
    <d v="2018-04-09T00:00:00"/>
    <d v="2018-04-07T00:00:00"/>
    <s v="sports_leisure"/>
    <n v="113.75"/>
    <n v="26.75"/>
    <s v="credit_card"/>
    <n v="3"/>
    <s v="delivered"/>
    <d v="2018-03-01T00:00:00"/>
    <n v="25"/>
    <n v="2"/>
    <n v="0"/>
    <n v="140.5"/>
    <n v="72.8"/>
    <n v="16.05"/>
    <n v="24.900000000000002"/>
    <s v="22+ days"/>
  </r>
  <r>
    <s v="a84510a1c2492e5e005fd0e655c3b2db"/>
    <x v="3"/>
    <d v="2018-03-16T00:00:00"/>
    <d v="2018-04-06T00:00:00"/>
    <d v="2018-04-10T00:00:00"/>
    <s v="toys"/>
    <n v="113.87"/>
    <n v="17.12"/>
    <s v="credit_card"/>
    <n v="4"/>
    <s v="delivered"/>
    <d v="2018-03-01T00:00:00"/>
    <n v="21"/>
    <n v="0"/>
    <n v="1"/>
    <n v="130.99"/>
    <n v="68.322000000000003"/>
    <n v="10.272"/>
    <n v="35.276000000000003"/>
    <s v="15-21 days"/>
  </r>
  <r>
    <s v="6a25542effbd9cdd9d84d303ccb03fc5"/>
    <x v="9"/>
    <d v="2018-03-16T00:00:00"/>
    <d v="2018-04-01T00:00:00"/>
    <d v="2018-04-08T00:00:00"/>
    <s v="computers_accessories"/>
    <n v="138.31"/>
    <n v="32.520000000000003"/>
    <s v="credit_card"/>
    <n v="4"/>
    <s v="delivered"/>
    <d v="2018-03-01T00:00:00"/>
    <n v="16"/>
    <n v="0"/>
    <n v="1"/>
    <n v="170.83"/>
    <n v="102.3494"/>
    <n v="19.512"/>
    <n v="16.448599999999999"/>
    <s v="15-21 days"/>
  </r>
  <r>
    <s v="c576c26d98ae0666d066ad21af7d7f21"/>
    <x v="9"/>
    <d v="2018-03-16T00:00:00"/>
    <d v="2018-03-24T00:00:00"/>
    <d v="2018-04-09T00:00:00"/>
    <s v="furniture_decor"/>
    <n v="80.680000000000007"/>
    <n v="27.35"/>
    <s v="boleto"/>
    <n v="5"/>
    <s v="delivered"/>
    <d v="2018-03-01T00:00:00"/>
    <n v="8"/>
    <n v="0"/>
    <n v="1"/>
    <n v="108.03"/>
    <n v="56.475999999999999"/>
    <n v="16.41"/>
    <n v="7.7940000000000076"/>
    <s v="8-14 days"/>
  </r>
  <r>
    <s v="e82399437dec46052deb57f96acac954"/>
    <x v="0"/>
    <d v="2018-03-16T00:00:00"/>
    <d v="2018-03-25T00:00:00"/>
    <d v="2018-04-01T00:00:00"/>
    <s v="health_beauty"/>
    <n v="75.58"/>
    <n v="21.38"/>
    <s v="credit_card"/>
    <n v="5"/>
    <s v="delivered"/>
    <d v="2018-03-01T00:00:00"/>
    <n v="9"/>
    <n v="0"/>
    <n v="1"/>
    <n v="96.96"/>
    <n v="43.836399999999998"/>
    <n v="12.827999999999999"/>
    <n v="18.915600000000001"/>
    <s v="8-14 days"/>
  </r>
  <r>
    <s v="b68ff0dc718bf53a3864bf75dbd7b4b4"/>
    <x v="0"/>
    <d v="2018-03-16T00:00:00"/>
    <d v="2018-03-27T00:00:00"/>
    <d v="2018-04-05T00:00:00"/>
    <s v="health_beauty"/>
    <n v="229.98"/>
    <n v="24.52"/>
    <s v="credit_card"/>
    <n v="5"/>
    <s v="delivered"/>
    <d v="2018-03-01T00:00:00"/>
    <n v="11"/>
    <n v="0"/>
    <n v="1"/>
    <n v="254.5"/>
    <n v="133.38839999999999"/>
    <n v="14.712"/>
    <n v="81.879599999999996"/>
    <s v="8-14 days"/>
  </r>
  <r>
    <s v="90e65aa43d4a49aee83f6a2a52fc6f48"/>
    <x v="4"/>
    <d v="2018-03-16T00:00:00"/>
    <d v="2018-03-25T00:00:00"/>
    <d v="2018-04-08T00:00:00"/>
    <s v="computers_accessories"/>
    <n v="117.23"/>
    <n v="29.32"/>
    <s v="credit_card"/>
    <n v="4"/>
    <s v="delivered"/>
    <d v="2018-03-01T00:00:00"/>
    <n v="9"/>
    <n v="0"/>
    <n v="1"/>
    <n v="146.55000000000001"/>
    <n v="86.750200000000007"/>
    <n v="17.591999999999999"/>
    <n v="12.887799999999999"/>
    <s v="8-14 days"/>
  </r>
  <r>
    <s v="e877a70d692fe76c1a204dcc4ae8e236"/>
    <x v="0"/>
    <d v="2018-03-16T00:00:00"/>
    <d v="2018-03-26T00:00:00"/>
    <d v="2018-04-01T00:00:00"/>
    <s v="watches_gifts"/>
    <n v="239.62"/>
    <n v="21.14"/>
    <s v="credit_card"/>
    <n v="5"/>
    <s v="delivered"/>
    <d v="2018-03-01T00:00:00"/>
    <n v="10"/>
    <n v="0"/>
    <n v="1"/>
    <n v="260.76"/>
    <n v="158.14920000000001"/>
    <n v="12.683999999999999"/>
    <n v="68.786799999999999"/>
    <s v="8-14 days"/>
  </r>
  <r>
    <s v="1f7e09deb79908b68095fa69db07a2a9"/>
    <x v="0"/>
    <d v="2018-03-16T00:00:00"/>
    <d v="2018-03-22T00:00:00"/>
    <d v="2018-03-31T00:00:00"/>
    <s v="watches_gifts"/>
    <n v="175.75"/>
    <n v="22.39"/>
    <s v="credit_card"/>
    <n v="5"/>
    <s v="delivered"/>
    <d v="2018-03-01T00:00:00"/>
    <n v="6"/>
    <n v="0"/>
    <n v="1"/>
    <n v="198.14"/>
    <n v="115.995"/>
    <n v="13.433999999999999"/>
    <n v="46.320999999999998"/>
    <s v="0-7 days"/>
  </r>
  <r>
    <s v="250487e4ada517e3a85d81db9620ed14"/>
    <x v="0"/>
    <d v="2018-03-17T00:00:00"/>
    <d v="2018-03-20T00:00:00"/>
    <d v="2018-04-02T00:00:00"/>
    <s v="sports_leisure"/>
    <n v="71.180000000000007"/>
    <n v="12.01"/>
    <s v="credit_card"/>
    <n v="4"/>
    <s v="delivered"/>
    <d v="2018-03-01T00:00:00"/>
    <n v="3"/>
    <n v="0"/>
    <n v="1"/>
    <n v="83.190000000000012"/>
    <n v="45.555200000000006"/>
    <n v="7.2059999999999995"/>
    <n v="18.418800000000001"/>
    <s v="0-7 days"/>
  </r>
  <r>
    <s v="19519ab3bf5eaf8e7f12e3cdb09a96e3"/>
    <x v="0"/>
    <d v="2018-03-18T00:00:00"/>
    <d v="2018-04-01T00:00:00"/>
    <d v="2018-04-03T00:00:00"/>
    <s v="bed_bath_table"/>
    <n v="71.75"/>
    <n v="13.06"/>
    <s v="credit_card"/>
    <n v="4"/>
    <s v="delivered"/>
    <d v="2018-03-01T00:00:00"/>
    <n v="14"/>
    <n v="0"/>
    <n v="1"/>
    <n v="84.81"/>
    <n v="44.484999999999999"/>
    <n v="7.8360000000000003"/>
    <n v="19.429000000000002"/>
    <s v="8-14 days"/>
  </r>
  <r>
    <s v="d36e8d21a113384e62e9ee6206278321"/>
    <x v="0"/>
    <d v="2018-03-18T00:00:00"/>
    <d v="2018-03-24T00:00:00"/>
    <d v="2018-04-02T00:00:00"/>
    <s v="watches_gifts"/>
    <n v="141.9"/>
    <n v="23.08"/>
    <s v="credit_card"/>
    <n v="5"/>
    <s v="delivered"/>
    <d v="2018-03-01T00:00:00"/>
    <n v="6"/>
    <n v="0"/>
    <n v="1"/>
    <n v="164.98000000000002"/>
    <n v="93.654000000000011"/>
    <n v="13.847999999999999"/>
    <n v="34.397999999999996"/>
    <s v="0-7 days"/>
  </r>
  <r>
    <s v="a38295d31e0ef546b0b6dedf4f9c4027"/>
    <x v="0"/>
    <d v="2018-03-19T00:00:00"/>
    <d v="2018-03-28T00:00:00"/>
    <d v="2018-04-05T00:00:00"/>
    <s v="sports_leisure"/>
    <n v="92.08"/>
    <n v="19.73"/>
    <s v="boleto"/>
    <n v="5"/>
    <s v="delivered"/>
    <d v="2018-03-01T00:00:00"/>
    <n v="9"/>
    <n v="0"/>
    <n v="1"/>
    <n v="111.81"/>
    <n v="58.931199999999997"/>
    <n v="11.837999999999999"/>
    <n v="21.3108"/>
    <s v="8-14 days"/>
  </r>
  <r>
    <s v="f77b97421e12bbed184c4178935c31d1"/>
    <x v="3"/>
    <d v="2018-03-19T00:00:00"/>
    <d v="2018-04-01T00:00:00"/>
    <d v="2018-04-14T00:00:00"/>
    <s v="computers_accessories"/>
    <n v="152.87"/>
    <n v="31.78"/>
    <s v="boleto"/>
    <n v="4"/>
    <s v="delivered"/>
    <d v="2018-03-01T00:00:00"/>
    <n v="13"/>
    <n v="0"/>
    <n v="1"/>
    <n v="184.65"/>
    <n v="113.1238"/>
    <n v="19.068000000000001"/>
    <n v="20.6782"/>
    <s v="8-14 days"/>
  </r>
  <r>
    <s v="eddcb5cec99d3b6872a4768ef62f7486"/>
    <x v="2"/>
    <d v="2018-03-19T00:00:00"/>
    <d v="2018-04-05T00:00:00"/>
    <d v="2018-04-12T00:00:00"/>
    <s v="computers_accessories"/>
    <n v="155.77000000000001"/>
    <n v="21.83"/>
    <s v="credit_card"/>
    <n v="5"/>
    <s v="delivered"/>
    <d v="2018-03-01T00:00:00"/>
    <n v="17"/>
    <n v="0"/>
    <n v="1"/>
    <n v="177.60000000000002"/>
    <n v="115.2698"/>
    <n v="13.097999999999999"/>
    <n v="27.402200000000008"/>
    <s v="15-21 days"/>
  </r>
  <r>
    <s v="68c18df945ca17afe9ea9d49bc94046e"/>
    <x v="0"/>
    <d v="2018-03-20T00:00:00"/>
    <d v="2018-04-09T00:00:00"/>
    <d v="2018-04-02T00:00:00"/>
    <s v="toys"/>
    <n v="94.61"/>
    <n v="21.62"/>
    <s v="credit_card"/>
    <n v="3"/>
    <s v="delivered"/>
    <d v="2018-03-01T00:00:00"/>
    <n v="20"/>
    <n v="7"/>
    <n v="0"/>
    <n v="116.23"/>
    <n v="56.765999999999998"/>
    <n v="12.972"/>
    <n v="24.872"/>
    <s v="15-21 days"/>
  </r>
  <r>
    <s v="0341f831ea4a742b5edce3b7c9ce362d"/>
    <x v="8"/>
    <d v="2018-03-20T00:00:00"/>
    <d v="2018-04-05T00:00:00"/>
    <d v="2018-04-14T00:00:00"/>
    <s v="bed_bath_table"/>
    <n v="60.53"/>
    <n v="30.02"/>
    <s v="credit_card"/>
    <n v="3"/>
    <s v="delivered"/>
    <d v="2018-03-01T00:00:00"/>
    <n v="16"/>
    <n v="0"/>
    <n v="1"/>
    <n v="90.55"/>
    <n v="37.528599999999997"/>
    <n v="18.012"/>
    <n v="4.9894000000000034"/>
    <s v="15-21 days"/>
  </r>
  <r>
    <s v="5b1f49796ae1dd7efce364dd55f3d1e7"/>
    <x v="0"/>
    <d v="2018-03-20T00:00:00"/>
    <d v="2018-03-29T00:00:00"/>
    <d v="2018-04-05T00:00:00"/>
    <s v="furniture_decor"/>
    <n v="44.25"/>
    <n v="15.68"/>
    <s v="credit_card"/>
    <n v="4"/>
    <s v="delivered"/>
    <d v="2018-03-01T00:00:00"/>
    <n v="9"/>
    <n v="0"/>
    <n v="1"/>
    <n v="59.93"/>
    <n v="30.974999999999998"/>
    <n v="9.4079999999999995"/>
    <n v="3.8670000000000027"/>
    <s v="8-14 days"/>
  </r>
  <r>
    <s v="637e4b0122bae10e899ca782e3236d1a"/>
    <x v="0"/>
    <d v="2018-03-21T00:00:00"/>
    <d v="2018-04-02T00:00:00"/>
    <d v="2018-04-04T00:00:00"/>
    <s v="auto"/>
    <n v="69.14"/>
    <n v="12.9"/>
    <s v="credit_card"/>
    <n v="5"/>
    <s v="delivered"/>
    <d v="2018-03-01T00:00:00"/>
    <n v="12"/>
    <n v="0"/>
    <n v="1"/>
    <n v="82.04"/>
    <n v="47.015200000000007"/>
    <n v="7.74"/>
    <n v="14.384799999999993"/>
    <s v="8-14 days"/>
  </r>
  <r>
    <s v="deaf528d2e7098380190262059dcabd0"/>
    <x v="8"/>
    <d v="2018-03-21T00:00:00"/>
    <d v="2018-04-05T00:00:00"/>
    <d v="2018-04-12T00:00:00"/>
    <s v="bed_bath_table"/>
    <n v="32.950000000000003"/>
    <n v="28.91"/>
    <s v="credit_card"/>
    <n v="3"/>
    <s v="delivered"/>
    <d v="2018-03-01T00:00:00"/>
    <n v="15"/>
    <n v="0"/>
    <n v="1"/>
    <n v="61.86"/>
    <n v="20.429000000000002"/>
    <n v="17.346"/>
    <n v="-4.8249999999999993"/>
    <s v="15-21 days"/>
  </r>
  <r>
    <s v="5763790255520712af92ef221d2467e2"/>
    <x v="0"/>
    <d v="2018-03-21T00:00:00"/>
    <d v="2018-03-26T00:00:00"/>
    <d v="2018-04-05T00:00:00"/>
    <s v="bed_bath_table"/>
    <n v="48.48"/>
    <n v="19.52"/>
    <s v="credit_card"/>
    <n v="4"/>
    <s v="delivered"/>
    <d v="2018-03-01T00:00:00"/>
    <n v="5"/>
    <n v="0"/>
    <n v="1"/>
    <n v="68"/>
    <n v="30.057599999999997"/>
    <n v="11.712"/>
    <n v="6.7103999999999999"/>
    <s v="0-7 days"/>
  </r>
  <r>
    <s v="5ef981f8af927913cb50d1f598dcb918"/>
    <x v="0"/>
    <d v="2018-03-21T00:00:00"/>
    <d v="2018-03-30T00:00:00"/>
    <d v="2018-04-04T00:00:00"/>
    <s v="sports_leisure"/>
    <n v="76.569999999999993"/>
    <n v="21.13"/>
    <s v="credit_card"/>
    <n v="4"/>
    <s v="delivered"/>
    <d v="2018-03-01T00:00:00"/>
    <n v="9"/>
    <n v="0"/>
    <n v="1"/>
    <n v="97.699999999999989"/>
    <n v="49.004799999999996"/>
    <n v="12.677999999999999"/>
    <n v="14.887199999999998"/>
    <s v="8-14 days"/>
  </r>
  <r>
    <s v="c39782737ce8abfb447b9b0c10fb6052"/>
    <x v="4"/>
    <d v="2018-03-21T00:00:00"/>
    <d v="2018-03-30T00:00:00"/>
    <d v="2018-04-12T00:00:00"/>
    <s v="housewares"/>
    <n v="43.08"/>
    <n v="22.74"/>
    <s v="boleto"/>
    <n v="4"/>
    <s v="delivered"/>
    <d v="2018-03-01T00:00:00"/>
    <n v="9"/>
    <n v="0"/>
    <n v="1"/>
    <n v="65.819999999999993"/>
    <n v="27.1404"/>
    <n v="13.643999999999998"/>
    <n v="2.2956000000000003"/>
    <s v="8-14 days"/>
  </r>
  <r>
    <s v="48301db78810a1690257ac68cfc47f87"/>
    <x v="0"/>
    <d v="2018-03-21T00:00:00"/>
    <d v="2018-03-30T00:00:00"/>
    <d v="2018-04-05T00:00:00"/>
    <s v="housewares"/>
    <n v="111.5"/>
    <n v="21.16"/>
    <s v="credit_card"/>
    <n v="5"/>
    <s v="delivered"/>
    <d v="2018-03-01T00:00:00"/>
    <n v="9"/>
    <n v="0"/>
    <n v="1"/>
    <n v="132.66"/>
    <n v="70.245000000000005"/>
    <n v="12.696"/>
    <n v="28.558999999999997"/>
    <s v="8-14 days"/>
  </r>
  <r>
    <s v="52ce32e822b54f371b2e1e898913f2f0"/>
    <x v="0"/>
    <d v="2018-03-21T00:00:00"/>
    <d v="2018-04-05T00:00:00"/>
    <d v="2018-04-03T00:00:00"/>
    <s v="furniture_decor"/>
    <n v="110.01"/>
    <n v="16.04"/>
    <s v="credit_card"/>
    <n v="3"/>
    <s v="delivered"/>
    <d v="2018-03-01T00:00:00"/>
    <n v="15"/>
    <n v="2"/>
    <n v="0"/>
    <n v="126.05000000000001"/>
    <n v="77.007000000000005"/>
    <n v="9.6239999999999988"/>
    <n v="23.379000000000001"/>
    <s v="15-21 days"/>
  </r>
  <r>
    <s v="391a1488992ada0b546fc668622010bd"/>
    <x v="3"/>
    <d v="2018-03-21T00:00:00"/>
    <d v="2018-03-29T00:00:00"/>
    <d v="2018-04-14T00:00:00"/>
    <s v="sports_leisure"/>
    <n v="99.43"/>
    <n v="30.43"/>
    <s v="credit_card"/>
    <n v="4"/>
    <s v="delivered"/>
    <d v="2018-03-01T00:00:00"/>
    <n v="8"/>
    <n v="0"/>
    <n v="1"/>
    <n v="129.86000000000001"/>
    <n v="63.635200000000005"/>
    <n v="18.257999999999999"/>
    <n v="17.536800000000003"/>
    <s v="8-14 days"/>
  </r>
  <r>
    <s v="b1c72493407738479e04215a9e92b9d9"/>
    <x v="9"/>
    <d v="2018-03-22T00:00:00"/>
    <d v="2018-04-15T00:00:00"/>
    <d v="2018-04-14T00:00:00"/>
    <s v="toys"/>
    <n v="103.39"/>
    <n v="27.63"/>
    <s v="credit_card"/>
    <n v="1"/>
    <s v="delivered"/>
    <d v="2018-03-01T00:00:00"/>
    <n v="24"/>
    <n v="1"/>
    <n v="0"/>
    <n v="131.02000000000001"/>
    <n v="62.033999999999999"/>
    <n v="16.577999999999999"/>
    <n v="24.778000000000002"/>
    <s v="22+ days"/>
  </r>
  <r>
    <s v="a41e13208f28b7a85d2474ab5d83baf5"/>
    <x v="8"/>
    <d v="2018-03-22T00:00:00"/>
    <d v="2018-04-03T00:00:00"/>
    <d v="2018-04-17T00:00:00"/>
    <s v="toys"/>
    <n v="17.28"/>
    <n v="21.37"/>
    <s v="credit_card"/>
    <n v="5"/>
    <s v="delivered"/>
    <d v="2018-03-01T00:00:00"/>
    <n v="12"/>
    <n v="0"/>
    <n v="1"/>
    <n v="38.650000000000006"/>
    <n v="10.368"/>
    <n v="12.822000000000001"/>
    <n v="-5.91"/>
    <s v="8-14 days"/>
  </r>
  <r>
    <s v="ff84faef5336723b8f96468535145890"/>
    <x v="0"/>
    <d v="2018-03-23T00:00:00"/>
    <d v="2018-03-30T00:00:00"/>
    <d v="2018-04-07T00:00:00"/>
    <s v="housewares"/>
    <n v="93.44"/>
    <n v="13.82"/>
    <s v="credit_card"/>
    <n v="4"/>
    <s v="delivered"/>
    <d v="2018-03-01T00:00:00"/>
    <n v="7"/>
    <n v="0"/>
    <n v="1"/>
    <n v="107.25999999999999"/>
    <n v="58.867199999999997"/>
    <n v="8.2919999999999998"/>
    <n v="26.280799999999999"/>
    <s v="0-7 days"/>
  </r>
  <r>
    <s v="eba900e16a7d5d964ba172331ac3bf31"/>
    <x v="2"/>
    <d v="2018-03-23T00:00:00"/>
    <d v="2018-04-08T00:00:00"/>
    <d v="2018-04-14T00:00:00"/>
    <s v="computers_accessories"/>
    <n v="121.02"/>
    <n v="18.2"/>
    <s v="voucher"/>
    <n v="5"/>
    <s v="delivered"/>
    <d v="2018-03-01T00:00:00"/>
    <n v="16"/>
    <n v="0"/>
    <n v="1"/>
    <n v="139.22"/>
    <n v="89.5548"/>
    <n v="10.92"/>
    <n v="20.545199999999994"/>
    <s v="15-21 days"/>
  </r>
  <r>
    <s v="4d950273cb2cc805d1403430567e642e"/>
    <x v="0"/>
    <d v="2018-03-23T00:00:00"/>
    <d v="2018-03-30T00:00:00"/>
    <d v="2018-04-10T00:00:00"/>
    <s v="bed_bath_table"/>
    <n v="71.38"/>
    <n v="15.84"/>
    <s v="credit_card"/>
    <n v="4"/>
    <s v="delivered"/>
    <d v="2018-03-01T00:00:00"/>
    <n v="7"/>
    <n v="0"/>
    <n v="1"/>
    <n v="87.22"/>
    <n v="44.255599999999994"/>
    <n v="9.5039999999999996"/>
    <n v="17.620400000000004"/>
    <s v="0-7 days"/>
  </r>
  <r>
    <s v="dcf03433220f6e180b01e9636e2d9483"/>
    <x v="1"/>
    <d v="2018-03-23T00:00:00"/>
    <d v="2018-04-05T00:00:00"/>
    <d v="2018-04-15T00:00:00"/>
    <s v="health_beauty"/>
    <n v="81.98"/>
    <n v="25.67"/>
    <s v="voucher"/>
    <n v="5"/>
    <s v="delivered"/>
    <d v="2018-03-01T00:00:00"/>
    <n v="13"/>
    <n v="0"/>
    <n v="1"/>
    <n v="107.65"/>
    <n v="47.548400000000001"/>
    <n v="15.402000000000001"/>
    <n v="19.029600000000002"/>
    <s v="8-14 days"/>
  </r>
  <r>
    <s v="d4e4085ed39c2bfc78536a36923fd0d7"/>
    <x v="3"/>
    <d v="2018-03-23T00:00:00"/>
    <d v="2018-03-31T00:00:00"/>
    <d v="2018-04-16T00:00:00"/>
    <s v="furniture_decor"/>
    <n v="94.16"/>
    <n v="17.84"/>
    <s v="credit_card"/>
    <n v="5"/>
    <s v="delivered"/>
    <d v="2018-03-01T00:00:00"/>
    <n v="8"/>
    <n v="0"/>
    <n v="1"/>
    <n v="112"/>
    <n v="65.911999999999992"/>
    <n v="10.703999999999999"/>
    <n v="17.544000000000004"/>
    <s v="8-14 days"/>
  </r>
  <r>
    <s v="c40c5d9146fde062a33dc7afd701410d"/>
    <x v="7"/>
    <d v="2018-03-24T00:00:00"/>
    <d v="2018-04-13T00:00:00"/>
    <d v="2018-04-17T00:00:00"/>
    <s v="health_beauty"/>
    <n v="189.31"/>
    <n v="29.54"/>
    <s v="boleto"/>
    <n v="4"/>
    <s v="delivered"/>
    <d v="2018-03-01T00:00:00"/>
    <n v="20"/>
    <n v="0"/>
    <n v="1"/>
    <n v="218.85"/>
    <n v="109.79979999999999"/>
    <n v="17.724"/>
    <n v="61.786200000000008"/>
    <s v="15-21 days"/>
  </r>
  <r>
    <s v="23ce37db7cb8b49d864b789acd9b79fd"/>
    <x v="3"/>
    <d v="2018-03-24T00:00:00"/>
    <d v="2018-04-04T00:00:00"/>
    <d v="2018-04-19T00:00:00"/>
    <s v="health_beauty"/>
    <n v="35.21"/>
    <n v="17.91"/>
    <s v="boleto"/>
    <n v="5"/>
    <s v="delivered"/>
    <d v="2018-03-01T00:00:00"/>
    <n v="11"/>
    <n v="0"/>
    <n v="1"/>
    <n v="53.120000000000005"/>
    <n v="20.421799999999998"/>
    <n v="10.746"/>
    <n v="4.0422000000000029"/>
    <s v="8-14 days"/>
  </r>
  <r>
    <s v="2126180ad586cc32d64894cd2766fe92"/>
    <x v="0"/>
    <d v="2018-03-24T00:00:00"/>
    <d v="2018-04-01T00:00:00"/>
    <d v="2018-04-08T00:00:00"/>
    <s v="computers_accessories"/>
    <n v="242.97"/>
    <n v="22.9"/>
    <s v="credit_card"/>
    <n v="5"/>
    <s v="delivered"/>
    <d v="2018-03-01T00:00:00"/>
    <n v="8"/>
    <n v="0"/>
    <n v="1"/>
    <n v="265.87"/>
    <n v="179.7978"/>
    <n v="13.739999999999998"/>
    <n v="49.432200000000009"/>
    <s v="8-14 days"/>
  </r>
  <r>
    <s v="4a4742f64992ac298bedaf07af8ee6b2"/>
    <x v="0"/>
    <d v="2018-03-24T00:00:00"/>
    <d v="2018-03-27T00:00:00"/>
    <d v="2018-04-09T00:00:00"/>
    <s v="bed_bath_table"/>
    <n v="57.68"/>
    <n v="11.7"/>
    <s v="boleto"/>
    <n v="5"/>
    <s v="delivered"/>
    <d v="2018-03-01T00:00:00"/>
    <n v="3"/>
    <n v="0"/>
    <n v="1"/>
    <n v="69.38"/>
    <n v="35.761600000000001"/>
    <n v="7.02"/>
    <n v="14.898399999999999"/>
    <s v="0-7 days"/>
  </r>
  <r>
    <s v="e3c51ba87122d7a0d12972d323966b83"/>
    <x v="3"/>
    <d v="2018-03-25T00:00:00"/>
    <d v="2018-04-15T00:00:00"/>
    <d v="2018-04-19T00:00:00"/>
    <s v="bed_bath_table"/>
    <n v="33.72"/>
    <n v="25.53"/>
    <s v="debit_card"/>
    <n v="4"/>
    <s v="delivered"/>
    <d v="2018-03-01T00:00:00"/>
    <n v="21"/>
    <n v="0"/>
    <n v="1"/>
    <n v="59.25"/>
    <n v="20.906399999999998"/>
    <n v="15.318"/>
    <n v="-2.5043999999999986"/>
    <s v="15-21 days"/>
  </r>
  <r>
    <s v="cf3b5aa894deff78ccafa19bf8e274d8"/>
    <x v="0"/>
    <d v="2018-03-25T00:00:00"/>
    <d v="2018-03-31T00:00:00"/>
    <d v="2018-04-10T00:00:00"/>
    <s v="watches_gifts"/>
    <n v="90.03"/>
    <n v="13.02"/>
    <s v="boleto"/>
    <n v="5"/>
    <s v="delivered"/>
    <d v="2018-03-01T00:00:00"/>
    <n v="6"/>
    <n v="0"/>
    <n v="1"/>
    <n v="103.05"/>
    <n v="59.419800000000002"/>
    <n v="7.8119999999999994"/>
    <n v="22.798200000000001"/>
    <s v="0-7 days"/>
  </r>
  <r>
    <s v="348b03d8c05db5447881a49263203fa9"/>
    <x v="1"/>
    <d v="2018-03-25T00:00:00"/>
    <d v="2018-04-06T00:00:00"/>
    <d v="2018-04-13T00:00:00"/>
    <s v="furniture_decor"/>
    <n v="74.69"/>
    <n v="27.06"/>
    <s v="credit_card"/>
    <n v="4"/>
    <s v="delivered"/>
    <d v="2018-03-01T00:00:00"/>
    <n v="12"/>
    <n v="0"/>
    <n v="1"/>
    <n v="101.75"/>
    <n v="52.282999999999994"/>
    <n v="16.235999999999997"/>
    <n v="6.1710000000000065"/>
    <s v="8-14 days"/>
  </r>
  <r>
    <s v="23a8bfbe96289af206c0965dd68b717e"/>
    <x v="0"/>
    <d v="2018-03-26T00:00:00"/>
    <d v="2018-03-31T00:00:00"/>
    <d v="2018-04-11T00:00:00"/>
    <s v="furniture_decor"/>
    <n v="64.78"/>
    <n v="16.809999999999999"/>
    <s v="boleto"/>
    <n v="4"/>
    <s v="delivered"/>
    <d v="2018-03-01T00:00:00"/>
    <n v="5"/>
    <n v="0"/>
    <n v="1"/>
    <n v="81.59"/>
    <n v="45.345999999999997"/>
    <n v="10.085999999999999"/>
    <n v="9.3480000000000061"/>
    <s v="0-7 days"/>
  </r>
  <r>
    <s v="ea58341101cd8f3c7d0b57ced3d857db"/>
    <x v="0"/>
    <d v="2018-03-26T00:00:00"/>
    <d v="2018-04-04T00:00:00"/>
    <d v="2018-04-12T00:00:00"/>
    <s v="bed_bath_table"/>
    <n v="288.7"/>
    <n v="16.55"/>
    <s v="credit_card"/>
    <n v="3"/>
    <s v="delivered"/>
    <d v="2018-03-01T00:00:00"/>
    <n v="9"/>
    <n v="0"/>
    <n v="1"/>
    <n v="305.25"/>
    <n v="178.994"/>
    <n v="9.93"/>
    <n v="99.775999999999982"/>
    <s v="8-14 days"/>
  </r>
  <r>
    <s v="d789c6245e14901bfea59d94998c603a"/>
    <x v="1"/>
    <d v="2018-03-27T00:00:00"/>
    <d v="2018-04-19T00:00:00"/>
    <d v="2018-04-15T00:00:00"/>
    <s v="furniture_decor"/>
    <n v="111.28"/>
    <n v="19.12"/>
    <s v="credit_card"/>
    <n v="3"/>
    <s v="delivered"/>
    <d v="2018-03-01T00:00:00"/>
    <n v="23"/>
    <n v="4"/>
    <n v="0"/>
    <n v="130.4"/>
    <n v="77.896000000000001"/>
    <n v="11.472"/>
    <n v="21.911999999999999"/>
    <s v="22+ days"/>
  </r>
  <r>
    <s v="a754251d04fe52e3e98a470cb894550a"/>
    <x v="0"/>
    <d v="2018-03-27T00:00:00"/>
    <d v="2018-04-03T00:00:00"/>
    <d v="2018-04-15T00:00:00"/>
    <s v="furniture_decor"/>
    <n v="113.5"/>
    <n v="17.809999999999999"/>
    <s v="credit_card"/>
    <n v="3"/>
    <s v="delivered"/>
    <d v="2018-03-01T00:00:00"/>
    <n v="7"/>
    <n v="0"/>
    <n v="1"/>
    <n v="131.31"/>
    <n v="79.449999999999989"/>
    <n v="10.685999999999998"/>
    <n v="23.364000000000011"/>
    <s v="0-7 days"/>
  </r>
  <r>
    <s v="8dcc4d112148c1f41f8a36735b8b0b44"/>
    <x v="0"/>
    <d v="2018-03-27T00:00:00"/>
    <d v="2018-04-03T00:00:00"/>
    <d v="2018-04-09T00:00:00"/>
    <s v="toys"/>
    <n v="38.61"/>
    <n v="13.78"/>
    <s v="credit_card"/>
    <n v="5"/>
    <s v="delivered"/>
    <d v="2018-03-01T00:00:00"/>
    <n v="7"/>
    <n v="0"/>
    <n v="1"/>
    <n v="52.39"/>
    <n v="23.166"/>
    <n v="8.2679999999999989"/>
    <n v="7.1760000000000002"/>
    <s v="0-7 days"/>
  </r>
  <r>
    <s v="5e24038e92a593c81db92330f1276a5c"/>
    <x v="4"/>
    <d v="2018-03-28T00:00:00"/>
    <d v="2018-04-08T00:00:00"/>
    <d v="2018-04-18T00:00:00"/>
    <s v="bed_bath_table"/>
    <n v="48.38"/>
    <n v="17.600000000000001"/>
    <s v="credit_card"/>
    <n v="5"/>
    <s v="delivered"/>
    <d v="2018-03-01T00:00:00"/>
    <n v="11"/>
    <n v="0"/>
    <n v="1"/>
    <n v="65.98"/>
    <n v="29.9956"/>
    <n v="10.56"/>
    <n v="7.8244000000000025"/>
    <s v="8-14 days"/>
  </r>
  <r>
    <s v="d767a6da231b0c86e97c0ea5341c2d10"/>
    <x v="0"/>
    <d v="2018-03-28T00:00:00"/>
    <d v="2018-04-07T00:00:00"/>
    <d v="2018-04-12T00:00:00"/>
    <s v="furniture_decor"/>
    <n v="166.13"/>
    <n v="16.760000000000002"/>
    <s v="voucher"/>
    <n v="5"/>
    <s v="delivered"/>
    <d v="2018-03-01T00:00:00"/>
    <n v="10"/>
    <n v="0"/>
    <n v="1"/>
    <n v="182.89"/>
    <n v="116.29099999999998"/>
    <n v="10.056000000000001"/>
    <n v="39.783000000000015"/>
    <s v="8-14 days"/>
  </r>
  <r>
    <s v="760fdd9593ddbda134fe6da807e86429"/>
    <x v="4"/>
    <d v="2018-03-28T00:00:00"/>
    <d v="2018-04-08T00:00:00"/>
    <d v="2018-04-18T00:00:00"/>
    <s v="watches_gifts"/>
    <n v="101.71"/>
    <n v="16.940000000000001"/>
    <s v="credit_card"/>
    <n v="5"/>
    <s v="delivered"/>
    <d v="2018-03-01T00:00:00"/>
    <n v="11"/>
    <n v="0"/>
    <n v="1"/>
    <n v="118.64999999999999"/>
    <n v="67.128600000000006"/>
    <n v="10.164"/>
    <n v="24.417399999999986"/>
    <s v="8-14 days"/>
  </r>
  <r>
    <s v="e23fcbccbb966a3d49afb037744202f2"/>
    <x v="0"/>
    <d v="2018-03-28T00:00:00"/>
    <d v="2018-04-15T00:00:00"/>
    <d v="2018-04-08T00:00:00"/>
    <s v="toys"/>
    <n v="53.4"/>
    <n v="15.87"/>
    <s v="credit_card"/>
    <n v="3"/>
    <s v="delivered"/>
    <d v="2018-03-01T00:00:00"/>
    <n v="18"/>
    <n v="7"/>
    <n v="0"/>
    <n v="69.27"/>
    <n v="32.04"/>
    <n v="9.5219999999999985"/>
    <n v="11.838000000000001"/>
    <s v="15-21 days"/>
  </r>
  <r>
    <s v="eb1efddc0d88893344725ab7bc44a417"/>
    <x v="1"/>
    <d v="2018-03-29T00:00:00"/>
    <d v="2018-04-17T00:00:00"/>
    <d v="2018-04-19T00:00:00"/>
    <s v="furniture_decor"/>
    <n v="76.8"/>
    <n v="20.84"/>
    <s v="credit_card"/>
    <n v="4"/>
    <s v="delivered"/>
    <d v="2018-03-01T00:00:00"/>
    <n v="19"/>
    <n v="0"/>
    <n v="1"/>
    <n v="97.64"/>
    <n v="53.76"/>
    <n v="12.504"/>
    <n v="10.536"/>
    <s v="15-21 days"/>
  </r>
  <r>
    <s v="d34d09aed2e106a40d6c659989aae145"/>
    <x v="0"/>
    <d v="2018-03-29T00:00:00"/>
    <d v="2018-04-06T00:00:00"/>
    <d v="2018-04-13T00:00:00"/>
    <s v="bed_bath_table"/>
    <n v="150.81"/>
    <n v="17.21"/>
    <s v="credit_card"/>
    <n v="5"/>
    <s v="delivered"/>
    <d v="2018-03-01T00:00:00"/>
    <n v="8"/>
    <n v="0"/>
    <n v="1"/>
    <n v="168.02"/>
    <n v="93.502200000000002"/>
    <n v="10.326000000000001"/>
    <n v="46.9818"/>
    <s v="8-14 days"/>
  </r>
  <r>
    <s v="e755b655d9162e44b0a1762147fefddb"/>
    <x v="0"/>
    <d v="2018-03-29T00:00:00"/>
    <d v="2018-04-09T00:00:00"/>
    <d v="2018-04-17T00:00:00"/>
    <s v="sports_leisure"/>
    <n v="105.29"/>
    <n v="19.95"/>
    <s v="credit_card"/>
    <n v="5"/>
    <s v="delivered"/>
    <d v="2018-03-01T00:00:00"/>
    <n v="11"/>
    <n v="0"/>
    <n v="1"/>
    <n v="125.24000000000001"/>
    <n v="67.385600000000011"/>
    <n v="11.969999999999999"/>
    <n v="25.934399999999997"/>
    <s v="8-14 days"/>
  </r>
  <r>
    <s v="2e3c76796dc2d7db97637e6ccd87a06a"/>
    <x v="3"/>
    <d v="2018-03-29T00:00:00"/>
    <d v="2018-04-15T00:00:00"/>
    <d v="2018-04-20T00:00:00"/>
    <s v="computers_accessories"/>
    <n v="134.71"/>
    <n v="17.84"/>
    <s v="credit_card"/>
    <n v="4"/>
    <s v="delivered"/>
    <d v="2018-03-01T00:00:00"/>
    <n v="17"/>
    <n v="0"/>
    <n v="1"/>
    <n v="152.55000000000001"/>
    <n v="99.685400000000001"/>
    <n v="10.703999999999999"/>
    <n v="24.320600000000006"/>
    <s v="15-21 days"/>
  </r>
  <r>
    <s v="a18d218df6a0e01fd969c458745d8729"/>
    <x v="8"/>
    <d v="2018-03-29T00:00:00"/>
    <d v="2018-04-09T00:00:00"/>
    <d v="2018-04-21T00:00:00"/>
    <s v="bed_bath_table"/>
    <n v="65.31"/>
    <n v="30.53"/>
    <s v="credit_card"/>
    <n v="5"/>
    <s v="delivered"/>
    <d v="2018-03-01T00:00:00"/>
    <n v="11"/>
    <n v="0"/>
    <n v="1"/>
    <n v="95.84"/>
    <n v="40.492200000000004"/>
    <n v="18.318000000000001"/>
    <n v="6.4997999999999969"/>
    <s v="8-14 days"/>
  </r>
  <r>
    <s v="f657a9b261deebef80b6d44fc6e4472d"/>
    <x v="3"/>
    <d v="2018-03-29T00:00:00"/>
    <d v="2018-04-21T00:00:00"/>
    <d v="2018-04-24T00:00:00"/>
    <s v="furniture_decor"/>
    <n v="64.34"/>
    <n v="26.69"/>
    <s v="boleto"/>
    <n v="5"/>
    <s v="delivered"/>
    <d v="2018-03-01T00:00:00"/>
    <n v="23"/>
    <n v="0"/>
    <n v="1"/>
    <n v="91.03"/>
    <n v="45.037999999999997"/>
    <n v="16.013999999999999"/>
    <n v="3.2880000000000074"/>
    <s v="22+ days"/>
  </r>
  <r>
    <s v="74cf633f1ebb649f9ff979be3d77b36f"/>
    <x v="0"/>
    <d v="2018-03-29T00:00:00"/>
    <d v="2018-04-05T00:00:00"/>
    <d v="2018-04-14T00:00:00"/>
    <s v="bed_bath_table"/>
    <n v="82.72"/>
    <n v="20.98"/>
    <s v="credit_card"/>
    <n v="4"/>
    <s v="delivered"/>
    <d v="2018-03-01T00:00:00"/>
    <n v="7"/>
    <n v="0"/>
    <n v="1"/>
    <n v="103.7"/>
    <n v="51.2864"/>
    <n v="12.587999999999999"/>
    <n v="18.845599999999997"/>
    <s v="0-7 days"/>
  </r>
  <r>
    <s v="207495abb1cbe822cbee18761d876a3e"/>
    <x v="0"/>
    <d v="2018-03-30T00:00:00"/>
    <d v="2018-04-15T00:00:00"/>
    <d v="2018-04-16T00:00:00"/>
    <s v="sports_leisure"/>
    <n v="142.56"/>
    <n v="22.54"/>
    <s v="boleto"/>
    <n v="4"/>
    <s v="delivered"/>
    <d v="2018-03-01T00:00:00"/>
    <n v="16"/>
    <n v="0"/>
    <n v="1"/>
    <n v="165.1"/>
    <n v="91.238399999999999"/>
    <n v="13.523999999999999"/>
    <n v="37.797600000000003"/>
    <s v="15-21 days"/>
  </r>
  <r>
    <s v="2f9209fe16c62fb849f75a249d682957"/>
    <x v="4"/>
    <d v="2018-03-30T00:00:00"/>
    <d v="2018-04-20T00:00:00"/>
    <d v="2018-04-18T00:00:00"/>
    <s v="computers_accessories"/>
    <n v="144.34"/>
    <n v="30.46"/>
    <s v="boleto"/>
    <n v="2"/>
    <s v="delivered"/>
    <d v="2018-03-01T00:00:00"/>
    <n v="21"/>
    <n v="2"/>
    <n v="0"/>
    <n v="174.8"/>
    <n v="106.8116"/>
    <n v="18.276"/>
    <n v="19.252400000000005"/>
    <s v="15-21 days"/>
  </r>
  <r>
    <s v="a89e22f240afbf3f3df519674d8670bd"/>
    <x v="4"/>
    <d v="2018-03-31T00:00:00"/>
    <d v="2018-04-05T00:00:00"/>
    <d v="2018-04-21T00:00:00"/>
    <s v="housewares"/>
    <n v="164.02"/>
    <n v="19.23"/>
    <s v="credit_card"/>
    <n v="4"/>
    <s v="delivered"/>
    <d v="2018-03-01T00:00:00"/>
    <n v="5"/>
    <n v="0"/>
    <n v="1"/>
    <n v="183.25"/>
    <n v="103.33260000000001"/>
    <n v="11.538"/>
    <n v="49.1494"/>
    <s v="0-7 days"/>
  </r>
  <r>
    <s v="8513176c1efc1c94e14110b69a920655"/>
    <x v="3"/>
    <d v="2018-03-31T00:00:00"/>
    <d v="2018-04-15T00:00:00"/>
    <d v="2018-04-23T00:00:00"/>
    <s v="health_beauty"/>
    <n v="91.54"/>
    <n v="16.53"/>
    <s v="credit_card"/>
    <n v="3"/>
    <s v="delivered"/>
    <d v="2018-03-01T00:00:00"/>
    <n v="15"/>
    <n v="0"/>
    <n v="1"/>
    <n v="108.07000000000001"/>
    <n v="53.093200000000003"/>
    <n v="9.918000000000001"/>
    <n v="28.528800000000004"/>
    <s v="15-21 days"/>
  </r>
  <r>
    <s v="77a319c6619c4a06f5d68c8f299ccd73"/>
    <x v="1"/>
    <d v="2018-03-31T00:00:00"/>
    <d v="2018-04-19T00:00:00"/>
    <d v="2018-04-24T00:00:00"/>
    <s v="furniture_decor"/>
    <n v="130.58000000000001"/>
    <n v="23.88"/>
    <s v="boleto"/>
    <n v="3"/>
    <s v="delivered"/>
    <d v="2018-03-01T00:00:00"/>
    <n v="19"/>
    <n v="0"/>
    <n v="1"/>
    <n v="154.46"/>
    <n v="91.406000000000006"/>
    <n v="14.327999999999999"/>
    <n v="24.846000000000007"/>
    <s v="15-21 days"/>
  </r>
  <r>
    <s v="670cada1c783870a421e0683dc0a1c8e"/>
    <x v="3"/>
    <d v="2018-03-31T00:00:00"/>
    <d v="2018-04-12T00:00:00"/>
    <d v="2018-04-26T00:00:00"/>
    <s v="housewares"/>
    <n v="54.93"/>
    <n v="19.649999999999999"/>
    <s v="credit_card"/>
    <n v="4"/>
    <s v="delivered"/>
    <d v="2018-03-01T00:00:00"/>
    <n v="12"/>
    <n v="0"/>
    <n v="1"/>
    <n v="74.58"/>
    <n v="34.605899999999998"/>
    <n v="11.79"/>
    <n v="8.5341000000000022"/>
    <s v="8-14 days"/>
  </r>
  <r>
    <s v="9398daadd5274a014085fa43a7faaf3a"/>
    <x v="3"/>
    <d v="2018-03-31T00:00:00"/>
    <d v="2018-04-14T00:00:00"/>
    <d v="2018-04-25T00:00:00"/>
    <s v="furniture_decor"/>
    <n v="151.97"/>
    <n v="28.43"/>
    <s v="credit_card"/>
    <n v="4"/>
    <s v="delivered"/>
    <d v="2018-03-01T00:00:00"/>
    <n v="14"/>
    <n v="0"/>
    <n v="1"/>
    <n v="180.4"/>
    <n v="106.37899999999999"/>
    <n v="17.058"/>
    <n v="28.533000000000008"/>
    <s v="8-14 days"/>
  </r>
  <r>
    <s v="5ab4f09b4de80b736ccbeb851581184d"/>
    <x v="3"/>
    <d v="2018-03-31T00:00:00"/>
    <d v="2018-04-14T00:00:00"/>
    <d v="2018-04-24T00:00:00"/>
    <s v="bed_bath_table"/>
    <n v="86.49"/>
    <n v="29.56"/>
    <s v="credit_card"/>
    <n v="3"/>
    <s v="delivered"/>
    <d v="2018-03-01T00:00:00"/>
    <n v="14"/>
    <n v="0"/>
    <n v="1"/>
    <n v="116.05"/>
    <n v="53.623799999999996"/>
    <n v="17.735999999999997"/>
    <n v="15.130200000000002"/>
    <s v="8-14 days"/>
  </r>
  <r>
    <s v="be153187b783e1d5d26404b923f47a55"/>
    <x v="0"/>
    <d v="2018-04-01T00:00:00"/>
    <d v="2018-04-05T00:00:00"/>
    <d v="2018-04-18T00:00:00"/>
    <s v="furniture_decor"/>
    <n v="121.49"/>
    <n v="14.65"/>
    <s v="credit_card"/>
    <n v="4"/>
    <s v="delivered"/>
    <d v="2018-04-01T00:00:00"/>
    <n v="4"/>
    <n v="0"/>
    <n v="1"/>
    <n v="136.13999999999999"/>
    <n v="85.042999999999992"/>
    <n v="8.7899999999999991"/>
    <n v="27.657000000000004"/>
    <s v="0-7 days"/>
  </r>
  <r>
    <s v="c4b6ae47ea0970c6907e5f2d7f13387a"/>
    <x v="6"/>
    <d v="2018-04-01T00:00:00"/>
    <d v="2018-04-11T00:00:00"/>
    <d v="2018-04-30T00:00:00"/>
    <s v="bed_bath_table"/>
    <n v="230.34"/>
    <n v="33.14"/>
    <s v="credit_card"/>
    <n v="5"/>
    <s v="delivered"/>
    <d v="2018-04-01T00:00:00"/>
    <n v="10"/>
    <n v="0"/>
    <n v="1"/>
    <n v="263.48"/>
    <n v="142.8108"/>
    <n v="19.884"/>
    <n v="67.645200000000003"/>
    <s v="8-14 days"/>
  </r>
  <r>
    <s v="3a1ce4164b046117b2f9fa1a53c54448"/>
    <x v="4"/>
    <d v="2018-04-01T00:00:00"/>
    <d v="2018-04-19T00:00:00"/>
    <d v="2018-04-20T00:00:00"/>
    <s v="bed_bath_table"/>
    <n v="71.31"/>
    <n v="23.29"/>
    <s v="boleto"/>
    <n v="2"/>
    <s v="delivered"/>
    <d v="2018-04-01T00:00:00"/>
    <n v="18"/>
    <n v="0"/>
    <n v="1"/>
    <n v="94.6"/>
    <n v="44.212200000000003"/>
    <n v="13.973999999999998"/>
    <n v="13.123800000000001"/>
    <s v="15-21 days"/>
  </r>
  <r>
    <s v="6bc475b6f310f61d7a3ea7161d199860"/>
    <x v="7"/>
    <d v="2018-04-01T00:00:00"/>
    <d v="2018-04-12T00:00:00"/>
    <d v="2018-04-25T00:00:00"/>
    <s v="watches_gifts"/>
    <n v="300.39999999999998"/>
    <n v="30.81"/>
    <s v="credit_card"/>
    <n v="5"/>
    <s v="delivered"/>
    <d v="2018-04-01T00:00:00"/>
    <n v="11"/>
    <n v="0"/>
    <n v="1"/>
    <n v="331.21"/>
    <n v="198.26399999999998"/>
    <n v="18.485999999999997"/>
    <n v="83.65"/>
    <s v="8-14 days"/>
  </r>
  <r>
    <s v="adf792ffe9c7c13acb5a4d7791fda27f"/>
    <x v="0"/>
    <d v="2018-04-02T00:00:00"/>
    <d v="2018-04-08T00:00:00"/>
    <d v="2018-04-15T00:00:00"/>
    <s v="computers_accessories"/>
    <n v="44.63"/>
    <n v="14.72"/>
    <s v="credit_card"/>
    <n v="4"/>
    <s v="delivered"/>
    <d v="2018-04-01T00:00:00"/>
    <n v="6"/>
    <n v="0"/>
    <n v="1"/>
    <n v="59.35"/>
    <n v="33.026200000000003"/>
    <n v="8.8320000000000007"/>
    <n v="2.7717999999999989"/>
    <s v="0-7 days"/>
  </r>
  <r>
    <s v="05c656cc610bbab947a9087e409238d6"/>
    <x v="0"/>
    <d v="2018-04-02T00:00:00"/>
    <d v="2018-04-11T00:00:00"/>
    <d v="2018-04-18T00:00:00"/>
    <s v="watches_gifts"/>
    <n v="61.64"/>
    <n v="21.49"/>
    <s v="boleto"/>
    <n v="5"/>
    <s v="delivered"/>
    <d v="2018-04-01T00:00:00"/>
    <n v="9"/>
    <n v="0"/>
    <n v="1"/>
    <n v="83.13"/>
    <n v="40.682400000000001"/>
    <n v="12.893999999999998"/>
    <n v="8.063600000000001"/>
    <s v="8-14 days"/>
  </r>
  <r>
    <s v="58ca8e2a3aeb35623de1dade0e122b19"/>
    <x v="7"/>
    <d v="2018-04-02T00:00:00"/>
    <d v="2018-04-12T00:00:00"/>
    <d v="2018-04-22T00:00:00"/>
    <s v="bed_bath_table"/>
    <n v="60.8"/>
    <n v="22.66"/>
    <s v="credit_card"/>
    <n v="5"/>
    <s v="delivered"/>
    <d v="2018-04-01T00:00:00"/>
    <n v="10"/>
    <n v="0"/>
    <n v="1"/>
    <n v="83.46"/>
    <n v="37.695999999999998"/>
    <n v="13.596"/>
    <n v="9.5079999999999991"/>
    <s v="8-14 days"/>
  </r>
  <r>
    <s v="737cf8b563561add685a9f2b4236c0bf"/>
    <x v="1"/>
    <d v="2018-04-03T00:00:00"/>
    <d v="2018-04-18T00:00:00"/>
    <d v="2018-04-22T00:00:00"/>
    <s v="bed_bath_table"/>
    <n v="93.9"/>
    <n v="19.07"/>
    <s v="credit_card"/>
    <n v="5"/>
    <s v="delivered"/>
    <d v="2018-04-01T00:00:00"/>
    <n v="15"/>
    <n v="0"/>
    <n v="1"/>
    <n v="112.97"/>
    <n v="58.218000000000004"/>
    <n v="11.442"/>
    <n v="24.240000000000002"/>
    <s v="15-21 days"/>
  </r>
  <r>
    <s v="48ded8be031eef965f71dcc462d846d0"/>
    <x v="3"/>
    <d v="2018-04-03T00:00:00"/>
    <d v="2018-04-28T00:00:00"/>
    <d v="2018-04-25T00:00:00"/>
    <s v="furniture_decor"/>
    <n v="65.13"/>
    <n v="22.29"/>
    <s v="credit_card"/>
    <n v="3"/>
    <s v="delivered"/>
    <d v="2018-04-01T00:00:00"/>
    <n v="25"/>
    <n v="3"/>
    <n v="0"/>
    <n v="87.419999999999987"/>
    <n v="45.590999999999994"/>
    <n v="13.373999999999999"/>
    <n v="6.1650000000000027"/>
    <s v="22+ days"/>
  </r>
  <r>
    <s v="f2ca2002f650885202bce2e0dfd5988e"/>
    <x v="0"/>
    <d v="2018-04-03T00:00:00"/>
    <d v="2018-04-16T00:00:00"/>
    <d v="2018-04-18T00:00:00"/>
    <s v="bed_bath_table"/>
    <n v="123.36"/>
    <n v="18.14"/>
    <s v="credit_card"/>
    <n v="5"/>
    <s v="delivered"/>
    <d v="2018-04-01T00:00:00"/>
    <n v="13"/>
    <n v="0"/>
    <n v="1"/>
    <n v="141.5"/>
    <n v="76.483199999999997"/>
    <n v="10.884"/>
    <n v="35.992800000000003"/>
    <s v="8-14 days"/>
  </r>
  <r>
    <s v="64b11c490c0cf61e9cc10bd87e6ae55c"/>
    <x v="0"/>
    <d v="2018-04-03T00:00:00"/>
    <d v="2018-04-10T00:00:00"/>
    <d v="2018-04-17T00:00:00"/>
    <s v="sports_leisure"/>
    <n v="76.849999999999994"/>
    <n v="20.170000000000002"/>
    <s v="credit_card"/>
    <n v="5"/>
    <s v="delivered"/>
    <d v="2018-04-01T00:00:00"/>
    <n v="7"/>
    <n v="0"/>
    <n v="1"/>
    <n v="97.02"/>
    <n v="49.183999999999997"/>
    <n v="12.102"/>
    <n v="15.563999999999997"/>
    <s v="0-7 days"/>
  </r>
  <r>
    <s v="99f19675be32fa8505d0f23a5ecbb693"/>
    <x v="0"/>
    <d v="2018-04-03T00:00:00"/>
    <d v="2018-04-13T00:00:00"/>
    <d v="2018-04-20T00:00:00"/>
    <s v="health_beauty"/>
    <n v="92.19"/>
    <n v="13.3"/>
    <s v="boleto"/>
    <n v="4"/>
    <s v="delivered"/>
    <d v="2018-04-01T00:00:00"/>
    <n v="10"/>
    <n v="0"/>
    <n v="1"/>
    <n v="105.49"/>
    <n v="53.470199999999998"/>
    <n v="7.98"/>
    <n v="30.739799999999999"/>
    <s v="8-14 days"/>
  </r>
  <r>
    <s v="d7f64255cf979ff07afd0718ebced334"/>
    <x v="5"/>
    <d v="2018-04-03T00:00:00"/>
    <d v="2018-04-16T00:00:00"/>
    <d v="2018-04-28T00:00:00"/>
    <s v="health_beauty"/>
    <n v="74.3"/>
    <n v="31"/>
    <s v="boleto"/>
    <n v="5"/>
    <s v="delivered"/>
    <d v="2018-04-01T00:00:00"/>
    <n v="13"/>
    <n v="0"/>
    <n v="1"/>
    <n v="105.3"/>
    <n v="43.093999999999994"/>
    <n v="18.599999999999998"/>
    <n v="12.606000000000005"/>
    <s v="8-14 days"/>
  </r>
  <r>
    <s v="b0ddbe62aa35b738c67a56e306fe8fcf"/>
    <x v="3"/>
    <d v="2018-04-03T00:00:00"/>
    <d v="2018-04-16T00:00:00"/>
    <d v="2018-04-30T00:00:00"/>
    <s v="furniture_decor"/>
    <n v="78.12"/>
    <n v="16.43"/>
    <s v="credit_card"/>
    <n v="5"/>
    <s v="delivered"/>
    <d v="2018-04-01T00:00:00"/>
    <n v="13"/>
    <n v="0"/>
    <n v="1"/>
    <n v="94.550000000000011"/>
    <n v="54.683999999999997"/>
    <n v="9.8579999999999988"/>
    <n v="13.578000000000008"/>
    <s v="8-14 days"/>
  </r>
  <r>
    <s v="5e9be593525706d0fd9c635d3a540890"/>
    <x v="0"/>
    <d v="2018-04-03T00:00:00"/>
    <d v="2018-04-10T00:00:00"/>
    <d v="2018-04-16T00:00:00"/>
    <s v="computers_accessories"/>
    <n v="82.02"/>
    <n v="14.97"/>
    <s v="credit_card"/>
    <n v="4"/>
    <s v="delivered"/>
    <d v="2018-04-01T00:00:00"/>
    <n v="7"/>
    <n v="0"/>
    <n v="1"/>
    <n v="96.99"/>
    <n v="60.694799999999994"/>
    <n v="8.9819999999999993"/>
    <n v="12.343200000000003"/>
    <s v="0-7 days"/>
  </r>
  <r>
    <s v="e432d37d1307afb6728ea99437df79d8"/>
    <x v="7"/>
    <d v="2018-04-03T00:00:00"/>
    <d v="2018-04-12T00:00:00"/>
    <d v="2018-04-24T00:00:00"/>
    <s v="furniture_decor"/>
    <n v="138.22999999999999"/>
    <n v="19.25"/>
    <s v="credit_card"/>
    <n v="4"/>
    <s v="delivered"/>
    <d v="2018-04-01T00:00:00"/>
    <n v="9"/>
    <n v="0"/>
    <n v="1"/>
    <n v="157.47999999999999"/>
    <n v="96.760999999999981"/>
    <n v="11.549999999999999"/>
    <n v="29.919000000000011"/>
    <s v="8-14 days"/>
  </r>
  <r>
    <s v="6dd5346eab2f4642db6fca2700a53ee7"/>
    <x v="1"/>
    <d v="2018-04-03T00:00:00"/>
    <d v="2018-04-18T00:00:00"/>
    <d v="2018-04-23T00:00:00"/>
    <s v="health_beauty"/>
    <n v="100.97"/>
    <n v="22.51"/>
    <s v="credit_card"/>
    <n v="3"/>
    <s v="delivered"/>
    <d v="2018-04-01T00:00:00"/>
    <n v="15"/>
    <n v="0"/>
    <n v="1"/>
    <n v="123.48"/>
    <n v="58.562599999999996"/>
    <n v="13.506"/>
    <n v="28.901400000000002"/>
    <s v="15-21 days"/>
  </r>
  <r>
    <s v="0e0f27045265072a16e5b746245c92cb"/>
    <x v="3"/>
    <d v="2018-04-03T00:00:00"/>
    <d v="2018-04-16T00:00:00"/>
    <d v="2018-04-28T00:00:00"/>
    <s v="toys"/>
    <n v="45.1"/>
    <n v="28.5"/>
    <s v="credit_card"/>
    <n v="5"/>
    <s v="delivered"/>
    <d v="2018-04-01T00:00:00"/>
    <n v="13"/>
    <n v="0"/>
    <n v="1"/>
    <n v="73.599999999999994"/>
    <n v="27.06"/>
    <n v="17.099999999999998"/>
    <n v="0.94000000000000483"/>
    <s v="8-14 days"/>
  </r>
  <r>
    <s v="fa7a07d7e806abcc2640dbb1de8aadf1"/>
    <x v="0"/>
    <d v="2018-04-03T00:00:00"/>
    <d v="2018-04-16T00:00:00"/>
    <d v="2018-04-20T00:00:00"/>
    <s v="bed_bath_table"/>
    <n v="94.37"/>
    <n v="14"/>
    <s v="credit_card"/>
    <n v="4"/>
    <s v="delivered"/>
    <d v="2018-04-01T00:00:00"/>
    <n v="13"/>
    <n v="0"/>
    <n v="1"/>
    <n v="108.37"/>
    <n v="58.509399999999999"/>
    <n v="8.4"/>
    <n v="27.460600000000007"/>
    <s v="8-14 days"/>
  </r>
  <r>
    <s v="15661feb05c5bf8d321a6c3f47263c24"/>
    <x v="0"/>
    <d v="2018-04-04T00:00:00"/>
    <d v="2018-04-10T00:00:00"/>
    <d v="2018-04-21T00:00:00"/>
    <s v="bed_bath_table"/>
    <n v="81.55"/>
    <n v="21.96"/>
    <s v="credit_card"/>
    <n v="4"/>
    <s v="delivered"/>
    <d v="2018-04-01T00:00:00"/>
    <n v="6"/>
    <n v="0"/>
    <n v="1"/>
    <n v="103.50999999999999"/>
    <n v="50.561"/>
    <n v="13.176"/>
    <n v="17.812999999999995"/>
    <s v="0-7 days"/>
  </r>
  <r>
    <s v="83f06e7ddfaa8505b0acb9bada78f4c5"/>
    <x v="3"/>
    <d v="2018-04-04T00:00:00"/>
    <d v="2018-04-20T00:00:00"/>
    <d v="2018-05-02T00:00:00"/>
    <s v="housewares"/>
    <n v="120.53"/>
    <n v="30.29"/>
    <s v="credit_card"/>
    <n v="4"/>
    <s v="delivered"/>
    <d v="2018-04-01T00:00:00"/>
    <n v="16"/>
    <n v="0"/>
    <n v="1"/>
    <n v="150.82"/>
    <n v="75.933899999999994"/>
    <n v="18.173999999999999"/>
    <n v="26.422100000000007"/>
    <s v="15-21 days"/>
  </r>
  <r>
    <s v="9ad10cac7c20ecf58c4d33b56d817b6b"/>
    <x v="0"/>
    <d v="2018-04-04T00:00:00"/>
    <d v="2018-04-11T00:00:00"/>
    <d v="2018-04-17T00:00:00"/>
    <s v="bed_bath_table"/>
    <n v="31.1"/>
    <n v="20.88"/>
    <s v="boleto"/>
    <n v="5"/>
    <s v="delivered"/>
    <d v="2018-04-01T00:00:00"/>
    <n v="7"/>
    <n v="0"/>
    <n v="1"/>
    <n v="51.980000000000004"/>
    <n v="19.282"/>
    <n v="12.527999999999999"/>
    <n v="-0.7099999999999973"/>
    <s v="0-7 days"/>
  </r>
  <r>
    <s v="8bef4b48ead0a63c8424643caba6c69d"/>
    <x v="0"/>
    <d v="2018-04-04T00:00:00"/>
    <d v="2018-04-08T00:00:00"/>
    <d v="2018-04-16T00:00:00"/>
    <s v="health_beauty"/>
    <n v="63.69"/>
    <n v="20.309999999999999"/>
    <s v="boleto"/>
    <n v="5"/>
    <s v="delivered"/>
    <d v="2018-04-01T00:00:00"/>
    <n v="4"/>
    <n v="0"/>
    <n v="1"/>
    <n v="84"/>
    <n v="36.940199999999997"/>
    <n v="12.185999999999998"/>
    <n v="14.563800000000002"/>
    <s v="0-7 days"/>
  </r>
  <r>
    <s v="de67a2789313b3a7e5a1c6e4e1886146"/>
    <x v="0"/>
    <d v="2018-04-05T00:00:00"/>
    <d v="2018-04-15T00:00:00"/>
    <d v="2018-04-25T00:00:00"/>
    <s v="furniture_decor"/>
    <n v="83.3"/>
    <n v="21.6"/>
    <s v="credit_card"/>
    <n v="5"/>
    <s v="delivered"/>
    <d v="2018-04-01T00:00:00"/>
    <n v="10"/>
    <n v="0"/>
    <n v="1"/>
    <n v="104.9"/>
    <n v="58.309999999999995"/>
    <n v="12.96"/>
    <n v="12.030000000000001"/>
    <s v="8-14 days"/>
  </r>
  <r>
    <s v="979bc54cb67819ff9bca0ac21786e4b7"/>
    <x v="2"/>
    <d v="2018-04-05T00:00:00"/>
    <d v="2018-04-20T00:00:00"/>
    <d v="2018-04-30T00:00:00"/>
    <s v="computers_accessories"/>
    <n v="266.47000000000003"/>
    <n v="22.96"/>
    <s v="credit_card"/>
    <n v="5"/>
    <s v="delivered"/>
    <d v="2018-04-01T00:00:00"/>
    <n v="15"/>
    <n v="0"/>
    <n v="1"/>
    <n v="289.43"/>
    <n v="197.18780000000001"/>
    <n v="13.776"/>
    <n v="55.506200000000021"/>
    <s v="15-21 days"/>
  </r>
  <r>
    <s v="d9210c645299607ca33f06f4fe879e56"/>
    <x v="0"/>
    <d v="2018-04-06T00:00:00"/>
    <d v="2018-04-18T00:00:00"/>
    <d v="2018-04-23T00:00:00"/>
    <s v="furniture_decor"/>
    <n v="68.97"/>
    <n v="15.19"/>
    <s v="credit_card"/>
    <n v="4"/>
    <s v="delivered"/>
    <d v="2018-04-01T00:00:00"/>
    <n v="12"/>
    <n v="0"/>
    <n v="1"/>
    <n v="84.16"/>
    <n v="48.278999999999996"/>
    <n v="9.113999999999999"/>
    <n v="11.577000000000004"/>
    <s v="8-14 days"/>
  </r>
  <r>
    <s v="448bfa0a54550f9486e1d4b3dc695efe"/>
    <x v="0"/>
    <d v="2018-04-06T00:00:00"/>
    <d v="2018-04-12T00:00:00"/>
    <d v="2018-04-23T00:00:00"/>
    <s v="toys"/>
    <n v="118.67"/>
    <n v="17.809999999999999"/>
    <s v="credit_card"/>
    <n v="5"/>
    <s v="delivered"/>
    <d v="2018-04-01T00:00:00"/>
    <n v="6"/>
    <n v="0"/>
    <n v="1"/>
    <n v="136.47999999999999"/>
    <n v="71.201999999999998"/>
    <n v="10.685999999999998"/>
    <n v="36.782000000000004"/>
    <s v="0-7 days"/>
  </r>
  <r>
    <s v="dc2f392ba9e26bfca769736ab15c9203"/>
    <x v="0"/>
    <d v="2018-04-06T00:00:00"/>
    <d v="2018-04-17T00:00:00"/>
    <d v="2018-04-23T00:00:00"/>
    <s v="computers_accessories"/>
    <n v="125.59"/>
    <n v="17.850000000000001"/>
    <s v="voucher"/>
    <n v="4"/>
    <s v="delivered"/>
    <d v="2018-04-01T00:00:00"/>
    <n v="11"/>
    <n v="0"/>
    <n v="1"/>
    <n v="143.44"/>
    <n v="92.936599999999999"/>
    <n v="10.71"/>
    <n v="21.943400000000004"/>
    <s v="8-14 days"/>
  </r>
  <r>
    <s v="fea82e3ab54401cb95410a9d090aaa93"/>
    <x v="5"/>
    <d v="2018-04-07T00:00:00"/>
    <d v="2018-05-02T00:00:00"/>
    <d v="2018-04-30T00:00:00"/>
    <s v="watches_gifts"/>
    <n v="105.47"/>
    <n v="23.49"/>
    <s v="credit_card"/>
    <n v="2"/>
    <s v="delivered"/>
    <d v="2018-04-01T00:00:00"/>
    <n v="25"/>
    <n v="2"/>
    <n v="0"/>
    <n v="128.96"/>
    <n v="69.610200000000006"/>
    <n v="14.093999999999999"/>
    <n v="21.765799999999992"/>
    <s v="22+ days"/>
  </r>
  <r>
    <s v="15b2c2b48cf0f97b4128d40b5fc57ff4"/>
    <x v="1"/>
    <d v="2018-04-07T00:00:00"/>
    <d v="2018-04-17T00:00:00"/>
    <d v="2018-04-29T00:00:00"/>
    <s v="sports_leisure"/>
    <n v="237.22"/>
    <n v="31.84"/>
    <s v="credit_card"/>
    <n v="4"/>
    <s v="delivered"/>
    <d v="2018-04-01T00:00:00"/>
    <n v="10"/>
    <n v="0"/>
    <n v="1"/>
    <n v="269.06"/>
    <n v="151.82079999999999"/>
    <n v="19.103999999999999"/>
    <n v="66.295200000000008"/>
    <s v="8-14 days"/>
  </r>
  <r>
    <s v="6fd83533d57758f5e03c63dfc84bbdf5"/>
    <x v="4"/>
    <d v="2018-04-07T00:00:00"/>
    <d v="2018-04-16T00:00:00"/>
    <d v="2018-04-28T00:00:00"/>
    <s v="health_beauty"/>
    <n v="163.47"/>
    <n v="19.84"/>
    <s v="credit_card"/>
    <n v="5"/>
    <s v="delivered"/>
    <d v="2018-04-01T00:00:00"/>
    <n v="9"/>
    <n v="0"/>
    <n v="1"/>
    <n v="183.31"/>
    <n v="94.812599999999989"/>
    <n v="11.904"/>
    <n v="56.753400000000013"/>
    <s v="8-14 days"/>
  </r>
  <r>
    <s v="4ca9cf07b1aa0f6a2a96e1e27194eae2"/>
    <x v="3"/>
    <d v="2018-04-08T00:00:00"/>
    <d v="2018-05-22T00:00:00"/>
    <d v="2018-05-06T00:00:00"/>
    <s v="furniture_decor"/>
    <n v="32.53"/>
    <n v="28.18"/>
    <s v="boleto"/>
    <n v="2"/>
    <s v="delivered"/>
    <d v="2018-04-01T00:00:00"/>
    <n v="44"/>
    <n v="16"/>
    <n v="0"/>
    <n v="60.71"/>
    <n v="22.771000000000001"/>
    <n v="16.907999999999998"/>
    <n v="-7.1489999999999974"/>
    <s v="22+ days"/>
  </r>
  <r>
    <s v="c1369c65ae2ae3413f59e4f2c3093b6e"/>
    <x v="0"/>
    <d v="2018-04-08T00:00:00"/>
    <d v="2018-04-22T00:00:00"/>
    <d v="2018-04-18T00:00:00"/>
    <s v="sports_leisure"/>
    <n v="306.83999999999997"/>
    <n v="25.31"/>
    <s v="credit_card"/>
    <n v="4"/>
    <s v="delivered"/>
    <d v="2018-04-01T00:00:00"/>
    <n v="14"/>
    <n v="4"/>
    <n v="0"/>
    <n v="332.15"/>
    <n v="196.3776"/>
    <n v="15.185999999999998"/>
    <n v="95.276399999999981"/>
    <s v="8-14 days"/>
  </r>
  <r>
    <s v="13769ff9578cd875d231f372bfb0942c"/>
    <x v="11"/>
    <d v="2018-04-08T00:00:00"/>
    <d v="2018-05-07T00:00:00"/>
    <d v="2018-05-09T00:00:00"/>
    <s v="watches_gifts"/>
    <n v="108.5"/>
    <n v="35.46"/>
    <s v="credit_card"/>
    <n v="5"/>
    <s v="delivered"/>
    <d v="2018-04-01T00:00:00"/>
    <n v="29"/>
    <n v="0"/>
    <n v="1"/>
    <n v="143.96"/>
    <n v="71.61"/>
    <n v="21.276"/>
    <n v="15.614000000000001"/>
    <s v="22+ days"/>
  </r>
  <r>
    <s v="05ec8e9fa09fc70024ce1460ef5a9491"/>
    <x v="0"/>
    <d v="2018-04-08T00:00:00"/>
    <d v="2018-04-14T00:00:00"/>
    <d v="2018-04-24T00:00:00"/>
    <s v="housewares"/>
    <n v="155.83000000000001"/>
    <n v="16.5"/>
    <s v="credit_card"/>
    <n v="5"/>
    <s v="delivered"/>
    <d v="2018-04-01T00:00:00"/>
    <n v="6"/>
    <n v="0"/>
    <n v="1"/>
    <n v="172.33"/>
    <n v="98.172900000000013"/>
    <n v="9.9"/>
    <n v="47.757100000000001"/>
    <s v="0-7 days"/>
  </r>
  <r>
    <s v="e647bcfcc288635244482593e2327c25"/>
    <x v="0"/>
    <d v="2018-04-08T00:00:00"/>
    <d v="2018-04-14T00:00:00"/>
    <d v="2018-04-22T00:00:00"/>
    <s v="auto"/>
    <n v="138.5"/>
    <n v="19.329999999999998"/>
    <s v="credit_card"/>
    <n v="4"/>
    <s v="delivered"/>
    <d v="2018-04-01T00:00:00"/>
    <n v="6"/>
    <n v="0"/>
    <n v="1"/>
    <n v="157.82999999999998"/>
    <n v="94.18"/>
    <n v="11.597999999999999"/>
    <n v="32.721999999999994"/>
    <s v="0-7 days"/>
  </r>
  <r>
    <s v="63796fa5b84e203df26129777fe54edd"/>
    <x v="3"/>
    <d v="2018-04-08T00:00:00"/>
    <d v="2018-04-30T00:00:00"/>
    <d v="2018-05-02T00:00:00"/>
    <s v="sports_leisure"/>
    <n v="59.74"/>
    <n v="20.8"/>
    <s v="credit_card"/>
    <n v="5"/>
    <s v="delivered"/>
    <d v="2018-04-01T00:00:00"/>
    <n v="22"/>
    <n v="0"/>
    <n v="1"/>
    <n v="80.540000000000006"/>
    <n v="38.233600000000003"/>
    <n v="12.48"/>
    <n v="9.0263999999999989"/>
    <s v="22+ days"/>
  </r>
  <r>
    <s v="6d82bf0be6a19ff8ab9a95851f737931"/>
    <x v="11"/>
    <d v="2018-04-08T00:00:00"/>
    <d v="2018-04-24T00:00:00"/>
    <d v="2018-05-11T00:00:00"/>
    <s v="bed_bath_table"/>
    <n v="63.13"/>
    <n v="42.53"/>
    <s v="boleto"/>
    <n v="5"/>
    <s v="delivered"/>
    <d v="2018-04-01T00:00:00"/>
    <n v="16"/>
    <n v="0"/>
    <n v="1"/>
    <n v="105.66"/>
    <n v="39.140599999999999"/>
    <n v="25.518000000000001"/>
    <n v="-1.5285999999999973"/>
    <s v="15-21 days"/>
  </r>
  <r>
    <s v="e48dc8b951a59b654fbd4f39b781cf4c"/>
    <x v="4"/>
    <d v="2018-04-08T00:00:00"/>
    <d v="2018-04-21T00:00:00"/>
    <d v="2018-04-26T00:00:00"/>
    <s v="housewares"/>
    <n v="151.09"/>
    <n v="28.24"/>
    <s v="credit_card"/>
    <n v="5"/>
    <s v="delivered"/>
    <d v="2018-04-01T00:00:00"/>
    <n v="13"/>
    <n v="0"/>
    <n v="1"/>
    <n v="179.33"/>
    <n v="95.186700000000002"/>
    <n v="16.943999999999999"/>
    <n v="38.959299999999999"/>
    <s v="8-14 days"/>
  </r>
  <r>
    <s v="c2c26d9f4be972b52b0ee2c844b97f9c"/>
    <x v="0"/>
    <d v="2018-04-08T00:00:00"/>
    <d v="2018-04-14T00:00:00"/>
    <d v="2018-04-22T00:00:00"/>
    <s v="bed_bath_table"/>
    <n v="83.01"/>
    <n v="15.42"/>
    <s v="voucher"/>
    <n v="5"/>
    <s v="delivered"/>
    <d v="2018-04-01T00:00:00"/>
    <n v="6"/>
    <n v="0"/>
    <n v="1"/>
    <n v="98.43"/>
    <n v="51.466200000000001"/>
    <n v="9.2519999999999989"/>
    <n v="22.291800000000006"/>
    <s v="0-7 days"/>
  </r>
  <r>
    <s v="9297eaacfcc2ed1892aef13c963bd564"/>
    <x v="6"/>
    <d v="2018-04-09T00:00:00"/>
    <d v="2018-05-01T00:00:00"/>
    <d v="2018-05-10T00:00:00"/>
    <s v="bed_bath_table"/>
    <n v="300.83999999999997"/>
    <n v="30.88"/>
    <s v="credit_card"/>
    <n v="4"/>
    <s v="delivered"/>
    <d v="2018-04-01T00:00:00"/>
    <n v="22"/>
    <n v="0"/>
    <n v="1"/>
    <n v="331.71999999999997"/>
    <n v="186.52079999999998"/>
    <n v="18.527999999999999"/>
    <n v="95.791200000000003"/>
    <s v="22+ days"/>
  </r>
  <r>
    <s v="a3c9f400ba6c557c84f16d9daf8f8cf0"/>
    <x v="3"/>
    <d v="2018-04-09T00:00:00"/>
    <d v="2018-04-20T00:00:00"/>
    <d v="2018-05-06T00:00:00"/>
    <s v="toys"/>
    <n v="191.58"/>
    <n v="20.190000000000001"/>
    <s v="credit_card"/>
    <n v="4"/>
    <s v="delivered"/>
    <d v="2018-04-01T00:00:00"/>
    <n v="11"/>
    <n v="0"/>
    <n v="1"/>
    <n v="211.77"/>
    <n v="114.94800000000001"/>
    <n v="12.114000000000001"/>
    <n v="64.518000000000001"/>
    <s v="8-14 days"/>
  </r>
  <r>
    <s v="d682a0b47bb7cc429cba7bc6db872c8f"/>
    <x v="3"/>
    <d v="2018-04-09T00:00:00"/>
    <d v="2018-04-27T00:00:00"/>
    <d v="2018-05-05T00:00:00"/>
    <s v="housewares"/>
    <n v="42.13"/>
    <n v="29.72"/>
    <s v="credit_card"/>
    <n v="4"/>
    <s v="delivered"/>
    <d v="2018-04-01T00:00:00"/>
    <n v="18"/>
    <n v="0"/>
    <n v="1"/>
    <n v="71.849999999999994"/>
    <n v="26.541900000000002"/>
    <n v="17.831999999999997"/>
    <n v="-2.2438999999999965"/>
    <s v="15-21 days"/>
  </r>
  <r>
    <s v="27a4f74d3e0299f6448e811766534f79"/>
    <x v="0"/>
    <d v="2018-04-09T00:00:00"/>
    <d v="2018-04-17T00:00:00"/>
    <d v="2018-04-26T00:00:00"/>
    <s v="health_beauty"/>
    <n v="104.94"/>
    <n v="19.399999999999999"/>
    <s v="credit_card"/>
    <n v="4"/>
    <s v="delivered"/>
    <d v="2018-04-01T00:00:00"/>
    <n v="8"/>
    <n v="0"/>
    <n v="1"/>
    <n v="124.34"/>
    <n v="60.865199999999994"/>
    <n v="11.639999999999999"/>
    <n v="32.434800000000003"/>
    <s v="8-14 days"/>
  </r>
  <r>
    <s v="c473d71333353b1bb04570862877e76a"/>
    <x v="0"/>
    <d v="2018-04-09T00:00:00"/>
    <d v="2018-04-23T00:00:00"/>
    <d v="2018-04-24T00:00:00"/>
    <s v="health_beauty"/>
    <n v="71.48"/>
    <n v="14.68"/>
    <s v="voucher"/>
    <n v="4"/>
    <s v="delivered"/>
    <d v="2018-04-01T00:00:00"/>
    <n v="14"/>
    <n v="0"/>
    <n v="1"/>
    <n v="86.16"/>
    <n v="41.458399999999997"/>
    <n v="8.8079999999999998"/>
    <n v="21.213600000000007"/>
    <s v="8-14 days"/>
  </r>
  <r>
    <s v="24c778a59b4e164b5716dc2e343ada2a"/>
    <x v="3"/>
    <d v="2018-04-10T00:00:00"/>
    <d v="2018-04-24T00:00:00"/>
    <d v="2018-05-04T00:00:00"/>
    <s v="bed_bath_table"/>
    <n v="32.32"/>
    <n v="22.46"/>
    <s v="credit_card"/>
    <n v="4"/>
    <s v="delivered"/>
    <d v="2018-04-01T00:00:00"/>
    <n v="14"/>
    <n v="0"/>
    <n v="1"/>
    <n v="54.78"/>
    <n v="20.038399999999999"/>
    <n v="13.476000000000001"/>
    <n v="-1.1943999999999999"/>
    <s v="8-14 days"/>
  </r>
  <r>
    <s v="2cb37e239a940c6c1c8e806bbdce4d4d"/>
    <x v="1"/>
    <d v="2018-04-10T00:00:00"/>
    <d v="2018-04-22T00:00:00"/>
    <d v="2018-05-04T00:00:00"/>
    <s v="health_beauty"/>
    <n v="106.07"/>
    <n v="19.72"/>
    <s v="boleto"/>
    <n v="5"/>
    <s v="delivered"/>
    <d v="2018-04-01T00:00:00"/>
    <n v="12"/>
    <n v="0"/>
    <n v="1"/>
    <n v="125.78999999999999"/>
    <n v="61.520599999999995"/>
    <n v="11.831999999999999"/>
    <n v="32.717399999999998"/>
    <s v="8-14 days"/>
  </r>
  <r>
    <s v="fb66bcaf47be30eb836fad3831286dc8"/>
    <x v="0"/>
    <d v="2018-04-10T00:00:00"/>
    <d v="2018-04-14T00:00:00"/>
    <d v="2018-04-26T00:00:00"/>
    <s v="toys"/>
    <n v="74.19"/>
    <n v="20.92"/>
    <s v="credit_card"/>
    <n v="4"/>
    <s v="delivered"/>
    <d v="2018-04-01T00:00:00"/>
    <n v="4"/>
    <n v="0"/>
    <n v="1"/>
    <n v="95.11"/>
    <n v="44.513999999999996"/>
    <n v="12.552000000000001"/>
    <n v="17.124000000000002"/>
    <s v="0-7 days"/>
  </r>
  <r>
    <s v="e2293661e1534d2bf261b0827387d450"/>
    <x v="3"/>
    <d v="2018-04-10T00:00:00"/>
    <d v="2018-05-06T00:00:00"/>
    <d v="2018-05-06T00:00:00"/>
    <s v="auto"/>
    <n v="73.86"/>
    <n v="27.32"/>
    <s v="credit_card"/>
    <n v="2"/>
    <s v="delivered"/>
    <d v="2018-04-01T00:00:00"/>
    <n v="26"/>
    <n v="0"/>
    <n v="1"/>
    <n v="101.18"/>
    <n v="50.224800000000002"/>
    <n v="16.391999999999999"/>
    <n v="7.2431999999999981"/>
    <s v="22+ days"/>
  </r>
  <r>
    <s v="33a5335611c6d2ab9f5165169bfe7b18"/>
    <x v="0"/>
    <d v="2018-04-11T00:00:00"/>
    <d v="2018-04-18T00:00:00"/>
    <d v="2018-04-24T00:00:00"/>
    <s v="bed_bath_table"/>
    <n v="133.52000000000001"/>
    <n v="19.14"/>
    <s v="credit_card"/>
    <n v="5"/>
    <s v="delivered"/>
    <d v="2018-04-01T00:00:00"/>
    <n v="7"/>
    <n v="0"/>
    <n v="1"/>
    <n v="152.66000000000003"/>
    <n v="82.78240000000001"/>
    <n v="11.484"/>
    <n v="39.253599999999999"/>
    <s v="0-7 days"/>
  </r>
  <r>
    <s v="97298a48f9b12bdf38f14931becc1545"/>
    <x v="4"/>
    <d v="2018-04-11T00:00:00"/>
    <d v="2018-04-18T00:00:00"/>
    <d v="2018-05-01T00:00:00"/>
    <s v="sports_leisure"/>
    <n v="140.93"/>
    <n v="18.600000000000001"/>
    <s v="credit_card"/>
    <n v="4"/>
    <s v="delivered"/>
    <d v="2018-04-01T00:00:00"/>
    <n v="7"/>
    <n v="0"/>
    <n v="1"/>
    <n v="159.53"/>
    <n v="90.1952"/>
    <n v="11.16"/>
    <n v="39.57480000000001"/>
    <s v="0-7 days"/>
  </r>
  <r>
    <s v="cee0b7f5d673d8e947bb6aec7500331b"/>
    <x v="3"/>
    <d v="2018-04-11T00:00:00"/>
    <d v="2018-05-07T00:00:00"/>
    <d v="2018-05-06T00:00:00"/>
    <s v="watches_gifts"/>
    <n v="265.42"/>
    <n v="23.22"/>
    <s v="credit_card"/>
    <n v="3"/>
    <s v="delivered"/>
    <d v="2018-04-01T00:00:00"/>
    <n v="26"/>
    <n v="1"/>
    <n v="0"/>
    <n v="288.64"/>
    <n v="175.17720000000003"/>
    <n v="13.931999999999999"/>
    <n v="76.310799999999986"/>
    <s v="22+ days"/>
  </r>
  <r>
    <s v="a48e40f1d0421dfa56ab087a8bc78e81"/>
    <x v="3"/>
    <d v="2018-04-12T00:00:00"/>
    <d v="2018-05-02T00:00:00"/>
    <d v="2018-05-06T00:00:00"/>
    <s v="housewares"/>
    <n v="94.54"/>
    <n v="17.239999999999998"/>
    <s v="credit_card"/>
    <n v="3"/>
    <s v="delivered"/>
    <d v="2018-04-01T00:00:00"/>
    <n v="20"/>
    <n v="0"/>
    <n v="1"/>
    <n v="111.78"/>
    <n v="59.560200000000002"/>
    <n v="10.343999999999999"/>
    <n v="24.635800000000003"/>
    <s v="15-21 days"/>
  </r>
  <r>
    <s v="423cad9d193e478302b342541b1f2eb1"/>
    <x v="1"/>
    <d v="2018-04-12T00:00:00"/>
    <d v="2018-04-19T00:00:00"/>
    <d v="2018-04-30T00:00:00"/>
    <s v="watches_gifts"/>
    <n v="321.27"/>
    <n v="31.57"/>
    <s v="credit_card"/>
    <n v="4"/>
    <s v="delivered"/>
    <d v="2018-04-01T00:00:00"/>
    <n v="7"/>
    <n v="0"/>
    <n v="1"/>
    <n v="352.84"/>
    <n v="212.03819999999999"/>
    <n v="18.942"/>
    <n v="90.289799999999985"/>
    <s v="0-7 days"/>
  </r>
  <r>
    <s v="d25c7d37ef16d03b987593c3252352f6"/>
    <x v="2"/>
    <d v="2018-04-12T00:00:00"/>
    <d v="2018-05-02T00:00:00"/>
    <d v="2018-05-06T00:00:00"/>
    <s v="housewares"/>
    <n v="136.33000000000001"/>
    <n v="19.43"/>
    <s v="credit_card"/>
    <n v="3"/>
    <s v="delivered"/>
    <d v="2018-04-01T00:00:00"/>
    <n v="20"/>
    <n v="0"/>
    <n v="1"/>
    <n v="155.76000000000002"/>
    <n v="85.887900000000002"/>
    <n v="11.657999999999999"/>
    <n v="38.784100000000009"/>
    <s v="15-21 days"/>
  </r>
  <r>
    <s v="23c01eb1d49b862d1f7b6b19b2cc4372"/>
    <x v="0"/>
    <d v="2018-04-12T00:00:00"/>
    <d v="2018-04-23T00:00:00"/>
    <d v="2018-04-28T00:00:00"/>
    <s v="health_beauty"/>
    <n v="84.32"/>
    <n v="13.13"/>
    <s v="credit_card"/>
    <n v="4"/>
    <s v="delivered"/>
    <d v="2018-04-01T00:00:00"/>
    <n v="11"/>
    <n v="0"/>
    <n v="1"/>
    <n v="97.449999999999989"/>
    <n v="48.905599999999993"/>
    <n v="7.8780000000000001"/>
    <n v="27.5364"/>
    <s v="8-14 days"/>
  </r>
  <r>
    <s v="18441abdbe41635f150a5643a8c1fb64"/>
    <x v="0"/>
    <d v="2018-04-12T00:00:00"/>
    <d v="2018-04-17T00:00:00"/>
    <d v="2018-04-29T00:00:00"/>
    <s v="bed_bath_table"/>
    <n v="79.16"/>
    <n v="13.58"/>
    <s v="credit_card"/>
    <n v="4"/>
    <s v="delivered"/>
    <d v="2018-04-01T00:00:00"/>
    <n v="5"/>
    <n v="0"/>
    <n v="1"/>
    <n v="92.74"/>
    <n v="49.0792"/>
    <n v="8.1479999999999997"/>
    <n v="21.932799999999997"/>
    <s v="0-7 days"/>
  </r>
  <r>
    <s v="a525dcd008b9b2e94d81c859949e24ad"/>
    <x v="3"/>
    <d v="2018-04-13T00:00:00"/>
    <d v="2018-04-23T00:00:00"/>
    <d v="2018-05-04T00:00:00"/>
    <s v="bed_bath_table"/>
    <n v="53.75"/>
    <n v="21.5"/>
    <s v="credit_card"/>
    <n v="5"/>
    <s v="delivered"/>
    <d v="2018-04-01T00:00:00"/>
    <n v="10"/>
    <n v="0"/>
    <n v="1"/>
    <n v="75.25"/>
    <n v="33.325000000000003"/>
    <n v="12.9"/>
    <n v="7.5249999999999968"/>
    <s v="8-14 days"/>
  </r>
  <r>
    <s v="f938c93ca38905fd3b6c4438246236fa"/>
    <x v="0"/>
    <d v="2018-04-13T00:00:00"/>
    <d v="2018-04-23T00:00:00"/>
    <d v="2018-04-27T00:00:00"/>
    <s v="toys"/>
    <n v="103.61"/>
    <n v="21.75"/>
    <s v="credit_card"/>
    <n v="4"/>
    <s v="delivered"/>
    <d v="2018-04-01T00:00:00"/>
    <n v="10"/>
    <n v="0"/>
    <n v="1"/>
    <n v="125.36"/>
    <n v="62.165999999999997"/>
    <n v="13.049999999999999"/>
    <n v="28.394000000000005"/>
    <s v="8-14 days"/>
  </r>
  <r>
    <s v="4939ef9bead7bec59b4974a540d15c15"/>
    <x v="8"/>
    <d v="2018-04-13T00:00:00"/>
    <d v="2018-04-28T00:00:00"/>
    <d v="2018-05-06T00:00:00"/>
    <s v="watches_gifts"/>
    <n v="76.61"/>
    <n v="25.64"/>
    <s v="boleto"/>
    <n v="3"/>
    <s v="delivered"/>
    <d v="2018-04-01T00:00:00"/>
    <n v="15"/>
    <n v="0"/>
    <n v="1"/>
    <n v="102.25"/>
    <n v="50.562600000000003"/>
    <n v="15.384"/>
    <n v="10.663399999999996"/>
    <s v="15-21 days"/>
  </r>
  <r>
    <s v="a2d99503fa6a2e9fd86c332148eee6b2"/>
    <x v="3"/>
    <d v="2018-04-14T00:00:00"/>
    <d v="2018-05-04T00:00:00"/>
    <d v="2018-05-10T00:00:00"/>
    <s v="watches_gifts"/>
    <n v="181.05"/>
    <n v="26.87"/>
    <s v="credit_card"/>
    <n v="4"/>
    <s v="delivered"/>
    <d v="2018-04-01T00:00:00"/>
    <n v="20"/>
    <n v="0"/>
    <n v="1"/>
    <n v="207.92000000000002"/>
    <n v="119.49300000000001"/>
    <n v="16.122"/>
    <n v="45.435000000000002"/>
    <s v="15-21 days"/>
  </r>
  <r>
    <s v="53172e891595310695116c5f34c4f6ad"/>
    <x v="3"/>
    <d v="2018-04-14T00:00:00"/>
    <d v="2018-04-25T00:00:00"/>
    <d v="2018-05-07T00:00:00"/>
    <s v="furniture_decor"/>
    <n v="241.19"/>
    <n v="20.78"/>
    <s v="credit_card"/>
    <n v="3"/>
    <s v="delivered"/>
    <d v="2018-04-01T00:00:00"/>
    <n v="11"/>
    <n v="0"/>
    <n v="1"/>
    <n v="261.97000000000003"/>
    <n v="168.833"/>
    <n v="12.468"/>
    <n v="59.888999999999996"/>
    <s v="8-14 days"/>
  </r>
  <r>
    <s v="6c911671f5bb6837f2b2c28c2461c797"/>
    <x v="0"/>
    <d v="2018-04-14T00:00:00"/>
    <d v="2018-04-18T00:00:00"/>
    <d v="2018-04-28T00:00:00"/>
    <s v="sports_leisure"/>
    <n v="63.95"/>
    <n v="20.38"/>
    <s v="boleto"/>
    <n v="3"/>
    <s v="delivered"/>
    <d v="2018-04-01T00:00:00"/>
    <n v="4"/>
    <n v="0"/>
    <n v="1"/>
    <n v="84.33"/>
    <n v="40.928000000000004"/>
    <n v="12.228"/>
    <n v="10.793999999999999"/>
    <s v="0-7 days"/>
  </r>
  <r>
    <s v="3e896c64e117dac3119c4ea3e1805081"/>
    <x v="0"/>
    <d v="2018-04-15T00:00:00"/>
    <d v="2018-04-20T00:00:00"/>
    <d v="2018-05-02T00:00:00"/>
    <s v="auto"/>
    <n v="68.83"/>
    <n v="21.68"/>
    <s v="credit_card"/>
    <n v="5"/>
    <s v="delivered"/>
    <d v="2018-04-01T00:00:00"/>
    <n v="5"/>
    <n v="0"/>
    <n v="1"/>
    <n v="90.509999999999991"/>
    <n v="46.804400000000001"/>
    <n v="13.007999999999999"/>
    <n v="9.0175999999999981"/>
    <s v="0-7 days"/>
  </r>
  <r>
    <s v="f5185923e8292e3bbbfc5dc1fff446b9"/>
    <x v="8"/>
    <d v="2018-04-15T00:00:00"/>
    <d v="2018-05-01T00:00:00"/>
    <d v="2018-05-07T00:00:00"/>
    <s v="bed_bath_table"/>
    <n v="100.13"/>
    <n v="30.63"/>
    <s v="boleto"/>
    <n v="4"/>
    <s v="delivered"/>
    <d v="2018-04-01T00:00:00"/>
    <n v="16"/>
    <n v="0"/>
    <n v="1"/>
    <n v="130.76"/>
    <n v="62.080599999999997"/>
    <n v="18.378"/>
    <n v="19.671399999999998"/>
    <s v="15-21 days"/>
  </r>
  <r>
    <s v="8673173ae5b58f3084868583906ae95d"/>
    <x v="4"/>
    <d v="2018-04-15T00:00:00"/>
    <d v="2018-04-25T00:00:00"/>
    <d v="2018-05-03T00:00:00"/>
    <s v="auto"/>
    <n v="55"/>
    <n v="19.88"/>
    <s v="credit_card"/>
    <n v="4"/>
    <s v="delivered"/>
    <d v="2018-04-01T00:00:00"/>
    <n v="10"/>
    <n v="0"/>
    <n v="1"/>
    <n v="74.88"/>
    <n v="37.400000000000006"/>
    <n v="11.927999999999999"/>
    <n v="5.6719999999999953"/>
    <s v="8-14 days"/>
  </r>
  <r>
    <s v="cc4282cd1474849f3b38102b7bdf1546"/>
    <x v="7"/>
    <d v="2018-04-15T00:00:00"/>
    <d v="2018-04-29T00:00:00"/>
    <d v="2018-05-05T00:00:00"/>
    <s v="furniture_decor"/>
    <n v="90.18"/>
    <n v="23.71"/>
    <s v="credit_card"/>
    <n v="5"/>
    <s v="delivered"/>
    <d v="2018-04-01T00:00:00"/>
    <n v="14"/>
    <n v="0"/>
    <n v="1"/>
    <n v="113.89000000000001"/>
    <n v="63.125999999999998"/>
    <n v="14.226000000000001"/>
    <n v="12.828000000000008"/>
    <s v="8-14 days"/>
  </r>
  <r>
    <s v="a76090e77c73a16602f779797466b319"/>
    <x v="0"/>
    <d v="2018-04-16T00:00:00"/>
    <d v="2018-04-24T00:00:00"/>
    <d v="2018-04-30T00:00:00"/>
    <s v="furniture_decor"/>
    <n v="66.59"/>
    <n v="15.86"/>
    <s v="voucher"/>
    <n v="3"/>
    <s v="delivered"/>
    <d v="2018-04-01T00:00:00"/>
    <n v="8"/>
    <n v="0"/>
    <n v="1"/>
    <n v="82.45"/>
    <n v="46.613"/>
    <n v="9.516"/>
    <n v="10.461000000000004"/>
    <s v="8-14 days"/>
  </r>
  <r>
    <s v="03d0ac191df1f0f5d0f36c280b76d6f7"/>
    <x v="11"/>
    <d v="2018-04-16T00:00:00"/>
    <d v="2018-05-03T00:00:00"/>
    <d v="2018-05-21T00:00:00"/>
    <s v="watches_gifts"/>
    <n v="158.91"/>
    <n v="30.45"/>
    <s v="credit_card"/>
    <n v="3"/>
    <s v="delivered"/>
    <d v="2018-04-01T00:00:00"/>
    <n v="17"/>
    <n v="0"/>
    <n v="1"/>
    <n v="189.35999999999999"/>
    <n v="104.8806"/>
    <n v="18.27"/>
    <n v="35.759399999999999"/>
    <s v="15-21 days"/>
  </r>
  <r>
    <s v="3332432b3d10fa95e8a442385fe8b710"/>
    <x v="0"/>
    <d v="2018-04-17T00:00:00"/>
    <d v="2018-04-28T00:00:00"/>
    <d v="2018-05-04T00:00:00"/>
    <s v="sports_leisure"/>
    <n v="271.42"/>
    <n v="25.68"/>
    <s v="credit_card"/>
    <n v="4"/>
    <s v="delivered"/>
    <d v="2018-04-01T00:00:00"/>
    <n v="11"/>
    <n v="0"/>
    <n v="1"/>
    <n v="297.10000000000002"/>
    <n v="173.70880000000002"/>
    <n v="15.407999999999999"/>
    <n v="82.30319999999999"/>
    <s v="8-14 days"/>
  </r>
  <r>
    <s v="3590874c8992b69182546e92fb5ae35a"/>
    <x v="0"/>
    <d v="2018-04-17T00:00:00"/>
    <d v="2018-04-25T00:00:00"/>
    <d v="2018-05-03T00:00:00"/>
    <s v="health_beauty"/>
    <n v="123.06"/>
    <n v="16.23"/>
    <s v="credit_card"/>
    <n v="4"/>
    <s v="delivered"/>
    <d v="2018-04-01T00:00:00"/>
    <n v="8"/>
    <n v="0"/>
    <n v="1"/>
    <n v="139.29"/>
    <n v="71.374799999999993"/>
    <n v="9.7379999999999995"/>
    <n v="41.947200000000009"/>
    <s v="8-14 days"/>
  </r>
  <r>
    <s v="89b5aab0c12169db2f12b150605fb1eb"/>
    <x v="0"/>
    <d v="2018-04-18T00:00:00"/>
    <d v="2018-04-25T00:00:00"/>
    <d v="2018-05-06T00:00:00"/>
    <s v="housewares"/>
    <n v="54.98"/>
    <n v="13.17"/>
    <s v="credit_card"/>
    <n v="4"/>
    <s v="delivered"/>
    <d v="2018-04-01T00:00:00"/>
    <n v="7"/>
    <n v="0"/>
    <n v="1"/>
    <n v="68.149999999999991"/>
    <n v="34.6374"/>
    <n v="7.9019999999999992"/>
    <n v="12.440599999999998"/>
    <s v="0-7 days"/>
  </r>
  <r>
    <s v="46b821c7fe731856f1fcfc366ad3cc40"/>
    <x v="0"/>
    <d v="2018-04-18T00:00:00"/>
    <d v="2018-05-01T00:00:00"/>
    <d v="2018-05-06T00:00:00"/>
    <s v="health_beauty"/>
    <n v="368.14"/>
    <n v="21.97"/>
    <s v="credit_card"/>
    <n v="4"/>
    <s v="delivered"/>
    <d v="2018-04-01T00:00:00"/>
    <n v="13"/>
    <n v="0"/>
    <n v="1"/>
    <n v="390.11"/>
    <n v="213.52119999999996"/>
    <n v="13.181999999999999"/>
    <n v="141.43680000000003"/>
    <s v="8-14 days"/>
  </r>
  <r>
    <s v="edd97a1afa585b278ce3e7c3f6eab3a0"/>
    <x v="0"/>
    <d v="2018-04-19T00:00:00"/>
    <d v="2018-04-30T00:00:00"/>
    <d v="2018-05-04T00:00:00"/>
    <s v="sports_leisure"/>
    <n v="82.96"/>
    <n v="13.6"/>
    <s v="credit_card"/>
    <n v="5"/>
    <s v="delivered"/>
    <d v="2018-04-01T00:00:00"/>
    <n v="11"/>
    <n v="0"/>
    <n v="1"/>
    <n v="96.559999999999988"/>
    <n v="53.0944"/>
    <n v="8.16"/>
    <n v="21.705599999999993"/>
    <s v="8-14 days"/>
  </r>
  <r>
    <s v="7bdd41b37b142917927446b602ff9754"/>
    <x v="0"/>
    <d v="2018-04-19T00:00:00"/>
    <d v="2018-05-11T00:00:00"/>
    <d v="2018-05-04T00:00:00"/>
    <s v="computers_accessories"/>
    <n v="166.53"/>
    <n v="18"/>
    <s v="boleto"/>
    <n v="1"/>
    <s v="delivered"/>
    <d v="2018-04-01T00:00:00"/>
    <n v="22"/>
    <n v="7"/>
    <n v="0"/>
    <n v="184.53"/>
    <n v="123.23220000000001"/>
    <n v="10.799999999999999"/>
    <n v="32.497799999999998"/>
    <s v="22+ days"/>
  </r>
  <r>
    <s v="85e1b28dae70f6f5015a749b686cd27d"/>
    <x v="0"/>
    <d v="2018-04-19T00:00:00"/>
    <d v="2018-04-28T00:00:00"/>
    <d v="2018-05-05T00:00:00"/>
    <s v="watches_gifts"/>
    <n v="386.56"/>
    <n v="20.74"/>
    <s v="boleto"/>
    <n v="4"/>
    <s v="delivered"/>
    <d v="2018-04-01T00:00:00"/>
    <n v="9"/>
    <n v="0"/>
    <n v="1"/>
    <n v="407.3"/>
    <n v="255.12960000000001"/>
    <n v="12.443999999999999"/>
    <n v="118.98639999999999"/>
    <s v="8-14 days"/>
  </r>
  <r>
    <s v="250d235f1feba1e73bb1591b2e832bbe"/>
    <x v="0"/>
    <d v="2018-04-19T00:00:00"/>
    <d v="2018-04-26T00:00:00"/>
    <d v="2018-05-07T00:00:00"/>
    <s v="sports_leisure"/>
    <n v="192.02"/>
    <n v="21.03"/>
    <s v="credit_card"/>
    <n v="5"/>
    <s v="delivered"/>
    <d v="2018-04-01T00:00:00"/>
    <n v="7"/>
    <n v="0"/>
    <n v="1"/>
    <n v="213.05"/>
    <n v="122.89280000000001"/>
    <n v="12.618"/>
    <n v="56.5092"/>
    <s v="0-7 days"/>
  </r>
  <r>
    <s v="2b105a3d7f07a2adc4c1d18113e8b22b"/>
    <x v="8"/>
    <d v="2018-04-19T00:00:00"/>
    <d v="2018-04-29T00:00:00"/>
    <d v="2018-05-14T00:00:00"/>
    <s v="health_beauty"/>
    <n v="61.11"/>
    <n v="27.26"/>
    <s v="credit_card"/>
    <n v="5"/>
    <s v="delivered"/>
    <d v="2018-04-01T00:00:00"/>
    <n v="10"/>
    <n v="0"/>
    <n v="1"/>
    <n v="88.37"/>
    <n v="35.443799999999996"/>
    <n v="16.356000000000002"/>
    <n v="9.3102000000000018"/>
    <s v="8-14 days"/>
  </r>
  <r>
    <s v="3677f5b463a1bcaa0311362650f51e97"/>
    <x v="0"/>
    <d v="2018-04-20T00:00:00"/>
    <d v="2018-04-25T00:00:00"/>
    <d v="2018-05-06T00:00:00"/>
    <s v="health_beauty"/>
    <n v="69.150000000000006"/>
    <n v="16.11"/>
    <s v="credit_card"/>
    <n v="4"/>
    <s v="delivered"/>
    <d v="2018-04-01T00:00:00"/>
    <n v="5"/>
    <n v="0"/>
    <n v="1"/>
    <n v="85.26"/>
    <n v="40.106999999999999"/>
    <n v="9.6659999999999986"/>
    <n v="19.37700000000001"/>
    <s v="0-7 days"/>
  </r>
  <r>
    <s v="30e5f5ebf9733885ff1d7d3439ac5f4b"/>
    <x v="8"/>
    <d v="2018-04-20T00:00:00"/>
    <d v="2018-05-01T00:00:00"/>
    <d v="2018-05-12T00:00:00"/>
    <s v="furniture_decor"/>
    <n v="92.42"/>
    <n v="27.27"/>
    <s v="credit_card"/>
    <n v="5"/>
    <s v="delivered"/>
    <d v="2018-04-01T00:00:00"/>
    <n v="11"/>
    <n v="0"/>
    <n v="1"/>
    <n v="119.69"/>
    <n v="64.694000000000003"/>
    <n v="16.361999999999998"/>
    <n v="11.364000000000001"/>
    <s v="8-14 days"/>
  </r>
  <r>
    <s v="8637584475707bd6bf922ea50f417135"/>
    <x v="0"/>
    <d v="2018-04-22T00:00:00"/>
    <d v="2018-04-28T00:00:00"/>
    <d v="2018-05-07T00:00:00"/>
    <s v="bed_bath_table"/>
    <n v="71.05"/>
    <n v="21.25"/>
    <s v="credit_card"/>
    <n v="5"/>
    <s v="delivered"/>
    <d v="2018-04-01T00:00:00"/>
    <n v="6"/>
    <n v="0"/>
    <n v="1"/>
    <n v="92.3"/>
    <n v="44.050999999999995"/>
    <n v="12.75"/>
    <n v="14.249000000000002"/>
    <s v="0-7 days"/>
  </r>
  <r>
    <s v="2b0cba4118182465d43f46de333ad1ae"/>
    <x v="0"/>
    <d v="2018-04-22T00:00:00"/>
    <d v="2018-05-06T00:00:00"/>
    <d v="2018-05-05T00:00:00"/>
    <s v="watches_gifts"/>
    <n v="132.06"/>
    <n v="23.57"/>
    <s v="credit_card"/>
    <n v="3"/>
    <s v="delivered"/>
    <d v="2018-04-01T00:00:00"/>
    <n v="14"/>
    <n v="1"/>
    <n v="0"/>
    <n v="155.63"/>
    <n v="87.159600000000012"/>
    <n v="14.141999999999999"/>
    <n v="30.758399999999991"/>
    <s v="8-14 days"/>
  </r>
  <r>
    <s v="228c4f0cc49dc4fccc641c0031b41e88"/>
    <x v="3"/>
    <d v="2018-04-23T00:00:00"/>
    <d v="2018-05-10T00:00:00"/>
    <d v="2018-05-12T00:00:00"/>
    <s v="bed_bath_table"/>
    <n v="44.58"/>
    <n v="28.35"/>
    <s v="credit_card"/>
    <n v="5"/>
    <s v="delivered"/>
    <d v="2018-04-01T00:00:00"/>
    <n v="17"/>
    <n v="0"/>
    <n v="1"/>
    <n v="72.930000000000007"/>
    <n v="27.639599999999998"/>
    <n v="17.010000000000002"/>
    <n v="-6.9600000000001216E-2"/>
    <s v="15-21 days"/>
  </r>
  <r>
    <s v="f62e329e32c21a259317bf7bd45b1527"/>
    <x v="4"/>
    <d v="2018-04-23T00:00:00"/>
    <d v="2018-05-08T00:00:00"/>
    <d v="2018-05-15T00:00:00"/>
    <s v="computers_accessories"/>
    <n v="103.18"/>
    <n v="24.94"/>
    <s v="credit_card"/>
    <n v="4"/>
    <s v="delivered"/>
    <d v="2018-04-01T00:00:00"/>
    <n v="15"/>
    <n v="0"/>
    <n v="1"/>
    <n v="128.12"/>
    <n v="76.353200000000001"/>
    <n v="14.964"/>
    <n v="11.862800000000005"/>
    <s v="15-21 days"/>
  </r>
  <r>
    <s v="69f092d810ed1570974f60309c077c09"/>
    <x v="4"/>
    <d v="2018-04-23T00:00:00"/>
    <d v="2018-05-02T00:00:00"/>
    <d v="2018-05-16T00:00:00"/>
    <s v="computers_accessories"/>
    <n v="95.56"/>
    <n v="28.69"/>
    <s v="boleto"/>
    <n v="5"/>
    <s v="delivered"/>
    <d v="2018-04-01T00:00:00"/>
    <n v="9"/>
    <n v="0"/>
    <n v="1"/>
    <n v="124.25"/>
    <n v="70.714399999999998"/>
    <n v="17.213999999999999"/>
    <n v="7.6316000000000059"/>
    <s v="8-14 days"/>
  </r>
  <r>
    <s v="2926205d0d53551ab4f02f6faf3f9d9a"/>
    <x v="6"/>
    <d v="2018-04-24T00:00:00"/>
    <d v="2018-05-02T00:00:00"/>
    <d v="2018-05-25T00:00:00"/>
    <s v="furniture_decor"/>
    <n v="366.55"/>
    <n v="40.1"/>
    <s v="credit_card"/>
    <n v="4"/>
    <s v="delivered"/>
    <d v="2018-04-01T00:00:00"/>
    <n v="8"/>
    <n v="0"/>
    <n v="1"/>
    <n v="406.65000000000003"/>
    <n v="256.58499999999998"/>
    <n v="24.06"/>
    <n v="85.90500000000003"/>
    <s v="8-14 days"/>
  </r>
  <r>
    <s v="9b125dfb2804335a331165e02c5cce54"/>
    <x v="8"/>
    <d v="2018-04-24T00:00:00"/>
    <d v="2018-05-06T00:00:00"/>
    <d v="2018-05-18T00:00:00"/>
    <s v="health_beauty"/>
    <n v="109.09"/>
    <n v="23.98"/>
    <s v="credit_card"/>
    <n v="4"/>
    <s v="delivered"/>
    <d v="2018-04-01T00:00:00"/>
    <n v="12"/>
    <n v="0"/>
    <n v="1"/>
    <n v="133.07"/>
    <n v="63.272199999999998"/>
    <n v="14.388"/>
    <n v="31.429800000000007"/>
    <s v="8-14 days"/>
  </r>
  <r>
    <s v="f57f2bba3fbacf5fa576db480cc46000"/>
    <x v="0"/>
    <d v="2018-04-24T00:00:00"/>
    <d v="2018-05-05T00:00:00"/>
    <d v="2018-05-10T00:00:00"/>
    <s v="health_beauty"/>
    <n v="100.55"/>
    <n v="13.66"/>
    <s v="credit_card"/>
    <n v="5"/>
    <s v="delivered"/>
    <d v="2018-04-01T00:00:00"/>
    <n v="11"/>
    <n v="0"/>
    <n v="1"/>
    <n v="114.21"/>
    <n v="58.318999999999996"/>
    <n v="8.1959999999999997"/>
    <n v="34.035000000000004"/>
    <s v="8-14 days"/>
  </r>
  <r>
    <s v="4af3e1d7632cd0925b80f397f347e18d"/>
    <x v="0"/>
    <d v="2018-04-24T00:00:00"/>
    <d v="2018-04-30T00:00:00"/>
    <d v="2018-05-13T00:00:00"/>
    <s v="housewares"/>
    <n v="62.14"/>
    <n v="21.31"/>
    <s v="credit_card"/>
    <n v="5"/>
    <s v="delivered"/>
    <d v="2018-04-01T00:00:00"/>
    <n v="6"/>
    <n v="0"/>
    <n v="1"/>
    <n v="83.45"/>
    <n v="39.148200000000003"/>
    <n v="12.786"/>
    <n v="10.205799999999998"/>
    <s v="0-7 days"/>
  </r>
  <r>
    <s v="4b2e0335e9799c8ea5eaf9f626d3995e"/>
    <x v="3"/>
    <d v="2018-04-24T00:00:00"/>
    <d v="2018-05-20T00:00:00"/>
    <d v="2018-05-18T00:00:00"/>
    <s v="health_beauty"/>
    <n v="129.02000000000001"/>
    <n v="23.94"/>
    <s v="credit_card"/>
    <n v="3"/>
    <s v="delivered"/>
    <d v="2018-04-01T00:00:00"/>
    <n v="26"/>
    <n v="2"/>
    <n v="0"/>
    <n v="152.96"/>
    <n v="74.831599999999995"/>
    <n v="14.364000000000001"/>
    <n v="39.824400000000011"/>
    <s v="22+ days"/>
  </r>
  <r>
    <s v="460781e5efd8dfa91b952ae5506801b9"/>
    <x v="0"/>
    <d v="2018-04-25T00:00:00"/>
    <d v="2018-05-02T00:00:00"/>
    <d v="2018-05-11T00:00:00"/>
    <s v="furniture_decor"/>
    <n v="87.18"/>
    <n v="16.91"/>
    <s v="credit_card"/>
    <n v="2"/>
    <s v="delivered"/>
    <d v="2018-04-01T00:00:00"/>
    <n v="7"/>
    <n v="0"/>
    <n v="1"/>
    <n v="104.09"/>
    <n v="61.026000000000003"/>
    <n v="10.145999999999999"/>
    <n v="16.008000000000003"/>
    <s v="0-7 days"/>
  </r>
  <r>
    <s v="f17b25efa5b8f158f64c81bf77746c09"/>
    <x v="0"/>
    <d v="2018-04-25T00:00:00"/>
    <d v="2018-05-01T00:00:00"/>
    <d v="2018-05-08T00:00:00"/>
    <s v="housewares"/>
    <n v="87.66"/>
    <n v="21.59"/>
    <s v="credit_card"/>
    <n v="4"/>
    <s v="delivered"/>
    <d v="2018-04-01T00:00:00"/>
    <n v="6"/>
    <n v="0"/>
    <n v="1"/>
    <n v="109.25"/>
    <n v="55.2258"/>
    <n v="12.953999999999999"/>
    <n v="19.480199999999996"/>
    <s v="0-7 days"/>
  </r>
  <r>
    <s v="31b53390a81a1d16129226f9f6e0a26e"/>
    <x v="7"/>
    <d v="2018-04-25T00:00:00"/>
    <d v="2018-04-30T00:00:00"/>
    <d v="2018-05-16T00:00:00"/>
    <s v="sports_leisure"/>
    <n v="51.03"/>
    <n v="20.399999999999999"/>
    <s v="credit_card"/>
    <n v="5"/>
    <s v="delivered"/>
    <d v="2018-04-01T00:00:00"/>
    <n v="5"/>
    <n v="0"/>
    <n v="1"/>
    <n v="71.430000000000007"/>
    <n v="32.659199999999998"/>
    <n v="12.239999999999998"/>
    <n v="6.1308000000000042"/>
    <s v="0-7 days"/>
  </r>
  <r>
    <s v="b141d1f07a6c9048075e502673ec1831"/>
    <x v="0"/>
    <d v="2018-04-25T00:00:00"/>
    <d v="2018-05-08T00:00:00"/>
    <d v="2018-05-10T00:00:00"/>
    <s v="health_beauty"/>
    <n v="185.86"/>
    <n v="24.03"/>
    <s v="credit_card"/>
    <n v="4"/>
    <s v="delivered"/>
    <d v="2018-04-01T00:00:00"/>
    <n v="13"/>
    <n v="0"/>
    <n v="1"/>
    <n v="209.89000000000001"/>
    <n v="107.7988"/>
    <n v="14.417999999999999"/>
    <n v="63.643200000000014"/>
    <s v="8-14 days"/>
  </r>
  <r>
    <s v="506e50c77aa061e9336b00cbb1fead13"/>
    <x v="0"/>
    <d v="2018-04-26T00:00:00"/>
    <d v="2018-05-08T00:00:00"/>
    <d v="2018-05-08T00:00:00"/>
    <s v="watches_gifts"/>
    <n v="168.56"/>
    <n v="20.2"/>
    <s v="credit_card"/>
    <n v="5"/>
    <s v="delivered"/>
    <d v="2018-04-01T00:00:00"/>
    <n v="12"/>
    <n v="0"/>
    <n v="1"/>
    <n v="188.76"/>
    <n v="111.2496"/>
    <n v="12.12"/>
    <n v="45.190400000000004"/>
    <s v="8-14 days"/>
  </r>
  <r>
    <s v="0a872ac28f3f5995e468eb64f7d2a2ee"/>
    <x v="4"/>
    <d v="2018-04-26T00:00:00"/>
    <d v="2018-05-11T00:00:00"/>
    <d v="2018-05-18T00:00:00"/>
    <s v="computers_accessories"/>
    <n v="76.77"/>
    <n v="20.73"/>
    <s v="credit_card"/>
    <n v="4"/>
    <s v="delivered"/>
    <d v="2018-04-01T00:00:00"/>
    <n v="15"/>
    <n v="0"/>
    <n v="1"/>
    <n v="97.5"/>
    <n v="56.809799999999996"/>
    <n v="12.438000000000001"/>
    <n v="7.5221999999999998"/>
    <s v="15-21 days"/>
  </r>
  <r>
    <s v="09e8ede2da2777afa6ed0e6be43a3562"/>
    <x v="0"/>
    <d v="2018-04-26T00:00:00"/>
    <d v="2018-05-03T00:00:00"/>
    <d v="2018-05-13T00:00:00"/>
    <s v="toys"/>
    <n v="122.3"/>
    <n v="15.73"/>
    <s v="boleto"/>
    <n v="4"/>
    <s v="delivered"/>
    <d v="2018-04-01T00:00:00"/>
    <n v="7"/>
    <n v="0"/>
    <n v="1"/>
    <n v="138.03"/>
    <n v="73.38"/>
    <n v="9.4380000000000006"/>
    <n v="39.481999999999999"/>
    <s v="0-7 days"/>
  </r>
  <r>
    <s v="04ae6d5ac62d7b34ddbd67b14279c1cc"/>
    <x v="0"/>
    <d v="2018-04-26T00:00:00"/>
    <d v="2018-05-04T00:00:00"/>
    <d v="2018-05-14T00:00:00"/>
    <s v="computers_accessories"/>
    <n v="101.75"/>
    <n v="16.79"/>
    <s v="credit_card"/>
    <n v="5"/>
    <s v="delivered"/>
    <d v="2018-04-01T00:00:00"/>
    <n v="8"/>
    <n v="0"/>
    <n v="1"/>
    <n v="118.53999999999999"/>
    <n v="75.295000000000002"/>
    <n v="10.074"/>
    <n v="16.381"/>
    <s v="8-14 days"/>
  </r>
  <r>
    <s v="678f5465228dc4227a52cd11cb3232ab"/>
    <x v="3"/>
    <d v="2018-04-26T00:00:00"/>
    <d v="2018-05-26T00:00:00"/>
    <d v="2018-05-17T00:00:00"/>
    <s v="computers_accessories"/>
    <n v="195.02"/>
    <n v="25.03"/>
    <s v="boleto"/>
    <n v="2"/>
    <s v="delivered"/>
    <d v="2018-04-01T00:00:00"/>
    <n v="30"/>
    <n v="9"/>
    <n v="0"/>
    <n v="220.05"/>
    <n v="144.31480000000002"/>
    <n v="15.018000000000001"/>
    <n v="35.68719999999999"/>
    <s v="22+ days"/>
  </r>
  <r>
    <s v="f7cb1a77409be03dc9ac091142073e4f"/>
    <x v="0"/>
    <d v="2018-04-26T00:00:00"/>
    <d v="2018-05-08T00:00:00"/>
    <d v="2018-05-13T00:00:00"/>
    <s v="bed_bath_table"/>
    <n v="27.72"/>
    <n v="13.08"/>
    <s v="boleto"/>
    <n v="5"/>
    <s v="delivered"/>
    <d v="2018-04-01T00:00:00"/>
    <n v="12"/>
    <n v="0"/>
    <n v="1"/>
    <n v="40.799999999999997"/>
    <n v="17.186399999999999"/>
    <n v="7.8479999999999999"/>
    <n v="2.6856"/>
    <s v="8-14 days"/>
  </r>
  <r>
    <s v="d57e4322039663d0133ee71e2fc82f4d"/>
    <x v="3"/>
    <d v="2018-04-27T00:00:00"/>
    <d v="2018-05-06T00:00:00"/>
    <d v="2018-05-22T00:00:00"/>
    <s v="furniture_decor"/>
    <n v="208.86"/>
    <n v="21.38"/>
    <s v="credit_card"/>
    <n v="5"/>
    <s v="delivered"/>
    <d v="2018-04-01T00:00:00"/>
    <n v="9"/>
    <n v="0"/>
    <n v="1"/>
    <n v="230.24"/>
    <n v="146.202"/>
    <n v="12.827999999999999"/>
    <n v="49.830000000000013"/>
    <s v="8-14 days"/>
  </r>
  <r>
    <s v="9dedb8538658c2e585123413d9e323be"/>
    <x v="0"/>
    <d v="2018-04-27T00:00:00"/>
    <d v="2018-05-04T00:00:00"/>
    <d v="2018-05-13T00:00:00"/>
    <s v="computers_accessories"/>
    <n v="78.78"/>
    <n v="15.26"/>
    <s v="credit_card"/>
    <n v="5"/>
    <s v="delivered"/>
    <d v="2018-04-01T00:00:00"/>
    <n v="7"/>
    <n v="0"/>
    <n v="1"/>
    <n v="94.04"/>
    <n v="58.297200000000004"/>
    <n v="9.1559999999999988"/>
    <n v="11.326799999999999"/>
    <s v="0-7 days"/>
  </r>
  <r>
    <s v="f1b159b61e8c849937d9f94a87e823e5"/>
    <x v="0"/>
    <d v="2018-04-27T00:00:00"/>
    <d v="2018-05-10T00:00:00"/>
    <d v="2018-05-10T00:00:00"/>
    <s v="computers_accessories"/>
    <n v="164.78"/>
    <n v="21.66"/>
    <s v="boleto"/>
    <n v="5"/>
    <s v="delivered"/>
    <d v="2018-04-01T00:00:00"/>
    <n v="13"/>
    <n v="0"/>
    <n v="1"/>
    <n v="186.44"/>
    <n v="121.9372"/>
    <n v="12.996"/>
    <n v="29.846799999999995"/>
    <s v="8-14 days"/>
  </r>
  <r>
    <s v="ff0df117da0e862a4b3e8d2acf7415e8"/>
    <x v="0"/>
    <d v="2018-04-27T00:00:00"/>
    <d v="2018-05-07T00:00:00"/>
    <d v="2018-05-10T00:00:00"/>
    <s v="health_beauty"/>
    <n v="77.709999999999994"/>
    <n v="19.739999999999998"/>
    <s v="credit_card"/>
    <n v="4"/>
    <s v="delivered"/>
    <d v="2018-04-01T00:00:00"/>
    <n v="10"/>
    <n v="0"/>
    <n v="1"/>
    <n v="97.449999999999989"/>
    <n v="45.071799999999996"/>
    <n v="11.843999999999999"/>
    <n v="20.794199999999996"/>
    <s v="8-14 days"/>
  </r>
  <r>
    <s v="e45c500eebddcd370db5ed45fcfc7f44"/>
    <x v="1"/>
    <d v="2018-04-27T00:00:00"/>
    <d v="2018-05-09T00:00:00"/>
    <d v="2018-05-18T00:00:00"/>
    <s v="bed_bath_table"/>
    <n v="104.66"/>
    <n v="17.579999999999998"/>
    <s v="credit_card"/>
    <n v="5"/>
    <s v="delivered"/>
    <d v="2018-04-01T00:00:00"/>
    <n v="12"/>
    <n v="0"/>
    <n v="1"/>
    <n v="122.24"/>
    <n v="64.889200000000002"/>
    <n v="10.547999999999998"/>
    <n v="29.222799999999996"/>
    <s v="8-14 days"/>
  </r>
  <r>
    <s v="1f119c0f3967e60a823dd1075c8ac066"/>
    <x v="0"/>
    <d v="2018-04-28T00:00:00"/>
    <d v="2018-05-09T00:00:00"/>
    <d v="2018-05-13T00:00:00"/>
    <s v="bed_bath_table"/>
    <n v="142.54"/>
    <n v="15.18"/>
    <s v="debit_card"/>
    <n v="5"/>
    <s v="delivered"/>
    <d v="2018-04-01T00:00:00"/>
    <n v="11"/>
    <n v="0"/>
    <n v="1"/>
    <n v="157.72"/>
    <n v="88.374799999999993"/>
    <n v="9.1079999999999988"/>
    <n v="45.057200000000002"/>
    <s v="8-14 days"/>
  </r>
  <r>
    <s v="d37d8533714a0ae0398e1f36ffdb3a38"/>
    <x v="7"/>
    <d v="2018-04-28T00:00:00"/>
    <d v="2018-05-06T00:00:00"/>
    <d v="2018-05-18T00:00:00"/>
    <s v="toys"/>
    <n v="64.77"/>
    <n v="17.2"/>
    <s v="credit_card"/>
    <n v="4"/>
    <s v="delivered"/>
    <d v="2018-04-01T00:00:00"/>
    <n v="8"/>
    <n v="0"/>
    <n v="1"/>
    <n v="81.97"/>
    <n v="38.861999999999995"/>
    <n v="10.319999999999999"/>
    <n v="15.588000000000003"/>
    <s v="8-14 days"/>
  </r>
  <r>
    <s v="3a38b844afbffde4a0226155df695d17"/>
    <x v="8"/>
    <d v="2018-04-29T00:00:00"/>
    <d v="2018-05-19T00:00:00"/>
    <d v="2018-05-21T00:00:00"/>
    <s v="bed_bath_table"/>
    <n v="127.47"/>
    <n v="27.22"/>
    <s v="credit_card"/>
    <n v="5"/>
    <s v="delivered"/>
    <d v="2018-04-01T00:00:00"/>
    <n v="20"/>
    <n v="0"/>
    <n v="1"/>
    <n v="154.69"/>
    <n v="79.031400000000005"/>
    <n v="16.331999999999997"/>
    <n v="32.1066"/>
    <s v="15-21 days"/>
  </r>
  <r>
    <s v="eba2a67c9c433e67871d5bfce67410de"/>
    <x v="4"/>
    <d v="2018-04-29T00:00:00"/>
    <d v="2018-05-07T00:00:00"/>
    <d v="2018-05-18T00:00:00"/>
    <s v="watches_gifts"/>
    <n v="107.84"/>
    <n v="27.73"/>
    <s v="credit_card"/>
    <n v="3"/>
    <s v="delivered"/>
    <d v="2018-04-01T00:00:00"/>
    <n v="8"/>
    <n v="0"/>
    <n v="1"/>
    <n v="135.57"/>
    <n v="71.174400000000006"/>
    <n v="16.637999999999998"/>
    <n v="20.0276"/>
    <s v="8-14 days"/>
  </r>
  <r>
    <s v="89953dd10976e09f15936f424d3129b3"/>
    <x v="0"/>
    <d v="2018-04-29T00:00:00"/>
    <d v="2018-05-08T00:00:00"/>
    <d v="2018-05-13T00:00:00"/>
    <s v="toys"/>
    <n v="127.25"/>
    <n v="15.12"/>
    <s v="credit_card"/>
    <n v="4"/>
    <s v="delivered"/>
    <d v="2018-04-01T00:00:00"/>
    <n v="9"/>
    <n v="0"/>
    <n v="1"/>
    <n v="142.37"/>
    <n v="76.349999999999994"/>
    <n v="9.0719999999999992"/>
    <n v="41.828000000000003"/>
    <s v="8-14 days"/>
  </r>
  <r>
    <s v="14a1c64bedeac5b89cc862cdbd4211d1"/>
    <x v="9"/>
    <d v="2018-04-29T00:00:00"/>
    <d v="2018-05-08T00:00:00"/>
    <d v="2018-05-24T00:00:00"/>
    <s v="computers_accessories"/>
    <n v="103.42"/>
    <n v="24.87"/>
    <s v="boleto"/>
    <n v="4"/>
    <s v="delivered"/>
    <d v="2018-04-01T00:00:00"/>
    <n v="9"/>
    <n v="0"/>
    <n v="1"/>
    <n v="128.29"/>
    <n v="76.530799999999999"/>
    <n v="14.922000000000001"/>
    <n v="11.967200000000002"/>
    <s v="8-14 days"/>
  </r>
  <r>
    <s v="d02b4c3a6610ba20f0b0c031098aef72"/>
    <x v="0"/>
    <d v="2018-04-29T00:00:00"/>
    <d v="2018-05-11T00:00:00"/>
    <d v="2018-05-14T00:00:00"/>
    <s v="watches_gifts"/>
    <n v="133.68"/>
    <n v="22.24"/>
    <s v="boleto"/>
    <n v="4"/>
    <s v="delivered"/>
    <d v="2018-04-01T00:00:00"/>
    <n v="12"/>
    <n v="0"/>
    <n v="1"/>
    <n v="155.92000000000002"/>
    <n v="88.228800000000007"/>
    <n v="13.343999999999999"/>
    <n v="32.107199999999999"/>
    <s v="8-14 days"/>
  </r>
  <r>
    <s v="0f2fea57088393111216e243634ee115"/>
    <x v="0"/>
    <d v="2018-04-29T00:00:00"/>
    <d v="2018-05-04T00:00:00"/>
    <d v="2018-05-13T00:00:00"/>
    <s v="toys"/>
    <n v="106.29"/>
    <n v="13.11"/>
    <s v="credit_card"/>
    <n v="5"/>
    <s v="delivered"/>
    <d v="2018-04-01T00:00:00"/>
    <n v="5"/>
    <n v="0"/>
    <n v="1"/>
    <n v="119.4"/>
    <n v="63.774000000000001"/>
    <n v="7.8659999999999997"/>
    <n v="34.650000000000006"/>
    <s v="0-7 days"/>
  </r>
  <r>
    <s v="b5c12af0a296884f541eb2a47d82e0de"/>
    <x v="3"/>
    <d v="2018-04-29T00:00:00"/>
    <d v="2018-05-26T00:00:00"/>
    <d v="2018-05-22T00:00:00"/>
    <s v="health_beauty"/>
    <n v="138.77000000000001"/>
    <n v="28.87"/>
    <s v="credit_card"/>
    <n v="3"/>
    <s v="delivered"/>
    <d v="2018-04-01T00:00:00"/>
    <n v="27"/>
    <n v="4"/>
    <n v="0"/>
    <n v="167.64000000000001"/>
    <n v="80.486599999999996"/>
    <n v="17.321999999999999"/>
    <n v="40.961400000000012"/>
    <s v="22+ days"/>
  </r>
  <r>
    <s v="f0d2421a7605ae29865523f88ab0a9fa"/>
    <x v="1"/>
    <d v="2018-04-29T00:00:00"/>
    <d v="2018-05-07T00:00:00"/>
    <d v="2018-05-22T00:00:00"/>
    <s v="toys"/>
    <n v="95.49"/>
    <n v="24.17"/>
    <s v="credit_card"/>
    <n v="4"/>
    <s v="delivered"/>
    <d v="2018-04-01T00:00:00"/>
    <n v="8"/>
    <n v="0"/>
    <n v="1"/>
    <n v="119.66"/>
    <n v="57.293999999999997"/>
    <n v="14.502000000000001"/>
    <n v="23.693999999999996"/>
    <s v="8-14 days"/>
  </r>
  <r>
    <s v="076d07c5700d5278b081391ceb035822"/>
    <x v="0"/>
    <d v="2018-04-29T00:00:00"/>
    <d v="2018-05-04T00:00:00"/>
    <d v="2018-05-13T00:00:00"/>
    <s v="health_beauty"/>
    <n v="86.7"/>
    <n v="17.850000000000001"/>
    <s v="credit_card"/>
    <n v="5"/>
    <s v="delivered"/>
    <d v="2018-04-01T00:00:00"/>
    <n v="5"/>
    <n v="0"/>
    <n v="1"/>
    <n v="104.55000000000001"/>
    <n v="50.286000000000001"/>
    <n v="10.71"/>
    <n v="25.704000000000001"/>
    <s v="0-7 days"/>
  </r>
  <r>
    <s v="ce36e92a58e9d0aac1b6edd4a50784cb"/>
    <x v="0"/>
    <d v="2018-04-30T00:00:00"/>
    <d v="2018-05-05T00:00:00"/>
    <d v="2018-05-17T00:00:00"/>
    <s v="bed_bath_table"/>
    <n v="72.47"/>
    <n v="17.809999999999999"/>
    <s v="boleto"/>
    <n v="5"/>
    <s v="delivered"/>
    <d v="2018-04-01T00:00:00"/>
    <n v="5"/>
    <n v="0"/>
    <n v="1"/>
    <n v="90.28"/>
    <n v="44.931399999999996"/>
    <n v="10.685999999999998"/>
    <n v="16.852600000000002"/>
    <s v="0-7 days"/>
  </r>
  <r>
    <s v="b99b70d6bc6aa8a7be332380b7aa53b6"/>
    <x v="4"/>
    <d v="2018-04-30T00:00:00"/>
    <d v="2018-05-13T00:00:00"/>
    <d v="2018-05-23T00:00:00"/>
    <s v="toys"/>
    <n v="101.04"/>
    <n v="21.3"/>
    <s v="credit_card"/>
    <n v="5"/>
    <s v="delivered"/>
    <d v="2018-04-01T00:00:00"/>
    <n v="13"/>
    <n v="0"/>
    <n v="1"/>
    <n v="122.34"/>
    <n v="60.624000000000002"/>
    <n v="12.78"/>
    <n v="27.636000000000003"/>
    <s v="8-14 days"/>
  </r>
  <r>
    <s v="e780ac62ce81d5416d4aa11691bed6c8"/>
    <x v="8"/>
    <d v="2018-04-30T00:00:00"/>
    <d v="2018-05-15T00:00:00"/>
    <d v="2018-05-22T00:00:00"/>
    <s v="auto"/>
    <n v="103.86"/>
    <n v="16.899999999999999"/>
    <s v="credit_card"/>
    <n v="5"/>
    <s v="delivered"/>
    <d v="2018-04-01T00:00:00"/>
    <n v="15"/>
    <n v="0"/>
    <n v="1"/>
    <n v="120.75999999999999"/>
    <n v="70.624800000000008"/>
    <n v="10.139999999999999"/>
    <n v="23.095199999999991"/>
    <s v="15-21 days"/>
  </r>
  <r>
    <s v="c8bc1c88fe600c12da8746db8338b815"/>
    <x v="4"/>
    <d v="2018-05-01T00:00:00"/>
    <d v="2018-05-11T00:00:00"/>
    <d v="2018-05-20T00:00:00"/>
    <s v="watches_gifts"/>
    <n v="99.67"/>
    <n v="21.13"/>
    <s v="credit_card"/>
    <n v="5"/>
    <s v="delivered"/>
    <d v="2018-05-01T00:00:00"/>
    <n v="10"/>
    <n v="0"/>
    <n v="1"/>
    <n v="120.8"/>
    <n v="65.782200000000003"/>
    <n v="12.677999999999999"/>
    <n v="21.209800000000001"/>
    <s v="8-14 days"/>
  </r>
  <r>
    <s v="f832cee9204612c00d11f275553d549a"/>
    <x v="0"/>
    <d v="2018-05-01T00:00:00"/>
    <d v="2018-05-08T00:00:00"/>
    <d v="2018-05-14T00:00:00"/>
    <s v="health_beauty"/>
    <n v="42.46"/>
    <n v="14.92"/>
    <s v="credit_card"/>
    <n v="5"/>
    <s v="delivered"/>
    <d v="2018-05-01T00:00:00"/>
    <n v="7"/>
    <n v="0"/>
    <n v="1"/>
    <n v="57.38"/>
    <n v="24.626799999999999"/>
    <n v="8.952"/>
    <n v="8.8812000000000015"/>
    <s v="0-7 days"/>
  </r>
  <r>
    <s v="1a8777b0855fc748c6d273f94d2cd22d"/>
    <x v="4"/>
    <d v="2018-05-02T00:00:00"/>
    <d v="2018-05-12T00:00:00"/>
    <d v="2018-05-22T00:00:00"/>
    <s v="bed_bath_table"/>
    <n v="29.41"/>
    <n v="23.9"/>
    <s v="credit_card"/>
    <n v="5"/>
    <s v="delivered"/>
    <d v="2018-05-01T00:00:00"/>
    <n v="10"/>
    <n v="0"/>
    <n v="1"/>
    <n v="53.31"/>
    <n v="18.234200000000001"/>
    <n v="14.339999999999998"/>
    <n v="-3.1641999999999992"/>
    <s v="8-14 days"/>
  </r>
  <r>
    <s v="90a6dffe45bbfb02f99cf98f62d8d220"/>
    <x v="0"/>
    <d v="2018-05-02T00:00:00"/>
    <d v="2018-05-08T00:00:00"/>
    <d v="2018-05-19T00:00:00"/>
    <s v="sports_leisure"/>
    <n v="64.77"/>
    <n v="17.98"/>
    <s v="credit_card"/>
    <n v="5"/>
    <s v="delivered"/>
    <d v="2018-05-01T00:00:00"/>
    <n v="6"/>
    <n v="0"/>
    <n v="1"/>
    <n v="82.75"/>
    <n v="41.452799999999996"/>
    <n v="10.788"/>
    <n v="12.529199999999999"/>
    <s v="0-7 days"/>
  </r>
  <r>
    <s v="0a121024a5a2d5ac48f8672bd60112bd"/>
    <x v="0"/>
    <d v="2018-05-02T00:00:00"/>
    <d v="2018-05-07T00:00:00"/>
    <d v="2018-05-17T00:00:00"/>
    <s v="sports_leisure"/>
    <n v="76.52"/>
    <n v="12.73"/>
    <s v="credit_card"/>
    <n v="5"/>
    <s v="delivered"/>
    <d v="2018-05-01T00:00:00"/>
    <n v="5"/>
    <n v="0"/>
    <n v="1"/>
    <n v="89.25"/>
    <n v="48.972799999999999"/>
    <n v="7.6379999999999999"/>
    <n v="19.909199999999998"/>
    <s v="0-7 days"/>
  </r>
  <r>
    <s v="959cc9ceba8a946af8d86c4080af677b"/>
    <x v="0"/>
    <d v="2018-05-02T00:00:00"/>
    <d v="2018-05-08T00:00:00"/>
    <d v="2018-05-20T00:00:00"/>
    <s v="health_beauty"/>
    <n v="90.11"/>
    <n v="13.18"/>
    <s v="credit_card"/>
    <n v="5"/>
    <s v="delivered"/>
    <d v="2018-05-01T00:00:00"/>
    <n v="6"/>
    <n v="0"/>
    <n v="1"/>
    <n v="103.28999999999999"/>
    <n v="52.263799999999996"/>
    <n v="7.9079999999999995"/>
    <n v="29.938200000000002"/>
    <s v="0-7 days"/>
  </r>
  <r>
    <s v="806d345714dc2143702238e68841d98b"/>
    <x v="4"/>
    <d v="2018-05-02T00:00:00"/>
    <d v="2018-05-19T00:00:00"/>
    <d v="2018-05-20T00:00:00"/>
    <s v="housewares"/>
    <n v="118.6"/>
    <n v="24.44"/>
    <s v="credit_card"/>
    <n v="4"/>
    <s v="delivered"/>
    <d v="2018-05-01T00:00:00"/>
    <n v="17"/>
    <n v="0"/>
    <n v="1"/>
    <n v="143.04"/>
    <n v="74.718000000000004"/>
    <n v="14.664"/>
    <n v="29.217999999999989"/>
    <s v="15-21 days"/>
  </r>
  <r>
    <s v="172789242508f357474a3674ba098484"/>
    <x v="1"/>
    <d v="2018-05-03T00:00:00"/>
    <d v="2018-05-12T00:00:00"/>
    <d v="2018-05-20T00:00:00"/>
    <s v="auto"/>
    <n v="155.72999999999999"/>
    <n v="23.1"/>
    <s v="credit_card"/>
    <n v="5"/>
    <s v="delivered"/>
    <d v="2018-05-01T00:00:00"/>
    <n v="9"/>
    <n v="0"/>
    <n v="1"/>
    <n v="178.82999999999998"/>
    <n v="105.8964"/>
    <n v="13.860000000000001"/>
    <n v="35.97359999999999"/>
    <s v="8-14 days"/>
  </r>
  <r>
    <s v="be00565d5bad43317366c60651ae2d48"/>
    <x v="0"/>
    <d v="2018-05-03T00:00:00"/>
    <d v="2018-05-08T00:00:00"/>
    <d v="2018-05-21T00:00:00"/>
    <s v="computers_accessories"/>
    <n v="300.64999999999998"/>
    <n v="24.15"/>
    <s v="boleto"/>
    <n v="4"/>
    <s v="delivered"/>
    <d v="2018-05-01T00:00:00"/>
    <n v="5"/>
    <n v="0"/>
    <n v="1"/>
    <n v="324.79999999999995"/>
    <n v="222.48099999999999"/>
    <n v="14.489999999999998"/>
    <n v="63.678999999999988"/>
    <s v="0-7 days"/>
  </r>
  <r>
    <s v="3ee2b11c2fd2908feea163a7889dc47e"/>
    <x v="0"/>
    <d v="2018-05-03T00:00:00"/>
    <d v="2018-05-13T00:00:00"/>
    <d v="2018-05-19T00:00:00"/>
    <s v="housewares"/>
    <n v="79.83"/>
    <n v="13.98"/>
    <s v="boleto"/>
    <n v="4"/>
    <s v="delivered"/>
    <d v="2018-05-01T00:00:00"/>
    <n v="10"/>
    <n v="0"/>
    <n v="1"/>
    <n v="93.81"/>
    <n v="50.292899999999996"/>
    <n v="8.3879999999999999"/>
    <n v="21.149100000000004"/>
    <s v="8-14 days"/>
  </r>
  <r>
    <s v="91f97c1681b603bd48468d499ac11a87"/>
    <x v="0"/>
    <d v="2018-05-03T00:00:00"/>
    <d v="2018-05-17T00:00:00"/>
    <d v="2018-05-15T00:00:00"/>
    <s v="health_beauty"/>
    <n v="106.59"/>
    <n v="17.100000000000001"/>
    <s v="debit_card"/>
    <n v="3"/>
    <s v="delivered"/>
    <d v="2018-05-01T00:00:00"/>
    <n v="14"/>
    <n v="2"/>
    <n v="0"/>
    <n v="123.69"/>
    <n v="61.822199999999995"/>
    <n v="10.26"/>
    <n v="34.50780000000001"/>
    <s v="8-14 days"/>
  </r>
  <r>
    <s v="b38fda15f03bbd44a604efc616010fdd"/>
    <x v="2"/>
    <d v="2018-05-03T00:00:00"/>
    <d v="2018-06-04T00:00:00"/>
    <d v="2018-05-24T00:00:00"/>
    <s v="computers_accessories"/>
    <n v="68.42"/>
    <n v="27.05"/>
    <s v="credit_card"/>
    <n v="2"/>
    <s v="delivered"/>
    <d v="2018-05-01T00:00:00"/>
    <n v="32"/>
    <n v="11"/>
    <n v="0"/>
    <n v="95.47"/>
    <n v="50.630800000000001"/>
    <n v="16.23"/>
    <n v="1.5592000000000006"/>
    <s v="22+ days"/>
  </r>
  <r>
    <s v="022b66839033da6587cf63fd11836c4f"/>
    <x v="0"/>
    <d v="2018-05-04T00:00:00"/>
    <d v="2018-05-09T00:00:00"/>
    <d v="2018-05-19T00:00:00"/>
    <s v="housewares"/>
    <n v="197.52"/>
    <n v="21.56"/>
    <s v="credit_card"/>
    <n v="5"/>
    <s v="delivered"/>
    <d v="2018-05-01T00:00:00"/>
    <n v="5"/>
    <n v="0"/>
    <n v="1"/>
    <n v="219.08"/>
    <n v="124.4376"/>
    <n v="12.935999999999998"/>
    <n v="60.146400000000007"/>
    <s v="0-7 days"/>
  </r>
  <r>
    <s v="b6a787b1c3cb0c28474cfa297fc5ae23"/>
    <x v="0"/>
    <d v="2018-05-04T00:00:00"/>
    <d v="2018-05-10T00:00:00"/>
    <d v="2018-05-20T00:00:00"/>
    <s v="housewares"/>
    <n v="65.52"/>
    <n v="16.27"/>
    <s v="boleto"/>
    <n v="5"/>
    <s v="delivered"/>
    <d v="2018-05-01T00:00:00"/>
    <n v="6"/>
    <n v="0"/>
    <n v="1"/>
    <n v="81.789999999999992"/>
    <n v="41.2776"/>
    <n v="9.7619999999999987"/>
    <n v="14.480399999999998"/>
    <s v="0-7 days"/>
  </r>
  <r>
    <s v="3c98fe89ec6ee5ca573f9ac917ee7fc7"/>
    <x v="3"/>
    <d v="2018-05-04T00:00:00"/>
    <d v="2018-05-18T00:00:00"/>
    <d v="2018-05-28T00:00:00"/>
    <s v="bed_bath_table"/>
    <n v="230.71"/>
    <n v="32.44"/>
    <s v="credit_card"/>
    <n v="4"/>
    <s v="delivered"/>
    <d v="2018-05-01T00:00:00"/>
    <n v="14"/>
    <n v="0"/>
    <n v="1"/>
    <n v="263.14999999999998"/>
    <n v="143.0402"/>
    <n v="19.463999999999999"/>
    <n v="68.205800000000011"/>
    <s v="8-14 days"/>
  </r>
  <r>
    <s v="059d42e6b348f0fed47ebb90c79e46ae"/>
    <x v="6"/>
    <d v="2018-05-04T00:00:00"/>
    <d v="2018-05-18T00:00:00"/>
    <d v="2018-06-03T00:00:00"/>
    <s v="health_beauty"/>
    <n v="54.8"/>
    <n v="29.53"/>
    <s v="boleto"/>
    <n v="4"/>
    <s v="delivered"/>
    <d v="2018-05-01T00:00:00"/>
    <n v="14"/>
    <n v="0"/>
    <n v="1"/>
    <n v="84.33"/>
    <n v="31.783999999999995"/>
    <n v="17.718"/>
    <n v="5.2980000000000018"/>
    <s v="8-14 days"/>
  </r>
  <r>
    <s v="8d25f8e12624054343a21d52d12e73a1"/>
    <x v="1"/>
    <d v="2018-05-04T00:00:00"/>
    <d v="2018-05-13T00:00:00"/>
    <d v="2018-05-24T00:00:00"/>
    <s v="auto"/>
    <n v="68.290000000000006"/>
    <n v="27.75"/>
    <s v="credit_card"/>
    <n v="5"/>
    <s v="delivered"/>
    <d v="2018-05-01T00:00:00"/>
    <n v="9"/>
    <n v="0"/>
    <n v="1"/>
    <n v="96.04"/>
    <n v="46.437200000000004"/>
    <n v="16.649999999999999"/>
    <n v="5.2028000000000034"/>
    <s v="8-14 days"/>
  </r>
  <r>
    <s v="7a4c75d4dc99e04cf0e98b3b40a26c60"/>
    <x v="3"/>
    <d v="2018-05-05T00:00:00"/>
    <d v="2018-05-27T00:00:00"/>
    <d v="2018-05-30T00:00:00"/>
    <s v="health_beauty"/>
    <n v="72.69"/>
    <n v="30.35"/>
    <s v="credit_card"/>
    <n v="4"/>
    <s v="delivered"/>
    <d v="2018-05-01T00:00:00"/>
    <n v="22"/>
    <n v="0"/>
    <n v="1"/>
    <n v="103.03999999999999"/>
    <n v="42.160199999999996"/>
    <n v="18.21"/>
    <n v="12.319800000000001"/>
    <s v="22+ days"/>
  </r>
  <r>
    <s v="97ae50f08a39068bcbede473e3ebf7c1"/>
    <x v="2"/>
    <d v="2018-05-05T00:00:00"/>
    <d v="2018-05-20T00:00:00"/>
    <d v="2018-05-30T00:00:00"/>
    <s v="sports_leisure"/>
    <n v="65.55"/>
    <n v="17.07"/>
    <s v="credit_card"/>
    <n v="5"/>
    <s v="delivered"/>
    <d v="2018-05-01T00:00:00"/>
    <n v="15"/>
    <n v="0"/>
    <n v="1"/>
    <n v="82.62"/>
    <n v="41.951999999999998"/>
    <n v="10.241999999999999"/>
    <n v="13.356"/>
    <s v="15-21 days"/>
  </r>
  <r>
    <s v="b92c8a723a17d79a3a42958b65c2e80d"/>
    <x v="0"/>
    <d v="2018-05-05T00:00:00"/>
    <d v="2018-05-12T00:00:00"/>
    <d v="2018-05-18T00:00:00"/>
    <s v="furniture_decor"/>
    <n v="104.58"/>
    <n v="14.16"/>
    <s v="boleto"/>
    <n v="4"/>
    <s v="delivered"/>
    <d v="2018-05-01T00:00:00"/>
    <n v="7"/>
    <n v="0"/>
    <n v="1"/>
    <n v="118.74"/>
    <n v="73.205999999999989"/>
    <n v="8.4960000000000004"/>
    <n v="22.878000000000007"/>
    <s v="0-7 days"/>
  </r>
  <r>
    <s v="5cb9635c75f73b073a4962d177e43d33"/>
    <x v="8"/>
    <d v="2018-05-05T00:00:00"/>
    <d v="2018-05-22T00:00:00"/>
    <d v="2018-05-29T00:00:00"/>
    <s v="sports_leisure"/>
    <n v="63.6"/>
    <n v="18.68"/>
    <s v="credit_card"/>
    <n v="3"/>
    <s v="delivered"/>
    <d v="2018-05-01T00:00:00"/>
    <n v="17"/>
    <n v="0"/>
    <n v="1"/>
    <n v="82.28"/>
    <n v="40.704000000000001"/>
    <n v="11.208"/>
    <n v="11.688000000000001"/>
    <s v="15-21 days"/>
  </r>
  <r>
    <s v="90ea31debd95c7f5dbaa1aa2ab9c405d"/>
    <x v="0"/>
    <d v="2018-05-05T00:00:00"/>
    <d v="2018-05-09T00:00:00"/>
    <d v="2018-05-21T00:00:00"/>
    <s v="computers_accessories"/>
    <n v="83.54"/>
    <n v="18.05"/>
    <s v="credit_card"/>
    <n v="5"/>
    <s v="delivered"/>
    <d v="2018-05-01T00:00:00"/>
    <n v="4"/>
    <n v="0"/>
    <n v="1"/>
    <n v="101.59"/>
    <n v="61.819600000000001"/>
    <n v="10.83"/>
    <n v="10.890400000000005"/>
    <s v="0-7 days"/>
  </r>
  <r>
    <s v="5a663824a0216b00a43ccdd56bb0c8a0"/>
    <x v="4"/>
    <d v="2018-05-05T00:00:00"/>
    <d v="2018-05-12T00:00:00"/>
    <d v="2018-05-22T00:00:00"/>
    <s v="toys"/>
    <n v="68.64"/>
    <n v="24.81"/>
    <s v="credit_card"/>
    <n v="5"/>
    <s v="delivered"/>
    <d v="2018-05-01T00:00:00"/>
    <n v="7"/>
    <n v="0"/>
    <n v="1"/>
    <n v="93.45"/>
    <n v="41.183999999999997"/>
    <n v="14.885999999999999"/>
    <n v="12.570000000000004"/>
    <s v="0-7 days"/>
  </r>
  <r>
    <s v="9d2bc6aebd399a47a9cb126df5fc402b"/>
    <x v="0"/>
    <d v="2018-05-05T00:00:00"/>
    <d v="2018-05-08T00:00:00"/>
    <d v="2018-05-19T00:00:00"/>
    <s v="health_beauty"/>
    <n v="70.819999999999993"/>
    <n v="12.21"/>
    <s v="boleto"/>
    <n v="4"/>
    <s v="delivered"/>
    <d v="2018-05-01T00:00:00"/>
    <n v="3"/>
    <n v="0"/>
    <n v="1"/>
    <n v="83.03"/>
    <n v="41.075599999999994"/>
    <n v="7.3260000000000005"/>
    <n v="22.418399999999998"/>
    <s v="0-7 days"/>
  </r>
  <r>
    <s v="4d1548c64fcfc66ca5198e6fd738d6ed"/>
    <x v="0"/>
    <d v="2018-05-05T00:00:00"/>
    <d v="2018-05-14T00:00:00"/>
    <d v="2018-05-26T00:00:00"/>
    <s v="bed_bath_table"/>
    <n v="52.24"/>
    <n v="12.25"/>
    <s v="credit_card"/>
    <n v="5"/>
    <s v="delivered"/>
    <d v="2018-05-01T00:00:00"/>
    <n v="9"/>
    <n v="0"/>
    <n v="1"/>
    <n v="64.490000000000009"/>
    <n v="32.388800000000003"/>
    <n v="7.35"/>
    <n v="12.501199999999999"/>
    <s v="8-14 days"/>
  </r>
  <r>
    <s v="4415f0cb38cc1827d2e9bc783a411bee"/>
    <x v="10"/>
    <d v="2018-05-05T00:00:00"/>
    <d v="2018-05-25T00:00:00"/>
    <d v="2018-06-07T00:00:00"/>
    <s v="bed_bath_table"/>
    <n v="124.81"/>
    <n v="40.98"/>
    <s v="credit_card"/>
    <n v="3"/>
    <s v="delivered"/>
    <d v="2018-05-01T00:00:00"/>
    <n v="20"/>
    <n v="0"/>
    <n v="1"/>
    <n v="165.79"/>
    <n v="77.382199999999997"/>
    <n v="24.587999999999997"/>
    <n v="22.839800000000007"/>
    <s v="15-21 days"/>
  </r>
  <r>
    <s v="50c187fcce177b4e0837b8a3d261a7ab"/>
    <x v="0"/>
    <d v="2018-05-06T00:00:00"/>
    <d v="2018-05-14T00:00:00"/>
    <d v="2018-05-24T00:00:00"/>
    <s v="health_beauty"/>
    <n v="39.82"/>
    <n v="11.88"/>
    <s v="credit_card"/>
    <n v="4"/>
    <s v="delivered"/>
    <d v="2018-05-01T00:00:00"/>
    <n v="8"/>
    <n v="0"/>
    <n v="1"/>
    <n v="51.7"/>
    <n v="23.095599999999997"/>
    <n v="7.1280000000000001"/>
    <n v="9.5964000000000027"/>
    <s v="8-14 days"/>
  </r>
  <r>
    <s v="8c0b393a13335bc9bb635ff529310971"/>
    <x v="4"/>
    <d v="2018-05-06T00:00:00"/>
    <d v="2018-05-16T00:00:00"/>
    <d v="2018-05-27T00:00:00"/>
    <s v="health_beauty"/>
    <n v="43.91"/>
    <n v="27.31"/>
    <s v="voucher"/>
    <n v="5"/>
    <s v="delivered"/>
    <d v="2018-05-01T00:00:00"/>
    <n v="10"/>
    <n v="0"/>
    <n v="1"/>
    <n v="71.22"/>
    <n v="25.467799999999997"/>
    <n v="16.385999999999999"/>
    <n v="2.0562000000000005"/>
    <s v="8-14 days"/>
  </r>
  <r>
    <s v="c2fd7e2d95eef4033e72e4023a4317a1"/>
    <x v="0"/>
    <d v="2018-05-06T00:00:00"/>
    <d v="2018-05-14T00:00:00"/>
    <d v="2018-05-23T00:00:00"/>
    <s v="bed_bath_table"/>
    <n v="163.47999999999999"/>
    <n v="14.41"/>
    <s v="credit_card"/>
    <n v="5"/>
    <s v="delivered"/>
    <d v="2018-05-01T00:00:00"/>
    <n v="8"/>
    <n v="0"/>
    <n v="1"/>
    <n v="177.89"/>
    <n v="101.35759999999999"/>
    <n v="8.645999999999999"/>
    <n v="53.476399999999998"/>
    <s v="8-14 days"/>
  </r>
  <r>
    <s v="6d2bc99de7eca309296fc0d76a632a6b"/>
    <x v="0"/>
    <d v="2018-05-06T00:00:00"/>
    <d v="2018-05-14T00:00:00"/>
    <d v="2018-05-21T00:00:00"/>
    <s v="watches_gifts"/>
    <n v="76.239999999999995"/>
    <n v="19.079999999999998"/>
    <s v="credit_card"/>
    <n v="4"/>
    <s v="delivered"/>
    <d v="2018-05-01T00:00:00"/>
    <n v="8"/>
    <n v="0"/>
    <n v="1"/>
    <n v="95.32"/>
    <n v="50.318399999999997"/>
    <n v="11.447999999999999"/>
    <n v="14.473599999999999"/>
    <s v="8-14 days"/>
  </r>
  <r>
    <s v="f701f1f4a48f93b431a9b14c7f49d0d9"/>
    <x v="4"/>
    <d v="2018-05-06T00:00:00"/>
    <d v="2018-05-14T00:00:00"/>
    <d v="2018-05-27T00:00:00"/>
    <s v="housewares"/>
    <n v="108.92"/>
    <n v="16.86"/>
    <s v="credit_card"/>
    <n v="4"/>
    <s v="delivered"/>
    <d v="2018-05-01T00:00:00"/>
    <n v="8"/>
    <n v="0"/>
    <n v="1"/>
    <n v="125.78"/>
    <n v="68.619600000000005"/>
    <n v="10.116"/>
    <n v="30.184399999999997"/>
    <s v="8-14 days"/>
  </r>
  <r>
    <s v="295fa092a310ca23eddc60d8e3b683d4"/>
    <x v="0"/>
    <d v="2018-05-06T00:00:00"/>
    <d v="2018-05-16T00:00:00"/>
    <d v="2018-05-20T00:00:00"/>
    <s v="health_beauty"/>
    <n v="56.38"/>
    <n v="13.44"/>
    <s v="credit_card"/>
    <n v="3"/>
    <s v="delivered"/>
    <d v="2018-05-01T00:00:00"/>
    <n v="10"/>
    <n v="0"/>
    <n v="1"/>
    <n v="69.820000000000007"/>
    <n v="32.700400000000002"/>
    <n v="8.0640000000000001"/>
    <n v="15.615600000000001"/>
    <s v="8-14 days"/>
  </r>
  <r>
    <s v="2385c2218c8cbdd551ed328bdfefbce2"/>
    <x v="3"/>
    <d v="2018-05-06T00:00:00"/>
    <d v="2018-06-14T00:00:00"/>
    <d v="2018-05-29T00:00:00"/>
    <s v="computers_accessories"/>
    <n v="287.08999999999997"/>
    <n v="27.12"/>
    <s v="credit_card"/>
    <n v="1"/>
    <s v="delivered"/>
    <d v="2018-05-01T00:00:00"/>
    <n v="39"/>
    <n v="16"/>
    <n v="0"/>
    <n v="314.20999999999998"/>
    <n v="212.44659999999999"/>
    <n v="16.271999999999998"/>
    <n v="58.371399999999987"/>
    <s v="22+ days"/>
  </r>
  <r>
    <s v="c6b6020a67a559366d744a0b3f2d39c8"/>
    <x v="0"/>
    <d v="2018-05-07T00:00:00"/>
    <d v="2018-05-17T00:00:00"/>
    <d v="2018-05-28T00:00:00"/>
    <s v="toys"/>
    <n v="80.31"/>
    <n v="16.91"/>
    <s v="credit_card"/>
    <n v="3"/>
    <s v="delivered"/>
    <d v="2018-05-01T00:00:00"/>
    <n v="10"/>
    <n v="0"/>
    <n v="1"/>
    <n v="97.22"/>
    <n v="48.186"/>
    <n v="10.145999999999999"/>
    <n v="21.978000000000002"/>
    <s v="8-14 days"/>
  </r>
  <r>
    <s v="9a86013df6c9dd3806a2074c61025637"/>
    <x v="11"/>
    <d v="2018-05-07T00:00:00"/>
    <d v="2018-06-05T00:00:00"/>
    <d v="2018-06-07T00:00:00"/>
    <s v="health_beauty"/>
    <n v="126.95"/>
    <n v="45.09"/>
    <s v="credit_card"/>
    <n v="3"/>
    <s v="delivered"/>
    <d v="2018-05-01T00:00:00"/>
    <n v="29"/>
    <n v="0"/>
    <n v="1"/>
    <n v="172.04000000000002"/>
    <n v="73.631"/>
    <n v="27.054000000000002"/>
    <n v="26.265000000000001"/>
    <s v="22+ days"/>
  </r>
  <r>
    <s v="15a15a52f710900bd3c1fe3f4ce7db3f"/>
    <x v="0"/>
    <d v="2018-05-07T00:00:00"/>
    <d v="2018-05-13T00:00:00"/>
    <d v="2018-05-23T00:00:00"/>
    <s v="bed_bath_table"/>
    <n v="113.85"/>
    <n v="18.95"/>
    <s v="credit_card"/>
    <n v="3"/>
    <s v="delivered"/>
    <d v="2018-05-01T00:00:00"/>
    <n v="6"/>
    <n v="0"/>
    <n v="1"/>
    <n v="132.79999999999998"/>
    <n v="70.586999999999989"/>
    <n v="11.37"/>
    <n v="31.893000000000008"/>
    <s v="0-7 days"/>
  </r>
  <r>
    <s v="78e8bf15c7753db0b795e838ede652f5"/>
    <x v="0"/>
    <d v="2018-05-07T00:00:00"/>
    <d v="2018-05-21T00:00:00"/>
    <d v="2018-05-24T00:00:00"/>
    <s v="bed_bath_table"/>
    <n v="53.13"/>
    <n v="20.69"/>
    <s v="credit_card"/>
    <n v="4"/>
    <s v="delivered"/>
    <d v="2018-05-01T00:00:00"/>
    <n v="14"/>
    <n v="0"/>
    <n v="1"/>
    <n v="73.820000000000007"/>
    <n v="32.940600000000003"/>
    <n v="12.414"/>
    <n v="7.7753999999999994"/>
    <s v="8-14 days"/>
  </r>
  <r>
    <s v="6f4a488065da20e18811812793592195"/>
    <x v="0"/>
    <d v="2018-05-07T00:00:00"/>
    <d v="2018-05-15T00:00:00"/>
    <d v="2018-05-22T00:00:00"/>
    <s v="toys"/>
    <n v="26.84"/>
    <n v="16.55"/>
    <s v="voucher"/>
    <n v="4"/>
    <s v="delivered"/>
    <d v="2018-05-01T00:00:00"/>
    <n v="8"/>
    <n v="0"/>
    <n v="1"/>
    <n v="43.39"/>
    <n v="16.103999999999999"/>
    <n v="9.93"/>
    <n v="0.80600000000000094"/>
    <s v="8-14 days"/>
  </r>
  <r>
    <s v="3dfe5ff4d757d743be9bab1a769b80ab"/>
    <x v="1"/>
    <d v="2018-05-07T00:00:00"/>
    <d v="2018-05-16T00:00:00"/>
    <d v="2018-05-27T00:00:00"/>
    <s v="auto"/>
    <n v="42.8"/>
    <n v="20.04"/>
    <s v="voucher"/>
    <n v="5"/>
    <s v="delivered"/>
    <d v="2018-05-01T00:00:00"/>
    <n v="9"/>
    <n v="0"/>
    <n v="1"/>
    <n v="62.839999999999996"/>
    <n v="29.103999999999999"/>
    <n v="12.023999999999999"/>
    <n v="1.6719999999999988"/>
    <s v="8-14 days"/>
  </r>
  <r>
    <s v="3fe1e8f335adde8843e4f66802ead2df"/>
    <x v="0"/>
    <d v="2018-05-08T00:00:00"/>
    <d v="2018-05-15T00:00:00"/>
    <d v="2018-05-20T00:00:00"/>
    <s v="housewares"/>
    <n v="133.30000000000001"/>
    <n v="16.690000000000001"/>
    <s v="credit_card"/>
    <n v="3"/>
    <s v="delivered"/>
    <d v="2018-05-01T00:00:00"/>
    <n v="7"/>
    <n v="0"/>
    <n v="1"/>
    <n v="149.99"/>
    <n v="83.979000000000013"/>
    <n v="10.014000000000001"/>
    <n v="39.306999999999995"/>
    <s v="0-7 days"/>
  </r>
  <r>
    <s v="18fc83b74b356e9a2e5eeb6a8ee9581a"/>
    <x v="0"/>
    <d v="2018-05-08T00:00:00"/>
    <d v="2018-05-19T00:00:00"/>
    <d v="2018-05-19T00:00:00"/>
    <s v="sports_leisure"/>
    <n v="71.73"/>
    <n v="18.84"/>
    <s v="credit_card"/>
    <n v="5"/>
    <s v="delivered"/>
    <d v="2018-05-01T00:00:00"/>
    <n v="11"/>
    <n v="0"/>
    <n v="1"/>
    <n v="90.570000000000007"/>
    <n v="45.907200000000003"/>
    <n v="11.304"/>
    <n v="14.518800000000001"/>
    <s v="8-14 days"/>
  </r>
  <r>
    <s v="b5b71c24785ca87b1f69e2b1d45e087f"/>
    <x v="0"/>
    <d v="2018-05-08T00:00:00"/>
    <d v="2018-05-11T00:00:00"/>
    <d v="2018-05-21T00:00:00"/>
    <s v="bed_bath_table"/>
    <n v="59.2"/>
    <n v="16.95"/>
    <s v="credit_card"/>
    <n v="5"/>
    <s v="delivered"/>
    <d v="2018-05-01T00:00:00"/>
    <n v="3"/>
    <n v="0"/>
    <n v="1"/>
    <n v="76.150000000000006"/>
    <n v="36.704000000000001"/>
    <n v="10.17"/>
    <n v="12.326000000000002"/>
    <s v="0-7 days"/>
  </r>
  <r>
    <s v="ad8cc85c53559e80bc5e3e2fcebc1bd7"/>
    <x v="5"/>
    <d v="2018-05-08T00:00:00"/>
    <d v="2018-05-20T00:00:00"/>
    <d v="2018-05-31T00:00:00"/>
    <s v="sports_leisure"/>
    <n v="46.34"/>
    <n v="17.03"/>
    <s v="credit_card"/>
    <n v="4"/>
    <s v="delivered"/>
    <d v="2018-05-01T00:00:00"/>
    <n v="12"/>
    <n v="0"/>
    <n v="1"/>
    <n v="63.370000000000005"/>
    <n v="29.657600000000002"/>
    <n v="10.218"/>
    <n v="6.4644000000000013"/>
    <s v="8-14 days"/>
  </r>
  <r>
    <s v="e1a29ffab7ed70cff111be9e8545b11f"/>
    <x v="10"/>
    <d v="2018-05-08T00:00:00"/>
    <d v="2018-06-03T00:00:00"/>
    <d v="2018-06-07T00:00:00"/>
    <s v="sports_leisure"/>
    <n v="99.32"/>
    <n v="47.09"/>
    <s v="boleto"/>
    <n v="4"/>
    <s v="delivered"/>
    <d v="2018-05-01T00:00:00"/>
    <n v="26"/>
    <n v="0"/>
    <n v="1"/>
    <n v="146.41"/>
    <n v="63.564799999999998"/>
    <n v="28.254000000000001"/>
    <n v="7.5011999999999937"/>
    <s v="22+ days"/>
  </r>
  <r>
    <s v="51e117993f39562d6b06e92fb62a7941"/>
    <x v="3"/>
    <d v="2018-05-08T00:00:00"/>
    <d v="2018-05-19T00:00:00"/>
    <d v="2018-06-03T00:00:00"/>
    <s v="bed_bath_table"/>
    <n v="38.03"/>
    <n v="29.32"/>
    <s v="boleto"/>
    <n v="5"/>
    <s v="delivered"/>
    <d v="2018-05-01T00:00:00"/>
    <n v="11"/>
    <n v="0"/>
    <n v="1"/>
    <n v="67.349999999999994"/>
    <n v="23.578600000000002"/>
    <n v="17.591999999999999"/>
    <n v="-3.1405999999999992"/>
    <s v="8-14 days"/>
  </r>
  <r>
    <s v="69d1b0370385c534b23bbe88d478f5dc"/>
    <x v="0"/>
    <d v="2018-05-08T00:00:00"/>
    <d v="2018-05-21T00:00:00"/>
    <d v="2018-05-24T00:00:00"/>
    <s v="auto"/>
    <n v="121.77"/>
    <n v="20.47"/>
    <s v="credit_card"/>
    <n v="5"/>
    <s v="delivered"/>
    <d v="2018-05-01T00:00:00"/>
    <n v="13"/>
    <n v="0"/>
    <n v="1"/>
    <n v="142.24"/>
    <n v="82.803600000000003"/>
    <n v="12.281999999999998"/>
    <n v="26.684399999999997"/>
    <s v="8-14 days"/>
  </r>
  <r>
    <s v="57b525e0e222af50a131b2983292d4d1"/>
    <x v="7"/>
    <d v="2018-05-08T00:00:00"/>
    <d v="2018-05-29T00:00:00"/>
    <d v="2018-05-29T00:00:00"/>
    <s v="health_beauty"/>
    <n v="142.69999999999999"/>
    <n v="26.89"/>
    <s v="boleto"/>
    <n v="3"/>
    <s v="delivered"/>
    <d v="2018-05-01T00:00:00"/>
    <n v="21"/>
    <n v="0"/>
    <n v="1"/>
    <n v="169.58999999999997"/>
    <n v="82.765999999999991"/>
    <n v="16.134"/>
    <n v="43.8"/>
    <s v="15-21 days"/>
  </r>
  <r>
    <s v="ef36feb1bb8f7b2bd91b1cb635eabd3e"/>
    <x v="3"/>
    <d v="2018-05-09T00:00:00"/>
    <d v="2018-05-23T00:00:00"/>
    <d v="2018-05-30T00:00:00"/>
    <s v="sports_leisure"/>
    <n v="163.59"/>
    <n v="30.14"/>
    <s v="boleto"/>
    <n v="4"/>
    <s v="delivered"/>
    <d v="2018-05-01T00:00:00"/>
    <n v="14"/>
    <n v="0"/>
    <n v="1"/>
    <n v="193.73000000000002"/>
    <n v="104.69760000000001"/>
    <n v="18.084"/>
    <n v="40.808399999999992"/>
    <s v="8-14 days"/>
  </r>
  <r>
    <s v="9df2055436ba48926c905f13ba7e6b51"/>
    <x v="3"/>
    <d v="2018-05-09T00:00:00"/>
    <d v="2018-05-29T00:00:00"/>
    <d v="2018-06-01T00:00:00"/>
    <s v="bed_bath_table"/>
    <n v="53.48"/>
    <n v="25.62"/>
    <s v="credit_card"/>
    <n v="4"/>
    <s v="delivered"/>
    <d v="2018-05-01T00:00:00"/>
    <n v="20"/>
    <n v="0"/>
    <n v="1"/>
    <n v="79.099999999999994"/>
    <n v="33.157599999999995"/>
    <n v="15.372"/>
    <n v="4.9504000000000019"/>
    <s v="15-21 days"/>
  </r>
  <r>
    <s v="81140235f5b4aee10836a865fee33607"/>
    <x v="4"/>
    <d v="2018-05-09T00:00:00"/>
    <d v="2018-06-11T00:00:00"/>
    <d v="2018-05-31T00:00:00"/>
    <s v="furniture_decor"/>
    <n v="197.57"/>
    <n v="25.87"/>
    <s v="boleto"/>
    <n v="3"/>
    <s v="delivered"/>
    <d v="2018-05-01T00:00:00"/>
    <n v="33"/>
    <n v="11"/>
    <n v="0"/>
    <n v="223.44"/>
    <n v="138.29899999999998"/>
    <n v="15.522"/>
    <n v="43.749000000000017"/>
    <s v="22+ days"/>
  </r>
  <r>
    <s v="c1e464fb180c2ae3783b0d47fc46d1b7"/>
    <x v="8"/>
    <d v="2018-05-09T00:00:00"/>
    <d v="2018-05-19T00:00:00"/>
    <d v="2018-06-01T00:00:00"/>
    <s v="watches_gifts"/>
    <n v="149.55000000000001"/>
    <n v="27.43"/>
    <s v="credit_card"/>
    <n v="5"/>
    <s v="delivered"/>
    <d v="2018-05-01T00:00:00"/>
    <n v="10"/>
    <n v="0"/>
    <n v="1"/>
    <n v="176.98000000000002"/>
    <n v="98.703000000000017"/>
    <n v="16.457999999999998"/>
    <n v="34.388999999999996"/>
    <s v="8-14 days"/>
  </r>
  <r>
    <s v="d1d0cc642f3157fa75ca15dcc08c62fc"/>
    <x v="1"/>
    <d v="2018-05-09T00:00:00"/>
    <d v="2018-06-03T00:00:00"/>
    <d v="2018-05-30T00:00:00"/>
    <s v="sports_leisure"/>
    <n v="97.33"/>
    <n v="25.9"/>
    <s v="credit_card"/>
    <n v="3"/>
    <s v="delivered"/>
    <d v="2018-05-01T00:00:00"/>
    <n v="25"/>
    <n v="4"/>
    <n v="0"/>
    <n v="123.22999999999999"/>
    <n v="62.291200000000003"/>
    <n v="15.54"/>
    <n v="19.498799999999996"/>
    <s v="22+ days"/>
  </r>
  <r>
    <s v="b7062cfa29cc07893ff93134650e78e4"/>
    <x v="3"/>
    <d v="2018-05-10T00:00:00"/>
    <d v="2018-05-19T00:00:00"/>
    <d v="2018-06-03T00:00:00"/>
    <s v="bed_bath_table"/>
    <n v="55.37"/>
    <n v="24.05"/>
    <s v="credit_card"/>
    <n v="5"/>
    <s v="delivered"/>
    <d v="2018-05-01T00:00:00"/>
    <n v="9"/>
    <n v="0"/>
    <n v="1"/>
    <n v="79.42"/>
    <n v="34.3294"/>
    <n v="14.43"/>
    <n v="6.610599999999998"/>
    <s v="8-14 days"/>
  </r>
  <r>
    <s v="9190c53fb2d2570a2ef634f2a8b97820"/>
    <x v="2"/>
    <d v="2018-05-10T00:00:00"/>
    <d v="2018-05-20T00:00:00"/>
    <d v="2018-06-05T00:00:00"/>
    <s v="health_beauty"/>
    <n v="108.95"/>
    <n v="23.5"/>
    <s v="credit_card"/>
    <n v="4"/>
    <s v="delivered"/>
    <d v="2018-05-01T00:00:00"/>
    <n v="10"/>
    <n v="0"/>
    <n v="1"/>
    <n v="132.44999999999999"/>
    <n v="63.190999999999995"/>
    <n v="14.1"/>
    <n v="31.659000000000006"/>
    <s v="8-14 days"/>
  </r>
  <r>
    <s v="4dd7cb5cb5a78756ef4055ddd98d213c"/>
    <x v="0"/>
    <d v="2018-05-10T00:00:00"/>
    <d v="2018-05-19T00:00:00"/>
    <d v="2018-05-27T00:00:00"/>
    <s v="bed_bath_table"/>
    <n v="129.96"/>
    <n v="21.55"/>
    <s v="credit_card"/>
    <n v="4"/>
    <s v="delivered"/>
    <d v="2018-05-01T00:00:00"/>
    <n v="9"/>
    <n v="0"/>
    <n v="1"/>
    <n v="151.51000000000002"/>
    <n v="80.575200000000009"/>
    <n v="12.93"/>
    <n v="36.454799999999999"/>
    <s v="8-14 days"/>
  </r>
  <r>
    <s v="0d8f808d9c0e6192f88c266401bc075c"/>
    <x v="0"/>
    <d v="2018-05-10T00:00:00"/>
    <d v="2018-05-16T00:00:00"/>
    <d v="2018-05-29T00:00:00"/>
    <s v="bed_bath_table"/>
    <n v="82.87"/>
    <n v="15.46"/>
    <s v="credit_card"/>
    <n v="3"/>
    <s v="delivered"/>
    <d v="2018-05-01T00:00:00"/>
    <n v="6"/>
    <n v="0"/>
    <n v="1"/>
    <n v="98.330000000000013"/>
    <n v="51.379400000000004"/>
    <n v="9.2759999999999998"/>
    <n v="22.214600000000001"/>
    <s v="0-7 days"/>
  </r>
  <r>
    <s v="34a9c479c9e6dec2b80504fdc7e72b71"/>
    <x v="6"/>
    <d v="2018-05-10T00:00:00"/>
    <d v="2018-06-19T00:00:00"/>
    <d v="2018-06-10T00:00:00"/>
    <s v="sports_leisure"/>
    <n v="99.08"/>
    <n v="22.45"/>
    <s v="credit_card"/>
    <n v="3"/>
    <s v="delivered"/>
    <d v="2018-05-01T00:00:00"/>
    <n v="40"/>
    <n v="9"/>
    <n v="0"/>
    <n v="121.53"/>
    <n v="63.411200000000001"/>
    <n v="13.469999999999999"/>
    <n v="22.198799999999999"/>
    <s v="22+ days"/>
  </r>
  <r>
    <s v="6f62752490ac70630476444d0658a5a8"/>
    <x v="0"/>
    <d v="2018-05-11T00:00:00"/>
    <d v="2018-05-23T00:00:00"/>
    <d v="2018-05-25T00:00:00"/>
    <s v="health_beauty"/>
    <n v="114.92"/>
    <n v="20.190000000000001"/>
    <s v="credit_card"/>
    <n v="4"/>
    <s v="delivered"/>
    <d v="2018-05-01T00:00:00"/>
    <n v="12"/>
    <n v="0"/>
    <n v="1"/>
    <n v="135.11000000000001"/>
    <n v="66.653599999999997"/>
    <n v="12.114000000000001"/>
    <n v="36.1524"/>
    <s v="8-14 days"/>
  </r>
  <r>
    <s v="4c59c04d37590e762ebf3f1f3fe8e098"/>
    <x v="3"/>
    <d v="2018-05-11T00:00:00"/>
    <d v="2018-05-26T00:00:00"/>
    <d v="2018-06-07T00:00:00"/>
    <s v="toys"/>
    <n v="59.91"/>
    <n v="22.08"/>
    <s v="credit_card"/>
    <n v="4"/>
    <s v="delivered"/>
    <d v="2018-05-01T00:00:00"/>
    <n v="15"/>
    <n v="0"/>
    <n v="1"/>
    <n v="81.99"/>
    <n v="35.945999999999998"/>
    <n v="13.247999999999999"/>
    <n v="10.715999999999999"/>
    <s v="15-21 days"/>
  </r>
  <r>
    <s v="246354342fbebc777e2de03493e8b90d"/>
    <x v="0"/>
    <d v="2018-05-11T00:00:00"/>
    <d v="2018-05-19T00:00:00"/>
    <d v="2018-05-28T00:00:00"/>
    <s v="health_beauty"/>
    <n v="75.55"/>
    <n v="12.07"/>
    <s v="credit_card"/>
    <n v="5"/>
    <s v="delivered"/>
    <d v="2018-05-01T00:00:00"/>
    <n v="8"/>
    <n v="0"/>
    <n v="1"/>
    <n v="87.62"/>
    <n v="43.818999999999996"/>
    <n v="7.242"/>
    <n v="24.489000000000001"/>
    <s v="8-14 days"/>
  </r>
  <r>
    <s v="5806a961b9d707a9e74ed0b3bdce635f"/>
    <x v="1"/>
    <d v="2018-05-12T00:00:00"/>
    <d v="2018-05-28T00:00:00"/>
    <d v="2018-06-04T00:00:00"/>
    <s v="sports_leisure"/>
    <n v="105.88"/>
    <n v="19.059999999999999"/>
    <s v="credit_card"/>
    <n v="5"/>
    <s v="delivered"/>
    <d v="2018-05-01T00:00:00"/>
    <n v="16"/>
    <n v="0"/>
    <n v="1"/>
    <n v="124.94"/>
    <n v="67.763199999999998"/>
    <n v="11.435999999999998"/>
    <n v="26.680799999999998"/>
    <s v="15-21 days"/>
  </r>
  <r>
    <s v="1ecf8aec9a11ddf4be1a35c9a12ac11c"/>
    <x v="0"/>
    <d v="2018-05-12T00:00:00"/>
    <d v="2018-05-24T00:00:00"/>
    <d v="2018-05-26T00:00:00"/>
    <s v="health_beauty"/>
    <n v="88.87"/>
    <n v="13.39"/>
    <s v="credit_card"/>
    <n v="4"/>
    <s v="delivered"/>
    <d v="2018-05-01T00:00:00"/>
    <n v="12"/>
    <n v="0"/>
    <n v="1"/>
    <n v="102.26"/>
    <n v="51.544600000000003"/>
    <n v="8.0340000000000007"/>
    <n v="29.291400000000003"/>
    <s v="8-14 days"/>
  </r>
  <r>
    <s v="85b69e95cc009f08206faddb1a31c87e"/>
    <x v="3"/>
    <d v="2018-05-12T00:00:00"/>
    <d v="2018-05-29T00:00:00"/>
    <d v="2018-06-05T00:00:00"/>
    <s v="watches_gifts"/>
    <n v="184.73"/>
    <n v="22.26"/>
    <s v="credit_card"/>
    <n v="5"/>
    <s v="delivered"/>
    <d v="2018-05-01T00:00:00"/>
    <n v="17"/>
    <n v="0"/>
    <n v="1"/>
    <n v="206.98999999999998"/>
    <n v="121.9218"/>
    <n v="13.356"/>
    <n v="49.452199999999984"/>
    <s v="15-21 days"/>
  </r>
  <r>
    <s v="614996d101db80b404221bf274faebdd"/>
    <x v="9"/>
    <d v="2018-05-12T00:00:00"/>
    <d v="2018-05-31T00:00:00"/>
    <d v="2018-06-08T00:00:00"/>
    <s v="housewares"/>
    <n v="67.88"/>
    <n v="19.260000000000002"/>
    <s v="boleto"/>
    <n v="5"/>
    <s v="delivered"/>
    <d v="2018-05-01T00:00:00"/>
    <n v="19"/>
    <n v="0"/>
    <n v="1"/>
    <n v="87.14"/>
    <n v="42.764399999999995"/>
    <n v="11.556000000000001"/>
    <n v="13.5596"/>
    <s v="15-21 days"/>
  </r>
  <r>
    <s v="a2a5ef39c163df1bdf32f343a562f0a0"/>
    <x v="0"/>
    <d v="2018-05-12T00:00:00"/>
    <d v="2018-05-19T00:00:00"/>
    <d v="2018-05-30T00:00:00"/>
    <s v="bed_bath_table"/>
    <n v="123.64"/>
    <n v="22.3"/>
    <s v="credit_card"/>
    <n v="4"/>
    <s v="delivered"/>
    <d v="2018-05-01T00:00:00"/>
    <n v="7"/>
    <n v="0"/>
    <n v="1"/>
    <n v="145.94"/>
    <n v="76.656800000000004"/>
    <n v="13.38"/>
    <n v="33.603199999999994"/>
    <s v="0-7 days"/>
  </r>
  <r>
    <s v="d8bb1c4ef3e6270444087b439eead5de"/>
    <x v="0"/>
    <d v="2018-05-12T00:00:00"/>
    <d v="2018-05-21T00:00:00"/>
    <d v="2018-05-25T00:00:00"/>
    <s v="auto"/>
    <n v="92.5"/>
    <n v="12.52"/>
    <s v="credit_card"/>
    <n v="5"/>
    <s v="delivered"/>
    <d v="2018-05-01T00:00:00"/>
    <n v="9"/>
    <n v="0"/>
    <n v="1"/>
    <n v="105.02"/>
    <n v="62.900000000000006"/>
    <n v="7.5119999999999996"/>
    <n v="22.087999999999994"/>
    <s v="8-14 days"/>
  </r>
  <r>
    <s v="fd508f47652a176af31923cb15eb89a8"/>
    <x v="0"/>
    <d v="2018-05-13T00:00:00"/>
    <d v="2018-05-19T00:00:00"/>
    <d v="2018-05-26T00:00:00"/>
    <s v="furniture_decor"/>
    <n v="125.64"/>
    <n v="19.77"/>
    <s v="boleto"/>
    <n v="5"/>
    <s v="delivered"/>
    <d v="2018-05-01T00:00:00"/>
    <n v="6"/>
    <n v="0"/>
    <n v="1"/>
    <n v="145.41"/>
    <n v="87.947999999999993"/>
    <n v="11.862"/>
    <n v="25.830000000000005"/>
    <s v="0-7 days"/>
  </r>
  <r>
    <s v="517eaaa6406eb2c68e0b38abc5c68438"/>
    <x v="11"/>
    <d v="2018-05-13T00:00:00"/>
    <d v="2018-06-08T00:00:00"/>
    <d v="2018-06-13T00:00:00"/>
    <s v="computers_accessories"/>
    <n v="94.78"/>
    <n v="30.64"/>
    <s v="credit_card"/>
    <n v="4"/>
    <s v="delivered"/>
    <d v="2018-05-01T00:00:00"/>
    <n v="26"/>
    <n v="0"/>
    <n v="1"/>
    <n v="125.42"/>
    <n v="70.137200000000007"/>
    <n v="18.384"/>
    <n v="6.2587999999999937"/>
    <s v="22+ days"/>
  </r>
  <r>
    <s v="1a2a73ed562b0f79c37459eef50bea63"/>
    <x v="2"/>
    <d v="2018-05-14T00:00:00"/>
    <d v="2018-05-24T00:00:00"/>
    <d v="2018-06-08T00:00:00"/>
    <s v="housewares"/>
    <n v="107.63"/>
    <n v="19.95"/>
    <s v="credit_card"/>
    <n v="4"/>
    <s v="delivered"/>
    <d v="2018-05-01T00:00:00"/>
    <n v="10"/>
    <n v="0"/>
    <n v="1"/>
    <n v="127.58"/>
    <n v="67.806899999999999"/>
    <n v="11.969999999999999"/>
    <n v="27.853099999999998"/>
    <s v="8-14 days"/>
  </r>
  <r>
    <s v="44656d6b81fb18b3c9a7d91fef2ae713"/>
    <x v="0"/>
    <d v="2018-05-14T00:00:00"/>
    <d v="2018-05-20T00:00:00"/>
    <d v="2018-05-26T00:00:00"/>
    <s v="furniture_decor"/>
    <n v="36.4"/>
    <n v="15.58"/>
    <s v="boleto"/>
    <n v="5"/>
    <s v="delivered"/>
    <d v="2018-05-01T00:00:00"/>
    <n v="6"/>
    <n v="0"/>
    <n v="1"/>
    <n v="51.98"/>
    <n v="25.479999999999997"/>
    <n v="9.347999999999999"/>
    <n v="1.5720000000000027"/>
    <s v="0-7 days"/>
  </r>
  <r>
    <s v="5ca260c9eb7607c9b08a4895d4ffa666"/>
    <x v="0"/>
    <d v="2018-05-14T00:00:00"/>
    <d v="2018-05-28T00:00:00"/>
    <d v="2018-05-27T00:00:00"/>
    <s v="sports_leisure"/>
    <n v="39.17"/>
    <n v="17.77"/>
    <s v="credit_card"/>
    <n v="3"/>
    <s v="delivered"/>
    <d v="2018-05-01T00:00:00"/>
    <n v="14"/>
    <n v="1"/>
    <n v="0"/>
    <n v="56.94"/>
    <n v="25.068800000000003"/>
    <n v="10.661999999999999"/>
    <n v="3.4391999999999996"/>
    <s v="8-14 days"/>
  </r>
  <r>
    <s v="231d260bb362cd559b0ada0b9f6facc1"/>
    <x v="0"/>
    <d v="2018-05-14T00:00:00"/>
    <d v="2018-05-22T00:00:00"/>
    <d v="2018-05-29T00:00:00"/>
    <s v="health_beauty"/>
    <n v="74.959999999999994"/>
    <n v="17.46"/>
    <s v="credit_card"/>
    <n v="5"/>
    <s v="delivered"/>
    <d v="2018-05-01T00:00:00"/>
    <n v="8"/>
    <n v="0"/>
    <n v="1"/>
    <n v="92.419999999999987"/>
    <n v="43.47679999999999"/>
    <n v="10.476000000000001"/>
    <n v="21.007200000000005"/>
    <s v="8-14 days"/>
  </r>
  <r>
    <s v="03c50ab302a48d6e5a9efefcf07c0e77"/>
    <x v="8"/>
    <d v="2018-05-14T00:00:00"/>
    <d v="2018-05-23T00:00:00"/>
    <d v="2018-06-08T00:00:00"/>
    <s v="sports_leisure"/>
    <n v="86.8"/>
    <n v="24.16"/>
    <s v="credit_card"/>
    <n v="5"/>
    <s v="delivered"/>
    <d v="2018-05-01T00:00:00"/>
    <n v="9"/>
    <n v="0"/>
    <n v="1"/>
    <n v="110.96"/>
    <n v="55.552"/>
    <n v="14.495999999999999"/>
    <n v="16.751999999999999"/>
    <s v="8-14 days"/>
  </r>
  <r>
    <s v="9c01a3459b751b4f0a6ac9304bc65ea5"/>
    <x v="9"/>
    <d v="2018-05-14T00:00:00"/>
    <d v="2018-05-31T00:00:00"/>
    <d v="2018-06-05T00:00:00"/>
    <s v="furniture_decor"/>
    <n v="168.13"/>
    <n v="26.79"/>
    <s v="credit_card"/>
    <n v="5"/>
    <s v="delivered"/>
    <d v="2018-05-01T00:00:00"/>
    <n v="17"/>
    <n v="0"/>
    <n v="1"/>
    <n v="194.92"/>
    <n v="117.69099999999999"/>
    <n v="16.073999999999998"/>
    <n v="34.365000000000009"/>
    <s v="15-21 days"/>
  </r>
  <r>
    <s v="7982b4a42163e6976f643c79d840efbd"/>
    <x v="0"/>
    <d v="2018-05-14T00:00:00"/>
    <d v="2018-05-23T00:00:00"/>
    <d v="2018-06-01T00:00:00"/>
    <s v="housewares"/>
    <n v="68.42"/>
    <n v="22.04"/>
    <s v="credit_card"/>
    <n v="3"/>
    <s v="delivered"/>
    <d v="2018-05-01T00:00:00"/>
    <n v="9"/>
    <n v="0"/>
    <n v="1"/>
    <n v="90.460000000000008"/>
    <n v="43.104600000000005"/>
    <n v="13.223999999999998"/>
    <n v="12.091399999999998"/>
    <s v="8-14 days"/>
  </r>
  <r>
    <s v="dd0d27ddac56ade449515159cc66c8a1"/>
    <x v="0"/>
    <d v="2018-05-14T00:00:00"/>
    <d v="2018-05-22T00:00:00"/>
    <d v="2018-05-27T00:00:00"/>
    <s v="watches_gifts"/>
    <n v="175.44"/>
    <n v="22.96"/>
    <s v="credit_card"/>
    <n v="5"/>
    <s v="delivered"/>
    <d v="2018-05-01T00:00:00"/>
    <n v="8"/>
    <n v="0"/>
    <n v="1"/>
    <n v="198.4"/>
    <n v="115.79040000000001"/>
    <n v="13.776"/>
    <n v="45.873599999999996"/>
    <s v="8-14 days"/>
  </r>
  <r>
    <s v="10df997455ab946da5b5cdc2a181c85e"/>
    <x v="0"/>
    <d v="2018-05-15T00:00:00"/>
    <d v="2018-05-23T00:00:00"/>
    <d v="2018-05-27T00:00:00"/>
    <s v="sports_leisure"/>
    <n v="201.64"/>
    <n v="15.08"/>
    <s v="credit_card"/>
    <n v="5"/>
    <s v="delivered"/>
    <d v="2018-05-01T00:00:00"/>
    <n v="8"/>
    <n v="0"/>
    <n v="1"/>
    <n v="216.72"/>
    <n v="129.0496"/>
    <n v="9.048"/>
    <n v="63.542399999999986"/>
    <s v="8-14 days"/>
  </r>
  <r>
    <s v="5dad348e57d52b789cf3137ef562037b"/>
    <x v="10"/>
    <d v="2018-05-15T00:00:00"/>
    <d v="2018-06-09T00:00:00"/>
    <d v="2018-06-18T00:00:00"/>
    <s v="toys"/>
    <n v="62.76"/>
    <n v="30.58"/>
    <s v="credit_card"/>
    <n v="4"/>
    <s v="delivered"/>
    <d v="2018-05-01T00:00:00"/>
    <n v="25"/>
    <n v="0"/>
    <n v="1"/>
    <n v="93.34"/>
    <n v="37.655999999999999"/>
    <n v="18.347999999999999"/>
    <n v="6.7560000000000002"/>
    <s v="22+ days"/>
  </r>
  <r>
    <s v="eb3cc270e188d3d7a573dc3049b49625"/>
    <x v="0"/>
    <d v="2018-05-15T00:00:00"/>
    <d v="2018-05-21T00:00:00"/>
    <d v="2018-05-26T00:00:00"/>
    <s v="toys"/>
    <n v="74.55"/>
    <n v="19.73"/>
    <s v="credit_card"/>
    <n v="4"/>
    <s v="delivered"/>
    <d v="2018-05-01T00:00:00"/>
    <n v="6"/>
    <n v="0"/>
    <n v="1"/>
    <n v="94.28"/>
    <n v="44.73"/>
    <n v="11.837999999999999"/>
    <n v="17.981999999999999"/>
    <s v="0-7 days"/>
  </r>
  <r>
    <s v="dc07605e57628c8427180985f2d6c18c"/>
    <x v="0"/>
    <d v="2018-05-15T00:00:00"/>
    <d v="2018-05-24T00:00:00"/>
    <d v="2018-06-03T00:00:00"/>
    <s v="health_beauty"/>
    <n v="54.57"/>
    <n v="17.559999999999999"/>
    <s v="voucher"/>
    <n v="4"/>
    <s v="delivered"/>
    <d v="2018-05-01T00:00:00"/>
    <n v="9"/>
    <n v="0"/>
    <n v="1"/>
    <n v="72.13"/>
    <n v="31.650599999999997"/>
    <n v="10.536"/>
    <n v="12.383400000000004"/>
    <s v="8-14 days"/>
  </r>
  <r>
    <s v="f561f4c33fa58bda02abe229146f1928"/>
    <x v="2"/>
    <d v="2018-05-15T00:00:00"/>
    <d v="2018-06-05T00:00:00"/>
    <d v="2018-06-10T00:00:00"/>
    <s v="housewares"/>
    <n v="34.94"/>
    <n v="28.22"/>
    <s v="boleto"/>
    <n v="5"/>
    <s v="delivered"/>
    <d v="2018-05-01T00:00:00"/>
    <n v="21"/>
    <n v="0"/>
    <n v="1"/>
    <n v="63.16"/>
    <n v="22.0122"/>
    <n v="16.931999999999999"/>
    <n v="-4.0042000000000009"/>
    <s v="15-21 days"/>
  </r>
  <r>
    <s v="097703b3ef29d493fd7fbd90d0dd1259"/>
    <x v="3"/>
    <d v="2018-05-15T00:00:00"/>
    <d v="2018-05-27T00:00:00"/>
    <d v="2018-06-10T00:00:00"/>
    <s v="sports_leisure"/>
    <n v="214.24"/>
    <n v="30.88"/>
    <s v="credit_card"/>
    <n v="4"/>
    <s v="delivered"/>
    <d v="2018-05-01T00:00:00"/>
    <n v="12"/>
    <n v="0"/>
    <n v="1"/>
    <n v="245.12"/>
    <n v="137.11360000000002"/>
    <n v="18.527999999999999"/>
    <n v="58.598399999999991"/>
    <s v="8-14 days"/>
  </r>
  <r>
    <s v="2443cd7942052edf7cb358090a662d29"/>
    <x v="8"/>
    <d v="2018-05-15T00:00:00"/>
    <d v="2018-05-26T00:00:00"/>
    <d v="2018-06-06T00:00:00"/>
    <s v="computers_accessories"/>
    <n v="157.19999999999999"/>
    <n v="26.25"/>
    <s v="credit_card"/>
    <n v="4"/>
    <s v="delivered"/>
    <d v="2018-05-01T00:00:00"/>
    <n v="11"/>
    <n v="0"/>
    <n v="1"/>
    <n v="183.45"/>
    <n v="116.32799999999999"/>
    <n v="15.75"/>
    <n v="25.122"/>
    <s v="8-14 days"/>
  </r>
  <r>
    <s v="101d759e3066478c4aa0d842057fdd20"/>
    <x v="0"/>
    <d v="2018-05-16T00:00:00"/>
    <d v="2018-05-22T00:00:00"/>
    <d v="2018-06-01T00:00:00"/>
    <s v="sports_leisure"/>
    <n v="86.27"/>
    <n v="19.97"/>
    <s v="credit_card"/>
    <n v="5"/>
    <s v="delivered"/>
    <d v="2018-05-01T00:00:00"/>
    <n v="6"/>
    <n v="0"/>
    <n v="1"/>
    <n v="106.24"/>
    <n v="55.212800000000001"/>
    <n v="11.981999999999999"/>
    <n v="19.075199999999995"/>
    <s v="0-7 days"/>
  </r>
  <r>
    <s v="f36c1c45a942b4d7bd2dfffffe85544c"/>
    <x v="3"/>
    <d v="2018-05-16T00:00:00"/>
    <d v="2018-05-31T00:00:00"/>
    <d v="2018-06-08T00:00:00"/>
    <s v="bed_bath_table"/>
    <n v="58.24"/>
    <n v="20.94"/>
    <s v="boleto"/>
    <n v="3"/>
    <s v="delivered"/>
    <d v="2018-05-01T00:00:00"/>
    <n v="15"/>
    <n v="0"/>
    <n v="1"/>
    <n v="79.180000000000007"/>
    <n v="36.108800000000002"/>
    <n v="12.564"/>
    <n v="9.5671999999999997"/>
    <s v="15-21 days"/>
  </r>
  <r>
    <s v="0af20a23e3c60f792a0e0060ae2a9c01"/>
    <x v="8"/>
    <d v="2018-05-16T00:00:00"/>
    <d v="2018-06-02T00:00:00"/>
    <d v="2018-06-09T00:00:00"/>
    <s v="health_beauty"/>
    <n v="115.03"/>
    <n v="24.93"/>
    <s v="credit_card"/>
    <n v="4"/>
    <s v="delivered"/>
    <d v="2018-05-01T00:00:00"/>
    <n v="17"/>
    <n v="0"/>
    <n v="1"/>
    <n v="139.96"/>
    <n v="66.717399999999998"/>
    <n v="14.957999999999998"/>
    <n v="33.354600000000005"/>
    <s v="15-21 days"/>
  </r>
  <r>
    <s v="0ab0b4ba412bbecbc9e5943b29c896f8"/>
    <x v="3"/>
    <d v="2018-05-16T00:00:00"/>
    <d v="2018-06-04T00:00:00"/>
    <d v="2018-06-07T00:00:00"/>
    <s v="health_beauty"/>
    <n v="43.09"/>
    <n v="20.149999999999999"/>
    <s v="boleto"/>
    <n v="3"/>
    <s v="delivered"/>
    <d v="2018-05-01T00:00:00"/>
    <n v="19"/>
    <n v="0"/>
    <n v="1"/>
    <n v="63.24"/>
    <n v="24.9922"/>
    <n v="12.089999999999998"/>
    <n v="6.0078000000000049"/>
    <s v="15-21 days"/>
  </r>
  <r>
    <s v="e8273dee9d7e4eb723fd6adec17fcf19"/>
    <x v="3"/>
    <d v="2018-05-17T00:00:00"/>
    <d v="2018-05-31T00:00:00"/>
    <d v="2018-06-09T00:00:00"/>
    <s v="bed_bath_table"/>
    <n v="250.69"/>
    <n v="25.9"/>
    <s v="credit_card"/>
    <n v="5"/>
    <s v="delivered"/>
    <d v="2018-05-01T00:00:00"/>
    <n v="14"/>
    <n v="0"/>
    <n v="1"/>
    <n v="276.58999999999997"/>
    <n v="155.42779999999999"/>
    <n v="15.54"/>
    <n v="79.722200000000015"/>
    <s v="8-14 days"/>
  </r>
  <r>
    <s v="0ffed18429c491dd33dfeff60ef6da2a"/>
    <x v="0"/>
    <d v="2018-05-17T00:00:00"/>
    <d v="2018-05-23T00:00:00"/>
    <d v="2018-06-01T00:00:00"/>
    <s v="watches_gifts"/>
    <n v="194.52"/>
    <n v="14.95"/>
    <s v="debit_card"/>
    <n v="5"/>
    <s v="delivered"/>
    <d v="2018-05-01T00:00:00"/>
    <n v="6"/>
    <n v="0"/>
    <n v="1"/>
    <n v="209.47"/>
    <n v="128.38320000000002"/>
    <n v="8.9699999999999989"/>
    <n v="57.166799999999995"/>
    <s v="0-7 days"/>
  </r>
  <r>
    <s v="30890e765ffb04563516d066894b984f"/>
    <x v="0"/>
    <d v="2018-05-17T00:00:00"/>
    <d v="2018-05-23T00:00:00"/>
    <d v="2018-05-30T00:00:00"/>
    <s v="bed_bath_table"/>
    <n v="61.93"/>
    <n v="21.92"/>
    <s v="credit_card"/>
    <n v="5"/>
    <s v="delivered"/>
    <d v="2018-05-01T00:00:00"/>
    <n v="6"/>
    <n v="0"/>
    <n v="1"/>
    <n v="83.85"/>
    <n v="38.396599999999999"/>
    <n v="13.152000000000001"/>
    <n v="10.381399999999999"/>
    <s v="0-7 days"/>
  </r>
  <r>
    <s v="5f26946654d1332ae3082ddcc9c04b7d"/>
    <x v="2"/>
    <d v="2018-05-18T00:00:00"/>
    <d v="2018-06-06T00:00:00"/>
    <d v="2018-06-11T00:00:00"/>
    <s v="bed_bath_table"/>
    <n v="47.54"/>
    <n v="21.08"/>
    <s v="credit_card"/>
    <n v="4"/>
    <s v="delivered"/>
    <d v="2018-05-01T00:00:00"/>
    <n v="19"/>
    <n v="0"/>
    <n v="1"/>
    <n v="68.62"/>
    <n v="29.474799999999998"/>
    <n v="12.647999999999998"/>
    <n v="5.4172000000000029"/>
    <s v="15-21 days"/>
  </r>
  <r>
    <s v="89924e2d0400e249f8bb1616418860b9"/>
    <x v="0"/>
    <d v="2018-05-18T00:00:00"/>
    <d v="2018-05-25T00:00:00"/>
    <d v="2018-06-04T00:00:00"/>
    <s v="auto"/>
    <n v="59.98"/>
    <n v="14.64"/>
    <s v="credit_card"/>
    <n v="4"/>
    <s v="delivered"/>
    <d v="2018-05-01T00:00:00"/>
    <n v="7"/>
    <n v="0"/>
    <n v="1"/>
    <n v="74.62"/>
    <n v="40.7864"/>
    <n v="8.7840000000000007"/>
    <n v="10.409599999999996"/>
    <s v="0-7 days"/>
  </r>
  <r>
    <s v="84add36e67b3a154e67ae19a3c6736b0"/>
    <x v="3"/>
    <d v="2018-05-18T00:00:00"/>
    <d v="2018-06-06T00:00:00"/>
    <d v="2018-06-09T00:00:00"/>
    <s v="furniture_decor"/>
    <n v="125.55"/>
    <n v="31"/>
    <s v="boleto"/>
    <n v="2"/>
    <s v="delivered"/>
    <d v="2018-05-01T00:00:00"/>
    <n v="19"/>
    <n v="0"/>
    <n v="1"/>
    <n v="156.55000000000001"/>
    <n v="87.884999999999991"/>
    <n v="18.599999999999998"/>
    <n v="19.065000000000008"/>
    <s v="15-21 days"/>
  </r>
  <r>
    <s v="c8e8253169b7aabc06b0bb2f93e77ff9"/>
    <x v="5"/>
    <d v="2018-05-18T00:00:00"/>
    <d v="2018-06-10T00:00:00"/>
    <d v="2018-06-12T00:00:00"/>
    <s v="sports_leisure"/>
    <n v="49.6"/>
    <n v="20.190000000000001"/>
    <s v="credit_card"/>
    <n v="5"/>
    <s v="delivered"/>
    <d v="2018-05-01T00:00:00"/>
    <n v="23"/>
    <n v="0"/>
    <n v="1"/>
    <n v="69.790000000000006"/>
    <n v="31.744000000000003"/>
    <n v="12.114000000000001"/>
    <n v="5.7419999999999973"/>
    <s v="22+ days"/>
  </r>
  <r>
    <s v="7feb2b418fda8d85520a9f1a06470faf"/>
    <x v="3"/>
    <d v="2018-05-18T00:00:00"/>
    <d v="2018-06-01T00:00:00"/>
    <d v="2018-06-12T00:00:00"/>
    <s v="sports_leisure"/>
    <n v="77.099999999999994"/>
    <n v="26.64"/>
    <s v="credit_card"/>
    <n v="4"/>
    <s v="delivered"/>
    <d v="2018-05-01T00:00:00"/>
    <n v="14"/>
    <n v="0"/>
    <n v="1"/>
    <n v="103.74"/>
    <n v="49.343999999999994"/>
    <n v="15.984"/>
    <n v="11.772"/>
    <s v="8-14 days"/>
  </r>
  <r>
    <s v="6605de3c15c7bc834336ffe5663166a7"/>
    <x v="10"/>
    <d v="2018-05-19T00:00:00"/>
    <d v="2018-06-09T00:00:00"/>
    <d v="2018-06-20T00:00:00"/>
    <s v="bed_bath_table"/>
    <n v="33.81"/>
    <n v="24.92"/>
    <s v="credit_card"/>
    <n v="5"/>
    <s v="delivered"/>
    <d v="2018-05-01T00:00:00"/>
    <n v="21"/>
    <n v="0"/>
    <n v="1"/>
    <n v="58.730000000000004"/>
    <n v="20.962200000000003"/>
    <n v="14.952"/>
    <n v="-2.1042000000000005"/>
    <s v="15-21 days"/>
  </r>
  <r>
    <s v="c3d0bde3cfbba84a80b570137f29c9e7"/>
    <x v="0"/>
    <d v="2018-05-19T00:00:00"/>
    <d v="2018-05-24T00:00:00"/>
    <d v="2018-06-02T00:00:00"/>
    <s v="bed_bath_table"/>
    <n v="71.13"/>
    <n v="14.08"/>
    <s v="credit_card"/>
    <n v="4"/>
    <s v="delivered"/>
    <d v="2018-05-01T00:00:00"/>
    <n v="5"/>
    <n v="0"/>
    <n v="1"/>
    <n v="85.21"/>
    <n v="44.1006"/>
    <n v="8.4480000000000004"/>
    <n v="18.581399999999995"/>
    <s v="0-7 days"/>
  </r>
  <r>
    <s v="4cc6d67ecddb3f9e81300e684d45d885"/>
    <x v="5"/>
    <d v="2018-05-19T00:00:00"/>
    <d v="2018-05-29T00:00:00"/>
    <d v="2018-06-16T00:00:00"/>
    <s v="furniture_decor"/>
    <n v="27.35"/>
    <n v="25.98"/>
    <s v="credit_card"/>
    <n v="5"/>
    <s v="delivered"/>
    <d v="2018-05-01T00:00:00"/>
    <n v="10"/>
    <n v="0"/>
    <n v="1"/>
    <n v="53.33"/>
    <n v="19.145"/>
    <n v="15.587999999999999"/>
    <n v="-7.3829999999999973"/>
    <s v="8-14 days"/>
  </r>
  <r>
    <s v="031fdae1b8ab8e09c5da3dcc4dd70974"/>
    <x v="9"/>
    <d v="2018-05-19T00:00:00"/>
    <d v="2018-06-09T00:00:00"/>
    <d v="2018-06-15T00:00:00"/>
    <s v="housewares"/>
    <n v="43.58"/>
    <n v="20.45"/>
    <s v="credit_card"/>
    <n v="3"/>
    <s v="delivered"/>
    <d v="2018-05-01T00:00:00"/>
    <n v="21"/>
    <n v="0"/>
    <n v="1"/>
    <n v="64.03"/>
    <n v="27.455399999999997"/>
    <n v="12.27"/>
    <n v="3.8546000000000014"/>
    <s v="15-21 days"/>
  </r>
  <r>
    <s v="df2182e23056786c45a275bc8fdd7514"/>
    <x v="0"/>
    <d v="2018-05-19T00:00:00"/>
    <d v="2018-05-25T00:00:00"/>
    <d v="2018-06-05T00:00:00"/>
    <s v="toys"/>
    <n v="21.49"/>
    <n v="17.53"/>
    <s v="boleto"/>
    <n v="3"/>
    <s v="delivered"/>
    <d v="2018-05-01T00:00:00"/>
    <n v="6"/>
    <n v="0"/>
    <n v="1"/>
    <n v="39.019999999999996"/>
    <n v="12.893999999999998"/>
    <n v="10.518000000000001"/>
    <n v="-1.9220000000000006"/>
    <s v="0-7 days"/>
  </r>
  <r>
    <s v="6744acd4cfdfc6f9eb0f827ce82a3879"/>
    <x v="0"/>
    <d v="2018-05-20T00:00:00"/>
    <d v="2018-05-28T00:00:00"/>
    <d v="2018-06-04T00:00:00"/>
    <s v="auto"/>
    <n v="95.86"/>
    <n v="14.15"/>
    <s v="credit_card"/>
    <n v="4"/>
    <s v="delivered"/>
    <d v="2018-05-01T00:00:00"/>
    <n v="8"/>
    <n v="0"/>
    <n v="1"/>
    <n v="110.01"/>
    <n v="65.18480000000001"/>
    <n v="8.49"/>
    <n v="22.185199999999988"/>
    <s v="8-14 days"/>
  </r>
  <r>
    <s v="02fb28690df80b899ce7eed1fcdfe961"/>
    <x v="3"/>
    <d v="2018-05-20T00:00:00"/>
    <d v="2018-05-27T00:00:00"/>
    <d v="2018-06-14T00:00:00"/>
    <s v="watches_gifts"/>
    <n v="69.53"/>
    <n v="24.3"/>
    <s v="credit_card"/>
    <n v="5"/>
    <s v="delivered"/>
    <d v="2018-05-01T00:00:00"/>
    <n v="7"/>
    <n v="0"/>
    <n v="1"/>
    <n v="93.83"/>
    <n v="45.889800000000001"/>
    <n v="14.58"/>
    <n v="9.0602"/>
    <s v="0-7 days"/>
  </r>
  <r>
    <s v="a8c62c4ddc1c4e12e4ac1e29d3c6756c"/>
    <x v="0"/>
    <d v="2018-05-20T00:00:00"/>
    <d v="2018-05-30T00:00:00"/>
    <d v="2018-06-03T00:00:00"/>
    <s v="health_beauty"/>
    <n v="46.5"/>
    <n v="17.89"/>
    <s v="credit_card"/>
    <n v="4"/>
    <s v="delivered"/>
    <d v="2018-05-01T00:00:00"/>
    <n v="10"/>
    <n v="0"/>
    <n v="1"/>
    <n v="64.39"/>
    <n v="26.97"/>
    <n v="10.734"/>
    <n v="8.7960000000000012"/>
    <s v="8-14 days"/>
  </r>
  <r>
    <s v="feb9ea24933c8d0086800a0b42791490"/>
    <x v="0"/>
    <d v="2018-05-21T00:00:00"/>
    <d v="2018-05-29T00:00:00"/>
    <d v="2018-06-05T00:00:00"/>
    <s v="housewares"/>
    <n v="103.6"/>
    <n v="21.47"/>
    <s v="credit_card"/>
    <n v="4"/>
    <s v="delivered"/>
    <d v="2018-05-01T00:00:00"/>
    <n v="8"/>
    <n v="0"/>
    <n v="1"/>
    <n v="125.07"/>
    <n v="65.268000000000001"/>
    <n v="12.882"/>
    <n v="25.449999999999996"/>
    <s v="8-14 days"/>
  </r>
  <r>
    <s v="c98cd5fb14c62aba89c2fba5648df4c0"/>
    <x v="0"/>
    <d v="2018-05-21T00:00:00"/>
    <d v="2018-06-06T00:00:00"/>
    <d v="2018-06-06T00:00:00"/>
    <s v="health_beauty"/>
    <n v="96.88"/>
    <n v="17.57"/>
    <s v="boleto"/>
    <n v="4"/>
    <s v="delivered"/>
    <d v="2018-05-01T00:00:00"/>
    <n v="16"/>
    <n v="0"/>
    <n v="1"/>
    <n v="114.44999999999999"/>
    <n v="56.190399999999997"/>
    <n v="10.542"/>
    <n v="30.147599999999997"/>
    <s v="15-21 days"/>
  </r>
  <r>
    <s v="66a466d494c8a69d44b1a1ee794836f2"/>
    <x v="3"/>
    <d v="2018-05-21T00:00:00"/>
    <d v="2018-06-09T00:00:00"/>
    <d v="2018-06-13T00:00:00"/>
    <s v="watches_gifts"/>
    <n v="143.04"/>
    <n v="31.61"/>
    <s v="credit_card"/>
    <n v="4"/>
    <s v="delivered"/>
    <d v="2018-05-01T00:00:00"/>
    <n v="19"/>
    <n v="0"/>
    <n v="1"/>
    <n v="174.64999999999998"/>
    <n v="94.406400000000005"/>
    <n v="18.965999999999998"/>
    <n v="29.66759999999999"/>
    <s v="15-21 days"/>
  </r>
  <r>
    <s v="e81800643e447305eb55920d81d231cb"/>
    <x v="3"/>
    <d v="2018-05-21T00:00:00"/>
    <d v="2018-06-06T00:00:00"/>
    <d v="2018-06-17T00:00:00"/>
    <s v="watches_gifts"/>
    <n v="395.33"/>
    <n v="29.58"/>
    <s v="boleto"/>
    <n v="4"/>
    <s v="delivered"/>
    <d v="2018-05-01T00:00:00"/>
    <n v="16"/>
    <n v="0"/>
    <n v="1"/>
    <n v="424.90999999999997"/>
    <n v="260.9178"/>
    <n v="17.747999999999998"/>
    <n v="116.66419999999999"/>
    <s v="15-21 days"/>
  </r>
  <r>
    <s v="204fcbe4adec6f15bfdc2b0d19ffa018"/>
    <x v="3"/>
    <d v="2018-05-21T00:00:00"/>
    <d v="2018-05-28T00:00:00"/>
    <d v="2018-06-14T00:00:00"/>
    <s v="auto"/>
    <n v="95.18"/>
    <n v="21.28"/>
    <s v="boleto"/>
    <n v="5"/>
    <s v="delivered"/>
    <d v="2018-05-01T00:00:00"/>
    <n v="7"/>
    <n v="0"/>
    <n v="1"/>
    <n v="116.46000000000001"/>
    <n v="64.722400000000007"/>
    <n v="12.768000000000001"/>
    <n v="17.689599999999999"/>
    <s v="0-7 days"/>
  </r>
  <r>
    <s v="db12ad2ea7366835af88761909c332ee"/>
    <x v="4"/>
    <d v="2018-05-21T00:00:00"/>
    <d v="2018-06-03T00:00:00"/>
    <d v="2018-06-10T00:00:00"/>
    <s v="toys"/>
    <n v="18.68"/>
    <n v="15.56"/>
    <s v="credit_card"/>
    <n v="4"/>
    <s v="delivered"/>
    <d v="2018-05-01T00:00:00"/>
    <n v="13"/>
    <n v="0"/>
    <n v="1"/>
    <n v="34.24"/>
    <n v="11.208"/>
    <n v="9.3360000000000003"/>
    <n v="-1.8640000000000008"/>
    <s v="8-14 days"/>
  </r>
  <r>
    <s v="4458b006332cce0a0e7da698ab95c72f"/>
    <x v="9"/>
    <d v="2018-05-22T00:00:00"/>
    <d v="2018-07-03T00:00:00"/>
    <d v="2018-06-15T00:00:00"/>
    <s v="housewares"/>
    <n v="82.87"/>
    <n v="20.100000000000001"/>
    <s v="boleto"/>
    <n v="3"/>
    <s v="delivered"/>
    <d v="2018-05-01T00:00:00"/>
    <n v="42"/>
    <n v="18"/>
    <n v="0"/>
    <n v="102.97"/>
    <n v="52.208100000000002"/>
    <n v="12.06"/>
    <n v="18.601900000000001"/>
    <s v="22+ days"/>
  </r>
  <r>
    <s v="346b544c31ccd55c18db494a56f2ce96"/>
    <x v="8"/>
    <d v="2018-05-22T00:00:00"/>
    <d v="2018-06-08T00:00:00"/>
    <d v="2018-06-13T00:00:00"/>
    <s v="watches_gifts"/>
    <n v="184.03"/>
    <n v="28.21"/>
    <s v="credit_card"/>
    <n v="4"/>
    <s v="delivered"/>
    <d v="2018-05-01T00:00:00"/>
    <n v="17"/>
    <n v="0"/>
    <n v="1"/>
    <n v="212.24"/>
    <n v="121.4598"/>
    <n v="16.925999999999998"/>
    <n v="45.644199999999998"/>
    <s v="15-21 days"/>
  </r>
  <r>
    <s v="fe4aa0037c06d533eeb7898191fa7144"/>
    <x v="0"/>
    <d v="2018-05-22T00:00:00"/>
    <d v="2018-06-03T00:00:00"/>
    <d v="2018-06-09T00:00:00"/>
    <s v="bed_bath_table"/>
    <n v="46.92"/>
    <n v="13.88"/>
    <s v="credit_card"/>
    <n v="4"/>
    <s v="delivered"/>
    <d v="2018-05-01T00:00:00"/>
    <n v="12"/>
    <n v="0"/>
    <n v="1"/>
    <n v="60.800000000000004"/>
    <n v="29.090400000000002"/>
    <n v="8.3279999999999994"/>
    <n v="9.5015999999999998"/>
    <s v="8-14 days"/>
  </r>
  <r>
    <s v="18eefdc360a444b84f52bf2122963760"/>
    <x v="11"/>
    <d v="2018-05-22T00:00:00"/>
    <d v="2018-06-26T00:00:00"/>
    <d v="2018-06-25T00:00:00"/>
    <s v="furniture_decor"/>
    <n v="116.99"/>
    <n v="38.28"/>
    <s v="credit_card"/>
    <n v="1"/>
    <s v="delivered"/>
    <d v="2018-05-01T00:00:00"/>
    <n v="35"/>
    <n v="1"/>
    <n v="0"/>
    <n v="155.26999999999998"/>
    <n v="81.892999999999986"/>
    <n v="22.968"/>
    <n v="12.129000000000008"/>
    <s v="22+ days"/>
  </r>
  <r>
    <s v="eb20023718c321f47ee2d7aa32a4d31a"/>
    <x v="4"/>
    <d v="2018-05-22T00:00:00"/>
    <d v="2018-06-03T00:00:00"/>
    <d v="2018-06-09T00:00:00"/>
    <s v="bed_bath_table"/>
    <n v="141.78"/>
    <n v="17.16"/>
    <s v="credit_card"/>
    <n v="5"/>
    <s v="delivered"/>
    <d v="2018-05-01T00:00:00"/>
    <n v="12"/>
    <n v="0"/>
    <n v="1"/>
    <n v="158.94"/>
    <n v="87.903599999999997"/>
    <n v="10.295999999999999"/>
    <n v="43.580400000000004"/>
    <s v="8-14 days"/>
  </r>
  <r>
    <s v="02472360aea4a441c47fa57ef796611f"/>
    <x v="7"/>
    <d v="2018-05-23T00:00:00"/>
    <d v="2018-06-08T00:00:00"/>
    <d v="2018-06-14T00:00:00"/>
    <s v="health_beauty"/>
    <n v="136.59"/>
    <n v="30.14"/>
    <s v="credit_card"/>
    <n v="5"/>
    <s v="delivered"/>
    <d v="2018-05-01T00:00:00"/>
    <n v="16"/>
    <n v="0"/>
    <n v="1"/>
    <n v="166.73000000000002"/>
    <n v="79.222200000000001"/>
    <n v="18.084"/>
    <n v="39.283799999999999"/>
    <s v="15-21 days"/>
  </r>
  <r>
    <s v="546f97fb0ecc8af97bab0e9ea62060b9"/>
    <x v="2"/>
    <d v="2018-05-23T00:00:00"/>
    <d v="2018-06-06T00:00:00"/>
    <d v="2018-06-17T00:00:00"/>
    <s v="toys"/>
    <n v="47.38"/>
    <n v="26.25"/>
    <s v="credit_card"/>
    <n v="3"/>
    <s v="delivered"/>
    <d v="2018-05-01T00:00:00"/>
    <n v="14"/>
    <n v="0"/>
    <n v="1"/>
    <n v="73.63"/>
    <n v="28.428000000000001"/>
    <n v="15.75"/>
    <n v="3.2020000000000017"/>
    <s v="8-14 days"/>
  </r>
  <r>
    <s v="bbe43aa78c58fff0a15cf032930e7347"/>
    <x v="0"/>
    <d v="2018-05-24T00:00:00"/>
    <d v="2018-06-01T00:00:00"/>
    <d v="2018-06-08T00:00:00"/>
    <s v="housewares"/>
    <n v="125.2"/>
    <n v="18.29"/>
    <s v="credit_card"/>
    <n v="5"/>
    <s v="delivered"/>
    <d v="2018-05-01T00:00:00"/>
    <n v="8"/>
    <n v="0"/>
    <n v="1"/>
    <n v="143.49"/>
    <n v="78.876000000000005"/>
    <n v="10.973999999999998"/>
    <n v="35.35"/>
    <s v="8-14 days"/>
  </r>
  <r>
    <s v="c8e6cd4b4febaa0edbfb491a9b0e9a7e"/>
    <x v="3"/>
    <d v="2018-05-24T00:00:00"/>
    <d v="2018-06-07T00:00:00"/>
    <d v="2018-06-19T00:00:00"/>
    <s v="bed_bath_table"/>
    <n v="198.3"/>
    <n v="21.52"/>
    <s v="credit_card"/>
    <n v="3"/>
    <s v="delivered"/>
    <d v="2018-05-01T00:00:00"/>
    <n v="14"/>
    <n v="0"/>
    <n v="1"/>
    <n v="219.82000000000002"/>
    <n v="122.94600000000001"/>
    <n v="12.911999999999999"/>
    <n v="62.442"/>
    <s v="8-14 days"/>
  </r>
  <r>
    <s v="8cc1e0363c253eb3e62e54eb878ab369"/>
    <x v="0"/>
    <d v="2018-05-24T00:00:00"/>
    <d v="2018-06-04T00:00:00"/>
    <d v="2018-06-09T00:00:00"/>
    <s v="toys"/>
    <n v="66.73"/>
    <n v="14.4"/>
    <s v="credit_card"/>
    <n v="5"/>
    <s v="delivered"/>
    <d v="2018-05-01T00:00:00"/>
    <n v="11"/>
    <n v="0"/>
    <n v="1"/>
    <n v="81.13000000000001"/>
    <n v="40.038000000000004"/>
    <n v="8.64"/>
    <n v="18.052"/>
    <s v="8-14 days"/>
  </r>
  <r>
    <s v="8c306073e8e4c8deddd98c67dac5169d"/>
    <x v="1"/>
    <d v="2018-05-24T00:00:00"/>
    <d v="2018-06-07T00:00:00"/>
    <d v="2018-06-17T00:00:00"/>
    <s v="sports_leisure"/>
    <n v="130.72999999999999"/>
    <n v="17.77"/>
    <s v="credit_card"/>
    <n v="4"/>
    <s v="delivered"/>
    <d v="2018-05-01T00:00:00"/>
    <n v="14"/>
    <n v="0"/>
    <n v="1"/>
    <n v="148.5"/>
    <n v="83.667199999999994"/>
    <n v="10.661999999999999"/>
    <n v="36.400799999999997"/>
    <s v="8-14 days"/>
  </r>
  <r>
    <s v="3f3f433d1f1540cc4d1567e80329d92d"/>
    <x v="0"/>
    <d v="2018-05-24T00:00:00"/>
    <d v="2018-05-29T00:00:00"/>
    <d v="2018-06-06T00:00:00"/>
    <s v="furniture_decor"/>
    <n v="117.53"/>
    <n v="21.05"/>
    <s v="credit_card"/>
    <n v="4"/>
    <s v="delivered"/>
    <d v="2018-05-01T00:00:00"/>
    <n v="5"/>
    <n v="0"/>
    <n v="1"/>
    <n v="138.58000000000001"/>
    <n v="82.271000000000001"/>
    <n v="12.63"/>
    <n v="22.628999999999998"/>
    <s v="0-7 days"/>
  </r>
  <r>
    <s v="8a88527a25fdb59204ffd53eba5f0d52"/>
    <x v="0"/>
    <d v="2018-05-24T00:00:00"/>
    <d v="2018-06-01T00:00:00"/>
    <d v="2018-06-10T00:00:00"/>
    <s v="auto"/>
    <n v="49.31"/>
    <n v="15.75"/>
    <s v="credit_card"/>
    <n v="5"/>
    <s v="delivered"/>
    <d v="2018-05-01T00:00:00"/>
    <n v="8"/>
    <n v="0"/>
    <n v="1"/>
    <n v="65.06"/>
    <n v="33.530800000000006"/>
    <n v="9.4499999999999993"/>
    <n v="6.3291999999999966"/>
    <s v="8-14 days"/>
  </r>
  <r>
    <s v="64315fc269464f3f514f6fd9accc1507"/>
    <x v="2"/>
    <d v="2018-05-25T00:00:00"/>
    <d v="2018-06-21T00:00:00"/>
    <d v="2018-06-18T00:00:00"/>
    <s v="health_beauty"/>
    <n v="73.64"/>
    <n v="21.85"/>
    <s v="boleto"/>
    <n v="2"/>
    <s v="delivered"/>
    <d v="2018-05-01T00:00:00"/>
    <n v="27"/>
    <n v="3"/>
    <n v="0"/>
    <n v="95.490000000000009"/>
    <n v="42.711199999999998"/>
    <n v="13.110000000000001"/>
    <n v="17.818800000000003"/>
    <s v="22+ days"/>
  </r>
  <r>
    <s v="1ccb27cf258e85589c01a7dea617a28c"/>
    <x v="4"/>
    <d v="2018-05-25T00:00:00"/>
    <d v="2018-06-08T00:00:00"/>
    <d v="2018-06-14T00:00:00"/>
    <s v="bed_bath_table"/>
    <n v="86.83"/>
    <n v="21.03"/>
    <s v="credit_card"/>
    <n v="3"/>
    <s v="delivered"/>
    <d v="2018-05-01T00:00:00"/>
    <n v="14"/>
    <n v="0"/>
    <n v="1"/>
    <n v="107.86"/>
    <n v="53.834600000000002"/>
    <n v="12.618"/>
    <n v="20.377399999999994"/>
    <s v="8-14 days"/>
  </r>
  <r>
    <s v="6c6e8796893e2b89dadfc49942e4bf01"/>
    <x v="0"/>
    <d v="2018-05-26T00:00:00"/>
    <d v="2018-06-03T00:00:00"/>
    <d v="2018-06-11T00:00:00"/>
    <s v="sports_leisure"/>
    <n v="47.14"/>
    <n v="17.59"/>
    <s v="credit_card"/>
    <n v="5"/>
    <s v="delivered"/>
    <d v="2018-05-01T00:00:00"/>
    <n v="8"/>
    <n v="0"/>
    <n v="1"/>
    <n v="64.73"/>
    <n v="30.169600000000003"/>
    <n v="10.554"/>
    <n v="6.4163999999999977"/>
    <s v="8-14 days"/>
  </r>
  <r>
    <s v="7d457a09402d35e81f47d9021ba84a91"/>
    <x v="4"/>
    <d v="2018-05-26T00:00:00"/>
    <d v="2018-06-09T00:00:00"/>
    <d v="2018-06-13T00:00:00"/>
    <s v="sports_leisure"/>
    <n v="83.8"/>
    <n v="26.43"/>
    <s v="credit_card"/>
    <n v="5"/>
    <s v="delivered"/>
    <d v="2018-05-01T00:00:00"/>
    <n v="14"/>
    <n v="0"/>
    <n v="1"/>
    <n v="110.22999999999999"/>
    <n v="53.631999999999998"/>
    <n v="15.857999999999999"/>
    <n v="14.31"/>
    <s v="8-14 days"/>
  </r>
  <r>
    <s v="ccb6588f61b1ad358e8f4854956d92e2"/>
    <x v="3"/>
    <d v="2018-05-26T00:00:00"/>
    <d v="2018-06-06T00:00:00"/>
    <d v="2018-06-17T00:00:00"/>
    <s v="computers_accessories"/>
    <n v="166.43"/>
    <n v="27.06"/>
    <s v="credit_card"/>
    <n v="4"/>
    <s v="delivered"/>
    <d v="2018-05-01T00:00:00"/>
    <n v="11"/>
    <n v="0"/>
    <n v="1"/>
    <n v="193.49"/>
    <n v="123.15820000000001"/>
    <n v="16.235999999999997"/>
    <n v="27.035800000000002"/>
    <s v="8-14 days"/>
  </r>
  <r>
    <s v="ae4c84ffa8c01f05c478f6f1b88ec318"/>
    <x v="7"/>
    <d v="2018-05-27T00:00:00"/>
    <d v="2018-06-15T00:00:00"/>
    <d v="2018-06-19T00:00:00"/>
    <s v="sports_leisure"/>
    <n v="158.09"/>
    <n v="27.82"/>
    <s v="boleto"/>
    <n v="3"/>
    <s v="delivered"/>
    <d v="2018-05-01T00:00:00"/>
    <n v="19"/>
    <n v="0"/>
    <n v="1"/>
    <n v="185.91"/>
    <n v="101.1776"/>
    <n v="16.692"/>
    <n v="40.220400000000005"/>
    <s v="15-21 days"/>
  </r>
  <r>
    <s v="f17daa267357d500fcfd348c00f0f7fe"/>
    <x v="8"/>
    <d v="2018-05-27T00:00:00"/>
    <d v="2018-06-14T00:00:00"/>
    <d v="2018-06-20T00:00:00"/>
    <s v="bed_bath_table"/>
    <n v="171.11"/>
    <n v="25.78"/>
    <s v="boleto"/>
    <n v="5"/>
    <s v="delivered"/>
    <d v="2018-05-01T00:00:00"/>
    <n v="18"/>
    <n v="0"/>
    <n v="1"/>
    <n v="196.89000000000001"/>
    <n v="106.08820000000001"/>
    <n v="15.468"/>
    <n v="49.553799999999995"/>
    <s v="15-21 days"/>
  </r>
  <r>
    <s v="695ae210973cb616f945cfd4678ea95f"/>
    <x v="4"/>
    <d v="2018-05-27T00:00:00"/>
    <d v="2018-06-04T00:00:00"/>
    <d v="2018-06-18T00:00:00"/>
    <s v="watches_gifts"/>
    <n v="76.27"/>
    <n v="20.350000000000001"/>
    <s v="boleto"/>
    <n v="5"/>
    <s v="delivered"/>
    <d v="2018-05-01T00:00:00"/>
    <n v="8"/>
    <n v="0"/>
    <n v="1"/>
    <n v="96.62"/>
    <n v="50.338200000000001"/>
    <n v="12.21"/>
    <n v="13.721799999999995"/>
    <s v="8-14 days"/>
  </r>
  <r>
    <s v="4a4b55630cf477ef18c8a61624108e9a"/>
    <x v="2"/>
    <d v="2018-05-28T00:00:00"/>
    <d v="2018-06-10T00:00:00"/>
    <d v="2018-06-22T00:00:00"/>
    <s v="bed_bath_table"/>
    <n v="61.41"/>
    <n v="23.55"/>
    <s v="voucher"/>
    <n v="3"/>
    <s v="delivered"/>
    <d v="2018-05-01T00:00:00"/>
    <n v="13"/>
    <n v="0"/>
    <n v="1"/>
    <n v="84.96"/>
    <n v="38.074199999999998"/>
    <n v="14.13"/>
    <n v="9.2057999999999982"/>
    <s v="8-14 days"/>
  </r>
  <r>
    <s v="74246baa2dcafc820660a3e9736d417c"/>
    <x v="9"/>
    <d v="2018-05-29T00:00:00"/>
    <d v="2018-06-11T00:00:00"/>
    <d v="2018-06-25T00:00:00"/>
    <s v="auto"/>
    <n v="135.55000000000001"/>
    <n v="25.47"/>
    <s v="credit_card"/>
    <n v="5"/>
    <s v="delivered"/>
    <d v="2018-05-01T00:00:00"/>
    <n v="13"/>
    <n v="0"/>
    <n v="1"/>
    <n v="161.02000000000001"/>
    <n v="92.174000000000021"/>
    <n v="15.281999999999998"/>
    <n v="28.093999999999994"/>
    <s v="8-14 days"/>
  </r>
  <r>
    <s v="9136e5301f0733df7b68b323c7a2ee6f"/>
    <x v="0"/>
    <d v="2018-05-29T00:00:00"/>
    <d v="2018-06-12T00:00:00"/>
    <d v="2018-06-11T00:00:00"/>
    <s v="watches_gifts"/>
    <n v="97.49"/>
    <n v="19.690000000000001"/>
    <s v="credit_card"/>
    <n v="3"/>
    <s v="delivered"/>
    <d v="2018-05-01T00:00:00"/>
    <n v="14"/>
    <n v="1"/>
    <n v="0"/>
    <n v="117.17999999999999"/>
    <n v="64.343400000000003"/>
    <n v="11.814"/>
    <n v="21.332599999999992"/>
    <s v="8-14 days"/>
  </r>
  <r>
    <s v="88b04b777feb4cf34ec77371a4b65cfa"/>
    <x v="0"/>
    <d v="2018-05-29T00:00:00"/>
    <d v="2018-06-05T00:00:00"/>
    <d v="2018-06-12T00:00:00"/>
    <s v="bed_bath_table"/>
    <n v="49.22"/>
    <n v="19.809999999999999"/>
    <s v="voucher"/>
    <n v="5"/>
    <s v="delivered"/>
    <d v="2018-05-01T00:00:00"/>
    <n v="7"/>
    <n v="0"/>
    <n v="1"/>
    <n v="69.03"/>
    <n v="30.516399999999997"/>
    <n v="11.885999999999999"/>
    <n v="6.8176000000000023"/>
    <s v="0-7 days"/>
  </r>
  <r>
    <s v="35b7215ecd68cb3998a0db610fa99695"/>
    <x v="5"/>
    <d v="2018-05-29T00:00:00"/>
    <d v="2018-06-11T00:00:00"/>
    <d v="2018-06-23T00:00:00"/>
    <s v="bed_bath_table"/>
    <n v="26.67"/>
    <n v="27.67"/>
    <s v="boleto"/>
    <n v="5"/>
    <s v="delivered"/>
    <d v="2018-05-01T00:00:00"/>
    <n v="13"/>
    <n v="0"/>
    <n v="1"/>
    <n v="54.34"/>
    <n v="16.535399999999999"/>
    <n v="16.602"/>
    <n v="-6.4673999999999978"/>
    <s v="8-14 days"/>
  </r>
  <r>
    <s v="4d564ca1099c3693fe59189f3035fa61"/>
    <x v="4"/>
    <d v="2018-05-29T00:00:00"/>
    <d v="2018-06-08T00:00:00"/>
    <d v="2018-06-23T00:00:00"/>
    <s v="watches_gifts"/>
    <n v="129.93"/>
    <n v="23.12"/>
    <s v="credit_card"/>
    <n v="5"/>
    <s v="delivered"/>
    <d v="2018-05-01T00:00:00"/>
    <n v="10"/>
    <n v="0"/>
    <n v="1"/>
    <n v="153.05000000000001"/>
    <n v="85.753800000000012"/>
    <n v="13.872"/>
    <n v="30.304199999999994"/>
    <s v="8-14 days"/>
  </r>
  <r>
    <s v="057eaa6f29de65e62e89a6ed7453c9c3"/>
    <x v="4"/>
    <d v="2018-05-29T00:00:00"/>
    <d v="2018-06-15T00:00:00"/>
    <d v="2018-06-19T00:00:00"/>
    <s v="furniture_decor"/>
    <n v="82"/>
    <n v="18.72"/>
    <s v="credit_card"/>
    <n v="5"/>
    <s v="delivered"/>
    <d v="2018-05-01T00:00:00"/>
    <n v="17"/>
    <n v="0"/>
    <n v="1"/>
    <n v="100.72"/>
    <n v="57.4"/>
    <n v="11.231999999999999"/>
    <n v="13.368000000000002"/>
    <s v="15-21 days"/>
  </r>
  <r>
    <s v="dfe328d550be629444c1a38ce702c0d8"/>
    <x v="7"/>
    <d v="2018-05-29T00:00:00"/>
    <d v="2018-06-12T00:00:00"/>
    <d v="2018-06-20T00:00:00"/>
    <s v="bed_bath_table"/>
    <n v="119.27"/>
    <n v="30.01"/>
    <s v="credit_card"/>
    <n v="4"/>
    <s v="delivered"/>
    <d v="2018-05-01T00:00:00"/>
    <n v="14"/>
    <n v="0"/>
    <n v="1"/>
    <n v="149.28"/>
    <n v="73.947400000000002"/>
    <n v="18.006"/>
    <n v="27.316599999999994"/>
    <s v="8-14 days"/>
  </r>
  <r>
    <s v="544c14d1503ba8c3ce830e27c5efd670"/>
    <x v="0"/>
    <d v="2018-05-30T00:00:00"/>
    <d v="2018-06-03T00:00:00"/>
    <d v="2018-06-11T00:00:00"/>
    <s v="furniture_decor"/>
    <n v="99.12"/>
    <n v="18.78"/>
    <s v="boleto"/>
    <n v="4"/>
    <s v="delivered"/>
    <d v="2018-05-01T00:00:00"/>
    <n v="4"/>
    <n v="0"/>
    <n v="1"/>
    <n v="117.9"/>
    <n v="69.384"/>
    <n v="11.268000000000001"/>
    <n v="18.468000000000004"/>
    <s v="0-7 days"/>
  </r>
  <r>
    <s v="a9fb1b548fbd2cfdc651a34f5a0f3cdb"/>
    <x v="4"/>
    <d v="2018-05-30T00:00:00"/>
    <d v="2018-06-07T00:00:00"/>
    <d v="2018-06-21T00:00:00"/>
    <s v="bed_bath_table"/>
    <n v="40.57"/>
    <n v="15.45"/>
    <s v="credit_card"/>
    <n v="3"/>
    <s v="delivered"/>
    <d v="2018-05-01T00:00:00"/>
    <n v="8"/>
    <n v="0"/>
    <n v="1"/>
    <n v="56.019999999999996"/>
    <n v="25.153400000000001"/>
    <n v="9.27"/>
    <n v="6.1465999999999994"/>
    <s v="8-14 days"/>
  </r>
  <r>
    <s v="d88a061923f1127bd7ebc00bff68728e"/>
    <x v="4"/>
    <d v="2018-05-30T00:00:00"/>
    <d v="2018-06-14T00:00:00"/>
    <d v="2018-06-21T00:00:00"/>
    <s v="sports_leisure"/>
    <n v="51.46"/>
    <n v="20.420000000000002"/>
    <s v="credit_card"/>
    <n v="5"/>
    <s v="delivered"/>
    <d v="2018-05-01T00:00:00"/>
    <n v="15"/>
    <n v="0"/>
    <n v="1"/>
    <n v="71.88"/>
    <n v="32.934400000000004"/>
    <n v="12.252000000000001"/>
    <n v="6.2735999999999965"/>
    <s v="15-21 days"/>
  </r>
  <r>
    <s v="5edb0d3cb0b63bcf08601833479d0cda"/>
    <x v="4"/>
    <d v="2018-05-31T00:00:00"/>
    <d v="2018-06-13T00:00:00"/>
    <d v="2018-06-20T00:00:00"/>
    <s v="watches_gifts"/>
    <n v="319.86"/>
    <n v="33.54"/>
    <s v="credit_card"/>
    <n v="3"/>
    <s v="delivered"/>
    <d v="2018-05-01T00:00:00"/>
    <n v="13"/>
    <n v="0"/>
    <n v="1"/>
    <n v="353.40000000000003"/>
    <n v="211.10760000000002"/>
    <n v="20.123999999999999"/>
    <n v="88.628399999999999"/>
    <s v="8-14 days"/>
  </r>
  <r>
    <s v="e2696a738b2dfd839b5de3c9dbb9c173"/>
    <x v="0"/>
    <d v="2018-05-31T00:00:00"/>
    <d v="2018-06-14T00:00:00"/>
    <d v="2018-06-13T00:00:00"/>
    <s v="watches_gifts"/>
    <n v="215.16"/>
    <n v="15.34"/>
    <s v="credit_card"/>
    <n v="4"/>
    <s v="delivered"/>
    <d v="2018-05-01T00:00:00"/>
    <n v="14"/>
    <n v="1"/>
    <n v="0"/>
    <n v="230.5"/>
    <n v="142.00560000000002"/>
    <n v="9.2039999999999988"/>
    <n v="63.950399999999981"/>
    <s v="8-14 days"/>
  </r>
  <r>
    <s v="c7df66009aa0bf744e8bafc4cb208d25"/>
    <x v="7"/>
    <d v="2018-05-31T00:00:00"/>
    <d v="2018-06-08T00:00:00"/>
    <d v="2018-06-20T00:00:00"/>
    <s v="bed_bath_table"/>
    <n v="114.74"/>
    <n v="21.39"/>
    <s v="credit_card"/>
    <n v="5"/>
    <s v="delivered"/>
    <d v="2018-05-01T00:00:00"/>
    <n v="8"/>
    <n v="0"/>
    <n v="1"/>
    <n v="136.13"/>
    <n v="71.138800000000003"/>
    <n v="12.834"/>
    <n v="30.767199999999992"/>
    <s v="8-14 days"/>
  </r>
  <r>
    <s v="85ee751c6d0473e78adf1e46d403fd02"/>
    <x v="0"/>
    <d v="2018-06-01T00:00:00"/>
    <d v="2018-06-08T00:00:00"/>
    <d v="2018-06-17T00:00:00"/>
    <s v="furniture_decor"/>
    <n v="222.21"/>
    <n v="18.64"/>
    <s v="voucher"/>
    <n v="4"/>
    <s v="delivered"/>
    <d v="2018-06-01T00:00:00"/>
    <n v="7"/>
    <n v="0"/>
    <n v="1"/>
    <n v="240.85000000000002"/>
    <n v="155.547"/>
    <n v="11.183999999999999"/>
    <n v="55.479000000000013"/>
    <s v="0-7 days"/>
  </r>
  <r>
    <s v="a34321bf7aeee7df5bd55037f7444596"/>
    <x v="4"/>
    <d v="2018-06-01T00:00:00"/>
    <d v="2018-06-08T00:00:00"/>
    <d v="2018-06-21T00:00:00"/>
    <s v="health_beauty"/>
    <n v="72.67"/>
    <n v="21.98"/>
    <s v="boleto"/>
    <n v="5"/>
    <s v="delivered"/>
    <d v="2018-06-01T00:00:00"/>
    <n v="7"/>
    <n v="0"/>
    <n v="1"/>
    <n v="94.65"/>
    <n v="42.148599999999995"/>
    <n v="13.188000000000001"/>
    <n v="17.333400000000005"/>
    <s v="0-7 days"/>
  </r>
  <r>
    <s v="c01ba459ec7fdc2efb0059ff563bf6e0"/>
    <x v="0"/>
    <d v="2018-06-01T00:00:00"/>
    <d v="2018-06-11T00:00:00"/>
    <d v="2018-06-19T00:00:00"/>
    <s v="toys"/>
    <n v="300.18"/>
    <n v="19.8"/>
    <s v="credit_card"/>
    <n v="5"/>
    <s v="delivered"/>
    <d v="2018-06-01T00:00:00"/>
    <n v="10"/>
    <n v="0"/>
    <n v="1"/>
    <n v="319.98"/>
    <n v="180.108"/>
    <n v="11.88"/>
    <n v="108.19200000000001"/>
    <s v="8-14 days"/>
  </r>
  <r>
    <s v="a1295a39dce6ea642d5c4588c60e35b6"/>
    <x v="8"/>
    <d v="2018-06-01T00:00:00"/>
    <d v="2018-06-16T00:00:00"/>
    <d v="2018-06-24T00:00:00"/>
    <s v="computers_accessories"/>
    <n v="198.91"/>
    <n v="25.34"/>
    <s v="credit_card"/>
    <n v="5"/>
    <s v="delivered"/>
    <d v="2018-06-01T00:00:00"/>
    <n v="15"/>
    <n v="0"/>
    <n v="1"/>
    <n v="224.25"/>
    <n v="147.1934"/>
    <n v="15.203999999999999"/>
    <n v="36.512599999999999"/>
    <s v="15-21 days"/>
  </r>
  <r>
    <s v="52ec03caae957e1c667a63706e12d255"/>
    <x v="4"/>
    <d v="2018-06-01T00:00:00"/>
    <d v="2018-06-16T00:00:00"/>
    <d v="2018-06-20T00:00:00"/>
    <s v="bed_bath_table"/>
    <n v="142.59"/>
    <n v="18.7"/>
    <s v="credit_card"/>
    <n v="5"/>
    <s v="delivered"/>
    <d v="2018-06-01T00:00:00"/>
    <n v="15"/>
    <n v="0"/>
    <n v="1"/>
    <n v="161.29"/>
    <n v="88.405799999999999"/>
    <n v="11.219999999999999"/>
    <n v="42.964200000000005"/>
    <s v="15-21 days"/>
  </r>
  <r>
    <s v="6a65d16c304896aae4045f1e8ecdf68c"/>
    <x v="10"/>
    <d v="2018-06-01T00:00:00"/>
    <d v="2018-07-01T00:00:00"/>
    <d v="2018-07-04T00:00:00"/>
    <s v="toys"/>
    <n v="123.23"/>
    <n v="29.89"/>
    <s v="credit_card"/>
    <n v="3"/>
    <s v="delivered"/>
    <d v="2018-06-01T00:00:00"/>
    <n v="30"/>
    <n v="0"/>
    <n v="1"/>
    <n v="153.12"/>
    <n v="73.938000000000002"/>
    <n v="17.934000000000001"/>
    <n v="31.358000000000001"/>
    <s v="22+ days"/>
  </r>
  <r>
    <s v="878aaed9233ffc8292ec89af13aec376"/>
    <x v="4"/>
    <d v="2018-06-02T00:00:00"/>
    <d v="2018-06-11T00:00:00"/>
    <d v="2018-06-21T00:00:00"/>
    <s v="auto"/>
    <n v="87.67"/>
    <n v="21.97"/>
    <s v="credit_card"/>
    <n v="4"/>
    <s v="delivered"/>
    <d v="2018-06-01T00:00:00"/>
    <n v="9"/>
    <n v="0"/>
    <n v="1"/>
    <n v="109.64"/>
    <n v="59.615600000000008"/>
    <n v="13.181999999999999"/>
    <n v="14.872399999999995"/>
    <s v="8-14 days"/>
  </r>
  <r>
    <s v="173d5030077d868859fe1c45abac7bf8"/>
    <x v="1"/>
    <d v="2018-06-02T00:00:00"/>
    <d v="2018-06-18T00:00:00"/>
    <d v="2018-06-18T00:00:00"/>
    <s v="bed_bath_table"/>
    <n v="104.19"/>
    <n v="18.88"/>
    <s v="credit_card"/>
    <n v="5"/>
    <s v="delivered"/>
    <d v="2018-06-01T00:00:00"/>
    <n v="16"/>
    <n v="0"/>
    <n v="1"/>
    <n v="123.07"/>
    <n v="64.597799999999992"/>
    <n v="11.327999999999999"/>
    <n v="28.264200000000006"/>
    <s v="15-21 days"/>
  </r>
  <r>
    <s v="537b84366ed9a39d5a881ca43b4d3447"/>
    <x v="3"/>
    <d v="2018-06-02T00:00:00"/>
    <d v="2018-06-26T00:00:00"/>
    <d v="2018-06-25T00:00:00"/>
    <s v="sports_leisure"/>
    <n v="137.97999999999999"/>
    <n v="23.36"/>
    <s v="credit_card"/>
    <n v="4"/>
    <s v="delivered"/>
    <d v="2018-06-01T00:00:00"/>
    <n v="24"/>
    <n v="1"/>
    <n v="0"/>
    <n v="161.33999999999997"/>
    <n v="88.307199999999995"/>
    <n v="14.016"/>
    <n v="35.656799999999997"/>
    <s v="22+ days"/>
  </r>
  <r>
    <s v="29ca6e42d09ae2dca3dd65b3998549bc"/>
    <x v="0"/>
    <d v="2018-06-03T00:00:00"/>
    <d v="2018-06-10T00:00:00"/>
    <d v="2018-06-20T00:00:00"/>
    <s v="housewares"/>
    <n v="102.54"/>
    <n v="20.48"/>
    <s v="debit_card"/>
    <n v="4"/>
    <s v="delivered"/>
    <d v="2018-06-01T00:00:00"/>
    <n v="7"/>
    <n v="0"/>
    <n v="1"/>
    <n v="123.02000000000001"/>
    <n v="64.600200000000001"/>
    <n v="12.288"/>
    <n v="25.651800000000005"/>
    <s v="0-7 days"/>
  </r>
  <r>
    <s v="122533fd765e3ce808676b2a0b39c366"/>
    <x v="0"/>
    <d v="2018-06-03T00:00:00"/>
    <d v="2018-06-09T00:00:00"/>
    <d v="2018-06-18T00:00:00"/>
    <s v="sports_leisure"/>
    <n v="65.84"/>
    <n v="13.25"/>
    <s v="boleto"/>
    <n v="4"/>
    <s v="delivered"/>
    <d v="2018-06-01T00:00:00"/>
    <n v="6"/>
    <n v="0"/>
    <n v="1"/>
    <n v="79.09"/>
    <n v="42.137600000000006"/>
    <n v="7.9499999999999993"/>
    <n v="15.752399999999998"/>
    <s v="0-7 days"/>
  </r>
  <r>
    <s v="8be5199ee212b2e8a91a0e8b424a1f16"/>
    <x v="11"/>
    <d v="2018-06-03T00:00:00"/>
    <d v="2018-06-23T00:00:00"/>
    <d v="2018-07-07T00:00:00"/>
    <s v="health_beauty"/>
    <n v="236.9"/>
    <n v="50.35"/>
    <s v="credit_card"/>
    <n v="5"/>
    <s v="delivered"/>
    <d v="2018-06-01T00:00:00"/>
    <n v="20"/>
    <n v="0"/>
    <n v="1"/>
    <n v="287.25"/>
    <n v="137.40199999999999"/>
    <n v="30.21"/>
    <n v="69.288000000000011"/>
    <s v="15-21 days"/>
  </r>
  <r>
    <s v="f2c76b30fb7e6256a4c956c886d79a32"/>
    <x v="7"/>
    <d v="2018-06-03T00:00:00"/>
    <d v="2018-06-25T00:00:00"/>
    <d v="2018-06-27T00:00:00"/>
    <s v="bed_bath_table"/>
    <n v="187.84"/>
    <n v="19.12"/>
    <s v="credit_card"/>
    <n v="4"/>
    <s v="delivered"/>
    <d v="2018-06-01T00:00:00"/>
    <n v="22"/>
    <n v="0"/>
    <n v="1"/>
    <n v="206.96"/>
    <n v="116.46080000000001"/>
    <n v="11.472"/>
    <n v="59.907199999999996"/>
    <s v="22+ days"/>
  </r>
  <r>
    <s v="efdeda89b1743e034666495fa69d152f"/>
    <x v="4"/>
    <d v="2018-06-03T00:00:00"/>
    <d v="2018-06-08T00:00:00"/>
    <d v="2018-06-22T00:00:00"/>
    <s v="health_beauty"/>
    <n v="134.22"/>
    <n v="26.41"/>
    <s v="boleto"/>
    <n v="5"/>
    <s v="delivered"/>
    <d v="2018-06-01T00:00:00"/>
    <n v="5"/>
    <n v="0"/>
    <n v="1"/>
    <n v="160.63"/>
    <n v="77.8476"/>
    <n v="15.846"/>
    <n v="40.526399999999995"/>
    <s v="0-7 days"/>
  </r>
  <r>
    <s v="c5384872deaa543e1edbbe71de2a2ddf"/>
    <x v="2"/>
    <d v="2018-06-04T00:00:00"/>
    <d v="2018-06-20T00:00:00"/>
    <d v="2018-06-28T00:00:00"/>
    <s v="bed_bath_table"/>
    <n v="36.99"/>
    <n v="22.55"/>
    <s v="credit_card"/>
    <n v="3"/>
    <s v="delivered"/>
    <d v="2018-06-01T00:00:00"/>
    <n v="16"/>
    <n v="0"/>
    <n v="1"/>
    <n v="59.540000000000006"/>
    <n v="22.933800000000002"/>
    <n v="13.53"/>
    <n v="0.52620000000000111"/>
    <s v="15-21 days"/>
  </r>
  <r>
    <s v="e545281b15b5bc25eb7cd628ecb948f7"/>
    <x v="6"/>
    <d v="2018-06-04T00:00:00"/>
    <d v="2018-06-15T00:00:00"/>
    <d v="2018-07-04T00:00:00"/>
    <s v="health_beauty"/>
    <n v="42.46"/>
    <n v="28.47"/>
    <s v="credit_card"/>
    <n v="5"/>
    <s v="delivered"/>
    <d v="2018-06-01T00:00:00"/>
    <n v="11"/>
    <n v="0"/>
    <n v="1"/>
    <n v="70.930000000000007"/>
    <n v="24.626799999999999"/>
    <n v="17.081999999999997"/>
    <n v="0.75120000000000431"/>
    <s v="8-14 days"/>
  </r>
  <r>
    <s v="d97eb35599870266dc63a196946320bc"/>
    <x v="10"/>
    <d v="2018-06-04T00:00:00"/>
    <d v="2018-06-19T00:00:00"/>
    <d v="2018-07-07T00:00:00"/>
    <s v="health_beauty"/>
    <n v="57.58"/>
    <n v="31.38"/>
    <s v="credit_card"/>
    <n v="5"/>
    <s v="delivered"/>
    <d v="2018-06-01T00:00:00"/>
    <n v="15"/>
    <n v="0"/>
    <n v="1"/>
    <n v="88.96"/>
    <n v="33.3964"/>
    <n v="18.827999999999999"/>
    <n v="5.355599999999999"/>
    <s v="15-21 days"/>
  </r>
  <r>
    <s v="105fef51b0af70d24e3e4f5f04612c71"/>
    <x v="2"/>
    <d v="2018-06-04T00:00:00"/>
    <d v="2018-06-23T00:00:00"/>
    <d v="2018-06-29T00:00:00"/>
    <s v="bed_bath_table"/>
    <n v="115.59"/>
    <n v="20.69"/>
    <s v="credit_card"/>
    <n v="5"/>
    <s v="delivered"/>
    <d v="2018-06-01T00:00:00"/>
    <n v="19"/>
    <n v="0"/>
    <n v="1"/>
    <n v="136.28"/>
    <n v="71.665800000000004"/>
    <n v="12.414"/>
    <n v="31.510199999999998"/>
    <s v="15-21 days"/>
  </r>
  <r>
    <s v="9cc259bce4c4cc4c61a2eb14a4918bd2"/>
    <x v="1"/>
    <d v="2018-06-04T00:00:00"/>
    <d v="2018-06-17T00:00:00"/>
    <d v="2018-06-25T00:00:00"/>
    <s v="bed_bath_table"/>
    <n v="113.64"/>
    <n v="26.56"/>
    <s v="credit_card"/>
    <n v="4"/>
    <s v="delivered"/>
    <d v="2018-06-01T00:00:00"/>
    <n v="13"/>
    <n v="0"/>
    <n v="1"/>
    <n v="140.19999999999999"/>
    <n v="70.456800000000001"/>
    <n v="15.935999999999998"/>
    <n v="27.247199999999999"/>
    <s v="8-14 days"/>
  </r>
  <r>
    <s v="f10b394d6021a15b4207fb5152ffeff5"/>
    <x v="0"/>
    <d v="2018-06-05T00:00:00"/>
    <d v="2018-06-11T00:00:00"/>
    <d v="2018-06-22T00:00:00"/>
    <s v="sports_leisure"/>
    <n v="77.27"/>
    <n v="16.38"/>
    <s v="boleto"/>
    <n v="5"/>
    <s v="delivered"/>
    <d v="2018-06-01T00:00:00"/>
    <n v="6"/>
    <n v="0"/>
    <n v="1"/>
    <n v="93.649999999999991"/>
    <n v="49.452799999999996"/>
    <n v="9.8279999999999994"/>
    <n v="17.9892"/>
    <s v="0-7 days"/>
  </r>
  <r>
    <s v="6bc822f46893a38a14dd93141e32e3e1"/>
    <x v="0"/>
    <d v="2018-06-05T00:00:00"/>
    <d v="2018-06-17T00:00:00"/>
    <d v="2018-06-23T00:00:00"/>
    <s v="watches_gifts"/>
    <n v="241.73"/>
    <n v="18.920000000000002"/>
    <s v="credit_card"/>
    <n v="4"/>
    <s v="delivered"/>
    <d v="2018-06-01T00:00:00"/>
    <n v="12"/>
    <n v="0"/>
    <n v="1"/>
    <n v="260.64999999999998"/>
    <n v="159.54179999999999"/>
    <n v="11.352"/>
    <n v="70.836199999999991"/>
    <s v="8-14 days"/>
  </r>
  <r>
    <s v="8d185c2ad554fadf76339d1d6694940d"/>
    <x v="2"/>
    <d v="2018-06-05T00:00:00"/>
    <d v="2018-06-26T00:00:00"/>
    <d v="2018-06-27T00:00:00"/>
    <s v="bed_bath_table"/>
    <n v="123.25"/>
    <n v="17.91"/>
    <s v="credit_card"/>
    <n v="4"/>
    <s v="delivered"/>
    <d v="2018-06-01T00:00:00"/>
    <n v="21"/>
    <n v="0"/>
    <n v="1"/>
    <n v="141.16"/>
    <n v="76.415000000000006"/>
    <n v="10.746"/>
    <n v="36.088999999999992"/>
    <s v="15-21 days"/>
  </r>
  <r>
    <s v="8e2d33d00097d5f0f6be5f8c78aa9c52"/>
    <x v="4"/>
    <d v="2018-06-05T00:00:00"/>
    <d v="2018-06-15T00:00:00"/>
    <d v="2018-06-24T00:00:00"/>
    <s v="sports_leisure"/>
    <n v="67.2"/>
    <n v="24.83"/>
    <s v="voucher"/>
    <n v="5"/>
    <s v="delivered"/>
    <d v="2018-06-01T00:00:00"/>
    <n v="10"/>
    <n v="0"/>
    <n v="1"/>
    <n v="92.03"/>
    <n v="43.008000000000003"/>
    <n v="14.897999999999998"/>
    <n v="9.2940000000000023"/>
    <s v="8-14 days"/>
  </r>
  <r>
    <s v="c7a7a071d2621558e6dd8969aada8ba0"/>
    <x v="0"/>
    <d v="2018-06-05T00:00:00"/>
    <d v="2018-06-12T00:00:00"/>
    <d v="2018-06-23T00:00:00"/>
    <s v="bed_bath_table"/>
    <n v="117.97"/>
    <n v="21.89"/>
    <s v="credit_card"/>
    <n v="5"/>
    <s v="delivered"/>
    <d v="2018-06-01T00:00:00"/>
    <n v="7"/>
    <n v="0"/>
    <n v="1"/>
    <n v="139.86000000000001"/>
    <n v="73.141400000000004"/>
    <n v="13.134"/>
    <n v="31.694599999999994"/>
    <s v="0-7 days"/>
  </r>
  <r>
    <s v="f9b81e658a34b26b72cc3fc55f775a7a"/>
    <x v="7"/>
    <d v="2018-06-06T00:00:00"/>
    <d v="2018-06-17T00:00:00"/>
    <d v="2018-06-28T00:00:00"/>
    <s v="computers_accessories"/>
    <n v="72.27"/>
    <n v="21.2"/>
    <s v="credit_card"/>
    <n v="5"/>
    <s v="delivered"/>
    <d v="2018-06-01T00:00:00"/>
    <n v="11"/>
    <n v="0"/>
    <n v="1"/>
    <n v="93.47"/>
    <n v="53.479799999999997"/>
    <n v="12.719999999999999"/>
    <n v="6.0701999999999998"/>
    <s v="8-14 days"/>
  </r>
  <r>
    <s v="d2c4c2865a0461c9947defcf88cfc53d"/>
    <x v="3"/>
    <d v="2018-06-06T00:00:00"/>
    <d v="2018-06-29T00:00:00"/>
    <d v="2018-07-01T00:00:00"/>
    <s v="sports_leisure"/>
    <n v="40.56"/>
    <n v="20.84"/>
    <s v="credit_card"/>
    <n v="5"/>
    <s v="delivered"/>
    <d v="2018-06-01T00:00:00"/>
    <n v="23"/>
    <n v="0"/>
    <n v="1"/>
    <n v="61.400000000000006"/>
    <n v="25.958400000000001"/>
    <n v="12.504"/>
    <n v="2.0976000000000017"/>
    <s v="22+ days"/>
  </r>
  <r>
    <s v="9872643b974f65f59b228880fffb0041"/>
    <x v="0"/>
    <d v="2018-06-06T00:00:00"/>
    <d v="2018-06-12T00:00:00"/>
    <d v="2018-06-22T00:00:00"/>
    <s v="bed_bath_table"/>
    <n v="60.73"/>
    <n v="13.74"/>
    <s v="credit_card"/>
    <n v="5"/>
    <s v="delivered"/>
    <d v="2018-06-01T00:00:00"/>
    <n v="6"/>
    <n v="0"/>
    <n v="1"/>
    <n v="74.47"/>
    <n v="37.6526"/>
    <n v="8.2439999999999998"/>
    <n v="14.833399999999997"/>
    <s v="0-7 days"/>
  </r>
  <r>
    <s v="ea6c32b47950d1be1cf423ead1435d59"/>
    <x v="4"/>
    <d v="2018-06-06T00:00:00"/>
    <d v="2018-06-27T00:00:00"/>
    <d v="2018-06-28T00:00:00"/>
    <s v="bed_bath_table"/>
    <n v="95.8"/>
    <n v="18.350000000000001"/>
    <s v="credit_card"/>
    <n v="5"/>
    <s v="delivered"/>
    <d v="2018-06-01T00:00:00"/>
    <n v="21"/>
    <n v="0"/>
    <n v="1"/>
    <n v="114.15"/>
    <n v="59.396000000000001"/>
    <n v="11.01"/>
    <n v="25.393999999999998"/>
    <s v="15-21 days"/>
  </r>
  <r>
    <s v="e03c119aa0ca381cbc3dc68a87d49f49"/>
    <x v="0"/>
    <d v="2018-06-07T00:00:00"/>
    <d v="2018-06-13T00:00:00"/>
    <d v="2018-06-22T00:00:00"/>
    <s v="housewares"/>
    <n v="71.36"/>
    <n v="19.940000000000001"/>
    <s v="credit_card"/>
    <n v="5"/>
    <s v="delivered"/>
    <d v="2018-06-01T00:00:00"/>
    <n v="6"/>
    <n v="0"/>
    <n v="1"/>
    <n v="91.3"/>
    <n v="44.956800000000001"/>
    <n v="11.964"/>
    <n v="14.439199999999998"/>
    <s v="0-7 days"/>
  </r>
  <r>
    <s v="7e14686b2a3b60034f54c90edb7611cd"/>
    <x v="0"/>
    <d v="2018-06-07T00:00:00"/>
    <d v="2018-06-13T00:00:00"/>
    <d v="2018-06-23T00:00:00"/>
    <s v="bed_bath_table"/>
    <n v="58.81"/>
    <n v="16.59"/>
    <s v="credit_card"/>
    <n v="5"/>
    <s v="delivered"/>
    <d v="2018-06-01T00:00:00"/>
    <n v="6"/>
    <n v="0"/>
    <n v="1"/>
    <n v="75.400000000000006"/>
    <n v="36.462200000000003"/>
    <n v="9.9539999999999988"/>
    <n v="12.393800000000001"/>
    <s v="0-7 days"/>
  </r>
  <r>
    <s v="d85c2ff420007b10377a163b0eefde0b"/>
    <x v="6"/>
    <d v="2018-06-07T00:00:00"/>
    <d v="2018-06-18T00:00:00"/>
    <d v="2018-07-07T00:00:00"/>
    <s v="furniture_decor"/>
    <n v="43.4"/>
    <n v="40.99"/>
    <s v="boleto"/>
    <n v="4"/>
    <s v="delivered"/>
    <d v="2018-06-01T00:00:00"/>
    <n v="11"/>
    <n v="0"/>
    <n v="1"/>
    <n v="84.39"/>
    <n v="30.379999999999995"/>
    <n v="24.594000000000001"/>
    <n v="-11.573999999999998"/>
    <s v="8-14 days"/>
  </r>
  <r>
    <s v="1fa2e8fcb60b299ab7c39b3fb9c1035c"/>
    <x v="0"/>
    <d v="2018-06-07T00:00:00"/>
    <d v="2018-06-18T00:00:00"/>
    <d v="2018-06-21T00:00:00"/>
    <s v="sports_leisure"/>
    <n v="71.17"/>
    <n v="13.49"/>
    <s v="credit_card"/>
    <n v="5"/>
    <s v="delivered"/>
    <d v="2018-06-01T00:00:00"/>
    <n v="11"/>
    <n v="0"/>
    <n v="1"/>
    <n v="84.66"/>
    <n v="45.5488"/>
    <n v="8.0939999999999994"/>
    <n v="17.527200000000001"/>
    <s v="8-14 days"/>
  </r>
  <r>
    <s v="a67897538f1a5d4a72ced11f8f59748b"/>
    <x v="10"/>
    <d v="2018-06-08T00:00:00"/>
    <d v="2018-06-28T00:00:00"/>
    <d v="2018-07-13T00:00:00"/>
    <s v="furniture_decor"/>
    <n v="31.63"/>
    <n v="27.69"/>
    <s v="credit_card"/>
    <n v="4"/>
    <s v="delivered"/>
    <d v="2018-06-01T00:00:00"/>
    <n v="20"/>
    <n v="0"/>
    <n v="1"/>
    <n v="59.32"/>
    <n v="22.140999999999998"/>
    <n v="16.614000000000001"/>
    <n v="-7.125"/>
    <s v="15-21 days"/>
  </r>
  <r>
    <s v="0027112ab75901d03036781cc0d98272"/>
    <x v="3"/>
    <d v="2018-06-08T00:00:00"/>
    <d v="2018-06-26T00:00:00"/>
    <d v="2018-06-30T00:00:00"/>
    <s v="health_beauty"/>
    <n v="88.01"/>
    <n v="26.66"/>
    <s v="boleto"/>
    <n v="2"/>
    <s v="delivered"/>
    <d v="2018-06-01T00:00:00"/>
    <n v="18"/>
    <n v="0"/>
    <n v="1"/>
    <n v="114.67"/>
    <n v="51.0458"/>
    <n v="15.995999999999999"/>
    <n v="20.968200000000007"/>
    <s v="15-21 days"/>
  </r>
  <r>
    <s v="29723882a6d9d3d105ddf023af0caa3c"/>
    <x v="0"/>
    <d v="2018-06-08T00:00:00"/>
    <d v="2018-06-21T00:00:00"/>
    <d v="2018-06-21T00:00:00"/>
    <s v="computers_accessories"/>
    <n v="125.86"/>
    <n v="21.08"/>
    <s v="debit_card"/>
    <n v="5"/>
    <s v="delivered"/>
    <d v="2018-06-01T00:00:00"/>
    <n v="13"/>
    <n v="0"/>
    <n v="1"/>
    <n v="146.94"/>
    <n v="93.136399999999995"/>
    <n v="12.647999999999998"/>
    <n v="20.075600000000009"/>
    <s v="8-14 days"/>
  </r>
  <r>
    <s v="5cdd0f45358893f1280b0996517e71e0"/>
    <x v="0"/>
    <d v="2018-06-08T00:00:00"/>
    <d v="2018-06-19T00:00:00"/>
    <d v="2018-06-21T00:00:00"/>
    <s v="sports_leisure"/>
    <n v="49.38"/>
    <n v="17.34"/>
    <s v="boleto"/>
    <n v="5"/>
    <s v="delivered"/>
    <d v="2018-06-01T00:00:00"/>
    <n v="11"/>
    <n v="0"/>
    <n v="1"/>
    <n v="66.72"/>
    <n v="31.603200000000001"/>
    <n v="10.404"/>
    <n v="7.3728000000000016"/>
    <s v="8-14 days"/>
  </r>
  <r>
    <s v="b0b128a224c6ab6dd13fcc1ad9add770"/>
    <x v="3"/>
    <d v="2018-06-08T00:00:00"/>
    <d v="2018-06-18T00:00:00"/>
    <d v="2018-07-05T00:00:00"/>
    <s v="bed_bath_table"/>
    <n v="52.35"/>
    <n v="18.940000000000001"/>
    <s v="credit_card"/>
    <n v="3"/>
    <s v="delivered"/>
    <d v="2018-06-01T00:00:00"/>
    <n v="10"/>
    <n v="0"/>
    <n v="1"/>
    <n v="71.290000000000006"/>
    <n v="32.457000000000001"/>
    <n v="11.364000000000001"/>
    <n v="8.5289999999999999"/>
    <s v="8-14 days"/>
  </r>
  <r>
    <s v="61f6dfbe114b3c79420079f51dc3c26e"/>
    <x v="3"/>
    <d v="2018-06-09T00:00:00"/>
    <d v="2018-06-27T00:00:00"/>
    <d v="2018-07-04T00:00:00"/>
    <s v="furniture_decor"/>
    <n v="83.67"/>
    <n v="16.78"/>
    <s v="credit_card"/>
    <n v="2"/>
    <s v="delivered"/>
    <d v="2018-06-01T00:00:00"/>
    <n v="18"/>
    <n v="0"/>
    <n v="1"/>
    <n v="100.45"/>
    <n v="58.568999999999996"/>
    <n v="10.068"/>
    <n v="15.033000000000007"/>
    <s v="15-21 days"/>
  </r>
  <r>
    <s v="99252280b81cc43bf99a36206ee2f9bf"/>
    <x v="4"/>
    <d v="2018-06-09T00:00:00"/>
    <d v="2018-06-17T00:00:00"/>
    <d v="2018-06-26T00:00:00"/>
    <s v="toys"/>
    <n v="97.87"/>
    <n v="27.74"/>
    <s v="credit_card"/>
    <n v="4"/>
    <s v="delivered"/>
    <d v="2018-06-01T00:00:00"/>
    <n v="8"/>
    <n v="0"/>
    <n v="1"/>
    <n v="125.61"/>
    <n v="58.722000000000001"/>
    <n v="16.643999999999998"/>
    <n v="22.504000000000005"/>
    <s v="8-14 days"/>
  </r>
  <r>
    <s v="4c3b4e466696c1a63e06d24cd0df7ce3"/>
    <x v="0"/>
    <d v="2018-06-09T00:00:00"/>
    <d v="2018-06-17T00:00:00"/>
    <d v="2018-06-26T00:00:00"/>
    <s v="sports_leisure"/>
    <n v="104.62"/>
    <n v="16.47"/>
    <s v="credit_card"/>
    <n v="4"/>
    <s v="delivered"/>
    <d v="2018-06-01T00:00:00"/>
    <n v="8"/>
    <n v="0"/>
    <n v="1"/>
    <n v="121.09"/>
    <n v="66.956800000000001"/>
    <n v="9.8819999999999997"/>
    <n v="27.781200000000005"/>
    <s v="8-14 days"/>
  </r>
  <r>
    <s v="3da70577aee1e86b9ea556aa61ee6c5b"/>
    <x v="0"/>
    <d v="2018-06-10T00:00:00"/>
    <d v="2018-06-17T00:00:00"/>
    <d v="2018-06-25T00:00:00"/>
    <s v="watches_gifts"/>
    <n v="102.93"/>
    <n v="18.96"/>
    <s v="credit_card"/>
    <n v="5"/>
    <s v="delivered"/>
    <d v="2018-06-01T00:00:00"/>
    <n v="7"/>
    <n v="0"/>
    <n v="1"/>
    <n v="121.89000000000001"/>
    <n v="67.933800000000005"/>
    <n v="11.375999999999999"/>
    <n v="23.620200000000004"/>
    <s v="0-7 days"/>
  </r>
  <r>
    <s v="5d679515f8c5ef5c88f757fbd81b6bb7"/>
    <x v="0"/>
    <d v="2018-06-10T00:00:00"/>
    <d v="2018-06-17T00:00:00"/>
    <d v="2018-06-28T00:00:00"/>
    <s v="toys"/>
    <n v="82.18"/>
    <n v="19.62"/>
    <s v="credit_card"/>
    <n v="5"/>
    <s v="delivered"/>
    <d v="2018-06-01T00:00:00"/>
    <n v="7"/>
    <n v="0"/>
    <n v="1"/>
    <n v="101.80000000000001"/>
    <n v="49.308"/>
    <n v="11.772"/>
    <n v="21.100000000000009"/>
    <s v="0-7 days"/>
  </r>
  <r>
    <s v="d5bccd83bb853c919ae5fbbc0f657cc9"/>
    <x v="6"/>
    <d v="2018-06-10T00:00:00"/>
    <d v="2018-06-22T00:00:00"/>
    <d v="2018-07-07T00:00:00"/>
    <s v="auto"/>
    <n v="39.450000000000003"/>
    <n v="30.69"/>
    <s v="credit_card"/>
    <n v="5"/>
    <s v="delivered"/>
    <d v="2018-06-01T00:00:00"/>
    <n v="12"/>
    <n v="0"/>
    <n v="1"/>
    <n v="70.14"/>
    <n v="26.826000000000004"/>
    <n v="18.414000000000001"/>
    <n v="-5.7900000000000027"/>
    <s v="8-14 days"/>
  </r>
  <r>
    <s v="b677fcbe9928662561a2bcaa3791ed72"/>
    <x v="2"/>
    <d v="2018-06-11T00:00:00"/>
    <d v="2018-06-30T00:00:00"/>
    <d v="2018-07-07T00:00:00"/>
    <s v="bed_bath_table"/>
    <n v="60.49"/>
    <n v="26.7"/>
    <s v="boleto"/>
    <n v="3"/>
    <s v="delivered"/>
    <d v="2018-06-01T00:00:00"/>
    <n v="19"/>
    <n v="0"/>
    <n v="1"/>
    <n v="87.19"/>
    <n v="37.503799999999998"/>
    <n v="16.02"/>
    <n v="6.9662000000000042"/>
    <s v="15-21 days"/>
  </r>
  <r>
    <s v="f99f070420f0156a1e6a66289c6d52d5"/>
    <x v="2"/>
    <d v="2018-06-12T00:00:00"/>
    <d v="2018-06-28T00:00:00"/>
    <d v="2018-07-06T00:00:00"/>
    <s v="furniture_decor"/>
    <n v="143.25"/>
    <n v="27.86"/>
    <s v="credit_card"/>
    <n v="5"/>
    <s v="delivered"/>
    <d v="2018-06-01T00:00:00"/>
    <n v="16"/>
    <n v="0"/>
    <n v="1"/>
    <n v="171.11"/>
    <n v="100.27499999999999"/>
    <n v="16.715999999999998"/>
    <n v="26.259000000000011"/>
    <s v="15-21 days"/>
  </r>
  <r>
    <s v="d123f7c1b7a1267e9a1e00365cbaa496"/>
    <x v="0"/>
    <d v="2018-06-12T00:00:00"/>
    <d v="2018-06-20T00:00:00"/>
    <d v="2018-06-26T00:00:00"/>
    <s v="bed_bath_table"/>
    <n v="87.5"/>
    <n v="14.21"/>
    <s v="credit_card"/>
    <n v="4"/>
    <s v="delivered"/>
    <d v="2018-06-01T00:00:00"/>
    <n v="8"/>
    <n v="0"/>
    <n v="1"/>
    <n v="101.71000000000001"/>
    <n v="54.25"/>
    <n v="8.5259999999999998"/>
    <n v="24.724"/>
    <s v="8-14 days"/>
  </r>
  <r>
    <s v="8ca17f756b2d470a62186d103ef3d5be"/>
    <x v="0"/>
    <d v="2018-06-12T00:00:00"/>
    <d v="2018-06-19T00:00:00"/>
    <d v="2018-06-27T00:00:00"/>
    <s v="housewares"/>
    <n v="33.31"/>
    <n v="18.03"/>
    <s v="credit_card"/>
    <n v="4"/>
    <s v="delivered"/>
    <d v="2018-06-01T00:00:00"/>
    <n v="7"/>
    <n v="0"/>
    <n v="1"/>
    <n v="51.34"/>
    <n v="20.985300000000002"/>
    <n v="10.818"/>
    <n v="1.5067000000000004"/>
    <s v="0-7 days"/>
  </r>
  <r>
    <s v="3d162ab9b01c9191e81b60ffda41a15f"/>
    <x v="0"/>
    <d v="2018-06-12T00:00:00"/>
    <d v="2018-06-23T00:00:00"/>
    <d v="2018-06-27T00:00:00"/>
    <s v="health_beauty"/>
    <n v="225.47"/>
    <n v="22.77"/>
    <s v="credit_card"/>
    <n v="5"/>
    <s v="delivered"/>
    <d v="2018-06-01T00:00:00"/>
    <n v="11"/>
    <n v="0"/>
    <n v="1"/>
    <n v="248.24"/>
    <n v="130.77259999999998"/>
    <n v="13.661999999999999"/>
    <n v="81.03540000000001"/>
    <s v="8-14 days"/>
  </r>
  <r>
    <s v="ad9f0e532e671517e8e52412660f475f"/>
    <x v="0"/>
    <d v="2018-06-12T00:00:00"/>
    <d v="2018-06-21T00:00:00"/>
    <d v="2018-06-29T00:00:00"/>
    <s v="watches_gifts"/>
    <n v="81.86"/>
    <n v="12.62"/>
    <s v="credit_card"/>
    <n v="4"/>
    <s v="delivered"/>
    <d v="2018-06-01T00:00:00"/>
    <n v="9"/>
    <n v="0"/>
    <n v="1"/>
    <n v="94.48"/>
    <n v="54.0276"/>
    <n v="7.5719999999999992"/>
    <n v="20.260400000000001"/>
    <s v="8-14 days"/>
  </r>
  <r>
    <s v="adc25f1664b30768fdfd984e16107d90"/>
    <x v="0"/>
    <d v="2018-06-12T00:00:00"/>
    <d v="2018-06-23T00:00:00"/>
    <d v="2018-06-29T00:00:00"/>
    <s v="health_beauty"/>
    <n v="54.58"/>
    <n v="18.670000000000002"/>
    <s v="boleto"/>
    <n v="5"/>
    <s v="delivered"/>
    <d v="2018-06-01T00:00:00"/>
    <n v="11"/>
    <n v="0"/>
    <n v="1"/>
    <n v="73.25"/>
    <n v="31.656399999999998"/>
    <n v="11.202"/>
    <n v="11.7216"/>
    <s v="8-14 days"/>
  </r>
  <r>
    <s v="c4ca00d78a66de6724d4d5a31bc2197e"/>
    <x v="0"/>
    <d v="2018-06-13T00:00:00"/>
    <d v="2018-06-16T00:00:00"/>
    <d v="2018-06-29T00:00:00"/>
    <s v="auto"/>
    <n v="62.49"/>
    <n v="18.53"/>
    <s v="credit_card"/>
    <n v="5"/>
    <s v="delivered"/>
    <d v="2018-06-01T00:00:00"/>
    <n v="3"/>
    <n v="0"/>
    <n v="1"/>
    <n v="81.02000000000001"/>
    <n v="42.493200000000002"/>
    <n v="11.118"/>
    <n v="8.8788"/>
    <s v="0-7 days"/>
  </r>
  <r>
    <s v="7535ddc2c555b4b58eb58d5c7e8f5f03"/>
    <x v="1"/>
    <d v="2018-06-13T00:00:00"/>
    <d v="2018-06-23T00:00:00"/>
    <d v="2018-07-01T00:00:00"/>
    <s v="housewares"/>
    <n v="38.92"/>
    <n v="27.56"/>
    <s v="credit_card"/>
    <n v="3"/>
    <s v="delivered"/>
    <d v="2018-06-01T00:00:00"/>
    <n v="10"/>
    <n v="0"/>
    <n v="1"/>
    <n v="66.48"/>
    <n v="24.519600000000001"/>
    <n v="16.535999999999998"/>
    <n v="-2.1355999999999966"/>
    <s v="8-14 days"/>
  </r>
  <r>
    <s v="c098e2b47a798ed42a0bfd9ff58f9bdd"/>
    <x v="8"/>
    <d v="2018-06-13T00:00:00"/>
    <d v="2018-06-28T00:00:00"/>
    <d v="2018-07-07T00:00:00"/>
    <s v="furniture_decor"/>
    <n v="123.87"/>
    <n v="17.61"/>
    <s v="credit_card"/>
    <n v="4"/>
    <s v="delivered"/>
    <d v="2018-06-01T00:00:00"/>
    <n v="15"/>
    <n v="0"/>
    <n v="1"/>
    <n v="141.48000000000002"/>
    <n v="86.709000000000003"/>
    <n v="10.565999999999999"/>
    <n v="26.595000000000002"/>
    <s v="15-21 days"/>
  </r>
  <r>
    <s v="64baaea10cd4ba10b4666d9946d5d341"/>
    <x v="0"/>
    <d v="2018-06-13T00:00:00"/>
    <d v="2018-06-27T00:00:00"/>
    <d v="2018-06-27T00:00:00"/>
    <s v="bed_bath_table"/>
    <n v="55.56"/>
    <n v="16.28"/>
    <s v="credit_card"/>
    <n v="5"/>
    <s v="delivered"/>
    <d v="2018-06-01T00:00:00"/>
    <n v="14"/>
    <n v="0"/>
    <n v="1"/>
    <n v="71.84"/>
    <n v="34.447200000000002"/>
    <n v="9.7680000000000007"/>
    <n v="11.344799999999999"/>
    <s v="8-14 days"/>
  </r>
  <r>
    <s v="a453cfdc86d95abd044b6c425ffb3b71"/>
    <x v="4"/>
    <d v="2018-06-13T00:00:00"/>
    <d v="2018-06-25T00:00:00"/>
    <d v="2018-07-01T00:00:00"/>
    <s v="watches_gifts"/>
    <n v="116.79"/>
    <n v="24.74"/>
    <s v="credit_card"/>
    <n v="4"/>
    <s v="delivered"/>
    <d v="2018-06-01T00:00:00"/>
    <n v="12"/>
    <n v="0"/>
    <n v="1"/>
    <n v="141.53"/>
    <n v="77.081400000000002"/>
    <n v="14.843999999999998"/>
    <n v="24.864600000000006"/>
    <s v="8-14 days"/>
  </r>
  <r>
    <s v="7bb3447be9aa144b9dd43675ef145064"/>
    <x v="4"/>
    <d v="2018-06-14T00:00:00"/>
    <d v="2018-06-20T00:00:00"/>
    <d v="2018-07-06T00:00:00"/>
    <s v="health_beauty"/>
    <n v="74.03"/>
    <n v="24.41"/>
    <s v="credit_card"/>
    <n v="5"/>
    <s v="delivered"/>
    <d v="2018-06-01T00:00:00"/>
    <n v="6"/>
    <n v="0"/>
    <n v="1"/>
    <n v="98.44"/>
    <n v="42.937399999999997"/>
    <n v="14.645999999999999"/>
    <n v="16.446600000000004"/>
    <s v="0-7 days"/>
  </r>
  <r>
    <s v="f83893a210f356765a853cd8cbb86be0"/>
    <x v="0"/>
    <d v="2018-06-14T00:00:00"/>
    <d v="2018-06-22T00:00:00"/>
    <d v="2018-06-28T00:00:00"/>
    <s v="bed_bath_table"/>
    <n v="82.21"/>
    <n v="21.76"/>
    <s v="credit_card"/>
    <n v="4"/>
    <s v="delivered"/>
    <d v="2018-06-01T00:00:00"/>
    <n v="8"/>
    <n v="0"/>
    <n v="1"/>
    <n v="103.97"/>
    <n v="50.970199999999998"/>
    <n v="13.056000000000001"/>
    <n v="18.183799999999994"/>
    <s v="8-14 days"/>
  </r>
  <r>
    <s v="0d06d89169808e3c9fa3fe4bdebf96d3"/>
    <x v="3"/>
    <d v="2018-06-14T00:00:00"/>
    <d v="2018-06-27T00:00:00"/>
    <d v="2018-07-07T00:00:00"/>
    <s v="computers_accessories"/>
    <n v="63.1"/>
    <n v="30.01"/>
    <s v="credit_card"/>
    <n v="5"/>
    <s v="delivered"/>
    <d v="2018-06-01T00:00:00"/>
    <n v="13"/>
    <n v="0"/>
    <n v="1"/>
    <n v="93.11"/>
    <n v="46.694000000000003"/>
    <n v="18.006"/>
    <n v="-1.6000000000000014"/>
    <s v="8-14 days"/>
  </r>
  <r>
    <s v="8728066203f2ffe0c8eff82f75887389"/>
    <x v="1"/>
    <d v="2018-06-14T00:00:00"/>
    <d v="2018-06-25T00:00:00"/>
    <d v="2018-07-03T00:00:00"/>
    <s v="watches_gifts"/>
    <n v="184.16"/>
    <n v="23.12"/>
    <s v="credit_card"/>
    <n v="4"/>
    <s v="delivered"/>
    <d v="2018-06-01T00:00:00"/>
    <n v="11"/>
    <n v="0"/>
    <n v="1"/>
    <n v="207.28"/>
    <n v="121.54560000000001"/>
    <n v="13.872"/>
    <n v="48.742399999999989"/>
    <s v="8-14 days"/>
  </r>
  <r>
    <s v="be9c05336d866f777d918fcbffbdefdc"/>
    <x v="7"/>
    <d v="2018-06-14T00:00:00"/>
    <d v="2018-06-27T00:00:00"/>
    <d v="2018-07-05T00:00:00"/>
    <s v="health_beauty"/>
    <n v="212.37"/>
    <n v="31.76"/>
    <s v="credit_card"/>
    <n v="5"/>
    <s v="delivered"/>
    <d v="2018-06-01T00:00:00"/>
    <n v="13"/>
    <n v="0"/>
    <n v="1"/>
    <n v="244.13"/>
    <n v="123.1746"/>
    <n v="19.056000000000001"/>
    <n v="70.139400000000009"/>
    <s v="8-14 days"/>
  </r>
  <r>
    <s v="4c0980210299cb289bd53714614f2082"/>
    <x v="0"/>
    <d v="2018-06-14T00:00:00"/>
    <d v="2018-06-29T00:00:00"/>
    <d v="2018-06-27T00:00:00"/>
    <s v="health_beauty"/>
    <n v="50.28"/>
    <n v="20.68"/>
    <s v="voucher"/>
    <n v="4"/>
    <s v="delivered"/>
    <d v="2018-06-01T00:00:00"/>
    <n v="15"/>
    <n v="2"/>
    <n v="0"/>
    <n v="70.960000000000008"/>
    <n v="29.162399999999998"/>
    <n v="12.407999999999999"/>
    <n v="8.7096000000000036"/>
    <s v="15-21 days"/>
  </r>
  <r>
    <s v="7ad30e2a0413ffc7173a0c96ffbb4bcc"/>
    <x v="1"/>
    <d v="2018-06-15T00:00:00"/>
    <d v="2018-06-27T00:00:00"/>
    <d v="2018-07-06T00:00:00"/>
    <s v="sports_leisure"/>
    <n v="66.59"/>
    <n v="18.68"/>
    <s v="credit_card"/>
    <n v="3"/>
    <s v="delivered"/>
    <d v="2018-06-01T00:00:00"/>
    <n v="12"/>
    <n v="0"/>
    <n v="1"/>
    <n v="85.27000000000001"/>
    <n v="42.617600000000003"/>
    <n v="11.208"/>
    <n v="12.7644"/>
    <s v="8-14 days"/>
  </r>
  <r>
    <s v="fad5ab170ebd9eef0836b2d104dbe9aa"/>
    <x v="0"/>
    <d v="2018-06-15T00:00:00"/>
    <d v="2018-06-28T00:00:00"/>
    <d v="2018-07-02T00:00:00"/>
    <s v="bed_bath_table"/>
    <n v="55.47"/>
    <n v="20.57"/>
    <s v="credit_card"/>
    <n v="5"/>
    <s v="delivered"/>
    <d v="2018-06-01T00:00:00"/>
    <n v="13"/>
    <n v="0"/>
    <n v="1"/>
    <n v="76.039999999999992"/>
    <n v="34.391399999999997"/>
    <n v="12.342000000000001"/>
    <n v="8.736600000000001"/>
    <s v="8-14 days"/>
  </r>
  <r>
    <s v="875cf0673432327f0db04a2c2a24cab7"/>
    <x v="0"/>
    <d v="2018-06-15T00:00:00"/>
    <d v="2018-06-18T00:00:00"/>
    <d v="2018-07-01T00:00:00"/>
    <s v="computers_accessories"/>
    <n v="101.19"/>
    <n v="13.69"/>
    <s v="credit_card"/>
    <n v="3"/>
    <s v="delivered"/>
    <d v="2018-06-01T00:00:00"/>
    <n v="3"/>
    <n v="0"/>
    <n v="1"/>
    <n v="114.88"/>
    <n v="74.880600000000001"/>
    <n v="8.2139999999999986"/>
    <n v="18.095399999999998"/>
    <s v="0-7 days"/>
  </r>
  <r>
    <s v="e74c87ebf10a373d1407a94b0e594ba4"/>
    <x v="0"/>
    <d v="2018-06-15T00:00:00"/>
    <d v="2018-06-25T00:00:00"/>
    <d v="2018-06-28T00:00:00"/>
    <s v="housewares"/>
    <n v="41.29"/>
    <n v="15.21"/>
    <s v="credit_card"/>
    <n v="5"/>
    <s v="delivered"/>
    <d v="2018-06-01T00:00:00"/>
    <n v="10"/>
    <n v="0"/>
    <n v="1"/>
    <n v="56.5"/>
    <n v="26.012699999999999"/>
    <n v="9.1259999999999994"/>
    <n v="6.1513000000000009"/>
    <s v="8-14 days"/>
  </r>
  <r>
    <s v="67cc3176c02ac52a582f5c694be9e5d7"/>
    <x v="1"/>
    <d v="2018-06-15T00:00:00"/>
    <d v="2018-06-26T00:00:00"/>
    <d v="2018-07-05T00:00:00"/>
    <s v="computers_accessories"/>
    <n v="179.02"/>
    <n v="29.37"/>
    <s v="credit_card"/>
    <n v="5"/>
    <s v="delivered"/>
    <d v="2018-06-01T00:00:00"/>
    <n v="11"/>
    <n v="0"/>
    <n v="1"/>
    <n v="208.39000000000001"/>
    <n v="132.47480000000002"/>
    <n v="17.622"/>
    <n v="28.923199999999994"/>
    <s v="8-14 days"/>
  </r>
  <r>
    <s v="5ef97dbae07d0865ef38f3cc301f5433"/>
    <x v="6"/>
    <d v="2018-06-15T00:00:00"/>
    <d v="2018-07-06T00:00:00"/>
    <d v="2018-07-14T00:00:00"/>
    <s v="sports_leisure"/>
    <n v="50.11"/>
    <n v="32.619999999999997"/>
    <s v="boleto"/>
    <n v="3"/>
    <s v="delivered"/>
    <d v="2018-06-01T00:00:00"/>
    <n v="21"/>
    <n v="0"/>
    <n v="1"/>
    <n v="82.72999999999999"/>
    <n v="32.070399999999999"/>
    <n v="19.571999999999999"/>
    <n v="-1.5323999999999991"/>
    <s v="15-21 days"/>
  </r>
  <r>
    <s v="d5b654383ecd088801afb939c4df5b8d"/>
    <x v="2"/>
    <d v="2018-06-16T00:00:00"/>
    <d v="2018-07-04T00:00:00"/>
    <d v="2018-07-09T00:00:00"/>
    <s v="bed_bath_table"/>
    <n v="145.72999999999999"/>
    <n v="24.72"/>
    <s v="boleto"/>
    <n v="4"/>
    <s v="delivered"/>
    <d v="2018-06-01T00:00:00"/>
    <n v="18"/>
    <n v="0"/>
    <n v="1"/>
    <n v="170.45"/>
    <n v="90.352599999999995"/>
    <n v="14.831999999999999"/>
    <n v="40.545399999999994"/>
    <s v="15-21 days"/>
  </r>
  <r>
    <s v="73dd8d3140e10b51112858041243161c"/>
    <x v="10"/>
    <d v="2018-06-16T00:00:00"/>
    <d v="2018-07-17T00:00:00"/>
    <d v="2018-07-15T00:00:00"/>
    <s v="computers_accessories"/>
    <n v="81.510000000000005"/>
    <n v="42.66"/>
    <s v="voucher"/>
    <n v="3"/>
    <s v="delivered"/>
    <d v="2018-06-01T00:00:00"/>
    <n v="31"/>
    <n v="2"/>
    <n v="0"/>
    <n v="124.17"/>
    <n v="60.317400000000006"/>
    <n v="25.595999999999997"/>
    <n v="-4.4033999999999978"/>
    <s v="22+ days"/>
  </r>
  <r>
    <s v="5452185cecfc912a490a4abdb18848f9"/>
    <x v="0"/>
    <d v="2018-06-16T00:00:00"/>
    <d v="2018-06-22T00:00:00"/>
    <d v="2018-06-28T00:00:00"/>
    <s v="bed_bath_table"/>
    <n v="46.71"/>
    <n v="17.79"/>
    <s v="credit_card"/>
    <n v="3"/>
    <s v="delivered"/>
    <d v="2018-06-01T00:00:00"/>
    <n v="6"/>
    <n v="0"/>
    <n v="1"/>
    <n v="64.5"/>
    <n v="28.9602"/>
    <n v="10.673999999999999"/>
    <n v="7.075800000000001"/>
    <s v="0-7 days"/>
  </r>
  <r>
    <s v="c6a1a468afb3e3addc432ed564caa1c7"/>
    <x v="0"/>
    <d v="2018-06-17T00:00:00"/>
    <d v="2018-06-24T00:00:00"/>
    <d v="2018-07-02T00:00:00"/>
    <s v="housewares"/>
    <n v="70.489999999999995"/>
    <n v="17.190000000000001"/>
    <s v="credit_card"/>
    <n v="4"/>
    <s v="delivered"/>
    <d v="2018-06-01T00:00:00"/>
    <n v="7"/>
    <n v="0"/>
    <n v="1"/>
    <n v="87.679999999999993"/>
    <n v="44.408699999999996"/>
    <n v="10.314"/>
    <n v="15.767299999999999"/>
    <s v="0-7 days"/>
  </r>
  <r>
    <s v="04d999e6388211e059cda20b831c3139"/>
    <x v="0"/>
    <d v="2018-06-17T00:00:00"/>
    <d v="2018-06-23T00:00:00"/>
    <d v="2018-07-01T00:00:00"/>
    <s v="health_beauty"/>
    <n v="234.26"/>
    <n v="17.239999999999998"/>
    <s v="credit_card"/>
    <n v="5"/>
    <s v="delivered"/>
    <d v="2018-06-01T00:00:00"/>
    <n v="6"/>
    <n v="0"/>
    <n v="1"/>
    <n v="251.5"/>
    <n v="135.87079999999997"/>
    <n v="10.343999999999999"/>
    <n v="88.045200000000023"/>
    <s v="0-7 days"/>
  </r>
  <r>
    <s v="7c263cec6c22c110d4f10cf9f12ee3a3"/>
    <x v="0"/>
    <d v="2018-06-17T00:00:00"/>
    <d v="2018-06-23T00:00:00"/>
    <d v="2018-07-03T00:00:00"/>
    <s v="furniture_decor"/>
    <n v="72.31"/>
    <n v="15.08"/>
    <s v="boleto"/>
    <n v="5"/>
    <s v="delivered"/>
    <d v="2018-06-01T00:00:00"/>
    <n v="6"/>
    <n v="0"/>
    <n v="1"/>
    <n v="87.39"/>
    <n v="50.616999999999997"/>
    <n v="9.048"/>
    <n v="12.645000000000005"/>
    <s v="0-7 days"/>
  </r>
  <r>
    <s v="f473c022981b99f9c145419c74ebfa0d"/>
    <x v="0"/>
    <d v="2018-06-18T00:00:00"/>
    <d v="2018-06-28T00:00:00"/>
    <d v="2018-07-04T00:00:00"/>
    <s v="watches_gifts"/>
    <n v="163.87"/>
    <n v="17.96"/>
    <s v="credit_card"/>
    <n v="5"/>
    <s v="delivered"/>
    <d v="2018-06-01T00:00:00"/>
    <n v="10"/>
    <n v="0"/>
    <n v="1"/>
    <n v="181.83"/>
    <n v="108.1542"/>
    <n v="10.776"/>
    <n v="44.939800000000005"/>
    <s v="8-14 days"/>
  </r>
  <r>
    <s v="7f353843d25bb219991228bed483764a"/>
    <x v="0"/>
    <d v="2018-06-18T00:00:00"/>
    <d v="2018-06-27T00:00:00"/>
    <d v="2018-07-05T00:00:00"/>
    <s v="auto"/>
    <n v="100.39"/>
    <n v="15.63"/>
    <s v="boleto"/>
    <n v="5"/>
    <s v="delivered"/>
    <d v="2018-06-01T00:00:00"/>
    <n v="9"/>
    <n v="0"/>
    <n v="1"/>
    <n v="116.02"/>
    <n v="68.265200000000007"/>
    <n v="9.3780000000000001"/>
    <n v="22.746799999999993"/>
    <s v="8-14 days"/>
  </r>
  <r>
    <s v="ee4ebb16d980a784185708fa426e08b6"/>
    <x v="3"/>
    <d v="2018-06-18T00:00:00"/>
    <d v="2018-07-07T00:00:00"/>
    <d v="2018-07-09T00:00:00"/>
    <s v="watches_gifts"/>
    <n v="205.13"/>
    <n v="28.51"/>
    <s v="boleto"/>
    <n v="5"/>
    <s v="delivered"/>
    <d v="2018-06-01T00:00:00"/>
    <n v="19"/>
    <n v="0"/>
    <n v="1"/>
    <n v="233.64"/>
    <n v="135.38580000000002"/>
    <n v="17.106000000000002"/>
    <n v="52.638199999999976"/>
    <s v="15-21 days"/>
  </r>
  <r>
    <s v="689998d64e444af9b106c45a71f6aee9"/>
    <x v="6"/>
    <d v="2018-06-18T00:00:00"/>
    <d v="2018-07-07T00:00:00"/>
    <d v="2018-07-21T00:00:00"/>
    <s v="furniture_decor"/>
    <n v="78.53"/>
    <n v="25.56"/>
    <s v="credit_card"/>
    <n v="4"/>
    <s v="delivered"/>
    <d v="2018-06-01T00:00:00"/>
    <n v="19"/>
    <n v="0"/>
    <n v="1"/>
    <n v="104.09"/>
    <n v="54.970999999999997"/>
    <n v="15.335999999999999"/>
    <n v="8.2230000000000061"/>
    <s v="15-21 days"/>
  </r>
  <r>
    <s v="b2a3f8e59bab29cf284e8078525aaa7d"/>
    <x v="0"/>
    <d v="2018-06-18T00:00:00"/>
    <d v="2018-06-20T00:00:00"/>
    <d v="2018-07-01T00:00:00"/>
    <s v="bed_bath_table"/>
    <n v="65.8"/>
    <n v="13.41"/>
    <s v="credit_card"/>
    <n v="4"/>
    <s v="delivered"/>
    <d v="2018-06-01T00:00:00"/>
    <n v="2"/>
    <n v="0"/>
    <n v="1"/>
    <n v="79.209999999999994"/>
    <n v="40.795999999999999"/>
    <n v="8.0459999999999994"/>
    <n v="16.957999999999998"/>
    <s v="0-7 days"/>
  </r>
  <r>
    <s v="999413ccff9957a888adb388287e4086"/>
    <x v="2"/>
    <d v="2018-06-19T00:00:00"/>
    <d v="2018-07-02T00:00:00"/>
    <d v="2018-07-11T00:00:00"/>
    <s v="health_beauty"/>
    <n v="54.13"/>
    <n v="21.68"/>
    <s v="credit_card"/>
    <n v="3"/>
    <s v="delivered"/>
    <d v="2018-06-01T00:00:00"/>
    <n v="13"/>
    <n v="0"/>
    <n v="1"/>
    <n v="75.81"/>
    <n v="31.395399999999999"/>
    <n v="13.007999999999999"/>
    <n v="9.7266000000000048"/>
    <s v="8-14 days"/>
  </r>
  <r>
    <s v="bc1cd60d7d9c03c773deaa5655eef366"/>
    <x v="0"/>
    <d v="2018-06-19T00:00:00"/>
    <d v="2018-06-28T00:00:00"/>
    <d v="2018-07-05T00:00:00"/>
    <s v="housewares"/>
    <n v="98.35"/>
    <n v="20.91"/>
    <s v="credit_card"/>
    <n v="5"/>
    <s v="delivered"/>
    <d v="2018-06-01T00:00:00"/>
    <n v="9"/>
    <n v="0"/>
    <n v="1"/>
    <n v="119.25999999999999"/>
    <n v="61.960499999999996"/>
    <n v="12.545999999999999"/>
    <n v="23.843499999999999"/>
    <s v="8-14 days"/>
  </r>
  <r>
    <s v="be1924aadab712f6764231c326daf6d1"/>
    <x v="2"/>
    <d v="2018-06-19T00:00:00"/>
    <d v="2018-07-02T00:00:00"/>
    <d v="2018-07-11T00:00:00"/>
    <s v="computers_accessories"/>
    <n v="97.27"/>
    <n v="30.01"/>
    <s v="credit_card"/>
    <n v="4"/>
    <s v="delivered"/>
    <d v="2018-06-01T00:00:00"/>
    <n v="13"/>
    <n v="0"/>
    <n v="1"/>
    <n v="127.28"/>
    <n v="71.979799999999997"/>
    <n v="18.006"/>
    <n v="7.2841999999999985"/>
    <s v="8-14 days"/>
  </r>
  <r>
    <s v="8a426ff020984689c78ae6ce0a199083"/>
    <x v="4"/>
    <d v="2018-06-19T00:00:00"/>
    <d v="2018-07-06T00:00:00"/>
    <d v="2018-07-10T00:00:00"/>
    <s v="sports_leisure"/>
    <n v="38.15"/>
    <n v="27.99"/>
    <s v="credit_card"/>
    <n v="5"/>
    <s v="delivered"/>
    <d v="2018-06-01T00:00:00"/>
    <n v="17"/>
    <n v="0"/>
    <n v="1"/>
    <n v="66.14"/>
    <n v="24.416"/>
    <n v="16.793999999999997"/>
    <n v="-3.0599999999999987"/>
    <s v="15-21 days"/>
  </r>
  <r>
    <s v="a289499e2a6716d4ae2e7dd219a2a602"/>
    <x v="3"/>
    <d v="2018-06-19T00:00:00"/>
    <d v="2018-07-14T00:00:00"/>
    <d v="2018-07-14T00:00:00"/>
    <s v="health_beauty"/>
    <n v="184.19"/>
    <n v="23.89"/>
    <s v="credit_card"/>
    <n v="3"/>
    <s v="delivered"/>
    <d v="2018-06-01T00:00:00"/>
    <n v="25"/>
    <n v="0"/>
    <n v="1"/>
    <n v="208.07999999999998"/>
    <n v="106.83019999999999"/>
    <n v="14.334"/>
    <n v="63.025800000000004"/>
    <s v="22+ days"/>
  </r>
  <r>
    <s v="e3fa68932cd4e76df40ab6cf31c78a33"/>
    <x v="0"/>
    <d v="2018-06-19T00:00:00"/>
    <d v="2018-06-25T00:00:00"/>
    <d v="2018-07-05T00:00:00"/>
    <s v="furniture_decor"/>
    <n v="62.1"/>
    <n v="21.98"/>
    <s v="credit_card"/>
    <n v="5"/>
    <s v="delivered"/>
    <d v="2018-06-01T00:00:00"/>
    <n v="6"/>
    <n v="0"/>
    <n v="1"/>
    <n v="84.08"/>
    <n v="43.47"/>
    <n v="13.188000000000001"/>
    <n v="5.4420000000000019"/>
    <s v="0-7 days"/>
  </r>
  <r>
    <s v="1e79df28794826b3a75d097838561675"/>
    <x v="8"/>
    <d v="2018-06-19T00:00:00"/>
    <d v="2018-06-29T00:00:00"/>
    <d v="2018-07-12T00:00:00"/>
    <s v="sports_leisure"/>
    <n v="67.84"/>
    <n v="26.71"/>
    <s v="credit_card"/>
    <n v="4"/>
    <s v="delivered"/>
    <d v="2018-06-01T00:00:00"/>
    <n v="10"/>
    <n v="0"/>
    <n v="1"/>
    <n v="94.550000000000011"/>
    <n v="43.4176"/>
    <n v="16.026"/>
    <n v="8.3964000000000034"/>
    <s v="8-14 days"/>
  </r>
  <r>
    <s v="59c13918b6b0a72650399f423ec6f665"/>
    <x v="6"/>
    <d v="2018-06-19T00:00:00"/>
    <d v="2018-07-05T00:00:00"/>
    <d v="2018-07-17T00:00:00"/>
    <s v="health_beauty"/>
    <n v="132.07"/>
    <n v="41"/>
    <s v="boleto"/>
    <n v="3"/>
    <s v="delivered"/>
    <d v="2018-06-01T00:00:00"/>
    <n v="16"/>
    <n v="0"/>
    <n v="1"/>
    <n v="173.07"/>
    <n v="76.600599999999986"/>
    <n v="24.599999999999998"/>
    <n v="30.869400000000009"/>
    <s v="15-21 days"/>
  </r>
  <r>
    <s v="5bda0655f06dca247bc6e121bb64a525"/>
    <x v="8"/>
    <d v="2018-06-20T00:00:00"/>
    <d v="2018-07-13T00:00:00"/>
    <d v="2018-07-14T00:00:00"/>
    <s v="computers_accessories"/>
    <n v="196.6"/>
    <n v="20.78"/>
    <s v="credit_card"/>
    <n v="4"/>
    <s v="delivered"/>
    <d v="2018-06-01T00:00:00"/>
    <n v="23"/>
    <n v="0"/>
    <n v="1"/>
    <n v="217.38"/>
    <n v="145.48399999999998"/>
    <n v="12.468"/>
    <n v="38.64800000000001"/>
    <s v="22+ days"/>
  </r>
  <r>
    <s v="3ad51382119fb03e97314c9198b6691b"/>
    <x v="0"/>
    <d v="2018-06-20T00:00:00"/>
    <d v="2018-06-25T00:00:00"/>
    <d v="2018-07-06T00:00:00"/>
    <s v="furniture_decor"/>
    <n v="36.700000000000003"/>
    <n v="20.92"/>
    <s v="credit_card"/>
    <n v="3"/>
    <s v="delivered"/>
    <d v="2018-06-01T00:00:00"/>
    <n v="5"/>
    <n v="0"/>
    <n v="1"/>
    <n v="57.620000000000005"/>
    <n v="25.69"/>
    <n v="12.552000000000001"/>
    <n v="-1.5419999999999998"/>
    <s v="0-7 days"/>
  </r>
  <r>
    <s v="6cfb6acc2e0c5488a76f7d3c62522f26"/>
    <x v="0"/>
    <d v="2018-06-20T00:00:00"/>
    <d v="2018-06-29T00:00:00"/>
    <d v="2018-07-07T00:00:00"/>
    <s v="furniture_decor"/>
    <n v="53.73"/>
    <n v="12.55"/>
    <s v="credit_card"/>
    <n v="5"/>
    <s v="delivered"/>
    <d v="2018-06-01T00:00:00"/>
    <n v="9"/>
    <n v="0"/>
    <n v="1"/>
    <n v="66.28"/>
    <n v="37.610999999999997"/>
    <n v="7.53"/>
    <n v="8.5889999999999986"/>
    <s v="8-14 days"/>
  </r>
  <r>
    <s v="fcbfa2ca96a805bbb7a7d1bac6e43494"/>
    <x v="0"/>
    <d v="2018-06-20T00:00:00"/>
    <d v="2018-06-27T00:00:00"/>
    <d v="2018-07-05T00:00:00"/>
    <s v="bed_bath_table"/>
    <n v="119.4"/>
    <n v="15.4"/>
    <s v="credit_card"/>
    <n v="5"/>
    <s v="delivered"/>
    <d v="2018-06-01T00:00:00"/>
    <n v="7"/>
    <n v="0"/>
    <n v="1"/>
    <n v="134.80000000000001"/>
    <n v="74.028000000000006"/>
    <n v="9.24"/>
    <n v="36.131999999999998"/>
    <s v="0-7 days"/>
  </r>
  <r>
    <s v="5eb9bbd8db787079fcdc5b25a6272842"/>
    <x v="4"/>
    <d v="2018-06-20T00:00:00"/>
    <d v="2018-07-13T00:00:00"/>
    <d v="2018-07-10T00:00:00"/>
    <s v="auto"/>
    <n v="452.84"/>
    <n v="34.49"/>
    <s v="credit_card"/>
    <n v="2"/>
    <s v="delivered"/>
    <d v="2018-06-01T00:00:00"/>
    <n v="23"/>
    <n v="3"/>
    <n v="0"/>
    <n v="487.33"/>
    <n v="307.93119999999999"/>
    <n v="20.693999999999999"/>
    <n v="124.21479999999998"/>
    <s v="22+ days"/>
  </r>
  <r>
    <s v="b6ac204884308e0c3fe604f428670d3b"/>
    <x v="2"/>
    <d v="2018-06-21T00:00:00"/>
    <d v="2018-07-10T00:00:00"/>
    <d v="2018-07-16T00:00:00"/>
    <s v="sports_leisure"/>
    <n v="118.12"/>
    <n v="19.03"/>
    <s v="voucher"/>
    <n v="4"/>
    <s v="delivered"/>
    <d v="2018-06-01T00:00:00"/>
    <n v="19"/>
    <n v="0"/>
    <n v="1"/>
    <n v="137.15"/>
    <n v="75.596800000000002"/>
    <n v="11.418000000000001"/>
    <n v="31.105200000000004"/>
    <s v="15-21 days"/>
  </r>
  <r>
    <s v="d9b81389ec16ddb7fd93754aca90001c"/>
    <x v="0"/>
    <d v="2018-06-21T00:00:00"/>
    <d v="2018-06-30T00:00:00"/>
    <d v="2018-07-08T00:00:00"/>
    <s v="housewares"/>
    <n v="70.67"/>
    <n v="19.39"/>
    <s v="credit_card"/>
    <n v="4"/>
    <s v="delivered"/>
    <d v="2018-06-01T00:00:00"/>
    <n v="9"/>
    <n v="0"/>
    <n v="1"/>
    <n v="90.06"/>
    <n v="44.522100000000002"/>
    <n v="11.634"/>
    <n v="14.5139"/>
    <s v="8-14 days"/>
  </r>
  <r>
    <s v="5f390d2b5f25210ea82e2d6137164f31"/>
    <x v="0"/>
    <d v="2018-06-21T00:00:00"/>
    <d v="2018-07-06T00:00:00"/>
    <d v="2018-07-06T00:00:00"/>
    <s v="housewares"/>
    <n v="67.91"/>
    <n v="14.43"/>
    <s v="credit_card"/>
    <n v="5"/>
    <s v="delivered"/>
    <d v="2018-06-01T00:00:00"/>
    <n v="15"/>
    <n v="0"/>
    <n v="1"/>
    <n v="82.34"/>
    <n v="42.783299999999997"/>
    <n v="8.6579999999999995"/>
    <n v="16.468699999999998"/>
    <s v="15-21 days"/>
  </r>
  <r>
    <s v="718170c234b158aa26df6494ac1cfcfc"/>
    <x v="0"/>
    <d v="2018-06-21T00:00:00"/>
    <d v="2018-06-28T00:00:00"/>
    <d v="2018-07-06T00:00:00"/>
    <s v="health_beauty"/>
    <n v="58.01"/>
    <n v="17.809999999999999"/>
    <s v="credit_card"/>
    <n v="5"/>
    <s v="delivered"/>
    <d v="2018-06-01T00:00:00"/>
    <n v="7"/>
    <n v="0"/>
    <n v="1"/>
    <n v="75.819999999999993"/>
    <n v="33.645799999999994"/>
    <n v="10.685999999999998"/>
    <n v="13.678200000000006"/>
    <s v="0-7 days"/>
  </r>
  <r>
    <s v="9919be9116a26e585d31626349592f6e"/>
    <x v="2"/>
    <d v="2018-06-21T00:00:00"/>
    <d v="2018-06-29T00:00:00"/>
    <d v="2018-07-17T00:00:00"/>
    <s v="watches_gifts"/>
    <n v="430.02"/>
    <n v="35.44"/>
    <s v="credit_card"/>
    <n v="4"/>
    <s v="delivered"/>
    <d v="2018-06-01T00:00:00"/>
    <n v="8"/>
    <n v="0"/>
    <n v="1"/>
    <n v="465.46"/>
    <n v="283.81319999999999"/>
    <n v="21.263999999999999"/>
    <n v="124.94279999999999"/>
    <s v="8-14 days"/>
  </r>
  <r>
    <s v="2e9b8fb501c90e2ae726f649e650cae5"/>
    <x v="4"/>
    <d v="2018-06-21T00:00:00"/>
    <d v="2018-07-03T00:00:00"/>
    <d v="2018-07-12T00:00:00"/>
    <s v="health_beauty"/>
    <n v="71.040000000000006"/>
    <n v="27.51"/>
    <s v="boleto"/>
    <n v="5"/>
    <s v="delivered"/>
    <d v="2018-06-01T00:00:00"/>
    <n v="12"/>
    <n v="0"/>
    <n v="1"/>
    <n v="98.550000000000011"/>
    <n v="41.203200000000002"/>
    <n v="16.506"/>
    <n v="13.330800000000004"/>
    <s v="8-14 days"/>
  </r>
  <r>
    <s v="eb53b7a7caf5c7b4f7ffc08adbba8812"/>
    <x v="0"/>
    <d v="2018-06-21T00:00:00"/>
    <d v="2018-06-25T00:00:00"/>
    <d v="2018-07-03T00:00:00"/>
    <s v="housewares"/>
    <n v="60.4"/>
    <n v="13.98"/>
    <s v="boleto"/>
    <n v="5"/>
    <s v="delivered"/>
    <d v="2018-06-01T00:00:00"/>
    <n v="4"/>
    <n v="0"/>
    <n v="1"/>
    <n v="74.38"/>
    <n v="38.052"/>
    <n v="8.3879999999999999"/>
    <n v="13.959999999999999"/>
    <s v="0-7 days"/>
  </r>
  <r>
    <s v="083dd6f7638d5efe5b0d2428af9f9ce0"/>
    <x v="0"/>
    <d v="2018-06-21T00:00:00"/>
    <d v="2018-06-24T00:00:00"/>
    <d v="2018-07-05T00:00:00"/>
    <s v="computers_accessories"/>
    <n v="77.989999999999995"/>
    <n v="20.67"/>
    <s v="boleto"/>
    <n v="5"/>
    <s v="delivered"/>
    <d v="2018-06-01T00:00:00"/>
    <n v="3"/>
    <n v="0"/>
    <n v="1"/>
    <n v="98.66"/>
    <n v="57.712599999999995"/>
    <n v="12.402000000000001"/>
    <n v="7.8753999999999991"/>
    <s v="0-7 days"/>
  </r>
  <r>
    <s v="eb5cf46780bacd647a0ecfea958ca9ba"/>
    <x v="2"/>
    <d v="2018-06-22T00:00:00"/>
    <d v="2018-07-10T00:00:00"/>
    <d v="2018-07-15T00:00:00"/>
    <s v="computers_accessories"/>
    <n v="141.63999999999999"/>
    <n v="19.11"/>
    <s v="boleto"/>
    <n v="5"/>
    <s v="delivered"/>
    <d v="2018-06-01T00:00:00"/>
    <n v="18"/>
    <n v="0"/>
    <n v="1"/>
    <n v="160.75"/>
    <n v="104.81359999999999"/>
    <n v="11.465999999999999"/>
    <n v="25.360399999999991"/>
    <s v="15-21 days"/>
  </r>
  <r>
    <s v="ce1e8d1f9de7df7b5594552b405a8e7e"/>
    <x v="0"/>
    <d v="2018-06-22T00:00:00"/>
    <d v="2018-06-28T00:00:00"/>
    <d v="2018-07-10T00:00:00"/>
    <s v="furniture_decor"/>
    <n v="51.32"/>
    <n v="13.73"/>
    <s v="boleto"/>
    <n v="3"/>
    <s v="delivered"/>
    <d v="2018-06-01T00:00:00"/>
    <n v="6"/>
    <n v="0"/>
    <n v="1"/>
    <n v="65.05"/>
    <n v="35.923999999999999"/>
    <n v="8.2379999999999995"/>
    <n v="7.1580000000000013"/>
    <s v="0-7 days"/>
  </r>
  <r>
    <s v="31120678308c523dcb7e717c217bc29e"/>
    <x v="0"/>
    <d v="2018-06-22T00:00:00"/>
    <d v="2018-06-27T00:00:00"/>
    <d v="2018-07-08T00:00:00"/>
    <s v="furniture_decor"/>
    <n v="124.68"/>
    <n v="22.26"/>
    <s v="credit_card"/>
    <n v="4"/>
    <s v="delivered"/>
    <d v="2018-06-01T00:00:00"/>
    <n v="5"/>
    <n v="0"/>
    <n v="1"/>
    <n v="146.94"/>
    <n v="87.275999999999996"/>
    <n v="13.356"/>
    <n v="24.048000000000009"/>
    <s v="0-7 days"/>
  </r>
  <r>
    <s v="7e5e212d6f25222ddd6f042012377609"/>
    <x v="4"/>
    <d v="2018-06-22T00:00:00"/>
    <d v="2018-06-28T00:00:00"/>
    <d v="2018-07-12T00:00:00"/>
    <s v="computers_accessories"/>
    <n v="127.33"/>
    <n v="17.420000000000002"/>
    <s v="credit_card"/>
    <n v="5"/>
    <s v="delivered"/>
    <d v="2018-06-01T00:00:00"/>
    <n v="6"/>
    <n v="0"/>
    <n v="1"/>
    <n v="144.75"/>
    <n v="94.224199999999996"/>
    <n v="10.452"/>
    <n v="22.653800000000004"/>
    <s v="0-7 days"/>
  </r>
  <r>
    <s v="673cdc9b096d4490c475301cabccd7e5"/>
    <x v="1"/>
    <d v="2018-06-22T00:00:00"/>
    <d v="2018-07-06T00:00:00"/>
    <d v="2018-07-12T00:00:00"/>
    <s v="furniture_decor"/>
    <n v="337.19"/>
    <n v="26.41"/>
    <s v="credit_card"/>
    <n v="5"/>
    <s v="delivered"/>
    <d v="2018-06-01T00:00:00"/>
    <n v="14"/>
    <n v="0"/>
    <n v="1"/>
    <n v="363.6"/>
    <n v="236.03299999999999"/>
    <n v="15.846"/>
    <n v="85.311000000000007"/>
    <s v="8-14 days"/>
  </r>
  <r>
    <s v="d5dc3956931c2818f61c16616f71b9ba"/>
    <x v="7"/>
    <d v="2018-06-22T00:00:00"/>
    <d v="2018-07-09T00:00:00"/>
    <d v="2018-07-14T00:00:00"/>
    <s v="sports_leisure"/>
    <n v="111.24"/>
    <n v="20.92"/>
    <s v="credit_card"/>
    <n v="4"/>
    <s v="delivered"/>
    <d v="2018-06-01T00:00:00"/>
    <n v="17"/>
    <n v="0"/>
    <n v="1"/>
    <n v="132.16"/>
    <n v="71.193600000000004"/>
    <n v="12.552000000000001"/>
    <n v="27.494399999999992"/>
    <s v="15-21 days"/>
  </r>
  <r>
    <s v="341ef40b57c700aab7b56ea735ebd32d"/>
    <x v="0"/>
    <d v="2018-06-23T00:00:00"/>
    <d v="2018-07-05T00:00:00"/>
    <d v="2018-07-07T00:00:00"/>
    <s v="toys"/>
    <n v="106.79"/>
    <n v="15.59"/>
    <s v="credit_card"/>
    <n v="4"/>
    <s v="delivered"/>
    <d v="2018-06-01T00:00:00"/>
    <n v="12"/>
    <n v="0"/>
    <n v="1"/>
    <n v="122.38000000000001"/>
    <n v="64.073999999999998"/>
    <n v="9.3539999999999992"/>
    <n v="33.362000000000009"/>
    <s v="8-14 days"/>
  </r>
  <r>
    <s v="33fd862d4057e470be6127a80351b09d"/>
    <x v="3"/>
    <d v="2018-06-23T00:00:00"/>
    <d v="2018-07-03T00:00:00"/>
    <d v="2018-07-19T00:00:00"/>
    <s v="auto"/>
    <n v="175.88"/>
    <n v="26.33"/>
    <s v="credit_card"/>
    <n v="4"/>
    <s v="delivered"/>
    <d v="2018-06-01T00:00:00"/>
    <n v="10"/>
    <n v="0"/>
    <n v="1"/>
    <n v="202.20999999999998"/>
    <n v="119.59840000000001"/>
    <n v="15.797999999999998"/>
    <n v="40.483599999999981"/>
    <s v="8-14 days"/>
  </r>
  <r>
    <s v="0ed40264eb068b1e6fc0174f57d714f1"/>
    <x v="0"/>
    <d v="2018-06-23T00:00:00"/>
    <d v="2018-06-27T00:00:00"/>
    <d v="2018-07-07T00:00:00"/>
    <s v="bed_bath_table"/>
    <n v="228.47"/>
    <n v="18.760000000000002"/>
    <s v="credit_card"/>
    <n v="4"/>
    <s v="delivered"/>
    <d v="2018-06-01T00:00:00"/>
    <n v="4"/>
    <n v="0"/>
    <n v="1"/>
    <n v="247.23"/>
    <n v="141.6514"/>
    <n v="11.256"/>
    <n v="75.562600000000003"/>
    <s v="0-7 days"/>
  </r>
  <r>
    <s v="35b39c0eb588489eeffbd1974d73a782"/>
    <x v="0"/>
    <d v="2018-06-23T00:00:00"/>
    <d v="2018-06-30T00:00:00"/>
    <d v="2018-07-06T00:00:00"/>
    <s v="toys"/>
    <n v="132.1"/>
    <n v="20.8"/>
    <s v="boleto"/>
    <n v="5"/>
    <s v="delivered"/>
    <d v="2018-06-01T00:00:00"/>
    <n v="7"/>
    <n v="0"/>
    <n v="1"/>
    <n v="152.9"/>
    <n v="79.259999999999991"/>
    <n v="12.48"/>
    <n v="40.36"/>
    <s v="0-7 days"/>
  </r>
  <r>
    <s v="54ea371846af357c82520d78cdbfaa37"/>
    <x v="3"/>
    <d v="2018-06-23T00:00:00"/>
    <d v="2018-07-09T00:00:00"/>
    <d v="2018-07-16T00:00:00"/>
    <s v="auto"/>
    <n v="93.3"/>
    <n v="29.78"/>
    <s v="voucher"/>
    <n v="4"/>
    <s v="delivered"/>
    <d v="2018-06-01T00:00:00"/>
    <n v="16"/>
    <n v="0"/>
    <n v="1"/>
    <n v="123.08"/>
    <n v="63.444000000000003"/>
    <n v="17.867999999999999"/>
    <n v="11.987999999999996"/>
    <s v="15-21 days"/>
  </r>
  <r>
    <s v="e4cd46e12139298b2795bf89d5b4c4a4"/>
    <x v="3"/>
    <d v="2018-06-23T00:00:00"/>
    <d v="2018-07-05T00:00:00"/>
    <d v="2018-07-16T00:00:00"/>
    <s v="computers_accessories"/>
    <n v="106.47"/>
    <n v="23.74"/>
    <s v="credit_card"/>
    <n v="5"/>
    <s v="delivered"/>
    <d v="2018-06-01T00:00:00"/>
    <n v="12"/>
    <n v="0"/>
    <n v="1"/>
    <n v="130.21"/>
    <n v="78.787800000000004"/>
    <n v="14.243999999999998"/>
    <n v="13.438199999999997"/>
    <s v="8-14 days"/>
  </r>
  <r>
    <s v="f10eb0eac764f8c75e01ea7dca2e8da6"/>
    <x v="0"/>
    <d v="2018-06-23T00:00:00"/>
    <d v="2018-06-30T00:00:00"/>
    <d v="2018-07-09T00:00:00"/>
    <s v="health_beauty"/>
    <n v="180.97"/>
    <n v="22.68"/>
    <s v="credit_card"/>
    <n v="5"/>
    <s v="delivered"/>
    <d v="2018-06-01T00:00:00"/>
    <n v="7"/>
    <n v="0"/>
    <n v="1"/>
    <n v="203.65"/>
    <n v="104.96259999999999"/>
    <n v="13.607999999999999"/>
    <n v="62.399400000000007"/>
    <s v="0-7 days"/>
  </r>
  <r>
    <s v="1b36101def5ffb6ee7941ab12df3fbdd"/>
    <x v="0"/>
    <d v="2018-06-23T00:00:00"/>
    <d v="2018-07-03T00:00:00"/>
    <d v="2018-07-09T00:00:00"/>
    <s v="housewares"/>
    <n v="46.61"/>
    <n v="15.85"/>
    <s v="boleto"/>
    <n v="4"/>
    <s v="delivered"/>
    <d v="2018-06-01T00:00:00"/>
    <n v="10"/>
    <n v="0"/>
    <n v="1"/>
    <n v="62.46"/>
    <n v="29.3643"/>
    <n v="9.51"/>
    <n v="7.7356999999999996"/>
    <s v="8-14 days"/>
  </r>
  <r>
    <s v="74b392bda0968dda8d1fe9e421f69c30"/>
    <x v="3"/>
    <d v="2018-06-23T00:00:00"/>
    <d v="2018-07-06T00:00:00"/>
    <d v="2018-07-16T00:00:00"/>
    <s v="toys"/>
    <n v="143.66"/>
    <n v="19.48"/>
    <s v="credit_card"/>
    <n v="3"/>
    <s v="delivered"/>
    <d v="2018-06-01T00:00:00"/>
    <n v="13"/>
    <n v="0"/>
    <n v="1"/>
    <n v="163.13999999999999"/>
    <n v="86.195999999999998"/>
    <n v="11.688000000000001"/>
    <n v="45.775999999999996"/>
    <s v="8-14 days"/>
  </r>
  <r>
    <s v="6394eb4d54ede5c3a8c0145007adb729"/>
    <x v="7"/>
    <d v="2018-06-23T00:00:00"/>
    <d v="2018-07-12T00:00:00"/>
    <d v="2018-07-13T00:00:00"/>
    <s v="bed_bath_table"/>
    <n v="115.9"/>
    <n v="30.89"/>
    <s v="credit_card"/>
    <n v="5"/>
    <s v="delivered"/>
    <d v="2018-06-01T00:00:00"/>
    <n v="19"/>
    <n v="0"/>
    <n v="1"/>
    <n v="146.79000000000002"/>
    <n v="71.858000000000004"/>
    <n v="18.533999999999999"/>
    <n v="25.508000000000003"/>
    <s v="15-21 days"/>
  </r>
  <r>
    <s v="6d15f16fb7b8c1a59a45693d7227890e"/>
    <x v="3"/>
    <d v="2018-06-24T00:00:00"/>
    <d v="2018-07-08T00:00:00"/>
    <d v="2018-07-20T00:00:00"/>
    <s v="health_beauty"/>
    <n v="42.89"/>
    <n v="19.899999999999999"/>
    <s v="credit_card"/>
    <n v="4"/>
    <s v="delivered"/>
    <d v="2018-06-01T00:00:00"/>
    <n v="14"/>
    <n v="0"/>
    <n v="1"/>
    <n v="62.79"/>
    <n v="24.876199999999997"/>
    <n v="11.94"/>
    <n v="6.0738000000000039"/>
    <s v="8-14 days"/>
  </r>
  <r>
    <s v="25d4a0fc61542765d756ba9cc64c9647"/>
    <x v="4"/>
    <d v="2018-06-24T00:00:00"/>
    <d v="2018-07-17T00:00:00"/>
    <d v="2018-07-13T00:00:00"/>
    <s v="watches_gifts"/>
    <n v="135.63"/>
    <n v="26.81"/>
    <s v="boleto"/>
    <n v="2"/>
    <s v="delivered"/>
    <d v="2018-06-01T00:00:00"/>
    <n v="23"/>
    <n v="4"/>
    <n v="0"/>
    <n v="162.44"/>
    <n v="89.515799999999999"/>
    <n v="16.085999999999999"/>
    <n v="30.028199999999998"/>
    <s v="22+ days"/>
  </r>
  <r>
    <s v="c9ea356a7abfcebfd42cb1ae19f738cb"/>
    <x v="0"/>
    <d v="2018-06-24T00:00:00"/>
    <d v="2018-06-29T00:00:00"/>
    <d v="2018-07-09T00:00:00"/>
    <s v="toys"/>
    <n v="80.599999999999994"/>
    <n v="17.850000000000001"/>
    <s v="boleto"/>
    <n v="3"/>
    <s v="delivered"/>
    <d v="2018-06-01T00:00:00"/>
    <n v="5"/>
    <n v="0"/>
    <n v="1"/>
    <n v="98.449999999999989"/>
    <n v="48.359999999999992"/>
    <n v="10.71"/>
    <n v="21.53"/>
    <s v="0-7 days"/>
  </r>
  <r>
    <s v="a1298fa2227d4660293fc26697a418b8"/>
    <x v="0"/>
    <d v="2018-06-24T00:00:00"/>
    <d v="2018-06-28T00:00:00"/>
    <d v="2018-07-07T00:00:00"/>
    <s v="watches_gifts"/>
    <n v="132.80000000000001"/>
    <n v="14.5"/>
    <s v="credit_card"/>
    <n v="5"/>
    <s v="delivered"/>
    <d v="2018-06-01T00:00:00"/>
    <n v="4"/>
    <n v="0"/>
    <n v="1"/>
    <n v="147.30000000000001"/>
    <n v="87.64800000000001"/>
    <n v="8.6999999999999993"/>
    <n v="36.451999999999998"/>
    <s v="0-7 days"/>
  </r>
  <r>
    <s v="b31a25b55fecaa6e88917cf57d8823d2"/>
    <x v="2"/>
    <d v="2018-06-24T00:00:00"/>
    <d v="2018-07-05T00:00:00"/>
    <d v="2018-07-19T00:00:00"/>
    <s v="auto"/>
    <n v="101.36"/>
    <n v="26.51"/>
    <s v="voucher"/>
    <n v="5"/>
    <s v="delivered"/>
    <d v="2018-06-01T00:00:00"/>
    <n v="11"/>
    <n v="0"/>
    <n v="1"/>
    <n v="127.87"/>
    <n v="68.924800000000005"/>
    <n v="15.906000000000001"/>
    <n v="16.529199999999996"/>
    <s v="8-14 days"/>
  </r>
  <r>
    <s v="8352aaba4a64cfccdcf315c647a029ae"/>
    <x v="0"/>
    <d v="2018-06-24T00:00:00"/>
    <d v="2018-07-04T00:00:00"/>
    <d v="2018-07-09T00:00:00"/>
    <s v="auto"/>
    <n v="53.02"/>
    <n v="15.88"/>
    <s v="credit_card"/>
    <n v="4"/>
    <s v="delivered"/>
    <d v="2018-06-01T00:00:00"/>
    <n v="10"/>
    <n v="0"/>
    <n v="1"/>
    <n v="68.900000000000006"/>
    <n v="36.053600000000003"/>
    <n v="9.5280000000000005"/>
    <n v="7.4383999999999997"/>
    <s v="8-14 days"/>
  </r>
  <r>
    <s v="3bbd60ea5c978975f50020580c3b491f"/>
    <x v="0"/>
    <d v="2018-06-24T00:00:00"/>
    <d v="2018-07-01T00:00:00"/>
    <d v="2018-07-11T00:00:00"/>
    <s v="health_beauty"/>
    <n v="42.1"/>
    <n v="17.260000000000002"/>
    <s v="credit_card"/>
    <n v="5"/>
    <s v="delivered"/>
    <d v="2018-06-01T00:00:00"/>
    <n v="7"/>
    <n v="0"/>
    <n v="1"/>
    <n v="59.36"/>
    <n v="24.417999999999999"/>
    <n v="10.356"/>
    <n v="7.3260000000000023"/>
    <s v="0-7 days"/>
  </r>
  <r>
    <s v="6418861eb07a810a1befa085916b66de"/>
    <x v="4"/>
    <d v="2018-06-24T00:00:00"/>
    <d v="2018-07-05T00:00:00"/>
    <d v="2018-07-15T00:00:00"/>
    <s v="watches_gifts"/>
    <n v="99.53"/>
    <n v="20.96"/>
    <s v="credit_card"/>
    <n v="4"/>
    <s v="delivered"/>
    <d v="2018-06-01T00:00:00"/>
    <n v="11"/>
    <n v="0"/>
    <n v="1"/>
    <n v="120.49000000000001"/>
    <n v="65.689800000000005"/>
    <n v="12.576000000000001"/>
    <n v="21.264199999999995"/>
    <s v="8-14 days"/>
  </r>
  <r>
    <s v="95e1d191ca3d02cffad6d030057f74a4"/>
    <x v="2"/>
    <d v="2018-06-24T00:00:00"/>
    <d v="2018-07-14T00:00:00"/>
    <d v="2018-07-19T00:00:00"/>
    <s v="sports_leisure"/>
    <n v="158.52000000000001"/>
    <n v="28.29"/>
    <s v="credit_card"/>
    <n v="4"/>
    <s v="delivered"/>
    <d v="2018-06-01T00:00:00"/>
    <n v="20"/>
    <n v="0"/>
    <n v="1"/>
    <n v="186.81"/>
    <n v="101.45280000000001"/>
    <n v="16.974"/>
    <n v="40.093199999999996"/>
    <s v="15-21 days"/>
  </r>
  <r>
    <s v="b1299cb78b248c7e0e4ddb723e6a41f1"/>
    <x v="0"/>
    <d v="2018-06-25T00:00:00"/>
    <d v="2018-07-06T00:00:00"/>
    <d v="2018-07-14T00:00:00"/>
    <s v="computers_accessories"/>
    <n v="168.98"/>
    <n v="18.91"/>
    <s v="credit_card"/>
    <n v="5"/>
    <s v="delivered"/>
    <d v="2018-06-01T00:00:00"/>
    <n v="11"/>
    <n v="0"/>
    <n v="1"/>
    <n v="187.89"/>
    <n v="125.04519999999999"/>
    <n v="11.346"/>
    <n v="32.588799999999992"/>
    <s v="8-14 days"/>
  </r>
  <r>
    <s v="731da6ec63032bd49db564b5af8422cc"/>
    <x v="4"/>
    <d v="2018-06-25T00:00:00"/>
    <d v="2018-07-11T00:00:00"/>
    <d v="2018-07-16T00:00:00"/>
    <s v="computers_accessories"/>
    <n v="99.17"/>
    <n v="21.39"/>
    <s v="boleto"/>
    <n v="4"/>
    <s v="delivered"/>
    <d v="2018-06-01T00:00:00"/>
    <n v="16"/>
    <n v="0"/>
    <n v="1"/>
    <n v="120.56"/>
    <n v="73.385800000000003"/>
    <n v="12.834"/>
    <n v="12.950199999999999"/>
    <s v="15-21 days"/>
  </r>
  <r>
    <s v="ea4cd6078e487a8ce3e479461fcfcb8e"/>
    <x v="11"/>
    <d v="2018-06-25T00:00:00"/>
    <d v="2018-07-24T00:00:00"/>
    <d v="2018-07-29T00:00:00"/>
    <s v="bed_bath_table"/>
    <n v="41.03"/>
    <n v="44.49"/>
    <s v="credit_card"/>
    <n v="4"/>
    <s v="delivered"/>
    <d v="2018-06-01T00:00:00"/>
    <n v="29"/>
    <n v="0"/>
    <n v="1"/>
    <n v="85.52000000000001"/>
    <n v="25.438600000000001"/>
    <n v="26.693999999999999"/>
    <n v="-11.102599999999999"/>
    <s v="22+ days"/>
  </r>
  <r>
    <s v="8c626a8f349eb0da7e509ec481db9a62"/>
    <x v="11"/>
    <d v="2018-06-25T00:00:00"/>
    <d v="2018-07-08T00:00:00"/>
    <d v="2018-07-27T00:00:00"/>
    <s v="housewares"/>
    <n v="105.25"/>
    <n v="47.35"/>
    <s v="credit_card"/>
    <n v="5"/>
    <s v="delivered"/>
    <d v="2018-06-01T00:00:00"/>
    <n v="13"/>
    <n v="0"/>
    <n v="1"/>
    <n v="152.6"/>
    <n v="66.307500000000005"/>
    <n v="28.41"/>
    <n v="10.532499999999995"/>
    <s v="8-14 days"/>
  </r>
  <r>
    <s v="5a4d6a5fc1c69f79f1ea44de4bb38a82"/>
    <x v="3"/>
    <d v="2018-06-25T00:00:00"/>
    <d v="2018-07-05T00:00:00"/>
    <d v="2018-07-19T00:00:00"/>
    <s v="housewares"/>
    <n v="53.17"/>
    <n v="17.5"/>
    <s v="credit_card"/>
    <n v="5"/>
    <s v="delivered"/>
    <d v="2018-06-01T00:00:00"/>
    <n v="10"/>
    <n v="0"/>
    <n v="1"/>
    <n v="70.67"/>
    <n v="33.497100000000003"/>
    <n v="10.5"/>
    <n v="9.1728999999999985"/>
    <s v="8-14 days"/>
  </r>
  <r>
    <s v="d29ca30763b54f0456a372ff58180fb9"/>
    <x v="0"/>
    <d v="2018-06-25T00:00:00"/>
    <d v="2018-07-01T00:00:00"/>
    <d v="2018-07-09T00:00:00"/>
    <s v="auto"/>
    <n v="86.27"/>
    <n v="18.7"/>
    <s v="credit_card"/>
    <n v="4"/>
    <s v="delivered"/>
    <d v="2018-06-01T00:00:00"/>
    <n v="6"/>
    <n v="0"/>
    <n v="1"/>
    <n v="104.97"/>
    <n v="58.663600000000002"/>
    <n v="11.219999999999999"/>
    <n v="16.386399999999995"/>
    <s v="0-7 days"/>
  </r>
  <r>
    <s v="39dccd07efd4a45f9e537b3b4ea58999"/>
    <x v="0"/>
    <d v="2018-06-25T00:00:00"/>
    <d v="2018-07-01T00:00:00"/>
    <d v="2018-07-10T00:00:00"/>
    <s v="bed_bath_table"/>
    <n v="44.22"/>
    <n v="13.04"/>
    <s v="debit_card"/>
    <n v="4"/>
    <s v="delivered"/>
    <d v="2018-06-01T00:00:00"/>
    <n v="6"/>
    <n v="0"/>
    <n v="1"/>
    <n v="57.26"/>
    <n v="27.416399999999999"/>
    <n v="7.823999999999999"/>
    <n v="8.9796000000000014"/>
    <s v="0-7 days"/>
  </r>
  <r>
    <s v="090c5f871a1d23403538c7d6946930ae"/>
    <x v="0"/>
    <d v="2018-06-25T00:00:00"/>
    <d v="2018-07-03T00:00:00"/>
    <d v="2018-07-13T00:00:00"/>
    <s v="housewares"/>
    <n v="73.47"/>
    <n v="15.51"/>
    <s v="credit_card"/>
    <n v="4"/>
    <s v="delivered"/>
    <d v="2018-06-01T00:00:00"/>
    <n v="8"/>
    <n v="0"/>
    <n v="1"/>
    <n v="88.98"/>
    <n v="46.286099999999998"/>
    <n v="9.3059999999999992"/>
    <n v="17.877900000000004"/>
    <s v="8-14 days"/>
  </r>
  <r>
    <s v="dc96925eccf3a17156dc8907ba6c34ab"/>
    <x v="3"/>
    <d v="2018-06-26T00:00:00"/>
    <d v="2018-07-10T00:00:00"/>
    <d v="2018-07-19T00:00:00"/>
    <s v="sports_leisure"/>
    <n v="124.69"/>
    <n v="18.079999999999998"/>
    <s v="credit_card"/>
    <n v="4"/>
    <s v="delivered"/>
    <d v="2018-06-01T00:00:00"/>
    <n v="14"/>
    <n v="0"/>
    <n v="1"/>
    <n v="142.76999999999998"/>
    <n v="79.801599999999993"/>
    <n v="10.847999999999999"/>
    <n v="34.040400000000005"/>
    <s v="8-14 days"/>
  </r>
  <r>
    <s v="7875b1c777243aa3c438eae0b5d0b595"/>
    <x v="0"/>
    <d v="2018-06-26T00:00:00"/>
    <d v="2018-07-14T00:00:00"/>
    <d v="2018-07-11T00:00:00"/>
    <s v="bed_bath_table"/>
    <n v="69.760000000000005"/>
    <n v="19.079999999999998"/>
    <s v="credit_card"/>
    <n v="2"/>
    <s v="delivered"/>
    <d v="2018-06-01T00:00:00"/>
    <n v="18"/>
    <n v="3"/>
    <n v="0"/>
    <n v="88.84"/>
    <n v="43.251200000000004"/>
    <n v="11.447999999999999"/>
    <n v="15.060800000000002"/>
    <s v="15-21 days"/>
  </r>
  <r>
    <s v="9e3b37e675c41c378eea487f9d3cc9ca"/>
    <x v="0"/>
    <d v="2018-06-26T00:00:00"/>
    <d v="2018-07-06T00:00:00"/>
    <d v="2018-07-11T00:00:00"/>
    <s v="furniture_decor"/>
    <n v="88.6"/>
    <n v="18.59"/>
    <s v="credit_card"/>
    <n v="4"/>
    <s v="delivered"/>
    <d v="2018-06-01T00:00:00"/>
    <n v="10"/>
    <n v="0"/>
    <n v="1"/>
    <n v="107.19"/>
    <n v="62.019999999999989"/>
    <n v="11.154"/>
    <n v="15.426000000000005"/>
    <s v="8-14 days"/>
  </r>
  <r>
    <s v="0ba9ee1e75888aa1f9e335438d1d37a3"/>
    <x v="7"/>
    <d v="2018-06-26T00:00:00"/>
    <d v="2018-07-08T00:00:00"/>
    <d v="2018-07-17T00:00:00"/>
    <s v="sports_leisure"/>
    <n v="54.33"/>
    <n v="29.13"/>
    <s v="credit_card"/>
    <n v="5"/>
    <s v="delivered"/>
    <d v="2018-06-01T00:00:00"/>
    <n v="12"/>
    <n v="0"/>
    <n v="1"/>
    <n v="83.46"/>
    <n v="34.7712"/>
    <n v="17.477999999999998"/>
    <n v="2.0808"/>
    <s v="8-14 days"/>
  </r>
  <r>
    <s v="60040d0d5257c31b724c5cd007ac3372"/>
    <x v="3"/>
    <d v="2018-06-26T00:00:00"/>
    <d v="2018-07-07T00:00:00"/>
    <d v="2018-07-21T00:00:00"/>
    <s v="sports_leisure"/>
    <n v="66.569999999999993"/>
    <n v="22.1"/>
    <s v="voucher"/>
    <n v="4"/>
    <s v="delivered"/>
    <d v="2018-06-01T00:00:00"/>
    <n v="11"/>
    <n v="0"/>
    <n v="1"/>
    <n v="88.669999999999987"/>
    <n v="42.604799999999997"/>
    <n v="13.26"/>
    <n v="10.705199999999996"/>
    <s v="8-14 days"/>
  </r>
  <r>
    <s v="230656d1c2d52a58d791aedd60e565b6"/>
    <x v="0"/>
    <d v="2018-06-26T00:00:00"/>
    <d v="2018-07-05T00:00:00"/>
    <d v="2018-07-11T00:00:00"/>
    <s v="sports_leisure"/>
    <n v="59.14"/>
    <n v="19.510000000000002"/>
    <s v="credit_card"/>
    <n v="4"/>
    <s v="delivered"/>
    <d v="2018-06-01T00:00:00"/>
    <n v="9"/>
    <n v="0"/>
    <n v="1"/>
    <n v="78.650000000000006"/>
    <n v="37.849600000000002"/>
    <n v="11.706000000000001"/>
    <n v="9.5843999999999969"/>
    <s v="8-14 days"/>
  </r>
  <r>
    <s v="6889803e5913f9d3785299f4175ba98d"/>
    <x v="0"/>
    <d v="2018-06-27T00:00:00"/>
    <d v="2018-07-08T00:00:00"/>
    <d v="2018-07-10T00:00:00"/>
    <s v="health_beauty"/>
    <n v="101.54"/>
    <n v="17.690000000000001"/>
    <s v="credit_card"/>
    <n v="3"/>
    <s v="delivered"/>
    <d v="2018-06-01T00:00:00"/>
    <n v="11"/>
    <n v="0"/>
    <n v="1"/>
    <n v="119.23"/>
    <n v="58.8932"/>
    <n v="10.614000000000001"/>
    <n v="32.032800000000009"/>
    <s v="8-14 days"/>
  </r>
  <r>
    <s v="e8410a39f9012b9c6057153a4067f790"/>
    <x v="3"/>
    <d v="2018-06-27T00:00:00"/>
    <d v="2018-07-19T00:00:00"/>
    <d v="2018-07-20T00:00:00"/>
    <s v="sports_leisure"/>
    <n v="186.7"/>
    <n v="19.579999999999998"/>
    <s v="credit_card"/>
    <n v="4"/>
    <s v="delivered"/>
    <d v="2018-06-01T00:00:00"/>
    <n v="22"/>
    <n v="0"/>
    <n v="1"/>
    <n v="206.27999999999997"/>
    <n v="119.488"/>
    <n v="11.747999999999999"/>
    <n v="55.463999999999992"/>
    <s v="22+ days"/>
  </r>
  <r>
    <s v="c60b340cf21a6f380eb5e5a798f3f640"/>
    <x v="4"/>
    <d v="2018-06-27T00:00:00"/>
    <d v="2018-07-08T00:00:00"/>
    <d v="2018-07-18T00:00:00"/>
    <s v="bed_bath_table"/>
    <n v="87.64"/>
    <n v="25.72"/>
    <s v="boleto"/>
    <n v="5"/>
    <s v="delivered"/>
    <d v="2018-06-01T00:00:00"/>
    <n v="11"/>
    <n v="0"/>
    <n v="1"/>
    <n v="113.36"/>
    <n v="54.336799999999997"/>
    <n v="15.431999999999999"/>
    <n v="17.871200000000005"/>
    <s v="8-14 days"/>
  </r>
  <r>
    <s v="1429ef31b9b3c0eefaf2be80833bde78"/>
    <x v="0"/>
    <d v="2018-06-27T00:00:00"/>
    <d v="2018-07-05T00:00:00"/>
    <d v="2018-07-12T00:00:00"/>
    <s v="computers_accessories"/>
    <n v="339.04"/>
    <n v="18.34"/>
    <s v="credit_card"/>
    <n v="5"/>
    <s v="delivered"/>
    <d v="2018-06-01T00:00:00"/>
    <n v="8"/>
    <n v="0"/>
    <n v="1"/>
    <n v="357.38"/>
    <n v="250.8896"/>
    <n v="11.004"/>
    <n v="77.146400000000014"/>
    <s v="8-14 days"/>
  </r>
  <r>
    <s v="c20862274333240ad8d99ad8255f30b9"/>
    <x v="0"/>
    <d v="2018-06-27T00:00:00"/>
    <d v="2018-07-17T00:00:00"/>
    <d v="2018-07-10T00:00:00"/>
    <s v="furniture_decor"/>
    <n v="127.37"/>
    <n v="14.35"/>
    <s v="boleto"/>
    <n v="4"/>
    <s v="delivered"/>
    <d v="2018-06-01T00:00:00"/>
    <n v="20"/>
    <n v="7"/>
    <n v="0"/>
    <n v="141.72"/>
    <n v="89.158999999999992"/>
    <n v="8.61"/>
    <n v="29.601000000000013"/>
    <s v="15-21 days"/>
  </r>
  <r>
    <s v="1e22ade1a3e6bbfd65e2ebba27ae2220"/>
    <x v="0"/>
    <d v="2018-06-27T00:00:00"/>
    <d v="2018-07-01T00:00:00"/>
    <d v="2018-07-13T00:00:00"/>
    <s v="computers_accessories"/>
    <n v="123.72"/>
    <n v="18.829999999999998"/>
    <s v="credit_card"/>
    <n v="4"/>
    <s v="delivered"/>
    <d v="2018-06-01T00:00:00"/>
    <n v="4"/>
    <n v="0"/>
    <n v="1"/>
    <n v="142.55000000000001"/>
    <n v="91.552800000000005"/>
    <n v="11.297999999999998"/>
    <n v="20.869199999999996"/>
    <s v="0-7 days"/>
  </r>
  <r>
    <s v="75d0a2af1c06efa6521ba1e492e7fc57"/>
    <x v="9"/>
    <d v="2018-06-27T00:00:00"/>
    <d v="2018-07-16T00:00:00"/>
    <d v="2018-07-21T00:00:00"/>
    <s v="toys"/>
    <n v="187.84"/>
    <n v="33.630000000000003"/>
    <s v="credit_card"/>
    <n v="5"/>
    <s v="delivered"/>
    <d v="2018-06-01T00:00:00"/>
    <n v="19"/>
    <n v="0"/>
    <n v="1"/>
    <n v="221.47"/>
    <n v="112.70399999999999"/>
    <n v="20.178000000000001"/>
    <n v="54.958000000000013"/>
    <s v="15-21 days"/>
  </r>
  <r>
    <s v="2700b5609bd89990b786834b39c1801b"/>
    <x v="3"/>
    <d v="2018-06-27T00:00:00"/>
    <d v="2018-07-16T00:00:00"/>
    <d v="2018-07-20T00:00:00"/>
    <s v="computers_accessories"/>
    <n v="212"/>
    <n v="21.9"/>
    <s v="credit_card"/>
    <n v="4"/>
    <s v="delivered"/>
    <d v="2018-06-01T00:00:00"/>
    <n v="19"/>
    <n v="0"/>
    <n v="1"/>
    <n v="233.9"/>
    <n v="156.88"/>
    <n v="13.139999999999999"/>
    <n v="41.980000000000004"/>
    <s v="15-21 days"/>
  </r>
  <r>
    <s v="b78707bd2a2d0813e7fee67f86899a05"/>
    <x v="3"/>
    <d v="2018-06-27T00:00:00"/>
    <d v="2018-07-18T00:00:00"/>
    <d v="2018-07-20T00:00:00"/>
    <s v="health_beauty"/>
    <n v="78.02"/>
    <n v="29.28"/>
    <s v="credit_card"/>
    <n v="3"/>
    <s v="delivered"/>
    <d v="2018-06-01T00:00:00"/>
    <n v="21"/>
    <n v="0"/>
    <n v="1"/>
    <n v="107.3"/>
    <n v="45.251599999999996"/>
    <n v="17.568000000000001"/>
    <n v="15.200399999999998"/>
    <s v="15-21 days"/>
  </r>
  <r>
    <s v="32dba0284823debeccade92e53dc4fae"/>
    <x v="8"/>
    <d v="2018-06-28T00:00:00"/>
    <d v="2018-07-14T00:00:00"/>
    <d v="2018-07-23T00:00:00"/>
    <s v="toys"/>
    <n v="58.96"/>
    <n v="24.6"/>
    <s v="credit_card"/>
    <n v="4"/>
    <s v="delivered"/>
    <d v="2018-06-01T00:00:00"/>
    <n v="16"/>
    <n v="0"/>
    <n v="1"/>
    <n v="83.56"/>
    <n v="35.375999999999998"/>
    <n v="14.76"/>
    <n v="8.8240000000000034"/>
    <s v="15-21 days"/>
  </r>
  <r>
    <s v="f5b350ab731bd233c011c674928a77e5"/>
    <x v="3"/>
    <d v="2018-06-28T00:00:00"/>
    <d v="2018-07-18T00:00:00"/>
    <d v="2018-07-24T00:00:00"/>
    <s v="computers_accessories"/>
    <n v="223.09"/>
    <n v="24.14"/>
    <s v="credit_card"/>
    <n v="5"/>
    <s v="delivered"/>
    <d v="2018-06-01T00:00:00"/>
    <n v="20"/>
    <n v="0"/>
    <n v="1"/>
    <n v="247.23000000000002"/>
    <n v="165.0866"/>
    <n v="14.484"/>
    <n v="43.519399999999997"/>
    <s v="15-21 days"/>
  </r>
  <r>
    <s v="07c81588392cbbe088e06703bc62eccf"/>
    <x v="8"/>
    <d v="2018-06-28T00:00:00"/>
    <d v="2018-07-09T00:00:00"/>
    <d v="2018-07-21T00:00:00"/>
    <s v="bed_bath_table"/>
    <n v="160.05000000000001"/>
    <n v="25.85"/>
    <s v="debit_card"/>
    <n v="4"/>
    <s v="delivered"/>
    <d v="2018-06-01T00:00:00"/>
    <n v="11"/>
    <n v="0"/>
    <n v="1"/>
    <n v="185.9"/>
    <n v="99.231000000000009"/>
    <n v="15.51"/>
    <n v="45.309000000000005"/>
    <s v="8-14 days"/>
  </r>
  <r>
    <s v="8ecdb5250ede357a9a3f493e7e7e2824"/>
    <x v="0"/>
    <d v="2018-06-28T00:00:00"/>
    <d v="2018-07-07T00:00:00"/>
    <d v="2018-07-16T00:00:00"/>
    <s v="health_beauty"/>
    <n v="83.15"/>
    <n v="12.84"/>
    <s v="credit_card"/>
    <n v="5"/>
    <s v="delivered"/>
    <d v="2018-06-01T00:00:00"/>
    <n v="9"/>
    <n v="0"/>
    <n v="1"/>
    <n v="95.990000000000009"/>
    <n v="48.226999999999997"/>
    <n v="7.7039999999999997"/>
    <n v="27.219000000000008"/>
    <s v="8-14 days"/>
  </r>
  <r>
    <s v="80f378ccebb06b15a48803694b400975"/>
    <x v="0"/>
    <d v="2018-06-28T00:00:00"/>
    <d v="2018-07-09T00:00:00"/>
    <d v="2018-07-11T00:00:00"/>
    <s v="bed_bath_table"/>
    <n v="167.81"/>
    <n v="13.87"/>
    <s v="boleto"/>
    <n v="4"/>
    <s v="delivered"/>
    <d v="2018-06-01T00:00:00"/>
    <n v="11"/>
    <n v="0"/>
    <n v="1"/>
    <n v="181.68"/>
    <n v="104.04219999999999"/>
    <n v="8.3219999999999992"/>
    <n v="55.445800000000006"/>
    <s v="8-14 days"/>
  </r>
  <r>
    <s v="6070fd1ee687cc1ead123e41be58ca2d"/>
    <x v="10"/>
    <d v="2018-06-28T00:00:00"/>
    <d v="2018-07-18T00:00:00"/>
    <d v="2018-07-30T00:00:00"/>
    <s v="housewares"/>
    <n v="116.57"/>
    <n v="37.76"/>
    <s v="boleto"/>
    <n v="3"/>
    <s v="delivered"/>
    <d v="2018-06-01T00:00:00"/>
    <n v="20"/>
    <n v="0"/>
    <n v="1"/>
    <n v="154.32999999999998"/>
    <n v="73.439099999999996"/>
    <n v="22.655999999999999"/>
    <n v="20.474899999999998"/>
    <s v="15-21 days"/>
  </r>
  <r>
    <s v="32ce6a3d862a76f2f15e609cb297fa7f"/>
    <x v="6"/>
    <d v="2018-06-29T00:00:00"/>
    <d v="2018-07-17T00:00:00"/>
    <d v="2018-07-26T00:00:00"/>
    <s v="health_beauty"/>
    <n v="49.34"/>
    <n v="33.4"/>
    <s v="voucher"/>
    <n v="4"/>
    <s v="delivered"/>
    <d v="2018-06-01T00:00:00"/>
    <n v="18"/>
    <n v="0"/>
    <n v="1"/>
    <n v="82.740000000000009"/>
    <n v="28.6172"/>
    <n v="20.04"/>
    <n v="0.68280000000000385"/>
    <s v="15-21 days"/>
  </r>
  <r>
    <s v="a7b63925b3c120c39b0108d203711d3f"/>
    <x v="0"/>
    <d v="2018-06-29T00:00:00"/>
    <d v="2018-07-10T00:00:00"/>
    <d v="2018-07-17T00:00:00"/>
    <s v="bed_bath_table"/>
    <n v="79.819999999999993"/>
    <n v="12.22"/>
    <s v="credit_card"/>
    <n v="5"/>
    <s v="delivered"/>
    <d v="2018-06-01T00:00:00"/>
    <n v="11"/>
    <n v="0"/>
    <n v="1"/>
    <n v="92.039999999999992"/>
    <n v="49.488399999999999"/>
    <n v="7.3319999999999999"/>
    <n v="22.999599999999994"/>
    <s v="8-14 days"/>
  </r>
  <r>
    <s v="6c543e3f171520b8f37d1ad9a282cd49"/>
    <x v="4"/>
    <d v="2018-06-29T00:00:00"/>
    <d v="2018-07-06T00:00:00"/>
    <d v="2018-07-22T00:00:00"/>
    <s v="health_beauty"/>
    <n v="33.51"/>
    <n v="24.18"/>
    <s v="credit_card"/>
    <n v="5"/>
    <s v="delivered"/>
    <d v="2018-06-01T00:00:00"/>
    <n v="7"/>
    <n v="0"/>
    <n v="1"/>
    <n v="57.69"/>
    <n v="19.435799999999997"/>
    <n v="14.507999999999999"/>
    <n v="-0.43379999999999797"/>
    <s v="0-7 days"/>
  </r>
  <r>
    <s v="d298453929f9a292d38418628bf12f23"/>
    <x v="0"/>
    <d v="2018-06-29T00:00:00"/>
    <d v="2018-07-03T00:00:00"/>
    <d v="2018-07-13T00:00:00"/>
    <s v="computers_accessories"/>
    <n v="65.44"/>
    <n v="15.29"/>
    <s v="credit_card"/>
    <n v="5"/>
    <s v="delivered"/>
    <d v="2018-06-01T00:00:00"/>
    <n v="4"/>
    <n v="0"/>
    <n v="1"/>
    <n v="80.72999999999999"/>
    <n v="48.425599999999996"/>
    <n v="9.1739999999999995"/>
    <n v="7.8404000000000025"/>
    <s v="0-7 days"/>
  </r>
  <r>
    <s v="bcc57be00779250a6544e3136ea05d13"/>
    <x v="0"/>
    <d v="2018-06-30T00:00:00"/>
    <d v="2018-07-06T00:00:00"/>
    <d v="2018-07-11T00:00:00"/>
    <s v="health_beauty"/>
    <n v="72.98"/>
    <n v="18.68"/>
    <s v="credit_card"/>
    <n v="4"/>
    <s v="delivered"/>
    <d v="2018-06-01T00:00:00"/>
    <n v="6"/>
    <n v="0"/>
    <n v="1"/>
    <n v="91.66"/>
    <n v="42.328400000000002"/>
    <n v="11.208"/>
    <n v="19.443600000000004"/>
    <s v="0-7 days"/>
  </r>
  <r>
    <s v="2f7f2cd7bbd0fe6c6108ffcc8186722b"/>
    <x v="0"/>
    <d v="2018-06-30T00:00:00"/>
    <d v="2018-07-11T00:00:00"/>
    <d v="2018-07-13T00:00:00"/>
    <s v="housewares"/>
    <n v="79.19"/>
    <n v="20.23"/>
    <s v="boleto"/>
    <n v="4"/>
    <s v="delivered"/>
    <d v="2018-06-01T00:00:00"/>
    <n v="11"/>
    <n v="0"/>
    <n v="1"/>
    <n v="99.42"/>
    <n v="49.889699999999998"/>
    <n v="12.138"/>
    <n v="17.162300000000002"/>
    <s v="8-14 days"/>
  </r>
  <r>
    <s v="ebcfbcfae7269390c23525c0c16f584a"/>
    <x v="3"/>
    <d v="2018-07-01T00:00:00"/>
    <d v="2018-07-14T00:00:00"/>
    <d v="2018-07-24T00:00:00"/>
    <s v="watches_gifts"/>
    <n v="90.11"/>
    <n v="25.03"/>
    <s v="credit_card"/>
    <n v="3"/>
    <s v="delivered"/>
    <d v="2018-07-01T00:00:00"/>
    <n v="13"/>
    <n v="0"/>
    <n v="1"/>
    <n v="115.14"/>
    <n v="59.4726"/>
    <n v="15.018000000000001"/>
    <n v="15.619399999999999"/>
    <s v="8-14 days"/>
  </r>
  <r>
    <s v="6b86e231a6f20f6aaaeac2175bc69d21"/>
    <x v="0"/>
    <d v="2018-07-01T00:00:00"/>
    <d v="2018-07-06T00:00:00"/>
    <d v="2018-07-16T00:00:00"/>
    <s v="bed_bath_table"/>
    <n v="99.17"/>
    <n v="17.739999999999998"/>
    <s v="credit_card"/>
    <n v="5"/>
    <s v="delivered"/>
    <d v="2018-07-01T00:00:00"/>
    <n v="5"/>
    <n v="0"/>
    <n v="1"/>
    <n v="116.91"/>
    <n v="61.485399999999998"/>
    <n v="10.643999999999998"/>
    <n v="27.040600000000005"/>
    <s v="0-7 days"/>
  </r>
  <r>
    <s v="d0437e4c34e50699c8ebe27a23a4e70e"/>
    <x v="0"/>
    <d v="2018-07-03T00:00:00"/>
    <d v="2018-07-13T00:00:00"/>
    <d v="2018-07-19T00:00:00"/>
    <s v="sports_leisure"/>
    <n v="154.69999999999999"/>
    <n v="15.34"/>
    <s v="credit_card"/>
    <n v="4"/>
    <s v="delivered"/>
    <d v="2018-07-01T00:00:00"/>
    <n v="10"/>
    <n v="0"/>
    <n v="1"/>
    <n v="170.04"/>
    <n v="99.007999999999996"/>
    <n v="9.2039999999999988"/>
    <n v="46.487999999999992"/>
    <s v="8-14 days"/>
  </r>
  <r>
    <s v="e6b31a27703a382b73645c1b15b9d469"/>
    <x v="6"/>
    <d v="2018-07-03T00:00:00"/>
    <d v="2018-07-12T00:00:00"/>
    <d v="2018-07-29T00:00:00"/>
    <s v="computers_accessories"/>
    <n v="164.35"/>
    <n v="40.14"/>
    <s v="boleto"/>
    <n v="5"/>
    <s v="delivered"/>
    <d v="2018-07-01T00:00:00"/>
    <n v="9"/>
    <n v="0"/>
    <n v="1"/>
    <n v="204.49"/>
    <n v="121.619"/>
    <n v="24.084"/>
    <n v="18.646999999999995"/>
    <s v="8-14 days"/>
  </r>
  <r>
    <s v="98105b901c8739d31e8ac3aaa87bd62a"/>
    <x v="10"/>
    <d v="2018-07-03T00:00:00"/>
    <d v="2018-07-22T00:00:00"/>
    <d v="2018-08-02T00:00:00"/>
    <s v="computers_accessories"/>
    <n v="60.18"/>
    <n v="29.87"/>
    <s v="credit_card"/>
    <n v="4"/>
    <s v="delivered"/>
    <d v="2018-07-01T00:00:00"/>
    <n v="19"/>
    <n v="0"/>
    <n v="1"/>
    <n v="90.05"/>
    <n v="44.533200000000001"/>
    <n v="17.922000000000001"/>
    <n v="-2.2752000000000017"/>
    <s v="15-21 days"/>
  </r>
  <r>
    <s v="8e114e0d7e8eda3e8f7a64a53e792193"/>
    <x v="2"/>
    <d v="2018-07-03T00:00:00"/>
    <d v="2018-07-17T00:00:00"/>
    <d v="2018-07-27T00:00:00"/>
    <s v="bed_bath_table"/>
    <n v="123.18"/>
    <n v="30.29"/>
    <s v="credit_card"/>
    <n v="5"/>
    <s v="delivered"/>
    <d v="2018-07-01T00:00:00"/>
    <n v="14"/>
    <n v="0"/>
    <n v="1"/>
    <n v="153.47"/>
    <n v="76.371600000000001"/>
    <n v="18.173999999999999"/>
    <n v="28.634400000000007"/>
    <s v="8-14 days"/>
  </r>
  <r>
    <s v="ffdc690c4e3cbe6660c4891c66c36a49"/>
    <x v="0"/>
    <d v="2018-07-03T00:00:00"/>
    <d v="2018-07-08T00:00:00"/>
    <d v="2018-07-18T00:00:00"/>
    <s v="bed_bath_table"/>
    <n v="29.69"/>
    <n v="21.21"/>
    <s v="credit_card"/>
    <n v="4"/>
    <s v="delivered"/>
    <d v="2018-07-01T00:00:00"/>
    <n v="5"/>
    <n v="0"/>
    <n v="1"/>
    <n v="50.900000000000006"/>
    <n v="18.407800000000002"/>
    <n v="12.726000000000001"/>
    <n v="-1.4438000000000013"/>
    <s v="0-7 days"/>
  </r>
  <r>
    <s v="3fbf7901fc713b1be329a51fc370f6e7"/>
    <x v="2"/>
    <d v="2018-07-03T00:00:00"/>
    <d v="2018-08-02T00:00:00"/>
    <d v="2018-07-28T00:00:00"/>
    <s v="bed_bath_table"/>
    <n v="59.46"/>
    <n v="19.04"/>
    <s v="credit_card"/>
    <n v="2"/>
    <s v="delivered"/>
    <d v="2018-07-01T00:00:00"/>
    <n v="30"/>
    <n v="5"/>
    <n v="0"/>
    <n v="78.5"/>
    <n v="36.865200000000002"/>
    <n v="11.423999999999999"/>
    <n v="11.1708"/>
    <s v="22+ days"/>
  </r>
  <r>
    <s v="05d2d205789fed9673373c2f4e1c3762"/>
    <x v="1"/>
    <d v="2018-07-04T00:00:00"/>
    <d v="2018-07-19T00:00:00"/>
    <d v="2018-07-24T00:00:00"/>
    <s v="housewares"/>
    <n v="60.84"/>
    <n v="26.48"/>
    <s v="credit_card"/>
    <n v="4"/>
    <s v="delivered"/>
    <d v="2018-07-01T00:00:00"/>
    <n v="15"/>
    <n v="0"/>
    <n v="1"/>
    <n v="87.320000000000007"/>
    <n v="38.3292"/>
    <n v="15.888"/>
    <n v="6.6228000000000034"/>
    <s v="15-21 days"/>
  </r>
  <r>
    <s v="32b2d952c37637d672a9dfa122ae8888"/>
    <x v="2"/>
    <d v="2018-07-04T00:00:00"/>
    <d v="2018-08-20T00:00:00"/>
    <d v="2018-07-26T00:00:00"/>
    <s v="furniture_decor"/>
    <n v="215.88"/>
    <n v="24.07"/>
    <s v="credit_card"/>
    <n v="1"/>
    <s v="delivered"/>
    <d v="2018-07-01T00:00:00"/>
    <n v="47"/>
    <n v="25"/>
    <n v="0"/>
    <n v="239.95"/>
    <n v="151.11599999999999"/>
    <n v="14.442"/>
    <n v="50.32200000000001"/>
    <s v="22+ days"/>
  </r>
  <r>
    <s v="0b845de2f74ba82f2de92307a9ca27f7"/>
    <x v="4"/>
    <d v="2018-07-04T00:00:00"/>
    <d v="2018-07-16T00:00:00"/>
    <d v="2018-07-30T00:00:00"/>
    <s v="sports_leisure"/>
    <n v="64.430000000000007"/>
    <n v="23.35"/>
    <s v="credit_card"/>
    <n v="5"/>
    <s v="delivered"/>
    <d v="2018-07-01T00:00:00"/>
    <n v="12"/>
    <n v="0"/>
    <n v="1"/>
    <n v="87.78"/>
    <n v="41.235200000000006"/>
    <n v="14.01"/>
    <n v="9.184800000000001"/>
    <s v="8-14 days"/>
  </r>
  <r>
    <s v="94a1eab0b9c037aa3289f58b1923cafc"/>
    <x v="7"/>
    <d v="2018-07-05T00:00:00"/>
    <d v="2018-07-15T00:00:00"/>
    <d v="2018-07-28T00:00:00"/>
    <s v="health_beauty"/>
    <n v="108.77"/>
    <n v="17.87"/>
    <s v="credit_card"/>
    <n v="4"/>
    <s v="delivered"/>
    <d v="2018-07-01T00:00:00"/>
    <n v="10"/>
    <n v="0"/>
    <n v="1"/>
    <n v="126.64"/>
    <n v="63.08659999999999"/>
    <n v="10.722"/>
    <n v="34.961400000000005"/>
    <s v="8-14 days"/>
  </r>
  <r>
    <s v="9be9ec861b3206f006897b1c975aae69"/>
    <x v="4"/>
    <d v="2018-07-05T00:00:00"/>
    <d v="2018-07-23T00:00:00"/>
    <d v="2018-07-27T00:00:00"/>
    <s v="bed_bath_table"/>
    <n v="58.76"/>
    <n v="17.28"/>
    <s v="credit_card"/>
    <n v="4"/>
    <s v="delivered"/>
    <d v="2018-07-01T00:00:00"/>
    <n v="18"/>
    <n v="0"/>
    <n v="1"/>
    <n v="76.039999999999992"/>
    <n v="36.431199999999997"/>
    <n v="10.368"/>
    <n v="11.960800000000001"/>
    <s v="15-21 days"/>
  </r>
  <r>
    <s v="37179e4565706108fc78090e2223ab94"/>
    <x v="0"/>
    <d v="2018-07-05T00:00:00"/>
    <d v="2018-07-10T00:00:00"/>
    <d v="2018-07-22T00:00:00"/>
    <s v="health_beauty"/>
    <n v="95.78"/>
    <n v="20.440000000000001"/>
    <s v="credit_card"/>
    <n v="4"/>
    <s v="delivered"/>
    <d v="2018-07-01T00:00:00"/>
    <n v="5"/>
    <n v="0"/>
    <n v="1"/>
    <n v="116.22"/>
    <n v="55.552399999999999"/>
    <n v="12.264000000000001"/>
    <n v="27.9636"/>
    <s v="0-7 days"/>
  </r>
  <r>
    <s v="b03d01eb336fc177730825d1396cc19c"/>
    <x v="0"/>
    <d v="2018-07-05T00:00:00"/>
    <d v="2018-07-12T00:00:00"/>
    <d v="2018-07-21T00:00:00"/>
    <s v="housewares"/>
    <n v="34.75"/>
    <n v="14.38"/>
    <s v="boleto"/>
    <n v="4"/>
    <s v="delivered"/>
    <d v="2018-07-01T00:00:00"/>
    <n v="7"/>
    <n v="0"/>
    <n v="1"/>
    <n v="49.13"/>
    <n v="21.892500000000002"/>
    <n v="8.6280000000000001"/>
    <n v="4.229499999999998"/>
    <s v="0-7 days"/>
  </r>
  <r>
    <s v="820f46424e6cebb2f09d07f1eac4c60c"/>
    <x v="3"/>
    <d v="2018-07-05T00:00:00"/>
    <d v="2018-07-15T00:00:00"/>
    <d v="2018-07-28T00:00:00"/>
    <s v="toys"/>
    <n v="187.66"/>
    <n v="32.22"/>
    <s v="credit_card"/>
    <n v="5"/>
    <s v="delivered"/>
    <d v="2018-07-01T00:00:00"/>
    <n v="10"/>
    <n v="0"/>
    <n v="1"/>
    <n v="219.88"/>
    <n v="112.59599999999999"/>
    <n v="19.331999999999997"/>
    <n v="55.732000000000014"/>
    <s v="8-14 days"/>
  </r>
  <r>
    <s v="24f60d624abf132d3f1734070a204f3a"/>
    <x v="0"/>
    <d v="2018-07-05T00:00:00"/>
    <d v="2018-07-14T00:00:00"/>
    <d v="2018-07-19T00:00:00"/>
    <s v="bed_bath_table"/>
    <n v="94.84"/>
    <n v="18.920000000000002"/>
    <s v="credit_card"/>
    <n v="5"/>
    <s v="delivered"/>
    <d v="2018-07-01T00:00:00"/>
    <n v="9"/>
    <n v="0"/>
    <n v="1"/>
    <n v="113.76"/>
    <n v="58.800800000000002"/>
    <n v="11.352"/>
    <n v="24.687200000000001"/>
    <s v="8-14 days"/>
  </r>
  <r>
    <s v="6c4a37ea490617f2747b6dbac8fe3ccd"/>
    <x v="9"/>
    <d v="2018-07-06T00:00:00"/>
    <d v="2018-07-19T00:00:00"/>
    <d v="2018-08-02T00:00:00"/>
    <s v="health_beauty"/>
    <n v="41.46"/>
    <n v="31.85"/>
    <s v="credit_card"/>
    <n v="3"/>
    <s v="delivered"/>
    <d v="2018-07-01T00:00:00"/>
    <n v="13"/>
    <n v="0"/>
    <n v="1"/>
    <n v="73.31"/>
    <n v="24.046799999999998"/>
    <n v="19.11"/>
    <n v="-1.6967999999999961"/>
    <s v="8-14 days"/>
  </r>
  <r>
    <s v="0bc572073e9aec8603254fbddce8e1c5"/>
    <x v="0"/>
    <d v="2018-07-06T00:00:00"/>
    <d v="2018-07-13T00:00:00"/>
    <d v="2018-07-23T00:00:00"/>
    <s v="watches_gifts"/>
    <n v="88.08"/>
    <n v="12.72"/>
    <s v="credit_card"/>
    <n v="5"/>
    <s v="delivered"/>
    <d v="2018-07-01T00:00:00"/>
    <n v="7"/>
    <n v="0"/>
    <n v="1"/>
    <n v="100.8"/>
    <n v="58.132800000000003"/>
    <n v="7.6319999999999997"/>
    <n v="22.315199999999997"/>
    <s v="0-7 days"/>
  </r>
  <r>
    <s v="b13a8dc792dba951f7b8895a3a099c80"/>
    <x v="0"/>
    <d v="2018-07-06T00:00:00"/>
    <d v="2018-07-15T00:00:00"/>
    <d v="2018-07-22T00:00:00"/>
    <s v="housewares"/>
    <n v="44.65"/>
    <n v="17.739999999999998"/>
    <s v="boleto"/>
    <n v="5"/>
    <s v="delivered"/>
    <d v="2018-07-01T00:00:00"/>
    <n v="9"/>
    <n v="0"/>
    <n v="1"/>
    <n v="62.39"/>
    <n v="28.1295"/>
    <n v="10.643999999999998"/>
    <n v="5.8765000000000001"/>
    <s v="8-14 days"/>
  </r>
  <r>
    <s v="1e0bc3a2d4fb02df69ded7967a31942c"/>
    <x v="6"/>
    <d v="2018-07-06T00:00:00"/>
    <d v="2018-07-25T00:00:00"/>
    <d v="2018-08-05T00:00:00"/>
    <s v="auto"/>
    <n v="273.66000000000003"/>
    <n v="31.84"/>
    <s v="credit_card"/>
    <n v="3"/>
    <s v="delivered"/>
    <d v="2018-07-01T00:00:00"/>
    <n v="19"/>
    <n v="0"/>
    <n v="1"/>
    <n v="305.5"/>
    <n v="186.08880000000002"/>
    <n v="19.103999999999999"/>
    <n v="68.467200000000005"/>
    <s v="15-21 days"/>
  </r>
  <r>
    <s v="f5808b5975b568d735eb728f57750d0f"/>
    <x v="11"/>
    <d v="2018-07-07T00:00:00"/>
    <d v="2018-07-21T00:00:00"/>
    <d v="2018-08-07T00:00:00"/>
    <s v="housewares"/>
    <n v="69.47"/>
    <n v="48.59"/>
    <s v="credit_card"/>
    <n v="5"/>
    <s v="delivered"/>
    <d v="2018-07-01T00:00:00"/>
    <n v="14"/>
    <n v="0"/>
    <n v="1"/>
    <n v="118.06"/>
    <n v="43.766100000000002"/>
    <n v="29.154"/>
    <n v="-3.4501000000000026"/>
    <s v="8-14 days"/>
  </r>
  <r>
    <s v="afe6052b136ac2c85705aed4824bef98"/>
    <x v="0"/>
    <d v="2018-07-07T00:00:00"/>
    <d v="2018-07-17T00:00:00"/>
    <d v="2018-07-22T00:00:00"/>
    <s v="computers_accessories"/>
    <n v="75.66"/>
    <n v="16.059999999999999"/>
    <s v="credit_card"/>
    <n v="4"/>
    <s v="delivered"/>
    <d v="2018-07-01T00:00:00"/>
    <n v="10"/>
    <n v="0"/>
    <n v="1"/>
    <n v="91.72"/>
    <n v="55.988399999999999"/>
    <n v="9.6359999999999992"/>
    <n v="10.035599999999999"/>
    <s v="8-14 days"/>
  </r>
  <r>
    <s v="a352170111d36d4051105a80414ab65f"/>
    <x v="0"/>
    <d v="2018-07-07T00:00:00"/>
    <d v="2018-07-14T00:00:00"/>
    <d v="2018-07-23T00:00:00"/>
    <s v="housewares"/>
    <n v="63.42"/>
    <n v="18.57"/>
    <s v="credit_card"/>
    <n v="4"/>
    <s v="delivered"/>
    <d v="2018-07-01T00:00:00"/>
    <n v="7"/>
    <n v="0"/>
    <n v="1"/>
    <n v="81.990000000000009"/>
    <n v="39.954599999999999"/>
    <n v="11.141999999999999"/>
    <n v="12.323400000000003"/>
    <s v="0-7 days"/>
  </r>
  <r>
    <s v="f50a455f3346412d9fc7d5e4757a0380"/>
    <x v="0"/>
    <d v="2018-07-07T00:00:00"/>
    <d v="2018-07-14T00:00:00"/>
    <d v="2018-07-26T00:00:00"/>
    <s v="bed_bath_table"/>
    <n v="49.68"/>
    <n v="13.55"/>
    <s v="credit_card"/>
    <n v="5"/>
    <s v="delivered"/>
    <d v="2018-07-01T00:00:00"/>
    <n v="7"/>
    <n v="0"/>
    <n v="1"/>
    <n v="63.230000000000004"/>
    <n v="30.801600000000001"/>
    <n v="8.1300000000000008"/>
    <n v="10.748399999999998"/>
    <s v="0-7 days"/>
  </r>
  <r>
    <s v="f194c92c8864f0602642425a21281f77"/>
    <x v="0"/>
    <d v="2018-07-07T00:00:00"/>
    <d v="2018-07-10T00:00:00"/>
    <d v="2018-07-19T00:00:00"/>
    <s v="health_beauty"/>
    <n v="80.709999999999994"/>
    <n v="22.54"/>
    <s v="credit_card"/>
    <n v="5"/>
    <s v="delivered"/>
    <d v="2018-07-01T00:00:00"/>
    <n v="3"/>
    <n v="0"/>
    <n v="1"/>
    <n v="103.25"/>
    <n v="46.811799999999991"/>
    <n v="13.523999999999999"/>
    <n v="20.374200000000002"/>
    <s v="0-7 days"/>
  </r>
  <r>
    <s v="e79c797d469f2152bb815c56b95b7efe"/>
    <x v="5"/>
    <d v="2018-07-08T00:00:00"/>
    <d v="2018-08-08T00:00:00"/>
    <d v="2018-08-04T00:00:00"/>
    <s v="furniture_decor"/>
    <n v="274.49"/>
    <n v="25.2"/>
    <s v="credit_card"/>
    <n v="1"/>
    <s v="delivered"/>
    <d v="2018-07-01T00:00:00"/>
    <n v="31"/>
    <n v="4"/>
    <n v="0"/>
    <n v="299.69"/>
    <n v="192.143"/>
    <n v="15.12"/>
    <n v="67.227000000000004"/>
    <s v="22+ days"/>
  </r>
  <r>
    <s v="38cd0cedba7bc404650c5ea21f473751"/>
    <x v="0"/>
    <d v="2018-07-08T00:00:00"/>
    <d v="2018-07-14T00:00:00"/>
    <d v="2018-07-27T00:00:00"/>
    <s v="health_beauty"/>
    <n v="86.48"/>
    <n v="21.51"/>
    <s v="boleto"/>
    <n v="4"/>
    <s v="delivered"/>
    <d v="2018-07-01T00:00:00"/>
    <n v="6"/>
    <n v="0"/>
    <n v="1"/>
    <n v="107.99000000000001"/>
    <n v="50.1584"/>
    <n v="12.906000000000001"/>
    <n v="23.415600000000005"/>
    <s v="0-7 days"/>
  </r>
  <r>
    <s v="a2dcb2030626cb30699edeed7cfa000c"/>
    <x v="8"/>
    <d v="2018-07-08T00:00:00"/>
    <d v="2018-07-24T00:00:00"/>
    <d v="2018-07-30T00:00:00"/>
    <s v="watches_gifts"/>
    <n v="127.39"/>
    <n v="21.28"/>
    <s v="credit_card"/>
    <n v="5"/>
    <s v="delivered"/>
    <d v="2018-07-01T00:00:00"/>
    <n v="16"/>
    <n v="0"/>
    <n v="1"/>
    <n v="148.67000000000002"/>
    <n v="84.077399999999997"/>
    <n v="12.768000000000001"/>
    <n v="30.544600000000003"/>
    <s v="15-21 days"/>
  </r>
  <r>
    <s v="07f194f9c1156d6d0a4e5b70a6d964a3"/>
    <x v="0"/>
    <d v="2018-07-09T00:00:00"/>
    <d v="2018-07-30T00:00:00"/>
    <d v="2018-07-24T00:00:00"/>
    <s v="bed_bath_table"/>
    <n v="49.17"/>
    <n v="19.690000000000001"/>
    <s v="voucher"/>
    <n v="3"/>
    <s v="delivered"/>
    <d v="2018-07-01T00:00:00"/>
    <n v="21"/>
    <n v="6"/>
    <n v="0"/>
    <n v="68.86"/>
    <n v="30.485400000000002"/>
    <n v="11.814"/>
    <n v="6.8705999999999996"/>
    <s v="15-21 days"/>
  </r>
  <r>
    <s v="d45a1de3731dc76f85e620fea44eb3e1"/>
    <x v="0"/>
    <d v="2018-07-09T00:00:00"/>
    <d v="2018-07-20T00:00:00"/>
    <d v="2018-07-24T00:00:00"/>
    <s v="health_beauty"/>
    <n v="79.63"/>
    <n v="15.76"/>
    <s v="credit_card"/>
    <n v="5"/>
    <s v="delivered"/>
    <d v="2018-07-01T00:00:00"/>
    <n v="11"/>
    <n v="0"/>
    <n v="1"/>
    <n v="95.39"/>
    <n v="46.185399999999994"/>
    <n v="9.4559999999999995"/>
    <n v="23.988600000000002"/>
    <s v="8-14 days"/>
  </r>
  <r>
    <s v="847ccb1dd10499485f6da88484fbcda0"/>
    <x v="6"/>
    <d v="2018-07-09T00:00:00"/>
    <d v="2018-08-03T00:00:00"/>
    <d v="2018-08-12T00:00:00"/>
    <s v="housewares"/>
    <n v="58.63"/>
    <n v="35.56"/>
    <s v="boleto"/>
    <n v="3"/>
    <s v="delivered"/>
    <d v="2018-07-01T00:00:00"/>
    <n v="25"/>
    <n v="0"/>
    <n v="1"/>
    <n v="94.19"/>
    <n v="36.936900000000001"/>
    <n v="21.336000000000002"/>
    <n v="0.35709999999999908"/>
    <s v="22+ days"/>
  </r>
  <r>
    <s v="43675d580b6c03c8721e54192fc3e649"/>
    <x v="0"/>
    <d v="2018-07-10T00:00:00"/>
    <d v="2018-07-21T00:00:00"/>
    <d v="2018-07-27T00:00:00"/>
    <s v="computers_accessories"/>
    <n v="92.88"/>
    <n v="16.36"/>
    <s v="credit_card"/>
    <n v="4"/>
    <s v="delivered"/>
    <d v="2018-07-01T00:00:00"/>
    <n v="11"/>
    <n v="0"/>
    <n v="1"/>
    <n v="109.24"/>
    <n v="68.731200000000001"/>
    <n v="9.8159999999999989"/>
    <n v="14.332799999999995"/>
    <s v="8-14 days"/>
  </r>
  <r>
    <s v="dd643387b6b38fbc6338fb2975992b0a"/>
    <x v="3"/>
    <d v="2018-07-10T00:00:00"/>
    <d v="2018-07-28T00:00:00"/>
    <d v="2018-08-06T00:00:00"/>
    <s v="auto"/>
    <n v="110.93"/>
    <n v="27.57"/>
    <s v="credit_card"/>
    <n v="3"/>
    <s v="delivered"/>
    <d v="2018-07-01T00:00:00"/>
    <n v="18"/>
    <n v="0"/>
    <n v="1"/>
    <n v="138.5"/>
    <n v="75.432400000000015"/>
    <n v="16.541999999999998"/>
    <n v="18.955599999999993"/>
    <s v="15-21 days"/>
  </r>
  <r>
    <s v="1b3eaba1d771b4467ac532884053f74e"/>
    <x v="0"/>
    <d v="2018-07-10T00:00:00"/>
    <d v="2018-07-19T00:00:00"/>
    <d v="2018-07-22T00:00:00"/>
    <s v="sports_leisure"/>
    <n v="24.63"/>
    <n v="20.92"/>
    <s v="credit_card"/>
    <n v="4"/>
    <s v="delivered"/>
    <d v="2018-07-01T00:00:00"/>
    <n v="9"/>
    <n v="0"/>
    <n v="1"/>
    <n v="45.55"/>
    <n v="15.763199999999999"/>
    <n v="12.552000000000001"/>
    <n v="-3.6852000000000018"/>
    <s v="8-14 days"/>
  </r>
  <r>
    <s v="6815760743df1c142ee066ca4af1ff74"/>
    <x v="0"/>
    <d v="2018-07-10T00:00:00"/>
    <d v="2018-07-21T00:00:00"/>
    <d v="2018-07-22T00:00:00"/>
    <s v="housewares"/>
    <n v="41.02"/>
    <n v="14.58"/>
    <s v="credit_card"/>
    <n v="5"/>
    <s v="delivered"/>
    <d v="2018-07-01T00:00:00"/>
    <n v="11"/>
    <n v="0"/>
    <n v="1"/>
    <n v="55.6"/>
    <n v="25.842600000000001"/>
    <n v="8.7479999999999993"/>
    <n v="6.4294000000000029"/>
    <s v="8-14 days"/>
  </r>
  <r>
    <s v="ea3e442f23cdec8466ed34e2c1ed3940"/>
    <x v="0"/>
    <d v="2018-07-10T00:00:00"/>
    <d v="2018-07-16T00:00:00"/>
    <d v="2018-07-22T00:00:00"/>
    <s v="toys"/>
    <n v="147.46"/>
    <n v="15.61"/>
    <s v="credit_card"/>
    <n v="5"/>
    <s v="delivered"/>
    <d v="2018-07-01T00:00:00"/>
    <n v="6"/>
    <n v="0"/>
    <n v="1"/>
    <n v="163.07"/>
    <n v="88.475999999999999"/>
    <n v="9.3659999999999997"/>
    <n v="49.618000000000009"/>
    <s v="0-7 days"/>
  </r>
  <r>
    <s v="fcf56188d32e6dcd83bc9478dd6ac7b8"/>
    <x v="4"/>
    <d v="2018-07-11T00:00:00"/>
    <d v="2018-07-22T00:00:00"/>
    <d v="2018-07-31T00:00:00"/>
    <s v="housewares"/>
    <n v="53.76"/>
    <n v="25.89"/>
    <s v="credit_card"/>
    <n v="4"/>
    <s v="delivered"/>
    <d v="2018-07-01T00:00:00"/>
    <n v="11"/>
    <n v="0"/>
    <n v="1"/>
    <n v="79.650000000000006"/>
    <n v="33.8688"/>
    <n v="15.533999999999999"/>
    <n v="4.3571999999999989"/>
    <s v="8-14 days"/>
  </r>
  <r>
    <s v="af4b88ff1a58c6ae78ccd78887c84346"/>
    <x v="0"/>
    <d v="2018-07-11T00:00:00"/>
    <d v="2018-07-21T00:00:00"/>
    <d v="2018-07-28T00:00:00"/>
    <s v="housewares"/>
    <n v="42.81"/>
    <n v="14.72"/>
    <s v="credit_card"/>
    <n v="5"/>
    <s v="delivered"/>
    <d v="2018-07-01T00:00:00"/>
    <n v="10"/>
    <n v="0"/>
    <n v="1"/>
    <n v="57.53"/>
    <n v="26.970300000000002"/>
    <n v="8.8320000000000007"/>
    <n v="7.0076999999999998"/>
    <s v="8-14 days"/>
  </r>
  <r>
    <s v="ff630fac16acb78e1a617efe85d8cc08"/>
    <x v="10"/>
    <d v="2018-07-11T00:00:00"/>
    <d v="2018-07-25T00:00:00"/>
    <d v="2018-08-11T00:00:00"/>
    <s v="watches_gifts"/>
    <n v="334.43"/>
    <n v="36.51"/>
    <s v="credit_card"/>
    <n v="5"/>
    <s v="delivered"/>
    <d v="2018-07-01T00:00:00"/>
    <n v="14"/>
    <n v="0"/>
    <n v="1"/>
    <n v="370.94"/>
    <n v="220.72380000000001"/>
    <n v="21.905999999999999"/>
    <n v="91.80019999999999"/>
    <s v="8-14 days"/>
  </r>
  <r>
    <s v="fbc02c385e55bd482b36b6f5a2b3ee1b"/>
    <x v="2"/>
    <d v="2018-07-11T00:00:00"/>
    <d v="2018-07-22T00:00:00"/>
    <d v="2018-08-03T00:00:00"/>
    <s v="housewares"/>
    <n v="31.16"/>
    <n v="31.02"/>
    <s v="credit_card"/>
    <n v="4"/>
    <s v="delivered"/>
    <d v="2018-07-01T00:00:00"/>
    <n v="11"/>
    <n v="0"/>
    <n v="1"/>
    <n v="62.18"/>
    <n v="19.630800000000001"/>
    <n v="18.611999999999998"/>
    <n v="-7.0827999999999989"/>
    <s v="8-14 days"/>
  </r>
  <r>
    <s v="b0f9245cc07571f260ad1181c52391f2"/>
    <x v="3"/>
    <d v="2018-07-11T00:00:00"/>
    <d v="2018-07-21T00:00:00"/>
    <d v="2018-08-03T00:00:00"/>
    <s v="health_beauty"/>
    <n v="155.41999999999999"/>
    <n v="23.01"/>
    <s v="credit_card"/>
    <n v="4"/>
    <s v="delivered"/>
    <d v="2018-07-01T00:00:00"/>
    <n v="10"/>
    <n v="0"/>
    <n v="1"/>
    <n v="178.42999999999998"/>
    <n v="90.143599999999992"/>
    <n v="13.806000000000001"/>
    <n v="51.470399999999998"/>
    <s v="8-14 days"/>
  </r>
  <r>
    <s v="20e5886663380b421887fa69eabd37da"/>
    <x v="4"/>
    <d v="2018-07-12T00:00:00"/>
    <d v="2018-07-19T00:00:00"/>
    <d v="2018-08-01T00:00:00"/>
    <s v="furniture_decor"/>
    <n v="76.03"/>
    <n v="18.920000000000002"/>
    <s v="credit_card"/>
    <n v="5"/>
    <s v="delivered"/>
    <d v="2018-07-01T00:00:00"/>
    <n v="7"/>
    <n v="0"/>
    <n v="1"/>
    <n v="94.95"/>
    <n v="53.220999999999997"/>
    <n v="11.352"/>
    <n v="11.457000000000004"/>
    <s v="0-7 days"/>
  </r>
  <r>
    <s v="78ab2513e03db91863c279aacf674365"/>
    <x v="0"/>
    <d v="2018-07-12T00:00:00"/>
    <d v="2018-07-19T00:00:00"/>
    <d v="2018-08-01T00:00:00"/>
    <s v="watches_gifts"/>
    <n v="63.14"/>
    <n v="18.59"/>
    <s v="credit_card"/>
    <n v="5"/>
    <s v="delivered"/>
    <d v="2018-07-01T00:00:00"/>
    <n v="7"/>
    <n v="0"/>
    <n v="1"/>
    <n v="81.73"/>
    <n v="41.672400000000003"/>
    <n v="11.154"/>
    <n v="10.313599999999997"/>
    <s v="0-7 days"/>
  </r>
  <r>
    <s v="984f541976b4c117210f0001d832c732"/>
    <x v="9"/>
    <d v="2018-07-12T00:00:00"/>
    <d v="2018-07-30T00:00:00"/>
    <d v="2018-08-04T00:00:00"/>
    <s v="bed_bath_table"/>
    <n v="78.61"/>
    <n v="29.01"/>
    <s v="credit_card"/>
    <n v="3"/>
    <s v="delivered"/>
    <d v="2018-07-01T00:00:00"/>
    <n v="18"/>
    <n v="0"/>
    <n v="1"/>
    <n v="107.62"/>
    <n v="48.738199999999999"/>
    <n v="17.405999999999999"/>
    <n v="12.465800000000002"/>
    <s v="15-21 days"/>
  </r>
  <r>
    <s v="a10e6d9e0c4ed3f422d30f667eeaf42d"/>
    <x v="0"/>
    <d v="2018-07-12T00:00:00"/>
    <d v="2018-07-19T00:00:00"/>
    <d v="2018-07-25T00:00:00"/>
    <s v="furniture_decor"/>
    <n v="166.18"/>
    <n v="21.18"/>
    <s v="credit_card"/>
    <n v="5"/>
    <s v="delivered"/>
    <d v="2018-07-01T00:00:00"/>
    <n v="7"/>
    <n v="0"/>
    <n v="1"/>
    <n v="187.36"/>
    <n v="116.32599999999999"/>
    <n v="12.708"/>
    <n v="37.146000000000015"/>
    <s v="0-7 days"/>
  </r>
  <r>
    <s v="84b9cc5a409840ba9d00841e55d56d09"/>
    <x v="0"/>
    <d v="2018-07-12T00:00:00"/>
    <d v="2018-07-18T00:00:00"/>
    <d v="2018-07-28T00:00:00"/>
    <s v="toys"/>
    <n v="177.65"/>
    <n v="20.95"/>
    <s v="credit_card"/>
    <n v="5"/>
    <s v="delivered"/>
    <d v="2018-07-01T00:00:00"/>
    <n v="6"/>
    <n v="0"/>
    <n v="1"/>
    <n v="198.6"/>
    <n v="106.59"/>
    <n v="12.569999999999999"/>
    <n v="58.49"/>
    <s v="0-7 days"/>
  </r>
  <r>
    <s v="55c34e893a233ea3618f9784bb813d30"/>
    <x v="4"/>
    <d v="2018-07-12T00:00:00"/>
    <d v="2018-07-30T00:00:00"/>
    <d v="2018-08-06T00:00:00"/>
    <s v="housewares"/>
    <n v="99.36"/>
    <n v="26.64"/>
    <s v="credit_card"/>
    <n v="4"/>
    <s v="delivered"/>
    <d v="2018-07-01T00:00:00"/>
    <n v="18"/>
    <n v="0"/>
    <n v="1"/>
    <n v="126"/>
    <n v="62.596800000000002"/>
    <n v="15.984"/>
    <n v="20.779199999999996"/>
    <s v="15-21 days"/>
  </r>
  <r>
    <s v="8849066e539d5223c48d276cacae8af8"/>
    <x v="5"/>
    <d v="2018-07-13T00:00:00"/>
    <d v="2018-07-29T00:00:00"/>
    <d v="2018-08-07T00:00:00"/>
    <s v="health_beauty"/>
    <n v="77.95"/>
    <n v="20.39"/>
    <s v="credit_card"/>
    <n v="4"/>
    <s v="delivered"/>
    <d v="2018-07-01T00:00:00"/>
    <n v="16"/>
    <n v="0"/>
    <n v="1"/>
    <n v="98.34"/>
    <n v="45.210999999999999"/>
    <n v="12.234"/>
    <n v="20.505000000000003"/>
    <s v="15-21 days"/>
  </r>
  <r>
    <s v="7c959cad75e7f5311e26bc3df514083e"/>
    <x v="3"/>
    <d v="2018-07-13T00:00:00"/>
    <d v="2018-07-29T00:00:00"/>
    <d v="2018-08-11T00:00:00"/>
    <s v="sports_leisure"/>
    <n v="78.349999999999994"/>
    <n v="20.89"/>
    <s v="credit_card"/>
    <n v="4"/>
    <s v="delivered"/>
    <d v="2018-07-01T00:00:00"/>
    <n v="16"/>
    <n v="0"/>
    <n v="1"/>
    <n v="99.24"/>
    <n v="50.143999999999998"/>
    <n v="12.534000000000001"/>
    <n v="15.671999999999995"/>
    <s v="15-21 days"/>
  </r>
  <r>
    <s v="654102672e49a90421e78734960144c0"/>
    <x v="0"/>
    <d v="2018-07-13T00:00:00"/>
    <d v="2018-07-16T00:00:00"/>
    <d v="2018-07-28T00:00:00"/>
    <s v="health_beauty"/>
    <n v="71.56"/>
    <n v="20.3"/>
    <s v="credit_card"/>
    <n v="5"/>
    <s v="delivered"/>
    <d v="2018-07-01T00:00:00"/>
    <n v="3"/>
    <n v="0"/>
    <n v="1"/>
    <n v="91.86"/>
    <n v="41.504799999999996"/>
    <n v="12.18"/>
    <n v="17.875200000000007"/>
    <s v="0-7 days"/>
  </r>
  <r>
    <s v="01c5380ef470c29a8c042b51655f7974"/>
    <x v="9"/>
    <d v="2018-07-13T00:00:00"/>
    <d v="2018-07-29T00:00:00"/>
    <d v="2018-08-06T00:00:00"/>
    <s v="health_beauty"/>
    <n v="88.45"/>
    <n v="26.88"/>
    <s v="credit_card"/>
    <n v="5"/>
    <s v="delivered"/>
    <d v="2018-07-01T00:00:00"/>
    <n v="16"/>
    <n v="0"/>
    <n v="1"/>
    <n v="115.33"/>
    <n v="51.300999999999995"/>
    <n v="16.128"/>
    <n v="21.021000000000008"/>
    <s v="15-21 days"/>
  </r>
  <r>
    <s v="8d4f5d272c7f0b793d67cde92834e4c0"/>
    <x v="3"/>
    <d v="2018-07-14T00:00:00"/>
    <d v="2018-07-25T00:00:00"/>
    <d v="2018-08-05T00:00:00"/>
    <s v="auto"/>
    <n v="64.53"/>
    <n v="25.7"/>
    <s v="credit_card"/>
    <n v="4"/>
    <s v="delivered"/>
    <d v="2018-07-01T00:00:00"/>
    <n v="11"/>
    <n v="0"/>
    <n v="1"/>
    <n v="90.23"/>
    <n v="43.880400000000002"/>
    <n v="15.419999999999998"/>
    <n v="5.2296000000000014"/>
    <s v="8-14 days"/>
  </r>
  <r>
    <s v="f06c69d99339304b9a8cb3d728a5e34d"/>
    <x v="0"/>
    <d v="2018-07-14T00:00:00"/>
    <d v="2018-07-19T00:00:00"/>
    <d v="2018-07-29T00:00:00"/>
    <s v="toys"/>
    <n v="30.4"/>
    <n v="18.09"/>
    <s v="credit_card"/>
    <n v="4"/>
    <s v="delivered"/>
    <d v="2018-07-01T00:00:00"/>
    <n v="5"/>
    <n v="0"/>
    <n v="1"/>
    <n v="48.489999999999995"/>
    <n v="18.239999999999998"/>
    <n v="10.853999999999999"/>
    <n v="1.3060000000000009"/>
    <s v="0-7 days"/>
  </r>
  <r>
    <s v="d076ddad317e43a4ab16b1fd14ca728c"/>
    <x v="0"/>
    <d v="2018-07-14T00:00:00"/>
    <d v="2018-07-30T00:00:00"/>
    <d v="2018-07-24T00:00:00"/>
    <s v="bed_bath_table"/>
    <n v="154.24"/>
    <n v="15.71"/>
    <s v="credit_card"/>
    <n v="5"/>
    <s v="delivered"/>
    <d v="2018-07-01T00:00:00"/>
    <n v="16"/>
    <n v="6"/>
    <n v="0"/>
    <n v="169.95000000000002"/>
    <n v="95.628799999999998"/>
    <n v="9.4260000000000002"/>
    <n v="49.185200000000009"/>
    <s v="15-21 days"/>
  </r>
  <r>
    <s v="473eed62073f1d9100c3f2673b38387c"/>
    <x v="0"/>
    <d v="2018-07-14T00:00:00"/>
    <d v="2018-07-20T00:00:00"/>
    <d v="2018-07-27T00:00:00"/>
    <s v="computers_accessories"/>
    <n v="60.57"/>
    <n v="19.899999999999999"/>
    <s v="credit_card"/>
    <n v="4"/>
    <s v="delivered"/>
    <d v="2018-07-01T00:00:00"/>
    <n v="6"/>
    <n v="0"/>
    <n v="1"/>
    <n v="80.47"/>
    <n v="44.821800000000003"/>
    <n v="11.94"/>
    <n v="3.8081999999999976"/>
    <s v="0-7 days"/>
  </r>
  <r>
    <s v="c378205f9d93615cae326c53ad9e9a10"/>
    <x v="4"/>
    <d v="2018-07-14T00:00:00"/>
    <d v="2018-07-19T00:00:00"/>
    <d v="2018-08-07T00:00:00"/>
    <s v="health_beauty"/>
    <n v="112.65"/>
    <n v="21.62"/>
    <s v="boleto"/>
    <n v="4"/>
    <s v="delivered"/>
    <d v="2018-07-01T00:00:00"/>
    <n v="5"/>
    <n v="0"/>
    <n v="1"/>
    <n v="134.27000000000001"/>
    <n v="65.337000000000003"/>
    <n v="12.972"/>
    <n v="34.341000000000001"/>
    <s v="0-7 days"/>
  </r>
  <r>
    <s v="b2204f32e2028858161891b09e86e4e8"/>
    <x v="2"/>
    <d v="2018-07-14T00:00:00"/>
    <d v="2018-07-30T00:00:00"/>
    <d v="2018-08-06T00:00:00"/>
    <s v="bed_bath_table"/>
    <n v="109.19"/>
    <n v="29.49"/>
    <s v="credit_card"/>
    <n v="4"/>
    <s v="delivered"/>
    <d v="2018-07-01T00:00:00"/>
    <n v="16"/>
    <n v="0"/>
    <n v="1"/>
    <n v="138.68"/>
    <n v="67.697800000000001"/>
    <n v="17.693999999999999"/>
    <n v="23.798199999999998"/>
    <s v="15-21 days"/>
  </r>
  <r>
    <s v="13b2d1abf4e580aaf5504c5249d2cac0"/>
    <x v="8"/>
    <d v="2018-07-15T00:00:00"/>
    <d v="2018-08-05T00:00:00"/>
    <d v="2018-08-11T00:00:00"/>
    <s v="auto"/>
    <n v="104.8"/>
    <n v="30"/>
    <s v="credit_card"/>
    <n v="4"/>
    <s v="delivered"/>
    <d v="2018-07-01T00:00:00"/>
    <n v="21"/>
    <n v="0"/>
    <n v="1"/>
    <n v="134.80000000000001"/>
    <n v="71.26400000000001"/>
    <n v="18"/>
    <n v="15.535999999999987"/>
    <s v="15-21 days"/>
  </r>
  <r>
    <s v="5d8447149c12d6f05cd1a96075d4a3be"/>
    <x v="4"/>
    <d v="2018-07-15T00:00:00"/>
    <d v="2018-07-24T00:00:00"/>
    <d v="2018-08-05T00:00:00"/>
    <s v="housewares"/>
    <n v="93.98"/>
    <n v="23.34"/>
    <s v="voucher"/>
    <n v="5"/>
    <s v="delivered"/>
    <d v="2018-07-01T00:00:00"/>
    <n v="9"/>
    <n v="0"/>
    <n v="1"/>
    <n v="117.32000000000001"/>
    <n v="59.2074"/>
    <n v="14.004"/>
    <n v="20.768600000000006"/>
    <s v="8-14 days"/>
  </r>
  <r>
    <s v="6bacd409ac97e3d1d303ad2d94e74902"/>
    <x v="3"/>
    <d v="2018-07-15T00:00:00"/>
    <d v="2018-07-30T00:00:00"/>
    <d v="2018-08-09T00:00:00"/>
    <s v="bed_bath_table"/>
    <n v="31.13"/>
    <n v="20.82"/>
    <s v="voucher"/>
    <n v="5"/>
    <s v="delivered"/>
    <d v="2018-07-01T00:00:00"/>
    <n v="15"/>
    <n v="0"/>
    <n v="1"/>
    <n v="51.95"/>
    <n v="19.300599999999999"/>
    <n v="12.491999999999999"/>
    <n v="-0.66259999999999941"/>
    <s v="15-21 days"/>
  </r>
  <r>
    <s v="ebe5841fe9c96c52098c60b3efc9909e"/>
    <x v="4"/>
    <d v="2018-07-16T00:00:00"/>
    <d v="2018-07-28T00:00:00"/>
    <d v="2018-08-07T00:00:00"/>
    <s v="watches_gifts"/>
    <n v="163.89"/>
    <n v="27.4"/>
    <s v="credit_card"/>
    <n v="4"/>
    <s v="delivered"/>
    <d v="2018-07-01T00:00:00"/>
    <n v="12"/>
    <n v="0"/>
    <n v="1"/>
    <n v="191.29"/>
    <n v="108.1674"/>
    <n v="16.439999999999998"/>
    <n v="39.282599999999988"/>
    <s v="8-14 days"/>
  </r>
  <r>
    <s v="232a5e8226996aabdaaf7529deeff82a"/>
    <x v="0"/>
    <d v="2018-07-16T00:00:00"/>
    <d v="2018-07-25T00:00:00"/>
    <d v="2018-07-30T00:00:00"/>
    <s v="bed_bath_table"/>
    <n v="105.91"/>
    <n v="16.96"/>
    <s v="debit_card"/>
    <n v="5"/>
    <s v="delivered"/>
    <d v="2018-07-01T00:00:00"/>
    <n v="9"/>
    <n v="0"/>
    <n v="1"/>
    <n v="122.87"/>
    <n v="65.664199999999994"/>
    <n v="10.176"/>
    <n v="30.069800000000001"/>
    <s v="8-14 days"/>
  </r>
  <r>
    <s v="913767ab4dd85715753ff3e271fc5136"/>
    <x v="1"/>
    <d v="2018-07-17T00:00:00"/>
    <d v="2018-07-31T00:00:00"/>
    <d v="2018-08-05T00:00:00"/>
    <s v="sports_leisure"/>
    <n v="134.82"/>
    <n v="28.48"/>
    <s v="credit_card"/>
    <n v="5"/>
    <s v="delivered"/>
    <d v="2018-07-01T00:00:00"/>
    <n v="14"/>
    <n v="0"/>
    <n v="1"/>
    <n v="163.29999999999998"/>
    <n v="86.284800000000004"/>
    <n v="17.088000000000001"/>
    <n v="31.447199999999988"/>
    <s v="8-14 days"/>
  </r>
  <r>
    <s v="c4844743cc8ba7603e3a0dfc5424aae4"/>
    <x v="2"/>
    <d v="2018-07-17T00:00:00"/>
    <d v="2018-08-11T00:00:00"/>
    <d v="2018-08-09T00:00:00"/>
    <s v="sports_leisure"/>
    <n v="50.29"/>
    <n v="30.44"/>
    <s v="voucher"/>
    <n v="2"/>
    <s v="delivered"/>
    <d v="2018-07-01T00:00:00"/>
    <n v="25"/>
    <n v="2"/>
    <n v="0"/>
    <n v="80.73"/>
    <n v="32.185600000000001"/>
    <n v="18.263999999999999"/>
    <n v="-0.15960000000000107"/>
    <s v="22+ days"/>
  </r>
  <r>
    <s v="0f95e5dcec9f180364f3d80f88f51390"/>
    <x v="9"/>
    <d v="2018-07-17T00:00:00"/>
    <d v="2018-08-01T00:00:00"/>
    <d v="2018-08-08T00:00:00"/>
    <s v="watches_gifts"/>
    <n v="208.72"/>
    <n v="24.09"/>
    <s v="boleto"/>
    <n v="5"/>
    <s v="delivered"/>
    <d v="2018-07-01T00:00:00"/>
    <n v="15"/>
    <n v="0"/>
    <n v="1"/>
    <n v="232.81"/>
    <n v="137.7552"/>
    <n v="14.453999999999999"/>
    <n v="56.510799999999996"/>
    <s v="15-21 days"/>
  </r>
  <r>
    <s v="87e92ea5bb1e7e3a21178e9f0b44af4d"/>
    <x v="0"/>
    <d v="2018-07-17T00:00:00"/>
    <d v="2018-07-24T00:00:00"/>
    <d v="2018-08-02T00:00:00"/>
    <s v="bed_bath_table"/>
    <n v="61.95"/>
    <n v="11.83"/>
    <s v="boleto"/>
    <n v="4"/>
    <s v="delivered"/>
    <d v="2018-07-01T00:00:00"/>
    <n v="7"/>
    <n v="0"/>
    <n v="1"/>
    <n v="73.78"/>
    <n v="38.408999999999999"/>
    <n v="7.0979999999999999"/>
    <n v="16.443000000000005"/>
    <s v="0-7 days"/>
  </r>
  <r>
    <s v="d4814780c6676b082a82007ab0ee1d54"/>
    <x v="0"/>
    <d v="2018-07-17T00:00:00"/>
    <d v="2018-07-28T00:00:00"/>
    <d v="2018-08-03T00:00:00"/>
    <s v="furniture_decor"/>
    <n v="72.48"/>
    <n v="12.57"/>
    <s v="boleto"/>
    <n v="5"/>
    <s v="delivered"/>
    <d v="2018-07-01T00:00:00"/>
    <n v="11"/>
    <n v="0"/>
    <n v="1"/>
    <n v="85.050000000000011"/>
    <n v="50.735999999999997"/>
    <n v="7.5419999999999998"/>
    <n v="14.202000000000007"/>
    <s v="8-14 days"/>
  </r>
  <r>
    <s v="aa306b9de7f3072a86a59dc38b748936"/>
    <x v="3"/>
    <d v="2018-07-17T00:00:00"/>
    <d v="2018-08-01T00:00:00"/>
    <d v="2018-08-13T00:00:00"/>
    <s v="computers_accessories"/>
    <n v="210.26"/>
    <n v="22.38"/>
    <s v="credit_card"/>
    <n v="4"/>
    <s v="delivered"/>
    <d v="2018-07-01T00:00:00"/>
    <n v="15"/>
    <n v="0"/>
    <n v="1"/>
    <n v="232.64"/>
    <n v="155.5924"/>
    <n v="13.427999999999999"/>
    <n v="41.239599999999996"/>
    <s v="15-21 days"/>
  </r>
  <r>
    <s v="b963f37f67814c1fcc530e36addc3e13"/>
    <x v="7"/>
    <d v="2018-07-18T00:00:00"/>
    <d v="2018-08-06T00:00:00"/>
    <d v="2018-08-08T00:00:00"/>
    <s v="health_beauty"/>
    <n v="95.66"/>
    <n v="21.55"/>
    <s v="credit_card"/>
    <n v="4"/>
    <s v="delivered"/>
    <d v="2018-07-01T00:00:00"/>
    <n v="19"/>
    <n v="0"/>
    <n v="1"/>
    <n v="117.21"/>
    <n v="55.482799999999997"/>
    <n v="12.93"/>
    <n v="27.247199999999999"/>
    <s v="15-21 days"/>
  </r>
  <r>
    <s v="4140752caa44825950018b7b6d4067f4"/>
    <x v="4"/>
    <d v="2018-07-18T00:00:00"/>
    <d v="2018-08-01T00:00:00"/>
    <d v="2018-08-06T00:00:00"/>
    <s v="sports_leisure"/>
    <n v="79.33"/>
    <n v="16.920000000000002"/>
    <s v="credit_card"/>
    <n v="5"/>
    <s v="delivered"/>
    <d v="2018-07-01T00:00:00"/>
    <n v="14"/>
    <n v="0"/>
    <n v="1"/>
    <n v="96.25"/>
    <n v="50.7712"/>
    <n v="10.152000000000001"/>
    <n v="18.406799999999997"/>
    <s v="8-14 days"/>
  </r>
  <r>
    <s v="fc0f94cdc2ebbaa21ce370ed685707ac"/>
    <x v="0"/>
    <d v="2018-07-18T00:00:00"/>
    <d v="2018-07-30T00:00:00"/>
    <d v="2018-08-02T00:00:00"/>
    <s v="watches_gifts"/>
    <n v="326.54000000000002"/>
    <n v="22.43"/>
    <s v="credit_card"/>
    <n v="4"/>
    <s v="delivered"/>
    <d v="2018-07-01T00:00:00"/>
    <n v="12"/>
    <n v="0"/>
    <n v="1"/>
    <n v="348.97"/>
    <n v="215.51640000000003"/>
    <n v="13.458"/>
    <n v="97.565599999999989"/>
    <s v="8-14 days"/>
  </r>
  <r>
    <s v="ae5714e8d29c0131d44260d25f116839"/>
    <x v="8"/>
    <d v="2018-07-18T00:00:00"/>
    <d v="2018-08-07T00:00:00"/>
    <d v="2018-08-10T00:00:00"/>
    <s v="furniture_decor"/>
    <n v="110.94"/>
    <n v="21.71"/>
    <s v="credit_card"/>
    <n v="4"/>
    <s v="delivered"/>
    <d v="2018-07-01T00:00:00"/>
    <n v="20"/>
    <n v="0"/>
    <n v="1"/>
    <n v="132.65"/>
    <n v="77.657999999999987"/>
    <n v="13.026"/>
    <n v="20.256000000000011"/>
    <s v="15-21 days"/>
  </r>
  <r>
    <s v="44e057875550f4eaa86bf8b517ccb76c"/>
    <x v="0"/>
    <d v="2018-07-18T00:00:00"/>
    <d v="2018-07-29T00:00:00"/>
    <d v="2018-08-02T00:00:00"/>
    <s v="sports_leisure"/>
    <n v="162.5"/>
    <n v="22.97"/>
    <s v="boleto"/>
    <n v="4"/>
    <s v="delivered"/>
    <d v="2018-07-01T00:00:00"/>
    <n v="11"/>
    <n v="0"/>
    <n v="1"/>
    <n v="185.47"/>
    <n v="104"/>
    <n v="13.781999999999998"/>
    <n v="44.718000000000004"/>
    <s v="8-14 days"/>
  </r>
  <r>
    <s v="8c12d6ef31fab84d80dd80058abcb652"/>
    <x v="0"/>
    <d v="2018-07-18T00:00:00"/>
    <d v="2018-07-25T00:00:00"/>
    <d v="2018-07-31T00:00:00"/>
    <s v="health_beauty"/>
    <n v="107.17"/>
    <n v="15.79"/>
    <s v="credit_card"/>
    <n v="5"/>
    <s v="delivered"/>
    <d v="2018-07-01T00:00:00"/>
    <n v="7"/>
    <n v="0"/>
    <n v="1"/>
    <n v="122.96000000000001"/>
    <n v="62.1586"/>
    <n v="9.4739999999999984"/>
    <n v="35.537400000000005"/>
    <s v="0-7 days"/>
  </r>
  <r>
    <s v="4f2e8a0863b3dfd00ef90bcc8988266f"/>
    <x v="3"/>
    <d v="2018-07-18T00:00:00"/>
    <d v="2018-07-31T00:00:00"/>
    <d v="2018-08-08T00:00:00"/>
    <s v="bed_bath_table"/>
    <n v="80.099999999999994"/>
    <n v="20.16"/>
    <s v="debit_card"/>
    <n v="5"/>
    <s v="delivered"/>
    <d v="2018-07-01T00:00:00"/>
    <n v="13"/>
    <n v="0"/>
    <n v="1"/>
    <n v="100.25999999999999"/>
    <n v="49.661999999999999"/>
    <n v="12.096"/>
    <n v="18.341999999999995"/>
    <s v="8-14 days"/>
  </r>
  <r>
    <s v="8249dfeb36dd9d1e03f2d0479d8ac4b9"/>
    <x v="1"/>
    <d v="2018-07-18T00:00:00"/>
    <d v="2018-07-22T00:00:00"/>
    <d v="2018-08-05T00:00:00"/>
    <s v="watches_gifts"/>
    <n v="108.91"/>
    <n v="26.73"/>
    <s v="credit_card"/>
    <n v="5"/>
    <s v="delivered"/>
    <d v="2018-07-01T00:00:00"/>
    <n v="4"/>
    <n v="0"/>
    <n v="1"/>
    <n v="135.63999999999999"/>
    <n v="71.880600000000001"/>
    <n v="16.038"/>
    <n v="20.991399999999995"/>
    <s v="0-7 days"/>
  </r>
  <r>
    <s v="038d1b68d440759a004c4600b79f9bc5"/>
    <x v="7"/>
    <d v="2018-07-18T00:00:00"/>
    <d v="2018-08-02T00:00:00"/>
    <d v="2018-08-10T00:00:00"/>
    <s v="housewares"/>
    <n v="110.7"/>
    <n v="18.510000000000002"/>
    <s v="credit_card"/>
    <n v="5"/>
    <s v="delivered"/>
    <d v="2018-07-01T00:00:00"/>
    <n v="15"/>
    <n v="0"/>
    <n v="1"/>
    <n v="129.21"/>
    <n v="69.741"/>
    <n v="11.106"/>
    <n v="29.853000000000002"/>
    <s v="15-21 days"/>
  </r>
  <r>
    <s v="bf3c4c06434308bc89fa6a688fb5d27b"/>
    <x v="0"/>
    <d v="2018-07-19T00:00:00"/>
    <d v="2018-07-30T00:00:00"/>
    <d v="2018-08-02T00:00:00"/>
    <s v="toys"/>
    <n v="77.260000000000005"/>
    <n v="14.63"/>
    <s v="credit_card"/>
    <n v="4"/>
    <s v="delivered"/>
    <d v="2018-07-01T00:00:00"/>
    <n v="11"/>
    <n v="0"/>
    <n v="1"/>
    <n v="91.89"/>
    <n v="46.356000000000002"/>
    <n v="8.7780000000000005"/>
    <n v="22.126000000000005"/>
    <s v="8-14 days"/>
  </r>
  <r>
    <s v="f73360946b2b78b985c7f3bed183010f"/>
    <x v="0"/>
    <d v="2018-07-19T00:00:00"/>
    <d v="2018-07-28T00:00:00"/>
    <d v="2018-08-02T00:00:00"/>
    <s v="auto"/>
    <n v="120.26"/>
    <n v="21.73"/>
    <s v="credit_card"/>
    <n v="5"/>
    <s v="delivered"/>
    <d v="2018-07-01T00:00:00"/>
    <n v="9"/>
    <n v="0"/>
    <n v="1"/>
    <n v="141.99"/>
    <n v="81.776800000000009"/>
    <n v="13.038"/>
    <n v="25.445199999999996"/>
    <s v="8-14 days"/>
  </r>
  <r>
    <s v="b1123048e128b9a8d2f629cabbe277ba"/>
    <x v="0"/>
    <d v="2018-07-19T00:00:00"/>
    <d v="2018-07-26T00:00:00"/>
    <d v="2018-08-05T00:00:00"/>
    <s v="computers_accessories"/>
    <n v="153.68"/>
    <n v="14.64"/>
    <s v="credit_card"/>
    <n v="5"/>
    <s v="delivered"/>
    <d v="2018-07-01T00:00:00"/>
    <n v="7"/>
    <n v="0"/>
    <n v="1"/>
    <n v="168.32"/>
    <n v="113.72320000000001"/>
    <n v="8.7840000000000007"/>
    <n v="31.172800000000002"/>
    <s v="0-7 days"/>
  </r>
  <r>
    <s v="d11756d58c0dea8b3448a24723a86b61"/>
    <x v="3"/>
    <d v="2018-07-19T00:00:00"/>
    <d v="2018-07-31T00:00:00"/>
    <d v="2018-08-12T00:00:00"/>
    <s v="sports_leisure"/>
    <n v="59"/>
    <n v="27.12"/>
    <s v="credit_card"/>
    <n v="5"/>
    <s v="delivered"/>
    <d v="2018-07-01T00:00:00"/>
    <n v="12"/>
    <n v="0"/>
    <n v="1"/>
    <n v="86.12"/>
    <n v="37.76"/>
    <n v="16.271999999999998"/>
    <n v="4.9680000000000035"/>
    <s v="8-14 days"/>
  </r>
  <r>
    <s v="ce96cc5e574aa942415a51ff2fb2a0d7"/>
    <x v="0"/>
    <d v="2018-07-19T00:00:00"/>
    <d v="2018-07-27T00:00:00"/>
    <d v="2018-07-31T00:00:00"/>
    <s v="watches_gifts"/>
    <n v="151.51"/>
    <n v="24"/>
    <s v="boleto"/>
    <n v="5"/>
    <s v="delivered"/>
    <d v="2018-07-01T00:00:00"/>
    <n v="8"/>
    <n v="0"/>
    <n v="1"/>
    <n v="175.51"/>
    <n v="99.996600000000001"/>
    <n v="14.399999999999999"/>
    <n v="37.113399999999992"/>
    <s v="8-14 days"/>
  </r>
  <r>
    <s v="3f0cd8c9d98c9dc34b672fac298604bc"/>
    <x v="0"/>
    <d v="2018-07-19T00:00:00"/>
    <d v="2018-07-27T00:00:00"/>
    <d v="2018-08-01T00:00:00"/>
    <s v="health_beauty"/>
    <n v="22.44"/>
    <n v="12.97"/>
    <s v="credit_card"/>
    <n v="4"/>
    <s v="delivered"/>
    <d v="2018-07-01T00:00:00"/>
    <n v="8"/>
    <n v="0"/>
    <n v="1"/>
    <n v="35.410000000000004"/>
    <n v="13.0152"/>
    <n v="7.782"/>
    <n v="1.6428000000000011"/>
    <s v="8-14 days"/>
  </r>
  <r>
    <s v="161bbc030cb484d4aa008ba56420a286"/>
    <x v="0"/>
    <d v="2018-07-19T00:00:00"/>
    <d v="2018-07-27T00:00:00"/>
    <d v="2018-08-07T00:00:00"/>
    <s v="watches_gifts"/>
    <n v="283.44"/>
    <n v="16.39"/>
    <s v="credit_card"/>
    <n v="5"/>
    <s v="delivered"/>
    <d v="2018-07-01T00:00:00"/>
    <n v="8"/>
    <n v="0"/>
    <n v="1"/>
    <n v="299.83"/>
    <n v="187.07040000000001"/>
    <n v="9.8339999999999996"/>
    <n v="86.535599999999988"/>
    <s v="8-14 days"/>
  </r>
  <r>
    <s v="a2d43fa47bc3b7b175fdb0a01b8c674a"/>
    <x v="0"/>
    <d v="2018-07-19T00:00:00"/>
    <d v="2018-07-27T00:00:00"/>
    <d v="2018-08-03T00:00:00"/>
    <s v="computers_accessories"/>
    <n v="199.52"/>
    <n v="16.34"/>
    <s v="boleto"/>
    <n v="5"/>
    <s v="delivered"/>
    <d v="2018-07-01T00:00:00"/>
    <n v="8"/>
    <n v="0"/>
    <n v="1"/>
    <n v="215.86"/>
    <n v="147.6448"/>
    <n v="9.8040000000000003"/>
    <n v="42.071200000000005"/>
    <s v="8-14 days"/>
  </r>
  <r>
    <s v="0bbb259911ce5dd2b45ed1f03139d32c"/>
    <x v="0"/>
    <d v="2018-07-20T00:00:00"/>
    <d v="2018-07-28T00:00:00"/>
    <d v="2018-08-05T00:00:00"/>
    <s v="health_beauty"/>
    <n v="235.01"/>
    <n v="19"/>
    <s v="credit_card"/>
    <n v="4"/>
    <s v="delivered"/>
    <d v="2018-07-01T00:00:00"/>
    <n v="8"/>
    <n v="0"/>
    <n v="1"/>
    <n v="254.01"/>
    <n v="136.30579999999998"/>
    <n v="11.4"/>
    <n v="87.304200000000009"/>
    <s v="8-14 days"/>
  </r>
  <r>
    <s v="59f8068e1ce62a9f79af834810bbc60d"/>
    <x v="0"/>
    <d v="2018-07-20T00:00:00"/>
    <d v="2018-07-26T00:00:00"/>
    <d v="2018-08-06T00:00:00"/>
    <s v="sports_leisure"/>
    <n v="149.03"/>
    <n v="18.600000000000001"/>
    <s v="credit_card"/>
    <n v="5"/>
    <s v="delivered"/>
    <d v="2018-07-01T00:00:00"/>
    <n v="6"/>
    <n v="0"/>
    <n v="1"/>
    <n v="167.63"/>
    <n v="95.379199999999997"/>
    <n v="11.16"/>
    <n v="42.490800000000007"/>
    <s v="0-7 days"/>
  </r>
  <r>
    <s v="82e9db99b4d94221e7c10651465fe8be"/>
    <x v="2"/>
    <d v="2018-07-20T00:00:00"/>
    <d v="2018-08-03T00:00:00"/>
    <d v="2018-08-12T00:00:00"/>
    <s v="computers_accessories"/>
    <n v="92.36"/>
    <n v="20.8"/>
    <s v="credit_card"/>
    <n v="4"/>
    <s v="delivered"/>
    <d v="2018-07-01T00:00:00"/>
    <n v="14"/>
    <n v="0"/>
    <n v="1"/>
    <n v="113.16"/>
    <n v="68.346400000000003"/>
    <n v="12.48"/>
    <n v="11.533599999999996"/>
    <s v="8-14 days"/>
  </r>
  <r>
    <s v="87e5f0fe5da8d6d2f8b38a8be05fb8bc"/>
    <x v="4"/>
    <d v="2018-07-21T00:00:00"/>
    <d v="2018-07-28T00:00:00"/>
    <d v="2018-08-14T00:00:00"/>
    <s v="sports_leisure"/>
    <n v="77.400000000000006"/>
    <n v="26.56"/>
    <s v="credit_card"/>
    <n v="5"/>
    <s v="delivered"/>
    <d v="2018-07-01T00:00:00"/>
    <n v="7"/>
    <n v="0"/>
    <n v="1"/>
    <n v="103.96000000000001"/>
    <n v="49.536000000000001"/>
    <n v="15.935999999999998"/>
    <n v="11.928000000000006"/>
    <s v="0-7 days"/>
  </r>
  <r>
    <s v="8b040f53e63949d447c68688ecf32053"/>
    <x v="0"/>
    <d v="2018-07-21T00:00:00"/>
    <d v="2018-08-02T00:00:00"/>
    <d v="2018-08-06T00:00:00"/>
    <s v="furniture_decor"/>
    <n v="97.1"/>
    <n v="13.22"/>
    <s v="credit_card"/>
    <n v="4"/>
    <s v="delivered"/>
    <d v="2018-07-01T00:00:00"/>
    <n v="12"/>
    <n v="0"/>
    <n v="1"/>
    <n v="110.32"/>
    <n v="67.969999999999985"/>
    <n v="7.9320000000000004"/>
    <n v="21.198000000000008"/>
    <s v="8-14 days"/>
  </r>
  <r>
    <s v="6a97cbce673659efaa1c5dcaf0c7915e"/>
    <x v="0"/>
    <d v="2018-07-21T00:00:00"/>
    <d v="2018-07-30T00:00:00"/>
    <d v="2018-08-07T00:00:00"/>
    <s v="sports_leisure"/>
    <n v="391.97"/>
    <n v="23.76"/>
    <s v="boleto"/>
    <n v="3"/>
    <s v="delivered"/>
    <d v="2018-07-01T00:00:00"/>
    <n v="9"/>
    <n v="0"/>
    <n v="1"/>
    <n v="415.73"/>
    <n v="250.86080000000001"/>
    <n v="14.256"/>
    <n v="126.85320000000002"/>
    <s v="8-14 days"/>
  </r>
  <r>
    <s v="a672d32f5c9f0999e869839a9a36e49e"/>
    <x v="0"/>
    <d v="2018-07-21T00:00:00"/>
    <d v="2018-07-28T00:00:00"/>
    <d v="2018-08-04T00:00:00"/>
    <s v="watches_gifts"/>
    <n v="152.05000000000001"/>
    <n v="20.58"/>
    <s v="credit_card"/>
    <n v="5"/>
    <s v="delivered"/>
    <d v="2018-07-01T00:00:00"/>
    <n v="7"/>
    <n v="0"/>
    <n v="1"/>
    <n v="172.63"/>
    <n v="100.35300000000001"/>
    <n v="12.347999999999999"/>
    <n v="39.349000000000004"/>
    <s v="0-7 days"/>
  </r>
  <r>
    <s v="00e0d047015162f1e07fb7511a447ac6"/>
    <x v="0"/>
    <d v="2018-07-21T00:00:00"/>
    <d v="2018-07-27T00:00:00"/>
    <d v="2018-08-09T00:00:00"/>
    <s v="health_beauty"/>
    <n v="141.99"/>
    <n v="21.51"/>
    <s v="voucher"/>
    <n v="4"/>
    <s v="delivered"/>
    <d v="2018-07-01T00:00:00"/>
    <n v="6"/>
    <n v="0"/>
    <n v="1"/>
    <n v="163.5"/>
    <n v="82.354200000000006"/>
    <n v="12.906000000000001"/>
    <n v="46.729800000000004"/>
    <s v="0-7 days"/>
  </r>
  <r>
    <s v="452273e7af8842ecac18a9c55f82366b"/>
    <x v="6"/>
    <d v="2018-07-21T00:00:00"/>
    <d v="2018-08-01T00:00:00"/>
    <d v="2018-08-15T00:00:00"/>
    <s v="toys"/>
    <n v="25.84"/>
    <n v="25.65"/>
    <s v="credit_card"/>
    <n v="4"/>
    <s v="delivered"/>
    <d v="2018-07-01T00:00:00"/>
    <n v="11"/>
    <n v="0"/>
    <n v="1"/>
    <n v="51.489999999999995"/>
    <n v="15.504"/>
    <n v="15.389999999999999"/>
    <n v="-5.0539999999999985"/>
    <s v="8-14 days"/>
  </r>
  <r>
    <s v="84396fc0c26e27067c059799bdae8eff"/>
    <x v="8"/>
    <d v="2018-07-22T00:00:00"/>
    <d v="2018-08-02T00:00:00"/>
    <d v="2018-08-14T00:00:00"/>
    <s v="watches_gifts"/>
    <n v="112.39"/>
    <n v="29.06"/>
    <s v="boleto"/>
    <n v="5"/>
    <s v="delivered"/>
    <d v="2018-07-01T00:00:00"/>
    <n v="11"/>
    <n v="0"/>
    <n v="1"/>
    <n v="141.44999999999999"/>
    <n v="74.177400000000006"/>
    <n v="17.436"/>
    <n v="20.776599999999995"/>
    <s v="8-14 days"/>
  </r>
  <r>
    <s v="a3840e2b60b61367f46eb787ebaf89c7"/>
    <x v="10"/>
    <d v="2018-07-22T00:00:00"/>
    <d v="2018-08-26T00:00:00"/>
    <d v="2018-08-26T00:00:00"/>
    <s v="watches_gifts"/>
    <n v="157.18"/>
    <n v="28.31"/>
    <s v="credit_card"/>
    <n v="4"/>
    <s v="delivered"/>
    <d v="2018-07-01T00:00:00"/>
    <n v="35"/>
    <n v="0"/>
    <n v="1"/>
    <n v="185.49"/>
    <n v="103.73880000000001"/>
    <n v="16.985999999999997"/>
    <n v="36.455199999999998"/>
    <s v="22+ days"/>
  </r>
  <r>
    <s v="a91decb251a3d21bf4d1183f76f8ef17"/>
    <x v="8"/>
    <d v="2018-07-22T00:00:00"/>
    <d v="2018-08-04T00:00:00"/>
    <d v="2018-08-13T00:00:00"/>
    <s v="furniture_decor"/>
    <n v="67.17"/>
    <n v="17.75"/>
    <s v="credit_card"/>
    <n v="5"/>
    <s v="delivered"/>
    <d v="2018-07-01T00:00:00"/>
    <n v="13"/>
    <n v="0"/>
    <n v="1"/>
    <n v="84.92"/>
    <n v="47.018999999999998"/>
    <n v="10.65"/>
    <n v="9.501000000000003"/>
    <s v="8-14 days"/>
  </r>
  <r>
    <s v="c4ecea3290389f81ae3dc742bef8004b"/>
    <x v="0"/>
    <d v="2018-07-22T00:00:00"/>
    <d v="2018-07-29T00:00:00"/>
    <d v="2018-08-07T00:00:00"/>
    <s v="watches_gifts"/>
    <n v="107.44"/>
    <n v="15.52"/>
    <s v="credit_card"/>
    <n v="5"/>
    <s v="delivered"/>
    <d v="2018-07-01T00:00:00"/>
    <n v="7"/>
    <n v="0"/>
    <n v="1"/>
    <n v="122.96"/>
    <n v="70.910399999999996"/>
    <n v="9.3119999999999994"/>
    <n v="27.217600000000004"/>
    <s v="0-7 days"/>
  </r>
  <r>
    <s v="e60d400fc3b1ef08ac8d8f321477b569"/>
    <x v="0"/>
    <d v="2018-07-22T00:00:00"/>
    <d v="2018-07-26T00:00:00"/>
    <d v="2018-08-07T00:00:00"/>
    <s v="sports_leisure"/>
    <n v="160.47"/>
    <n v="22.3"/>
    <s v="credit_card"/>
    <n v="5"/>
    <s v="delivered"/>
    <d v="2018-07-01T00:00:00"/>
    <n v="4"/>
    <n v="0"/>
    <n v="1"/>
    <n v="182.77"/>
    <n v="102.7008"/>
    <n v="13.38"/>
    <n v="44.389199999999995"/>
    <s v="0-7 days"/>
  </r>
  <r>
    <s v="3fa7d9548bfafb8c623c2c7160562765"/>
    <x v="4"/>
    <d v="2018-07-22T00:00:00"/>
    <d v="2018-08-05T00:00:00"/>
    <d v="2018-08-11T00:00:00"/>
    <s v="computers_accessories"/>
    <n v="85.07"/>
    <n v="27.39"/>
    <s v="credit_card"/>
    <n v="5"/>
    <s v="delivered"/>
    <d v="2018-07-01T00:00:00"/>
    <n v="14"/>
    <n v="0"/>
    <n v="1"/>
    <n v="112.46"/>
    <n v="62.951799999999992"/>
    <n v="16.434000000000001"/>
    <n v="5.6842000000000006"/>
    <s v="8-14 days"/>
  </r>
  <r>
    <s v="f21b76e3482202f966d78e18a3473f18"/>
    <x v="2"/>
    <d v="2018-07-22T00:00:00"/>
    <d v="2018-08-17T00:00:00"/>
    <d v="2018-08-14T00:00:00"/>
    <s v="housewares"/>
    <n v="88.48"/>
    <n v="31.95"/>
    <s v="boleto"/>
    <n v="2"/>
    <s v="delivered"/>
    <d v="2018-07-01T00:00:00"/>
    <n v="26"/>
    <n v="3"/>
    <n v="0"/>
    <n v="120.43"/>
    <n v="55.742400000000004"/>
    <n v="19.169999999999998"/>
    <n v="13.567600000000002"/>
    <s v="22+ days"/>
  </r>
  <r>
    <s v="9d7c24ce85d5bed90abdbcd1782ccfec"/>
    <x v="0"/>
    <d v="2018-07-23T00:00:00"/>
    <d v="2018-07-27T00:00:00"/>
    <d v="2018-08-07T00:00:00"/>
    <s v="computers_accessories"/>
    <n v="291.66000000000003"/>
    <n v="24.44"/>
    <s v="credit_card"/>
    <n v="5"/>
    <s v="delivered"/>
    <d v="2018-07-01T00:00:00"/>
    <n v="4"/>
    <n v="0"/>
    <n v="1"/>
    <n v="316.10000000000002"/>
    <n v="215.82840000000002"/>
    <n v="14.664"/>
    <n v="61.167600000000007"/>
    <s v="0-7 days"/>
  </r>
  <r>
    <s v="d14c6d19ab441946935bcc84fd030266"/>
    <x v="1"/>
    <d v="2018-07-23T00:00:00"/>
    <d v="2018-08-05T00:00:00"/>
    <d v="2018-08-14T00:00:00"/>
    <s v="sports_leisure"/>
    <n v="121.94"/>
    <n v="29.53"/>
    <s v="credit_card"/>
    <n v="5"/>
    <s v="delivered"/>
    <d v="2018-07-01T00:00:00"/>
    <n v="13"/>
    <n v="0"/>
    <n v="1"/>
    <n v="151.47"/>
    <n v="78.041600000000003"/>
    <n v="17.718"/>
    <n v="26.180399999999995"/>
    <s v="8-14 days"/>
  </r>
  <r>
    <s v="b056fa5a4317abe47f33922b11ed5768"/>
    <x v="1"/>
    <d v="2018-07-23T00:00:00"/>
    <d v="2018-08-05T00:00:00"/>
    <d v="2018-08-11T00:00:00"/>
    <s v="computers_accessories"/>
    <n v="59.78"/>
    <n v="22.21"/>
    <s v="credit_card"/>
    <n v="4"/>
    <s v="delivered"/>
    <d v="2018-07-01T00:00:00"/>
    <n v="13"/>
    <n v="0"/>
    <n v="1"/>
    <n v="81.990000000000009"/>
    <n v="44.237200000000001"/>
    <n v="13.326000000000001"/>
    <n v="2.2167999999999992"/>
    <s v="8-14 days"/>
  </r>
  <r>
    <s v="3c3dbcd8c7050c5b5eda2838c7b95bd9"/>
    <x v="0"/>
    <d v="2018-07-23T00:00:00"/>
    <d v="2018-07-28T00:00:00"/>
    <d v="2018-08-10T00:00:00"/>
    <s v="sports_leisure"/>
    <n v="110.56"/>
    <n v="20"/>
    <s v="credit_card"/>
    <n v="4"/>
    <s v="delivered"/>
    <d v="2018-07-01T00:00:00"/>
    <n v="5"/>
    <n v="0"/>
    <n v="1"/>
    <n v="130.56"/>
    <n v="70.758400000000009"/>
    <n v="12"/>
    <n v="27.801599999999993"/>
    <s v="0-7 days"/>
  </r>
  <r>
    <s v="3733a7c56c2678a1bf52d94331bdd7de"/>
    <x v="0"/>
    <d v="2018-07-23T00:00:00"/>
    <d v="2018-07-31T00:00:00"/>
    <d v="2018-08-06T00:00:00"/>
    <s v="toys"/>
    <n v="67.91"/>
    <n v="12.4"/>
    <s v="credit_card"/>
    <n v="5"/>
    <s v="delivered"/>
    <d v="2018-07-01T00:00:00"/>
    <n v="8"/>
    <n v="0"/>
    <n v="1"/>
    <n v="80.31"/>
    <n v="40.745999999999995"/>
    <n v="7.4399999999999995"/>
    <n v="19.724000000000004"/>
    <s v="8-14 days"/>
  </r>
  <r>
    <s v="15d80f7157b536eab23f9a7ce7b3a985"/>
    <x v="0"/>
    <d v="2018-07-23T00:00:00"/>
    <d v="2018-07-29T00:00:00"/>
    <d v="2018-08-08T00:00:00"/>
    <s v="toys"/>
    <n v="141.13"/>
    <n v="22.25"/>
    <s v="credit_card"/>
    <n v="4"/>
    <s v="delivered"/>
    <d v="2018-07-01T00:00:00"/>
    <n v="6"/>
    <n v="0"/>
    <n v="1"/>
    <n v="163.38"/>
    <n v="84.677999999999997"/>
    <n v="13.35"/>
    <n v="43.101999999999997"/>
    <s v="0-7 days"/>
  </r>
  <r>
    <s v="7def181800ab5064a05cefa3a454c767"/>
    <x v="0"/>
    <d v="2018-07-23T00:00:00"/>
    <d v="2018-08-01T00:00:00"/>
    <d v="2018-08-07T00:00:00"/>
    <s v="auto"/>
    <n v="116.75"/>
    <n v="19.739999999999998"/>
    <s v="credit_card"/>
    <n v="4"/>
    <s v="delivered"/>
    <d v="2018-07-01T00:00:00"/>
    <n v="9"/>
    <n v="0"/>
    <n v="1"/>
    <n v="136.49"/>
    <n v="79.39"/>
    <n v="11.843999999999999"/>
    <n v="25.515999999999998"/>
    <s v="8-14 days"/>
  </r>
  <r>
    <s v="c1eecd7a2428185a461de0171ee92d3b"/>
    <x v="0"/>
    <d v="2018-07-24T00:00:00"/>
    <d v="2018-08-03T00:00:00"/>
    <d v="2018-08-11T00:00:00"/>
    <s v="bed_bath_table"/>
    <n v="136"/>
    <n v="16.739999999999998"/>
    <s v="credit_card"/>
    <n v="4"/>
    <s v="delivered"/>
    <d v="2018-07-01T00:00:00"/>
    <n v="10"/>
    <n v="0"/>
    <n v="1"/>
    <n v="152.74"/>
    <n v="84.32"/>
    <n v="10.043999999999999"/>
    <n v="41.63600000000001"/>
    <s v="8-14 days"/>
  </r>
  <r>
    <s v="8ea359f967e69ffe5decaa980e4df5f6"/>
    <x v="0"/>
    <d v="2018-07-24T00:00:00"/>
    <d v="2018-08-01T00:00:00"/>
    <d v="2018-08-07T00:00:00"/>
    <s v="bed_bath_table"/>
    <n v="150.46"/>
    <n v="13.66"/>
    <s v="boleto"/>
    <n v="4"/>
    <s v="delivered"/>
    <d v="2018-07-01T00:00:00"/>
    <n v="8"/>
    <n v="0"/>
    <n v="1"/>
    <n v="164.12"/>
    <n v="93.285200000000003"/>
    <n v="8.1959999999999997"/>
    <n v="48.978800000000007"/>
    <s v="8-14 days"/>
  </r>
  <r>
    <s v="a42000aae1f599ee55143e7e157706e6"/>
    <x v="8"/>
    <d v="2018-07-24T00:00:00"/>
    <d v="2018-08-07T00:00:00"/>
    <d v="2018-08-18T00:00:00"/>
    <s v="auto"/>
    <n v="79.3"/>
    <n v="19.18"/>
    <s v="credit_card"/>
    <n v="4"/>
    <s v="delivered"/>
    <d v="2018-07-01T00:00:00"/>
    <n v="14"/>
    <n v="0"/>
    <n v="1"/>
    <n v="98.47999999999999"/>
    <n v="53.923999999999999"/>
    <n v="11.507999999999999"/>
    <n v="13.867999999999999"/>
    <s v="8-14 days"/>
  </r>
  <r>
    <s v="a80cb09564077b44e55531d8f94bb175"/>
    <x v="2"/>
    <d v="2018-07-24T00:00:00"/>
    <d v="2018-08-05T00:00:00"/>
    <d v="2018-08-19T00:00:00"/>
    <s v="computers_accessories"/>
    <n v="126.53"/>
    <n v="22.26"/>
    <s v="credit_card"/>
    <n v="4"/>
    <s v="delivered"/>
    <d v="2018-07-01T00:00:00"/>
    <n v="12"/>
    <n v="0"/>
    <n v="1"/>
    <n v="148.79"/>
    <n v="93.632199999999997"/>
    <n v="13.356"/>
    <n v="19.541800000000002"/>
    <s v="8-14 days"/>
  </r>
  <r>
    <s v="513a7052986f90258f15ba58fce68504"/>
    <x v="6"/>
    <d v="2018-07-25T00:00:00"/>
    <d v="2018-08-12T00:00:00"/>
    <d v="2018-08-26T00:00:00"/>
    <s v="bed_bath_table"/>
    <n v="56.93"/>
    <n v="34.99"/>
    <s v="voucher"/>
    <n v="4"/>
    <s v="delivered"/>
    <d v="2018-07-01T00:00:00"/>
    <n v="18"/>
    <n v="0"/>
    <n v="1"/>
    <n v="91.92"/>
    <n v="35.296599999999998"/>
    <n v="20.994"/>
    <n v="0.63940000000000197"/>
    <s v="15-21 days"/>
  </r>
  <r>
    <s v="77cf1eb679fee842e4cc70656bd7f764"/>
    <x v="4"/>
    <d v="2018-07-25T00:00:00"/>
    <d v="2018-08-10T00:00:00"/>
    <d v="2018-08-17T00:00:00"/>
    <s v="health_beauty"/>
    <n v="66.38"/>
    <n v="22.63"/>
    <s v="credit_card"/>
    <n v="4"/>
    <s v="delivered"/>
    <d v="2018-07-01T00:00:00"/>
    <n v="16"/>
    <n v="0"/>
    <n v="1"/>
    <n v="89.009999999999991"/>
    <n v="38.500399999999992"/>
    <n v="13.577999999999999"/>
    <n v="14.301600000000004"/>
    <s v="15-21 days"/>
  </r>
  <r>
    <s v="035bd879eca0a912861c53de98e1e160"/>
    <x v="5"/>
    <d v="2018-07-25T00:00:00"/>
    <d v="2018-08-13T00:00:00"/>
    <d v="2018-08-19T00:00:00"/>
    <s v="health_beauty"/>
    <n v="114.99"/>
    <n v="19.670000000000002"/>
    <s v="credit_card"/>
    <n v="4"/>
    <s v="delivered"/>
    <d v="2018-07-01T00:00:00"/>
    <n v="19"/>
    <n v="0"/>
    <n v="1"/>
    <n v="134.66"/>
    <n v="66.694199999999995"/>
    <n v="11.802000000000001"/>
    <n v="36.4938"/>
    <s v="15-21 days"/>
  </r>
  <r>
    <s v="e1754cefa24015d1c30b2db620958a69"/>
    <x v="0"/>
    <d v="2018-07-25T00:00:00"/>
    <d v="2018-08-05T00:00:00"/>
    <d v="2018-08-09T00:00:00"/>
    <s v="health_beauty"/>
    <n v="104.03"/>
    <n v="22.3"/>
    <s v="boleto"/>
    <n v="5"/>
    <s v="delivered"/>
    <d v="2018-07-01T00:00:00"/>
    <n v="11"/>
    <n v="0"/>
    <n v="1"/>
    <n v="126.33"/>
    <n v="60.337399999999995"/>
    <n v="13.38"/>
    <n v="30.312600000000003"/>
    <s v="8-14 days"/>
  </r>
  <r>
    <s v="54a1a7a84133557c0e51bc13095b6295"/>
    <x v="0"/>
    <d v="2018-07-25T00:00:00"/>
    <d v="2018-08-01T00:00:00"/>
    <d v="2018-08-10T00:00:00"/>
    <s v="auto"/>
    <n v="188.62"/>
    <n v="21.77"/>
    <s v="credit_card"/>
    <n v="4"/>
    <s v="delivered"/>
    <d v="2018-07-01T00:00:00"/>
    <n v="7"/>
    <n v="0"/>
    <n v="1"/>
    <n v="210.39000000000001"/>
    <n v="128.26160000000002"/>
    <n v="13.061999999999999"/>
    <n v="47.296399999999991"/>
    <s v="0-7 days"/>
  </r>
  <r>
    <s v="4ca3795517b022c72f5a756eb5b334c4"/>
    <x v="9"/>
    <d v="2018-07-25T00:00:00"/>
    <d v="2018-08-28T00:00:00"/>
    <d v="2018-08-20T00:00:00"/>
    <s v="sports_leisure"/>
    <n v="24.56"/>
    <n v="26.42"/>
    <s v="boleto"/>
    <n v="3"/>
    <s v="delivered"/>
    <d v="2018-07-01T00:00:00"/>
    <n v="34"/>
    <n v="8"/>
    <n v="0"/>
    <n v="50.980000000000004"/>
    <n v="15.718399999999999"/>
    <n v="15.852"/>
    <n v="-7.0104000000000006"/>
    <s v="22+ days"/>
  </r>
  <r>
    <s v="661f7117dd926cbfc5583a17f70d78a0"/>
    <x v="0"/>
    <d v="2018-07-26T00:00:00"/>
    <d v="2018-08-04T00:00:00"/>
    <d v="2018-08-11T00:00:00"/>
    <s v="auto"/>
    <n v="82.59"/>
    <n v="14.02"/>
    <s v="credit_card"/>
    <n v="5"/>
    <s v="delivered"/>
    <d v="2018-07-01T00:00:00"/>
    <n v="9"/>
    <n v="0"/>
    <n v="1"/>
    <n v="96.61"/>
    <n v="56.161200000000008"/>
    <n v="8.411999999999999"/>
    <n v="18.016799999999996"/>
    <s v="8-14 days"/>
  </r>
  <r>
    <s v="f47e3ca0723fd85ae57b084d2b0582e0"/>
    <x v="6"/>
    <d v="2018-07-26T00:00:00"/>
    <d v="2018-08-25T00:00:00"/>
    <d v="2018-08-27T00:00:00"/>
    <s v="health_beauty"/>
    <n v="111.12"/>
    <n v="40.28"/>
    <s v="credit_card"/>
    <n v="5"/>
    <s v="delivered"/>
    <d v="2018-07-01T00:00:00"/>
    <n v="30"/>
    <n v="0"/>
    <n v="1"/>
    <n v="151.4"/>
    <n v="64.449600000000004"/>
    <n v="24.167999999999999"/>
    <n v="22.502400000000002"/>
    <s v="22+ days"/>
  </r>
  <r>
    <s v="3c7f1fd1d3e263471ac3396746997fc2"/>
    <x v="0"/>
    <d v="2018-07-26T00:00:00"/>
    <d v="2018-08-18T00:00:00"/>
    <d v="2018-08-11T00:00:00"/>
    <s v="bed_bath_table"/>
    <n v="36.770000000000003"/>
    <n v="19.559999999999999"/>
    <s v="credit_card"/>
    <n v="4"/>
    <s v="delivered"/>
    <d v="2018-07-01T00:00:00"/>
    <n v="23"/>
    <n v="7"/>
    <n v="0"/>
    <n v="56.33"/>
    <n v="22.797400000000003"/>
    <n v="11.735999999999999"/>
    <n v="2.236600000000001"/>
    <s v="22+ days"/>
  </r>
  <r>
    <s v="148b119ef45e0a21579bd4244ae4eca0"/>
    <x v="4"/>
    <d v="2018-07-26T00:00:00"/>
    <d v="2018-08-09T00:00:00"/>
    <d v="2018-08-17T00:00:00"/>
    <s v="health_beauty"/>
    <n v="27.96"/>
    <n v="19.46"/>
    <s v="credit_card"/>
    <n v="5"/>
    <s v="delivered"/>
    <d v="2018-07-01T00:00:00"/>
    <n v="14"/>
    <n v="0"/>
    <n v="1"/>
    <n v="47.42"/>
    <n v="16.216799999999999"/>
    <n v="11.676"/>
    <n v="6.7200000000001481E-2"/>
    <s v="8-14 days"/>
  </r>
  <r>
    <s v="1443314bf5c19ff1069a4fb9be14a4b7"/>
    <x v="3"/>
    <d v="2018-07-26T00:00:00"/>
    <d v="2018-08-04T00:00:00"/>
    <d v="2018-08-21T00:00:00"/>
    <s v="bed_bath_table"/>
    <n v="98.97"/>
    <n v="26.88"/>
    <s v="debit_card"/>
    <n v="5"/>
    <s v="delivered"/>
    <d v="2018-07-01T00:00:00"/>
    <n v="9"/>
    <n v="0"/>
    <n v="1"/>
    <n v="125.85"/>
    <n v="61.361399999999996"/>
    <n v="16.128"/>
    <n v="21.480600000000003"/>
    <s v="8-14 days"/>
  </r>
  <r>
    <s v="2d6bc88272e588e94b4f3b2e318910ec"/>
    <x v="1"/>
    <d v="2018-07-27T00:00:00"/>
    <d v="2018-08-03T00:00:00"/>
    <d v="2018-08-16T00:00:00"/>
    <s v="computers_accessories"/>
    <n v="162.93"/>
    <n v="27.41"/>
    <s v="debit_card"/>
    <n v="4"/>
    <s v="delivered"/>
    <d v="2018-07-01T00:00:00"/>
    <n v="7"/>
    <n v="0"/>
    <n v="1"/>
    <n v="190.34"/>
    <n v="120.5682"/>
    <n v="16.445999999999998"/>
    <n v="25.915800000000004"/>
    <s v="0-7 days"/>
  </r>
  <r>
    <s v="35845d71b221e1c535b86d0a864f36dd"/>
    <x v="0"/>
    <d v="2018-07-27T00:00:00"/>
    <d v="2018-08-01T00:00:00"/>
    <d v="2018-08-10T00:00:00"/>
    <s v="bed_bath_table"/>
    <n v="94.92"/>
    <n v="17.93"/>
    <s v="credit_card"/>
    <n v="4"/>
    <s v="delivered"/>
    <d v="2018-07-01T00:00:00"/>
    <n v="5"/>
    <n v="0"/>
    <n v="1"/>
    <n v="112.85"/>
    <n v="58.8504"/>
    <n v="10.757999999999999"/>
    <n v="25.311600000000002"/>
    <s v="0-7 days"/>
  </r>
  <r>
    <s v="27571245b884590288973a4a33b636dc"/>
    <x v="10"/>
    <d v="2018-07-27T00:00:00"/>
    <d v="2018-08-07T00:00:00"/>
    <d v="2018-08-29T00:00:00"/>
    <s v="computers_accessories"/>
    <n v="73.7"/>
    <n v="47.43"/>
    <s v="credit_card"/>
    <n v="4"/>
    <s v="delivered"/>
    <d v="2018-07-01T00:00:00"/>
    <n v="11"/>
    <n v="0"/>
    <n v="1"/>
    <n v="121.13"/>
    <n v="54.538000000000004"/>
    <n v="28.457999999999998"/>
    <n v="-9.2959999999999994"/>
    <s v="8-14 days"/>
  </r>
  <r>
    <s v="1987e6d09a7171aa030492b3ced89c97"/>
    <x v="0"/>
    <d v="2018-07-27T00:00:00"/>
    <d v="2018-08-03T00:00:00"/>
    <d v="2018-08-12T00:00:00"/>
    <s v="health_beauty"/>
    <n v="36.71"/>
    <n v="18.87"/>
    <s v="credit_card"/>
    <n v="5"/>
    <s v="delivered"/>
    <d v="2018-07-01T00:00:00"/>
    <n v="7"/>
    <n v="0"/>
    <n v="1"/>
    <n v="55.58"/>
    <n v="21.291799999999999"/>
    <n v="11.322000000000001"/>
    <n v="4.0962000000000014"/>
    <s v="0-7 days"/>
  </r>
  <r>
    <s v="1ddca90ae7215e6ce2eb022226c68746"/>
    <x v="4"/>
    <d v="2018-07-27T00:00:00"/>
    <d v="2018-08-10T00:00:00"/>
    <d v="2018-08-20T00:00:00"/>
    <s v="computers_accessories"/>
    <n v="231.76"/>
    <n v="22.04"/>
    <s v="credit_card"/>
    <n v="4"/>
    <s v="delivered"/>
    <d v="2018-07-01T00:00:00"/>
    <n v="14"/>
    <n v="0"/>
    <n v="1"/>
    <n v="253.79999999999998"/>
    <n v="171.50239999999999"/>
    <n v="13.223999999999998"/>
    <n v="47.0336"/>
    <s v="8-14 days"/>
  </r>
  <r>
    <s v="d93990b64835b19428130df9c82211cb"/>
    <x v="8"/>
    <d v="2018-07-27T00:00:00"/>
    <d v="2018-08-10T00:00:00"/>
    <d v="2018-08-19T00:00:00"/>
    <s v="auto"/>
    <n v="203.32"/>
    <n v="22.56"/>
    <s v="credit_card"/>
    <n v="5"/>
    <s v="delivered"/>
    <d v="2018-07-01T00:00:00"/>
    <n v="14"/>
    <n v="0"/>
    <n v="1"/>
    <n v="225.88"/>
    <n v="138.2576"/>
    <n v="13.536"/>
    <n v="51.526399999999995"/>
    <s v="8-14 days"/>
  </r>
  <r>
    <s v="ce3413ea1048fc1f5e69b168e3326293"/>
    <x v="0"/>
    <d v="2018-07-27T00:00:00"/>
    <d v="2018-08-03T00:00:00"/>
    <d v="2018-08-11T00:00:00"/>
    <s v="health_beauty"/>
    <n v="63.42"/>
    <n v="14.08"/>
    <s v="credit_card"/>
    <n v="4"/>
    <s v="delivered"/>
    <d v="2018-07-01T00:00:00"/>
    <n v="7"/>
    <n v="0"/>
    <n v="1"/>
    <n v="77.5"/>
    <n v="36.7836"/>
    <n v="8.4480000000000004"/>
    <n v="18.188400000000001"/>
    <s v="0-7 days"/>
  </r>
  <r>
    <s v="994a04ce23fcb5bdc74d9c9452b7e822"/>
    <x v="8"/>
    <d v="2018-07-27T00:00:00"/>
    <d v="2018-08-17T00:00:00"/>
    <d v="2018-08-22T00:00:00"/>
    <s v="watches_gifts"/>
    <n v="97.16"/>
    <n v="29.58"/>
    <s v="credit_card"/>
    <n v="4"/>
    <s v="delivered"/>
    <d v="2018-07-01T00:00:00"/>
    <n v="21"/>
    <n v="0"/>
    <n v="1"/>
    <n v="126.74"/>
    <n v="64.125600000000006"/>
    <n v="17.747999999999998"/>
    <n v="15.286399999999993"/>
    <s v="15-21 days"/>
  </r>
  <r>
    <s v="937bd589e4e805bd1d44999bc4f094b2"/>
    <x v="6"/>
    <d v="2018-07-27T00:00:00"/>
    <d v="2018-08-24T00:00:00"/>
    <d v="2018-08-24T00:00:00"/>
    <s v="health_beauty"/>
    <n v="20.350000000000001"/>
    <n v="25"/>
    <s v="voucher"/>
    <n v="4"/>
    <s v="delivered"/>
    <d v="2018-07-01T00:00:00"/>
    <n v="28"/>
    <n v="0"/>
    <n v="1"/>
    <n v="45.35"/>
    <n v="11.803000000000001"/>
    <n v="15"/>
    <n v="-6.4529999999999994"/>
    <s v="22+ days"/>
  </r>
  <r>
    <s v="f480b91e700e0efce4ffc31a5b86ea69"/>
    <x v="8"/>
    <d v="2018-07-28T00:00:00"/>
    <d v="2018-08-04T00:00:00"/>
    <d v="2018-08-19T00:00:00"/>
    <s v="bed_bath_table"/>
    <n v="217.43"/>
    <n v="21.56"/>
    <s v="credit_card"/>
    <n v="5"/>
    <s v="delivered"/>
    <d v="2018-07-01T00:00:00"/>
    <n v="7"/>
    <n v="0"/>
    <n v="1"/>
    <n v="238.99"/>
    <n v="134.8066"/>
    <n v="12.935999999999998"/>
    <n v="69.687400000000011"/>
    <s v="0-7 days"/>
  </r>
  <r>
    <s v="3c28f5dcd12daea8673d292060ee64ba"/>
    <x v="0"/>
    <d v="2018-07-28T00:00:00"/>
    <d v="2018-08-05T00:00:00"/>
    <d v="2018-08-12T00:00:00"/>
    <s v="sports_leisure"/>
    <n v="58.88"/>
    <n v="17.46"/>
    <s v="credit_card"/>
    <n v="4"/>
    <s v="delivered"/>
    <d v="2018-07-01T00:00:00"/>
    <n v="8"/>
    <n v="0"/>
    <n v="1"/>
    <n v="76.34"/>
    <n v="37.683199999999999"/>
    <n v="10.476000000000001"/>
    <n v="10.720800000000002"/>
    <s v="8-14 days"/>
  </r>
  <r>
    <s v="970c9eb4c4ea4ece67b6e4679432d797"/>
    <x v="4"/>
    <d v="2018-07-28T00:00:00"/>
    <d v="2018-08-03T00:00:00"/>
    <d v="2018-08-15T00:00:00"/>
    <s v="toys"/>
    <n v="189.45"/>
    <n v="29.17"/>
    <s v="credit_card"/>
    <n v="4"/>
    <s v="delivered"/>
    <d v="2018-07-01T00:00:00"/>
    <n v="6"/>
    <n v="0"/>
    <n v="1"/>
    <n v="218.62"/>
    <n v="113.66999999999999"/>
    <n v="17.501999999999999"/>
    <n v="58.278000000000006"/>
    <s v="0-7 days"/>
  </r>
  <r>
    <s v="998a05a877a7aed0fb5f5290b11c7dff"/>
    <x v="3"/>
    <d v="2018-07-28T00:00:00"/>
    <d v="2018-08-07T00:00:00"/>
    <d v="2018-08-24T00:00:00"/>
    <s v="health_beauty"/>
    <n v="45.34"/>
    <n v="22.6"/>
    <s v="credit_card"/>
    <n v="4"/>
    <s v="delivered"/>
    <d v="2018-07-01T00:00:00"/>
    <n v="10"/>
    <n v="0"/>
    <n v="1"/>
    <n v="67.94"/>
    <n v="26.2972"/>
    <n v="13.56"/>
    <n v="5.4828000000000028"/>
    <s v="8-14 days"/>
  </r>
  <r>
    <s v="fd81a9250bfa8cd57fa797087e7279ce"/>
    <x v="4"/>
    <d v="2018-07-28T00:00:00"/>
    <d v="2018-08-13T00:00:00"/>
    <d v="2018-08-16T00:00:00"/>
    <s v="furniture_decor"/>
    <n v="136.66"/>
    <n v="17.43"/>
    <s v="credit_card"/>
    <n v="3"/>
    <s v="delivered"/>
    <d v="2018-07-01T00:00:00"/>
    <n v="16"/>
    <n v="0"/>
    <n v="1"/>
    <n v="154.09"/>
    <n v="95.661999999999992"/>
    <n v="10.458"/>
    <n v="30.540000000000006"/>
    <s v="15-21 days"/>
  </r>
  <r>
    <s v="05c5581054b728fa8a60b33299fb38a9"/>
    <x v="0"/>
    <d v="2018-07-28T00:00:00"/>
    <d v="2018-08-04T00:00:00"/>
    <d v="2018-08-13T00:00:00"/>
    <s v="housewares"/>
    <n v="59.39"/>
    <n v="14.11"/>
    <s v="credit_card"/>
    <n v="5"/>
    <s v="delivered"/>
    <d v="2018-07-01T00:00:00"/>
    <n v="7"/>
    <n v="0"/>
    <n v="1"/>
    <n v="73.5"/>
    <n v="37.415700000000001"/>
    <n v="8.4659999999999993"/>
    <n v="13.5083"/>
    <s v="0-7 days"/>
  </r>
  <r>
    <s v="f6969b4ba4888a3abbdf95735d911692"/>
    <x v="9"/>
    <d v="2018-07-28T00:00:00"/>
    <d v="2018-08-17T00:00:00"/>
    <d v="2018-08-20T00:00:00"/>
    <s v="toys"/>
    <n v="370.12"/>
    <n v="25.85"/>
    <s v="voucher"/>
    <n v="3"/>
    <s v="delivered"/>
    <d v="2018-07-01T00:00:00"/>
    <n v="20"/>
    <n v="0"/>
    <n v="1"/>
    <n v="395.97"/>
    <n v="222.072"/>
    <n v="15.51"/>
    <n v="132.53800000000001"/>
    <s v="15-21 days"/>
  </r>
  <r>
    <s v="c7b5b2bc5a8aaeca1a50aec3aabc25fa"/>
    <x v="0"/>
    <d v="2018-07-29T00:00:00"/>
    <d v="2018-08-05T00:00:00"/>
    <d v="2018-08-13T00:00:00"/>
    <s v="sports_leisure"/>
    <n v="45.79"/>
    <n v="18.579999999999998"/>
    <s v="credit_card"/>
    <n v="5"/>
    <s v="delivered"/>
    <d v="2018-07-01T00:00:00"/>
    <n v="7"/>
    <n v="0"/>
    <n v="1"/>
    <n v="64.37"/>
    <n v="29.305599999999998"/>
    <n v="11.147999999999998"/>
    <n v="5.3364000000000029"/>
    <s v="0-7 days"/>
  </r>
  <r>
    <s v="a3d889fae5a456d82541f181f29e225b"/>
    <x v="0"/>
    <d v="2018-07-29T00:00:00"/>
    <d v="2018-08-05T00:00:00"/>
    <d v="2018-08-11T00:00:00"/>
    <s v="toys"/>
    <n v="76.760000000000005"/>
    <n v="12.57"/>
    <s v="boleto"/>
    <n v="5"/>
    <s v="delivered"/>
    <d v="2018-07-01T00:00:00"/>
    <n v="7"/>
    <n v="0"/>
    <n v="1"/>
    <n v="89.330000000000013"/>
    <n v="46.056000000000004"/>
    <n v="7.5419999999999998"/>
    <n v="23.161999999999999"/>
    <s v="0-7 days"/>
  </r>
  <r>
    <s v="e21e2ae41d3208dba28f57d05612ad53"/>
    <x v="0"/>
    <d v="2018-07-29T00:00:00"/>
    <d v="2018-08-07T00:00:00"/>
    <d v="2018-08-15T00:00:00"/>
    <s v="health_beauty"/>
    <n v="69.790000000000006"/>
    <n v="12.77"/>
    <s v="credit_card"/>
    <n v="3"/>
    <s v="delivered"/>
    <d v="2018-07-01T00:00:00"/>
    <n v="9"/>
    <n v="0"/>
    <n v="1"/>
    <n v="82.56"/>
    <n v="40.478200000000001"/>
    <n v="7.661999999999999"/>
    <n v="21.649800000000006"/>
    <s v="8-14 days"/>
  </r>
  <r>
    <s v="0c44c0fde13ce64d723e860e0ae35494"/>
    <x v="0"/>
    <d v="2018-07-29T00:00:00"/>
    <d v="2018-08-21T00:00:00"/>
    <d v="2018-08-13T00:00:00"/>
    <s v="bed_bath_table"/>
    <n v="82.33"/>
    <n v="18.77"/>
    <s v="credit_card"/>
    <n v="2"/>
    <s v="delivered"/>
    <d v="2018-07-01T00:00:00"/>
    <n v="23"/>
    <n v="8"/>
    <n v="0"/>
    <n v="101.1"/>
    <n v="51.044599999999996"/>
    <n v="11.261999999999999"/>
    <n v="20.023400000000002"/>
    <s v="22+ days"/>
  </r>
  <r>
    <s v="74260100f76c703e129a98a865ed7ecc"/>
    <x v="7"/>
    <d v="2018-07-29T00:00:00"/>
    <d v="2018-08-04T00:00:00"/>
    <d v="2018-08-21T00:00:00"/>
    <s v="furniture_decor"/>
    <n v="133.22999999999999"/>
    <n v="23.01"/>
    <s v="voucher"/>
    <n v="4"/>
    <s v="delivered"/>
    <d v="2018-07-01T00:00:00"/>
    <n v="6"/>
    <n v="0"/>
    <n v="1"/>
    <n v="156.23999999999998"/>
    <n v="93.260999999999981"/>
    <n v="13.806000000000001"/>
    <n v="26.163000000000007"/>
    <s v="0-7 days"/>
  </r>
  <r>
    <s v="b1586f2cd283dfa3b90f0b18d6cef975"/>
    <x v="0"/>
    <d v="2018-07-29T00:00:00"/>
    <d v="2018-08-06T00:00:00"/>
    <d v="2018-08-13T00:00:00"/>
    <s v="furniture_decor"/>
    <n v="29.96"/>
    <n v="12.07"/>
    <s v="credit_card"/>
    <n v="4"/>
    <s v="delivered"/>
    <d v="2018-07-01T00:00:00"/>
    <n v="8"/>
    <n v="0"/>
    <n v="1"/>
    <n v="42.03"/>
    <n v="20.971999999999998"/>
    <n v="7.242"/>
    <n v="1.7460000000000031"/>
    <s v="8-14 days"/>
  </r>
  <r>
    <s v="c0b3713afe2b7fe8346030ec341b36b5"/>
    <x v="8"/>
    <d v="2018-07-29T00:00:00"/>
    <d v="2018-08-29T00:00:00"/>
    <d v="2018-08-20T00:00:00"/>
    <s v="bed_bath_table"/>
    <n v="303.31"/>
    <n v="33.549999999999997"/>
    <s v="credit_card"/>
    <n v="4"/>
    <s v="delivered"/>
    <d v="2018-07-01T00:00:00"/>
    <n v="31"/>
    <n v="9"/>
    <n v="0"/>
    <n v="336.86"/>
    <n v="188.0522"/>
    <n v="20.13"/>
    <n v="95.127800000000008"/>
    <s v="22+ days"/>
  </r>
  <r>
    <s v="1febf83d8e070c16fe590f3b92e32273"/>
    <x v="1"/>
    <d v="2018-07-29T00:00:00"/>
    <d v="2018-08-11T00:00:00"/>
    <d v="2018-08-16T00:00:00"/>
    <s v="housewares"/>
    <n v="344.74"/>
    <n v="30.11"/>
    <s v="credit_card"/>
    <n v="5"/>
    <s v="delivered"/>
    <d v="2018-07-01T00:00:00"/>
    <n v="13"/>
    <n v="0"/>
    <n v="1"/>
    <n v="374.85"/>
    <n v="217.18620000000001"/>
    <n v="18.065999999999999"/>
    <n v="109.48779999999999"/>
    <s v="8-14 days"/>
  </r>
  <r>
    <s v="bc441fbcedb68854baae905cc8594dfb"/>
    <x v="4"/>
    <d v="2018-07-30T00:00:00"/>
    <d v="2018-08-15T00:00:00"/>
    <d v="2018-08-20T00:00:00"/>
    <s v="bed_bath_table"/>
    <n v="122.93"/>
    <n v="28.58"/>
    <s v="boleto"/>
    <n v="4"/>
    <s v="delivered"/>
    <d v="2018-07-01T00:00:00"/>
    <n v="16"/>
    <n v="0"/>
    <n v="1"/>
    <n v="151.51"/>
    <n v="76.2166"/>
    <n v="17.148"/>
    <n v="29.565400000000007"/>
    <s v="15-21 days"/>
  </r>
  <r>
    <s v="f1c35294e61cf9a3e0acdb752326e3d0"/>
    <x v="0"/>
    <d v="2018-07-30T00:00:00"/>
    <d v="2018-08-05T00:00:00"/>
    <d v="2018-08-14T00:00:00"/>
    <s v="health_beauty"/>
    <n v="137.82"/>
    <n v="16.989999999999998"/>
    <s v="credit_card"/>
    <n v="5"/>
    <s v="delivered"/>
    <d v="2018-07-01T00:00:00"/>
    <n v="6"/>
    <n v="0"/>
    <n v="1"/>
    <n v="154.81"/>
    <n v="79.935599999999994"/>
    <n v="10.193999999999999"/>
    <n v="47.690399999999997"/>
    <s v="0-7 days"/>
  </r>
  <r>
    <s v="cb728b16d63151519c6723382c110a43"/>
    <x v="9"/>
    <d v="2018-07-30T00:00:00"/>
    <d v="2018-08-15T00:00:00"/>
    <d v="2018-08-20T00:00:00"/>
    <s v="computers_accessories"/>
    <n v="146.69999999999999"/>
    <n v="26.26"/>
    <s v="credit_card"/>
    <n v="5"/>
    <s v="delivered"/>
    <d v="2018-07-01T00:00:00"/>
    <n v="16"/>
    <n v="0"/>
    <n v="1"/>
    <n v="172.95999999999998"/>
    <n v="108.55799999999999"/>
    <n v="15.756"/>
    <n v="22.385999999999996"/>
    <s v="15-21 days"/>
  </r>
  <r>
    <s v="78bf9e2300e2f562bea32d3485c8363f"/>
    <x v="3"/>
    <d v="2018-07-30T00:00:00"/>
    <d v="2018-08-10T00:00:00"/>
    <d v="2018-08-24T00:00:00"/>
    <s v="watches_gifts"/>
    <n v="161.72"/>
    <n v="30.24"/>
    <s v="credit_card"/>
    <n v="5"/>
    <s v="delivered"/>
    <d v="2018-07-01T00:00:00"/>
    <n v="11"/>
    <n v="0"/>
    <n v="1"/>
    <n v="191.96"/>
    <n v="106.73520000000001"/>
    <n v="18.143999999999998"/>
    <n v="36.840799999999994"/>
    <s v="8-14 days"/>
  </r>
  <r>
    <s v="6b07fa47c279749be575eeb5a5ea0d8f"/>
    <x v="4"/>
    <d v="2018-07-30T00:00:00"/>
    <d v="2018-08-06T00:00:00"/>
    <d v="2018-08-14T00:00:00"/>
    <s v="watches_gifts"/>
    <n v="111.98"/>
    <n v="25.46"/>
    <s v="credit_card"/>
    <n v="5"/>
    <s v="delivered"/>
    <d v="2018-07-01T00:00:00"/>
    <n v="7"/>
    <n v="0"/>
    <n v="1"/>
    <n v="137.44"/>
    <n v="73.906800000000004"/>
    <n v="15.276"/>
    <n v="22.7972"/>
    <s v="0-7 days"/>
  </r>
  <r>
    <s v="1ca64c3330d867cd038d5f5a2296d3f6"/>
    <x v="2"/>
    <d v="2018-07-31T00:00:00"/>
    <d v="2018-08-27T00:00:00"/>
    <d v="2018-08-23T00:00:00"/>
    <s v="computers_accessories"/>
    <n v="281.75"/>
    <n v="22.38"/>
    <s v="boleto"/>
    <n v="4"/>
    <s v="delivered"/>
    <d v="2018-07-01T00:00:00"/>
    <n v="27"/>
    <n v="4"/>
    <n v="0"/>
    <n v="304.13"/>
    <n v="208.495"/>
    <n v="13.427999999999999"/>
    <n v="59.826999999999998"/>
    <s v="22+ days"/>
  </r>
  <r>
    <s v="3de372e9114126afce70d3f7b190dea4"/>
    <x v="8"/>
    <d v="2018-07-31T00:00:00"/>
    <d v="2018-08-09T00:00:00"/>
    <d v="2018-08-25T00:00:00"/>
    <s v="bed_bath_table"/>
    <n v="39.770000000000003"/>
    <n v="16.72"/>
    <s v="credit_card"/>
    <n v="5"/>
    <s v="delivered"/>
    <d v="2018-07-01T00:00:00"/>
    <n v="9"/>
    <n v="0"/>
    <n v="1"/>
    <n v="56.49"/>
    <n v="24.657400000000003"/>
    <n v="10.031999999999998"/>
    <n v="5.0806000000000022"/>
    <s v="8-14 days"/>
  </r>
  <r>
    <s v="61730c4848769153c68813fe52555c75"/>
    <x v="0"/>
    <d v="2018-08-01T00:00:00"/>
    <d v="2018-08-07T00:00:00"/>
    <d v="2018-08-16T00:00:00"/>
    <s v="housewares"/>
    <n v="101.36"/>
    <n v="15.04"/>
    <s v="credit_card"/>
    <n v="3"/>
    <s v="delivered"/>
    <d v="2018-08-01T00:00:00"/>
    <n v="6"/>
    <n v="0"/>
    <n v="1"/>
    <n v="116.4"/>
    <n v="63.8568"/>
    <n v="9.0239999999999991"/>
    <n v="28.479199999999999"/>
    <s v="0-7 days"/>
  </r>
  <r>
    <s v="9255273fed0940f792174fb08e6b3085"/>
    <x v="3"/>
    <d v="2018-08-01T00:00:00"/>
    <d v="2018-08-18T00:00:00"/>
    <d v="2018-08-27T00:00:00"/>
    <s v="health_beauty"/>
    <n v="95.95"/>
    <n v="24.76"/>
    <s v="credit_card"/>
    <n v="4"/>
    <s v="delivered"/>
    <d v="2018-08-01T00:00:00"/>
    <n v="17"/>
    <n v="0"/>
    <n v="1"/>
    <n v="120.71000000000001"/>
    <n v="55.650999999999996"/>
    <n v="14.856"/>
    <n v="25.443000000000005"/>
    <s v="15-21 days"/>
  </r>
  <r>
    <s v="04e1502aa76180c77d283421243f45fe"/>
    <x v="8"/>
    <d v="2018-08-01T00:00:00"/>
    <d v="2018-08-18T00:00:00"/>
    <d v="2018-08-22T00:00:00"/>
    <s v="bed_bath_table"/>
    <n v="219.44"/>
    <n v="19.63"/>
    <s v="credit_card"/>
    <n v="3"/>
    <s v="delivered"/>
    <d v="2018-08-01T00:00:00"/>
    <n v="17"/>
    <n v="0"/>
    <n v="1"/>
    <n v="239.07"/>
    <n v="136.05279999999999"/>
    <n v="11.777999999999999"/>
    <n v="71.609200000000016"/>
    <s v="15-21 days"/>
  </r>
  <r>
    <s v="fabdc4aaba5916c59de67f2c57bd9ee6"/>
    <x v="0"/>
    <d v="2018-08-01T00:00:00"/>
    <d v="2018-08-11T00:00:00"/>
    <d v="2018-08-17T00:00:00"/>
    <s v="watches_gifts"/>
    <n v="49.35"/>
    <n v="20.010000000000002"/>
    <s v="credit_card"/>
    <n v="4"/>
    <s v="delivered"/>
    <d v="2018-08-01T00:00:00"/>
    <n v="10"/>
    <n v="0"/>
    <n v="1"/>
    <n v="69.36"/>
    <n v="32.571000000000005"/>
    <n v="12.006"/>
    <n v="4.7729999999999961"/>
    <s v="8-14 days"/>
  </r>
  <r>
    <s v="938df7c1ab0b74fc99b06cf925dfa1fb"/>
    <x v="4"/>
    <d v="2018-08-01T00:00:00"/>
    <d v="2018-08-09T00:00:00"/>
    <d v="2018-08-22T00:00:00"/>
    <s v="health_beauty"/>
    <n v="61.28"/>
    <n v="22.87"/>
    <s v="credit_card"/>
    <n v="4"/>
    <s v="delivered"/>
    <d v="2018-08-01T00:00:00"/>
    <n v="8"/>
    <n v="0"/>
    <n v="1"/>
    <n v="84.15"/>
    <n v="35.542400000000001"/>
    <n v="13.722"/>
    <n v="12.015600000000001"/>
    <s v="8-14 days"/>
  </r>
  <r>
    <s v="c73e45170b4967db4344c2697a3d7b8e"/>
    <x v="3"/>
    <d v="2018-08-01T00:00:00"/>
    <d v="2018-08-19T00:00:00"/>
    <d v="2018-08-22T00:00:00"/>
    <s v="housewares"/>
    <n v="27.06"/>
    <n v="25.78"/>
    <s v="credit_card"/>
    <n v="5"/>
    <s v="delivered"/>
    <d v="2018-08-01T00:00:00"/>
    <n v="18"/>
    <n v="0"/>
    <n v="1"/>
    <n v="52.84"/>
    <n v="17.047799999999999"/>
    <n v="15.468"/>
    <n v="-5.4558"/>
    <s v="15-21 days"/>
  </r>
  <r>
    <s v="23ee5bf60b8f6f578c6af125c2e27bb9"/>
    <x v="11"/>
    <d v="2018-08-01T00:00:00"/>
    <d v="2018-08-24T00:00:00"/>
    <d v="2018-09-01T00:00:00"/>
    <s v="health_beauty"/>
    <n v="41.08"/>
    <n v="44.34"/>
    <s v="credit_card"/>
    <n v="4"/>
    <s v="delivered"/>
    <d v="2018-08-01T00:00:00"/>
    <n v="23"/>
    <n v="0"/>
    <n v="1"/>
    <n v="85.42"/>
    <n v="23.826399999999996"/>
    <n v="26.604000000000003"/>
    <n v="-9.3504000000000005"/>
    <s v="22+ days"/>
  </r>
  <r>
    <s v="813ee22dc73e77c75d3325355d994b1e"/>
    <x v="4"/>
    <d v="2018-08-01T00:00:00"/>
    <d v="2018-08-11T00:00:00"/>
    <d v="2018-08-19T00:00:00"/>
    <s v="furniture_decor"/>
    <n v="61.7"/>
    <n v="20.86"/>
    <s v="credit_card"/>
    <n v="4"/>
    <s v="delivered"/>
    <d v="2018-08-01T00:00:00"/>
    <n v="10"/>
    <n v="0"/>
    <n v="1"/>
    <n v="82.56"/>
    <n v="43.19"/>
    <n v="12.516"/>
    <n v="5.9940000000000051"/>
    <s v="8-14 days"/>
  </r>
  <r>
    <s v="8ff4a938f59ca4ca2f5b98e8a86e5687"/>
    <x v="4"/>
    <d v="2018-08-01T00:00:00"/>
    <d v="2018-08-14T00:00:00"/>
    <d v="2018-08-20T00:00:00"/>
    <s v="watches_gifts"/>
    <n v="169.36"/>
    <n v="22.2"/>
    <s v="credit_card"/>
    <n v="5"/>
    <s v="delivered"/>
    <d v="2018-08-01T00:00:00"/>
    <n v="13"/>
    <n v="0"/>
    <n v="1"/>
    <n v="191.56"/>
    <n v="111.77760000000002"/>
    <n v="13.319999999999999"/>
    <n v="44.262399999999992"/>
    <s v="8-14 days"/>
  </r>
  <r>
    <s v="9394af394789f07731d8ba9fc32d0d15"/>
    <x v="8"/>
    <d v="2018-08-01T00:00:00"/>
    <d v="2018-08-14T00:00:00"/>
    <d v="2018-08-26T00:00:00"/>
    <s v="bed_bath_table"/>
    <n v="90.35"/>
    <n v="18.57"/>
    <s v="credit_card"/>
    <n v="5"/>
    <s v="delivered"/>
    <d v="2018-08-01T00:00:00"/>
    <n v="13"/>
    <n v="0"/>
    <n v="1"/>
    <n v="108.91999999999999"/>
    <n v="56.016999999999996"/>
    <n v="11.141999999999999"/>
    <n v="23.190999999999999"/>
    <s v="8-14 days"/>
  </r>
  <r>
    <s v="8f9b72aed85c16bd6dda4f8dcea60f4c"/>
    <x v="0"/>
    <d v="2018-08-02T00:00:00"/>
    <d v="2018-08-08T00:00:00"/>
    <d v="2018-08-18T00:00:00"/>
    <s v="health_beauty"/>
    <n v="48.12"/>
    <n v="17.489999999999998"/>
    <s v="voucher"/>
    <n v="5"/>
    <s v="delivered"/>
    <d v="2018-08-01T00:00:00"/>
    <n v="6"/>
    <n v="0"/>
    <n v="1"/>
    <n v="65.61"/>
    <n v="27.909599999999998"/>
    <n v="10.493999999999998"/>
    <n v="9.7164000000000019"/>
    <s v="0-7 days"/>
  </r>
  <r>
    <s v="17d71fc0092cd030ee7576375c3552b3"/>
    <x v="0"/>
    <d v="2018-08-02T00:00:00"/>
    <d v="2018-08-08T00:00:00"/>
    <d v="2018-08-16T00:00:00"/>
    <s v="computers_accessories"/>
    <n v="626.72"/>
    <n v="30.9"/>
    <s v="boleto"/>
    <n v="4"/>
    <s v="delivered"/>
    <d v="2018-08-01T00:00:00"/>
    <n v="6"/>
    <n v="0"/>
    <n v="1"/>
    <n v="657.62"/>
    <n v="463.77280000000002"/>
    <n v="18.54"/>
    <n v="144.40720000000002"/>
    <s v="0-7 days"/>
  </r>
  <r>
    <s v="397bfdd7b8a1e477e240e0600b20802f"/>
    <x v="4"/>
    <d v="2018-08-02T00:00:00"/>
    <d v="2018-08-19T00:00:00"/>
    <d v="2018-08-24T00:00:00"/>
    <s v="bed_bath_table"/>
    <n v="72.45"/>
    <n v="22.69"/>
    <s v="credit_card"/>
    <n v="4"/>
    <s v="delivered"/>
    <d v="2018-08-01T00:00:00"/>
    <n v="17"/>
    <n v="0"/>
    <n v="1"/>
    <n v="95.14"/>
    <n v="44.919000000000004"/>
    <n v="13.614000000000001"/>
    <n v="13.916999999999998"/>
    <s v="15-21 days"/>
  </r>
  <r>
    <s v="82550a9fdb727254ef022c922262dad8"/>
    <x v="10"/>
    <d v="2018-08-02T00:00:00"/>
    <d v="2018-08-15T00:00:00"/>
    <d v="2018-09-06T00:00:00"/>
    <s v="health_beauty"/>
    <n v="60.71"/>
    <n v="29.13"/>
    <s v="boleto"/>
    <n v="4"/>
    <s v="delivered"/>
    <d v="2018-08-01T00:00:00"/>
    <n v="13"/>
    <n v="0"/>
    <n v="1"/>
    <n v="89.84"/>
    <n v="35.211799999999997"/>
    <n v="17.477999999999998"/>
    <n v="8.0202000000000062"/>
    <s v="8-14 days"/>
  </r>
  <r>
    <s v="ff7d485c050fd4d670fe4ca28cec3149"/>
    <x v="0"/>
    <d v="2018-08-02T00:00:00"/>
    <d v="2018-08-09T00:00:00"/>
    <d v="2018-08-18T00:00:00"/>
    <s v="health_beauty"/>
    <n v="68.22"/>
    <n v="12.92"/>
    <s v="credit_card"/>
    <n v="4"/>
    <s v="delivered"/>
    <d v="2018-08-01T00:00:00"/>
    <n v="7"/>
    <n v="0"/>
    <n v="1"/>
    <n v="81.14"/>
    <n v="39.567599999999999"/>
    <n v="7.7519999999999998"/>
    <n v="20.900400000000001"/>
    <s v="0-7 days"/>
  </r>
  <r>
    <s v="d02191ac5f0fdbea2801461d9ee2e829"/>
    <x v="0"/>
    <d v="2018-08-02T00:00:00"/>
    <d v="2018-08-09T00:00:00"/>
    <d v="2018-08-16T00:00:00"/>
    <s v="health_beauty"/>
    <n v="65.62"/>
    <n v="12.64"/>
    <s v="credit_card"/>
    <n v="4"/>
    <s v="delivered"/>
    <d v="2018-08-01T00:00:00"/>
    <n v="7"/>
    <n v="0"/>
    <n v="1"/>
    <n v="78.260000000000005"/>
    <n v="38.059600000000003"/>
    <n v="7.5839999999999996"/>
    <n v="19.976400000000002"/>
    <s v="0-7 days"/>
  </r>
  <r>
    <s v="4d5116cd6983e150ad6bdc9b613d98d2"/>
    <x v="3"/>
    <d v="2018-08-02T00:00:00"/>
    <d v="2018-08-10T00:00:00"/>
    <d v="2018-08-26T00:00:00"/>
    <s v="computers_accessories"/>
    <n v="110.69"/>
    <n v="17.95"/>
    <s v="boleto"/>
    <n v="5"/>
    <s v="delivered"/>
    <d v="2018-08-01T00:00:00"/>
    <n v="8"/>
    <n v="0"/>
    <n v="1"/>
    <n v="128.63999999999999"/>
    <n v="81.910600000000002"/>
    <n v="10.77"/>
    <n v="18.009399999999996"/>
    <s v="8-14 days"/>
  </r>
  <r>
    <s v="dea124706620c29e6cadb4c10f782400"/>
    <x v="4"/>
    <d v="2018-08-02T00:00:00"/>
    <d v="2018-08-06T00:00:00"/>
    <d v="2018-08-23T00:00:00"/>
    <s v="auto"/>
    <n v="105.65"/>
    <n v="26.91"/>
    <s v="credit_card"/>
    <n v="2"/>
    <s v="delivered"/>
    <d v="2018-08-01T00:00:00"/>
    <n v="4"/>
    <n v="0"/>
    <n v="1"/>
    <n v="132.56"/>
    <n v="71.842000000000013"/>
    <n v="16.146000000000001"/>
    <n v="17.661999999999992"/>
    <s v="0-7 days"/>
  </r>
  <r>
    <s v="3d1a85dd506e5a9ab758588dab73295b"/>
    <x v="0"/>
    <d v="2018-08-03T00:00:00"/>
    <d v="2018-08-06T00:00:00"/>
    <d v="2018-08-16T00:00:00"/>
    <s v="bed_bath_table"/>
    <n v="80.64"/>
    <n v="14.85"/>
    <s v="credit_card"/>
    <n v="4"/>
    <s v="delivered"/>
    <d v="2018-08-01T00:00:00"/>
    <n v="3"/>
    <n v="0"/>
    <n v="1"/>
    <n v="95.49"/>
    <n v="49.9968"/>
    <n v="8.91"/>
    <n v="21.7332"/>
    <s v="0-7 days"/>
  </r>
  <r>
    <s v="aa53c19cdfa4bb9f5a856750692ac139"/>
    <x v="0"/>
    <d v="2018-08-03T00:00:00"/>
    <d v="2018-08-10T00:00:00"/>
    <d v="2018-08-18T00:00:00"/>
    <s v="bed_bath_table"/>
    <n v="196.95"/>
    <n v="21.47"/>
    <s v="voucher"/>
    <n v="5"/>
    <s v="delivered"/>
    <d v="2018-08-01T00:00:00"/>
    <n v="7"/>
    <n v="0"/>
    <n v="1"/>
    <n v="218.42"/>
    <n v="122.10899999999999"/>
    <n v="12.882"/>
    <n v="61.958999999999996"/>
    <s v="0-7 days"/>
  </r>
  <r>
    <s v="b362c0d264988bdecd0254dbed1115d7"/>
    <x v="0"/>
    <d v="2018-08-03T00:00:00"/>
    <d v="2018-08-12T00:00:00"/>
    <d v="2018-08-17T00:00:00"/>
    <s v="computers_accessories"/>
    <n v="67.23"/>
    <n v="20.78"/>
    <s v="boleto"/>
    <n v="4"/>
    <s v="delivered"/>
    <d v="2018-08-01T00:00:00"/>
    <n v="9"/>
    <n v="0"/>
    <n v="1"/>
    <n v="88.01"/>
    <n v="49.7502"/>
    <n v="12.468"/>
    <n v="5.0118000000000045"/>
    <s v="8-14 days"/>
  </r>
  <r>
    <s v="bbdb453692ef63c1781f9d3fe7f339dc"/>
    <x v="2"/>
    <d v="2018-08-03T00:00:00"/>
    <d v="2018-08-22T00:00:00"/>
    <d v="2018-08-25T00:00:00"/>
    <s v="toys"/>
    <n v="92.64"/>
    <n v="24.24"/>
    <s v="credit_card"/>
    <n v="4"/>
    <s v="delivered"/>
    <d v="2018-08-01T00:00:00"/>
    <n v="19"/>
    <n v="0"/>
    <n v="1"/>
    <n v="116.88"/>
    <n v="55.583999999999996"/>
    <n v="14.543999999999999"/>
    <n v="22.512000000000008"/>
    <s v="15-21 days"/>
  </r>
  <r>
    <s v="05bcde63f667a91a71c7ebf1f9dbe07e"/>
    <x v="3"/>
    <d v="2018-08-03T00:00:00"/>
    <d v="2018-08-12T00:00:00"/>
    <d v="2018-08-28T00:00:00"/>
    <s v="computers_accessories"/>
    <n v="95.56"/>
    <n v="18.260000000000002"/>
    <s v="credit_card"/>
    <n v="4"/>
    <s v="delivered"/>
    <d v="2018-08-01T00:00:00"/>
    <n v="9"/>
    <n v="0"/>
    <n v="1"/>
    <n v="113.82000000000001"/>
    <n v="70.714399999999998"/>
    <n v="10.956000000000001"/>
    <n v="13.889600000000003"/>
    <s v="8-14 days"/>
  </r>
  <r>
    <s v="5b4ee0c5cf663bc3f8c3dfcaf1df46a0"/>
    <x v="0"/>
    <d v="2018-08-03T00:00:00"/>
    <d v="2018-08-10T00:00:00"/>
    <d v="2018-08-19T00:00:00"/>
    <s v="auto"/>
    <n v="171.38"/>
    <n v="17.010000000000002"/>
    <s v="credit_card"/>
    <n v="3"/>
    <s v="delivered"/>
    <d v="2018-08-01T00:00:00"/>
    <n v="7"/>
    <n v="0"/>
    <n v="1"/>
    <n v="188.39"/>
    <n v="116.53840000000001"/>
    <n v="10.206000000000001"/>
    <n v="44.635599999999982"/>
    <s v="0-7 days"/>
  </r>
  <r>
    <s v="38f1f1abcb170945be88f8e4143dbd6c"/>
    <x v="2"/>
    <d v="2018-08-04T00:00:00"/>
    <d v="2018-08-18T00:00:00"/>
    <d v="2018-08-28T00:00:00"/>
    <s v="auto"/>
    <n v="140.13999999999999"/>
    <n v="23.65"/>
    <s v="credit_card"/>
    <n v="5"/>
    <s v="delivered"/>
    <d v="2018-08-01T00:00:00"/>
    <n v="14"/>
    <n v="0"/>
    <n v="1"/>
    <n v="163.79"/>
    <n v="95.295199999999994"/>
    <n v="14.19"/>
    <n v="30.654799999999994"/>
    <s v="8-14 days"/>
  </r>
  <r>
    <s v="7f5ac17aa926550e5995e5f44c8545c1"/>
    <x v="4"/>
    <d v="2018-08-04T00:00:00"/>
    <d v="2018-08-15T00:00:00"/>
    <d v="2018-08-29T00:00:00"/>
    <s v="sports_leisure"/>
    <n v="217.66"/>
    <n v="25.93"/>
    <s v="credit_card"/>
    <n v="5"/>
    <s v="delivered"/>
    <d v="2018-08-01T00:00:00"/>
    <n v="11"/>
    <n v="0"/>
    <n v="1"/>
    <n v="243.59"/>
    <n v="139.30240000000001"/>
    <n v="15.558"/>
    <n v="62.799599999999991"/>
    <s v="8-14 days"/>
  </r>
  <r>
    <s v="eeec175d877236d0c39b7cb2b9e1aa73"/>
    <x v="10"/>
    <d v="2018-08-04T00:00:00"/>
    <d v="2018-08-27T00:00:00"/>
    <d v="2018-09-03T00:00:00"/>
    <s v="bed_bath_table"/>
    <n v="69.53"/>
    <n v="37.69"/>
    <s v="boleto"/>
    <n v="3"/>
    <s v="delivered"/>
    <d v="2018-08-01T00:00:00"/>
    <n v="23"/>
    <n v="0"/>
    <n v="1"/>
    <n v="107.22"/>
    <n v="43.108600000000003"/>
    <n v="22.613999999999997"/>
    <n v="3.8074000000000012"/>
    <s v="22+ days"/>
  </r>
  <r>
    <s v="af84add6c463190a99cfc5aa36deece6"/>
    <x v="0"/>
    <d v="2018-08-04T00:00:00"/>
    <d v="2018-08-10T00:00:00"/>
    <d v="2018-08-25T00:00:00"/>
    <s v="health_beauty"/>
    <n v="81.739999999999995"/>
    <n v="12.86"/>
    <s v="credit_card"/>
    <n v="4"/>
    <s v="delivered"/>
    <d v="2018-08-01T00:00:00"/>
    <n v="6"/>
    <n v="0"/>
    <n v="1"/>
    <n v="94.6"/>
    <n v="47.409199999999991"/>
    <n v="7.7159999999999993"/>
    <n v="26.614800000000002"/>
    <s v="0-7 days"/>
  </r>
  <r>
    <s v="c052aeb5b2764db848d9548ec87ce81d"/>
    <x v="3"/>
    <d v="2018-08-04T00:00:00"/>
    <d v="2018-08-11T00:00:00"/>
    <d v="2018-09-01T00:00:00"/>
    <s v="watches_gifts"/>
    <n v="91.39"/>
    <n v="25.05"/>
    <s v="credit_card"/>
    <n v="4"/>
    <s v="delivered"/>
    <d v="2018-08-01T00:00:00"/>
    <n v="7"/>
    <n v="0"/>
    <n v="1"/>
    <n v="116.44"/>
    <n v="60.317400000000006"/>
    <n v="15.03"/>
    <n v="16.042599999999993"/>
    <s v="0-7 days"/>
  </r>
  <r>
    <s v="d963dc7205c8234b1d763a66b5f59cb0"/>
    <x v="0"/>
    <d v="2018-08-05T00:00:00"/>
    <d v="2018-08-12T00:00:00"/>
    <d v="2018-08-21T00:00:00"/>
    <s v="sports_leisure"/>
    <n v="85.79"/>
    <n v="12.68"/>
    <s v="credit_card"/>
    <n v="4"/>
    <s v="delivered"/>
    <d v="2018-08-01T00:00:00"/>
    <n v="7"/>
    <n v="0"/>
    <n v="1"/>
    <n v="98.47"/>
    <n v="54.905600000000007"/>
    <n v="7.6079999999999997"/>
    <n v="23.276399999999999"/>
    <s v="0-7 days"/>
  </r>
  <r>
    <s v="b7b24f20592cfe25b858e2033a52b383"/>
    <x v="0"/>
    <d v="2018-08-05T00:00:00"/>
    <d v="2018-08-09T00:00:00"/>
    <d v="2018-08-19T00:00:00"/>
    <s v="computers_accessories"/>
    <n v="114.12"/>
    <n v="21.46"/>
    <s v="credit_card"/>
    <n v="3"/>
    <s v="delivered"/>
    <d v="2018-08-01T00:00:00"/>
    <n v="4"/>
    <n v="0"/>
    <n v="1"/>
    <n v="135.58000000000001"/>
    <n v="84.448800000000006"/>
    <n v="12.875999999999999"/>
    <n v="16.795200000000001"/>
    <s v="0-7 days"/>
  </r>
  <r>
    <s v="fd91aa631ca42a3ce177105f6b4203f7"/>
    <x v="9"/>
    <d v="2018-08-05T00:00:00"/>
    <d v="2018-08-22T00:00:00"/>
    <d v="2018-08-30T00:00:00"/>
    <s v="housewares"/>
    <n v="32.799999999999997"/>
    <n v="18.07"/>
    <s v="credit_card"/>
    <n v="4"/>
    <s v="delivered"/>
    <d v="2018-08-01T00:00:00"/>
    <n v="17"/>
    <n v="0"/>
    <n v="1"/>
    <n v="50.87"/>
    <n v="20.663999999999998"/>
    <n v="10.842000000000001"/>
    <n v="1.2939999999999987"/>
    <s v="15-21 days"/>
  </r>
  <r>
    <s v="8fe5bfbed66ec8bcd75ca92da65a158b"/>
    <x v="4"/>
    <d v="2018-08-05T00:00:00"/>
    <d v="2018-08-13T00:00:00"/>
    <d v="2018-08-28T00:00:00"/>
    <s v="bed_bath_table"/>
    <n v="71.73"/>
    <n v="25.2"/>
    <s v="credit_card"/>
    <n v="5"/>
    <s v="delivered"/>
    <d v="2018-08-01T00:00:00"/>
    <n v="8"/>
    <n v="0"/>
    <n v="1"/>
    <n v="96.93"/>
    <n v="44.4726"/>
    <n v="15.12"/>
    <n v="12.137400000000005"/>
    <s v="8-14 days"/>
  </r>
  <r>
    <s v="ceae1325ea074d80ba236c22e92a7b97"/>
    <x v="3"/>
    <d v="2018-08-06T00:00:00"/>
    <d v="2018-08-16T00:00:00"/>
    <d v="2018-09-02T00:00:00"/>
    <s v="auto"/>
    <n v="188.72"/>
    <n v="22.27"/>
    <s v="credit_card"/>
    <n v="4"/>
    <s v="delivered"/>
    <d v="2018-08-01T00:00:00"/>
    <n v="10"/>
    <n v="0"/>
    <n v="1"/>
    <n v="210.99"/>
    <n v="128.3296"/>
    <n v="13.362"/>
    <n v="47.028399999999998"/>
    <s v="8-14 days"/>
  </r>
  <r>
    <s v="1c99d366c8b62c18c355853eb0d9751c"/>
    <x v="3"/>
    <d v="2018-08-06T00:00:00"/>
    <d v="2018-08-26T00:00:00"/>
    <d v="2018-08-31T00:00:00"/>
    <s v="health_beauty"/>
    <n v="49.91"/>
    <n v="16.850000000000001"/>
    <s v="credit_card"/>
    <n v="4"/>
    <s v="delivered"/>
    <d v="2018-08-01T00:00:00"/>
    <n v="20"/>
    <n v="0"/>
    <n v="1"/>
    <n v="66.759999999999991"/>
    <n v="28.947799999999997"/>
    <n v="10.110000000000001"/>
    <n v="10.852199999999998"/>
    <s v="15-21 days"/>
  </r>
  <r>
    <s v="62a53193a6a1cc2b0ec5bad7b24ae6e3"/>
    <x v="0"/>
    <d v="2018-08-06T00:00:00"/>
    <d v="2018-08-12T00:00:00"/>
    <d v="2018-08-21T00:00:00"/>
    <s v="watches_gifts"/>
    <n v="151.07"/>
    <n v="20.75"/>
    <s v="boleto"/>
    <n v="5"/>
    <s v="delivered"/>
    <d v="2018-08-01T00:00:00"/>
    <n v="6"/>
    <n v="0"/>
    <n v="1"/>
    <n v="171.82"/>
    <n v="99.706199999999995"/>
    <n v="12.45"/>
    <n v="38.913799999999995"/>
    <s v="0-7 days"/>
  </r>
  <r>
    <s v="a302db2f41deca4c625cade5dbf11941"/>
    <x v="0"/>
    <d v="2018-08-06T00:00:00"/>
    <d v="2018-08-15T00:00:00"/>
    <d v="2018-08-21T00:00:00"/>
    <s v="bed_bath_table"/>
    <n v="102.56"/>
    <n v="18.93"/>
    <s v="credit_card"/>
    <n v="3"/>
    <s v="delivered"/>
    <d v="2018-08-01T00:00:00"/>
    <n v="9"/>
    <n v="0"/>
    <n v="1"/>
    <n v="121.49000000000001"/>
    <n v="63.587200000000003"/>
    <n v="11.357999999999999"/>
    <n v="27.614800000000002"/>
    <s v="8-14 days"/>
  </r>
  <r>
    <s v="d5b706606f768057af921b4981acc280"/>
    <x v="0"/>
    <d v="2018-08-06T00:00:00"/>
    <d v="2018-08-17T00:00:00"/>
    <d v="2018-08-22T00:00:00"/>
    <s v="bed_bath_table"/>
    <n v="60.87"/>
    <n v="15.13"/>
    <s v="credit_card"/>
    <n v="5"/>
    <s v="delivered"/>
    <d v="2018-08-01T00:00:00"/>
    <n v="11"/>
    <n v="0"/>
    <n v="1"/>
    <n v="76"/>
    <n v="37.739399999999996"/>
    <n v="9.0779999999999994"/>
    <n v="14.052600000000002"/>
    <s v="8-14 days"/>
  </r>
  <r>
    <s v="5596eef92c2e53573e0420265733fba4"/>
    <x v="1"/>
    <d v="2018-08-06T00:00:00"/>
    <d v="2018-08-21T00:00:00"/>
    <d v="2018-08-26T00:00:00"/>
    <s v="bed_bath_table"/>
    <n v="136.81"/>
    <n v="25.59"/>
    <s v="voucher"/>
    <n v="3"/>
    <s v="delivered"/>
    <d v="2018-08-01T00:00:00"/>
    <n v="15"/>
    <n v="0"/>
    <n v="1"/>
    <n v="162.4"/>
    <n v="84.822199999999995"/>
    <n v="15.353999999999999"/>
    <n v="36.633800000000008"/>
    <s v="15-21 days"/>
  </r>
  <r>
    <s v="1bad52a8a976dc4d0c472187fea35d37"/>
    <x v="0"/>
    <d v="2018-08-07T00:00:00"/>
    <d v="2018-08-19T00:00:00"/>
    <d v="2018-08-23T00:00:00"/>
    <s v="watches_gifts"/>
    <n v="90.45"/>
    <n v="12.82"/>
    <s v="credit_card"/>
    <n v="5"/>
    <s v="delivered"/>
    <d v="2018-08-01T00:00:00"/>
    <n v="12"/>
    <n v="0"/>
    <n v="1"/>
    <n v="103.27000000000001"/>
    <n v="59.697000000000003"/>
    <n v="7.6920000000000002"/>
    <n v="23.061"/>
    <s v="8-14 days"/>
  </r>
  <r>
    <s v="30b1b67b2771a42280038f26e7ab2ef7"/>
    <x v="3"/>
    <d v="2018-08-07T00:00:00"/>
    <d v="2018-08-22T00:00:00"/>
    <d v="2018-08-31T00:00:00"/>
    <s v="health_beauty"/>
    <n v="34.42"/>
    <n v="27.13"/>
    <s v="credit_card"/>
    <n v="4"/>
    <s v="delivered"/>
    <d v="2018-08-01T00:00:00"/>
    <n v="15"/>
    <n v="0"/>
    <n v="1"/>
    <n v="61.55"/>
    <n v="19.9636"/>
    <n v="16.277999999999999"/>
    <n v="-1.8215999999999966"/>
    <s v="15-21 days"/>
  </r>
  <r>
    <s v="3c15ae1fefda21b2ecedf328e669dd22"/>
    <x v="3"/>
    <d v="2018-08-07T00:00:00"/>
    <d v="2018-08-17T00:00:00"/>
    <d v="2018-08-29T00:00:00"/>
    <s v="toys"/>
    <n v="110.54"/>
    <n v="22.35"/>
    <s v="credit_card"/>
    <n v="4"/>
    <s v="delivered"/>
    <d v="2018-08-01T00:00:00"/>
    <n v="10"/>
    <n v="0"/>
    <n v="1"/>
    <n v="132.89000000000001"/>
    <n v="66.323999999999998"/>
    <n v="13.41"/>
    <n v="30.806000000000008"/>
    <s v="8-14 days"/>
  </r>
  <r>
    <s v="258ce9b4c76892ba4b7ea28d264af6f3"/>
    <x v="3"/>
    <d v="2018-08-07T00:00:00"/>
    <d v="2018-08-17T00:00:00"/>
    <d v="2018-09-02T00:00:00"/>
    <s v="toys"/>
    <n v="102.1"/>
    <n v="24.69"/>
    <s v="boleto"/>
    <n v="5"/>
    <s v="delivered"/>
    <d v="2018-08-01T00:00:00"/>
    <n v="10"/>
    <n v="0"/>
    <n v="1"/>
    <n v="126.78999999999999"/>
    <n v="61.259999999999991"/>
    <n v="14.814"/>
    <n v="26.026000000000003"/>
    <s v="8-14 days"/>
  </r>
  <r>
    <s v="dda23bfd274770a19f29f7dfd5e97619"/>
    <x v="0"/>
    <d v="2018-08-07T00:00:00"/>
    <d v="2018-08-21T00:00:00"/>
    <d v="2018-08-24T00:00:00"/>
    <s v="watches_gifts"/>
    <n v="124.67"/>
    <n v="19.940000000000001"/>
    <s v="credit_card"/>
    <n v="5"/>
    <s v="delivered"/>
    <d v="2018-08-01T00:00:00"/>
    <n v="14"/>
    <n v="0"/>
    <n v="1"/>
    <n v="144.61000000000001"/>
    <n v="82.282200000000003"/>
    <n v="11.964"/>
    <n v="30.4238"/>
    <s v="8-14 days"/>
  </r>
  <r>
    <s v="18ecde2b0a802167f4b3f20eaed0fb57"/>
    <x v="5"/>
    <d v="2018-08-08T00:00:00"/>
    <d v="2018-08-19T00:00:00"/>
    <d v="2018-08-31T00:00:00"/>
    <s v="toys"/>
    <n v="73.599999999999994"/>
    <n v="31.68"/>
    <s v="boleto"/>
    <n v="5"/>
    <s v="delivered"/>
    <d v="2018-08-01T00:00:00"/>
    <n v="11"/>
    <n v="0"/>
    <n v="1"/>
    <n v="105.28"/>
    <n v="44.16"/>
    <n v="19.007999999999999"/>
    <n v="10.431999999999999"/>
    <s v="8-14 days"/>
  </r>
  <r>
    <s v="e03d1b30adcde95f6f91a7be905c3fd9"/>
    <x v="0"/>
    <d v="2018-08-08T00:00:00"/>
    <d v="2018-08-22T00:00:00"/>
    <d v="2018-08-19T00:00:00"/>
    <s v="bed_bath_table"/>
    <n v="53.37"/>
    <n v="14.83"/>
    <s v="credit_card"/>
    <n v="4"/>
    <s v="delivered"/>
    <d v="2018-08-01T00:00:00"/>
    <n v="14"/>
    <n v="3"/>
    <n v="0"/>
    <n v="68.2"/>
    <n v="33.089399999999998"/>
    <n v="8.8979999999999997"/>
    <n v="11.3826"/>
    <s v="8-14 days"/>
  </r>
  <r>
    <s v="6633427e4feeea91800314a89c7ab4e3"/>
    <x v="9"/>
    <d v="2018-08-09T00:00:00"/>
    <d v="2018-08-22T00:00:00"/>
    <d v="2018-09-03T00:00:00"/>
    <s v="health_beauty"/>
    <n v="93.52"/>
    <n v="26.31"/>
    <s v="credit_card"/>
    <n v="4"/>
    <s v="delivered"/>
    <d v="2018-08-01T00:00:00"/>
    <n v="13"/>
    <n v="0"/>
    <n v="1"/>
    <n v="119.83"/>
    <n v="54.241599999999991"/>
    <n v="15.785999999999998"/>
    <n v="23.492400000000007"/>
    <s v="8-14 days"/>
  </r>
  <r>
    <s v="250a8bc0ef19117fa452cdef827b8c89"/>
    <x v="8"/>
    <d v="2018-08-09T00:00:00"/>
    <d v="2018-08-20T00:00:00"/>
    <d v="2018-09-02T00:00:00"/>
    <s v="health_beauty"/>
    <n v="88.08"/>
    <n v="30.4"/>
    <s v="credit_card"/>
    <n v="4"/>
    <s v="delivered"/>
    <d v="2018-08-01T00:00:00"/>
    <n v="11"/>
    <n v="0"/>
    <n v="1"/>
    <n v="118.47999999999999"/>
    <n v="51.086399999999998"/>
    <n v="18.239999999999998"/>
    <n v="18.753600000000002"/>
    <s v="8-14 days"/>
  </r>
  <r>
    <s v="dd3f1d3b796f32661802728004221ae9"/>
    <x v="4"/>
    <d v="2018-08-09T00:00:00"/>
    <d v="2018-08-23T00:00:00"/>
    <d v="2018-09-04T00:00:00"/>
    <s v="watches_gifts"/>
    <n v="289.97000000000003"/>
    <n v="28.44"/>
    <s v="credit_card"/>
    <n v="5"/>
    <s v="delivered"/>
    <d v="2018-08-01T00:00:00"/>
    <n v="14"/>
    <n v="0"/>
    <n v="1"/>
    <n v="318.41000000000003"/>
    <n v="191.38020000000003"/>
    <n v="17.064"/>
    <n v="81.525800000000004"/>
    <s v="8-14 days"/>
  </r>
  <r>
    <s v="82ace0dced3f3aff82377bd087e555c1"/>
    <x v="3"/>
    <d v="2018-08-09T00:00:00"/>
    <d v="2018-08-21T00:00:00"/>
    <d v="2018-08-31T00:00:00"/>
    <s v="sports_leisure"/>
    <n v="119.84"/>
    <n v="25.31"/>
    <s v="credit_card"/>
    <n v="5"/>
    <s v="delivered"/>
    <d v="2018-08-01T00:00:00"/>
    <n v="12"/>
    <n v="0"/>
    <n v="1"/>
    <n v="145.15"/>
    <n v="76.697600000000008"/>
    <n v="15.185999999999998"/>
    <n v="27.956399999999995"/>
    <s v="8-14 days"/>
  </r>
  <r>
    <s v="6a5a2d72af344e9d6ad14f029dd01cdb"/>
    <x v="4"/>
    <d v="2018-08-09T00:00:00"/>
    <d v="2018-08-20T00:00:00"/>
    <d v="2018-08-31T00:00:00"/>
    <s v="health_beauty"/>
    <n v="247.73"/>
    <n v="29.62"/>
    <s v="boleto"/>
    <n v="5"/>
    <s v="delivered"/>
    <d v="2018-08-01T00:00:00"/>
    <n v="11"/>
    <n v="0"/>
    <n v="1"/>
    <n v="277.34999999999997"/>
    <n v="143.68339999999998"/>
    <n v="17.771999999999998"/>
    <n v="86.274600000000021"/>
    <s v="8-14 days"/>
  </r>
  <r>
    <s v="9b0aec9485993420198aed065bf64136"/>
    <x v="3"/>
    <d v="2018-08-09T00:00:00"/>
    <d v="2018-08-26T00:00:00"/>
    <d v="2018-09-02T00:00:00"/>
    <s v="housewares"/>
    <n v="28.67"/>
    <n v="25.46"/>
    <s v="boleto"/>
    <n v="5"/>
    <s v="delivered"/>
    <d v="2018-08-01T00:00:00"/>
    <n v="17"/>
    <n v="0"/>
    <n v="1"/>
    <n v="54.13"/>
    <n v="18.062100000000001"/>
    <n v="15.276"/>
    <n v="-4.668099999999999"/>
    <s v="15-21 days"/>
  </r>
  <r>
    <s v="36d55494f37fd50d2e25b5ee4f11d8dc"/>
    <x v="4"/>
    <d v="2018-08-10T00:00:00"/>
    <d v="2018-08-23T00:00:00"/>
    <d v="2018-08-30T00:00:00"/>
    <s v="watches_gifts"/>
    <n v="195.57"/>
    <n v="18.170000000000002"/>
    <s v="credit_card"/>
    <n v="5"/>
    <s v="delivered"/>
    <d v="2018-08-01T00:00:00"/>
    <n v="13"/>
    <n v="0"/>
    <n v="1"/>
    <n v="213.74"/>
    <n v="129.0762"/>
    <n v="10.902000000000001"/>
    <n v="55.591799999999992"/>
    <s v="8-14 days"/>
  </r>
  <r>
    <s v="ad371d9e92cf60211f33242d49ac9087"/>
    <x v="0"/>
    <d v="2018-08-10T00:00:00"/>
    <d v="2018-08-25T00:00:00"/>
    <d v="2018-08-25T00:00:00"/>
    <s v="furniture_decor"/>
    <n v="237.73"/>
    <n v="22.83"/>
    <s v="credit_card"/>
    <n v="3"/>
    <s v="delivered"/>
    <d v="2018-08-01T00:00:00"/>
    <n v="15"/>
    <n v="0"/>
    <n v="1"/>
    <n v="260.56"/>
    <n v="166.41099999999997"/>
    <n v="13.697999999999999"/>
    <n v="57.621000000000016"/>
    <s v="15-21 days"/>
  </r>
  <r>
    <s v="a80494630d36f5e492a6f3e62b48c6e6"/>
    <x v="0"/>
    <d v="2018-08-10T00:00:00"/>
    <d v="2018-08-17T00:00:00"/>
    <d v="2018-08-28T00:00:00"/>
    <s v="watches_gifts"/>
    <n v="158.22999999999999"/>
    <n v="18.63"/>
    <s v="debit_card"/>
    <n v="4"/>
    <s v="delivered"/>
    <d v="2018-08-01T00:00:00"/>
    <n v="7"/>
    <n v="0"/>
    <n v="1"/>
    <n v="176.85999999999999"/>
    <n v="104.4318"/>
    <n v="11.177999999999999"/>
    <n v="42.620199999999997"/>
    <s v="0-7 days"/>
  </r>
  <r>
    <s v="f50f64a5971965f5239a6d42d2add2a6"/>
    <x v="9"/>
    <d v="2018-08-10T00:00:00"/>
    <d v="2018-08-20T00:00:00"/>
    <d v="2018-09-06T00:00:00"/>
    <s v="sports_leisure"/>
    <n v="105.12"/>
    <n v="19.329999999999998"/>
    <s v="voucher"/>
    <n v="4"/>
    <s v="delivered"/>
    <d v="2018-08-01T00:00:00"/>
    <n v="10"/>
    <n v="0"/>
    <n v="1"/>
    <n v="124.45"/>
    <n v="67.276800000000009"/>
    <n v="11.597999999999999"/>
    <n v="26.245199999999997"/>
    <s v="8-14 days"/>
  </r>
  <r>
    <s v="b869cac87d3843c0970189aaab607bb0"/>
    <x v="4"/>
    <d v="2018-08-10T00:00:00"/>
    <d v="2018-08-21T00:00:00"/>
    <d v="2018-08-29T00:00:00"/>
    <s v="housewares"/>
    <n v="92.06"/>
    <n v="29.55"/>
    <s v="boleto"/>
    <n v="5"/>
    <s v="delivered"/>
    <d v="2018-08-01T00:00:00"/>
    <n v="11"/>
    <n v="0"/>
    <n v="1"/>
    <n v="121.61"/>
    <n v="57.997800000000005"/>
    <n v="17.73"/>
    <n v="16.332199999999997"/>
    <s v="8-14 days"/>
  </r>
  <r>
    <s v="b962c8a7b076a7dcfd0ce433ca5e151b"/>
    <x v="0"/>
    <d v="2018-08-11T00:00:00"/>
    <d v="2018-08-17T00:00:00"/>
    <d v="2018-08-23T00:00:00"/>
    <s v="watches_gifts"/>
    <n v="157.91999999999999"/>
    <n v="21.43"/>
    <s v="credit_card"/>
    <n v="4"/>
    <s v="delivered"/>
    <d v="2018-08-01T00:00:00"/>
    <n v="6"/>
    <n v="0"/>
    <n v="1"/>
    <n v="179.35"/>
    <n v="104.2272"/>
    <n v="12.857999999999999"/>
    <n v="40.834799999999994"/>
    <s v="0-7 days"/>
  </r>
  <r>
    <s v="7397d1a1f641940591cbbc49542ef29e"/>
    <x v="0"/>
    <d v="2018-08-11T00:00:00"/>
    <d v="2018-08-21T00:00:00"/>
    <d v="2018-08-29T00:00:00"/>
    <s v="sports_leisure"/>
    <n v="46.02"/>
    <n v="16.41"/>
    <s v="credit_card"/>
    <n v="4"/>
    <s v="delivered"/>
    <d v="2018-08-01T00:00:00"/>
    <n v="10"/>
    <n v="0"/>
    <n v="1"/>
    <n v="62.430000000000007"/>
    <n v="29.452800000000003"/>
    <n v="9.8460000000000001"/>
    <n v="6.7211999999999996"/>
    <s v="8-14 days"/>
  </r>
  <r>
    <s v="1b912adc833334f66a6a01490b44676d"/>
    <x v="0"/>
    <d v="2018-08-11T00:00:00"/>
    <d v="2018-08-26T00:00:00"/>
    <d v="2018-08-31T00:00:00"/>
    <s v="bed_bath_table"/>
    <n v="189.07"/>
    <n v="21.88"/>
    <s v="boleto"/>
    <n v="5"/>
    <s v="delivered"/>
    <d v="2018-08-01T00:00:00"/>
    <n v="15"/>
    <n v="0"/>
    <n v="1"/>
    <n v="210.95"/>
    <n v="117.2234"/>
    <n v="13.127999999999998"/>
    <n v="58.718599999999995"/>
    <s v="15-21 days"/>
  </r>
  <r>
    <s v="ba99267edca2103316ec34b5cf6ad43f"/>
    <x v="0"/>
    <d v="2018-08-11T00:00:00"/>
    <d v="2018-08-19T00:00:00"/>
    <d v="2018-08-27T00:00:00"/>
    <s v="housewares"/>
    <n v="92.66"/>
    <n v="14.79"/>
    <s v="debit_card"/>
    <n v="4"/>
    <s v="delivered"/>
    <d v="2018-08-01T00:00:00"/>
    <n v="8"/>
    <n v="0"/>
    <n v="1"/>
    <n v="107.44999999999999"/>
    <n v="58.375799999999998"/>
    <n v="8.8739999999999988"/>
    <n v="25.4102"/>
    <s v="8-14 days"/>
  </r>
  <r>
    <s v="7862fa7d413853212c11e260f74fe2b9"/>
    <x v="3"/>
    <d v="2018-08-11T00:00:00"/>
    <d v="2018-08-26T00:00:00"/>
    <d v="2018-09-06T00:00:00"/>
    <s v="housewares"/>
    <n v="52.09"/>
    <n v="17.21"/>
    <s v="credit_card"/>
    <n v="4"/>
    <s v="delivered"/>
    <d v="2018-08-01T00:00:00"/>
    <n v="15"/>
    <n v="0"/>
    <n v="1"/>
    <n v="69.300000000000011"/>
    <n v="32.816700000000004"/>
    <n v="10.326000000000001"/>
    <n v="8.9472999999999985"/>
    <s v="15-21 days"/>
  </r>
  <r>
    <s v="4c5fccfb14eae37c67b2916c461ea8aa"/>
    <x v="0"/>
    <d v="2018-08-12T00:00:00"/>
    <d v="2018-08-18T00:00:00"/>
    <d v="2018-08-31T00:00:00"/>
    <s v="furniture_decor"/>
    <n v="74.89"/>
    <n v="13.49"/>
    <s v="boleto"/>
    <n v="5"/>
    <s v="delivered"/>
    <d v="2018-08-01T00:00:00"/>
    <n v="6"/>
    <n v="0"/>
    <n v="1"/>
    <n v="88.38"/>
    <n v="52.422999999999995"/>
    <n v="8.0939999999999994"/>
    <n v="14.373000000000006"/>
    <s v="0-7 days"/>
  </r>
  <r>
    <s v="4eb18c8843b63613a89f5f9de12def58"/>
    <x v="6"/>
    <d v="2018-08-12T00:00:00"/>
    <d v="2018-08-26T00:00:00"/>
    <d v="2018-09-10T00:00:00"/>
    <s v="bed_bath_table"/>
    <n v="60.12"/>
    <n v="27.26"/>
    <s v="boleto"/>
    <n v="3"/>
    <s v="delivered"/>
    <d v="2018-08-01T00:00:00"/>
    <n v="14"/>
    <n v="0"/>
    <n v="1"/>
    <n v="87.38"/>
    <n v="37.2744"/>
    <n v="16.356000000000002"/>
    <n v="6.4895999999999958"/>
    <s v="8-14 days"/>
  </r>
  <r>
    <s v="572398eb46f8d2033b816a017b3d2792"/>
    <x v="0"/>
    <d v="2018-08-12T00:00:00"/>
    <d v="2018-08-17T00:00:00"/>
    <d v="2018-08-27T00:00:00"/>
    <s v="health_beauty"/>
    <n v="50.08"/>
    <n v="11.71"/>
    <s v="credit_card"/>
    <n v="4"/>
    <s v="delivered"/>
    <d v="2018-08-01T00:00:00"/>
    <n v="5"/>
    <n v="0"/>
    <n v="1"/>
    <n v="61.79"/>
    <n v="29.046399999999998"/>
    <n v="7.0260000000000007"/>
    <n v="14.0076"/>
    <s v="0-7 days"/>
  </r>
  <r>
    <s v="8989c5abfe2b34d82db0728d1e5ebe54"/>
    <x v="0"/>
    <d v="2018-08-13T00:00:00"/>
    <d v="2018-08-18T00:00:00"/>
    <d v="2018-08-28T00:00:00"/>
    <s v="auto"/>
    <n v="149.55000000000001"/>
    <n v="22.52"/>
    <s v="credit_card"/>
    <n v="5"/>
    <s v="delivered"/>
    <d v="2018-08-01T00:00:00"/>
    <n v="5"/>
    <n v="0"/>
    <n v="1"/>
    <n v="172.07000000000002"/>
    <n v="101.69400000000002"/>
    <n v="13.511999999999999"/>
    <n v="34.343999999999994"/>
    <s v="0-7 days"/>
  </r>
  <r>
    <s v="5a07d758b357f3f9b4157cea07388ba4"/>
    <x v="4"/>
    <d v="2018-08-13T00:00:00"/>
    <d v="2018-08-20T00:00:00"/>
    <d v="2018-09-03T00:00:00"/>
    <s v="computers_accessories"/>
    <n v="271.57"/>
    <n v="32.229999999999997"/>
    <s v="voucher"/>
    <n v="4"/>
    <s v="delivered"/>
    <d v="2018-08-01T00:00:00"/>
    <n v="7"/>
    <n v="0"/>
    <n v="1"/>
    <n v="303.8"/>
    <n v="200.96179999999998"/>
    <n v="19.337999999999997"/>
    <n v="51.270200000000017"/>
    <s v="0-7 days"/>
  </r>
  <r>
    <s v="65ebd4dcb49b4b72c6319c165827bc1d"/>
    <x v="4"/>
    <d v="2018-08-13T00:00:00"/>
    <d v="2018-08-29T00:00:00"/>
    <d v="2018-09-03T00:00:00"/>
    <s v="sports_leisure"/>
    <n v="91.66"/>
    <n v="20.13"/>
    <s v="credit_card"/>
    <n v="3"/>
    <s v="delivered"/>
    <d v="2018-08-01T00:00:00"/>
    <n v="16"/>
    <n v="0"/>
    <n v="1"/>
    <n v="111.78999999999999"/>
    <n v="58.662399999999998"/>
    <n v="12.077999999999999"/>
    <n v="20.919599999999999"/>
    <s v="15-21 days"/>
  </r>
  <r>
    <s v="bb4ccb141cc0b764b06befca56b405d7"/>
    <x v="0"/>
    <d v="2018-08-13T00:00:00"/>
    <d v="2018-08-22T00:00:00"/>
    <d v="2018-08-27T00:00:00"/>
    <s v="toys"/>
    <n v="230.74"/>
    <n v="24.8"/>
    <s v="credit_card"/>
    <n v="4"/>
    <s v="delivered"/>
    <d v="2018-08-01T00:00:00"/>
    <n v="9"/>
    <n v="0"/>
    <n v="1"/>
    <n v="255.54000000000002"/>
    <n v="138.44399999999999"/>
    <n v="14.879999999999999"/>
    <n v="77.416000000000025"/>
    <s v="8-14 days"/>
  </r>
  <r>
    <s v="40f66fdeea7255845e6e187ae939f790"/>
    <x v="11"/>
    <d v="2018-08-13T00:00:00"/>
    <d v="2018-08-19T00:00:00"/>
    <d v="2018-09-16T00:00:00"/>
    <s v="sports_leisure"/>
    <n v="44.89"/>
    <n v="32.51"/>
    <s v="credit_card"/>
    <n v="5"/>
    <s v="delivered"/>
    <d v="2018-08-01T00:00:00"/>
    <n v="6"/>
    <n v="0"/>
    <n v="1"/>
    <n v="77.400000000000006"/>
    <n v="28.729600000000001"/>
    <n v="19.505999999999997"/>
    <n v="-3.3455999999999975"/>
    <s v="0-7 days"/>
  </r>
  <r>
    <s v="03acc634296da4cd431b011f6f90d9af"/>
    <x v="0"/>
    <d v="2018-08-13T00:00:00"/>
    <d v="2018-08-22T00:00:00"/>
    <d v="2018-09-01T00:00:00"/>
    <s v="computers_accessories"/>
    <n v="98.51"/>
    <n v="15.9"/>
    <s v="boleto"/>
    <n v="4"/>
    <s v="delivered"/>
    <d v="2018-08-01T00:00:00"/>
    <n v="9"/>
    <n v="0"/>
    <n v="1"/>
    <n v="114.41000000000001"/>
    <n v="72.897400000000005"/>
    <n v="9.5399999999999991"/>
    <n v="16.072600000000001"/>
    <s v="8-14 days"/>
  </r>
  <r>
    <s v="62a5aa212b3fde5dd8b4d672212552fa"/>
    <x v="0"/>
    <d v="2018-08-13T00:00:00"/>
    <d v="2018-08-22T00:00:00"/>
    <d v="2018-08-29T00:00:00"/>
    <s v="bed_bath_table"/>
    <n v="92.11"/>
    <n v="17.11"/>
    <s v="credit_card"/>
    <n v="5"/>
    <s v="delivered"/>
    <d v="2018-08-01T00:00:00"/>
    <n v="9"/>
    <n v="0"/>
    <n v="1"/>
    <n v="109.22"/>
    <n v="57.108199999999997"/>
    <n v="10.266"/>
    <n v="24.735800000000005"/>
    <s v="8-14 days"/>
  </r>
  <r>
    <s v="f35977e1f1cdf51a72f4c4b3453a2e55"/>
    <x v="7"/>
    <d v="2018-08-13T00:00:00"/>
    <d v="2018-08-30T00:00:00"/>
    <d v="2018-09-05T00:00:00"/>
    <s v="sports_leisure"/>
    <n v="64.709999999999994"/>
    <n v="23.49"/>
    <s v="credit_card"/>
    <n v="5"/>
    <s v="delivered"/>
    <d v="2018-08-01T00:00:00"/>
    <n v="17"/>
    <n v="0"/>
    <n v="1"/>
    <n v="88.199999999999989"/>
    <n v="41.414399999999993"/>
    <n v="14.093999999999999"/>
    <n v="9.2016000000000009"/>
    <s v="15-21 days"/>
  </r>
  <r>
    <s v="dbab22799ef301a6db37872300f2f636"/>
    <x v="10"/>
    <d v="2018-08-13T00:00:00"/>
    <d v="2018-09-04T00:00:00"/>
    <d v="2018-09-12T00:00:00"/>
    <s v="housewares"/>
    <n v="34.43"/>
    <n v="29.37"/>
    <s v="boleto"/>
    <n v="3"/>
    <s v="delivered"/>
    <d v="2018-08-01T00:00:00"/>
    <n v="22"/>
    <n v="0"/>
    <n v="1"/>
    <n v="63.8"/>
    <n v="21.690899999999999"/>
    <n v="17.622"/>
    <n v="-4.8828999999999994"/>
    <s v="22+ days"/>
  </r>
  <r>
    <s v="9cf5fe1644aa1ea739595bb255ab4e6d"/>
    <x v="4"/>
    <d v="2018-08-13T00:00:00"/>
    <d v="2018-08-21T00:00:00"/>
    <d v="2018-09-03T00:00:00"/>
    <s v="watches_gifts"/>
    <n v="288.97000000000003"/>
    <n v="25.72"/>
    <s v="credit_card"/>
    <n v="3"/>
    <s v="delivered"/>
    <d v="2018-08-01T00:00:00"/>
    <n v="8"/>
    <n v="0"/>
    <n v="1"/>
    <n v="314.69000000000005"/>
    <n v="190.72020000000003"/>
    <n v="15.431999999999999"/>
    <n v="82.817799999999991"/>
    <s v="8-14 days"/>
  </r>
  <r>
    <s v="a247541dc8ad0899b630794d6147adeb"/>
    <x v="0"/>
    <d v="2018-08-14T00:00:00"/>
    <d v="2018-08-19T00:00:00"/>
    <d v="2018-08-27T00:00:00"/>
    <s v="health_beauty"/>
    <n v="62.91"/>
    <n v="14.57"/>
    <s v="credit_card"/>
    <n v="5"/>
    <s v="delivered"/>
    <d v="2018-08-01T00:00:00"/>
    <n v="5"/>
    <n v="0"/>
    <n v="1"/>
    <n v="77.47999999999999"/>
    <n v="36.487799999999993"/>
    <n v="8.7419999999999991"/>
    <n v="17.680200000000006"/>
    <s v="0-7 days"/>
  </r>
  <r>
    <s v="bbfbf76c3de667f9bfc46c0eacdfe0ff"/>
    <x v="4"/>
    <d v="2018-08-14T00:00:00"/>
    <d v="2018-08-29T00:00:00"/>
    <d v="2018-09-03T00:00:00"/>
    <s v="housewares"/>
    <n v="40.19"/>
    <n v="21.26"/>
    <s v="credit_card"/>
    <n v="5"/>
    <s v="delivered"/>
    <d v="2018-08-01T00:00:00"/>
    <n v="15"/>
    <n v="0"/>
    <n v="1"/>
    <n v="61.45"/>
    <n v="25.319699999999997"/>
    <n v="12.756"/>
    <n v="2.1143000000000001"/>
    <s v="15-21 days"/>
  </r>
  <r>
    <s v="a5500af12777a40bcff716adb85f20e5"/>
    <x v="6"/>
    <d v="2018-08-14T00:00:00"/>
    <d v="2018-08-29T00:00:00"/>
    <d v="2018-09-11T00:00:00"/>
    <s v="watches_gifts"/>
    <n v="119.72"/>
    <n v="32.1"/>
    <s v="credit_card"/>
    <n v="5"/>
    <s v="delivered"/>
    <d v="2018-08-01T00:00:00"/>
    <n v="15"/>
    <n v="0"/>
    <n v="1"/>
    <n v="151.82"/>
    <n v="79.015200000000007"/>
    <n v="19.260000000000002"/>
    <n v="21.44479999999999"/>
    <s v="15-21 days"/>
  </r>
  <r>
    <s v="3aa066940610c42dc0241ac149d83188"/>
    <x v="2"/>
    <d v="2018-08-15T00:00:00"/>
    <d v="2018-09-03T00:00:00"/>
    <d v="2018-09-08T00:00:00"/>
    <s v="housewares"/>
    <n v="195.05"/>
    <n v="29.28"/>
    <s v="boleto"/>
    <n v="5"/>
    <s v="delivered"/>
    <d v="2018-08-01T00:00:00"/>
    <n v="19"/>
    <n v="0"/>
    <n v="1"/>
    <n v="224.33"/>
    <n v="122.8815"/>
    <n v="17.568000000000001"/>
    <n v="54.600500000000011"/>
    <s v="15-21 days"/>
  </r>
  <r>
    <s v="f01a50979ed0fe5fb3bc57914882f6eb"/>
    <x v="0"/>
    <d v="2018-08-15T00:00:00"/>
    <d v="2018-08-23T00:00:00"/>
    <d v="2018-08-28T00:00:00"/>
    <s v="sports_leisure"/>
    <n v="256.07"/>
    <n v="20.22"/>
    <s v="boleto"/>
    <n v="4"/>
    <s v="delivered"/>
    <d v="2018-08-01T00:00:00"/>
    <n v="8"/>
    <n v="0"/>
    <n v="1"/>
    <n v="276.28999999999996"/>
    <n v="163.88480000000001"/>
    <n v="12.132"/>
    <n v="80.053199999999975"/>
    <s v="8-14 days"/>
  </r>
  <r>
    <s v="b54c54f93c7bfe7e8b95e8ea80709d95"/>
    <x v="3"/>
    <d v="2018-08-15T00:00:00"/>
    <d v="2018-09-01T00:00:00"/>
    <d v="2018-09-08T00:00:00"/>
    <s v="watches_gifts"/>
    <n v="104.22"/>
    <n v="31.05"/>
    <s v="boleto"/>
    <n v="4"/>
    <s v="delivered"/>
    <d v="2018-08-01T00:00:00"/>
    <n v="17"/>
    <n v="0"/>
    <n v="1"/>
    <n v="135.27000000000001"/>
    <n v="68.785200000000003"/>
    <n v="18.63"/>
    <n v="16.804799999999997"/>
    <s v="15-21 days"/>
  </r>
  <r>
    <s v="05c62ffa79f61159020bf53bdfbc2770"/>
    <x v="0"/>
    <d v="2018-08-15T00:00:00"/>
    <d v="2018-08-24T00:00:00"/>
    <d v="2018-09-01T00:00:00"/>
    <s v="housewares"/>
    <n v="59.96"/>
    <n v="14.42"/>
    <s v="credit_card"/>
    <n v="5"/>
    <s v="delivered"/>
    <d v="2018-08-01T00:00:00"/>
    <n v="9"/>
    <n v="0"/>
    <n v="1"/>
    <n v="74.38"/>
    <n v="37.774799999999999"/>
    <n v="8.6519999999999992"/>
    <n v="13.533200000000003"/>
    <s v="8-14 days"/>
  </r>
  <r>
    <s v="36c87c6c77b42cd65fc487a2a61149c9"/>
    <x v="0"/>
    <d v="2018-08-15T00:00:00"/>
    <d v="2018-08-28T00:00:00"/>
    <d v="2018-08-30T00:00:00"/>
    <s v="health_beauty"/>
    <n v="60.51"/>
    <n v="15.16"/>
    <s v="credit_card"/>
    <n v="5"/>
    <s v="delivered"/>
    <d v="2018-08-01T00:00:00"/>
    <n v="13"/>
    <n v="0"/>
    <n v="1"/>
    <n v="75.67"/>
    <n v="35.095799999999997"/>
    <n v="9.0960000000000001"/>
    <n v="16.318200000000001"/>
    <s v="8-14 days"/>
  </r>
  <r>
    <s v="9bdf90f2ba2c0f19f0b2a5d18c7e6f42"/>
    <x v="0"/>
    <d v="2018-08-16T00:00:00"/>
    <d v="2018-08-25T00:00:00"/>
    <d v="2018-08-31T00:00:00"/>
    <s v="bed_bath_table"/>
    <n v="43.23"/>
    <n v="20.13"/>
    <s v="credit_card"/>
    <n v="4"/>
    <s v="delivered"/>
    <d v="2018-08-01T00:00:00"/>
    <n v="9"/>
    <n v="0"/>
    <n v="1"/>
    <n v="63.36"/>
    <n v="26.802599999999998"/>
    <n v="12.077999999999999"/>
    <n v="4.3493999999999993"/>
    <s v="8-14 days"/>
  </r>
  <r>
    <s v="bcdf83028c37e264d03cd20abaaeebf8"/>
    <x v="8"/>
    <d v="2018-08-16T00:00:00"/>
    <d v="2018-08-28T00:00:00"/>
    <d v="2018-09-09T00:00:00"/>
    <s v="health_beauty"/>
    <n v="70.37"/>
    <n v="22.29"/>
    <s v="credit_card"/>
    <n v="4"/>
    <s v="delivered"/>
    <d v="2018-08-01T00:00:00"/>
    <n v="12"/>
    <n v="0"/>
    <n v="1"/>
    <n v="92.66"/>
    <n v="40.814599999999999"/>
    <n v="13.373999999999999"/>
    <n v="16.181400000000007"/>
    <s v="8-14 days"/>
  </r>
  <r>
    <s v="ce8b76a2082f2fb980e3fe4fe4fb2a3b"/>
    <x v="1"/>
    <d v="2018-08-16T00:00:00"/>
    <d v="2018-08-26T00:00:00"/>
    <d v="2018-09-06T00:00:00"/>
    <s v="toys"/>
    <n v="77.709999999999994"/>
    <n v="27.15"/>
    <s v="credit_card"/>
    <n v="5"/>
    <s v="delivered"/>
    <d v="2018-08-01T00:00:00"/>
    <n v="10"/>
    <n v="0"/>
    <n v="1"/>
    <n v="104.85999999999999"/>
    <n v="46.625999999999998"/>
    <n v="16.29"/>
    <n v="14.793999999999997"/>
    <s v="8-14 days"/>
  </r>
  <r>
    <s v="434a184284d8ec6a7d5887a5a5548394"/>
    <x v="0"/>
    <d v="2018-08-16T00:00:00"/>
    <d v="2018-08-20T00:00:00"/>
    <d v="2018-08-30T00:00:00"/>
    <s v="watches_gifts"/>
    <n v="203.37"/>
    <n v="14.84"/>
    <s v="voucher"/>
    <n v="5"/>
    <s v="delivered"/>
    <d v="2018-08-01T00:00:00"/>
    <n v="4"/>
    <n v="0"/>
    <n v="1"/>
    <n v="218.21"/>
    <n v="134.2242"/>
    <n v="8.9039999999999999"/>
    <n v="60.241800000000012"/>
    <s v="0-7 days"/>
  </r>
  <r>
    <s v="bd1e9e72fc1b321783eb9e95d8910c36"/>
    <x v="4"/>
    <d v="2018-08-16T00:00:00"/>
    <d v="2018-08-23T00:00:00"/>
    <d v="2018-09-06T00:00:00"/>
    <s v="health_beauty"/>
    <n v="56"/>
    <n v="16.940000000000001"/>
    <s v="credit_card"/>
    <n v="3"/>
    <s v="delivered"/>
    <d v="2018-08-01T00:00:00"/>
    <n v="7"/>
    <n v="0"/>
    <n v="1"/>
    <n v="72.94"/>
    <n v="32.479999999999997"/>
    <n v="10.164"/>
    <n v="13.356000000000003"/>
    <s v="0-7 days"/>
  </r>
  <r>
    <s v="93403faddc4ad56bd6016237ac9ed156"/>
    <x v="2"/>
    <d v="2018-08-17T00:00:00"/>
    <d v="2018-09-02T00:00:00"/>
    <d v="2018-09-07T00:00:00"/>
    <s v="watches_gifts"/>
    <n v="180.51"/>
    <n v="22.54"/>
    <s v="credit_card"/>
    <n v="3"/>
    <s v="delivered"/>
    <d v="2018-08-01T00:00:00"/>
    <n v="16"/>
    <n v="0"/>
    <n v="1"/>
    <n v="203.04999999999998"/>
    <n v="119.1366"/>
    <n v="13.523999999999999"/>
    <n v="47.849399999999989"/>
    <s v="15-21 days"/>
  </r>
  <r>
    <s v="ff138c80c398c3320e500785bcaff931"/>
    <x v="0"/>
    <d v="2018-08-17T00:00:00"/>
    <d v="2018-08-23T00:00:00"/>
    <d v="2018-09-02T00:00:00"/>
    <s v="health_beauty"/>
    <n v="48.24"/>
    <n v="19.77"/>
    <s v="voucher"/>
    <n v="5"/>
    <s v="delivered"/>
    <d v="2018-08-01T00:00:00"/>
    <n v="6"/>
    <n v="0"/>
    <n v="1"/>
    <n v="68.010000000000005"/>
    <n v="27.979199999999999"/>
    <n v="11.862"/>
    <n v="8.3988000000000032"/>
    <s v="0-7 days"/>
  </r>
  <r>
    <s v="64ad19050fbc63776f1f5c6a2a112eab"/>
    <x v="7"/>
    <d v="2018-08-17T00:00:00"/>
    <d v="2018-09-04T00:00:00"/>
    <d v="2018-09-09T00:00:00"/>
    <s v="bed_bath_table"/>
    <n v="52.01"/>
    <n v="30.17"/>
    <s v="boleto"/>
    <n v="4"/>
    <s v="delivered"/>
    <d v="2018-08-01T00:00:00"/>
    <n v="18"/>
    <n v="0"/>
    <n v="1"/>
    <n v="82.18"/>
    <n v="32.246200000000002"/>
    <n v="18.102"/>
    <n v="1.6617999999999959"/>
    <s v="15-21 days"/>
  </r>
  <r>
    <s v="c3ab6793e30065bbe282338d27ae500a"/>
    <x v="3"/>
    <d v="2018-08-17T00:00:00"/>
    <d v="2018-09-21T00:00:00"/>
    <d v="2018-09-10T00:00:00"/>
    <s v="computers_accessories"/>
    <n v="85.36"/>
    <n v="23.97"/>
    <s v="credit_card"/>
    <n v="1"/>
    <s v="delivered"/>
    <d v="2018-08-01T00:00:00"/>
    <n v="35"/>
    <n v="11"/>
    <n v="0"/>
    <n v="109.33"/>
    <n v="63.166399999999996"/>
    <n v="14.382"/>
    <n v="7.8116000000000039"/>
    <s v="22+ days"/>
  </r>
  <r>
    <s v="427288fd5513a16e2c39e3ba90080708"/>
    <x v="0"/>
    <d v="2018-08-17T00:00:00"/>
    <d v="2018-08-23T00:00:00"/>
    <d v="2018-09-03T00:00:00"/>
    <s v="sports_leisure"/>
    <n v="85.87"/>
    <n v="12.74"/>
    <s v="boleto"/>
    <n v="4"/>
    <s v="delivered"/>
    <d v="2018-08-01T00:00:00"/>
    <n v="6"/>
    <n v="0"/>
    <n v="1"/>
    <n v="98.61"/>
    <n v="54.956800000000001"/>
    <n v="7.6440000000000001"/>
    <n v="23.269200000000005"/>
    <s v="0-7 days"/>
  </r>
  <r>
    <s v="14559383e4465eb17621a04369624b67"/>
    <x v="4"/>
    <d v="2018-08-17T00:00:00"/>
    <d v="2018-09-04T00:00:00"/>
    <d v="2018-09-09T00:00:00"/>
    <s v="computers_accessories"/>
    <n v="85.34"/>
    <n v="23.39"/>
    <s v="credit_card"/>
    <n v="4"/>
    <s v="delivered"/>
    <d v="2018-08-01T00:00:00"/>
    <n v="18"/>
    <n v="0"/>
    <n v="1"/>
    <n v="108.73"/>
    <n v="63.151600000000002"/>
    <n v="14.034000000000001"/>
    <n v="8.1544000000000008"/>
    <s v="15-21 days"/>
  </r>
  <r>
    <s v="23c8afdb83f82f16e4a4474c9b33e3a4"/>
    <x v="0"/>
    <d v="2018-08-18T00:00:00"/>
    <d v="2018-08-23T00:00:00"/>
    <d v="2018-09-02T00:00:00"/>
    <s v="bed_bath_table"/>
    <n v="54.63"/>
    <n v="16.39"/>
    <s v="credit_card"/>
    <n v="5"/>
    <s v="delivered"/>
    <d v="2018-08-01T00:00:00"/>
    <n v="5"/>
    <n v="0"/>
    <n v="1"/>
    <n v="71.02000000000001"/>
    <n v="33.870600000000003"/>
    <n v="9.8339999999999996"/>
    <n v="10.9254"/>
    <s v="0-7 days"/>
  </r>
  <r>
    <s v="fa84bb5ffa6e3743fef97d573c77ea4a"/>
    <x v="0"/>
    <d v="2018-08-18T00:00:00"/>
    <d v="2018-08-24T00:00:00"/>
    <d v="2018-09-01T00:00:00"/>
    <s v="bed_bath_table"/>
    <n v="58.96"/>
    <n v="18.239999999999998"/>
    <s v="credit_card"/>
    <n v="5"/>
    <s v="delivered"/>
    <d v="2018-08-01T00:00:00"/>
    <n v="6"/>
    <n v="0"/>
    <n v="1"/>
    <n v="77.2"/>
    <n v="36.555199999999999"/>
    <n v="10.943999999999999"/>
    <n v="11.460800000000003"/>
    <s v="0-7 days"/>
  </r>
  <r>
    <s v="6d8ec7578e562fbe7a9dbea0415b4add"/>
    <x v="0"/>
    <d v="2018-08-18T00:00:00"/>
    <d v="2018-08-29T00:00:00"/>
    <d v="2018-09-03T00:00:00"/>
    <s v="toys"/>
    <n v="247.11"/>
    <n v="24.73"/>
    <s v="boleto"/>
    <n v="5"/>
    <s v="delivered"/>
    <d v="2018-08-01T00:00:00"/>
    <n v="11"/>
    <n v="0"/>
    <n v="1"/>
    <n v="271.84000000000003"/>
    <n v="148.26599999999999"/>
    <n v="14.837999999999999"/>
    <n v="84.006000000000029"/>
    <s v="8-14 days"/>
  </r>
  <r>
    <s v="915fcf53d83a7dd5035d34696889bfad"/>
    <x v="0"/>
    <d v="2018-08-18T00:00:00"/>
    <d v="2018-08-23T00:00:00"/>
    <d v="2018-09-01T00:00:00"/>
    <s v="furniture_decor"/>
    <n v="52.45"/>
    <n v="14.39"/>
    <s v="credit_card"/>
    <n v="5"/>
    <s v="delivered"/>
    <d v="2018-08-01T00:00:00"/>
    <n v="5"/>
    <n v="0"/>
    <n v="1"/>
    <n v="66.84"/>
    <n v="36.714999999999996"/>
    <n v="8.6340000000000003"/>
    <n v="7.1010000000000062"/>
    <s v="0-7 days"/>
  </r>
  <r>
    <s v="1927e3d444081f94b632b54af1984c95"/>
    <x v="0"/>
    <d v="2018-08-18T00:00:00"/>
    <d v="2018-08-24T00:00:00"/>
    <d v="2018-09-01T00:00:00"/>
    <s v="furniture_decor"/>
    <n v="178.67"/>
    <n v="21.82"/>
    <s v="credit_card"/>
    <n v="5"/>
    <s v="delivered"/>
    <d v="2018-08-01T00:00:00"/>
    <n v="6"/>
    <n v="0"/>
    <n v="1"/>
    <n v="200.48999999999998"/>
    <n v="125.06899999999999"/>
    <n v="13.092000000000001"/>
    <n v="40.509"/>
    <s v="0-7 days"/>
  </r>
  <r>
    <s v="377803943700e36338bb7df49a28538b"/>
    <x v="2"/>
    <d v="2018-08-18T00:00:00"/>
    <d v="2018-09-16T00:00:00"/>
    <d v="2018-09-11T00:00:00"/>
    <s v="computers_accessories"/>
    <n v="178.53"/>
    <n v="23.8"/>
    <s v="credit_card"/>
    <n v="1"/>
    <s v="delivered"/>
    <d v="2018-08-01T00:00:00"/>
    <n v="29"/>
    <n v="5"/>
    <n v="0"/>
    <n v="202.33"/>
    <n v="132.1122"/>
    <n v="14.28"/>
    <n v="32.137799999999999"/>
    <s v="22+ days"/>
  </r>
  <r>
    <s v="3f64e5eebccd9b8c8508df9160aeb372"/>
    <x v="1"/>
    <d v="2018-08-19T00:00:00"/>
    <d v="2018-09-12T00:00:00"/>
    <d v="2018-09-09T00:00:00"/>
    <s v="watches_gifts"/>
    <n v="333.34"/>
    <n v="22.63"/>
    <s v="credit_card"/>
    <n v="3"/>
    <s v="delivered"/>
    <d v="2018-08-01T00:00:00"/>
    <n v="24"/>
    <n v="3"/>
    <n v="0"/>
    <n v="355.96999999999997"/>
    <n v="220.0044"/>
    <n v="13.577999999999999"/>
    <n v="99.757599999999968"/>
    <s v="22+ days"/>
  </r>
  <r>
    <s v="0d0b6920dd460c9117478b5c331bd602"/>
    <x v="0"/>
    <d v="2018-08-19T00:00:00"/>
    <d v="2018-08-28T00:00:00"/>
    <d v="2018-09-05T00:00:00"/>
    <s v="health_beauty"/>
    <n v="57.96"/>
    <n v="11.84"/>
    <s v="credit_card"/>
    <n v="5"/>
    <s v="delivered"/>
    <d v="2018-08-01T00:00:00"/>
    <n v="9"/>
    <n v="0"/>
    <n v="1"/>
    <n v="69.8"/>
    <n v="33.616799999999998"/>
    <n v="7.1040000000000001"/>
    <n v="17.239200000000004"/>
    <s v="8-14 days"/>
  </r>
  <r>
    <s v="dbb464a3cec79642a13a9da294e7eb2a"/>
    <x v="6"/>
    <d v="2018-08-19T00:00:00"/>
    <d v="2018-09-03T00:00:00"/>
    <d v="2018-09-20T00:00:00"/>
    <s v="computers_accessories"/>
    <n v="153.29"/>
    <n v="28.82"/>
    <s v="boleto"/>
    <n v="3"/>
    <s v="delivered"/>
    <d v="2018-08-01T00:00:00"/>
    <n v="15"/>
    <n v="0"/>
    <n v="1"/>
    <n v="182.10999999999999"/>
    <n v="113.43459999999999"/>
    <n v="17.291999999999998"/>
    <n v="22.563400000000005"/>
    <s v="15-21 days"/>
  </r>
  <r>
    <s v="ca7cd927ef5e0d74fe2e7c0f1c68a614"/>
    <x v="10"/>
    <d v="2018-08-19T00:00:00"/>
    <d v="2018-09-06T00:00:00"/>
    <d v="2018-09-22T00:00:00"/>
    <s v="health_beauty"/>
    <n v="134.63"/>
    <n v="46.97"/>
    <s v="voucher"/>
    <n v="5"/>
    <s v="delivered"/>
    <d v="2018-08-01T00:00:00"/>
    <n v="18"/>
    <n v="0"/>
    <n v="1"/>
    <n v="181.6"/>
    <n v="78.085399999999993"/>
    <n v="28.181999999999999"/>
    <n v="28.362600000000004"/>
    <s v="15-21 days"/>
  </r>
  <r>
    <s v="476a3991aebef7a28521e25e96fbcb7e"/>
    <x v="3"/>
    <d v="2018-08-19T00:00:00"/>
    <d v="2018-09-09T00:00:00"/>
    <d v="2018-09-13T00:00:00"/>
    <s v="watches_gifts"/>
    <n v="147.30000000000001"/>
    <n v="29.93"/>
    <s v="boleto"/>
    <n v="3"/>
    <s v="delivered"/>
    <d v="2018-08-01T00:00:00"/>
    <n v="21"/>
    <n v="0"/>
    <n v="1"/>
    <n v="177.23000000000002"/>
    <n v="97.218000000000018"/>
    <n v="17.957999999999998"/>
    <n v="32.123999999999995"/>
    <s v="15-21 days"/>
  </r>
  <r>
    <s v="f5020e2a7ecfc2269a9a9f1b8345d6d3"/>
    <x v="0"/>
    <d v="2018-08-19T00:00:00"/>
    <d v="2018-08-30T00:00:00"/>
    <d v="2018-09-04T00:00:00"/>
    <s v="health_beauty"/>
    <n v="69.2"/>
    <n v="13.36"/>
    <s v="credit_card"/>
    <n v="4"/>
    <s v="delivered"/>
    <d v="2018-08-01T00:00:00"/>
    <n v="11"/>
    <n v="0"/>
    <n v="1"/>
    <n v="82.56"/>
    <n v="40.135999999999996"/>
    <n v="8.016"/>
    <n v="21.048000000000009"/>
    <s v="8-14 days"/>
  </r>
  <r>
    <s v="d7b42669d42cef0517fc87fdaaa54056"/>
    <x v="3"/>
    <d v="2018-08-19T00:00:00"/>
    <d v="2018-08-23T00:00:00"/>
    <d v="2018-09-12T00:00:00"/>
    <s v="bed_bath_table"/>
    <n v="72.36"/>
    <n v="20.85"/>
    <s v="credit_card"/>
    <n v="5"/>
    <s v="delivered"/>
    <d v="2018-08-01T00:00:00"/>
    <n v="4"/>
    <n v="0"/>
    <n v="1"/>
    <n v="93.210000000000008"/>
    <n v="44.863199999999999"/>
    <n v="12.51"/>
    <n v="14.986800000000001"/>
    <s v="0-7 days"/>
  </r>
  <r>
    <s v="438806fe68f06068e087e25945071307"/>
    <x v="0"/>
    <d v="2018-08-19T00:00:00"/>
    <d v="2018-08-24T00:00:00"/>
    <d v="2018-09-06T00:00:00"/>
    <s v="health_beauty"/>
    <n v="90.32"/>
    <n v="18.34"/>
    <s v="credit_card"/>
    <n v="3"/>
    <s v="delivered"/>
    <d v="2018-08-01T00:00:00"/>
    <n v="5"/>
    <n v="0"/>
    <n v="1"/>
    <n v="108.66"/>
    <n v="52.38559999999999"/>
    <n v="11.004"/>
    <n v="26.930400000000006"/>
    <s v="0-7 days"/>
  </r>
  <r>
    <s v="2a9a762526d5db2f74b6f65aca4dbfd6"/>
    <x v="0"/>
    <d v="2018-08-19T00:00:00"/>
    <d v="2018-08-27T00:00:00"/>
    <d v="2018-09-02T00:00:00"/>
    <s v="housewares"/>
    <n v="63.88"/>
    <n v="17.149999999999999"/>
    <s v="credit_card"/>
    <n v="5"/>
    <s v="delivered"/>
    <d v="2018-08-01T00:00:00"/>
    <n v="8"/>
    <n v="0"/>
    <n v="1"/>
    <n v="81.03"/>
    <n v="40.244399999999999"/>
    <n v="10.29"/>
    <n v="13.345600000000005"/>
    <s v="8-14 days"/>
  </r>
  <r>
    <s v="c4e775b92dca365a2504fd28de6ae459"/>
    <x v="2"/>
    <d v="2018-08-20T00:00:00"/>
    <d v="2018-09-13T00:00:00"/>
    <d v="2018-09-11T00:00:00"/>
    <s v="toys"/>
    <n v="107.43"/>
    <n v="19.86"/>
    <s v="credit_card"/>
    <n v="4"/>
    <s v="delivered"/>
    <d v="2018-08-01T00:00:00"/>
    <n v="24"/>
    <n v="2"/>
    <n v="0"/>
    <n v="127.29"/>
    <n v="64.457999999999998"/>
    <n v="11.915999999999999"/>
    <n v="31.056000000000012"/>
    <s v="22+ days"/>
  </r>
  <r>
    <s v="00828826309a11ec706eb43a89e23a88"/>
    <x v="0"/>
    <d v="2018-08-20T00:00:00"/>
    <d v="2018-08-29T00:00:00"/>
    <d v="2018-09-03T00:00:00"/>
    <s v="auto"/>
    <n v="109.9"/>
    <n v="16.27"/>
    <s v="credit_card"/>
    <n v="5"/>
    <s v="delivered"/>
    <d v="2018-08-01T00:00:00"/>
    <n v="9"/>
    <n v="0"/>
    <n v="1"/>
    <n v="126.17"/>
    <n v="74.732000000000014"/>
    <n v="9.7619999999999987"/>
    <n v="25.405999999999992"/>
    <s v="8-14 days"/>
  </r>
  <r>
    <s v="b2f4f8d562f87a477ac15877aaeadea2"/>
    <x v="2"/>
    <d v="2018-08-20T00:00:00"/>
    <d v="2018-09-01T00:00:00"/>
    <d v="2018-09-13T00:00:00"/>
    <s v="computers_accessories"/>
    <n v="40.9"/>
    <n v="29.12"/>
    <s v="boleto"/>
    <n v="4"/>
    <s v="delivered"/>
    <d v="2018-08-01T00:00:00"/>
    <n v="12"/>
    <n v="0"/>
    <n v="1"/>
    <n v="70.02"/>
    <n v="30.265999999999998"/>
    <n v="17.472000000000001"/>
    <n v="-6.838000000000001"/>
    <s v="8-14 days"/>
  </r>
  <r>
    <s v="c9d91a56a28b2e14450732a850924b7f"/>
    <x v="0"/>
    <d v="2018-08-20T00:00:00"/>
    <d v="2018-09-01T00:00:00"/>
    <d v="2018-09-04T00:00:00"/>
    <s v="toys"/>
    <n v="80.56"/>
    <n v="22.32"/>
    <s v="boleto"/>
    <n v="4"/>
    <s v="delivered"/>
    <d v="2018-08-01T00:00:00"/>
    <n v="12"/>
    <n v="0"/>
    <n v="1"/>
    <n v="102.88"/>
    <n v="48.335999999999999"/>
    <n v="13.391999999999999"/>
    <n v="18.832000000000004"/>
    <s v="8-14 days"/>
  </r>
  <r>
    <s v="a1bde1ac83d2863ef5736bb82c762354"/>
    <x v="9"/>
    <d v="2018-08-20T00:00:00"/>
    <d v="2018-09-08T00:00:00"/>
    <d v="2018-09-12T00:00:00"/>
    <s v="housewares"/>
    <n v="149.5"/>
    <n v="31.93"/>
    <s v="credit_card"/>
    <n v="5"/>
    <s v="delivered"/>
    <d v="2018-08-01T00:00:00"/>
    <n v="19"/>
    <n v="0"/>
    <n v="1"/>
    <n v="181.43"/>
    <n v="94.185000000000002"/>
    <n v="19.157999999999998"/>
    <n v="36.156999999999996"/>
    <s v="15-21 days"/>
  </r>
  <r>
    <s v="76c5a0dc7e7e7419a0c14035c5d95f51"/>
    <x v="0"/>
    <d v="2018-08-21T00:00:00"/>
    <d v="2018-08-31T00:00:00"/>
    <d v="2018-09-06T00:00:00"/>
    <s v="computers_accessories"/>
    <n v="224.24"/>
    <n v="16.84"/>
    <s v="boleto"/>
    <n v="5"/>
    <s v="delivered"/>
    <d v="2018-08-01T00:00:00"/>
    <n v="10"/>
    <n v="0"/>
    <n v="1"/>
    <n v="241.08"/>
    <n v="165.9376"/>
    <n v="10.103999999999999"/>
    <n v="48.198400000000007"/>
    <s v="8-14 days"/>
  </r>
  <r>
    <s v="8c1c8b0556771f3648998e5fd40e53ce"/>
    <x v="0"/>
    <d v="2018-08-21T00:00:00"/>
    <d v="2018-08-30T00:00:00"/>
    <d v="2018-09-08T00:00:00"/>
    <s v="health_beauty"/>
    <n v="74.87"/>
    <n v="14.82"/>
    <s v="credit_card"/>
    <n v="5"/>
    <s v="delivered"/>
    <d v="2018-08-01T00:00:00"/>
    <n v="9"/>
    <n v="0"/>
    <n v="1"/>
    <n v="89.69"/>
    <n v="43.424599999999998"/>
    <n v="8.8919999999999995"/>
    <n v="22.553400000000007"/>
    <s v="8-14 days"/>
  </r>
  <r>
    <s v="b0416f19bbe718354e8bf78a60ddc7f1"/>
    <x v="1"/>
    <d v="2018-08-21T00:00:00"/>
    <d v="2018-08-29T00:00:00"/>
    <d v="2018-09-07T00:00:00"/>
    <s v="computers_accessories"/>
    <n v="82.22"/>
    <n v="27.05"/>
    <s v="credit_card"/>
    <n v="4"/>
    <s v="delivered"/>
    <d v="2018-08-01T00:00:00"/>
    <n v="8"/>
    <n v="0"/>
    <n v="1"/>
    <n v="109.27"/>
    <n v="60.842799999999997"/>
    <n v="16.23"/>
    <n v="5.1472000000000016"/>
    <s v="8-14 days"/>
  </r>
  <r>
    <s v="0eecc013b55beaaacb53f0be5e7b4866"/>
    <x v="0"/>
    <d v="2018-08-21T00:00:00"/>
    <d v="2018-08-29T00:00:00"/>
    <d v="2018-09-09T00:00:00"/>
    <s v="bed_bath_table"/>
    <n v="178.83"/>
    <n v="18.440000000000001"/>
    <s v="boleto"/>
    <n v="5"/>
    <s v="delivered"/>
    <d v="2018-08-01T00:00:00"/>
    <n v="8"/>
    <n v="0"/>
    <n v="1"/>
    <n v="197.27"/>
    <n v="110.8746"/>
    <n v="11.064"/>
    <n v="56.891400000000012"/>
    <s v="8-14 days"/>
  </r>
  <r>
    <s v="a01d9aeb52060f1c630bf0db1454578f"/>
    <x v="10"/>
    <d v="2018-08-21T00:00:00"/>
    <d v="2018-09-15T00:00:00"/>
    <d v="2018-09-22T00:00:00"/>
    <s v="bed_bath_table"/>
    <n v="121.33"/>
    <n v="26.68"/>
    <s v="credit_card"/>
    <n v="4"/>
    <s v="delivered"/>
    <d v="2018-08-01T00:00:00"/>
    <n v="25"/>
    <n v="0"/>
    <n v="1"/>
    <n v="148.01"/>
    <n v="75.224599999999995"/>
    <n v="16.007999999999999"/>
    <n v="30.097400000000004"/>
    <s v="22+ days"/>
  </r>
  <r>
    <s v="1bc471612ff79a573183eab07b2413e8"/>
    <x v="9"/>
    <d v="2018-08-21T00:00:00"/>
    <d v="2018-09-05T00:00:00"/>
    <d v="2018-09-15T00:00:00"/>
    <s v="housewares"/>
    <n v="125.69"/>
    <n v="24.11"/>
    <s v="credit_card"/>
    <n v="4"/>
    <s v="delivered"/>
    <d v="2018-08-01T00:00:00"/>
    <n v="15"/>
    <n v="0"/>
    <n v="1"/>
    <n v="149.80000000000001"/>
    <n v="79.184699999999992"/>
    <n v="14.465999999999999"/>
    <n v="32.039300000000004"/>
    <s v="15-21 days"/>
  </r>
  <r>
    <s v="0ee503e3298d4c456407675048107252"/>
    <x v="6"/>
    <d v="2018-08-21T00:00:00"/>
    <d v="2018-09-08T00:00:00"/>
    <d v="2018-09-20T00:00:00"/>
    <s v="health_beauty"/>
    <n v="31.36"/>
    <n v="29.91"/>
    <s v="credit_card"/>
    <n v="4"/>
    <s v="delivered"/>
    <d v="2018-08-01T00:00:00"/>
    <n v="18"/>
    <n v="0"/>
    <n v="1"/>
    <n v="61.269999999999996"/>
    <n v="18.188799999999997"/>
    <n v="17.945999999999998"/>
    <n v="-4.7747999999999955"/>
    <s v="15-21 days"/>
  </r>
  <r>
    <s v="c04cf6e6cf6d28c3f661cfdb7537fb16"/>
    <x v="0"/>
    <d v="2018-08-21T00:00:00"/>
    <d v="2018-08-26T00:00:00"/>
    <d v="2018-09-03T00:00:00"/>
    <s v="watches_gifts"/>
    <n v="102.25"/>
    <n v="18.27"/>
    <s v="boleto"/>
    <n v="5"/>
    <s v="delivered"/>
    <d v="2018-08-01T00:00:00"/>
    <n v="5"/>
    <n v="0"/>
    <n v="1"/>
    <n v="120.52"/>
    <n v="67.484999999999999"/>
    <n v="10.962"/>
    <n v="23.803000000000001"/>
    <s v="0-7 days"/>
  </r>
  <r>
    <s v="0c9f82ada7f57ee05f2090333608428a"/>
    <x v="8"/>
    <d v="2018-08-21T00:00:00"/>
    <d v="2018-09-09T00:00:00"/>
    <d v="2018-09-15T00:00:00"/>
    <s v="sports_leisure"/>
    <n v="218.8"/>
    <n v="33.67"/>
    <s v="boleto"/>
    <n v="4"/>
    <s v="delivered"/>
    <d v="2018-08-01T00:00:00"/>
    <n v="19"/>
    <n v="0"/>
    <n v="1"/>
    <n v="252.47000000000003"/>
    <n v="140.03200000000001"/>
    <n v="20.202000000000002"/>
    <n v="58.566000000000003"/>
    <s v="15-21 days"/>
  </r>
  <r>
    <s v="fe4cb3d1c2980d476902ad0571ae55b1"/>
    <x v="0"/>
    <d v="2018-08-21T00:00:00"/>
    <d v="2018-09-08T00:00:00"/>
    <d v="2018-09-06T00:00:00"/>
    <s v="sports_leisure"/>
    <n v="92.57"/>
    <n v="14.95"/>
    <s v="credit_card"/>
    <n v="2"/>
    <s v="delivered"/>
    <d v="2018-08-01T00:00:00"/>
    <n v="18"/>
    <n v="2"/>
    <n v="0"/>
    <n v="107.52"/>
    <n v="59.244799999999998"/>
    <n v="8.9699999999999989"/>
    <n v="24.355199999999996"/>
    <s v="15-21 days"/>
  </r>
  <r>
    <s v="7ba13fe95ab5cea8b2f1c6db6b405218"/>
    <x v="0"/>
    <d v="2018-08-21T00:00:00"/>
    <d v="2018-08-26T00:00:00"/>
    <d v="2018-09-05T00:00:00"/>
    <s v="sports_leisure"/>
    <n v="49.61"/>
    <n v="17.809999999999999"/>
    <s v="credit_card"/>
    <n v="5"/>
    <s v="delivered"/>
    <d v="2018-08-01T00:00:00"/>
    <n v="5"/>
    <n v="0"/>
    <n v="1"/>
    <n v="67.42"/>
    <n v="31.750399999999999"/>
    <n v="10.685999999999998"/>
    <n v="7.1736000000000022"/>
    <s v="0-7 days"/>
  </r>
  <r>
    <s v="b83cfe0be037e5edb8db0672f42d47cc"/>
    <x v="3"/>
    <d v="2018-08-22T00:00:00"/>
    <d v="2018-09-15T00:00:00"/>
    <d v="2018-09-14T00:00:00"/>
    <s v="computers_accessories"/>
    <n v="52.89"/>
    <n v="22.43"/>
    <s v="credit_card"/>
    <n v="3"/>
    <s v="delivered"/>
    <d v="2018-08-01T00:00:00"/>
    <n v="24"/>
    <n v="1"/>
    <n v="0"/>
    <n v="75.319999999999993"/>
    <n v="39.138599999999997"/>
    <n v="13.458"/>
    <n v="0.29340000000000366"/>
    <s v="22+ days"/>
  </r>
  <r>
    <s v="51b3ccf588433a3846d28109495c7ac8"/>
    <x v="0"/>
    <d v="2018-08-22T00:00:00"/>
    <d v="2018-08-25T00:00:00"/>
    <d v="2018-09-09T00:00:00"/>
    <s v="housewares"/>
    <n v="86.99"/>
    <n v="14.35"/>
    <s v="boleto"/>
    <n v="5"/>
    <s v="delivered"/>
    <d v="2018-08-01T00:00:00"/>
    <n v="3"/>
    <n v="0"/>
    <n v="1"/>
    <n v="101.33999999999999"/>
    <n v="54.803699999999999"/>
    <n v="8.61"/>
    <n v="23.576299999999996"/>
    <s v="0-7 days"/>
  </r>
  <r>
    <s v="90e9e294a5dd2836e65fa9fac38c2eaf"/>
    <x v="0"/>
    <d v="2018-08-22T00:00:00"/>
    <d v="2018-09-02T00:00:00"/>
    <d v="2018-09-06T00:00:00"/>
    <s v="auto"/>
    <n v="37.07"/>
    <n v="15.19"/>
    <s v="boleto"/>
    <n v="4"/>
    <s v="delivered"/>
    <d v="2018-08-01T00:00:00"/>
    <n v="11"/>
    <n v="0"/>
    <n v="1"/>
    <n v="52.26"/>
    <n v="25.207600000000003"/>
    <n v="9.113999999999999"/>
    <n v="2.7483999999999984"/>
    <s v="8-14 days"/>
  </r>
  <r>
    <s v="ee1595cf35a37765bfacc63e44de950f"/>
    <x v="0"/>
    <d v="2018-08-22T00:00:00"/>
    <d v="2018-09-06T00:00:00"/>
    <d v="2018-09-06T00:00:00"/>
    <s v="toys"/>
    <n v="114.25"/>
    <n v="21.33"/>
    <s v="boleto"/>
    <n v="3"/>
    <s v="delivered"/>
    <d v="2018-08-01T00:00:00"/>
    <n v="15"/>
    <n v="0"/>
    <n v="1"/>
    <n v="135.57999999999998"/>
    <n v="68.55"/>
    <n v="12.797999999999998"/>
    <n v="32.902000000000001"/>
    <s v="15-21 days"/>
  </r>
  <r>
    <s v="de7721561f76043f9a16b8530692fe02"/>
    <x v="8"/>
    <d v="2018-08-22T00:00:00"/>
    <d v="2018-09-03T00:00:00"/>
    <d v="2018-09-18T00:00:00"/>
    <s v="housewares"/>
    <n v="46.17"/>
    <n v="29.22"/>
    <s v="credit_card"/>
    <n v="4"/>
    <s v="delivered"/>
    <d v="2018-08-01T00:00:00"/>
    <n v="12"/>
    <n v="0"/>
    <n v="1"/>
    <n v="75.39"/>
    <n v="29.0871"/>
    <n v="17.532"/>
    <n v="-0.44909999999999783"/>
    <s v="8-14 days"/>
  </r>
  <r>
    <s v="16f0c19ca894b11eabb558e1cb9a6ed5"/>
    <x v="0"/>
    <d v="2018-08-22T00:00:00"/>
    <d v="2018-08-31T00:00:00"/>
    <d v="2018-09-08T00:00:00"/>
    <s v="furniture_decor"/>
    <n v="125.31"/>
    <n v="20.27"/>
    <s v="boleto"/>
    <n v="5"/>
    <s v="delivered"/>
    <d v="2018-08-01T00:00:00"/>
    <n v="9"/>
    <n v="0"/>
    <n v="1"/>
    <n v="145.58000000000001"/>
    <n v="87.716999999999999"/>
    <n v="12.161999999999999"/>
    <n v="25.431000000000004"/>
    <s v="8-14 days"/>
  </r>
  <r>
    <s v="5a71504b8380d39722212e52d6e38103"/>
    <x v="11"/>
    <d v="2018-08-22T00:00:00"/>
    <d v="2018-09-16T00:00:00"/>
    <d v="2018-09-26T00:00:00"/>
    <s v="toys"/>
    <n v="83.82"/>
    <n v="27.26"/>
    <s v="voucher"/>
    <n v="4"/>
    <s v="delivered"/>
    <d v="2018-08-01T00:00:00"/>
    <n v="25"/>
    <n v="0"/>
    <n v="1"/>
    <n v="111.08"/>
    <n v="50.291999999999994"/>
    <n v="16.356000000000002"/>
    <n v="17.171999999999997"/>
    <s v="22+ days"/>
  </r>
  <r>
    <s v="138bfe045dd0e7a4eb2e2b86341c3b08"/>
    <x v="0"/>
    <d v="2018-08-22T00:00:00"/>
    <d v="2018-09-11T00:00:00"/>
    <d v="2018-09-02T00:00:00"/>
    <s v="toys"/>
    <n v="79.69"/>
    <n v="13.04"/>
    <s v="credit_card"/>
    <n v="4"/>
    <s v="delivered"/>
    <d v="2018-08-01T00:00:00"/>
    <n v="20"/>
    <n v="9"/>
    <n v="0"/>
    <n v="92.72999999999999"/>
    <n v="47.814"/>
    <n v="7.823999999999999"/>
    <n v="24.052"/>
    <s v="15-21 days"/>
  </r>
  <r>
    <s v="26a4850d1a6b88d2cad75ebe91694fbb"/>
    <x v="3"/>
    <d v="2018-08-23T00:00:00"/>
    <d v="2018-09-04T00:00:00"/>
    <d v="2018-09-20T00:00:00"/>
    <s v="watches_gifts"/>
    <n v="151.52000000000001"/>
    <n v="21.19"/>
    <s v="voucher"/>
    <n v="4"/>
    <s v="delivered"/>
    <d v="2018-08-01T00:00:00"/>
    <n v="12"/>
    <n v="0"/>
    <n v="1"/>
    <n v="172.71"/>
    <n v="100.00320000000001"/>
    <n v="12.714"/>
    <n v="38.802800000000005"/>
    <s v="8-14 days"/>
  </r>
  <r>
    <s v="36eff2015656b5f91c6a16e051cb3f06"/>
    <x v="8"/>
    <d v="2018-08-23T00:00:00"/>
    <d v="2018-09-08T00:00:00"/>
    <d v="2018-09-18T00:00:00"/>
    <s v="toys"/>
    <n v="202.48"/>
    <n v="19.5"/>
    <s v="boleto"/>
    <n v="3"/>
    <s v="delivered"/>
    <d v="2018-08-01T00:00:00"/>
    <n v="16"/>
    <n v="0"/>
    <n v="1"/>
    <n v="221.98"/>
    <n v="121.48799999999999"/>
    <n v="11.7"/>
    <n v="69.292000000000002"/>
    <s v="15-21 days"/>
  </r>
  <r>
    <s v="fbff1829aea3798b00bd204e32714f01"/>
    <x v="0"/>
    <d v="2018-08-23T00:00:00"/>
    <d v="2018-09-03T00:00:00"/>
    <d v="2018-09-07T00:00:00"/>
    <s v="housewares"/>
    <n v="62.62"/>
    <n v="14.41"/>
    <s v="boleto"/>
    <n v="4"/>
    <s v="delivered"/>
    <d v="2018-08-01T00:00:00"/>
    <n v="11"/>
    <n v="0"/>
    <n v="1"/>
    <n v="77.03"/>
    <n v="39.450600000000001"/>
    <n v="8.645999999999999"/>
    <n v="14.523399999999997"/>
    <s v="8-14 days"/>
  </r>
  <r>
    <s v="f01919d0bc72873246e53c2963ce0666"/>
    <x v="0"/>
    <d v="2018-08-23T00:00:00"/>
    <d v="2018-08-30T00:00:00"/>
    <d v="2018-09-10T00:00:00"/>
    <s v="watches_gifts"/>
    <n v="112.46"/>
    <n v="19.579999999999998"/>
    <s v="credit_card"/>
    <n v="5"/>
    <s v="delivered"/>
    <d v="2018-08-01T00:00:00"/>
    <n v="7"/>
    <n v="0"/>
    <n v="1"/>
    <n v="132.04"/>
    <n v="74.223600000000005"/>
    <n v="11.747999999999999"/>
    <n v="26.488399999999992"/>
    <s v="0-7 days"/>
  </r>
  <r>
    <s v="5cacd5a685fad950636ba8a3e50ef872"/>
    <x v="0"/>
    <d v="2018-08-23T00:00:00"/>
    <d v="2018-08-28T00:00:00"/>
    <d v="2018-09-09T00:00:00"/>
    <s v="toys"/>
    <n v="57.48"/>
    <n v="16.579999999999998"/>
    <s v="credit_card"/>
    <n v="4"/>
    <s v="delivered"/>
    <d v="2018-08-01T00:00:00"/>
    <n v="5"/>
    <n v="0"/>
    <n v="1"/>
    <n v="74.06"/>
    <n v="34.488"/>
    <n v="9.9479999999999986"/>
    <n v="13.043999999999999"/>
    <s v="0-7 days"/>
  </r>
  <r>
    <s v="622ecdaf5a0763a1449aa2841415c20e"/>
    <x v="4"/>
    <d v="2018-08-23T00:00:00"/>
    <d v="2018-09-06T00:00:00"/>
    <d v="2018-09-11T00:00:00"/>
    <s v="health_beauty"/>
    <n v="230.4"/>
    <n v="26.91"/>
    <s v="credit_card"/>
    <n v="5"/>
    <s v="delivered"/>
    <d v="2018-08-01T00:00:00"/>
    <n v="14"/>
    <n v="0"/>
    <n v="1"/>
    <n v="257.31"/>
    <n v="133.63200000000001"/>
    <n v="16.146000000000001"/>
    <n v="80.622"/>
    <s v="8-14 days"/>
  </r>
  <r>
    <s v="818edbdfb4c0b8dee9f502a099472966"/>
    <x v="9"/>
    <d v="2018-08-23T00:00:00"/>
    <d v="2018-09-18T00:00:00"/>
    <d v="2018-09-16T00:00:00"/>
    <s v="watches_gifts"/>
    <n v="364.53"/>
    <n v="24.64"/>
    <s v="credit_card"/>
    <n v="1"/>
    <s v="delivered"/>
    <d v="2018-08-01T00:00:00"/>
    <n v="26"/>
    <n v="2"/>
    <n v="0"/>
    <n v="389.16999999999996"/>
    <n v="240.5898"/>
    <n v="14.783999999999999"/>
    <n v="109.15619999999998"/>
    <s v="22+ days"/>
  </r>
  <r>
    <s v="9c68253fa654b58b3aecf60f341fe701"/>
    <x v="3"/>
    <d v="2018-08-23T00:00:00"/>
    <d v="2018-09-12T00:00:00"/>
    <d v="2018-09-18T00:00:00"/>
    <s v="toys"/>
    <n v="42.31"/>
    <n v="22.29"/>
    <s v="credit_card"/>
    <n v="4"/>
    <s v="delivered"/>
    <d v="2018-08-01T00:00:00"/>
    <n v="20"/>
    <n v="0"/>
    <n v="1"/>
    <n v="64.599999999999994"/>
    <n v="25.385999999999999"/>
    <n v="13.373999999999999"/>
    <n v="3.5500000000000043"/>
    <s v="15-21 days"/>
  </r>
  <r>
    <s v="d20eac174e20fd1a598336e375d66ed4"/>
    <x v="6"/>
    <d v="2018-08-24T00:00:00"/>
    <d v="2018-09-18T00:00:00"/>
    <d v="2018-09-23T00:00:00"/>
    <s v="toys"/>
    <n v="119.56"/>
    <n v="39.270000000000003"/>
    <s v="boleto"/>
    <n v="4"/>
    <s v="delivered"/>
    <d v="2018-08-01T00:00:00"/>
    <n v="25"/>
    <n v="0"/>
    <n v="1"/>
    <n v="158.83000000000001"/>
    <n v="71.736000000000004"/>
    <n v="23.562000000000001"/>
    <n v="24.261999999999997"/>
    <s v="22+ days"/>
  </r>
  <r>
    <s v="aab97e494f2d479681d2c7de4ce1eb90"/>
    <x v="4"/>
    <d v="2018-08-24T00:00:00"/>
    <d v="2018-09-07T00:00:00"/>
    <d v="2018-09-16T00:00:00"/>
    <s v="sports_leisure"/>
    <n v="26.94"/>
    <n v="24.62"/>
    <s v="credit_card"/>
    <n v="5"/>
    <s v="delivered"/>
    <d v="2018-08-01T00:00:00"/>
    <n v="14"/>
    <n v="0"/>
    <n v="1"/>
    <n v="51.56"/>
    <n v="17.241600000000002"/>
    <n v="14.772"/>
    <n v="-5.0736000000000008"/>
    <s v="8-14 days"/>
  </r>
  <r>
    <s v="0a398bf727a158a0efffa2f4b5ae329d"/>
    <x v="0"/>
    <d v="2018-08-24T00:00:00"/>
    <d v="2018-09-01T00:00:00"/>
    <d v="2018-09-06T00:00:00"/>
    <s v="bed_bath_table"/>
    <n v="81.97"/>
    <n v="15.61"/>
    <s v="credit_card"/>
    <n v="5"/>
    <s v="delivered"/>
    <d v="2018-08-01T00:00:00"/>
    <n v="8"/>
    <n v="0"/>
    <n v="1"/>
    <n v="97.58"/>
    <n v="50.821399999999997"/>
    <n v="9.3659999999999997"/>
    <n v="21.782600000000002"/>
    <s v="8-14 days"/>
  </r>
  <r>
    <s v="045fea04d2d07acf7f1e6dcc955d8f95"/>
    <x v="0"/>
    <d v="2018-08-24T00:00:00"/>
    <d v="2018-08-30T00:00:00"/>
    <d v="2018-09-10T00:00:00"/>
    <s v="bed_bath_table"/>
    <n v="81.39"/>
    <n v="20.309999999999999"/>
    <s v="boleto"/>
    <n v="3"/>
    <s v="delivered"/>
    <d v="2018-08-01T00:00:00"/>
    <n v="6"/>
    <n v="0"/>
    <n v="1"/>
    <n v="101.7"/>
    <n v="50.461799999999997"/>
    <n v="12.185999999999998"/>
    <n v="18.742200000000004"/>
    <s v="0-7 days"/>
  </r>
  <r>
    <s v="de8e2646477ab8874ae3ba943020366c"/>
    <x v="4"/>
    <d v="2018-08-24T00:00:00"/>
    <d v="2018-08-29T00:00:00"/>
    <d v="2018-09-14T00:00:00"/>
    <s v="furniture_decor"/>
    <n v="161.01"/>
    <n v="26.82"/>
    <s v="credit_card"/>
    <n v="4"/>
    <s v="delivered"/>
    <d v="2018-08-01T00:00:00"/>
    <n v="5"/>
    <n v="0"/>
    <n v="1"/>
    <n v="187.82999999999998"/>
    <n v="112.70699999999998"/>
    <n v="16.091999999999999"/>
    <n v="32.211000000000013"/>
    <s v="0-7 days"/>
  </r>
  <r>
    <s v="8ca0a958e0005105417d4986aeefc38e"/>
    <x v="0"/>
    <d v="2018-08-24T00:00:00"/>
    <d v="2018-09-04T00:00:00"/>
    <d v="2018-09-08T00:00:00"/>
    <s v="housewares"/>
    <n v="106.14"/>
    <n v="15.65"/>
    <s v="credit_card"/>
    <n v="2"/>
    <s v="delivered"/>
    <d v="2018-08-01T00:00:00"/>
    <n v="11"/>
    <n v="0"/>
    <n v="1"/>
    <n v="121.79"/>
    <n v="66.868200000000002"/>
    <n v="9.39"/>
    <n v="29.881799999999998"/>
    <s v="8-14 days"/>
  </r>
  <r>
    <s v="f90fb6e4e15052f351958000c3f38c8c"/>
    <x v="0"/>
    <d v="2018-08-25T00:00:00"/>
    <d v="2018-09-06T00:00:00"/>
    <d v="2018-09-05T00:00:00"/>
    <s v="bed_bath_table"/>
    <n v="17.64"/>
    <n v="18.489999999999998"/>
    <s v="credit_card"/>
    <n v="2"/>
    <s v="delivered"/>
    <d v="2018-08-01T00:00:00"/>
    <n v="12"/>
    <n v="1"/>
    <n v="0"/>
    <n v="36.129999999999995"/>
    <n v="10.9368"/>
    <n v="11.093999999999999"/>
    <n v="-4.3907999999999987"/>
    <s v="8-14 days"/>
  </r>
  <r>
    <s v="4d26657479ea5621661423a776c9aeb2"/>
    <x v="3"/>
    <d v="2018-08-25T00:00:00"/>
    <d v="2018-09-06T00:00:00"/>
    <d v="2018-09-18T00:00:00"/>
    <s v="computers_accessories"/>
    <n v="29.51"/>
    <n v="16.059999999999999"/>
    <s v="credit_card"/>
    <n v="4"/>
    <s v="delivered"/>
    <d v="2018-08-01T00:00:00"/>
    <n v="12"/>
    <n v="0"/>
    <n v="1"/>
    <n v="45.57"/>
    <n v="21.837400000000002"/>
    <n v="9.6359999999999992"/>
    <n v="-1.9634"/>
    <s v="8-14 days"/>
  </r>
  <r>
    <s v="0acfc6ac7d9704fe8dca39084a1a4219"/>
    <x v="0"/>
    <d v="2018-08-25T00:00:00"/>
    <d v="2018-09-03T00:00:00"/>
    <d v="2018-09-10T00:00:00"/>
    <s v="computers_accessories"/>
    <n v="179.26"/>
    <n v="22.82"/>
    <s v="boleto"/>
    <n v="5"/>
    <s v="delivered"/>
    <d v="2018-08-01T00:00:00"/>
    <n v="9"/>
    <n v="0"/>
    <n v="1"/>
    <n v="202.07999999999998"/>
    <n v="132.6524"/>
    <n v="13.692"/>
    <n v="32.915599999999991"/>
    <s v="8-14 days"/>
  </r>
  <r>
    <s v="b14d53b0c7f7040b87184322743c6de6"/>
    <x v="4"/>
    <d v="2018-08-25T00:00:00"/>
    <d v="2018-09-12T00:00:00"/>
    <d v="2018-09-20T00:00:00"/>
    <s v="bed_bath_table"/>
    <n v="57.58"/>
    <n v="23.2"/>
    <s v="credit_card"/>
    <n v="3"/>
    <s v="delivered"/>
    <d v="2018-08-01T00:00:00"/>
    <n v="18"/>
    <n v="0"/>
    <n v="1"/>
    <n v="80.78"/>
    <n v="35.699599999999997"/>
    <n v="13.92"/>
    <n v="7.9604000000000017"/>
    <s v="15-21 days"/>
  </r>
  <r>
    <s v="c1bac834caec1d2d63a7bc90da7f624b"/>
    <x v="4"/>
    <d v="2018-08-25T00:00:00"/>
    <d v="2018-09-03T00:00:00"/>
    <d v="2018-09-16T00:00:00"/>
    <s v="furniture_decor"/>
    <n v="280.45"/>
    <n v="20.03"/>
    <s v="credit_card"/>
    <n v="4"/>
    <s v="delivered"/>
    <d v="2018-08-01T00:00:00"/>
    <n v="9"/>
    <n v="0"/>
    <n v="1"/>
    <n v="300.48"/>
    <n v="196.31499999999997"/>
    <n v="12.018000000000001"/>
    <n v="72.117000000000019"/>
    <s v="8-14 days"/>
  </r>
  <r>
    <s v="e585fc3d7bf7202ebd86a1abc16f5ca3"/>
    <x v="0"/>
    <d v="2018-08-25T00:00:00"/>
    <d v="2018-09-01T00:00:00"/>
    <d v="2018-09-10T00:00:00"/>
    <s v="sports_leisure"/>
    <n v="100.09"/>
    <n v="13.17"/>
    <s v="boleto"/>
    <n v="5"/>
    <s v="delivered"/>
    <d v="2018-08-01T00:00:00"/>
    <n v="7"/>
    <n v="0"/>
    <n v="1"/>
    <n v="113.26"/>
    <n v="64.057600000000008"/>
    <n v="7.9019999999999992"/>
    <n v="28.130399999999995"/>
    <s v="0-7 days"/>
  </r>
  <r>
    <s v="76bd0773d805ee6a2d916caf9c446194"/>
    <x v="3"/>
    <d v="2018-08-25T00:00:00"/>
    <d v="2018-09-07T00:00:00"/>
    <d v="2018-09-20T00:00:00"/>
    <s v="computers_accessories"/>
    <n v="40.89"/>
    <n v="29.85"/>
    <s v="boleto"/>
    <n v="5"/>
    <s v="delivered"/>
    <d v="2018-08-01T00:00:00"/>
    <n v="13"/>
    <n v="0"/>
    <n v="1"/>
    <n v="70.740000000000009"/>
    <n v="30.258600000000001"/>
    <n v="17.91"/>
    <n v="-7.2786000000000008"/>
    <s v="8-14 days"/>
  </r>
  <r>
    <s v="0a37409cbb3c0b49bd08ce57f094dfd0"/>
    <x v="3"/>
    <d v="2018-08-25T00:00:00"/>
    <d v="2018-09-12T00:00:00"/>
    <d v="2018-09-21T00:00:00"/>
    <s v="watches_gifts"/>
    <n v="156.72"/>
    <n v="20.190000000000001"/>
    <s v="credit_card"/>
    <n v="5"/>
    <s v="delivered"/>
    <d v="2018-08-01T00:00:00"/>
    <n v="18"/>
    <n v="0"/>
    <n v="1"/>
    <n v="176.91"/>
    <n v="103.43520000000001"/>
    <n v="12.114000000000001"/>
    <n v="41.170799999999986"/>
    <s v="15-21 days"/>
  </r>
  <r>
    <s v="f5a0cc2427d26d0cdc7a85e605d9c4d3"/>
    <x v="0"/>
    <d v="2018-08-25T00:00:00"/>
    <d v="2018-09-04T00:00:00"/>
    <d v="2018-09-07T00:00:00"/>
    <s v="furniture_decor"/>
    <n v="108.37"/>
    <n v="14.82"/>
    <s v="credit_card"/>
    <n v="5"/>
    <s v="delivered"/>
    <d v="2018-08-01T00:00:00"/>
    <n v="10"/>
    <n v="0"/>
    <n v="1"/>
    <n v="123.19"/>
    <n v="75.858999999999995"/>
    <n v="8.8919999999999995"/>
    <n v="23.61900000000001"/>
    <s v="8-14 days"/>
  </r>
  <r>
    <s v="0ed2ec9d3d175712d8b22277f413db19"/>
    <x v="0"/>
    <d v="2018-08-26T00:00:00"/>
    <d v="2018-09-01T00:00:00"/>
    <d v="2018-09-07T00:00:00"/>
    <s v="watches_gifts"/>
    <n v="180.51"/>
    <n v="18.7"/>
    <s v="credit_card"/>
    <n v="4"/>
    <s v="delivered"/>
    <d v="2018-08-01T00:00:00"/>
    <n v="6"/>
    <n v="0"/>
    <n v="1"/>
    <n v="199.20999999999998"/>
    <n v="119.1366"/>
    <n v="11.219999999999999"/>
    <n v="50.153399999999991"/>
    <s v="0-7 days"/>
  </r>
  <r>
    <s v="a7e292992bf6d9150367ee2c1ddea07d"/>
    <x v="0"/>
    <d v="2018-08-26T00:00:00"/>
    <d v="2018-09-01T00:00:00"/>
    <d v="2018-09-10T00:00:00"/>
    <s v="toys"/>
    <n v="36.68"/>
    <n v="11.29"/>
    <s v="credit_card"/>
    <n v="4"/>
    <s v="delivered"/>
    <d v="2018-08-01T00:00:00"/>
    <n v="6"/>
    <n v="0"/>
    <n v="1"/>
    <n v="47.97"/>
    <n v="22.007999999999999"/>
    <n v="6.7739999999999991"/>
    <n v="7.8980000000000015"/>
    <s v="0-7 days"/>
  </r>
  <r>
    <s v="618e72a78d34dd8374629fb5c6e19fd7"/>
    <x v="6"/>
    <d v="2018-08-26T00:00:00"/>
    <d v="2018-09-18T00:00:00"/>
    <d v="2018-09-23T00:00:00"/>
    <s v="housewares"/>
    <n v="203.52"/>
    <n v="28.67"/>
    <s v="credit_card"/>
    <n v="3"/>
    <s v="delivered"/>
    <d v="2018-08-01T00:00:00"/>
    <n v="23"/>
    <n v="0"/>
    <n v="1"/>
    <n v="232.19"/>
    <n v="128.2176"/>
    <n v="17.202000000000002"/>
    <n v="58.100400000000008"/>
    <s v="22+ days"/>
  </r>
  <r>
    <s v="3b6a38cfe0df542da5b813c29619cf44"/>
    <x v="4"/>
    <d v="2018-08-26T00:00:00"/>
    <d v="2018-09-11T00:00:00"/>
    <d v="2018-09-14T00:00:00"/>
    <s v="computers_accessories"/>
    <n v="65.39"/>
    <n v="24.26"/>
    <s v="credit_card"/>
    <n v="4"/>
    <s v="delivered"/>
    <d v="2018-08-01T00:00:00"/>
    <n v="16"/>
    <n v="0"/>
    <n v="1"/>
    <n v="89.65"/>
    <n v="48.388599999999997"/>
    <n v="14.556000000000001"/>
    <n v="2.4454000000000029"/>
    <s v="15-21 days"/>
  </r>
  <r>
    <s v="c0ff979ebd29e827e0f2d1dc6b55ae42"/>
    <x v="0"/>
    <d v="2018-08-26T00:00:00"/>
    <d v="2018-09-03T00:00:00"/>
    <d v="2018-09-09T00:00:00"/>
    <s v="bed_bath_table"/>
    <n v="112.7"/>
    <n v="15.98"/>
    <s v="credit_card"/>
    <n v="5"/>
    <s v="delivered"/>
    <d v="2018-08-01T00:00:00"/>
    <n v="8"/>
    <n v="0"/>
    <n v="1"/>
    <n v="128.68"/>
    <n v="69.873999999999995"/>
    <n v="9.5879999999999992"/>
    <n v="33.238000000000007"/>
    <s v="8-14 days"/>
  </r>
  <r>
    <s v="b2becd65b9f5f9037af1834d4bd814a2"/>
    <x v="0"/>
    <d v="2018-08-26T00:00:00"/>
    <d v="2018-09-01T00:00:00"/>
    <d v="2018-09-09T00:00:00"/>
    <s v="bed_bath_table"/>
    <n v="71.569999999999993"/>
    <n v="19.399999999999999"/>
    <s v="voucher"/>
    <n v="4"/>
    <s v="delivered"/>
    <d v="2018-08-01T00:00:00"/>
    <n v="6"/>
    <n v="0"/>
    <n v="1"/>
    <n v="90.97"/>
    <n v="44.373399999999997"/>
    <n v="11.639999999999999"/>
    <n v="15.556599999999998"/>
    <s v="0-7 days"/>
  </r>
  <r>
    <s v="c17c0907500ac7b55b83c0a6d42c0ff9"/>
    <x v="1"/>
    <d v="2018-08-26T00:00:00"/>
    <d v="2018-09-20T00:00:00"/>
    <d v="2018-09-17T00:00:00"/>
    <s v="bed_bath_table"/>
    <n v="65.930000000000007"/>
    <n v="19.579999999999998"/>
    <s v="credit_card"/>
    <n v="3"/>
    <s v="delivered"/>
    <d v="2018-08-01T00:00:00"/>
    <n v="25"/>
    <n v="3"/>
    <n v="0"/>
    <n v="85.51"/>
    <n v="40.876600000000003"/>
    <n v="11.747999999999999"/>
    <n v="13.305400000000004"/>
    <s v="22+ days"/>
  </r>
  <r>
    <s v="c3f725feb99b2b5ae00da49deffa2002"/>
    <x v="0"/>
    <d v="2018-08-27T00:00:00"/>
    <d v="2018-09-01T00:00:00"/>
    <d v="2018-09-09T00:00:00"/>
    <s v="housewares"/>
    <n v="51.19"/>
    <n v="14.42"/>
    <s v="credit_card"/>
    <n v="4"/>
    <s v="delivered"/>
    <d v="2018-08-01T00:00:00"/>
    <n v="5"/>
    <n v="0"/>
    <n v="1"/>
    <n v="65.61"/>
    <n v="32.249699999999997"/>
    <n v="8.6519999999999992"/>
    <n v="10.288300000000001"/>
    <s v="0-7 days"/>
  </r>
  <r>
    <s v="dd7f57d1e45def2675eb0e8fa090360d"/>
    <x v="4"/>
    <d v="2018-08-27T00:00:00"/>
    <d v="2018-09-05T00:00:00"/>
    <d v="2018-09-15T00:00:00"/>
    <s v="toys"/>
    <n v="170.75"/>
    <n v="24.16"/>
    <s v="credit_card"/>
    <n v="5"/>
    <s v="delivered"/>
    <d v="2018-08-01T00:00:00"/>
    <n v="9"/>
    <n v="0"/>
    <n v="1"/>
    <n v="194.91"/>
    <n v="102.45"/>
    <n v="14.495999999999999"/>
    <n v="53.804000000000002"/>
    <s v="8-14 days"/>
  </r>
  <r>
    <s v="d8718196093c3582037df82ef0a4be8a"/>
    <x v="3"/>
    <d v="2018-08-27T00:00:00"/>
    <d v="2018-09-14T00:00:00"/>
    <d v="2018-09-21T00:00:00"/>
    <s v="toys"/>
    <n v="61.19"/>
    <n v="26.7"/>
    <s v="credit_card"/>
    <n v="5"/>
    <s v="delivered"/>
    <d v="2018-08-01T00:00:00"/>
    <n v="18"/>
    <n v="0"/>
    <n v="1"/>
    <n v="87.89"/>
    <n v="36.713999999999999"/>
    <n v="16.02"/>
    <n v="8.4559999999999995"/>
    <s v="15-21 days"/>
  </r>
  <r>
    <s v="181d8b09d455b87e932290235a995017"/>
    <x v="4"/>
    <d v="2018-08-27T00:00:00"/>
    <d v="2018-09-16T00:00:00"/>
    <d v="2018-09-14T00:00:00"/>
    <s v="housewares"/>
    <n v="80.150000000000006"/>
    <n v="24.17"/>
    <s v="credit_card"/>
    <n v="4"/>
    <s v="delivered"/>
    <d v="2018-08-01T00:00:00"/>
    <n v="20"/>
    <n v="2"/>
    <n v="0"/>
    <n v="104.32000000000001"/>
    <n v="50.494500000000002"/>
    <n v="14.502000000000001"/>
    <n v="15.153500000000003"/>
    <s v="15-21 days"/>
  </r>
  <r>
    <s v="12476f57a5e5a5abaefcfad8efc89849"/>
    <x v="1"/>
    <d v="2018-08-28T00:00:00"/>
    <d v="2018-09-07T00:00:00"/>
    <d v="2018-09-17T00:00:00"/>
    <s v="sports_leisure"/>
    <n v="86.35"/>
    <n v="19.46"/>
    <s v="credit_card"/>
    <n v="5"/>
    <s v="delivered"/>
    <d v="2018-08-01T00:00:00"/>
    <n v="10"/>
    <n v="0"/>
    <n v="1"/>
    <n v="105.81"/>
    <n v="55.263999999999996"/>
    <n v="11.676"/>
    <n v="19.409999999999997"/>
    <s v="8-14 days"/>
  </r>
  <r>
    <s v="e1446b45af390a9ddcd1c4130760801f"/>
    <x v="2"/>
    <d v="2018-08-28T00:00:00"/>
    <d v="2018-09-07T00:00:00"/>
    <d v="2018-09-18T00:00:00"/>
    <s v="watches_gifts"/>
    <n v="100.53"/>
    <n v="22.93"/>
    <s v="boleto"/>
    <n v="4"/>
    <s v="delivered"/>
    <d v="2018-08-01T00:00:00"/>
    <n v="10"/>
    <n v="0"/>
    <n v="1"/>
    <n v="123.46000000000001"/>
    <n v="66.349800000000002"/>
    <n v="13.757999999999999"/>
    <n v="20.4222"/>
    <s v="8-14 days"/>
  </r>
  <r>
    <s v="3d9580611c36036fbeba06191b6fb706"/>
    <x v="0"/>
    <d v="2018-08-28T00:00:00"/>
    <d v="2018-09-06T00:00:00"/>
    <d v="2018-09-12T00:00:00"/>
    <s v="furniture_decor"/>
    <n v="107.9"/>
    <n v="17.5"/>
    <s v="credit_card"/>
    <n v="5"/>
    <s v="delivered"/>
    <d v="2018-08-01T00:00:00"/>
    <n v="9"/>
    <n v="0"/>
    <n v="1"/>
    <n v="125.4"/>
    <n v="75.53"/>
    <n v="10.5"/>
    <n v="21.870000000000005"/>
    <s v="8-14 days"/>
  </r>
  <r>
    <s v="7b1634537042eb9e061285a7b6fac9b9"/>
    <x v="6"/>
    <d v="2018-08-28T00:00:00"/>
    <d v="2018-09-10T00:00:00"/>
    <d v="2018-10-01T00:00:00"/>
    <s v="furniture_decor"/>
    <n v="158.66"/>
    <n v="43.55"/>
    <s v="boleto"/>
    <n v="4"/>
    <s v="delivered"/>
    <d v="2018-08-01T00:00:00"/>
    <n v="13"/>
    <n v="0"/>
    <n v="1"/>
    <n v="202.20999999999998"/>
    <n v="111.062"/>
    <n v="26.13"/>
    <n v="21.468"/>
    <s v="8-14 days"/>
  </r>
  <r>
    <s v="f5fe9cc4c120478451e50918df04ea9f"/>
    <x v="1"/>
    <d v="2018-08-28T00:00:00"/>
    <d v="2018-09-20T00:00:00"/>
    <d v="2018-09-19T00:00:00"/>
    <s v="toys"/>
    <n v="211.92"/>
    <n v="28.95"/>
    <s v="credit_card"/>
    <n v="4"/>
    <s v="delivered"/>
    <d v="2018-08-01T00:00:00"/>
    <n v="23"/>
    <n v="1"/>
    <n v="0"/>
    <n v="240.86999999999998"/>
    <n v="127.15199999999999"/>
    <n v="17.369999999999997"/>
    <n v="67.397999999999996"/>
    <s v="22+ days"/>
  </r>
  <r>
    <s v="5c922fa4352b6689a39cd7300f6206f1"/>
    <x v="3"/>
    <d v="2018-08-28T00:00:00"/>
    <d v="2018-09-13T00:00:00"/>
    <d v="2018-09-23T00:00:00"/>
    <s v="health_beauty"/>
    <n v="72.45"/>
    <n v="18.5"/>
    <s v="credit_card"/>
    <n v="3"/>
    <s v="delivered"/>
    <d v="2018-08-01T00:00:00"/>
    <n v="16"/>
    <n v="0"/>
    <n v="1"/>
    <n v="90.95"/>
    <n v="42.021000000000001"/>
    <n v="11.1"/>
    <n v="19.329000000000001"/>
    <s v="15-21 days"/>
  </r>
  <r>
    <s v="9d27d39d0593b210b3c052a851cfc712"/>
    <x v="0"/>
    <d v="2018-08-28T00:00:00"/>
    <d v="2018-09-02T00:00:00"/>
    <d v="2018-09-14T00:00:00"/>
    <s v="sports_leisure"/>
    <n v="88.38"/>
    <n v="14.7"/>
    <s v="credit_card"/>
    <n v="5"/>
    <s v="delivered"/>
    <d v="2018-08-01T00:00:00"/>
    <n v="5"/>
    <n v="0"/>
    <n v="1"/>
    <n v="103.08"/>
    <n v="56.563199999999995"/>
    <n v="8.8199999999999985"/>
    <n v="22.9968"/>
    <s v="0-7 days"/>
  </r>
  <r>
    <s v="aecc015aececb339a064c0ccbd279fd8"/>
    <x v="0"/>
    <d v="2018-08-28T00:00:00"/>
    <d v="2018-09-10T00:00:00"/>
    <d v="2018-09-15T00:00:00"/>
    <s v="bed_bath_table"/>
    <n v="352.09"/>
    <n v="21.83"/>
    <s v="credit_card"/>
    <n v="5"/>
    <s v="delivered"/>
    <d v="2018-08-01T00:00:00"/>
    <n v="13"/>
    <n v="0"/>
    <n v="1"/>
    <n v="373.91999999999996"/>
    <n v="218.29579999999999"/>
    <n v="13.097999999999999"/>
    <n v="120.69619999999999"/>
    <s v="8-14 days"/>
  </r>
  <r>
    <s v="73b9c2ac0134e76b0ed9fa95a26e865b"/>
    <x v="0"/>
    <d v="2018-08-29T00:00:00"/>
    <d v="2018-09-11T00:00:00"/>
    <d v="2018-09-12T00:00:00"/>
    <s v="housewares"/>
    <n v="71.400000000000006"/>
    <n v="13.78"/>
    <s v="credit_card"/>
    <n v="5"/>
    <s v="delivered"/>
    <d v="2018-08-01T00:00:00"/>
    <n v="13"/>
    <n v="0"/>
    <n v="1"/>
    <n v="85.18"/>
    <n v="44.982000000000006"/>
    <n v="8.2679999999999989"/>
    <n v="18.149999999999999"/>
    <s v="8-14 days"/>
  </r>
  <r>
    <s v="8f31bf2ea4d78f641fb026cca5292f56"/>
    <x v="3"/>
    <d v="2018-08-29T00:00:00"/>
    <d v="2018-09-12T00:00:00"/>
    <d v="2018-09-24T00:00:00"/>
    <s v="bed_bath_table"/>
    <n v="116.06"/>
    <n v="21.56"/>
    <s v="credit_card"/>
    <n v="5"/>
    <s v="delivered"/>
    <d v="2018-08-01T00:00:00"/>
    <n v="14"/>
    <n v="0"/>
    <n v="1"/>
    <n v="137.62"/>
    <n v="71.9572"/>
    <n v="12.935999999999998"/>
    <n v="31.166800000000002"/>
    <s v="8-14 days"/>
  </r>
  <r>
    <s v="66edef302fa80808b8f16861e3e3e73b"/>
    <x v="0"/>
    <d v="2018-08-30T00:00:00"/>
    <d v="2018-09-07T00:00:00"/>
    <d v="2018-09-13T00:00:00"/>
    <s v="computers_accessories"/>
    <n v="85.59"/>
    <n v="12.27"/>
    <s v="credit_card"/>
    <n v="5"/>
    <s v="delivered"/>
    <d v="2018-08-01T00:00:00"/>
    <n v="8"/>
    <n v="0"/>
    <n v="1"/>
    <n v="97.86"/>
    <n v="63.336600000000004"/>
    <n v="7.3619999999999992"/>
    <n v="14.891400000000001"/>
    <s v="8-14 days"/>
  </r>
  <r>
    <s v="728471562e8ca6bf9268b5df95bb6e09"/>
    <x v="0"/>
    <d v="2018-08-30T00:00:00"/>
    <d v="2018-09-06T00:00:00"/>
    <d v="2018-09-16T00:00:00"/>
    <s v="sports_leisure"/>
    <n v="238.65"/>
    <n v="25.05"/>
    <s v="boleto"/>
    <n v="5"/>
    <s v="delivered"/>
    <d v="2018-08-01T00:00:00"/>
    <n v="7"/>
    <n v="0"/>
    <n v="1"/>
    <n v="263.7"/>
    <n v="152.73600000000002"/>
    <n v="15.03"/>
    <n v="70.883999999999986"/>
    <s v="0-7 days"/>
  </r>
  <r>
    <s v="e60584a208f548e7c53bcc3a4c26fd27"/>
    <x v="6"/>
    <d v="2018-08-30T00:00:00"/>
    <d v="2018-09-12T00:00:00"/>
    <d v="2018-09-25T00:00:00"/>
    <s v="housewares"/>
    <n v="59.27"/>
    <n v="34.75"/>
    <s v="credit_card"/>
    <n v="3"/>
    <s v="delivered"/>
    <d v="2018-08-01T00:00:00"/>
    <n v="13"/>
    <n v="0"/>
    <n v="1"/>
    <n v="94.02000000000001"/>
    <n v="37.3401"/>
    <n v="20.849999999999998"/>
    <n v="1.0799000000000056"/>
    <s v="8-14 days"/>
  </r>
  <r>
    <s v="a7f9ead24fc1c667d9321ab30c2cef31"/>
    <x v="0"/>
    <d v="2018-08-30T00:00:00"/>
    <d v="2018-09-07T00:00:00"/>
    <d v="2018-09-16T00:00:00"/>
    <s v="watches_gifts"/>
    <n v="190.37"/>
    <n v="22.41"/>
    <s v="boleto"/>
    <n v="5"/>
    <s v="delivered"/>
    <d v="2018-08-01T00:00:00"/>
    <n v="8"/>
    <n v="0"/>
    <n v="1"/>
    <n v="212.78"/>
    <n v="125.64420000000001"/>
    <n v="13.446"/>
    <n v="51.279799999999994"/>
    <s v="8-14 days"/>
  </r>
  <r>
    <s v="188e56daafac70bc051ee74af195321d"/>
    <x v="1"/>
    <d v="2018-08-30T00:00:00"/>
    <d v="2018-09-07T00:00:00"/>
    <d v="2018-09-17T00:00:00"/>
    <s v="bed_bath_table"/>
    <n v="59.17"/>
    <n v="22.26"/>
    <s v="credit_card"/>
    <n v="5"/>
    <s v="delivered"/>
    <d v="2018-08-01T00:00:00"/>
    <n v="8"/>
    <n v="0"/>
    <n v="1"/>
    <n v="81.430000000000007"/>
    <n v="36.685400000000001"/>
    <n v="13.356"/>
    <n v="9.1286000000000005"/>
    <s v="8-14 days"/>
  </r>
  <r>
    <s v="9578ce6b2cac5acd4b70a26c01426da5"/>
    <x v="6"/>
    <d v="2018-08-30T00:00:00"/>
    <d v="2018-09-21T00:00:00"/>
    <d v="2018-10-02T00:00:00"/>
    <s v="health_beauty"/>
    <n v="104.44"/>
    <n v="28.58"/>
    <s v="credit_card"/>
    <n v="5"/>
    <s v="delivered"/>
    <d v="2018-08-01T00:00:00"/>
    <n v="22"/>
    <n v="0"/>
    <n v="1"/>
    <n v="133.01999999999998"/>
    <n v="60.575199999999995"/>
    <n v="17.148"/>
    <n v="26.716800000000003"/>
    <s v="22+ days"/>
  </r>
  <r>
    <s v="90060c5ae0c6dd6365791c663209256b"/>
    <x v="1"/>
    <d v="2018-08-30T00:00:00"/>
    <d v="2018-09-04T00:00:00"/>
    <d v="2018-09-20T00:00:00"/>
    <s v="furniture_decor"/>
    <n v="119.77"/>
    <n v="26.34"/>
    <s v="boleto"/>
    <n v="4"/>
    <s v="delivered"/>
    <d v="2018-08-01T00:00:00"/>
    <n v="5"/>
    <n v="0"/>
    <n v="1"/>
    <n v="146.10999999999999"/>
    <n v="83.838999999999999"/>
    <n v="15.803999999999998"/>
    <n v="20.126999999999999"/>
    <s v="0-7 days"/>
  </r>
  <r>
    <s v="e5f5c8914be318a80b39dccf7c9f3bc3"/>
    <x v="0"/>
    <d v="2018-08-31T00:00:00"/>
    <d v="2018-09-06T00:00:00"/>
    <d v="2018-09-15T00:00:00"/>
    <s v="furniture_decor"/>
    <n v="168.26"/>
    <n v="19.21"/>
    <s v="credit_card"/>
    <n v="4"/>
    <s v="delivered"/>
    <d v="2018-08-01T00:00:00"/>
    <n v="6"/>
    <n v="0"/>
    <n v="1"/>
    <n v="187.47"/>
    <n v="117.78199999999998"/>
    <n v="11.526"/>
    <n v="38.952000000000012"/>
    <s v="0-7 days"/>
  </r>
  <r>
    <s v="b9dac7798079cdc9665e467fe1bb7399"/>
    <x v="4"/>
    <d v="2018-08-31T00:00:00"/>
    <d v="2018-09-14T00:00:00"/>
    <d v="2018-09-18T00:00:00"/>
    <s v="housewares"/>
    <n v="94.47"/>
    <n v="26.59"/>
    <s v="boleto"/>
    <n v="5"/>
    <s v="delivered"/>
    <d v="2018-08-01T00:00:00"/>
    <n v="14"/>
    <n v="0"/>
    <n v="1"/>
    <n v="121.06"/>
    <n v="59.516100000000002"/>
    <n v="15.953999999999999"/>
    <n v="18.999899999999997"/>
    <s v="8-14 days"/>
  </r>
  <r>
    <s v="4dce488da55c67bd5ca4a0983551bf83"/>
    <x v="0"/>
    <d v="2018-08-31T00:00:00"/>
    <d v="2018-09-15T00:00:00"/>
    <d v="2018-09-13T00:00:00"/>
    <s v="health_beauty"/>
    <n v="128.34"/>
    <n v="18.239999999999998"/>
    <s v="credit_card"/>
    <n v="1"/>
    <s v="delivered"/>
    <d v="2018-08-01T00:00:00"/>
    <n v="15"/>
    <n v="2"/>
    <n v="0"/>
    <n v="146.58000000000001"/>
    <n v="74.43719999999999"/>
    <n v="10.943999999999999"/>
    <n v="42.958800000000011"/>
    <s v="15-21 days"/>
  </r>
  <r>
    <s v="66bd7b2feedab4fe4cfa768713791994"/>
    <x v="6"/>
    <d v="2018-08-31T00:00:00"/>
    <d v="2018-09-25T00:00:00"/>
    <d v="2018-10-04T00:00:00"/>
    <s v="furniture_decor"/>
    <n v="102.59"/>
    <n v="30.81"/>
    <s v="credit_card"/>
    <n v="3"/>
    <s v="delivered"/>
    <d v="2018-08-01T00:00:00"/>
    <n v="25"/>
    <n v="0"/>
    <n v="1"/>
    <n v="133.4"/>
    <n v="71.813000000000002"/>
    <n v="18.485999999999997"/>
    <n v="12.291000000000004"/>
    <s v="22+ day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FBA55-3D88-4AE8-82D7-833BD2AA94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18:AG31" firstHeaderRow="1" firstDataRow="1" firstDataCol="1"/>
  <pivotFields count="20">
    <pivotField dataField="1" showAll="0"/>
    <pivotField axis="axisRow" showAll="0" sortType="descending">
      <items count="13">
        <item x="6"/>
        <item x="11"/>
        <item x="7"/>
        <item x="5"/>
        <item x="9"/>
        <item x="4"/>
        <item x="10"/>
        <item x="1"/>
        <item x="3"/>
        <item x="2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67" showAll="0"/>
    <pivotField numFmtId="167" showAll="0"/>
    <pivotField showAll="0"/>
    <pivotField numFmtId="4" showAll="0"/>
    <pivotField numFmtId="4" showAll="0"/>
    <pivotField showAll="0"/>
    <pivotField showAll="0"/>
    <pivotField showAll="0"/>
    <pivotField numFmtId="168"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</pivotFields>
  <rowFields count="1">
    <field x="1"/>
  </rowFields>
  <rowItems count="13">
    <i>
      <x v="11"/>
    </i>
    <i>
      <x v="8"/>
    </i>
    <i>
      <x v="5"/>
    </i>
    <i>
      <x v="7"/>
    </i>
    <i>
      <x v="9"/>
    </i>
    <i>
      <x v="10"/>
    </i>
    <i>
      <x/>
    </i>
    <i>
      <x v="4"/>
    </i>
    <i>
      <x v="2"/>
    </i>
    <i>
      <x v="6"/>
    </i>
    <i>
      <x v="3"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001"/>
  <sheetViews>
    <sheetView zoomScale="70" zoomScaleNormal="100" workbookViewId="0">
      <selection activeCell="D17" sqref="D17"/>
    </sheetView>
  </sheetViews>
  <sheetFormatPr defaultColWidth="8.6640625" defaultRowHeight="14.4" x14ac:dyDescent="0.3"/>
  <cols>
    <col min="1" max="1" width="34" customWidth="1"/>
    <col min="2" max="2" width="15" customWidth="1"/>
    <col min="3" max="5" width="14" customWidth="1"/>
    <col min="6" max="6" width="22" customWidth="1"/>
    <col min="7" max="7" width="10" customWidth="1"/>
    <col min="8" max="8" width="12" customWidth="1"/>
    <col min="9" max="9" width="14" customWidth="1"/>
    <col min="10" max="10" width="16" bestFit="1" customWidth="1"/>
    <col min="11" max="12" width="12" customWidth="1"/>
    <col min="13" max="13" width="13" customWidth="1"/>
    <col min="14" max="14" width="11" customWidth="1"/>
    <col min="15" max="15" width="9" customWidth="1"/>
    <col min="16" max="16" width="11" customWidth="1"/>
    <col min="17" max="17" width="10" customWidth="1"/>
    <col min="18" max="18" width="14" customWidth="1"/>
    <col min="19" max="19" width="11" customWidth="1"/>
    <col min="20" max="20" width="15" customWidth="1"/>
    <col min="23" max="23" width="13.88671875" bestFit="1" customWidth="1"/>
    <col min="32" max="32" width="12.5546875" bestFit="1" customWidth="1"/>
    <col min="33" max="33" width="16" bestFit="1" customWidth="1"/>
    <col min="34" max="34" width="12.109375" bestFit="1" customWidth="1"/>
    <col min="35" max="35" width="26.5546875" bestFit="1" customWidth="1"/>
    <col min="36" max="36" width="24.109375" bestFit="1" customWidth="1"/>
    <col min="37" max="37" width="27.6640625" bestFit="1" customWidth="1"/>
    <col min="38" max="38" width="23" bestFit="1" customWidth="1"/>
    <col min="39" max="39" width="30.6640625" bestFit="1" customWidth="1"/>
  </cols>
  <sheetData>
    <row r="1" spans="1:39" ht="31.5" customHeight="1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19" t="s">
        <v>34</v>
      </c>
      <c r="M1" s="19" t="s">
        <v>35</v>
      </c>
      <c r="N1" s="19" t="s">
        <v>36</v>
      </c>
      <c r="O1" s="19" t="s">
        <v>37</v>
      </c>
      <c r="P1" s="19" t="s">
        <v>38</v>
      </c>
      <c r="Q1" s="19" t="s">
        <v>39</v>
      </c>
      <c r="R1" s="19" t="s">
        <v>40</v>
      </c>
      <c r="S1" s="19" t="s">
        <v>41</v>
      </c>
      <c r="T1" s="19" t="s">
        <v>42</v>
      </c>
      <c r="W1" s="47" t="s">
        <v>2123</v>
      </c>
      <c r="X1" s="47"/>
      <c r="Y1" s="47"/>
      <c r="Z1" s="47"/>
      <c r="AA1" s="47"/>
      <c r="AB1" s="47"/>
      <c r="AC1" s="47"/>
    </row>
    <row r="2" spans="1:39" x14ac:dyDescent="0.3">
      <c r="A2" s="20" t="s">
        <v>43</v>
      </c>
      <c r="B2" s="20" t="s">
        <v>19</v>
      </c>
      <c r="C2" s="21">
        <v>45294</v>
      </c>
      <c r="D2" s="21">
        <v>45304</v>
      </c>
      <c r="E2" s="21">
        <v>45308</v>
      </c>
      <c r="F2" s="20" t="s">
        <v>44</v>
      </c>
      <c r="G2" s="22">
        <v>83.12</v>
      </c>
      <c r="H2" s="22">
        <v>19.21</v>
      </c>
      <c r="I2" s="20" t="s">
        <v>45</v>
      </c>
      <c r="J2" s="20">
        <v>5</v>
      </c>
      <c r="K2" s="20" t="s">
        <v>46</v>
      </c>
      <c r="L2" s="23">
        <f t="shared" ref="L2:L65" si="0">DATE(YEAR(C2),MONTH(C2),1)</f>
        <v>45292</v>
      </c>
      <c r="M2" s="20">
        <f t="shared" ref="M2:M65" si="1">D2-C2</f>
        <v>10</v>
      </c>
      <c r="N2" s="20">
        <f t="shared" ref="N2:N65" si="2">MAX(0,D2-E2)</f>
        <v>0</v>
      </c>
      <c r="O2" s="20">
        <f t="shared" ref="O2:O65" si="3">IF(D2&lt;=E2,1,0)</f>
        <v>1</v>
      </c>
      <c r="P2" s="22">
        <f t="shared" ref="P2:P65" si="4">G2+H2</f>
        <v>102.33000000000001</v>
      </c>
      <c r="Q2" s="22">
        <f>G2*INDEX(Assumptions!$B$8:$B$16,MATCH(F2,Assumptions!$A$8:$A$16,0))</f>
        <v>49.872</v>
      </c>
      <c r="R2" s="22">
        <f>H2*Assumptions!$B$3</f>
        <v>11.526</v>
      </c>
      <c r="S2" s="22">
        <f t="shared" ref="S2:S65" si="5">G2-Q2-R2</f>
        <v>21.722000000000005</v>
      </c>
      <c r="T2" s="20" t="str">
        <f t="shared" ref="T2:T65" si="6">IF(M2&lt;=7,"0-7 days",IF(M2&lt;=14,"8-14 days",IF(M2&lt;=21,"15-21 days","22+ days")))</f>
        <v>8-14 days</v>
      </c>
      <c r="W2" t="str" cm="1">
        <f t="array" ref="W2:W15">_xlfn.UNIQUE(B:B)</f>
        <v>customer_state</v>
      </c>
      <c r="AH2" t="s">
        <v>2125</v>
      </c>
      <c r="AI2" t="s">
        <v>2133</v>
      </c>
      <c r="AJ2" t="s">
        <v>2134</v>
      </c>
      <c r="AK2" t="s">
        <v>2135</v>
      </c>
      <c r="AL2" t="s">
        <v>2136</v>
      </c>
      <c r="AM2" t="s">
        <v>2137</v>
      </c>
    </row>
    <row r="3" spans="1:39" x14ac:dyDescent="0.3">
      <c r="A3" s="20" t="s">
        <v>47</v>
      </c>
      <c r="B3" s="20" t="s">
        <v>48</v>
      </c>
      <c r="C3" s="21">
        <v>45294</v>
      </c>
      <c r="D3" s="21">
        <v>45306</v>
      </c>
      <c r="E3" s="21">
        <v>45317</v>
      </c>
      <c r="F3" s="20" t="s">
        <v>49</v>
      </c>
      <c r="G3" s="22">
        <v>60.51</v>
      </c>
      <c r="H3" s="22">
        <v>16.47</v>
      </c>
      <c r="I3" s="20" t="s">
        <v>50</v>
      </c>
      <c r="J3" s="20">
        <v>4</v>
      </c>
      <c r="K3" s="20" t="s">
        <v>46</v>
      </c>
      <c r="L3" s="23">
        <f t="shared" si="0"/>
        <v>45292</v>
      </c>
      <c r="M3" s="20">
        <f t="shared" si="1"/>
        <v>12</v>
      </c>
      <c r="N3" s="20">
        <f t="shared" si="2"/>
        <v>0</v>
      </c>
      <c r="O3" s="20">
        <f t="shared" si="3"/>
        <v>1</v>
      </c>
      <c r="P3" s="22">
        <f t="shared" si="4"/>
        <v>76.97999999999999</v>
      </c>
      <c r="Q3" s="22">
        <f>G3*INDEX(Assumptions!$B$8:$B$16,MATCH(F3,Assumptions!$A$8:$A$16,0))</f>
        <v>35.095799999999997</v>
      </c>
      <c r="R3" s="22">
        <f>H3*Assumptions!$B$3</f>
        <v>9.8819999999999997</v>
      </c>
      <c r="S3" s="22">
        <f t="shared" si="5"/>
        <v>15.532200000000001</v>
      </c>
      <c r="T3" s="20" t="str">
        <f t="shared" si="6"/>
        <v>8-14 days</v>
      </c>
      <c r="W3" t="str">
        <v>SP</v>
      </c>
      <c r="X3">
        <f>COUNTIF(B2:B2001,W3)</f>
        <v>909</v>
      </c>
      <c r="Z3" t="str" cm="1">
        <f t="array" ref="Z3:Z14">_xlfn.SORTBY(W3:W14,X3:X14,-1)</f>
        <v>SP</v>
      </c>
      <c r="AB3" t="str" cm="1">
        <f t="array" ref="AB3:AC14">_xlfn.SORTBY(W3:X14,X3:X14,-1)</f>
        <v>SP</v>
      </c>
      <c r="AC3">
        <v>909</v>
      </c>
      <c r="AD3" s="44">
        <f>AC3/$AC$15</f>
        <v>0.45450000000000002</v>
      </c>
      <c r="AE3">
        <f>SUMIF(AB3:AB14,AB3,P2:P2001)</f>
        <v>102.33000000000001</v>
      </c>
      <c r="AF3">
        <f>SUMIF(B:B,AB3,P:P)</f>
        <v>115617.11000000015</v>
      </c>
      <c r="AG3">
        <f>SUMIFS(S:S,B:B,AB3)</f>
        <v>25250.604499999972</v>
      </c>
      <c r="AH3" s="46">
        <f>AG3/AF3*100</f>
        <v>21.83985095285632</v>
      </c>
      <c r="AI3">
        <f>AVERAGEIF(B:B,AB3,H:H)</f>
        <v>17.822387238723852</v>
      </c>
      <c r="AJ3">
        <f>COUNTIF(O:O,1)</f>
        <v>1855</v>
      </c>
      <c r="AK3">
        <f>SUMIF(B:B,AB3,O:O)</f>
        <v>860</v>
      </c>
      <c r="AL3" s="43">
        <f>AK3/AC3</f>
        <v>0.94609460946094615</v>
      </c>
      <c r="AM3">
        <f>RANK(AC3,$AC$3:$AC$14)</f>
        <v>1</v>
      </c>
    </row>
    <row r="4" spans="1:39" x14ac:dyDescent="0.3">
      <c r="A4" s="20" t="s">
        <v>51</v>
      </c>
      <c r="B4" s="20" t="s">
        <v>52</v>
      </c>
      <c r="C4" s="21">
        <v>45294</v>
      </c>
      <c r="D4" s="21">
        <v>45316</v>
      </c>
      <c r="E4" s="21">
        <v>45320</v>
      </c>
      <c r="F4" s="20" t="s">
        <v>53</v>
      </c>
      <c r="G4" s="22">
        <v>134.74</v>
      </c>
      <c r="H4" s="22">
        <v>25</v>
      </c>
      <c r="I4" s="20" t="s">
        <v>45</v>
      </c>
      <c r="J4" s="20">
        <v>3</v>
      </c>
      <c r="K4" s="20" t="s">
        <v>46</v>
      </c>
      <c r="L4" s="23">
        <f t="shared" si="0"/>
        <v>45292</v>
      </c>
      <c r="M4" s="20">
        <f t="shared" si="1"/>
        <v>22</v>
      </c>
      <c r="N4" s="20">
        <f t="shared" si="2"/>
        <v>0</v>
      </c>
      <c r="O4" s="20">
        <f t="shared" si="3"/>
        <v>1</v>
      </c>
      <c r="P4" s="22">
        <f t="shared" si="4"/>
        <v>159.74</v>
      </c>
      <c r="Q4" s="22">
        <f>G4*INDEX(Assumptions!$B$8:$B$16,MATCH(F4,Assumptions!$A$8:$A$16,0))</f>
        <v>99.707599999999999</v>
      </c>
      <c r="R4" s="22">
        <f>H4*Assumptions!$B$3</f>
        <v>15</v>
      </c>
      <c r="S4" s="22">
        <f t="shared" si="5"/>
        <v>20.03240000000001</v>
      </c>
      <c r="T4" s="20" t="str">
        <f t="shared" si="6"/>
        <v>22+ days</v>
      </c>
      <c r="W4" t="str">
        <v>PR</v>
      </c>
      <c r="X4">
        <f t="shared" ref="X4:X14" si="7">COUNTIF(B3:B2002,W4)</f>
        <v>115</v>
      </c>
      <c r="Z4" t="str">
        <v>RJ</v>
      </c>
      <c r="AB4" t="str">
        <v>RJ</v>
      </c>
      <c r="AC4">
        <v>252</v>
      </c>
      <c r="AD4" s="44">
        <f t="shared" ref="AD4:AD14" si="8">AC4/$AC$15</f>
        <v>0.126</v>
      </c>
      <c r="AE4">
        <f t="shared" ref="AE4:AE14" si="9">SUMIF(AB4:AB15,AB4,P3:P2002)</f>
        <v>76.97999999999999</v>
      </c>
      <c r="AF4">
        <f t="shared" ref="AF4:AF14" si="10">SUMIF(B:B,AB4,P:P)</f>
        <v>32089.61</v>
      </c>
      <c r="AG4">
        <f t="shared" ref="AG4:AG14" si="11">SUMIFS(S:S,B:B,AB4)</f>
        <v>5451.4649999999965</v>
      </c>
      <c r="AH4" s="46">
        <f t="shared" ref="AH4:AH14" si="12">AG4/AF4*100</f>
        <v>16.988255700209496</v>
      </c>
      <c r="AI4">
        <f t="shared" ref="AI4:AI14" si="13">AVERAGEIF(B:B,AB4,H:H)</f>
        <v>23.998293650793659</v>
      </c>
      <c r="AJ4" t="s">
        <v>2134</v>
      </c>
      <c r="AK4">
        <f t="shared" ref="AK4:AK13" si="14">SUMIF(B:B,AB4,O:O)</f>
        <v>227</v>
      </c>
      <c r="AL4" s="43">
        <f t="shared" ref="AL4:AL14" si="15">AK4/AC4</f>
        <v>0.90079365079365081</v>
      </c>
      <c r="AM4">
        <f t="shared" ref="AM4:AM13" si="16">RANK(AC4,$AC$3:$AC$14)</f>
        <v>2</v>
      </c>
    </row>
    <row r="5" spans="1:39" x14ac:dyDescent="0.3">
      <c r="A5" s="20" t="s">
        <v>54</v>
      </c>
      <c r="B5" s="20" t="s">
        <v>55</v>
      </c>
      <c r="C5" s="21">
        <v>45296</v>
      </c>
      <c r="D5" s="21">
        <v>45310</v>
      </c>
      <c r="E5" s="21">
        <v>45319</v>
      </c>
      <c r="F5" s="20" t="s">
        <v>53</v>
      </c>
      <c r="G5" s="22">
        <v>40.74</v>
      </c>
      <c r="H5" s="22">
        <v>16.28</v>
      </c>
      <c r="I5" s="20" t="s">
        <v>45</v>
      </c>
      <c r="J5" s="20">
        <v>5</v>
      </c>
      <c r="K5" s="20" t="s">
        <v>46</v>
      </c>
      <c r="L5" s="23">
        <f t="shared" si="0"/>
        <v>45292</v>
      </c>
      <c r="M5" s="20">
        <f t="shared" si="1"/>
        <v>14</v>
      </c>
      <c r="N5" s="20">
        <f t="shared" si="2"/>
        <v>0</v>
      </c>
      <c r="O5" s="20">
        <f t="shared" si="3"/>
        <v>1</v>
      </c>
      <c r="P5" s="22">
        <f t="shared" si="4"/>
        <v>57.02</v>
      </c>
      <c r="Q5" s="22">
        <f>G5*INDEX(Assumptions!$B$8:$B$16,MATCH(F5,Assumptions!$A$8:$A$16,0))</f>
        <v>30.147600000000001</v>
      </c>
      <c r="R5" s="22">
        <f>H5*Assumptions!$B$3</f>
        <v>9.7680000000000007</v>
      </c>
      <c r="S5" s="22">
        <f t="shared" si="5"/>
        <v>0.82440000000000069</v>
      </c>
      <c r="T5" s="20" t="str">
        <f t="shared" si="6"/>
        <v>8-14 days</v>
      </c>
      <c r="W5" t="str">
        <v>RS</v>
      </c>
      <c r="X5">
        <f t="shared" si="7"/>
        <v>110</v>
      </c>
      <c r="Z5" t="str">
        <v>MG</v>
      </c>
      <c r="AB5" t="str">
        <v>MG</v>
      </c>
      <c r="AC5">
        <v>241</v>
      </c>
      <c r="AD5" s="44">
        <f t="shared" si="8"/>
        <v>0.1205</v>
      </c>
      <c r="AE5">
        <f t="shared" si="9"/>
        <v>159.74</v>
      </c>
      <c r="AF5">
        <f t="shared" si="10"/>
        <v>31045.700000000004</v>
      </c>
      <c r="AG5">
        <f t="shared" si="11"/>
        <v>5486.7232999999987</v>
      </c>
      <c r="AH5" s="46">
        <f t="shared" si="12"/>
        <v>17.673053917289668</v>
      </c>
      <c r="AI5">
        <f t="shared" si="13"/>
        <v>23.306348547717839</v>
      </c>
      <c r="AJ5">
        <f>COUNTIF(O:O,0)</f>
        <v>145</v>
      </c>
      <c r="AK5">
        <f t="shared" si="14"/>
        <v>231</v>
      </c>
      <c r="AL5" s="43">
        <f t="shared" si="15"/>
        <v>0.95850622406639008</v>
      </c>
      <c r="AM5">
        <f t="shared" si="16"/>
        <v>3</v>
      </c>
    </row>
    <row r="6" spans="1:39" x14ac:dyDescent="0.3">
      <c r="A6" s="20" t="s">
        <v>56</v>
      </c>
      <c r="B6" s="20" t="s">
        <v>19</v>
      </c>
      <c r="C6" s="21">
        <v>45296</v>
      </c>
      <c r="D6" s="21">
        <v>45310</v>
      </c>
      <c r="E6" s="21">
        <v>45313</v>
      </c>
      <c r="F6" s="20" t="s">
        <v>57</v>
      </c>
      <c r="G6" s="22">
        <v>47.62</v>
      </c>
      <c r="H6" s="22">
        <v>13.02</v>
      </c>
      <c r="I6" s="20" t="s">
        <v>45</v>
      </c>
      <c r="J6" s="20">
        <v>5</v>
      </c>
      <c r="K6" s="20" t="s">
        <v>46</v>
      </c>
      <c r="L6" s="23">
        <f t="shared" si="0"/>
        <v>45292</v>
      </c>
      <c r="M6" s="20">
        <f t="shared" si="1"/>
        <v>14</v>
      </c>
      <c r="N6" s="20">
        <f t="shared" si="2"/>
        <v>0</v>
      </c>
      <c r="O6" s="20">
        <f t="shared" si="3"/>
        <v>1</v>
      </c>
      <c r="P6" s="22">
        <f t="shared" si="4"/>
        <v>60.64</v>
      </c>
      <c r="Q6" s="22">
        <f>G6*INDEX(Assumptions!$B$8:$B$16,MATCH(F6,Assumptions!$A$8:$A$16,0))</f>
        <v>32.381599999999999</v>
      </c>
      <c r="R6" s="22">
        <f>H6*Assumptions!$B$3</f>
        <v>7.8119999999999994</v>
      </c>
      <c r="S6" s="22">
        <f t="shared" si="5"/>
        <v>7.4263999999999992</v>
      </c>
      <c r="T6" s="20" t="str">
        <f t="shared" si="6"/>
        <v>8-14 days</v>
      </c>
      <c r="W6" t="str">
        <v>RJ</v>
      </c>
      <c r="X6">
        <f t="shared" si="7"/>
        <v>252</v>
      </c>
      <c r="Z6" t="str">
        <v>PR</v>
      </c>
      <c r="AB6" t="str">
        <v>PR</v>
      </c>
      <c r="AC6">
        <v>115</v>
      </c>
      <c r="AD6" s="44">
        <f t="shared" si="8"/>
        <v>5.7500000000000002E-2</v>
      </c>
      <c r="AE6">
        <f t="shared" si="9"/>
        <v>57.02</v>
      </c>
      <c r="AF6">
        <f t="shared" si="10"/>
        <v>16873.039999999997</v>
      </c>
      <c r="AG6">
        <f t="shared" si="11"/>
        <v>3163.2744000000007</v>
      </c>
      <c r="AH6" s="46">
        <f t="shared" si="12"/>
        <v>18.747507266029128</v>
      </c>
      <c r="AI6">
        <f t="shared" si="13"/>
        <v>23.454521739130438</v>
      </c>
      <c r="AK6">
        <f t="shared" si="14"/>
        <v>102</v>
      </c>
      <c r="AL6" s="43">
        <f t="shared" si="15"/>
        <v>0.88695652173913042</v>
      </c>
      <c r="AM6">
        <f t="shared" si="16"/>
        <v>4</v>
      </c>
    </row>
    <row r="7" spans="1:39" x14ac:dyDescent="0.3">
      <c r="A7" s="20" t="s">
        <v>58</v>
      </c>
      <c r="B7" s="20" t="s">
        <v>52</v>
      </c>
      <c r="C7" s="21">
        <v>45297</v>
      </c>
      <c r="D7" s="21">
        <v>45313</v>
      </c>
      <c r="E7" s="21">
        <v>45321</v>
      </c>
      <c r="F7" s="20" t="s">
        <v>59</v>
      </c>
      <c r="G7" s="22">
        <v>125.89</v>
      </c>
      <c r="H7" s="22">
        <v>20.72</v>
      </c>
      <c r="I7" s="20" t="s">
        <v>60</v>
      </c>
      <c r="J7" s="20">
        <v>4</v>
      </c>
      <c r="K7" s="20" t="s">
        <v>46</v>
      </c>
      <c r="L7" s="23">
        <f t="shared" si="0"/>
        <v>45292</v>
      </c>
      <c r="M7" s="20">
        <f t="shared" si="1"/>
        <v>16</v>
      </c>
      <c r="N7" s="20">
        <f t="shared" si="2"/>
        <v>0</v>
      </c>
      <c r="O7" s="20">
        <f t="shared" si="3"/>
        <v>1</v>
      </c>
      <c r="P7" s="22">
        <f t="shared" si="4"/>
        <v>146.61000000000001</v>
      </c>
      <c r="Q7" s="22">
        <f>G7*INDEX(Assumptions!$B$8:$B$16,MATCH(F7,Assumptions!$A$8:$A$16,0))</f>
        <v>80.569600000000008</v>
      </c>
      <c r="R7" s="22">
        <f>H7*Assumptions!$B$3</f>
        <v>12.431999999999999</v>
      </c>
      <c r="S7" s="22">
        <f t="shared" si="5"/>
        <v>32.88839999999999</v>
      </c>
      <c r="T7" s="20" t="str">
        <f t="shared" si="6"/>
        <v>15-21 days</v>
      </c>
      <c r="W7" t="str">
        <v>MG</v>
      </c>
      <c r="X7">
        <f t="shared" si="7"/>
        <v>241</v>
      </c>
      <c r="Z7" t="str">
        <v>RS</v>
      </c>
      <c r="AB7" t="str">
        <v>RS</v>
      </c>
      <c r="AC7">
        <v>110</v>
      </c>
      <c r="AD7" s="44">
        <f t="shared" si="8"/>
        <v>5.5E-2</v>
      </c>
      <c r="AE7">
        <f t="shared" si="9"/>
        <v>60.64</v>
      </c>
      <c r="AF7">
        <f t="shared" si="10"/>
        <v>15610.33</v>
      </c>
      <c r="AG7">
        <f t="shared" si="11"/>
        <v>2729.7098999999998</v>
      </c>
      <c r="AH7" s="46">
        <f t="shared" si="12"/>
        <v>17.486561142525495</v>
      </c>
      <c r="AI7">
        <f t="shared" si="13"/>
        <v>24.362000000000009</v>
      </c>
      <c r="AK7">
        <f t="shared" si="14"/>
        <v>96</v>
      </c>
      <c r="AL7" s="43">
        <f t="shared" si="15"/>
        <v>0.87272727272727268</v>
      </c>
      <c r="AM7">
        <f t="shared" si="16"/>
        <v>5</v>
      </c>
    </row>
    <row r="8" spans="1:39" x14ac:dyDescent="0.3">
      <c r="A8" s="20" t="s">
        <v>61</v>
      </c>
      <c r="B8" s="20" t="s">
        <v>62</v>
      </c>
      <c r="C8" s="21">
        <v>45300</v>
      </c>
      <c r="D8" s="21">
        <v>45317</v>
      </c>
      <c r="E8" s="21">
        <v>45323</v>
      </c>
      <c r="F8" s="20" t="s">
        <v>57</v>
      </c>
      <c r="G8" s="22">
        <v>119.5</v>
      </c>
      <c r="H8" s="22">
        <v>26.65</v>
      </c>
      <c r="I8" s="20" t="s">
        <v>45</v>
      </c>
      <c r="J8" s="20">
        <v>4</v>
      </c>
      <c r="K8" s="20" t="s">
        <v>46</v>
      </c>
      <c r="L8" s="23">
        <f t="shared" si="0"/>
        <v>45292</v>
      </c>
      <c r="M8" s="20">
        <f t="shared" si="1"/>
        <v>17</v>
      </c>
      <c r="N8" s="20">
        <f t="shared" si="2"/>
        <v>0</v>
      </c>
      <c r="O8" s="20">
        <f t="shared" si="3"/>
        <v>1</v>
      </c>
      <c r="P8" s="22">
        <f t="shared" si="4"/>
        <v>146.15</v>
      </c>
      <c r="Q8" s="22">
        <f>G8*INDEX(Assumptions!$B$8:$B$16,MATCH(F8,Assumptions!$A$8:$A$16,0))</f>
        <v>81.260000000000005</v>
      </c>
      <c r="R8" s="22">
        <f>H8*Assumptions!$B$3</f>
        <v>15.989999999999998</v>
      </c>
      <c r="S8" s="22">
        <f t="shared" si="5"/>
        <v>22.249999999999996</v>
      </c>
      <c r="T8" s="20" t="str">
        <f t="shared" si="6"/>
        <v>15-21 days</v>
      </c>
      <c r="W8" t="str">
        <v>ES</v>
      </c>
      <c r="X8">
        <f t="shared" si="7"/>
        <v>33</v>
      </c>
      <c r="Z8" t="str">
        <v>SC</v>
      </c>
      <c r="AB8" t="str">
        <v>SC</v>
      </c>
      <c r="AC8">
        <v>96</v>
      </c>
      <c r="AD8" s="44">
        <f t="shared" si="8"/>
        <v>4.8000000000000001E-2</v>
      </c>
      <c r="AE8">
        <f t="shared" si="9"/>
        <v>146.61000000000001</v>
      </c>
      <c r="AF8">
        <f t="shared" si="10"/>
        <v>13452.909999999991</v>
      </c>
      <c r="AG8">
        <f t="shared" si="11"/>
        <v>2562.6193999999996</v>
      </c>
      <c r="AH8" s="46">
        <f t="shared" si="12"/>
        <v>19.048811000742599</v>
      </c>
      <c r="AI8">
        <f t="shared" si="13"/>
        <v>24.13989583333333</v>
      </c>
      <c r="AK8">
        <f t="shared" si="14"/>
        <v>89</v>
      </c>
      <c r="AL8" s="43">
        <f t="shared" si="15"/>
        <v>0.92708333333333337</v>
      </c>
      <c r="AM8">
        <f t="shared" si="16"/>
        <v>6</v>
      </c>
    </row>
    <row r="9" spans="1:39" x14ac:dyDescent="0.3">
      <c r="A9" s="20" t="s">
        <v>63</v>
      </c>
      <c r="B9" s="20" t="s">
        <v>19</v>
      </c>
      <c r="C9" s="21">
        <v>45300</v>
      </c>
      <c r="D9" s="21">
        <v>45317</v>
      </c>
      <c r="E9" s="21">
        <v>45319</v>
      </c>
      <c r="F9" s="20" t="s">
        <v>64</v>
      </c>
      <c r="G9" s="22">
        <v>280.85000000000002</v>
      </c>
      <c r="H9" s="22">
        <v>22.93</v>
      </c>
      <c r="I9" s="20" t="s">
        <v>45</v>
      </c>
      <c r="J9" s="20">
        <v>5</v>
      </c>
      <c r="K9" s="20" t="s">
        <v>46</v>
      </c>
      <c r="L9" s="23">
        <f t="shared" si="0"/>
        <v>45292</v>
      </c>
      <c r="M9" s="20">
        <f t="shared" si="1"/>
        <v>17</v>
      </c>
      <c r="N9" s="20">
        <f t="shared" si="2"/>
        <v>0</v>
      </c>
      <c r="O9" s="20">
        <f t="shared" si="3"/>
        <v>1</v>
      </c>
      <c r="P9" s="22">
        <f t="shared" si="4"/>
        <v>303.78000000000003</v>
      </c>
      <c r="Q9" s="22">
        <f>G9*INDEX(Assumptions!$B$8:$B$16,MATCH(F9,Assumptions!$A$8:$A$16,0))</f>
        <v>185.36100000000002</v>
      </c>
      <c r="R9" s="22">
        <f>H9*Assumptions!$B$3</f>
        <v>13.757999999999999</v>
      </c>
      <c r="S9" s="22">
        <f t="shared" si="5"/>
        <v>81.731000000000009</v>
      </c>
      <c r="T9" s="20" t="str">
        <f t="shared" si="6"/>
        <v>15-21 days</v>
      </c>
      <c r="W9" t="str">
        <v>BA</v>
      </c>
      <c r="X9">
        <f t="shared" si="7"/>
        <v>65</v>
      </c>
      <c r="Z9" t="str">
        <v>BA</v>
      </c>
      <c r="AB9" t="str">
        <v>BA</v>
      </c>
      <c r="AC9">
        <v>65</v>
      </c>
      <c r="AD9" s="44">
        <f t="shared" si="8"/>
        <v>3.2500000000000001E-2</v>
      </c>
      <c r="AE9">
        <f t="shared" si="9"/>
        <v>146.15</v>
      </c>
      <c r="AF9">
        <f t="shared" si="10"/>
        <v>8267.8599999999969</v>
      </c>
      <c r="AG9">
        <f t="shared" si="11"/>
        <v>937.09559999999999</v>
      </c>
      <c r="AH9" s="46">
        <f t="shared" si="12"/>
        <v>11.334197724683296</v>
      </c>
      <c r="AI9">
        <f t="shared" si="13"/>
        <v>32.066307692307689</v>
      </c>
      <c r="AK9">
        <f t="shared" si="14"/>
        <v>61</v>
      </c>
      <c r="AL9" s="43">
        <f t="shared" si="15"/>
        <v>0.93846153846153846</v>
      </c>
      <c r="AM9">
        <f t="shared" si="16"/>
        <v>7</v>
      </c>
    </row>
    <row r="10" spans="1:39" x14ac:dyDescent="0.3">
      <c r="A10" s="20" t="s">
        <v>65</v>
      </c>
      <c r="B10" s="20" t="s">
        <v>19</v>
      </c>
      <c r="C10" s="21">
        <v>45303</v>
      </c>
      <c r="D10" s="21">
        <v>45309</v>
      </c>
      <c r="E10" s="21">
        <v>45318</v>
      </c>
      <c r="F10" s="20" t="s">
        <v>57</v>
      </c>
      <c r="G10" s="22">
        <v>42.07</v>
      </c>
      <c r="H10" s="22">
        <v>16.670000000000002</v>
      </c>
      <c r="I10" s="20" t="s">
        <v>45</v>
      </c>
      <c r="J10" s="20">
        <v>4</v>
      </c>
      <c r="K10" s="20" t="s">
        <v>46</v>
      </c>
      <c r="L10" s="23">
        <f t="shared" si="0"/>
        <v>45292</v>
      </c>
      <c r="M10" s="20">
        <f t="shared" si="1"/>
        <v>6</v>
      </c>
      <c r="N10" s="20">
        <f t="shared" si="2"/>
        <v>0</v>
      </c>
      <c r="O10" s="20">
        <f t="shared" si="3"/>
        <v>1</v>
      </c>
      <c r="P10" s="22">
        <f t="shared" si="4"/>
        <v>58.74</v>
      </c>
      <c r="Q10" s="22">
        <f>G10*INDEX(Assumptions!$B$8:$B$16,MATCH(F10,Assumptions!$A$8:$A$16,0))</f>
        <v>28.607600000000001</v>
      </c>
      <c r="R10" s="22">
        <f>H10*Assumptions!$B$3</f>
        <v>10.002000000000001</v>
      </c>
      <c r="S10" s="22">
        <f t="shared" si="5"/>
        <v>3.4603999999999981</v>
      </c>
      <c r="T10" s="20" t="str">
        <f t="shared" si="6"/>
        <v>0-7 days</v>
      </c>
      <c r="W10" t="str">
        <v>DF</v>
      </c>
      <c r="X10">
        <f t="shared" si="7"/>
        <v>52</v>
      </c>
      <c r="Z10" t="str">
        <v>GO</v>
      </c>
      <c r="AB10" t="str">
        <v>GO</v>
      </c>
      <c r="AC10">
        <v>60</v>
      </c>
      <c r="AD10" s="44">
        <f t="shared" si="8"/>
        <v>0.03</v>
      </c>
      <c r="AE10">
        <f t="shared" si="9"/>
        <v>303.78000000000003</v>
      </c>
      <c r="AF10">
        <f t="shared" si="10"/>
        <v>9527.25</v>
      </c>
      <c r="AG10">
        <f t="shared" si="11"/>
        <v>1708.0977000000003</v>
      </c>
      <c r="AH10" s="46">
        <f t="shared" si="12"/>
        <v>17.928549161615372</v>
      </c>
      <c r="AI10">
        <f t="shared" si="13"/>
        <v>26.811666666666664</v>
      </c>
      <c r="AK10">
        <f t="shared" si="14"/>
        <v>49</v>
      </c>
      <c r="AL10" s="43">
        <f t="shared" si="15"/>
        <v>0.81666666666666665</v>
      </c>
      <c r="AM10">
        <f t="shared" si="16"/>
        <v>8</v>
      </c>
    </row>
    <row r="11" spans="1:39" x14ac:dyDescent="0.3">
      <c r="A11" s="20" t="s">
        <v>66</v>
      </c>
      <c r="B11" s="20" t="s">
        <v>62</v>
      </c>
      <c r="C11" s="21">
        <v>45303</v>
      </c>
      <c r="D11" s="21">
        <v>45314</v>
      </c>
      <c r="E11" s="21">
        <v>45325</v>
      </c>
      <c r="F11" s="20" t="s">
        <v>67</v>
      </c>
      <c r="G11" s="22">
        <v>83.04</v>
      </c>
      <c r="H11" s="22">
        <v>23.66</v>
      </c>
      <c r="I11" s="20" t="s">
        <v>45</v>
      </c>
      <c r="J11" s="20">
        <v>4</v>
      </c>
      <c r="K11" s="20" t="s">
        <v>46</v>
      </c>
      <c r="L11" s="23">
        <f t="shared" si="0"/>
        <v>45292</v>
      </c>
      <c r="M11" s="20">
        <f t="shared" si="1"/>
        <v>11</v>
      </c>
      <c r="N11" s="20">
        <f t="shared" si="2"/>
        <v>0</v>
      </c>
      <c r="O11" s="20">
        <f t="shared" si="3"/>
        <v>1</v>
      </c>
      <c r="P11" s="22">
        <f t="shared" si="4"/>
        <v>106.7</v>
      </c>
      <c r="Q11" s="22">
        <f>G11*INDEX(Assumptions!$B$8:$B$16,MATCH(F11,Assumptions!$A$8:$A$16,0))</f>
        <v>51.484800000000007</v>
      </c>
      <c r="R11" s="22">
        <f>H11*Assumptions!$B$3</f>
        <v>14.196</v>
      </c>
      <c r="S11" s="22">
        <f t="shared" si="5"/>
        <v>17.359200000000001</v>
      </c>
      <c r="T11" s="20" t="str">
        <f t="shared" si="6"/>
        <v>8-14 days</v>
      </c>
      <c r="W11" t="str">
        <v>SC</v>
      </c>
      <c r="X11">
        <f t="shared" si="7"/>
        <v>96</v>
      </c>
      <c r="Z11" t="str">
        <v>DF</v>
      </c>
      <c r="AB11" t="str">
        <v>DF</v>
      </c>
      <c r="AC11">
        <v>52</v>
      </c>
      <c r="AD11" s="44">
        <f t="shared" si="8"/>
        <v>2.5999999999999999E-2</v>
      </c>
      <c r="AE11">
        <f t="shared" si="9"/>
        <v>58.74</v>
      </c>
      <c r="AF11">
        <f t="shared" si="10"/>
        <v>7697.4600000000019</v>
      </c>
      <c r="AG11">
        <f t="shared" si="11"/>
        <v>1537.2649999999999</v>
      </c>
      <c r="AH11" s="46">
        <f t="shared" si="12"/>
        <v>19.97106837840014</v>
      </c>
      <c r="AI11">
        <f t="shared" si="13"/>
        <v>24.015769230769234</v>
      </c>
      <c r="AK11">
        <f t="shared" si="14"/>
        <v>50</v>
      </c>
      <c r="AL11" s="43">
        <f t="shared" si="15"/>
        <v>0.96153846153846156</v>
      </c>
      <c r="AM11">
        <f t="shared" si="16"/>
        <v>9</v>
      </c>
    </row>
    <row r="12" spans="1:39" x14ac:dyDescent="0.3">
      <c r="A12" s="20" t="s">
        <v>68</v>
      </c>
      <c r="B12" s="20" t="s">
        <v>19</v>
      </c>
      <c r="C12" s="21">
        <v>45305</v>
      </c>
      <c r="D12" s="21">
        <v>45317</v>
      </c>
      <c r="E12" s="21">
        <v>45321</v>
      </c>
      <c r="F12" s="20" t="s">
        <v>64</v>
      </c>
      <c r="G12" s="22">
        <v>96.56</v>
      </c>
      <c r="H12" s="22">
        <v>12.89</v>
      </c>
      <c r="I12" s="20" t="s">
        <v>45</v>
      </c>
      <c r="J12" s="20">
        <v>4</v>
      </c>
      <c r="K12" s="20" t="s">
        <v>46</v>
      </c>
      <c r="L12" s="23">
        <f t="shared" si="0"/>
        <v>45292</v>
      </c>
      <c r="M12" s="20">
        <f t="shared" si="1"/>
        <v>12</v>
      </c>
      <c r="N12" s="20">
        <f t="shared" si="2"/>
        <v>0</v>
      </c>
      <c r="O12" s="20">
        <f t="shared" si="3"/>
        <v>1</v>
      </c>
      <c r="P12" s="22">
        <f t="shared" si="4"/>
        <v>109.45</v>
      </c>
      <c r="Q12" s="22">
        <f>G12*INDEX(Assumptions!$B$8:$B$16,MATCH(F12,Assumptions!$A$8:$A$16,0))</f>
        <v>63.729600000000005</v>
      </c>
      <c r="R12" s="22">
        <f>H12*Assumptions!$B$3</f>
        <v>7.734</v>
      </c>
      <c r="S12" s="22">
        <f t="shared" si="5"/>
        <v>25.096399999999996</v>
      </c>
      <c r="T12" s="20" t="str">
        <f t="shared" si="6"/>
        <v>8-14 days</v>
      </c>
      <c r="W12" t="str">
        <v>GO</v>
      </c>
      <c r="X12">
        <f t="shared" si="7"/>
        <v>60</v>
      </c>
      <c r="Z12" t="str">
        <v>PE</v>
      </c>
      <c r="AB12" t="str">
        <v>PE</v>
      </c>
      <c r="AC12">
        <v>42</v>
      </c>
      <c r="AD12" s="44">
        <f t="shared" si="8"/>
        <v>2.1000000000000001E-2</v>
      </c>
      <c r="AE12">
        <f t="shared" si="9"/>
        <v>106.7</v>
      </c>
      <c r="AF12">
        <f t="shared" si="10"/>
        <v>6527.8099999999995</v>
      </c>
      <c r="AG12">
        <f t="shared" si="11"/>
        <v>787.20450000000005</v>
      </c>
      <c r="AH12" s="46">
        <f t="shared" si="12"/>
        <v>12.059243452245088</v>
      </c>
      <c r="AI12">
        <f t="shared" si="13"/>
        <v>37.270714285714291</v>
      </c>
      <c r="AK12">
        <f t="shared" si="14"/>
        <v>38</v>
      </c>
      <c r="AL12" s="43">
        <f t="shared" si="15"/>
        <v>0.90476190476190477</v>
      </c>
      <c r="AM12">
        <f t="shared" si="16"/>
        <v>10</v>
      </c>
    </row>
    <row r="13" spans="1:39" x14ac:dyDescent="0.3">
      <c r="A13" s="20" t="s">
        <v>69</v>
      </c>
      <c r="B13" s="20" t="s">
        <v>19</v>
      </c>
      <c r="C13" s="21">
        <v>45307</v>
      </c>
      <c r="D13" s="21">
        <v>45316</v>
      </c>
      <c r="E13" s="21">
        <v>45324</v>
      </c>
      <c r="F13" s="20" t="s">
        <v>59</v>
      </c>
      <c r="G13" s="22">
        <v>40.630000000000003</v>
      </c>
      <c r="H13" s="22">
        <v>17.32</v>
      </c>
      <c r="I13" s="20" t="s">
        <v>60</v>
      </c>
      <c r="J13" s="20">
        <v>4</v>
      </c>
      <c r="K13" s="20" t="s">
        <v>46</v>
      </c>
      <c r="L13" s="23">
        <f t="shared" si="0"/>
        <v>45292</v>
      </c>
      <c r="M13" s="20">
        <f t="shared" si="1"/>
        <v>9</v>
      </c>
      <c r="N13" s="20">
        <f t="shared" si="2"/>
        <v>0</v>
      </c>
      <c r="O13" s="20">
        <f t="shared" si="3"/>
        <v>1</v>
      </c>
      <c r="P13" s="22">
        <f t="shared" si="4"/>
        <v>57.95</v>
      </c>
      <c r="Q13" s="22">
        <f>G13*INDEX(Assumptions!$B$8:$B$16,MATCH(F13,Assumptions!$A$8:$A$16,0))</f>
        <v>26.003200000000003</v>
      </c>
      <c r="R13" s="22">
        <f>H13*Assumptions!$B$3</f>
        <v>10.391999999999999</v>
      </c>
      <c r="S13" s="22">
        <f t="shared" si="5"/>
        <v>4.2347999999999999</v>
      </c>
      <c r="T13" s="20" t="str">
        <f t="shared" si="6"/>
        <v>8-14 days</v>
      </c>
      <c r="W13" t="str">
        <v>PE</v>
      </c>
      <c r="X13">
        <f t="shared" si="7"/>
        <v>42</v>
      </c>
      <c r="Z13" t="str">
        <v>ES</v>
      </c>
      <c r="AB13" t="str">
        <v>ES</v>
      </c>
      <c r="AC13">
        <v>33</v>
      </c>
      <c r="AD13" s="44">
        <f t="shared" si="8"/>
        <v>1.6500000000000001E-2</v>
      </c>
      <c r="AE13">
        <f t="shared" si="9"/>
        <v>109.45</v>
      </c>
      <c r="AF13">
        <f t="shared" si="10"/>
        <v>4059.0699999999997</v>
      </c>
      <c r="AG13">
        <f t="shared" si="11"/>
        <v>680.59799999999996</v>
      </c>
      <c r="AH13" s="46">
        <f t="shared" si="12"/>
        <v>16.767338331194093</v>
      </c>
      <c r="AI13">
        <f t="shared" si="13"/>
        <v>25.128181818181819</v>
      </c>
      <c r="AK13">
        <f t="shared" si="14"/>
        <v>28</v>
      </c>
      <c r="AL13" s="43">
        <f t="shared" si="15"/>
        <v>0.84848484848484851</v>
      </c>
      <c r="AM13">
        <f t="shared" si="16"/>
        <v>11</v>
      </c>
    </row>
    <row r="14" spans="1:39" x14ac:dyDescent="0.3">
      <c r="A14" s="20" t="s">
        <v>70</v>
      </c>
      <c r="B14" s="20" t="s">
        <v>19</v>
      </c>
      <c r="C14" s="21">
        <v>45309</v>
      </c>
      <c r="D14" s="21">
        <v>45315</v>
      </c>
      <c r="E14" s="21">
        <v>45326</v>
      </c>
      <c r="F14" s="20" t="s">
        <v>44</v>
      </c>
      <c r="G14" s="22">
        <v>60.84</v>
      </c>
      <c r="H14" s="22">
        <v>20.58</v>
      </c>
      <c r="I14" s="20" t="s">
        <v>45</v>
      </c>
      <c r="J14" s="20">
        <v>5</v>
      </c>
      <c r="K14" s="20" t="s">
        <v>46</v>
      </c>
      <c r="L14" s="23">
        <f t="shared" si="0"/>
        <v>45292</v>
      </c>
      <c r="M14" s="20">
        <f t="shared" si="1"/>
        <v>6</v>
      </c>
      <c r="N14" s="20">
        <f t="shared" si="2"/>
        <v>0</v>
      </c>
      <c r="O14" s="20">
        <f t="shared" si="3"/>
        <v>1</v>
      </c>
      <c r="P14" s="22">
        <f t="shared" si="4"/>
        <v>81.42</v>
      </c>
      <c r="Q14" s="22">
        <f>G14*INDEX(Assumptions!$B$8:$B$16,MATCH(F14,Assumptions!$A$8:$A$16,0))</f>
        <v>36.503999999999998</v>
      </c>
      <c r="R14" s="22">
        <f>H14*Assumptions!$B$3</f>
        <v>12.347999999999999</v>
      </c>
      <c r="S14" s="22">
        <f t="shared" si="5"/>
        <v>11.988000000000007</v>
      </c>
      <c r="T14" s="20" t="str">
        <f t="shared" si="6"/>
        <v>0-7 days</v>
      </c>
      <c r="W14" t="str">
        <v>CE</v>
      </c>
      <c r="X14">
        <f t="shared" si="7"/>
        <v>25</v>
      </c>
      <c r="Z14" t="str">
        <v>CE</v>
      </c>
      <c r="AB14" t="str">
        <v>CE</v>
      </c>
      <c r="AC14">
        <v>25</v>
      </c>
      <c r="AD14" s="44">
        <f t="shared" si="8"/>
        <v>1.2500000000000001E-2</v>
      </c>
      <c r="AE14">
        <f t="shared" si="9"/>
        <v>57.95</v>
      </c>
      <c r="AF14">
        <f t="shared" si="10"/>
        <v>4157.51</v>
      </c>
      <c r="AG14">
        <f t="shared" si="11"/>
        <v>561.91059999999993</v>
      </c>
      <c r="AH14" s="46">
        <f t="shared" si="12"/>
        <v>13.515556186274955</v>
      </c>
      <c r="AI14">
        <f t="shared" si="13"/>
        <v>40.014000000000003</v>
      </c>
      <c r="AL14" s="43">
        <f t="shared" si="15"/>
        <v>0</v>
      </c>
      <c r="AM14">
        <f>RANK(AC14,$AC14:$AC$14)</f>
        <v>1</v>
      </c>
    </row>
    <row r="15" spans="1:39" x14ac:dyDescent="0.3">
      <c r="A15" s="20" t="s">
        <v>71</v>
      </c>
      <c r="B15" s="20" t="s">
        <v>19</v>
      </c>
      <c r="C15" s="21">
        <v>45311</v>
      </c>
      <c r="D15" s="21">
        <v>45315</v>
      </c>
      <c r="E15" s="21">
        <v>45328</v>
      </c>
      <c r="F15" s="20" t="s">
        <v>59</v>
      </c>
      <c r="G15" s="22">
        <v>48.02</v>
      </c>
      <c r="H15" s="22">
        <v>15.63</v>
      </c>
      <c r="I15" s="20" t="s">
        <v>45</v>
      </c>
      <c r="J15" s="20">
        <v>3</v>
      </c>
      <c r="K15" s="20" t="s">
        <v>46</v>
      </c>
      <c r="L15" s="23">
        <f t="shared" si="0"/>
        <v>45292</v>
      </c>
      <c r="M15" s="20">
        <f t="shared" si="1"/>
        <v>4</v>
      </c>
      <c r="N15" s="20">
        <f t="shared" si="2"/>
        <v>0</v>
      </c>
      <c r="O15" s="20">
        <f t="shared" si="3"/>
        <v>1</v>
      </c>
      <c r="P15" s="22">
        <f t="shared" si="4"/>
        <v>63.650000000000006</v>
      </c>
      <c r="Q15" s="22">
        <f>G15*INDEX(Assumptions!$B$8:$B$16,MATCH(F15,Assumptions!$A$8:$A$16,0))</f>
        <v>30.732800000000001</v>
      </c>
      <c r="R15" s="22">
        <f>H15*Assumptions!$B$3</f>
        <v>9.3780000000000001</v>
      </c>
      <c r="S15" s="22">
        <f t="shared" si="5"/>
        <v>7.909200000000002</v>
      </c>
      <c r="T15" s="20" t="str">
        <f t="shared" si="6"/>
        <v>0-7 days</v>
      </c>
      <c r="W15">
        <v>0</v>
      </c>
      <c r="AC15">
        <f>SUM(AC3:AC14)</f>
        <v>2000</v>
      </c>
      <c r="AF15">
        <v>1000</v>
      </c>
      <c r="AG15">
        <v>500</v>
      </c>
      <c r="AH15" s="46">
        <f t="shared" ref="AH15" si="17">AF15/AG15</f>
        <v>2</v>
      </c>
    </row>
    <row r="16" spans="1:39" x14ac:dyDescent="0.3">
      <c r="A16" s="20" t="s">
        <v>72</v>
      </c>
      <c r="B16" s="20" t="s">
        <v>19</v>
      </c>
      <c r="C16" s="21">
        <v>45313</v>
      </c>
      <c r="D16" s="21">
        <v>45323</v>
      </c>
      <c r="E16" s="21">
        <v>45324</v>
      </c>
      <c r="F16" s="20" t="s">
        <v>67</v>
      </c>
      <c r="G16" s="22">
        <v>61.25</v>
      </c>
      <c r="H16" s="22">
        <v>12.74</v>
      </c>
      <c r="I16" s="20" t="s">
        <v>60</v>
      </c>
      <c r="J16" s="20">
        <v>5</v>
      </c>
      <c r="K16" s="20" t="s">
        <v>46</v>
      </c>
      <c r="L16" s="23">
        <f t="shared" si="0"/>
        <v>45292</v>
      </c>
      <c r="M16" s="20">
        <f t="shared" si="1"/>
        <v>10</v>
      </c>
      <c r="N16" s="20">
        <f t="shared" si="2"/>
        <v>0</v>
      </c>
      <c r="O16" s="20">
        <f t="shared" si="3"/>
        <v>1</v>
      </c>
      <c r="P16" s="22">
        <f t="shared" si="4"/>
        <v>73.989999999999995</v>
      </c>
      <c r="Q16" s="22">
        <f>G16*INDEX(Assumptions!$B$8:$B$16,MATCH(F16,Assumptions!$A$8:$A$16,0))</f>
        <v>37.975000000000001</v>
      </c>
      <c r="R16" s="22">
        <f>H16*Assumptions!$B$3</f>
        <v>7.6440000000000001</v>
      </c>
      <c r="S16" s="22">
        <f t="shared" si="5"/>
        <v>15.630999999999998</v>
      </c>
      <c r="T16" s="20" t="str">
        <f t="shared" si="6"/>
        <v>8-14 days</v>
      </c>
    </row>
    <row r="17" spans="1:38" x14ac:dyDescent="0.3">
      <c r="A17" s="20" t="s">
        <v>73</v>
      </c>
      <c r="B17" s="20" t="s">
        <v>62</v>
      </c>
      <c r="C17" s="21">
        <v>45314</v>
      </c>
      <c r="D17" s="21">
        <v>45327</v>
      </c>
      <c r="E17" s="21">
        <v>45338</v>
      </c>
      <c r="F17" s="20" t="s">
        <v>67</v>
      </c>
      <c r="G17" s="22">
        <v>33.18</v>
      </c>
      <c r="H17" s="22">
        <v>17.66</v>
      </c>
      <c r="I17" s="20" t="s">
        <v>45</v>
      </c>
      <c r="J17" s="20">
        <v>4</v>
      </c>
      <c r="K17" s="20" t="s">
        <v>46</v>
      </c>
      <c r="L17" s="23">
        <f t="shared" si="0"/>
        <v>45292</v>
      </c>
      <c r="M17" s="20">
        <f t="shared" si="1"/>
        <v>13</v>
      </c>
      <c r="N17" s="20">
        <f t="shared" si="2"/>
        <v>0</v>
      </c>
      <c r="O17" s="20">
        <f t="shared" si="3"/>
        <v>1</v>
      </c>
      <c r="P17" s="22">
        <f t="shared" si="4"/>
        <v>50.84</v>
      </c>
      <c r="Q17" s="22">
        <f>G17*INDEX(Assumptions!$B$8:$B$16,MATCH(F17,Assumptions!$A$8:$A$16,0))</f>
        <v>20.5716</v>
      </c>
      <c r="R17" s="22">
        <f>H17*Assumptions!$B$3</f>
        <v>10.596</v>
      </c>
      <c r="S17" s="22">
        <f t="shared" si="5"/>
        <v>2.0123999999999995</v>
      </c>
      <c r="T17" s="20" t="str">
        <f t="shared" si="6"/>
        <v>8-14 days</v>
      </c>
    </row>
    <row r="18" spans="1:38" x14ac:dyDescent="0.3">
      <c r="A18" s="20" t="s">
        <v>74</v>
      </c>
      <c r="B18" s="20" t="s">
        <v>19</v>
      </c>
      <c r="C18" s="21">
        <v>45314</v>
      </c>
      <c r="D18" s="21">
        <v>45327</v>
      </c>
      <c r="E18" s="21">
        <v>45335</v>
      </c>
      <c r="F18" s="20" t="s">
        <v>67</v>
      </c>
      <c r="G18" s="22">
        <v>250.5</v>
      </c>
      <c r="H18" s="22">
        <v>25.67</v>
      </c>
      <c r="I18" s="20" t="s">
        <v>50</v>
      </c>
      <c r="J18" s="20">
        <v>4</v>
      </c>
      <c r="K18" s="20" t="s">
        <v>46</v>
      </c>
      <c r="L18" s="23">
        <f t="shared" si="0"/>
        <v>45292</v>
      </c>
      <c r="M18" s="20">
        <f t="shared" si="1"/>
        <v>13</v>
      </c>
      <c r="N18" s="20">
        <f t="shared" si="2"/>
        <v>0</v>
      </c>
      <c r="O18" s="20">
        <f t="shared" si="3"/>
        <v>1</v>
      </c>
      <c r="P18" s="22">
        <f t="shared" si="4"/>
        <v>276.17</v>
      </c>
      <c r="Q18" s="22">
        <f>G18*INDEX(Assumptions!$B$8:$B$16,MATCH(F18,Assumptions!$A$8:$A$16,0))</f>
        <v>155.31</v>
      </c>
      <c r="R18" s="22">
        <f>H18*Assumptions!$B$3</f>
        <v>15.402000000000001</v>
      </c>
      <c r="S18" s="22">
        <f t="shared" si="5"/>
        <v>79.787999999999997</v>
      </c>
      <c r="T18" s="20" t="str">
        <f t="shared" si="6"/>
        <v>8-14 days</v>
      </c>
      <c r="AF18" s="41" t="s">
        <v>2120</v>
      </c>
      <c r="AG18" t="s">
        <v>2122</v>
      </c>
    </row>
    <row r="19" spans="1:38" x14ac:dyDescent="0.3">
      <c r="A19" s="20" t="s">
        <v>75</v>
      </c>
      <c r="B19" s="20" t="s">
        <v>19</v>
      </c>
      <c r="C19" s="21">
        <v>45314</v>
      </c>
      <c r="D19" s="21">
        <v>45319</v>
      </c>
      <c r="E19" s="21">
        <v>45326</v>
      </c>
      <c r="F19" s="20" t="s">
        <v>44</v>
      </c>
      <c r="G19" s="22">
        <v>89.54</v>
      </c>
      <c r="H19" s="22">
        <v>18.61</v>
      </c>
      <c r="I19" s="20" t="s">
        <v>45</v>
      </c>
      <c r="J19" s="20">
        <v>5</v>
      </c>
      <c r="K19" s="20" t="s">
        <v>46</v>
      </c>
      <c r="L19" s="23">
        <f t="shared" si="0"/>
        <v>45292</v>
      </c>
      <c r="M19" s="20">
        <f t="shared" si="1"/>
        <v>5</v>
      </c>
      <c r="N19" s="20">
        <f t="shared" si="2"/>
        <v>0</v>
      </c>
      <c r="O19" s="20">
        <f t="shared" si="3"/>
        <v>1</v>
      </c>
      <c r="P19" s="22">
        <f t="shared" si="4"/>
        <v>108.15</v>
      </c>
      <c r="Q19" s="22">
        <f>G19*INDEX(Assumptions!$B$8:$B$16,MATCH(F19,Assumptions!$A$8:$A$16,0))</f>
        <v>53.724000000000004</v>
      </c>
      <c r="R19" s="22">
        <f>H19*Assumptions!$B$3</f>
        <v>11.165999999999999</v>
      </c>
      <c r="S19" s="22">
        <f t="shared" si="5"/>
        <v>24.650000000000006</v>
      </c>
      <c r="T19" s="20" t="str">
        <f t="shared" si="6"/>
        <v>0-7 days</v>
      </c>
      <c r="AF19" s="42" t="s">
        <v>19</v>
      </c>
      <c r="AG19">
        <v>909</v>
      </c>
      <c r="AH19" s="44">
        <f>GETPIVOTDATA("order_id",$AF$18,"customer_state","SP")/GETPIVOTDATA("order_id",$AF$18)</f>
        <v>0.45450000000000002</v>
      </c>
      <c r="AK19" s="48" t="s">
        <v>2124</v>
      </c>
      <c r="AL19" s="48"/>
    </row>
    <row r="20" spans="1:38" x14ac:dyDescent="0.3">
      <c r="A20" s="20" t="s">
        <v>76</v>
      </c>
      <c r="B20" s="20" t="s">
        <v>77</v>
      </c>
      <c r="C20" s="21">
        <v>45315</v>
      </c>
      <c r="D20" s="21">
        <v>45338</v>
      </c>
      <c r="E20" s="21">
        <v>45335</v>
      </c>
      <c r="F20" s="20" t="s">
        <v>49</v>
      </c>
      <c r="G20" s="22">
        <v>112.6</v>
      </c>
      <c r="H20" s="22">
        <v>19.63</v>
      </c>
      <c r="I20" s="20" t="s">
        <v>60</v>
      </c>
      <c r="J20" s="20">
        <v>3</v>
      </c>
      <c r="K20" s="20" t="s">
        <v>46</v>
      </c>
      <c r="L20" s="23">
        <f t="shared" si="0"/>
        <v>45292</v>
      </c>
      <c r="M20" s="20">
        <f t="shared" si="1"/>
        <v>23</v>
      </c>
      <c r="N20" s="20">
        <f t="shared" si="2"/>
        <v>3</v>
      </c>
      <c r="O20" s="20">
        <f t="shared" si="3"/>
        <v>0</v>
      </c>
      <c r="P20" s="22">
        <f t="shared" si="4"/>
        <v>132.22999999999999</v>
      </c>
      <c r="Q20" s="22">
        <f>G20*INDEX(Assumptions!$B$8:$B$16,MATCH(F20,Assumptions!$A$8:$A$16,0))</f>
        <v>65.307999999999993</v>
      </c>
      <c r="R20" s="22">
        <f>H20*Assumptions!$B$3</f>
        <v>11.777999999999999</v>
      </c>
      <c r="S20" s="22">
        <f t="shared" si="5"/>
        <v>35.514000000000003</v>
      </c>
      <c r="T20" s="20" t="str">
        <f t="shared" si="6"/>
        <v>22+ days</v>
      </c>
      <c r="AF20" s="42" t="s">
        <v>55</v>
      </c>
      <c r="AG20">
        <v>252</v>
      </c>
      <c r="AK20" s="48"/>
      <c r="AL20" s="48"/>
    </row>
    <row r="21" spans="1:38" x14ac:dyDescent="0.3">
      <c r="A21" s="20" t="s">
        <v>78</v>
      </c>
      <c r="B21" s="20" t="s">
        <v>55</v>
      </c>
      <c r="C21" s="21">
        <v>45323</v>
      </c>
      <c r="D21" s="21">
        <v>45353</v>
      </c>
      <c r="E21" s="21">
        <v>45347</v>
      </c>
      <c r="F21" s="20" t="s">
        <v>79</v>
      </c>
      <c r="G21" s="22">
        <v>85.11</v>
      </c>
      <c r="H21" s="22">
        <v>25.44</v>
      </c>
      <c r="I21" s="20" t="s">
        <v>60</v>
      </c>
      <c r="J21" s="20">
        <v>3</v>
      </c>
      <c r="K21" s="20" t="s">
        <v>46</v>
      </c>
      <c r="L21" s="23">
        <f t="shared" si="0"/>
        <v>45323</v>
      </c>
      <c r="M21" s="20">
        <f t="shared" si="1"/>
        <v>30</v>
      </c>
      <c r="N21" s="20">
        <f t="shared" si="2"/>
        <v>6</v>
      </c>
      <c r="O21" s="20">
        <f t="shared" si="3"/>
        <v>0</v>
      </c>
      <c r="P21" s="22">
        <f t="shared" si="4"/>
        <v>110.55</v>
      </c>
      <c r="Q21" s="22">
        <f>G21*INDEX(Assumptions!$B$8:$B$16,MATCH(F21,Assumptions!$A$8:$A$16,0))</f>
        <v>59.576999999999998</v>
      </c>
      <c r="R21" s="22">
        <f>H21*Assumptions!$B$3</f>
        <v>15.263999999999999</v>
      </c>
      <c r="S21" s="22">
        <f t="shared" si="5"/>
        <v>10.269000000000002</v>
      </c>
      <c r="T21" s="20" t="str">
        <f t="shared" si="6"/>
        <v>22+ days</v>
      </c>
      <c r="AF21" s="42" t="s">
        <v>62</v>
      </c>
      <c r="AG21">
        <v>241</v>
      </c>
      <c r="AK21" s="45">
        <f>SUM(P2:P2001)</f>
        <v>264925.6599999998</v>
      </c>
    </row>
    <row r="22" spans="1:38" x14ac:dyDescent="0.3">
      <c r="A22" s="20" t="s">
        <v>80</v>
      </c>
      <c r="B22" s="20" t="s">
        <v>55</v>
      </c>
      <c r="C22" s="21">
        <v>45324</v>
      </c>
      <c r="D22" s="21">
        <v>45334</v>
      </c>
      <c r="E22" s="21">
        <v>45345</v>
      </c>
      <c r="F22" s="20" t="s">
        <v>67</v>
      </c>
      <c r="G22" s="22">
        <v>62.55</v>
      </c>
      <c r="H22" s="22">
        <v>25.58</v>
      </c>
      <c r="I22" s="20" t="s">
        <v>45</v>
      </c>
      <c r="J22" s="20">
        <v>4</v>
      </c>
      <c r="K22" s="20" t="s">
        <v>46</v>
      </c>
      <c r="L22" s="23">
        <f t="shared" si="0"/>
        <v>45323</v>
      </c>
      <c r="M22" s="20">
        <f t="shared" si="1"/>
        <v>10</v>
      </c>
      <c r="N22" s="20">
        <f t="shared" si="2"/>
        <v>0</v>
      </c>
      <c r="O22" s="20">
        <f t="shared" si="3"/>
        <v>1</v>
      </c>
      <c r="P22" s="22">
        <f t="shared" si="4"/>
        <v>88.13</v>
      </c>
      <c r="Q22" s="22">
        <f>G22*INDEX(Assumptions!$B$8:$B$16,MATCH(F22,Assumptions!$A$8:$A$16,0))</f>
        <v>38.780999999999999</v>
      </c>
      <c r="R22" s="22">
        <f>H22*Assumptions!$B$3</f>
        <v>15.347999999999999</v>
      </c>
      <c r="S22" s="22">
        <f t="shared" si="5"/>
        <v>8.4209999999999994</v>
      </c>
      <c r="T22" s="20" t="str">
        <f t="shared" si="6"/>
        <v>8-14 days</v>
      </c>
      <c r="AF22" s="42" t="s">
        <v>48</v>
      </c>
      <c r="AG22">
        <v>115</v>
      </c>
    </row>
    <row r="23" spans="1:38" x14ac:dyDescent="0.3">
      <c r="A23" s="20" t="s">
        <v>81</v>
      </c>
      <c r="B23" s="20" t="s">
        <v>52</v>
      </c>
      <c r="C23" s="21">
        <v>45324</v>
      </c>
      <c r="D23" s="21">
        <v>45334</v>
      </c>
      <c r="E23" s="21">
        <v>45353</v>
      </c>
      <c r="F23" s="20" t="s">
        <v>64</v>
      </c>
      <c r="G23" s="22">
        <v>97.97</v>
      </c>
      <c r="H23" s="22">
        <v>27.76</v>
      </c>
      <c r="I23" s="20" t="s">
        <v>45</v>
      </c>
      <c r="J23" s="20">
        <v>3</v>
      </c>
      <c r="K23" s="20" t="s">
        <v>46</v>
      </c>
      <c r="L23" s="23">
        <f t="shared" si="0"/>
        <v>45323</v>
      </c>
      <c r="M23" s="20">
        <f t="shared" si="1"/>
        <v>10</v>
      </c>
      <c r="N23" s="20">
        <f t="shared" si="2"/>
        <v>0</v>
      </c>
      <c r="O23" s="20">
        <f t="shared" si="3"/>
        <v>1</v>
      </c>
      <c r="P23" s="22">
        <f t="shared" si="4"/>
        <v>125.73</v>
      </c>
      <c r="Q23" s="22">
        <f>G23*INDEX(Assumptions!$B$8:$B$16,MATCH(F23,Assumptions!$A$8:$A$16,0))</f>
        <v>64.660200000000003</v>
      </c>
      <c r="R23" s="22">
        <f>H23*Assumptions!$B$3</f>
        <v>16.655999999999999</v>
      </c>
      <c r="S23" s="22">
        <f t="shared" si="5"/>
        <v>16.653799999999997</v>
      </c>
      <c r="T23" s="20" t="str">
        <f t="shared" si="6"/>
        <v>8-14 days</v>
      </c>
      <c r="AF23" s="42" t="s">
        <v>52</v>
      </c>
      <c r="AG23">
        <v>110</v>
      </c>
    </row>
    <row r="24" spans="1:38" x14ac:dyDescent="0.3">
      <c r="A24" s="20" t="s">
        <v>82</v>
      </c>
      <c r="B24" s="20" t="s">
        <v>19</v>
      </c>
      <c r="C24" s="21">
        <v>45325</v>
      </c>
      <c r="D24" s="21">
        <v>45334</v>
      </c>
      <c r="E24" s="21">
        <v>45335</v>
      </c>
      <c r="F24" s="20" t="s">
        <v>59</v>
      </c>
      <c r="G24" s="22">
        <v>70.84</v>
      </c>
      <c r="H24" s="22">
        <v>20.21</v>
      </c>
      <c r="I24" s="20" t="s">
        <v>45</v>
      </c>
      <c r="J24" s="20">
        <v>5</v>
      </c>
      <c r="K24" s="20" t="s">
        <v>46</v>
      </c>
      <c r="L24" s="23">
        <f t="shared" si="0"/>
        <v>45323</v>
      </c>
      <c r="M24" s="20">
        <f t="shared" si="1"/>
        <v>9</v>
      </c>
      <c r="N24" s="20">
        <f t="shared" si="2"/>
        <v>0</v>
      </c>
      <c r="O24" s="20">
        <f t="shared" si="3"/>
        <v>1</v>
      </c>
      <c r="P24" s="22">
        <f t="shared" si="4"/>
        <v>91.050000000000011</v>
      </c>
      <c r="Q24" s="22">
        <f>G24*INDEX(Assumptions!$B$8:$B$16,MATCH(F24,Assumptions!$A$8:$A$16,0))</f>
        <v>45.337600000000002</v>
      </c>
      <c r="R24" s="22">
        <f>H24*Assumptions!$B$3</f>
        <v>12.125999999999999</v>
      </c>
      <c r="S24" s="22">
        <f t="shared" si="5"/>
        <v>13.376400000000002</v>
      </c>
      <c r="T24" s="20" t="str">
        <f t="shared" si="6"/>
        <v>8-14 days</v>
      </c>
      <c r="AF24" s="42" t="s">
        <v>134</v>
      </c>
      <c r="AG24">
        <v>96</v>
      </c>
    </row>
    <row r="25" spans="1:38" x14ac:dyDescent="0.3">
      <c r="A25" s="20" t="s">
        <v>83</v>
      </c>
      <c r="B25" s="20" t="s">
        <v>19</v>
      </c>
      <c r="C25" s="21">
        <v>45325</v>
      </c>
      <c r="D25" s="21">
        <v>45335</v>
      </c>
      <c r="E25" s="21">
        <v>45340</v>
      </c>
      <c r="F25" s="20" t="s">
        <v>67</v>
      </c>
      <c r="G25" s="22">
        <v>55.04</v>
      </c>
      <c r="H25" s="22">
        <v>14.16</v>
      </c>
      <c r="I25" s="20" t="s">
        <v>60</v>
      </c>
      <c r="J25" s="20">
        <v>5</v>
      </c>
      <c r="K25" s="20" t="s">
        <v>46</v>
      </c>
      <c r="L25" s="23">
        <f t="shared" si="0"/>
        <v>45323</v>
      </c>
      <c r="M25" s="20">
        <f t="shared" si="1"/>
        <v>10</v>
      </c>
      <c r="N25" s="20">
        <f t="shared" si="2"/>
        <v>0</v>
      </c>
      <c r="O25" s="20">
        <f t="shared" si="3"/>
        <v>1</v>
      </c>
      <c r="P25" s="22">
        <f t="shared" si="4"/>
        <v>69.2</v>
      </c>
      <c r="Q25" s="22">
        <f>G25*INDEX(Assumptions!$B$8:$B$16,MATCH(F25,Assumptions!$A$8:$A$16,0))</f>
        <v>34.1248</v>
      </c>
      <c r="R25" s="22">
        <f>H25*Assumptions!$B$3</f>
        <v>8.4960000000000004</v>
      </c>
      <c r="S25" s="22">
        <f t="shared" si="5"/>
        <v>12.419199999999998</v>
      </c>
      <c r="T25" s="20" t="str">
        <f t="shared" si="6"/>
        <v>8-14 days</v>
      </c>
      <c r="AF25" s="42" t="s">
        <v>93</v>
      </c>
      <c r="AG25">
        <v>65</v>
      </c>
    </row>
    <row r="26" spans="1:38" x14ac:dyDescent="0.3">
      <c r="A26" s="20" t="s">
        <v>84</v>
      </c>
      <c r="B26" s="20" t="s">
        <v>19</v>
      </c>
      <c r="C26" s="21">
        <v>45325</v>
      </c>
      <c r="D26" s="21">
        <v>45336</v>
      </c>
      <c r="E26" s="21">
        <v>45337</v>
      </c>
      <c r="F26" s="20" t="s">
        <v>79</v>
      </c>
      <c r="G26" s="22">
        <v>67.989999999999995</v>
      </c>
      <c r="H26" s="22">
        <v>12.43</v>
      </c>
      <c r="I26" s="20" t="s">
        <v>45</v>
      </c>
      <c r="J26" s="20">
        <v>4</v>
      </c>
      <c r="K26" s="20" t="s">
        <v>46</v>
      </c>
      <c r="L26" s="23">
        <f t="shared" si="0"/>
        <v>45323</v>
      </c>
      <c r="M26" s="20">
        <f t="shared" si="1"/>
        <v>11</v>
      </c>
      <c r="N26" s="20">
        <f t="shared" si="2"/>
        <v>0</v>
      </c>
      <c r="O26" s="20">
        <f t="shared" si="3"/>
        <v>1</v>
      </c>
      <c r="P26" s="22">
        <f t="shared" si="4"/>
        <v>80.419999999999987</v>
      </c>
      <c r="Q26" s="22">
        <f>G26*INDEX(Assumptions!$B$8:$B$16,MATCH(F26,Assumptions!$A$8:$A$16,0))</f>
        <v>47.592999999999996</v>
      </c>
      <c r="R26" s="22">
        <f>H26*Assumptions!$B$3</f>
        <v>7.4579999999999993</v>
      </c>
      <c r="S26" s="22">
        <f t="shared" si="5"/>
        <v>12.939</v>
      </c>
      <c r="T26" s="20" t="str">
        <f t="shared" si="6"/>
        <v>8-14 days</v>
      </c>
      <c r="AF26" s="42" t="s">
        <v>156</v>
      </c>
      <c r="AG26">
        <v>60</v>
      </c>
    </row>
    <row r="27" spans="1:38" x14ac:dyDescent="0.3">
      <c r="A27" s="20" t="s">
        <v>85</v>
      </c>
      <c r="B27" s="20" t="s">
        <v>19</v>
      </c>
      <c r="C27" s="21">
        <v>45326</v>
      </c>
      <c r="D27" s="21">
        <v>45332</v>
      </c>
      <c r="E27" s="21">
        <v>45341</v>
      </c>
      <c r="F27" s="20" t="s">
        <v>64</v>
      </c>
      <c r="G27" s="22">
        <v>138.63999999999999</v>
      </c>
      <c r="H27" s="22">
        <v>20.77</v>
      </c>
      <c r="I27" s="20" t="s">
        <v>45</v>
      </c>
      <c r="J27" s="20">
        <v>4</v>
      </c>
      <c r="K27" s="20" t="s">
        <v>46</v>
      </c>
      <c r="L27" s="23">
        <f t="shared" si="0"/>
        <v>45323</v>
      </c>
      <c r="M27" s="20">
        <f t="shared" si="1"/>
        <v>6</v>
      </c>
      <c r="N27" s="20">
        <f t="shared" si="2"/>
        <v>0</v>
      </c>
      <c r="O27" s="20">
        <f t="shared" si="3"/>
        <v>1</v>
      </c>
      <c r="P27" s="22">
        <f t="shared" si="4"/>
        <v>159.41</v>
      </c>
      <c r="Q27" s="22">
        <f>G27*INDEX(Assumptions!$B$8:$B$16,MATCH(F27,Assumptions!$A$8:$A$16,0))</f>
        <v>91.502399999999994</v>
      </c>
      <c r="R27" s="22">
        <f>H27*Assumptions!$B$3</f>
        <v>12.462</v>
      </c>
      <c r="S27" s="22">
        <f t="shared" si="5"/>
        <v>34.675599999999989</v>
      </c>
      <c r="T27" s="20" t="str">
        <f t="shared" si="6"/>
        <v>0-7 days</v>
      </c>
      <c r="AF27" s="42" t="s">
        <v>103</v>
      </c>
      <c r="AG27">
        <v>52</v>
      </c>
    </row>
    <row r="28" spans="1:38" x14ac:dyDescent="0.3">
      <c r="A28" s="20" t="s">
        <v>86</v>
      </c>
      <c r="B28" s="20" t="s">
        <v>19</v>
      </c>
      <c r="C28" s="21">
        <v>45327</v>
      </c>
      <c r="D28" s="21">
        <v>45333</v>
      </c>
      <c r="E28" s="21">
        <v>45346</v>
      </c>
      <c r="F28" s="20" t="s">
        <v>79</v>
      </c>
      <c r="G28" s="22">
        <v>69.099999999999994</v>
      </c>
      <c r="H28" s="22">
        <v>18.239999999999998</v>
      </c>
      <c r="I28" s="20" t="s">
        <v>60</v>
      </c>
      <c r="J28" s="20">
        <v>5</v>
      </c>
      <c r="K28" s="20" t="s">
        <v>46</v>
      </c>
      <c r="L28" s="23">
        <f t="shared" si="0"/>
        <v>45323</v>
      </c>
      <c r="M28" s="20">
        <f t="shared" si="1"/>
        <v>6</v>
      </c>
      <c r="N28" s="20">
        <f t="shared" si="2"/>
        <v>0</v>
      </c>
      <c r="O28" s="20">
        <f t="shared" si="3"/>
        <v>1</v>
      </c>
      <c r="P28" s="22">
        <f t="shared" si="4"/>
        <v>87.339999999999989</v>
      </c>
      <c r="Q28" s="22">
        <f>G28*INDEX(Assumptions!$B$8:$B$16,MATCH(F28,Assumptions!$A$8:$A$16,0))</f>
        <v>48.36999999999999</v>
      </c>
      <c r="R28" s="22">
        <f>H28*Assumptions!$B$3</f>
        <v>10.943999999999999</v>
      </c>
      <c r="S28" s="22">
        <f t="shared" si="5"/>
        <v>9.7860000000000049</v>
      </c>
      <c r="T28" s="20" t="str">
        <f t="shared" si="6"/>
        <v>0-7 days</v>
      </c>
      <c r="AF28" s="42" t="s">
        <v>174</v>
      </c>
      <c r="AG28">
        <v>42</v>
      </c>
    </row>
    <row r="29" spans="1:38" x14ac:dyDescent="0.3">
      <c r="A29" s="20" t="s">
        <v>87</v>
      </c>
      <c r="B29" s="20" t="s">
        <v>19</v>
      </c>
      <c r="C29" s="21">
        <v>45329</v>
      </c>
      <c r="D29" s="21">
        <v>45336</v>
      </c>
      <c r="E29" s="21">
        <v>45348</v>
      </c>
      <c r="F29" s="20" t="s">
        <v>59</v>
      </c>
      <c r="G29" s="22">
        <v>92.54</v>
      </c>
      <c r="H29" s="22">
        <v>21.21</v>
      </c>
      <c r="I29" s="20" t="s">
        <v>60</v>
      </c>
      <c r="J29" s="20">
        <v>5</v>
      </c>
      <c r="K29" s="20" t="s">
        <v>46</v>
      </c>
      <c r="L29" s="23">
        <f t="shared" si="0"/>
        <v>45323</v>
      </c>
      <c r="M29" s="20">
        <f t="shared" si="1"/>
        <v>7</v>
      </c>
      <c r="N29" s="20">
        <f t="shared" si="2"/>
        <v>0</v>
      </c>
      <c r="O29" s="20">
        <f t="shared" si="3"/>
        <v>1</v>
      </c>
      <c r="P29" s="22">
        <f t="shared" si="4"/>
        <v>113.75</v>
      </c>
      <c r="Q29" s="22">
        <f>G29*INDEX(Assumptions!$B$8:$B$16,MATCH(F29,Assumptions!$A$8:$A$16,0))</f>
        <v>59.225600000000007</v>
      </c>
      <c r="R29" s="22">
        <f>H29*Assumptions!$B$3</f>
        <v>12.726000000000001</v>
      </c>
      <c r="S29" s="22">
        <f t="shared" si="5"/>
        <v>20.5884</v>
      </c>
      <c r="T29" s="20" t="str">
        <f t="shared" si="6"/>
        <v>0-7 days</v>
      </c>
      <c r="AF29" s="42" t="s">
        <v>77</v>
      </c>
      <c r="AG29">
        <v>33</v>
      </c>
    </row>
    <row r="30" spans="1:38" x14ac:dyDescent="0.3">
      <c r="A30" s="20" t="s">
        <v>88</v>
      </c>
      <c r="B30" s="20" t="s">
        <v>55</v>
      </c>
      <c r="C30" s="21">
        <v>45330</v>
      </c>
      <c r="D30" s="21">
        <v>45353</v>
      </c>
      <c r="E30" s="21">
        <v>45355</v>
      </c>
      <c r="F30" s="20" t="s">
        <v>57</v>
      </c>
      <c r="G30" s="22">
        <v>146.52000000000001</v>
      </c>
      <c r="H30" s="22">
        <v>30.68</v>
      </c>
      <c r="I30" s="20" t="s">
        <v>45</v>
      </c>
      <c r="J30" s="20">
        <v>3</v>
      </c>
      <c r="K30" s="20" t="s">
        <v>46</v>
      </c>
      <c r="L30" s="23">
        <f t="shared" si="0"/>
        <v>45323</v>
      </c>
      <c r="M30" s="20">
        <f t="shared" si="1"/>
        <v>23</v>
      </c>
      <c r="N30" s="20">
        <f t="shared" si="2"/>
        <v>0</v>
      </c>
      <c r="O30" s="20">
        <f t="shared" si="3"/>
        <v>1</v>
      </c>
      <c r="P30" s="22">
        <f t="shared" si="4"/>
        <v>177.20000000000002</v>
      </c>
      <c r="Q30" s="22">
        <f>G30*INDEX(Assumptions!$B$8:$B$16,MATCH(F30,Assumptions!$A$8:$A$16,0))</f>
        <v>99.633600000000015</v>
      </c>
      <c r="R30" s="22">
        <f>H30*Assumptions!$B$3</f>
        <v>18.407999999999998</v>
      </c>
      <c r="S30" s="22">
        <f t="shared" si="5"/>
        <v>28.478399999999997</v>
      </c>
      <c r="T30" s="20" t="str">
        <f t="shared" si="6"/>
        <v>22+ days</v>
      </c>
      <c r="AF30" s="42" t="s">
        <v>201</v>
      </c>
      <c r="AG30">
        <v>25</v>
      </c>
    </row>
    <row r="31" spans="1:38" x14ac:dyDescent="0.3">
      <c r="A31" s="20" t="s">
        <v>89</v>
      </c>
      <c r="B31" s="20" t="s">
        <v>62</v>
      </c>
      <c r="C31" s="21">
        <v>45331</v>
      </c>
      <c r="D31" s="21">
        <v>45341</v>
      </c>
      <c r="E31" s="21">
        <v>45355</v>
      </c>
      <c r="F31" s="20" t="s">
        <v>53</v>
      </c>
      <c r="G31" s="22">
        <v>114.08</v>
      </c>
      <c r="H31" s="22">
        <v>17.59</v>
      </c>
      <c r="I31" s="20" t="s">
        <v>45</v>
      </c>
      <c r="J31" s="20">
        <v>5</v>
      </c>
      <c r="K31" s="20" t="s">
        <v>46</v>
      </c>
      <c r="L31" s="23">
        <f t="shared" si="0"/>
        <v>45323</v>
      </c>
      <c r="M31" s="20">
        <f t="shared" si="1"/>
        <v>10</v>
      </c>
      <c r="N31" s="20">
        <f t="shared" si="2"/>
        <v>0</v>
      </c>
      <c r="O31" s="20">
        <f t="shared" si="3"/>
        <v>1</v>
      </c>
      <c r="P31" s="22">
        <f t="shared" si="4"/>
        <v>131.66999999999999</v>
      </c>
      <c r="Q31" s="22">
        <f>G31*INDEX(Assumptions!$B$8:$B$16,MATCH(F31,Assumptions!$A$8:$A$16,0))</f>
        <v>84.419200000000004</v>
      </c>
      <c r="R31" s="22">
        <f>H31*Assumptions!$B$3</f>
        <v>10.554</v>
      </c>
      <c r="S31" s="22">
        <f t="shared" si="5"/>
        <v>19.106799999999993</v>
      </c>
      <c r="T31" s="20" t="str">
        <f t="shared" si="6"/>
        <v>8-14 days</v>
      </c>
      <c r="AF31" s="42" t="s">
        <v>2121</v>
      </c>
      <c r="AG31">
        <v>2000</v>
      </c>
    </row>
    <row r="32" spans="1:38" x14ac:dyDescent="0.3">
      <c r="A32" s="20" t="s">
        <v>90</v>
      </c>
      <c r="B32" s="20" t="s">
        <v>52</v>
      </c>
      <c r="C32" s="21">
        <v>45331</v>
      </c>
      <c r="D32" s="21">
        <v>45337</v>
      </c>
      <c r="E32" s="21">
        <v>45357</v>
      </c>
      <c r="F32" s="20" t="s">
        <v>49</v>
      </c>
      <c r="G32" s="22">
        <v>37.76</v>
      </c>
      <c r="H32" s="22">
        <v>21.64</v>
      </c>
      <c r="I32" s="20" t="s">
        <v>50</v>
      </c>
      <c r="J32" s="20">
        <v>5</v>
      </c>
      <c r="K32" s="20" t="s">
        <v>46</v>
      </c>
      <c r="L32" s="23">
        <f t="shared" si="0"/>
        <v>45323</v>
      </c>
      <c r="M32" s="20">
        <f t="shared" si="1"/>
        <v>6</v>
      </c>
      <c r="N32" s="20">
        <f t="shared" si="2"/>
        <v>0</v>
      </c>
      <c r="O32" s="20">
        <f t="shared" si="3"/>
        <v>1</v>
      </c>
      <c r="P32" s="22">
        <f t="shared" si="4"/>
        <v>59.4</v>
      </c>
      <c r="Q32" s="22">
        <f>G32*INDEX(Assumptions!$B$8:$B$16,MATCH(F32,Assumptions!$A$8:$A$16,0))</f>
        <v>21.900799999999997</v>
      </c>
      <c r="R32" s="22">
        <f>H32*Assumptions!$B$3</f>
        <v>12.984</v>
      </c>
      <c r="S32" s="22">
        <f t="shared" si="5"/>
        <v>2.8752000000000013</v>
      </c>
      <c r="T32" s="20" t="str">
        <f t="shared" si="6"/>
        <v>0-7 days</v>
      </c>
    </row>
    <row r="33" spans="1:20" x14ac:dyDescent="0.3">
      <c r="A33" s="20" t="s">
        <v>91</v>
      </c>
      <c r="B33" s="20" t="s">
        <v>55</v>
      </c>
      <c r="C33" s="21">
        <v>45331</v>
      </c>
      <c r="D33" s="21">
        <v>45346</v>
      </c>
      <c r="E33" s="21">
        <v>45359</v>
      </c>
      <c r="F33" s="20" t="s">
        <v>59</v>
      </c>
      <c r="G33" s="22">
        <v>76.03</v>
      </c>
      <c r="H33" s="22">
        <v>22.19</v>
      </c>
      <c r="I33" s="20" t="s">
        <v>45</v>
      </c>
      <c r="J33" s="20">
        <v>4</v>
      </c>
      <c r="K33" s="20" t="s">
        <v>46</v>
      </c>
      <c r="L33" s="23">
        <f t="shared" si="0"/>
        <v>45323</v>
      </c>
      <c r="M33" s="20">
        <f t="shared" si="1"/>
        <v>15</v>
      </c>
      <c r="N33" s="20">
        <f t="shared" si="2"/>
        <v>0</v>
      </c>
      <c r="O33" s="20">
        <f t="shared" si="3"/>
        <v>1</v>
      </c>
      <c r="P33" s="22">
        <f t="shared" si="4"/>
        <v>98.22</v>
      </c>
      <c r="Q33" s="22">
        <f>G33*INDEX(Assumptions!$B$8:$B$16,MATCH(F33,Assumptions!$A$8:$A$16,0))</f>
        <v>48.659199999999998</v>
      </c>
      <c r="R33" s="22">
        <f>H33*Assumptions!$B$3</f>
        <v>13.314</v>
      </c>
      <c r="S33" s="22">
        <f t="shared" si="5"/>
        <v>14.056800000000003</v>
      </c>
      <c r="T33" s="20" t="str">
        <f t="shared" si="6"/>
        <v>15-21 days</v>
      </c>
    </row>
    <row r="34" spans="1:20" x14ac:dyDescent="0.3">
      <c r="A34" s="20" t="s">
        <v>92</v>
      </c>
      <c r="B34" s="20" t="s">
        <v>93</v>
      </c>
      <c r="C34" s="21">
        <v>45331</v>
      </c>
      <c r="D34" s="21">
        <v>45353</v>
      </c>
      <c r="E34" s="21">
        <v>45360</v>
      </c>
      <c r="F34" s="20" t="s">
        <v>57</v>
      </c>
      <c r="G34" s="22">
        <v>43.19</v>
      </c>
      <c r="H34" s="22">
        <v>32.82</v>
      </c>
      <c r="I34" s="20" t="s">
        <v>45</v>
      </c>
      <c r="J34" s="20">
        <v>4</v>
      </c>
      <c r="K34" s="20" t="s">
        <v>46</v>
      </c>
      <c r="L34" s="23">
        <f t="shared" si="0"/>
        <v>45323</v>
      </c>
      <c r="M34" s="20">
        <f t="shared" si="1"/>
        <v>22</v>
      </c>
      <c r="N34" s="20">
        <f t="shared" si="2"/>
        <v>0</v>
      </c>
      <c r="O34" s="20">
        <f t="shared" si="3"/>
        <v>1</v>
      </c>
      <c r="P34" s="22">
        <f t="shared" si="4"/>
        <v>76.009999999999991</v>
      </c>
      <c r="Q34" s="22">
        <f>G34*INDEX(Assumptions!$B$8:$B$16,MATCH(F34,Assumptions!$A$8:$A$16,0))</f>
        <v>29.369199999999999</v>
      </c>
      <c r="R34" s="22">
        <f>H34*Assumptions!$B$3</f>
        <v>19.692</v>
      </c>
      <c r="S34" s="22">
        <f t="shared" si="5"/>
        <v>-5.8712000000000018</v>
      </c>
      <c r="T34" s="20" t="str">
        <f t="shared" si="6"/>
        <v>22+ days</v>
      </c>
    </row>
    <row r="35" spans="1:20" x14ac:dyDescent="0.3">
      <c r="A35" s="20" t="s">
        <v>94</v>
      </c>
      <c r="B35" s="20" t="s">
        <v>19</v>
      </c>
      <c r="C35" s="21">
        <v>45332</v>
      </c>
      <c r="D35" s="21">
        <v>45341</v>
      </c>
      <c r="E35" s="21">
        <v>45346</v>
      </c>
      <c r="F35" s="20" t="s">
        <v>53</v>
      </c>
      <c r="G35" s="22">
        <v>134.13</v>
      </c>
      <c r="H35" s="22">
        <v>16.760000000000002</v>
      </c>
      <c r="I35" s="20" t="s">
        <v>45</v>
      </c>
      <c r="J35" s="20">
        <v>5</v>
      </c>
      <c r="K35" s="20" t="s">
        <v>46</v>
      </c>
      <c r="L35" s="23">
        <f t="shared" si="0"/>
        <v>45323</v>
      </c>
      <c r="M35" s="20">
        <f t="shared" si="1"/>
        <v>9</v>
      </c>
      <c r="N35" s="20">
        <f t="shared" si="2"/>
        <v>0</v>
      </c>
      <c r="O35" s="20">
        <f t="shared" si="3"/>
        <v>1</v>
      </c>
      <c r="P35" s="22">
        <f t="shared" si="4"/>
        <v>150.88999999999999</v>
      </c>
      <c r="Q35" s="22">
        <f>G35*INDEX(Assumptions!$B$8:$B$16,MATCH(F35,Assumptions!$A$8:$A$16,0))</f>
        <v>99.256199999999993</v>
      </c>
      <c r="R35" s="22">
        <f>H35*Assumptions!$B$3</f>
        <v>10.056000000000001</v>
      </c>
      <c r="S35" s="22">
        <f t="shared" si="5"/>
        <v>24.817800000000002</v>
      </c>
      <c r="T35" s="20" t="str">
        <f t="shared" si="6"/>
        <v>8-14 days</v>
      </c>
    </row>
    <row r="36" spans="1:20" x14ac:dyDescent="0.3">
      <c r="A36" s="20" t="s">
        <v>95</v>
      </c>
      <c r="B36" s="20" t="s">
        <v>19</v>
      </c>
      <c r="C36" s="21">
        <v>45333</v>
      </c>
      <c r="D36" s="21">
        <v>45339</v>
      </c>
      <c r="E36" s="21">
        <v>45350</v>
      </c>
      <c r="F36" s="20" t="s">
        <v>53</v>
      </c>
      <c r="G36" s="22">
        <v>142.46</v>
      </c>
      <c r="H36" s="22">
        <v>18.04</v>
      </c>
      <c r="I36" s="20" t="s">
        <v>45</v>
      </c>
      <c r="J36" s="20">
        <v>3</v>
      </c>
      <c r="K36" s="20" t="s">
        <v>46</v>
      </c>
      <c r="L36" s="23">
        <f t="shared" si="0"/>
        <v>45323</v>
      </c>
      <c r="M36" s="20">
        <f t="shared" si="1"/>
        <v>6</v>
      </c>
      <c r="N36" s="20">
        <f t="shared" si="2"/>
        <v>0</v>
      </c>
      <c r="O36" s="20">
        <f t="shared" si="3"/>
        <v>1</v>
      </c>
      <c r="P36" s="22">
        <f t="shared" si="4"/>
        <v>160.5</v>
      </c>
      <c r="Q36" s="22">
        <f>G36*INDEX(Assumptions!$B$8:$B$16,MATCH(F36,Assumptions!$A$8:$A$16,0))</f>
        <v>105.4204</v>
      </c>
      <c r="R36" s="22">
        <f>H36*Assumptions!$B$3</f>
        <v>10.824</v>
      </c>
      <c r="S36" s="22">
        <f t="shared" si="5"/>
        <v>26.215600000000009</v>
      </c>
      <c r="T36" s="20" t="str">
        <f t="shared" si="6"/>
        <v>0-7 days</v>
      </c>
    </row>
    <row r="37" spans="1:20" x14ac:dyDescent="0.3">
      <c r="A37" s="20" t="s">
        <v>96</v>
      </c>
      <c r="B37" s="20" t="s">
        <v>52</v>
      </c>
      <c r="C37" s="21">
        <v>45335</v>
      </c>
      <c r="D37" s="21">
        <v>45348</v>
      </c>
      <c r="E37" s="21">
        <v>45362</v>
      </c>
      <c r="F37" s="20" t="s">
        <v>79</v>
      </c>
      <c r="G37" s="22">
        <v>57.74</v>
      </c>
      <c r="H37" s="22">
        <v>19.48</v>
      </c>
      <c r="I37" s="20" t="s">
        <v>45</v>
      </c>
      <c r="J37" s="20">
        <v>4</v>
      </c>
      <c r="K37" s="20" t="s">
        <v>46</v>
      </c>
      <c r="L37" s="23">
        <f t="shared" si="0"/>
        <v>45323</v>
      </c>
      <c r="M37" s="20">
        <f t="shared" si="1"/>
        <v>13</v>
      </c>
      <c r="N37" s="20">
        <f t="shared" si="2"/>
        <v>0</v>
      </c>
      <c r="O37" s="20">
        <f t="shared" si="3"/>
        <v>1</v>
      </c>
      <c r="P37" s="22">
        <f t="shared" si="4"/>
        <v>77.22</v>
      </c>
      <c r="Q37" s="22">
        <f>G37*INDEX(Assumptions!$B$8:$B$16,MATCH(F37,Assumptions!$A$8:$A$16,0))</f>
        <v>40.417999999999999</v>
      </c>
      <c r="R37" s="22">
        <f>H37*Assumptions!$B$3</f>
        <v>11.688000000000001</v>
      </c>
      <c r="S37" s="22">
        <f t="shared" si="5"/>
        <v>5.6340000000000021</v>
      </c>
      <c r="T37" s="20" t="str">
        <f t="shared" si="6"/>
        <v>8-14 days</v>
      </c>
    </row>
    <row r="38" spans="1:20" x14ac:dyDescent="0.3">
      <c r="A38" s="20" t="s">
        <v>97</v>
      </c>
      <c r="B38" s="20" t="s">
        <v>52</v>
      </c>
      <c r="C38" s="21">
        <v>45336</v>
      </c>
      <c r="D38" s="21">
        <v>45349</v>
      </c>
      <c r="E38" s="21">
        <v>45361</v>
      </c>
      <c r="F38" s="20" t="s">
        <v>59</v>
      </c>
      <c r="G38" s="22">
        <v>83.82</v>
      </c>
      <c r="H38" s="22">
        <v>25.55</v>
      </c>
      <c r="I38" s="20" t="s">
        <v>45</v>
      </c>
      <c r="J38" s="20">
        <v>5</v>
      </c>
      <c r="K38" s="20" t="s">
        <v>46</v>
      </c>
      <c r="L38" s="23">
        <f t="shared" si="0"/>
        <v>45323</v>
      </c>
      <c r="M38" s="20">
        <f t="shared" si="1"/>
        <v>13</v>
      </c>
      <c r="N38" s="20">
        <f t="shared" si="2"/>
        <v>0</v>
      </c>
      <c r="O38" s="20">
        <f t="shared" si="3"/>
        <v>1</v>
      </c>
      <c r="P38" s="22">
        <f t="shared" si="4"/>
        <v>109.36999999999999</v>
      </c>
      <c r="Q38" s="22">
        <f>G38*INDEX(Assumptions!$B$8:$B$16,MATCH(F38,Assumptions!$A$8:$A$16,0))</f>
        <v>53.644799999999996</v>
      </c>
      <c r="R38" s="22">
        <f>H38*Assumptions!$B$3</f>
        <v>15.33</v>
      </c>
      <c r="S38" s="22">
        <f t="shared" si="5"/>
        <v>14.845199999999997</v>
      </c>
      <c r="T38" s="20" t="str">
        <f t="shared" si="6"/>
        <v>8-14 days</v>
      </c>
    </row>
    <row r="39" spans="1:20" x14ac:dyDescent="0.3">
      <c r="A39" s="20" t="s">
        <v>98</v>
      </c>
      <c r="B39" s="20" t="s">
        <v>52</v>
      </c>
      <c r="C39" s="21">
        <v>45338</v>
      </c>
      <c r="D39" s="21">
        <v>45352</v>
      </c>
      <c r="E39" s="21">
        <v>45364</v>
      </c>
      <c r="F39" s="20" t="s">
        <v>64</v>
      </c>
      <c r="G39" s="22">
        <v>105.36</v>
      </c>
      <c r="H39" s="22">
        <v>28</v>
      </c>
      <c r="I39" s="20" t="s">
        <v>60</v>
      </c>
      <c r="J39" s="20">
        <v>3</v>
      </c>
      <c r="K39" s="20" t="s">
        <v>46</v>
      </c>
      <c r="L39" s="23">
        <f t="shared" si="0"/>
        <v>45323</v>
      </c>
      <c r="M39" s="20">
        <f t="shared" si="1"/>
        <v>14</v>
      </c>
      <c r="N39" s="20">
        <f t="shared" si="2"/>
        <v>0</v>
      </c>
      <c r="O39" s="20">
        <f t="shared" si="3"/>
        <v>1</v>
      </c>
      <c r="P39" s="22">
        <f t="shared" si="4"/>
        <v>133.36000000000001</v>
      </c>
      <c r="Q39" s="22">
        <f>G39*INDEX(Assumptions!$B$8:$B$16,MATCH(F39,Assumptions!$A$8:$A$16,0))</f>
        <v>69.537599999999998</v>
      </c>
      <c r="R39" s="22">
        <f>H39*Assumptions!$B$3</f>
        <v>16.8</v>
      </c>
      <c r="S39" s="22">
        <f t="shared" si="5"/>
        <v>19.022400000000001</v>
      </c>
      <c r="T39" s="20" t="str">
        <f t="shared" si="6"/>
        <v>8-14 days</v>
      </c>
    </row>
    <row r="40" spans="1:20" x14ac:dyDescent="0.3">
      <c r="A40" s="20" t="s">
        <v>99</v>
      </c>
      <c r="B40" s="20" t="s">
        <v>19</v>
      </c>
      <c r="C40" s="21">
        <v>45339</v>
      </c>
      <c r="D40" s="21">
        <v>45353</v>
      </c>
      <c r="E40" s="21">
        <v>45354</v>
      </c>
      <c r="F40" s="20" t="s">
        <v>67</v>
      </c>
      <c r="G40" s="22">
        <v>69.47</v>
      </c>
      <c r="H40" s="22">
        <v>12.3</v>
      </c>
      <c r="I40" s="20" t="s">
        <v>45</v>
      </c>
      <c r="J40" s="20">
        <v>5</v>
      </c>
      <c r="K40" s="20" t="s">
        <v>46</v>
      </c>
      <c r="L40" s="23">
        <f t="shared" si="0"/>
        <v>45323</v>
      </c>
      <c r="M40" s="20">
        <f t="shared" si="1"/>
        <v>14</v>
      </c>
      <c r="N40" s="20">
        <f t="shared" si="2"/>
        <v>0</v>
      </c>
      <c r="O40" s="20">
        <f t="shared" si="3"/>
        <v>1</v>
      </c>
      <c r="P40" s="22">
        <f t="shared" si="4"/>
        <v>81.77</v>
      </c>
      <c r="Q40" s="22">
        <f>G40*INDEX(Assumptions!$B$8:$B$16,MATCH(F40,Assumptions!$A$8:$A$16,0))</f>
        <v>43.071399999999997</v>
      </c>
      <c r="R40" s="22">
        <f>H40*Assumptions!$B$3</f>
        <v>7.38</v>
      </c>
      <c r="S40" s="22">
        <f t="shared" si="5"/>
        <v>19.018600000000003</v>
      </c>
      <c r="T40" s="20" t="str">
        <f t="shared" si="6"/>
        <v>8-14 days</v>
      </c>
    </row>
    <row r="41" spans="1:20" x14ac:dyDescent="0.3">
      <c r="A41" s="20" t="s">
        <v>100</v>
      </c>
      <c r="B41" s="20" t="s">
        <v>19</v>
      </c>
      <c r="C41" s="21">
        <v>45339</v>
      </c>
      <c r="D41" s="21">
        <v>45357</v>
      </c>
      <c r="E41" s="21">
        <v>45356</v>
      </c>
      <c r="F41" s="20" t="s">
        <v>59</v>
      </c>
      <c r="G41" s="22">
        <v>106.15</v>
      </c>
      <c r="H41" s="22">
        <v>22.61</v>
      </c>
      <c r="I41" s="20" t="s">
        <v>45</v>
      </c>
      <c r="J41" s="20">
        <v>3</v>
      </c>
      <c r="K41" s="20" t="s">
        <v>46</v>
      </c>
      <c r="L41" s="23">
        <f t="shared" si="0"/>
        <v>45323</v>
      </c>
      <c r="M41" s="20">
        <f t="shared" si="1"/>
        <v>18</v>
      </c>
      <c r="N41" s="20">
        <f t="shared" si="2"/>
        <v>1</v>
      </c>
      <c r="O41" s="20">
        <f t="shared" si="3"/>
        <v>0</v>
      </c>
      <c r="P41" s="22">
        <f t="shared" si="4"/>
        <v>128.76</v>
      </c>
      <c r="Q41" s="22">
        <f>G41*INDEX(Assumptions!$B$8:$B$16,MATCH(F41,Assumptions!$A$8:$A$16,0))</f>
        <v>67.936000000000007</v>
      </c>
      <c r="R41" s="22">
        <f>H41*Assumptions!$B$3</f>
        <v>13.565999999999999</v>
      </c>
      <c r="S41" s="22">
        <f t="shared" si="5"/>
        <v>24.648</v>
      </c>
      <c r="T41" s="20" t="str">
        <f t="shared" si="6"/>
        <v>15-21 days</v>
      </c>
    </row>
    <row r="42" spans="1:20" x14ac:dyDescent="0.3">
      <c r="A42" s="20" t="s">
        <v>101</v>
      </c>
      <c r="B42" s="20" t="s">
        <v>48</v>
      </c>
      <c r="C42" s="21">
        <v>45340</v>
      </c>
      <c r="D42" s="21">
        <v>45348</v>
      </c>
      <c r="E42" s="21">
        <v>45362</v>
      </c>
      <c r="F42" s="20" t="s">
        <v>59</v>
      </c>
      <c r="G42" s="22">
        <v>124.13</v>
      </c>
      <c r="H42" s="22">
        <v>25.93</v>
      </c>
      <c r="I42" s="20" t="s">
        <v>50</v>
      </c>
      <c r="J42" s="20">
        <v>4</v>
      </c>
      <c r="K42" s="20" t="s">
        <v>46</v>
      </c>
      <c r="L42" s="23">
        <f t="shared" si="0"/>
        <v>45323</v>
      </c>
      <c r="M42" s="20">
        <f t="shared" si="1"/>
        <v>8</v>
      </c>
      <c r="N42" s="20">
        <f t="shared" si="2"/>
        <v>0</v>
      </c>
      <c r="O42" s="20">
        <f t="shared" si="3"/>
        <v>1</v>
      </c>
      <c r="P42" s="22">
        <f t="shared" si="4"/>
        <v>150.06</v>
      </c>
      <c r="Q42" s="22">
        <f>G42*INDEX(Assumptions!$B$8:$B$16,MATCH(F42,Assumptions!$A$8:$A$16,0))</f>
        <v>79.443200000000004</v>
      </c>
      <c r="R42" s="22">
        <f>H42*Assumptions!$B$3</f>
        <v>15.558</v>
      </c>
      <c r="S42" s="22">
        <f t="shared" si="5"/>
        <v>29.128799999999991</v>
      </c>
      <c r="T42" s="20" t="str">
        <f t="shared" si="6"/>
        <v>8-14 days</v>
      </c>
    </row>
    <row r="43" spans="1:20" x14ac:dyDescent="0.3">
      <c r="A43" s="20" t="s">
        <v>102</v>
      </c>
      <c r="B43" s="20" t="s">
        <v>103</v>
      </c>
      <c r="C43" s="21">
        <v>45340</v>
      </c>
      <c r="D43" s="21">
        <v>45349</v>
      </c>
      <c r="E43" s="21">
        <v>45363</v>
      </c>
      <c r="F43" s="20" t="s">
        <v>59</v>
      </c>
      <c r="G43" s="22">
        <v>38.29</v>
      </c>
      <c r="H43" s="22">
        <v>18.46</v>
      </c>
      <c r="I43" s="20" t="s">
        <v>104</v>
      </c>
      <c r="J43" s="20">
        <v>4</v>
      </c>
      <c r="K43" s="20" t="s">
        <v>46</v>
      </c>
      <c r="L43" s="23">
        <f t="shared" si="0"/>
        <v>45323</v>
      </c>
      <c r="M43" s="20">
        <f t="shared" si="1"/>
        <v>9</v>
      </c>
      <c r="N43" s="20">
        <f t="shared" si="2"/>
        <v>0</v>
      </c>
      <c r="O43" s="20">
        <f t="shared" si="3"/>
        <v>1</v>
      </c>
      <c r="P43" s="22">
        <f t="shared" si="4"/>
        <v>56.75</v>
      </c>
      <c r="Q43" s="22">
        <f>G43*INDEX(Assumptions!$B$8:$B$16,MATCH(F43,Assumptions!$A$8:$A$16,0))</f>
        <v>24.505600000000001</v>
      </c>
      <c r="R43" s="22">
        <f>H43*Assumptions!$B$3</f>
        <v>11.076000000000001</v>
      </c>
      <c r="S43" s="22">
        <f t="shared" si="5"/>
        <v>2.7083999999999975</v>
      </c>
      <c r="T43" s="20" t="str">
        <f t="shared" si="6"/>
        <v>8-14 days</v>
      </c>
    </row>
    <row r="44" spans="1:20" x14ac:dyDescent="0.3">
      <c r="A44" s="20" t="s">
        <v>105</v>
      </c>
      <c r="B44" s="20" t="s">
        <v>19</v>
      </c>
      <c r="C44" s="21">
        <v>45341</v>
      </c>
      <c r="D44" s="21">
        <v>45349</v>
      </c>
      <c r="E44" s="21">
        <v>45360</v>
      </c>
      <c r="F44" s="20" t="s">
        <v>44</v>
      </c>
      <c r="G44" s="22">
        <v>85.57</v>
      </c>
      <c r="H44" s="22">
        <v>16.420000000000002</v>
      </c>
      <c r="I44" s="20" t="s">
        <v>45</v>
      </c>
      <c r="J44" s="20">
        <v>5</v>
      </c>
      <c r="K44" s="20" t="s">
        <v>46</v>
      </c>
      <c r="L44" s="23">
        <f t="shared" si="0"/>
        <v>45323</v>
      </c>
      <c r="M44" s="20">
        <f t="shared" si="1"/>
        <v>8</v>
      </c>
      <c r="N44" s="20">
        <f t="shared" si="2"/>
        <v>0</v>
      </c>
      <c r="O44" s="20">
        <f t="shared" si="3"/>
        <v>1</v>
      </c>
      <c r="P44" s="22">
        <f t="shared" si="4"/>
        <v>101.99</v>
      </c>
      <c r="Q44" s="22">
        <f>G44*INDEX(Assumptions!$B$8:$B$16,MATCH(F44,Assumptions!$A$8:$A$16,0))</f>
        <v>51.341999999999992</v>
      </c>
      <c r="R44" s="22">
        <f>H44*Assumptions!$B$3</f>
        <v>9.8520000000000003</v>
      </c>
      <c r="S44" s="22">
        <f t="shared" si="5"/>
        <v>24.376000000000001</v>
      </c>
      <c r="T44" s="20" t="str">
        <f t="shared" si="6"/>
        <v>8-14 days</v>
      </c>
    </row>
    <row r="45" spans="1:20" x14ac:dyDescent="0.3">
      <c r="A45" s="20" t="s">
        <v>106</v>
      </c>
      <c r="B45" s="20" t="s">
        <v>19</v>
      </c>
      <c r="C45" s="21">
        <v>45341</v>
      </c>
      <c r="D45" s="21">
        <v>45353</v>
      </c>
      <c r="E45" s="21">
        <v>45356</v>
      </c>
      <c r="F45" s="20" t="s">
        <v>53</v>
      </c>
      <c r="G45" s="22">
        <v>218.67</v>
      </c>
      <c r="H45" s="22">
        <v>18.48</v>
      </c>
      <c r="I45" s="20" t="s">
        <v>45</v>
      </c>
      <c r="J45" s="20">
        <v>4</v>
      </c>
      <c r="K45" s="20" t="s">
        <v>46</v>
      </c>
      <c r="L45" s="23">
        <f t="shared" si="0"/>
        <v>45323</v>
      </c>
      <c r="M45" s="20">
        <f t="shared" si="1"/>
        <v>12</v>
      </c>
      <c r="N45" s="20">
        <f t="shared" si="2"/>
        <v>0</v>
      </c>
      <c r="O45" s="20">
        <f t="shared" si="3"/>
        <v>1</v>
      </c>
      <c r="P45" s="22">
        <f t="shared" si="4"/>
        <v>237.14999999999998</v>
      </c>
      <c r="Q45" s="22">
        <f>G45*INDEX(Assumptions!$B$8:$B$16,MATCH(F45,Assumptions!$A$8:$A$16,0))</f>
        <v>161.8158</v>
      </c>
      <c r="R45" s="22">
        <f>H45*Assumptions!$B$3</f>
        <v>11.087999999999999</v>
      </c>
      <c r="S45" s="22">
        <f t="shared" si="5"/>
        <v>45.766199999999991</v>
      </c>
      <c r="T45" s="20" t="str">
        <f t="shared" si="6"/>
        <v>8-14 days</v>
      </c>
    </row>
    <row r="46" spans="1:20" x14ac:dyDescent="0.3">
      <c r="A46" s="20" t="s">
        <v>107</v>
      </c>
      <c r="B46" s="20" t="s">
        <v>19</v>
      </c>
      <c r="C46" s="21">
        <v>45342</v>
      </c>
      <c r="D46" s="21">
        <v>45356</v>
      </c>
      <c r="E46" s="21">
        <v>45356</v>
      </c>
      <c r="F46" s="20" t="s">
        <v>67</v>
      </c>
      <c r="G46" s="22">
        <v>95.25</v>
      </c>
      <c r="H46" s="22">
        <v>15.87</v>
      </c>
      <c r="I46" s="20" t="s">
        <v>45</v>
      </c>
      <c r="J46" s="20">
        <v>4</v>
      </c>
      <c r="K46" s="20" t="s">
        <v>46</v>
      </c>
      <c r="L46" s="23">
        <f t="shared" si="0"/>
        <v>45323</v>
      </c>
      <c r="M46" s="20">
        <f t="shared" si="1"/>
        <v>14</v>
      </c>
      <c r="N46" s="20">
        <f t="shared" si="2"/>
        <v>0</v>
      </c>
      <c r="O46" s="20">
        <f t="shared" si="3"/>
        <v>1</v>
      </c>
      <c r="P46" s="22">
        <f t="shared" si="4"/>
        <v>111.12</v>
      </c>
      <c r="Q46" s="22">
        <f>G46*INDEX(Assumptions!$B$8:$B$16,MATCH(F46,Assumptions!$A$8:$A$16,0))</f>
        <v>59.055</v>
      </c>
      <c r="R46" s="22">
        <f>H46*Assumptions!$B$3</f>
        <v>9.5219999999999985</v>
      </c>
      <c r="S46" s="22">
        <f t="shared" si="5"/>
        <v>26.673000000000002</v>
      </c>
      <c r="T46" s="20" t="str">
        <f t="shared" si="6"/>
        <v>8-14 days</v>
      </c>
    </row>
    <row r="47" spans="1:20" x14ac:dyDescent="0.3">
      <c r="A47" s="20" t="s">
        <v>108</v>
      </c>
      <c r="B47" s="20" t="s">
        <v>19</v>
      </c>
      <c r="C47" s="21">
        <v>45343</v>
      </c>
      <c r="D47" s="21">
        <v>45354</v>
      </c>
      <c r="E47" s="21">
        <v>45357</v>
      </c>
      <c r="F47" s="20" t="s">
        <v>57</v>
      </c>
      <c r="G47" s="22">
        <v>187.5</v>
      </c>
      <c r="H47" s="22">
        <v>18.78</v>
      </c>
      <c r="I47" s="20" t="s">
        <v>60</v>
      </c>
      <c r="J47" s="20">
        <v>4</v>
      </c>
      <c r="K47" s="20" t="s">
        <v>46</v>
      </c>
      <c r="L47" s="23">
        <f t="shared" si="0"/>
        <v>45323</v>
      </c>
      <c r="M47" s="20">
        <f t="shared" si="1"/>
        <v>11</v>
      </c>
      <c r="N47" s="20">
        <f t="shared" si="2"/>
        <v>0</v>
      </c>
      <c r="O47" s="20">
        <f t="shared" si="3"/>
        <v>1</v>
      </c>
      <c r="P47" s="22">
        <f t="shared" si="4"/>
        <v>206.28</v>
      </c>
      <c r="Q47" s="22">
        <f>G47*INDEX(Assumptions!$B$8:$B$16,MATCH(F47,Assumptions!$A$8:$A$16,0))</f>
        <v>127.50000000000001</v>
      </c>
      <c r="R47" s="22">
        <f>H47*Assumptions!$B$3</f>
        <v>11.268000000000001</v>
      </c>
      <c r="S47" s="22">
        <f t="shared" si="5"/>
        <v>48.731999999999985</v>
      </c>
      <c r="T47" s="20" t="str">
        <f t="shared" si="6"/>
        <v>8-14 days</v>
      </c>
    </row>
    <row r="48" spans="1:20" x14ac:dyDescent="0.3">
      <c r="A48" s="20" t="s">
        <v>109</v>
      </c>
      <c r="B48" s="20" t="s">
        <v>19</v>
      </c>
      <c r="C48" s="21">
        <v>45343</v>
      </c>
      <c r="D48" s="21">
        <v>45353</v>
      </c>
      <c r="E48" s="21">
        <v>45360</v>
      </c>
      <c r="F48" s="20" t="s">
        <v>49</v>
      </c>
      <c r="G48" s="22">
        <v>117.45</v>
      </c>
      <c r="H48" s="22">
        <v>16.71</v>
      </c>
      <c r="I48" s="20" t="s">
        <v>45</v>
      </c>
      <c r="J48" s="20">
        <v>4</v>
      </c>
      <c r="K48" s="20" t="s">
        <v>46</v>
      </c>
      <c r="L48" s="23">
        <f t="shared" si="0"/>
        <v>45323</v>
      </c>
      <c r="M48" s="20">
        <f t="shared" si="1"/>
        <v>10</v>
      </c>
      <c r="N48" s="20">
        <f t="shared" si="2"/>
        <v>0</v>
      </c>
      <c r="O48" s="20">
        <f t="shared" si="3"/>
        <v>1</v>
      </c>
      <c r="P48" s="22">
        <f t="shared" si="4"/>
        <v>134.16</v>
      </c>
      <c r="Q48" s="22">
        <f>G48*INDEX(Assumptions!$B$8:$B$16,MATCH(F48,Assumptions!$A$8:$A$16,0))</f>
        <v>68.120999999999995</v>
      </c>
      <c r="R48" s="22">
        <f>H48*Assumptions!$B$3</f>
        <v>10.026</v>
      </c>
      <c r="S48" s="22">
        <f t="shared" si="5"/>
        <v>39.303000000000011</v>
      </c>
      <c r="T48" s="20" t="str">
        <f t="shared" si="6"/>
        <v>8-14 days</v>
      </c>
    </row>
    <row r="49" spans="1:20" x14ac:dyDescent="0.3">
      <c r="A49" s="20" t="s">
        <v>110</v>
      </c>
      <c r="B49" s="20" t="s">
        <v>55</v>
      </c>
      <c r="C49" s="21">
        <v>45344</v>
      </c>
      <c r="D49" s="21">
        <v>45362</v>
      </c>
      <c r="E49" s="21">
        <v>45369</v>
      </c>
      <c r="F49" s="20" t="s">
        <v>111</v>
      </c>
      <c r="G49" s="22">
        <v>51.76</v>
      </c>
      <c r="H49" s="22">
        <v>20</v>
      </c>
      <c r="I49" s="20" t="s">
        <v>45</v>
      </c>
      <c r="J49" s="20">
        <v>4</v>
      </c>
      <c r="K49" s="20" t="s">
        <v>46</v>
      </c>
      <c r="L49" s="23">
        <f t="shared" si="0"/>
        <v>45323</v>
      </c>
      <c r="M49" s="20">
        <f t="shared" si="1"/>
        <v>18</v>
      </c>
      <c r="N49" s="20">
        <f t="shared" si="2"/>
        <v>0</v>
      </c>
      <c r="O49" s="20">
        <f t="shared" si="3"/>
        <v>1</v>
      </c>
      <c r="P49" s="22">
        <f t="shared" si="4"/>
        <v>71.759999999999991</v>
      </c>
      <c r="Q49" s="22">
        <f>G49*INDEX(Assumptions!$B$8:$B$16,MATCH(F49,Assumptions!$A$8:$A$16,0))</f>
        <v>32.608800000000002</v>
      </c>
      <c r="R49" s="22">
        <f>H49*Assumptions!$B$3</f>
        <v>12</v>
      </c>
      <c r="S49" s="22">
        <f t="shared" si="5"/>
        <v>7.1511999999999958</v>
      </c>
      <c r="T49" s="20" t="str">
        <f t="shared" si="6"/>
        <v>15-21 days</v>
      </c>
    </row>
    <row r="50" spans="1:20" x14ac:dyDescent="0.3">
      <c r="A50" s="20" t="s">
        <v>112</v>
      </c>
      <c r="B50" s="20" t="s">
        <v>55</v>
      </c>
      <c r="C50" s="21">
        <v>45348</v>
      </c>
      <c r="D50" s="21">
        <v>45362</v>
      </c>
      <c r="E50" s="21">
        <v>45374</v>
      </c>
      <c r="F50" s="20" t="s">
        <v>67</v>
      </c>
      <c r="G50" s="22">
        <v>112.88</v>
      </c>
      <c r="H50" s="22">
        <v>25.72</v>
      </c>
      <c r="I50" s="20" t="s">
        <v>45</v>
      </c>
      <c r="J50" s="20">
        <v>4</v>
      </c>
      <c r="K50" s="20" t="s">
        <v>46</v>
      </c>
      <c r="L50" s="23">
        <f t="shared" si="0"/>
        <v>45323</v>
      </c>
      <c r="M50" s="20">
        <f t="shared" si="1"/>
        <v>14</v>
      </c>
      <c r="N50" s="20">
        <f t="shared" si="2"/>
        <v>0</v>
      </c>
      <c r="O50" s="20">
        <f t="shared" si="3"/>
        <v>1</v>
      </c>
      <c r="P50" s="22">
        <f t="shared" si="4"/>
        <v>138.6</v>
      </c>
      <c r="Q50" s="22">
        <f>G50*INDEX(Assumptions!$B$8:$B$16,MATCH(F50,Assumptions!$A$8:$A$16,0))</f>
        <v>69.985599999999991</v>
      </c>
      <c r="R50" s="22">
        <f>H50*Assumptions!$B$3</f>
        <v>15.431999999999999</v>
      </c>
      <c r="S50" s="22">
        <f t="shared" si="5"/>
        <v>27.462400000000006</v>
      </c>
      <c r="T50" s="20" t="str">
        <f t="shared" si="6"/>
        <v>8-14 days</v>
      </c>
    </row>
    <row r="51" spans="1:20" x14ac:dyDescent="0.3">
      <c r="A51" s="20" t="s">
        <v>113</v>
      </c>
      <c r="B51" s="20" t="s">
        <v>19</v>
      </c>
      <c r="C51" s="21">
        <v>45348</v>
      </c>
      <c r="D51" s="21">
        <v>45356</v>
      </c>
      <c r="E51" s="21">
        <v>45361</v>
      </c>
      <c r="F51" s="20" t="s">
        <v>111</v>
      </c>
      <c r="G51" s="22">
        <v>85.69</v>
      </c>
      <c r="H51" s="22">
        <v>16.47</v>
      </c>
      <c r="I51" s="20" t="s">
        <v>45</v>
      </c>
      <c r="J51" s="20">
        <v>5</v>
      </c>
      <c r="K51" s="20" t="s">
        <v>46</v>
      </c>
      <c r="L51" s="23">
        <f t="shared" si="0"/>
        <v>45323</v>
      </c>
      <c r="M51" s="20">
        <f t="shared" si="1"/>
        <v>8</v>
      </c>
      <c r="N51" s="20">
        <f t="shared" si="2"/>
        <v>0</v>
      </c>
      <c r="O51" s="20">
        <f t="shared" si="3"/>
        <v>1</v>
      </c>
      <c r="P51" s="22">
        <f t="shared" si="4"/>
        <v>102.16</v>
      </c>
      <c r="Q51" s="22">
        <f>G51*INDEX(Assumptions!$B$8:$B$16,MATCH(F51,Assumptions!$A$8:$A$16,0))</f>
        <v>53.984699999999997</v>
      </c>
      <c r="R51" s="22">
        <f>H51*Assumptions!$B$3</f>
        <v>9.8819999999999997</v>
      </c>
      <c r="S51" s="22">
        <f t="shared" si="5"/>
        <v>21.823300000000003</v>
      </c>
      <c r="T51" s="20" t="str">
        <f t="shared" si="6"/>
        <v>8-14 days</v>
      </c>
    </row>
    <row r="52" spans="1:20" x14ac:dyDescent="0.3">
      <c r="A52" s="20" t="s">
        <v>114</v>
      </c>
      <c r="B52" s="20" t="s">
        <v>19</v>
      </c>
      <c r="C52" s="21">
        <v>45349</v>
      </c>
      <c r="D52" s="21">
        <v>45360</v>
      </c>
      <c r="E52" s="21">
        <v>45365</v>
      </c>
      <c r="F52" s="20" t="s">
        <v>79</v>
      </c>
      <c r="G52" s="22">
        <v>114.98</v>
      </c>
      <c r="H52" s="22">
        <v>23.22</v>
      </c>
      <c r="I52" s="20" t="s">
        <v>45</v>
      </c>
      <c r="J52" s="20">
        <v>5</v>
      </c>
      <c r="K52" s="20" t="s">
        <v>46</v>
      </c>
      <c r="L52" s="23">
        <f t="shared" si="0"/>
        <v>45323</v>
      </c>
      <c r="M52" s="20">
        <f t="shared" si="1"/>
        <v>11</v>
      </c>
      <c r="N52" s="20">
        <f t="shared" si="2"/>
        <v>0</v>
      </c>
      <c r="O52" s="20">
        <f t="shared" si="3"/>
        <v>1</v>
      </c>
      <c r="P52" s="22">
        <f t="shared" si="4"/>
        <v>138.19999999999999</v>
      </c>
      <c r="Q52" s="22">
        <f>G52*INDEX(Assumptions!$B$8:$B$16,MATCH(F52,Assumptions!$A$8:$A$16,0))</f>
        <v>80.486000000000004</v>
      </c>
      <c r="R52" s="22">
        <f>H52*Assumptions!$B$3</f>
        <v>13.931999999999999</v>
      </c>
      <c r="S52" s="22">
        <f t="shared" si="5"/>
        <v>20.562000000000001</v>
      </c>
      <c r="T52" s="20" t="str">
        <f t="shared" si="6"/>
        <v>8-14 days</v>
      </c>
    </row>
    <row r="53" spans="1:20" x14ac:dyDescent="0.3">
      <c r="A53" s="20" t="s">
        <v>115</v>
      </c>
      <c r="B53" s="20" t="s">
        <v>62</v>
      </c>
      <c r="C53" s="21">
        <v>45352</v>
      </c>
      <c r="D53" s="21">
        <v>45361</v>
      </c>
      <c r="E53" s="21">
        <v>45368</v>
      </c>
      <c r="F53" s="20" t="s">
        <v>67</v>
      </c>
      <c r="G53" s="22">
        <v>103.98</v>
      </c>
      <c r="H53" s="22">
        <v>20.34</v>
      </c>
      <c r="I53" s="20" t="s">
        <v>45</v>
      </c>
      <c r="J53" s="20">
        <v>5</v>
      </c>
      <c r="K53" s="20" t="s">
        <v>46</v>
      </c>
      <c r="L53" s="23">
        <f t="shared" si="0"/>
        <v>45352</v>
      </c>
      <c r="M53" s="20">
        <f t="shared" si="1"/>
        <v>9</v>
      </c>
      <c r="N53" s="20">
        <f t="shared" si="2"/>
        <v>0</v>
      </c>
      <c r="O53" s="20">
        <f t="shared" si="3"/>
        <v>1</v>
      </c>
      <c r="P53" s="22">
        <f t="shared" si="4"/>
        <v>124.32000000000001</v>
      </c>
      <c r="Q53" s="22">
        <f>G53*INDEX(Assumptions!$B$8:$B$16,MATCH(F53,Assumptions!$A$8:$A$16,0))</f>
        <v>64.467600000000004</v>
      </c>
      <c r="R53" s="22">
        <f>H53*Assumptions!$B$3</f>
        <v>12.203999999999999</v>
      </c>
      <c r="S53" s="22">
        <f t="shared" si="5"/>
        <v>27.308399999999999</v>
      </c>
      <c r="T53" s="20" t="str">
        <f t="shared" si="6"/>
        <v>8-14 days</v>
      </c>
    </row>
    <row r="54" spans="1:20" x14ac:dyDescent="0.3">
      <c r="A54" s="20" t="s">
        <v>116</v>
      </c>
      <c r="B54" s="20" t="s">
        <v>19</v>
      </c>
      <c r="C54" s="21">
        <v>45353</v>
      </c>
      <c r="D54" s="21">
        <v>45358</v>
      </c>
      <c r="E54" s="21">
        <v>45369</v>
      </c>
      <c r="F54" s="20" t="s">
        <v>111</v>
      </c>
      <c r="G54" s="22">
        <v>89.18</v>
      </c>
      <c r="H54" s="22">
        <v>16.78</v>
      </c>
      <c r="I54" s="20" t="s">
        <v>45</v>
      </c>
      <c r="J54" s="20">
        <v>4</v>
      </c>
      <c r="K54" s="20" t="s">
        <v>46</v>
      </c>
      <c r="L54" s="23">
        <f t="shared" si="0"/>
        <v>45352</v>
      </c>
      <c r="M54" s="20">
        <f t="shared" si="1"/>
        <v>5</v>
      </c>
      <c r="N54" s="20">
        <f t="shared" si="2"/>
        <v>0</v>
      </c>
      <c r="O54" s="20">
        <f t="shared" si="3"/>
        <v>1</v>
      </c>
      <c r="P54" s="22">
        <f t="shared" si="4"/>
        <v>105.96000000000001</v>
      </c>
      <c r="Q54" s="22">
        <f>G54*INDEX(Assumptions!$B$8:$B$16,MATCH(F54,Assumptions!$A$8:$A$16,0))</f>
        <v>56.183400000000006</v>
      </c>
      <c r="R54" s="22">
        <f>H54*Assumptions!$B$3</f>
        <v>10.068</v>
      </c>
      <c r="S54" s="22">
        <f t="shared" si="5"/>
        <v>22.928600000000003</v>
      </c>
      <c r="T54" s="20" t="str">
        <f t="shared" si="6"/>
        <v>0-7 days</v>
      </c>
    </row>
    <row r="55" spans="1:20" x14ac:dyDescent="0.3">
      <c r="A55" s="20" t="s">
        <v>117</v>
      </c>
      <c r="B55" s="20" t="s">
        <v>62</v>
      </c>
      <c r="C55" s="21">
        <v>45353</v>
      </c>
      <c r="D55" s="21">
        <v>45363</v>
      </c>
      <c r="E55" s="21">
        <v>45373</v>
      </c>
      <c r="F55" s="20" t="s">
        <v>59</v>
      </c>
      <c r="G55" s="22">
        <v>60.58</v>
      </c>
      <c r="H55" s="22">
        <v>23.12</v>
      </c>
      <c r="I55" s="20" t="s">
        <v>45</v>
      </c>
      <c r="J55" s="20">
        <v>5</v>
      </c>
      <c r="K55" s="20" t="s">
        <v>46</v>
      </c>
      <c r="L55" s="23">
        <f t="shared" si="0"/>
        <v>45352</v>
      </c>
      <c r="M55" s="20">
        <f t="shared" si="1"/>
        <v>10</v>
      </c>
      <c r="N55" s="20">
        <f t="shared" si="2"/>
        <v>0</v>
      </c>
      <c r="O55" s="20">
        <f t="shared" si="3"/>
        <v>1</v>
      </c>
      <c r="P55" s="22">
        <f t="shared" si="4"/>
        <v>83.7</v>
      </c>
      <c r="Q55" s="22">
        <f>G55*INDEX(Assumptions!$B$8:$B$16,MATCH(F55,Assumptions!$A$8:$A$16,0))</f>
        <v>38.7712</v>
      </c>
      <c r="R55" s="22">
        <f>H55*Assumptions!$B$3</f>
        <v>13.872</v>
      </c>
      <c r="S55" s="22">
        <f t="shared" si="5"/>
        <v>7.9367999999999981</v>
      </c>
      <c r="T55" s="20" t="str">
        <f t="shared" si="6"/>
        <v>8-14 days</v>
      </c>
    </row>
    <row r="56" spans="1:20" x14ac:dyDescent="0.3">
      <c r="A56" s="20" t="s">
        <v>118</v>
      </c>
      <c r="B56" s="20" t="s">
        <v>19</v>
      </c>
      <c r="C56" s="21">
        <v>45354</v>
      </c>
      <c r="D56" s="21">
        <v>45359</v>
      </c>
      <c r="E56" s="21">
        <v>45371</v>
      </c>
      <c r="F56" s="20" t="s">
        <v>59</v>
      </c>
      <c r="G56" s="22">
        <v>38.71</v>
      </c>
      <c r="H56" s="22">
        <v>17.260000000000002</v>
      </c>
      <c r="I56" s="20" t="s">
        <v>45</v>
      </c>
      <c r="J56" s="20">
        <v>5</v>
      </c>
      <c r="K56" s="20" t="s">
        <v>46</v>
      </c>
      <c r="L56" s="23">
        <f t="shared" si="0"/>
        <v>45352</v>
      </c>
      <c r="M56" s="20">
        <f t="shared" si="1"/>
        <v>5</v>
      </c>
      <c r="N56" s="20">
        <f t="shared" si="2"/>
        <v>0</v>
      </c>
      <c r="O56" s="20">
        <f t="shared" si="3"/>
        <v>1</v>
      </c>
      <c r="P56" s="22">
        <f t="shared" si="4"/>
        <v>55.97</v>
      </c>
      <c r="Q56" s="22">
        <f>G56*INDEX(Assumptions!$B$8:$B$16,MATCH(F56,Assumptions!$A$8:$A$16,0))</f>
        <v>24.7744</v>
      </c>
      <c r="R56" s="22">
        <f>H56*Assumptions!$B$3</f>
        <v>10.356</v>
      </c>
      <c r="S56" s="22">
        <f t="shared" si="5"/>
        <v>3.579600000000001</v>
      </c>
      <c r="T56" s="20" t="str">
        <f t="shared" si="6"/>
        <v>0-7 days</v>
      </c>
    </row>
    <row r="57" spans="1:20" x14ac:dyDescent="0.3">
      <c r="A57" s="20" t="s">
        <v>119</v>
      </c>
      <c r="B57" s="20" t="s">
        <v>62</v>
      </c>
      <c r="C57" s="21">
        <v>45355</v>
      </c>
      <c r="D57" s="21">
        <v>45360</v>
      </c>
      <c r="E57" s="21">
        <v>45377</v>
      </c>
      <c r="F57" s="20" t="s">
        <v>49</v>
      </c>
      <c r="G57" s="22">
        <v>80.64</v>
      </c>
      <c r="H57" s="22">
        <v>21.13</v>
      </c>
      <c r="I57" s="20" t="s">
        <v>45</v>
      </c>
      <c r="J57" s="20">
        <v>4</v>
      </c>
      <c r="K57" s="20" t="s">
        <v>46</v>
      </c>
      <c r="L57" s="23">
        <f t="shared" si="0"/>
        <v>45352</v>
      </c>
      <c r="M57" s="20">
        <f t="shared" si="1"/>
        <v>5</v>
      </c>
      <c r="N57" s="20">
        <f t="shared" si="2"/>
        <v>0</v>
      </c>
      <c r="O57" s="20">
        <f t="shared" si="3"/>
        <v>1</v>
      </c>
      <c r="P57" s="22">
        <f t="shared" si="4"/>
        <v>101.77</v>
      </c>
      <c r="Q57" s="22">
        <f>G57*INDEX(Assumptions!$B$8:$B$16,MATCH(F57,Assumptions!$A$8:$A$16,0))</f>
        <v>46.7712</v>
      </c>
      <c r="R57" s="22">
        <f>H57*Assumptions!$B$3</f>
        <v>12.677999999999999</v>
      </c>
      <c r="S57" s="22">
        <f t="shared" si="5"/>
        <v>21.190800000000003</v>
      </c>
      <c r="T57" s="20" t="str">
        <f t="shared" si="6"/>
        <v>0-7 days</v>
      </c>
    </row>
    <row r="58" spans="1:20" x14ac:dyDescent="0.3">
      <c r="A58" s="20" t="s">
        <v>120</v>
      </c>
      <c r="B58" s="20" t="s">
        <v>93</v>
      </c>
      <c r="C58" s="21">
        <v>45357</v>
      </c>
      <c r="D58" s="21">
        <v>45383</v>
      </c>
      <c r="E58" s="21">
        <v>45385</v>
      </c>
      <c r="F58" s="20" t="s">
        <v>44</v>
      </c>
      <c r="G58" s="22">
        <v>159.51</v>
      </c>
      <c r="H58" s="22">
        <v>35.82</v>
      </c>
      <c r="I58" s="20" t="s">
        <v>60</v>
      </c>
      <c r="J58" s="20">
        <v>4</v>
      </c>
      <c r="K58" s="20" t="s">
        <v>46</v>
      </c>
      <c r="L58" s="23">
        <f t="shared" si="0"/>
        <v>45352</v>
      </c>
      <c r="M58" s="20">
        <f t="shared" si="1"/>
        <v>26</v>
      </c>
      <c r="N58" s="20">
        <f t="shared" si="2"/>
        <v>0</v>
      </c>
      <c r="O58" s="20">
        <f t="shared" si="3"/>
        <v>1</v>
      </c>
      <c r="P58" s="22">
        <f t="shared" si="4"/>
        <v>195.32999999999998</v>
      </c>
      <c r="Q58" s="22">
        <f>G58*INDEX(Assumptions!$B$8:$B$16,MATCH(F58,Assumptions!$A$8:$A$16,0))</f>
        <v>95.705999999999989</v>
      </c>
      <c r="R58" s="22">
        <f>H58*Assumptions!$B$3</f>
        <v>21.492000000000001</v>
      </c>
      <c r="S58" s="22">
        <f t="shared" si="5"/>
        <v>42.311999999999998</v>
      </c>
      <c r="T58" s="20" t="str">
        <f t="shared" si="6"/>
        <v>22+ days</v>
      </c>
    </row>
    <row r="59" spans="1:20" x14ac:dyDescent="0.3">
      <c r="A59" s="20" t="s">
        <v>121</v>
      </c>
      <c r="B59" s="20" t="s">
        <v>48</v>
      </c>
      <c r="C59" s="21">
        <v>45362</v>
      </c>
      <c r="D59" s="21">
        <v>45367</v>
      </c>
      <c r="E59" s="21">
        <v>45382</v>
      </c>
      <c r="F59" s="20" t="s">
        <v>64</v>
      </c>
      <c r="G59" s="22">
        <v>151.43</v>
      </c>
      <c r="H59" s="22">
        <v>23.17</v>
      </c>
      <c r="I59" s="20" t="s">
        <v>45</v>
      </c>
      <c r="J59" s="20">
        <v>4</v>
      </c>
      <c r="K59" s="20" t="s">
        <v>46</v>
      </c>
      <c r="L59" s="23">
        <f t="shared" si="0"/>
        <v>45352</v>
      </c>
      <c r="M59" s="20">
        <f t="shared" si="1"/>
        <v>5</v>
      </c>
      <c r="N59" s="20">
        <f t="shared" si="2"/>
        <v>0</v>
      </c>
      <c r="O59" s="20">
        <f t="shared" si="3"/>
        <v>1</v>
      </c>
      <c r="P59" s="22">
        <f t="shared" si="4"/>
        <v>174.60000000000002</v>
      </c>
      <c r="Q59" s="22">
        <f>G59*INDEX(Assumptions!$B$8:$B$16,MATCH(F59,Assumptions!$A$8:$A$16,0))</f>
        <v>99.94380000000001</v>
      </c>
      <c r="R59" s="22">
        <f>H59*Assumptions!$B$3</f>
        <v>13.902000000000001</v>
      </c>
      <c r="S59" s="22">
        <f t="shared" si="5"/>
        <v>37.584199999999996</v>
      </c>
      <c r="T59" s="20" t="str">
        <f t="shared" si="6"/>
        <v>0-7 days</v>
      </c>
    </row>
    <row r="60" spans="1:20" x14ac:dyDescent="0.3">
      <c r="A60" s="20" t="s">
        <v>122</v>
      </c>
      <c r="B60" s="20" t="s">
        <v>19</v>
      </c>
      <c r="C60" s="21">
        <v>45362</v>
      </c>
      <c r="D60" s="21">
        <v>45371</v>
      </c>
      <c r="E60" s="21">
        <v>45376</v>
      </c>
      <c r="F60" s="20" t="s">
        <v>57</v>
      </c>
      <c r="G60" s="22">
        <v>144.79</v>
      </c>
      <c r="H60" s="22">
        <v>13.43</v>
      </c>
      <c r="I60" s="20" t="s">
        <v>45</v>
      </c>
      <c r="J60" s="20">
        <v>5</v>
      </c>
      <c r="K60" s="20" t="s">
        <v>46</v>
      </c>
      <c r="L60" s="23">
        <f t="shared" si="0"/>
        <v>45352</v>
      </c>
      <c r="M60" s="20">
        <f t="shared" si="1"/>
        <v>9</v>
      </c>
      <c r="N60" s="20">
        <f t="shared" si="2"/>
        <v>0</v>
      </c>
      <c r="O60" s="20">
        <f t="shared" si="3"/>
        <v>1</v>
      </c>
      <c r="P60" s="22">
        <f t="shared" si="4"/>
        <v>158.22</v>
      </c>
      <c r="Q60" s="22">
        <f>G60*INDEX(Assumptions!$B$8:$B$16,MATCH(F60,Assumptions!$A$8:$A$16,0))</f>
        <v>98.4572</v>
      </c>
      <c r="R60" s="22">
        <f>H60*Assumptions!$B$3</f>
        <v>8.0579999999999998</v>
      </c>
      <c r="S60" s="22">
        <f t="shared" si="5"/>
        <v>38.274799999999992</v>
      </c>
      <c r="T60" s="20" t="str">
        <f t="shared" si="6"/>
        <v>8-14 days</v>
      </c>
    </row>
    <row r="61" spans="1:20" x14ac:dyDescent="0.3">
      <c r="A61" s="20" t="s">
        <v>123</v>
      </c>
      <c r="B61" s="20" t="s">
        <v>77</v>
      </c>
      <c r="C61" s="21">
        <v>45364</v>
      </c>
      <c r="D61" s="21">
        <v>45383</v>
      </c>
      <c r="E61" s="21">
        <v>45392</v>
      </c>
      <c r="F61" s="20" t="s">
        <v>53</v>
      </c>
      <c r="G61" s="22">
        <v>66.73</v>
      </c>
      <c r="H61" s="22">
        <v>20.11</v>
      </c>
      <c r="I61" s="20" t="s">
        <v>45</v>
      </c>
      <c r="J61" s="20">
        <v>5</v>
      </c>
      <c r="K61" s="20" t="s">
        <v>46</v>
      </c>
      <c r="L61" s="23">
        <f t="shared" si="0"/>
        <v>45352</v>
      </c>
      <c r="M61" s="20">
        <f t="shared" si="1"/>
        <v>19</v>
      </c>
      <c r="N61" s="20">
        <f t="shared" si="2"/>
        <v>0</v>
      </c>
      <c r="O61" s="20">
        <f t="shared" si="3"/>
        <v>1</v>
      </c>
      <c r="P61" s="22">
        <f t="shared" si="4"/>
        <v>86.84</v>
      </c>
      <c r="Q61" s="22">
        <f>G61*INDEX(Assumptions!$B$8:$B$16,MATCH(F61,Assumptions!$A$8:$A$16,0))</f>
        <v>49.380200000000002</v>
      </c>
      <c r="R61" s="22">
        <f>H61*Assumptions!$B$3</f>
        <v>12.065999999999999</v>
      </c>
      <c r="S61" s="22">
        <f t="shared" si="5"/>
        <v>5.2838000000000029</v>
      </c>
      <c r="T61" s="20" t="str">
        <f t="shared" si="6"/>
        <v>15-21 days</v>
      </c>
    </row>
    <row r="62" spans="1:20" x14ac:dyDescent="0.3">
      <c r="A62" s="20" t="s">
        <v>124</v>
      </c>
      <c r="B62" s="20" t="s">
        <v>19</v>
      </c>
      <c r="C62" s="21">
        <v>45365</v>
      </c>
      <c r="D62" s="21">
        <v>45379</v>
      </c>
      <c r="E62" s="21">
        <v>45378</v>
      </c>
      <c r="F62" s="20" t="s">
        <v>49</v>
      </c>
      <c r="G62" s="22">
        <v>128.9</v>
      </c>
      <c r="H62" s="22">
        <v>16.600000000000001</v>
      </c>
      <c r="I62" s="20" t="s">
        <v>60</v>
      </c>
      <c r="J62" s="20">
        <v>2</v>
      </c>
      <c r="K62" s="20" t="s">
        <v>46</v>
      </c>
      <c r="L62" s="23">
        <f t="shared" si="0"/>
        <v>45352</v>
      </c>
      <c r="M62" s="20">
        <f t="shared" si="1"/>
        <v>14</v>
      </c>
      <c r="N62" s="20">
        <f t="shared" si="2"/>
        <v>1</v>
      </c>
      <c r="O62" s="20">
        <f t="shared" si="3"/>
        <v>0</v>
      </c>
      <c r="P62" s="22">
        <f t="shared" si="4"/>
        <v>145.5</v>
      </c>
      <c r="Q62" s="22">
        <f>G62*INDEX(Assumptions!$B$8:$B$16,MATCH(F62,Assumptions!$A$8:$A$16,0))</f>
        <v>74.762</v>
      </c>
      <c r="R62" s="22">
        <f>H62*Assumptions!$B$3</f>
        <v>9.9600000000000009</v>
      </c>
      <c r="S62" s="22">
        <f t="shared" si="5"/>
        <v>44.178000000000004</v>
      </c>
      <c r="T62" s="20" t="str">
        <f t="shared" si="6"/>
        <v>8-14 days</v>
      </c>
    </row>
    <row r="63" spans="1:20" x14ac:dyDescent="0.3">
      <c r="A63" s="20" t="s">
        <v>125</v>
      </c>
      <c r="B63" s="20" t="s">
        <v>19</v>
      </c>
      <c r="C63" s="21">
        <v>45369</v>
      </c>
      <c r="D63" s="21">
        <v>45379</v>
      </c>
      <c r="E63" s="21">
        <v>45383</v>
      </c>
      <c r="F63" s="20" t="s">
        <v>49</v>
      </c>
      <c r="G63" s="22">
        <v>60.86</v>
      </c>
      <c r="H63" s="22">
        <v>17.190000000000001</v>
      </c>
      <c r="I63" s="20" t="s">
        <v>45</v>
      </c>
      <c r="J63" s="20">
        <v>5</v>
      </c>
      <c r="K63" s="20" t="s">
        <v>46</v>
      </c>
      <c r="L63" s="23">
        <f t="shared" si="0"/>
        <v>45352</v>
      </c>
      <c r="M63" s="20">
        <f t="shared" si="1"/>
        <v>10</v>
      </c>
      <c r="N63" s="20">
        <f t="shared" si="2"/>
        <v>0</v>
      </c>
      <c r="O63" s="20">
        <f t="shared" si="3"/>
        <v>1</v>
      </c>
      <c r="P63" s="22">
        <f t="shared" si="4"/>
        <v>78.05</v>
      </c>
      <c r="Q63" s="22">
        <f>G63*INDEX(Assumptions!$B$8:$B$16,MATCH(F63,Assumptions!$A$8:$A$16,0))</f>
        <v>35.2988</v>
      </c>
      <c r="R63" s="22">
        <f>H63*Assumptions!$B$3</f>
        <v>10.314</v>
      </c>
      <c r="S63" s="22">
        <f t="shared" si="5"/>
        <v>15.247199999999999</v>
      </c>
      <c r="T63" s="20" t="str">
        <f t="shared" si="6"/>
        <v>8-14 days</v>
      </c>
    </row>
    <row r="64" spans="1:20" x14ac:dyDescent="0.3">
      <c r="A64" s="20" t="s">
        <v>126</v>
      </c>
      <c r="B64" s="20" t="s">
        <v>62</v>
      </c>
      <c r="C64" s="21">
        <v>45374</v>
      </c>
      <c r="D64" s="21">
        <v>45382</v>
      </c>
      <c r="E64" s="21">
        <v>45396</v>
      </c>
      <c r="F64" s="20" t="s">
        <v>79</v>
      </c>
      <c r="G64" s="22">
        <v>19.3</v>
      </c>
      <c r="H64" s="22">
        <v>17.010000000000002</v>
      </c>
      <c r="I64" s="20" t="s">
        <v>45</v>
      </c>
      <c r="J64" s="20">
        <v>4</v>
      </c>
      <c r="K64" s="20" t="s">
        <v>46</v>
      </c>
      <c r="L64" s="23">
        <f t="shared" si="0"/>
        <v>45352</v>
      </c>
      <c r="M64" s="20">
        <f t="shared" si="1"/>
        <v>8</v>
      </c>
      <c r="N64" s="20">
        <f t="shared" si="2"/>
        <v>0</v>
      </c>
      <c r="O64" s="20">
        <f t="shared" si="3"/>
        <v>1</v>
      </c>
      <c r="P64" s="22">
        <f t="shared" si="4"/>
        <v>36.31</v>
      </c>
      <c r="Q64" s="22">
        <f>G64*INDEX(Assumptions!$B$8:$B$16,MATCH(F64,Assumptions!$A$8:$A$16,0))</f>
        <v>13.51</v>
      </c>
      <c r="R64" s="22">
        <f>H64*Assumptions!$B$3</f>
        <v>10.206000000000001</v>
      </c>
      <c r="S64" s="22">
        <f t="shared" si="5"/>
        <v>-4.4160000000000004</v>
      </c>
      <c r="T64" s="20" t="str">
        <f t="shared" si="6"/>
        <v>8-14 days</v>
      </c>
    </row>
    <row r="65" spans="1:20" x14ac:dyDescent="0.3">
      <c r="A65" s="20" t="s">
        <v>127</v>
      </c>
      <c r="B65" s="20" t="s">
        <v>19</v>
      </c>
      <c r="C65" s="21">
        <v>45374</v>
      </c>
      <c r="D65" s="21">
        <v>45381</v>
      </c>
      <c r="E65" s="21">
        <v>45390</v>
      </c>
      <c r="F65" s="20" t="s">
        <v>79</v>
      </c>
      <c r="G65" s="22">
        <v>95.65</v>
      </c>
      <c r="H65" s="22">
        <v>22.27</v>
      </c>
      <c r="I65" s="20" t="s">
        <v>45</v>
      </c>
      <c r="J65" s="20">
        <v>3</v>
      </c>
      <c r="K65" s="20" t="s">
        <v>46</v>
      </c>
      <c r="L65" s="23">
        <f t="shared" si="0"/>
        <v>45352</v>
      </c>
      <c r="M65" s="20">
        <f t="shared" si="1"/>
        <v>7</v>
      </c>
      <c r="N65" s="20">
        <f t="shared" si="2"/>
        <v>0</v>
      </c>
      <c r="O65" s="20">
        <f t="shared" si="3"/>
        <v>1</v>
      </c>
      <c r="P65" s="22">
        <f t="shared" si="4"/>
        <v>117.92</v>
      </c>
      <c r="Q65" s="22">
        <f>G65*INDEX(Assumptions!$B$8:$B$16,MATCH(F65,Assumptions!$A$8:$A$16,0))</f>
        <v>66.954999999999998</v>
      </c>
      <c r="R65" s="22">
        <f>H65*Assumptions!$B$3</f>
        <v>13.362</v>
      </c>
      <c r="S65" s="22">
        <f t="shared" si="5"/>
        <v>15.333000000000007</v>
      </c>
      <c r="T65" s="20" t="str">
        <f t="shared" si="6"/>
        <v>0-7 days</v>
      </c>
    </row>
    <row r="66" spans="1:20" x14ac:dyDescent="0.3">
      <c r="A66" s="20" t="s">
        <v>128</v>
      </c>
      <c r="B66" s="20" t="s">
        <v>93</v>
      </c>
      <c r="C66" s="21">
        <v>45375</v>
      </c>
      <c r="D66" s="21">
        <v>45389</v>
      </c>
      <c r="E66" s="21">
        <v>45407</v>
      </c>
      <c r="F66" s="20" t="s">
        <v>111</v>
      </c>
      <c r="G66" s="22">
        <v>49.04</v>
      </c>
      <c r="H66" s="22">
        <v>37.94</v>
      </c>
      <c r="I66" s="20" t="s">
        <v>45</v>
      </c>
      <c r="J66" s="20">
        <v>4</v>
      </c>
      <c r="K66" s="20" t="s">
        <v>46</v>
      </c>
      <c r="L66" s="23">
        <f t="shared" ref="L66:L129" si="18">DATE(YEAR(C66),MONTH(C66),1)</f>
        <v>45352</v>
      </c>
      <c r="M66" s="20">
        <f t="shared" ref="M66:M129" si="19">D66-C66</f>
        <v>14</v>
      </c>
      <c r="N66" s="20">
        <f t="shared" ref="N66:N129" si="20">MAX(0,D66-E66)</f>
        <v>0</v>
      </c>
      <c r="O66" s="20">
        <f t="shared" ref="O66:O129" si="21">IF(D66&lt;=E66,1,0)</f>
        <v>1</v>
      </c>
      <c r="P66" s="22">
        <f t="shared" ref="P66:P129" si="22">G66+H66</f>
        <v>86.97999999999999</v>
      </c>
      <c r="Q66" s="22">
        <f>G66*INDEX(Assumptions!$B$8:$B$16,MATCH(F66,Assumptions!$A$8:$A$16,0))</f>
        <v>30.895199999999999</v>
      </c>
      <c r="R66" s="22">
        <f>H66*Assumptions!$B$3</f>
        <v>22.763999999999999</v>
      </c>
      <c r="S66" s="22">
        <f t="shared" ref="S66:S129" si="23">G66-Q66-R66</f>
        <v>-4.6191999999999993</v>
      </c>
      <c r="T66" s="20" t="str">
        <f t="shared" ref="T66:T129" si="24">IF(M66&lt;=7,"0-7 days",IF(M66&lt;=14,"8-14 days",IF(M66&lt;=21,"15-21 days","22+ days")))</f>
        <v>8-14 days</v>
      </c>
    </row>
    <row r="67" spans="1:20" x14ac:dyDescent="0.3">
      <c r="A67" s="20" t="s">
        <v>129</v>
      </c>
      <c r="B67" s="20" t="s">
        <v>93</v>
      </c>
      <c r="C67" s="21">
        <v>45376</v>
      </c>
      <c r="D67" s="21">
        <v>45391</v>
      </c>
      <c r="E67" s="21">
        <v>45404</v>
      </c>
      <c r="F67" s="20" t="s">
        <v>57</v>
      </c>
      <c r="G67" s="22">
        <v>81.39</v>
      </c>
      <c r="H67" s="22">
        <v>27.17</v>
      </c>
      <c r="I67" s="20" t="s">
        <v>45</v>
      </c>
      <c r="J67" s="20">
        <v>5</v>
      </c>
      <c r="K67" s="20" t="s">
        <v>46</v>
      </c>
      <c r="L67" s="23">
        <f t="shared" si="18"/>
        <v>45352</v>
      </c>
      <c r="M67" s="20">
        <f t="shared" si="19"/>
        <v>15</v>
      </c>
      <c r="N67" s="20">
        <f t="shared" si="20"/>
        <v>0</v>
      </c>
      <c r="O67" s="20">
        <f t="shared" si="21"/>
        <v>1</v>
      </c>
      <c r="P67" s="22">
        <f t="shared" si="22"/>
        <v>108.56</v>
      </c>
      <c r="Q67" s="22">
        <f>G67*INDEX(Assumptions!$B$8:$B$16,MATCH(F67,Assumptions!$A$8:$A$16,0))</f>
        <v>55.345200000000006</v>
      </c>
      <c r="R67" s="22">
        <f>H67*Assumptions!$B$3</f>
        <v>16.302</v>
      </c>
      <c r="S67" s="22">
        <f t="shared" si="23"/>
        <v>9.7427999999999955</v>
      </c>
      <c r="T67" s="20" t="str">
        <f t="shared" si="24"/>
        <v>15-21 days</v>
      </c>
    </row>
    <row r="68" spans="1:20" x14ac:dyDescent="0.3">
      <c r="A68" s="20" t="s">
        <v>130</v>
      </c>
      <c r="B68" s="20" t="s">
        <v>55</v>
      </c>
      <c r="C68" s="21">
        <v>45376</v>
      </c>
      <c r="D68" s="21">
        <v>45391</v>
      </c>
      <c r="E68" s="21">
        <v>45402</v>
      </c>
      <c r="F68" s="20" t="s">
        <v>111</v>
      </c>
      <c r="G68" s="22">
        <v>35.68</v>
      </c>
      <c r="H68" s="22">
        <v>24.56</v>
      </c>
      <c r="I68" s="20" t="s">
        <v>45</v>
      </c>
      <c r="J68" s="20">
        <v>5</v>
      </c>
      <c r="K68" s="20" t="s">
        <v>46</v>
      </c>
      <c r="L68" s="23">
        <f t="shared" si="18"/>
        <v>45352</v>
      </c>
      <c r="M68" s="20">
        <f t="shared" si="19"/>
        <v>15</v>
      </c>
      <c r="N68" s="20">
        <f t="shared" si="20"/>
        <v>0</v>
      </c>
      <c r="O68" s="20">
        <f t="shared" si="21"/>
        <v>1</v>
      </c>
      <c r="P68" s="22">
        <f t="shared" si="22"/>
        <v>60.239999999999995</v>
      </c>
      <c r="Q68" s="22">
        <f>G68*INDEX(Assumptions!$B$8:$B$16,MATCH(F68,Assumptions!$A$8:$A$16,0))</f>
        <v>22.478400000000001</v>
      </c>
      <c r="R68" s="22">
        <f>H68*Assumptions!$B$3</f>
        <v>14.735999999999999</v>
      </c>
      <c r="S68" s="22">
        <f t="shared" si="23"/>
        <v>-1.5343999999999998</v>
      </c>
      <c r="T68" s="20" t="str">
        <f t="shared" si="24"/>
        <v>15-21 days</v>
      </c>
    </row>
    <row r="69" spans="1:20" x14ac:dyDescent="0.3">
      <c r="A69" s="20" t="s">
        <v>131</v>
      </c>
      <c r="B69" s="20" t="s">
        <v>55</v>
      </c>
      <c r="C69" s="21">
        <v>45377</v>
      </c>
      <c r="D69" s="21">
        <v>45397</v>
      </c>
      <c r="E69" s="21">
        <v>45400</v>
      </c>
      <c r="F69" s="20" t="s">
        <v>64</v>
      </c>
      <c r="G69" s="22">
        <v>125.46</v>
      </c>
      <c r="H69" s="22">
        <v>28.73</v>
      </c>
      <c r="I69" s="20" t="s">
        <v>45</v>
      </c>
      <c r="J69" s="20">
        <v>4</v>
      </c>
      <c r="K69" s="20" t="s">
        <v>46</v>
      </c>
      <c r="L69" s="23">
        <f t="shared" si="18"/>
        <v>45352</v>
      </c>
      <c r="M69" s="20">
        <f t="shared" si="19"/>
        <v>20</v>
      </c>
      <c r="N69" s="20">
        <f t="shared" si="20"/>
        <v>0</v>
      </c>
      <c r="O69" s="20">
        <f t="shared" si="21"/>
        <v>1</v>
      </c>
      <c r="P69" s="22">
        <f t="shared" si="22"/>
        <v>154.19</v>
      </c>
      <c r="Q69" s="22">
        <f>G69*INDEX(Assumptions!$B$8:$B$16,MATCH(F69,Assumptions!$A$8:$A$16,0))</f>
        <v>82.803600000000003</v>
      </c>
      <c r="R69" s="22">
        <f>H69*Assumptions!$B$3</f>
        <v>17.238</v>
      </c>
      <c r="S69" s="22">
        <f t="shared" si="23"/>
        <v>25.418399999999991</v>
      </c>
      <c r="T69" s="20" t="str">
        <f t="shared" si="24"/>
        <v>15-21 days</v>
      </c>
    </row>
    <row r="70" spans="1:20" x14ac:dyDescent="0.3">
      <c r="A70" s="20" t="s">
        <v>132</v>
      </c>
      <c r="B70" s="20" t="s">
        <v>19</v>
      </c>
      <c r="C70" s="21">
        <v>45377</v>
      </c>
      <c r="D70" s="21">
        <v>45383</v>
      </c>
      <c r="E70" s="21">
        <v>45390</v>
      </c>
      <c r="F70" s="20" t="s">
        <v>67</v>
      </c>
      <c r="G70" s="22">
        <v>111.28</v>
      </c>
      <c r="H70" s="22">
        <v>23.11</v>
      </c>
      <c r="I70" s="20" t="s">
        <v>45</v>
      </c>
      <c r="J70" s="20">
        <v>5</v>
      </c>
      <c r="K70" s="20" t="s">
        <v>46</v>
      </c>
      <c r="L70" s="23">
        <f t="shared" si="18"/>
        <v>45352</v>
      </c>
      <c r="M70" s="20">
        <f t="shared" si="19"/>
        <v>6</v>
      </c>
      <c r="N70" s="20">
        <f t="shared" si="20"/>
        <v>0</v>
      </c>
      <c r="O70" s="20">
        <f t="shared" si="21"/>
        <v>1</v>
      </c>
      <c r="P70" s="22">
        <f t="shared" si="22"/>
        <v>134.38999999999999</v>
      </c>
      <c r="Q70" s="22">
        <f>G70*INDEX(Assumptions!$B$8:$B$16,MATCH(F70,Assumptions!$A$8:$A$16,0))</f>
        <v>68.993600000000001</v>
      </c>
      <c r="R70" s="22">
        <f>H70*Assumptions!$B$3</f>
        <v>13.866</v>
      </c>
      <c r="S70" s="22">
        <f t="shared" si="23"/>
        <v>28.420400000000001</v>
      </c>
      <c r="T70" s="20" t="str">
        <f t="shared" si="24"/>
        <v>0-7 days</v>
      </c>
    </row>
    <row r="71" spans="1:20" x14ac:dyDescent="0.3">
      <c r="A71" s="20" t="s">
        <v>133</v>
      </c>
      <c r="B71" s="20" t="s">
        <v>134</v>
      </c>
      <c r="C71" s="21">
        <v>45378</v>
      </c>
      <c r="D71" s="21">
        <v>45393</v>
      </c>
      <c r="E71" s="21">
        <v>45395</v>
      </c>
      <c r="F71" s="20" t="s">
        <v>79</v>
      </c>
      <c r="G71" s="22">
        <v>168.77</v>
      </c>
      <c r="H71" s="22">
        <v>22.32</v>
      </c>
      <c r="I71" s="20" t="s">
        <v>45</v>
      </c>
      <c r="J71" s="20">
        <v>3</v>
      </c>
      <c r="K71" s="20" t="s">
        <v>46</v>
      </c>
      <c r="L71" s="23">
        <f t="shared" si="18"/>
        <v>45352</v>
      </c>
      <c r="M71" s="20">
        <f t="shared" si="19"/>
        <v>15</v>
      </c>
      <c r="N71" s="20">
        <f t="shared" si="20"/>
        <v>0</v>
      </c>
      <c r="O71" s="20">
        <f t="shared" si="21"/>
        <v>1</v>
      </c>
      <c r="P71" s="22">
        <f t="shared" si="22"/>
        <v>191.09</v>
      </c>
      <c r="Q71" s="22">
        <f>G71*INDEX(Assumptions!$B$8:$B$16,MATCH(F71,Assumptions!$A$8:$A$16,0))</f>
        <v>118.139</v>
      </c>
      <c r="R71" s="22">
        <f>H71*Assumptions!$B$3</f>
        <v>13.391999999999999</v>
      </c>
      <c r="S71" s="22">
        <f t="shared" si="23"/>
        <v>37.239000000000019</v>
      </c>
      <c r="T71" s="20" t="str">
        <f t="shared" si="24"/>
        <v>15-21 days</v>
      </c>
    </row>
    <row r="72" spans="1:20" x14ac:dyDescent="0.3">
      <c r="A72" s="20" t="s">
        <v>135</v>
      </c>
      <c r="B72" s="20" t="s">
        <v>77</v>
      </c>
      <c r="C72" s="21">
        <v>45379</v>
      </c>
      <c r="D72" s="21">
        <v>45388</v>
      </c>
      <c r="E72" s="21">
        <v>45407</v>
      </c>
      <c r="F72" s="20" t="s">
        <v>79</v>
      </c>
      <c r="G72" s="22">
        <v>100.09</v>
      </c>
      <c r="H72" s="22">
        <v>25.96</v>
      </c>
      <c r="I72" s="20" t="s">
        <v>45</v>
      </c>
      <c r="J72" s="20">
        <v>4</v>
      </c>
      <c r="K72" s="20" t="s">
        <v>46</v>
      </c>
      <c r="L72" s="23">
        <f t="shared" si="18"/>
        <v>45352</v>
      </c>
      <c r="M72" s="20">
        <f t="shared" si="19"/>
        <v>9</v>
      </c>
      <c r="N72" s="20">
        <f t="shared" si="20"/>
        <v>0</v>
      </c>
      <c r="O72" s="20">
        <f t="shared" si="21"/>
        <v>1</v>
      </c>
      <c r="P72" s="22">
        <f t="shared" si="22"/>
        <v>126.05000000000001</v>
      </c>
      <c r="Q72" s="22">
        <f>G72*INDEX(Assumptions!$B$8:$B$16,MATCH(F72,Assumptions!$A$8:$A$16,0))</f>
        <v>70.063000000000002</v>
      </c>
      <c r="R72" s="22">
        <f>H72*Assumptions!$B$3</f>
        <v>15.576000000000001</v>
      </c>
      <c r="S72" s="22">
        <f t="shared" si="23"/>
        <v>14.451000000000001</v>
      </c>
      <c r="T72" s="20" t="str">
        <f t="shared" si="24"/>
        <v>8-14 days</v>
      </c>
    </row>
    <row r="73" spans="1:20" x14ac:dyDescent="0.3">
      <c r="A73" s="20" t="s">
        <v>136</v>
      </c>
      <c r="B73" s="20" t="s">
        <v>52</v>
      </c>
      <c r="C73" s="21">
        <v>45380</v>
      </c>
      <c r="D73" s="21">
        <v>45401</v>
      </c>
      <c r="E73" s="21">
        <v>45403</v>
      </c>
      <c r="F73" s="20" t="s">
        <v>44</v>
      </c>
      <c r="G73" s="22">
        <v>175.65</v>
      </c>
      <c r="H73" s="22">
        <v>22.26</v>
      </c>
      <c r="I73" s="20" t="s">
        <v>45</v>
      </c>
      <c r="J73" s="20">
        <v>4</v>
      </c>
      <c r="K73" s="20" t="s">
        <v>46</v>
      </c>
      <c r="L73" s="23">
        <f t="shared" si="18"/>
        <v>45352</v>
      </c>
      <c r="M73" s="20">
        <f t="shared" si="19"/>
        <v>21</v>
      </c>
      <c r="N73" s="20">
        <f t="shared" si="20"/>
        <v>0</v>
      </c>
      <c r="O73" s="20">
        <f t="shared" si="21"/>
        <v>1</v>
      </c>
      <c r="P73" s="22">
        <f t="shared" si="22"/>
        <v>197.91</v>
      </c>
      <c r="Q73" s="22">
        <f>G73*INDEX(Assumptions!$B$8:$B$16,MATCH(F73,Assumptions!$A$8:$A$16,0))</f>
        <v>105.39</v>
      </c>
      <c r="R73" s="22">
        <f>H73*Assumptions!$B$3</f>
        <v>13.356</v>
      </c>
      <c r="S73" s="22">
        <f t="shared" si="23"/>
        <v>56.904000000000003</v>
      </c>
      <c r="T73" s="20" t="str">
        <f t="shared" si="24"/>
        <v>15-21 days</v>
      </c>
    </row>
    <row r="74" spans="1:20" x14ac:dyDescent="0.3">
      <c r="A74" s="20" t="s">
        <v>137</v>
      </c>
      <c r="B74" s="20" t="s">
        <v>19</v>
      </c>
      <c r="C74" s="21">
        <v>45380</v>
      </c>
      <c r="D74" s="21">
        <v>45393</v>
      </c>
      <c r="E74" s="21">
        <v>45397</v>
      </c>
      <c r="F74" s="20" t="s">
        <v>67</v>
      </c>
      <c r="G74" s="22">
        <v>105.42</v>
      </c>
      <c r="H74" s="22">
        <v>17.260000000000002</v>
      </c>
      <c r="I74" s="20" t="s">
        <v>60</v>
      </c>
      <c r="J74" s="20">
        <v>5</v>
      </c>
      <c r="K74" s="20" t="s">
        <v>46</v>
      </c>
      <c r="L74" s="23">
        <f t="shared" si="18"/>
        <v>45352</v>
      </c>
      <c r="M74" s="20">
        <f t="shared" si="19"/>
        <v>13</v>
      </c>
      <c r="N74" s="20">
        <f t="shared" si="20"/>
        <v>0</v>
      </c>
      <c r="O74" s="20">
        <f t="shared" si="21"/>
        <v>1</v>
      </c>
      <c r="P74" s="22">
        <f t="shared" si="22"/>
        <v>122.68</v>
      </c>
      <c r="Q74" s="22">
        <f>G74*INDEX(Assumptions!$B$8:$B$16,MATCH(F74,Assumptions!$A$8:$A$16,0))</f>
        <v>65.360399999999998</v>
      </c>
      <c r="R74" s="22">
        <f>H74*Assumptions!$B$3</f>
        <v>10.356</v>
      </c>
      <c r="S74" s="22">
        <f t="shared" si="23"/>
        <v>29.703600000000002</v>
      </c>
      <c r="T74" s="20" t="str">
        <f t="shared" si="24"/>
        <v>8-14 days</v>
      </c>
    </row>
    <row r="75" spans="1:20" x14ac:dyDescent="0.3">
      <c r="A75" s="20" t="s">
        <v>138</v>
      </c>
      <c r="B75" s="20" t="s">
        <v>19</v>
      </c>
      <c r="C75" s="21">
        <v>45382</v>
      </c>
      <c r="D75" s="21">
        <v>45390</v>
      </c>
      <c r="E75" s="21">
        <v>45399</v>
      </c>
      <c r="F75" s="20" t="s">
        <v>79</v>
      </c>
      <c r="G75" s="22">
        <v>110.53</v>
      </c>
      <c r="H75" s="22">
        <v>14.25</v>
      </c>
      <c r="I75" s="20" t="s">
        <v>45</v>
      </c>
      <c r="J75" s="20">
        <v>5</v>
      </c>
      <c r="K75" s="20" t="s">
        <v>46</v>
      </c>
      <c r="L75" s="23">
        <f t="shared" si="18"/>
        <v>45352</v>
      </c>
      <c r="M75" s="20">
        <f t="shared" si="19"/>
        <v>8</v>
      </c>
      <c r="N75" s="20">
        <f t="shared" si="20"/>
        <v>0</v>
      </c>
      <c r="O75" s="20">
        <f t="shared" si="21"/>
        <v>1</v>
      </c>
      <c r="P75" s="22">
        <f t="shared" si="22"/>
        <v>124.78</v>
      </c>
      <c r="Q75" s="22">
        <f>G75*INDEX(Assumptions!$B$8:$B$16,MATCH(F75,Assumptions!$A$8:$A$16,0))</f>
        <v>77.370999999999995</v>
      </c>
      <c r="R75" s="22">
        <f>H75*Assumptions!$B$3</f>
        <v>8.5499999999999989</v>
      </c>
      <c r="S75" s="22">
        <f t="shared" si="23"/>
        <v>24.609000000000009</v>
      </c>
      <c r="T75" s="20" t="str">
        <f t="shared" si="24"/>
        <v>8-14 days</v>
      </c>
    </row>
    <row r="76" spans="1:20" x14ac:dyDescent="0.3">
      <c r="A76" s="20" t="s">
        <v>139</v>
      </c>
      <c r="B76" s="20" t="s">
        <v>19</v>
      </c>
      <c r="C76" s="21">
        <v>45383</v>
      </c>
      <c r="D76" s="21">
        <v>45389</v>
      </c>
      <c r="E76" s="21">
        <v>45399</v>
      </c>
      <c r="F76" s="20" t="s">
        <v>59</v>
      </c>
      <c r="G76" s="22">
        <v>227.46</v>
      </c>
      <c r="H76" s="22">
        <v>23.75</v>
      </c>
      <c r="I76" s="20" t="s">
        <v>45</v>
      </c>
      <c r="J76" s="20">
        <v>5</v>
      </c>
      <c r="K76" s="20" t="s">
        <v>46</v>
      </c>
      <c r="L76" s="23">
        <f t="shared" si="18"/>
        <v>45383</v>
      </c>
      <c r="M76" s="20">
        <f t="shared" si="19"/>
        <v>6</v>
      </c>
      <c r="N76" s="20">
        <f t="shared" si="20"/>
        <v>0</v>
      </c>
      <c r="O76" s="20">
        <f t="shared" si="21"/>
        <v>1</v>
      </c>
      <c r="P76" s="22">
        <f t="shared" si="22"/>
        <v>251.21</v>
      </c>
      <c r="Q76" s="22">
        <f>G76*INDEX(Assumptions!$B$8:$B$16,MATCH(F76,Assumptions!$A$8:$A$16,0))</f>
        <v>145.5744</v>
      </c>
      <c r="R76" s="22">
        <f>H76*Assumptions!$B$3</f>
        <v>14.25</v>
      </c>
      <c r="S76" s="22">
        <f t="shared" si="23"/>
        <v>67.635600000000011</v>
      </c>
      <c r="T76" s="20" t="str">
        <f t="shared" si="24"/>
        <v>0-7 days</v>
      </c>
    </row>
    <row r="77" spans="1:20" x14ac:dyDescent="0.3">
      <c r="A77" s="20" t="s">
        <v>140</v>
      </c>
      <c r="B77" s="20" t="s">
        <v>19</v>
      </c>
      <c r="C77" s="21">
        <v>45383</v>
      </c>
      <c r="D77" s="21">
        <v>45388</v>
      </c>
      <c r="E77" s="21">
        <v>45398</v>
      </c>
      <c r="F77" s="20" t="s">
        <v>57</v>
      </c>
      <c r="G77" s="22">
        <v>149.08000000000001</v>
      </c>
      <c r="H77" s="22">
        <v>15.96</v>
      </c>
      <c r="I77" s="20" t="s">
        <v>45</v>
      </c>
      <c r="J77" s="20">
        <v>4</v>
      </c>
      <c r="K77" s="20" t="s">
        <v>46</v>
      </c>
      <c r="L77" s="23">
        <f t="shared" si="18"/>
        <v>45383</v>
      </c>
      <c r="M77" s="20">
        <f t="shared" si="19"/>
        <v>5</v>
      </c>
      <c r="N77" s="20">
        <f t="shared" si="20"/>
        <v>0</v>
      </c>
      <c r="O77" s="20">
        <f t="shared" si="21"/>
        <v>1</v>
      </c>
      <c r="P77" s="22">
        <f t="shared" si="22"/>
        <v>165.04000000000002</v>
      </c>
      <c r="Q77" s="22">
        <f>G77*INDEX(Assumptions!$B$8:$B$16,MATCH(F77,Assumptions!$A$8:$A$16,0))</f>
        <v>101.37440000000002</v>
      </c>
      <c r="R77" s="22">
        <f>H77*Assumptions!$B$3</f>
        <v>9.5760000000000005</v>
      </c>
      <c r="S77" s="22">
        <f t="shared" si="23"/>
        <v>38.129599999999989</v>
      </c>
      <c r="T77" s="20" t="str">
        <f t="shared" si="24"/>
        <v>0-7 days</v>
      </c>
    </row>
    <row r="78" spans="1:20" x14ac:dyDescent="0.3">
      <c r="A78" s="20" t="s">
        <v>141</v>
      </c>
      <c r="B78" s="20" t="s">
        <v>19</v>
      </c>
      <c r="C78" s="21">
        <v>45385</v>
      </c>
      <c r="D78" s="21">
        <v>45391</v>
      </c>
      <c r="E78" s="21">
        <v>45400</v>
      </c>
      <c r="F78" s="20" t="s">
        <v>49</v>
      </c>
      <c r="G78" s="22">
        <v>115.2</v>
      </c>
      <c r="H78" s="22">
        <v>21.93</v>
      </c>
      <c r="I78" s="20" t="s">
        <v>45</v>
      </c>
      <c r="J78" s="20">
        <v>5</v>
      </c>
      <c r="K78" s="20" t="s">
        <v>46</v>
      </c>
      <c r="L78" s="23">
        <f t="shared" si="18"/>
        <v>45383</v>
      </c>
      <c r="M78" s="20">
        <f t="shared" si="19"/>
        <v>6</v>
      </c>
      <c r="N78" s="20">
        <f t="shared" si="20"/>
        <v>0</v>
      </c>
      <c r="O78" s="20">
        <f t="shared" si="21"/>
        <v>1</v>
      </c>
      <c r="P78" s="22">
        <f t="shared" si="22"/>
        <v>137.13</v>
      </c>
      <c r="Q78" s="22">
        <f>G78*INDEX(Assumptions!$B$8:$B$16,MATCH(F78,Assumptions!$A$8:$A$16,0))</f>
        <v>66.816000000000003</v>
      </c>
      <c r="R78" s="22">
        <f>H78*Assumptions!$B$3</f>
        <v>13.157999999999999</v>
      </c>
      <c r="S78" s="22">
        <f t="shared" si="23"/>
        <v>35.225999999999999</v>
      </c>
      <c r="T78" s="20" t="str">
        <f t="shared" si="24"/>
        <v>0-7 days</v>
      </c>
    </row>
    <row r="79" spans="1:20" x14ac:dyDescent="0.3">
      <c r="A79" s="20" t="s">
        <v>142</v>
      </c>
      <c r="B79" s="20" t="s">
        <v>19</v>
      </c>
      <c r="C79" s="21">
        <v>45385</v>
      </c>
      <c r="D79" s="21">
        <v>45392</v>
      </c>
      <c r="E79" s="21">
        <v>45400</v>
      </c>
      <c r="F79" s="20" t="s">
        <v>79</v>
      </c>
      <c r="G79" s="22">
        <v>93.59</v>
      </c>
      <c r="H79" s="22">
        <v>18.170000000000002</v>
      </c>
      <c r="I79" s="20" t="s">
        <v>45</v>
      </c>
      <c r="J79" s="20">
        <v>5</v>
      </c>
      <c r="K79" s="20" t="s">
        <v>46</v>
      </c>
      <c r="L79" s="23">
        <f t="shared" si="18"/>
        <v>45383</v>
      </c>
      <c r="M79" s="20">
        <f t="shared" si="19"/>
        <v>7</v>
      </c>
      <c r="N79" s="20">
        <f t="shared" si="20"/>
        <v>0</v>
      </c>
      <c r="O79" s="20">
        <f t="shared" si="21"/>
        <v>1</v>
      </c>
      <c r="P79" s="22">
        <f t="shared" si="22"/>
        <v>111.76</v>
      </c>
      <c r="Q79" s="22">
        <f>G79*INDEX(Assumptions!$B$8:$B$16,MATCH(F79,Assumptions!$A$8:$A$16,0))</f>
        <v>65.513000000000005</v>
      </c>
      <c r="R79" s="22">
        <f>H79*Assumptions!$B$3</f>
        <v>10.902000000000001</v>
      </c>
      <c r="S79" s="22">
        <f t="shared" si="23"/>
        <v>17.174999999999997</v>
      </c>
      <c r="T79" s="20" t="str">
        <f t="shared" si="24"/>
        <v>0-7 days</v>
      </c>
    </row>
    <row r="80" spans="1:20" x14ac:dyDescent="0.3">
      <c r="A80" s="20" t="s">
        <v>143</v>
      </c>
      <c r="B80" s="20" t="s">
        <v>19</v>
      </c>
      <c r="C80" s="21">
        <v>45385</v>
      </c>
      <c r="D80" s="21">
        <v>45392</v>
      </c>
      <c r="E80" s="21">
        <v>45402</v>
      </c>
      <c r="F80" s="20" t="s">
        <v>67</v>
      </c>
      <c r="G80" s="22">
        <v>69.33</v>
      </c>
      <c r="H80" s="22">
        <v>19.36</v>
      </c>
      <c r="I80" s="20" t="s">
        <v>60</v>
      </c>
      <c r="J80" s="20">
        <v>5</v>
      </c>
      <c r="K80" s="20" t="s">
        <v>46</v>
      </c>
      <c r="L80" s="23">
        <f t="shared" si="18"/>
        <v>45383</v>
      </c>
      <c r="M80" s="20">
        <f t="shared" si="19"/>
        <v>7</v>
      </c>
      <c r="N80" s="20">
        <f t="shared" si="20"/>
        <v>0</v>
      </c>
      <c r="O80" s="20">
        <f t="shared" si="21"/>
        <v>1</v>
      </c>
      <c r="P80" s="22">
        <f t="shared" si="22"/>
        <v>88.69</v>
      </c>
      <c r="Q80" s="22">
        <f>G80*INDEX(Assumptions!$B$8:$B$16,MATCH(F80,Assumptions!$A$8:$A$16,0))</f>
        <v>42.9846</v>
      </c>
      <c r="R80" s="22">
        <f>H80*Assumptions!$B$3</f>
        <v>11.616</v>
      </c>
      <c r="S80" s="22">
        <f t="shared" si="23"/>
        <v>14.729399999999998</v>
      </c>
      <c r="T80" s="20" t="str">
        <f t="shared" si="24"/>
        <v>0-7 days</v>
      </c>
    </row>
    <row r="81" spans="1:20" x14ac:dyDescent="0.3">
      <c r="A81" s="20" t="s">
        <v>144</v>
      </c>
      <c r="B81" s="20" t="s">
        <v>93</v>
      </c>
      <c r="C81" s="21">
        <v>45386</v>
      </c>
      <c r="D81" s="21">
        <v>45408</v>
      </c>
      <c r="E81" s="21">
        <v>45417</v>
      </c>
      <c r="F81" s="20" t="s">
        <v>53</v>
      </c>
      <c r="G81" s="22">
        <v>97.28</v>
      </c>
      <c r="H81" s="22">
        <v>29.57</v>
      </c>
      <c r="I81" s="20" t="s">
        <v>45</v>
      </c>
      <c r="J81" s="20">
        <v>3</v>
      </c>
      <c r="K81" s="20" t="s">
        <v>46</v>
      </c>
      <c r="L81" s="23">
        <f t="shared" si="18"/>
        <v>45383</v>
      </c>
      <c r="M81" s="20">
        <f t="shared" si="19"/>
        <v>22</v>
      </c>
      <c r="N81" s="20">
        <f t="shared" si="20"/>
        <v>0</v>
      </c>
      <c r="O81" s="20">
        <f t="shared" si="21"/>
        <v>1</v>
      </c>
      <c r="P81" s="22">
        <f t="shared" si="22"/>
        <v>126.85</v>
      </c>
      <c r="Q81" s="22">
        <f>G81*INDEX(Assumptions!$B$8:$B$16,MATCH(F81,Assumptions!$A$8:$A$16,0))</f>
        <v>71.987200000000001</v>
      </c>
      <c r="R81" s="22">
        <f>H81*Assumptions!$B$3</f>
        <v>17.742000000000001</v>
      </c>
      <c r="S81" s="22">
        <f t="shared" si="23"/>
        <v>7.5507999999999988</v>
      </c>
      <c r="T81" s="20" t="str">
        <f t="shared" si="24"/>
        <v>22+ days</v>
      </c>
    </row>
    <row r="82" spans="1:20" x14ac:dyDescent="0.3">
      <c r="A82" s="20" t="s">
        <v>145</v>
      </c>
      <c r="B82" s="20" t="s">
        <v>62</v>
      </c>
      <c r="C82" s="21">
        <v>45386</v>
      </c>
      <c r="D82" s="21">
        <v>45400</v>
      </c>
      <c r="E82" s="21">
        <v>45404</v>
      </c>
      <c r="F82" s="20" t="s">
        <v>59</v>
      </c>
      <c r="G82" s="22">
        <v>91.28</v>
      </c>
      <c r="H82" s="22">
        <v>29.15</v>
      </c>
      <c r="I82" s="20" t="s">
        <v>45</v>
      </c>
      <c r="J82" s="20">
        <v>4</v>
      </c>
      <c r="K82" s="20" t="s">
        <v>46</v>
      </c>
      <c r="L82" s="23">
        <f t="shared" si="18"/>
        <v>45383</v>
      </c>
      <c r="M82" s="20">
        <f t="shared" si="19"/>
        <v>14</v>
      </c>
      <c r="N82" s="20">
        <f t="shared" si="20"/>
        <v>0</v>
      </c>
      <c r="O82" s="20">
        <f t="shared" si="21"/>
        <v>1</v>
      </c>
      <c r="P82" s="22">
        <f t="shared" si="22"/>
        <v>120.43</v>
      </c>
      <c r="Q82" s="22">
        <f>G82*INDEX(Assumptions!$B$8:$B$16,MATCH(F82,Assumptions!$A$8:$A$16,0))</f>
        <v>58.419200000000004</v>
      </c>
      <c r="R82" s="22">
        <f>H82*Assumptions!$B$3</f>
        <v>17.489999999999998</v>
      </c>
      <c r="S82" s="22">
        <f t="shared" si="23"/>
        <v>15.370799999999999</v>
      </c>
      <c r="T82" s="20" t="str">
        <f t="shared" si="24"/>
        <v>8-14 days</v>
      </c>
    </row>
    <row r="83" spans="1:20" x14ac:dyDescent="0.3">
      <c r="A83" s="20" t="s">
        <v>146</v>
      </c>
      <c r="B83" s="20" t="s">
        <v>19</v>
      </c>
      <c r="C83" s="21">
        <v>45386</v>
      </c>
      <c r="D83" s="21">
        <v>45397</v>
      </c>
      <c r="E83" s="21">
        <v>45403</v>
      </c>
      <c r="F83" s="20" t="s">
        <v>49</v>
      </c>
      <c r="G83" s="22">
        <v>65.22</v>
      </c>
      <c r="H83" s="22">
        <v>21.53</v>
      </c>
      <c r="I83" s="20" t="s">
        <v>50</v>
      </c>
      <c r="J83" s="20">
        <v>4</v>
      </c>
      <c r="K83" s="20" t="s">
        <v>46</v>
      </c>
      <c r="L83" s="23">
        <f t="shared" si="18"/>
        <v>45383</v>
      </c>
      <c r="M83" s="20">
        <f t="shared" si="19"/>
        <v>11</v>
      </c>
      <c r="N83" s="20">
        <f t="shared" si="20"/>
        <v>0</v>
      </c>
      <c r="O83" s="20">
        <f t="shared" si="21"/>
        <v>1</v>
      </c>
      <c r="P83" s="22">
        <f t="shared" si="22"/>
        <v>86.75</v>
      </c>
      <c r="Q83" s="22">
        <f>G83*INDEX(Assumptions!$B$8:$B$16,MATCH(F83,Assumptions!$A$8:$A$16,0))</f>
        <v>37.827599999999997</v>
      </c>
      <c r="R83" s="22">
        <f>H83*Assumptions!$B$3</f>
        <v>12.918000000000001</v>
      </c>
      <c r="S83" s="22">
        <f t="shared" si="23"/>
        <v>14.474400000000001</v>
      </c>
      <c r="T83" s="20" t="str">
        <f t="shared" si="24"/>
        <v>8-14 days</v>
      </c>
    </row>
    <row r="84" spans="1:20" x14ac:dyDescent="0.3">
      <c r="A84" s="20" t="s">
        <v>147</v>
      </c>
      <c r="B84" s="20" t="s">
        <v>19</v>
      </c>
      <c r="C84" s="21">
        <v>45387</v>
      </c>
      <c r="D84" s="21">
        <v>45398</v>
      </c>
      <c r="E84" s="21">
        <v>45399</v>
      </c>
      <c r="F84" s="20" t="s">
        <v>49</v>
      </c>
      <c r="G84" s="22">
        <v>188.36</v>
      </c>
      <c r="H84" s="22">
        <v>23.37</v>
      </c>
      <c r="I84" s="20" t="s">
        <v>45</v>
      </c>
      <c r="J84" s="20">
        <v>4</v>
      </c>
      <c r="K84" s="20" t="s">
        <v>46</v>
      </c>
      <c r="L84" s="23">
        <f t="shared" si="18"/>
        <v>45383</v>
      </c>
      <c r="M84" s="20">
        <f t="shared" si="19"/>
        <v>11</v>
      </c>
      <c r="N84" s="20">
        <f t="shared" si="20"/>
        <v>0</v>
      </c>
      <c r="O84" s="20">
        <f t="shared" si="21"/>
        <v>1</v>
      </c>
      <c r="P84" s="22">
        <f t="shared" si="22"/>
        <v>211.73000000000002</v>
      </c>
      <c r="Q84" s="22">
        <f>G84*INDEX(Assumptions!$B$8:$B$16,MATCH(F84,Assumptions!$A$8:$A$16,0))</f>
        <v>109.2488</v>
      </c>
      <c r="R84" s="22">
        <f>H84*Assumptions!$B$3</f>
        <v>14.022</v>
      </c>
      <c r="S84" s="22">
        <f t="shared" si="23"/>
        <v>65.089200000000005</v>
      </c>
      <c r="T84" s="20" t="str">
        <f t="shared" si="24"/>
        <v>8-14 days</v>
      </c>
    </row>
    <row r="85" spans="1:20" x14ac:dyDescent="0.3">
      <c r="A85" s="20" t="s">
        <v>148</v>
      </c>
      <c r="B85" s="20" t="s">
        <v>19</v>
      </c>
      <c r="C85" s="21">
        <v>45388</v>
      </c>
      <c r="D85" s="21">
        <v>45398</v>
      </c>
      <c r="E85" s="21">
        <v>45407</v>
      </c>
      <c r="F85" s="20" t="s">
        <v>79</v>
      </c>
      <c r="G85" s="22">
        <v>114.42</v>
      </c>
      <c r="H85" s="22">
        <v>13.69</v>
      </c>
      <c r="I85" s="20" t="s">
        <v>45</v>
      </c>
      <c r="J85" s="20">
        <v>4</v>
      </c>
      <c r="K85" s="20" t="s">
        <v>46</v>
      </c>
      <c r="L85" s="23">
        <f t="shared" si="18"/>
        <v>45383</v>
      </c>
      <c r="M85" s="20">
        <f t="shared" si="19"/>
        <v>10</v>
      </c>
      <c r="N85" s="20">
        <f t="shared" si="20"/>
        <v>0</v>
      </c>
      <c r="O85" s="20">
        <f t="shared" si="21"/>
        <v>1</v>
      </c>
      <c r="P85" s="22">
        <f t="shared" si="22"/>
        <v>128.11000000000001</v>
      </c>
      <c r="Q85" s="22">
        <f>G85*INDEX(Assumptions!$B$8:$B$16,MATCH(F85,Assumptions!$A$8:$A$16,0))</f>
        <v>80.093999999999994</v>
      </c>
      <c r="R85" s="22">
        <f>H85*Assumptions!$B$3</f>
        <v>8.2139999999999986</v>
      </c>
      <c r="S85" s="22">
        <f t="shared" si="23"/>
        <v>26.112000000000009</v>
      </c>
      <c r="T85" s="20" t="str">
        <f t="shared" si="24"/>
        <v>8-14 days</v>
      </c>
    </row>
    <row r="86" spans="1:20" x14ac:dyDescent="0.3">
      <c r="A86" s="20" t="s">
        <v>149</v>
      </c>
      <c r="B86" s="20" t="s">
        <v>19</v>
      </c>
      <c r="C86" s="21">
        <v>45388</v>
      </c>
      <c r="D86" s="21">
        <v>45399</v>
      </c>
      <c r="E86" s="21">
        <v>45405</v>
      </c>
      <c r="F86" s="20" t="s">
        <v>53</v>
      </c>
      <c r="G86" s="22">
        <v>195.88</v>
      </c>
      <c r="H86" s="22">
        <v>16.440000000000001</v>
      </c>
      <c r="I86" s="20" t="s">
        <v>45</v>
      </c>
      <c r="J86" s="20">
        <v>5</v>
      </c>
      <c r="K86" s="20" t="s">
        <v>46</v>
      </c>
      <c r="L86" s="23">
        <f t="shared" si="18"/>
        <v>45383</v>
      </c>
      <c r="M86" s="20">
        <f t="shared" si="19"/>
        <v>11</v>
      </c>
      <c r="N86" s="20">
        <f t="shared" si="20"/>
        <v>0</v>
      </c>
      <c r="O86" s="20">
        <f t="shared" si="21"/>
        <v>1</v>
      </c>
      <c r="P86" s="22">
        <f t="shared" si="22"/>
        <v>212.32</v>
      </c>
      <c r="Q86" s="22">
        <f>G86*INDEX(Assumptions!$B$8:$B$16,MATCH(F86,Assumptions!$A$8:$A$16,0))</f>
        <v>144.9512</v>
      </c>
      <c r="R86" s="22">
        <f>H86*Assumptions!$B$3</f>
        <v>9.8640000000000008</v>
      </c>
      <c r="S86" s="22">
        <f t="shared" si="23"/>
        <v>41.064799999999991</v>
      </c>
      <c r="T86" s="20" t="str">
        <f t="shared" si="24"/>
        <v>8-14 days</v>
      </c>
    </row>
    <row r="87" spans="1:20" x14ac:dyDescent="0.3">
      <c r="A87" s="20" t="s">
        <v>150</v>
      </c>
      <c r="B87" s="20" t="s">
        <v>134</v>
      </c>
      <c r="C87" s="21">
        <v>45390</v>
      </c>
      <c r="D87" s="21">
        <v>45401</v>
      </c>
      <c r="E87" s="21">
        <v>45410</v>
      </c>
      <c r="F87" s="20" t="s">
        <v>57</v>
      </c>
      <c r="G87" s="22">
        <v>107.15</v>
      </c>
      <c r="H87" s="22">
        <v>29.83</v>
      </c>
      <c r="I87" s="20" t="s">
        <v>45</v>
      </c>
      <c r="J87" s="20">
        <v>4</v>
      </c>
      <c r="K87" s="20" t="s">
        <v>46</v>
      </c>
      <c r="L87" s="23">
        <f t="shared" si="18"/>
        <v>45383</v>
      </c>
      <c r="M87" s="20">
        <f t="shared" si="19"/>
        <v>11</v>
      </c>
      <c r="N87" s="20">
        <f t="shared" si="20"/>
        <v>0</v>
      </c>
      <c r="O87" s="20">
        <f t="shared" si="21"/>
        <v>1</v>
      </c>
      <c r="P87" s="22">
        <f t="shared" si="22"/>
        <v>136.98000000000002</v>
      </c>
      <c r="Q87" s="22">
        <f>G87*INDEX(Assumptions!$B$8:$B$16,MATCH(F87,Assumptions!$A$8:$A$16,0))</f>
        <v>72.862000000000009</v>
      </c>
      <c r="R87" s="22">
        <f>H87*Assumptions!$B$3</f>
        <v>17.898</v>
      </c>
      <c r="S87" s="22">
        <f t="shared" si="23"/>
        <v>16.389999999999997</v>
      </c>
      <c r="T87" s="20" t="str">
        <f t="shared" si="24"/>
        <v>8-14 days</v>
      </c>
    </row>
    <row r="88" spans="1:20" x14ac:dyDescent="0.3">
      <c r="A88" s="20" t="s">
        <v>151</v>
      </c>
      <c r="B88" s="20" t="s">
        <v>19</v>
      </c>
      <c r="C88" s="21">
        <v>45391</v>
      </c>
      <c r="D88" s="21">
        <v>45402</v>
      </c>
      <c r="E88" s="21">
        <v>45407</v>
      </c>
      <c r="F88" s="20" t="s">
        <v>64</v>
      </c>
      <c r="G88" s="22">
        <v>544.23</v>
      </c>
      <c r="H88" s="22">
        <v>28.49</v>
      </c>
      <c r="I88" s="20" t="s">
        <v>45</v>
      </c>
      <c r="J88" s="20">
        <v>4</v>
      </c>
      <c r="K88" s="20" t="s">
        <v>46</v>
      </c>
      <c r="L88" s="23">
        <f t="shared" si="18"/>
        <v>45383</v>
      </c>
      <c r="M88" s="20">
        <f t="shared" si="19"/>
        <v>11</v>
      </c>
      <c r="N88" s="20">
        <f t="shared" si="20"/>
        <v>0</v>
      </c>
      <c r="O88" s="20">
        <f t="shared" si="21"/>
        <v>1</v>
      </c>
      <c r="P88" s="22">
        <f t="shared" si="22"/>
        <v>572.72</v>
      </c>
      <c r="Q88" s="22">
        <f>G88*INDEX(Assumptions!$B$8:$B$16,MATCH(F88,Assumptions!$A$8:$A$16,0))</f>
        <v>359.1918</v>
      </c>
      <c r="R88" s="22">
        <f>H88*Assumptions!$B$3</f>
        <v>17.093999999999998</v>
      </c>
      <c r="S88" s="22">
        <f t="shared" si="23"/>
        <v>167.94420000000002</v>
      </c>
      <c r="T88" s="20" t="str">
        <f t="shared" si="24"/>
        <v>8-14 days</v>
      </c>
    </row>
    <row r="89" spans="1:20" x14ac:dyDescent="0.3">
      <c r="A89" s="20" t="s">
        <v>152</v>
      </c>
      <c r="B89" s="20" t="s">
        <v>19</v>
      </c>
      <c r="C89" s="21">
        <v>45391</v>
      </c>
      <c r="D89" s="21">
        <v>45404</v>
      </c>
      <c r="E89" s="21">
        <v>45406</v>
      </c>
      <c r="F89" s="20" t="s">
        <v>111</v>
      </c>
      <c r="G89" s="22">
        <v>65.319999999999993</v>
      </c>
      <c r="H89" s="22">
        <v>18.53</v>
      </c>
      <c r="I89" s="20" t="s">
        <v>45</v>
      </c>
      <c r="J89" s="20">
        <v>5</v>
      </c>
      <c r="K89" s="20" t="s">
        <v>46</v>
      </c>
      <c r="L89" s="23">
        <f t="shared" si="18"/>
        <v>45383</v>
      </c>
      <c r="M89" s="20">
        <f t="shared" si="19"/>
        <v>13</v>
      </c>
      <c r="N89" s="20">
        <f t="shared" si="20"/>
        <v>0</v>
      </c>
      <c r="O89" s="20">
        <f t="shared" si="21"/>
        <v>1</v>
      </c>
      <c r="P89" s="22">
        <f t="shared" si="22"/>
        <v>83.85</v>
      </c>
      <c r="Q89" s="22">
        <f>G89*INDEX(Assumptions!$B$8:$B$16,MATCH(F89,Assumptions!$A$8:$A$16,0))</f>
        <v>41.151599999999995</v>
      </c>
      <c r="R89" s="22">
        <f>H89*Assumptions!$B$3</f>
        <v>11.118</v>
      </c>
      <c r="S89" s="22">
        <f t="shared" si="23"/>
        <v>13.050399999999998</v>
      </c>
      <c r="T89" s="20" t="str">
        <f t="shared" si="24"/>
        <v>8-14 days</v>
      </c>
    </row>
    <row r="90" spans="1:20" x14ac:dyDescent="0.3">
      <c r="A90" s="20" t="s">
        <v>153</v>
      </c>
      <c r="B90" s="20" t="s">
        <v>62</v>
      </c>
      <c r="C90" s="21">
        <v>45392</v>
      </c>
      <c r="D90" s="21">
        <v>45402</v>
      </c>
      <c r="E90" s="21">
        <v>45419</v>
      </c>
      <c r="F90" s="20" t="s">
        <v>57</v>
      </c>
      <c r="G90" s="22">
        <v>103.8</v>
      </c>
      <c r="H90" s="22">
        <v>26.66</v>
      </c>
      <c r="I90" s="20" t="s">
        <v>45</v>
      </c>
      <c r="J90" s="20">
        <v>5</v>
      </c>
      <c r="K90" s="20" t="s">
        <v>46</v>
      </c>
      <c r="L90" s="23">
        <f t="shared" si="18"/>
        <v>45383</v>
      </c>
      <c r="M90" s="20">
        <f t="shared" si="19"/>
        <v>10</v>
      </c>
      <c r="N90" s="20">
        <f t="shared" si="20"/>
        <v>0</v>
      </c>
      <c r="O90" s="20">
        <f t="shared" si="21"/>
        <v>1</v>
      </c>
      <c r="P90" s="22">
        <f t="shared" si="22"/>
        <v>130.46</v>
      </c>
      <c r="Q90" s="22">
        <f>G90*INDEX(Assumptions!$B$8:$B$16,MATCH(F90,Assumptions!$A$8:$A$16,0))</f>
        <v>70.584000000000003</v>
      </c>
      <c r="R90" s="22">
        <f>H90*Assumptions!$B$3</f>
        <v>15.995999999999999</v>
      </c>
      <c r="S90" s="22">
        <f t="shared" si="23"/>
        <v>17.219999999999995</v>
      </c>
      <c r="T90" s="20" t="str">
        <f t="shared" si="24"/>
        <v>8-14 days</v>
      </c>
    </row>
    <row r="91" spans="1:20" x14ac:dyDescent="0.3">
      <c r="A91" s="20" t="s">
        <v>154</v>
      </c>
      <c r="B91" s="20" t="s">
        <v>134</v>
      </c>
      <c r="C91" s="21">
        <v>45392</v>
      </c>
      <c r="D91" s="21">
        <v>45407</v>
      </c>
      <c r="E91" s="21">
        <v>45414</v>
      </c>
      <c r="F91" s="20" t="s">
        <v>49</v>
      </c>
      <c r="G91" s="22">
        <v>76.28</v>
      </c>
      <c r="H91" s="22">
        <v>27.58</v>
      </c>
      <c r="I91" s="20" t="s">
        <v>45</v>
      </c>
      <c r="J91" s="20">
        <v>5</v>
      </c>
      <c r="K91" s="20" t="s">
        <v>46</v>
      </c>
      <c r="L91" s="23">
        <f t="shared" si="18"/>
        <v>45383</v>
      </c>
      <c r="M91" s="20">
        <f t="shared" si="19"/>
        <v>15</v>
      </c>
      <c r="N91" s="20">
        <f t="shared" si="20"/>
        <v>0</v>
      </c>
      <c r="O91" s="20">
        <f t="shared" si="21"/>
        <v>1</v>
      </c>
      <c r="P91" s="22">
        <f t="shared" si="22"/>
        <v>103.86</v>
      </c>
      <c r="Q91" s="22">
        <f>G91*INDEX(Assumptions!$B$8:$B$16,MATCH(F91,Assumptions!$A$8:$A$16,0))</f>
        <v>44.242399999999996</v>
      </c>
      <c r="R91" s="22">
        <f>H91*Assumptions!$B$3</f>
        <v>16.547999999999998</v>
      </c>
      <c r="S91" s="22">
        <f t="shared" si="23"/>
        <v>15.489600000000006</v>
      </c>
      <c r="T91" s="20" t="str">
        <f t="shared" si="24"/>
        <v>15-21 days</v>
      </c>
    </row>
    <row r="92" spans="1:20" x14ac:dyDescent="0.3">
      <c r="A92" s="20" t="s">
        <v>155</v>
      </c>
      <c r="B92" s="20" t="s">
        <v>156</v>
      </c>
      <c r="C92" s="21">
        <v>45393</v>
      </c>
      <c r="D92" s="21">
        <v>45406</v>
      </c>
      <c r="E92" s="21">
        <v>45413</v>
      </c>
      <c r="F92" s="20" t="s">
        <v>59</v>
      </c>
      <c r="G92" s="22">
        <v>82.98</v>
      </c>
      <c r="H92" s="22">
        <v>25.59</v>
      </c>
      <c r="I92" s="20" t="s">
        <v>45</v>
      </c>
      <c r="J92" s="20">
        <v>5</v>
      </c>
      <c r="K92" s="20" t="s">
        <v>46</v>
      </c>
      <c r="L92" s="23">
        <f t="shared" si="18"/>
        <v>45383</v>
      </c>
      <c r="M92" s="20">
        <f t="shared" si="19"/>
        <v>13</v>
      </c>
      <c r="N92" s="20">
        <f t="shared" si="20"/>
        <v>0</v>
      </c>
      <c r="O92" s="20">
        <f t="shared" si="21"/>
        <v>1</v>
      </c>
      <c r="P92" s="22">
        <f t="shared" si="22"/>
        <v>108.57000000000001</v>
      </c>
      <c r="Q92" s="22">
        <f>G92*INDEX(Assumptions!$B$8:$B$16,MATCH(F92,Assumptions!$A$8:$A$16,0))</f>
        <v>53.107200000000006</v>
      </c>
      <c r="R92" s="22">
        <f>H92*Assumptions!$B$3</f>
        <v>15.353999999999999</v>
      </c>
      <c r="S92" s="22">
        <f t="shared" si="23"/>
        <v>14.518799999999999</v>
      </c>
      <c r="T92" s="20" t="str">
        <f t="shared" si="24"/>
        <v>8-14 days</v>
      </c>
    </row>
    <row r="93" spans="1:20" x14ac:dyDescent="0.3">
      <c r="A93" s="20" t="s">
        <v>157</v>
      </c>
      <c r="B93" s="20" t="s">
        <v>52</v>
      </c>
      <c r="C93" s="21">
        <v>45393</v>
      </c>
      <c r="D93" s="21">
        <v>45402</v>
      </c>
      <c r="E93" s="21">
        <v>45419</v>
      </c>
      <c r="F93" s="20" t="s">
        <v>57</v>
      </c>
      <c r="G93" s="22">
        <v>86.21</v>
      </c>
      <c r="H93" s="22">
        <v>25.68</v>
      </c>
      <c r="I93" s="20" t="s">
        <v>45</v>
      </c>
      <c r="J93" s="20">
        <v>4</v>
      </c>
      <c r="K93" s="20" t="s">
        <v>46</v>
      </c>
      <c r="L93" s="23">
        <f t="shared" si="18"/>
        <v>45383</v>
      </c>
      <c r="M93" s="20">
        <f t="shared" si="19"/>
        <v>9</v>
      </c>
      <c r="N93" s="20">
        <f t="shared" si="20"/>
        <v>0</v>
      </c>
      <c r="O93" s="20">
        <f t="shared" si="21"/>
        <v>1</v>
      </c>
      <c r="P93" s="22">
        <f t="shared" si="22"/>
        <v>111.88999999999999</v>
      </c>
      <c r="Q93" s="22">
        <f>G93*INDEX(Assumptions!$B$8:$B$16,MATCH(F93,Assumptions!$A$8:$A$16,0))</f>
        <v>58.622799999999998</v>
      </c>
      <c r="R93" s="22">
        <f>H93*Assumptions!$B$3</f>
        <v>15.407999999999999</v>
      </c>
      <c r="S93" s="22">
        <f t="shared" si="23"/>
        <v>12.179199999999996</v>
      </c>
      <c r="T93" s="20" t="str">
        <f t="shared" si="24"/>
        <v>8-14 days</v>
      </c>
    </row>
    <row r="94" spans="1:20" x14ac:dyDescent="0.3">
      <c r="A94" s="20" t="s">
        <v>158</v>
      </c>
      <c r="B94" s="20" t="s">
        <v>55</v>
      </c>
      <c r="C94" s="21">
        <v>45393</v>
      </c>
      <c r="D94" s="21">
        <v>45407</v>
      </c>
      <c r="E94" s="21">
        <v>45416</v>
      </c>
      <c r="F94" s="20" t="s">
        <v>67</v>
      </c>
      <c r="G94" s="22">
        <v>67.41</v>
      </c>
      <c r="H94" s="22">
        <v>23.97</v>
      </c>
      <c r="I94" s="20" t="s">
        <v>45</v>
      </c>
      <c r="J94" s="20">
        <v>4</v>
      </c>
      <c r="K94" s="20" t="s">
        <v>46</v>
      </c>
      <c r="L94" s="23">
        <f t="shared" si="18"/>
        <v>45383</v>
      </c>
      <c r="M94" s="20">
        <f t="shared" si="19"/>
        <v>14</v>
      </c>
      <c r="N94" s="20">
        <f t="shared" si="20"/>
        <v>0</v>
      </c>
      <c r="O94" s="20">
        <f t="shared" si="21"/>
        <v>1</v>
      </c>
      <c r="P94" s="22">
        <f t="shared" si="22"/>
        <v>91.38</v>
      </c>
      <c r="Q94" s="22">
        <f>G94*INDEX(Assumptions!$B$8:$B$16,MATCH(F94,Assumptions!$A$8:$A$16,0))</f>
        <v>41.794199999999996</v>
      </c>
      <c r="R94" s="22">
        <f>H94*Assumptions!$B$3</f>
        <v>14.382</v>
      </c>
      <c r="S94" s="22">
        <f t="shared" si="23"/>
        <v>11.2338</v>
      </c>
      <c r="T94" s="20" t="str">
        <f t="shared" si="24"/>
        <v>8-14 days</v>
      </c>
    </row>
    <row r="95" spans="1:20" x14ac:dyDescent="0.3">
      <c r="A95" s="20" t="s">
        <v>159</v>
      </c>
      <c r="B95" s="20" t="s">
        <v>62</v>
      </c>
      <c r="C95" s="21">
        <v>45394</v>
      </c>
      <c r="D95" s="21">
        <v>45405</v>
      </c>
      <c r="E95" s="21">
        <v>45416</v>
      </c>
      <c r="F95" s="20" t="s">
        <v>59</v>
      </c>
      <c r="G95" s="22">
        <v>61.68</v>
      </c>
      <c r="H95" s="22">
        <v>24.42</v>
      </c>
      <c r="I95" s="20" t="s">
        <v>45</v>
      </c>
      <c r="J95" s="20">
        <v>5</v>
      </c>
      <c r="K95" s="20" t="s">
        <v>46</v>
      </c>
      <c r="L95" s="23">
        <f t="shared" si="18"/>
        <v>45383</v>
      </c>
      <c r="M95" s="20">
        <f t="shared" si="19"/>
        <v>11</v>
      </c>
      <c r="N95" s="20">
        <f t="shared" si="20"/>
        <v>0</v>
      </c>
      <c r="O95" s="20">
        <f t="shared" si="21"/>
        <v>1</v>
      </c>
      <c r="P95" s="22">
        <f t="shared" si="22"/>
        <v>86.1</v>
      </c>
      <c r="Q95" s="22">
        <f>G95*INDEX(Assumptions!$B$8:$B$16,MATCH(F95,Assumptions!$A$8:$A$16,0))</f>
        <v>39.475200000000001</v>
      </c>
      <c r="R95" s="22">
        <f>H95*Assumptions!$B$3</f>
        <v>14.652000000000001</v>
      </c>
      <c r="S95" s="22">
        <f t="shared" si="23"/>
        <v>7.5527999999999977</v>
      </c>
      <c r="T95" s="20" t="str">
        <f t="shared" si="24"/>
        <v>8-14 days</v>
      </c>
    </row>
    <row r="96" spans="1:20" x14ac:dyDescent="0.3">
      <c r="A96" s="20" t="s">
        <v>160</v>
      </c>
      <c r="B96" s="20" t="s">
        <v>19</v>
      </c>
      <c r="C96" s="21">
        <v>45395</v>
      </c>
      <c r="D96" s="21">
        <v>45401</v>
      </c>
      <c r="E96" s="21">
        <v>45410</v>
      </c>
      <c r="F96" s="20" t="s">
        <v>53</v>
      </c>
      <c r="G96" s="22">
        <v>83.25</v>
      </c>
      <c r="H96" s="22">
        <v>17.190000000000001</v>
      </c>
      <c r="I96" s="20" t="s">
        <v>50</v>
      </c>
      <c r="J96" s="20">
        <v>5</v>
      </c>
      <c r="K96" s="20" t="s">
        <v>46</v>
      </c>
      <c r="L96" s="23">
        <f t="shared" si="18"/>
        <v>45383</v>
      </c>
      <c r="M96" s="20">
        <f t="shared" si="19"/>
        <v>6</v>
      </c>
      <c r="N96" s="20">
        <f t="shared" si="20"/>
        <v>0</v>
      </c>
      <c r="O96" s="20">
        <f t="shared" si="21"/>
        <v>1</v>
      </c>
      <c r="P96" s="22">
        <f t="shared" si="22"/>
        <v>100.44</v>
      </c>
      <c r="Q96" s="22">
        <f>G96*INDEX(Assumptions!$B$8:$B$16,MATCH(F96,Assumptions!$A$8:$A$16,0))</f>
        <v>61.604999999999997</v>
      </c>
      <c r="R96" s="22">
        <f>H96*Assumptions!$B$3</f>
        <v>10.314</v>
      </c>
      <c r="S96" s="22">
        <f t="shared" si="23"/>
        <v>11.331000000000003</v>
      </c>
      <c r="T96" s="20" t="str">
        <f t="shared" si="24"/>
        <v>0-7 days</v>
      </c>
    </row>
    <row r="97" spans="1:20" x14ac:dyDescent="0.3">
      <c r="A97" s="20" t="s">
        <v>161</v>
      </c>
      <c r="B97" s="20" t="s">
        <v>19</v>
      </c>
      <c r="C97" s="21">
        <v>45396</v>
      </c>
      <c r="D97" s="21">
        <v>45405</v>
      </c>
      <c r="E97" s="21">
        <v>45413</v>
      </c>
      <c r="F97" s="20" t="s">
        <v>59</v>
      </c>
      <c r="G97" s="22">
        <v>61.09</v>
      </c>
      <c r="H97" s="22">
        <v>19.7</v>
      </c>
      <c r="I97" s="20" t="s">
        <v>45</v>
      </c>
      <c r="J97" s="20">
        <v>5</v>
      </c>
      <c r="K97" s="20" t="s">
        <v>46</v>
      </c>
      <c r="L97" s="23">
        <f t="shared" si="18"/>
        <v>45383</v>
      </c>
      <c r="M97" s="20">
        <f t="shared" si="19"/>
        <v>9</v>
      </c>
      <c r="N97" s="20">
        <f t="shared" si="20"/>
        <v>0</v>
      </c>
      <c r="O97" s="20">
        <f t="shared" si="21"/>
        <v>1</v>
      </c>
      <c r="P97" s="22">
        <f t="shared" si="22"/>
        <v>80.790000000000006</v>
      </c>
      <c r="Q97" s="22">
        <f>G97*INDEX(Assumptions!$B$8:$B$16,MATCH(F97,Assumptions!$A$8:$A$16,0))</f>
        <v>39.0976</v>
      </c>
      <c r="R97" s="22">
        <f>H97*Assumptions!$B$3</f>
        <v>11.819999999999999</v>
      </c>
      <c r="S97" s="22">
        <f t="shared" si="23"/>
        <v>10.172400000000005</v>
      </c>
      <c r="T97" s="20" t="str">
        <f t="shared" si="24"/>
        <v>8-14 days</v>
      </c>
    </row>
    <row r="98" spans="1:20" x14ac:dyDescent="0.3">
      <c r="A98" s="20" t="s">
        <v>162</v>
      </c>
      <c r="B98" s="20" t="s">
        <v>19</v>
      </c>
      <c r="C98" s="21">
        <v>45397</v>
      </c>
      <c r="D98" s="21">
        <v>45410</v>
      </c>
      <c r="E98" s="21">
        <v>45413</v>
      </c>
      <c r="F98" s="20" t="s">
        <v>53</v>
      </c>
      <c r="G98" s="22">
        <v>110.86</v>
      </c>
      <c r="H98" s="22">
        <v>13.96</v>
      </c>
      <c r="I98" s="20" t="s">
        <v>45</v>
      </c>
      <c r="J98" s="20">
        <v>4</v>
      </c>
      <c r="K98" s="20" t="s">
        <v>46</v>
      </c>
      <c r="L98" s="23">
        <f t="shared" si="18"/>
        <v>45383</v>
      </c>
      <c r="M98" s="20">
        <f t="shared" si="19"/>
        <v>13</v>
      </c>
      <c r="N98" s="20">
        <f t="shared" si="20"/>
        <v>0</v>
      </c>
      <c r="O98" s="20">
        <f t="shared" si="21"/>
        <v>1</v>
      </c>
      <c r="P98" s="22">
        <f t="shared" si="22"/>
        <v>124.82</v>
      </c>
      <c r="Q98" s="22">
        <f>G98*INDEX(Assumptions!$B$8:$B$16,MATCH(F98,Assumptions!$A$8:$A$16,0))</f>
        <v>82.0364</v>
      </c>
      <c r="R98" s="22">
        <f>H98*Assumptions!$B$3</f>
        <v>8.3759999999999994</v>
      </c>
      <c r="S98" s="22">
        <f t="shared" si="23"/>
        <v>20.447600000000001</v>
      </c>
      <c r="T98" s="20" t="str">
        <f t="shared" si="24"/>
        <v>8-14 days</v>
      </c>
    </row>
    <row r="99" spans="1:20" x14ac:dyDescent="0.3">
      <c r="A99" s="20" t="s">
        <v>163</v>
      </c>
      <c r="B99" s="20" t="s">
        <v>19</v>
      </c>
      <c r="C99" s="21">
        <v>45397</v>
      </c>
      <c r="D99" s="21">
        <v>45401</v>
      </c>
      <c r="E99" s="21">
        <v>45412</v>
      </c>
      <c r="F99" s="20" t="s">
        <v>57</v>
      </c>
      <c r="G99" s="22">
        <v>79</v>
      </c>
      <c r="H99" s="22">
        <v>17.399999999999999</v>
      </c>
      <c r="I99" s="20" t="s">
        <v>60</v>
      </c>
      <c r="J99" s="20">
        <v>5</v>
      </c>
      <c r="K99" s="20" t="s">
        <v>46</v>
      </c>
      <c r="L99" s="23">
        <f t="shared" si="18"/>
        <v>45383</v>
      </c>
      <c r="M99" s="20">
        <f t="shared" si="19"/>
        <v>4</v>
      </c>
      <c r="N99" s="20">
        <f t="shared" si="20"/>
        <v>0</v>
      </c>
      <c r="O99" s="20">
        <f t="shared" si="21"/>
        <v>1</v>
      </c>
      <c r="P99" s="22">
        <f t="shared" si="22"/>
        <v>96.4</v>
      </c>
      <c r="Q99" s="22">
        <f>G99*INDEX(Assumptions!$B$8:$B$16,MATCH(F99,Assumptions!$A$8:$A$16,0))</f>
        <v>53.720000000000006</v>
      </c>
      <c r="R99" s="22">
        <f>H99*Assumptions!$B$3</f>
        <v>10.44</v>
      </c>
      <c r="S99" s="22">
        <f t="shared" si="23"/>
        <v>14.839999999999995</v>
      </c>
      <c r="T99" s="20" t="str">
        <f t="shared" si="24"/>
        <v>0-7 days</v>
      </c>
    </row>
    <row r="100" spans="1:20" x14ac:dyDescent="0.3">
      <c r="A100" s="20" t="s">
        <v>164</v>
      </c>
      <c r="B100" s="20" t="s">
        <v>93</v>
      </c>
      <c r="C100" s="21">
        <v>45398</v>
      </c>
      <c r="D100" s="21">
        <v>45431</v>
      </c>
      <c r="E100" s="21">
        <v>45431</v>
      </c>
      <c r="F100" s="20" t="s">
        <v>111</v>
      </c>
      <c r="G100" s="22">
        <v>29.74</v>
      </c>
      <c r="H100" s="22">
        <v>26.43</v>
      </c>
      <c r="I100" s="20" t="s">
        <v>45</v>
      </c>
      <c r="J100" s="20">
        <v>5</v>
      </c>
      <c r="K100" s="20" t="s">
        <v>46</v>
      </c>
      <c r="L100" s="23">
        <f t="shared" si="18"/>
        <v>45383</v>
      </c>
      <c r="M100" s="20">
        <f t="shared" si="19"/>
        <v>33</v>
      </c>
      <c r="N100" s="20">
        <f t="shared" si="20"/>
        <v>0</v>
      </c>
      <c r="O100" s="20">
        <f t="shared" si="21"/>
        <v>1</v>
      </c>
      <c r="P100" s="22">
        <f t="shared" si="22"/>
        <v>56.17</v>
      </c>
      <c r="Q100" s="22">
        <f>G100*INDEX(Assumptions!$B$8:$B$16,MATCH(F100,Assumptions!$A$8:$A$16,0))</f>
        <v>18.7362</v>
      </c>
      <c r="R100" s="22">
        <f>H100*Assumptions!$B$3</f>
        <v>15.857999999999999</v>
      </c>
      <c r="S100" s="22">
        <f t="shared" si="23"/>
        <v>-4.8542000000000005</v>
      </c>
      <c r="T100" s="20" t="str">
        <f t="shared" si="24"/>
        <v>22+ days</v>
      </c>
    </row>
    <row r="101" spans="1:20" x14ac:dyDescent="0.3">
      <c r="A101" s="20" t="s">
        <v>165</v>
      </c>
      <c r="B101" s="20" t="s">
        <v>19</v>
      </c>
      <c r="C101" s="21">
        <v>45398</v>
      </c>
      <c r="D101" s="21">
        <v>45411</v>
      </c>
      <c r="E101" s="21">
        <v>45410</v>
      </c>
      <c r="F101" s="20" t="s">
        <v>44</v>
      </c>
      <c r="G101" s="22">
        <v>106.12</v>
      </c>
      <c r="H101" s="22">
        <v>13.94</v>
      </c>
      <c r="I101" s="20" t="s">
        <v>50</v>
      </c>
      <c r="J101" s="20">
        <v>2</v>
      </c>
      <c r="K101" s="20" t="s">
        <v>46</v>
      </c>
      <c r="L101" s="23">
        <f t="shared" si="18"/>
        <v>45383</v>
      </c>
      <c r="M101" s="20">
        <f t="shared" si="19"/>
        <v>13</v>
      </c>
      <c r="N101" s="20">
        <f t="shared" si="20"/>
        <v>1</v>
      </c>
      <c r="O101" s="20">
        <f t="shared" si="21"/>
        <v>0</v>
      </c>
      <c r="P101" s="22">
        <f t="shared" si="22"/>
        <v>120.06</v>
      </c>
      <c r="Q101" s="22">
        <f>G101*INDEX(Assumptions!$B$8:$B$16,MATCH(F101,Assumptions!$A$8:$A$16,0))</f>
        <v>63.671999999999997</v>
      </c>
      <c r="R101" s="22">
        <f>H101*Assumptions!$B$3</f>
        <v>8.363999999999999</v>
      </c>
      <c r="S101" s="22">
        <f t="shared" si="23"/>
        <v>34.08400000000001</v>
      </c>
      <c r="T101" s="20" t="str">
        <f t="shared" si="24"/>
        <v>8-14 days</v>
      </c>
    </row>
    <row r="102" spans="1:20" x14ac:dyDescent="0.3">
      <c r="A102" s="20" t="s">
        <v>166</v>
      </c>
      <c r="B102" s="20" t="s">
        <v>55</v>
      </c>
      <c r="C102" s="21">
        <v>45399</v>
      </c>
      <c r="D102" s="21">
        <v>45409</v>
      </c>
      <c r="E102" s="21">
        <v>45426</v>
      </c>
      <c r="F102" s="20" t="s">
        <v>111</v>
      </c>
      <c r="G102" s="22">
        <v>61.41</v>
      </c>
      <c r="H102" s="22">
        <v>20.12</v>
      </c>
      <c r="I102" s="20" t="s">
        <v>45</v>
      </c>
      <c r="J102" s="20">
        <v>5</v>
      </c>
      <c r="K102" s="20" t="s">
        <v>46</v>
      </c>
      <c r="L102" s="23">
        <f t="shared" si="18"/>
        <v>45383</v>
      </c>
      <c r="M102" s="20">
        <f t="shared" si="19"/>
        <v>10</v>
      </c>
      <c r="N102" s="20">
        <f t="shared" si="20"/>
        <v>0</v>
      </c>
      <c r="O102" s="20">
        <f t="shared" si="21"/>
        <v>1</v>
      </c>
      <c r="P102" s="22">
        <f t="shared" si="22"/>
        <v>81.53</v>
      </c>
      <c r="Q102" s="22">
        <f>G102*INDEX(Assumptions!$B$8:$B$16,MATCH(F102,Assumptions!$A$8:$A$16,0))</f>
        <v>38.688299999999998</v>
      </c>
      <c r="R102" s="22">
        <f>H102*Assumptions!$B$3</f>
        <v>12.072000000000001</v>
      </c>
      <c r="S102" s="22">
        <f t="shared" si="23"/>
        <v>10.649699999999998</v>
      </c>
      <c r="T102" s="20" t="str">
        <f t="shared" si="24"/>
        <v>8-14 days</v>
      </c>
    </row>
    <row r="103" spans="1:20" x14ac:dyDescent="0.3">
      <c r="A103" s="20" t="s">
        <v>167</v>
      </c>
      <c r="B103" s="20" t="s">
        <v>19</v>
      </c>
      <c r="C103" s="21">
        <v>45399</v>
      </c>
      <c r="D103" s="21">
        <v>45406</v>
      </c>
      <c r="E103" s="21">
        <v>45416</v>
      </c>
      <c r="F103" s="20" t="s">
        <v>44</v>
      </c>
      <c r="G103" s="22">
        <v>66.09</v>
      </c>
      <c r="H103" s="22">
        <v>12.57</v>
      </c>
      <c r="I103" s="20" t="s">
        <v>45</v>
      </c>
      <c r="J103" s="20">
        <v>3</v>
      </c>
      <c r="K103" s="20" t="s">
        <v>46</v>
      </c>
      <c r="L103" s="23">
        <f t="shared" si="18"/>
        <v>45383</v>
      </c>
      <c r="M103" s="20">
        <f t="shared" si="19"/>
        <v>7</v>
      </c>
      <c r="N103" s="20">
        <f t="shared" si="20"/>
        <v>0</v>
      </c>
      <c r="O103" s="20">
        <f t="shared" si="21"/>
        <v>1</v>
      </c>
      <c r="P103" s="22">
        <f t="shared" si="22"/>
        <v>78.66</v>
      </c>
      <c r="Q103" s="22">
        <f>G103*INDEX(Assumptions!$B$8:$B$16,MATCH(F103,Assumptions!$A$8:$A$16,0))</f>
        <v>39.654000000000003</v>
      </c>
      <c r="R103" s="22">
        <f>H103*Assumptions!$B$3</f>
        <v>7.5419999999999998</v>
      </c>
      <c r="S103" s="22">
        <f t="shared" si="23"/>
        <v>18.893999999999998</v>
      </c>
      <c r="T103" s="20" t="str">
        <f t="shared" si="24"/>
        <v>0-7 days</v>
      </c>
    </row>
    <row r="104" spans="1:20" x14ac:dyDescent="0.3">
      <c r="A104" s="20" t="s">
        <v>168</v>
      </c>
      <c r="B104" s="20" t="s">
        <v>93</v>
      </c>
      <c r="C104" s="21">
        <v>45399</v>
      </c>
      <c r="D104" s="21">
        <v>45412</v>
      </c>
      <c r="E104" s="21">
        <v>45428</v>
      </c>
      <c r="F104" s="20" t="s">
        <v>111</v>
      </c>
      <c r="G104" s="22">
        <v>63.58</v>
      </c>
      <c r="H104" s="22">
        <v>30.83</v>
      </c>
      <c r="I104" s="20" t="s">
        <v>60</v>
      </c>
      <c r="J104" s="20">
        <v>4</v>
      </c>
      <c r="K104" s="20" t="s">
        <v>46</v>
      </c>
      <c r="L104" s="23">
        <f t="shared" si="18"/>
        <v>45383</v>
      </c>
      <c r="M104" s="20">
        <f t="shared" si="19"/>
        <v>13</v>
      </c>
      <c r="N104" s="20">
        <f t="shared" si="20"/>
        <v>0</v>
      </c>
      <c r="O104" s="20">
        <f t="shared" si="21"/>
        <v>1</v>
      </c>
      <c r="P104" s="22">
        <f t="shared" si="22"/>
        <v>94.41</v>
      </c>
      <c r="Q104" s="22">
        <f>G104*INDEX(Assumptions!$B$8:$B$16,MATCH(F104,Assumptions!$A$8:$A$16,0))</f>
        <v>40.055399999999999</v>
      </c>
      <c r="R104" s="22">
        <f>H104*Assumptions!$B$3</f>
        <v>18.497999999999998</v>
      </c>
      <c r="S104" s="22">
        <f t="shared" si="23"/>
        <v>5.026600000000002</v>
      </c>
      <c r="T104" s="20" t="str">
        <f t="shared" si="24"/>
        <v>8-14 days</v>
      </c>
    </row>
    <row r="105" spans="1:20" x14ac:dyDescent="0.3">
      <c r="A105" s="20" t="s">
        <v>169</v>
      </c>
      <c r="B105" s="20" t="s">
        <v>55</v>
      </c>
      <c r="C105" s="21">
        <v>45399</v>
      </c>
      <c r="D105" s="21">
        <v>45415</v>
      </c>
      <c r="E105" s="21">
        <v>45425</v>
      </c>
      <c r="F105" s="20" t="s">
        <v>49</v>
      </c>
      <c r="G105" s="22">
        <v>36.43</v>
      </c>
      <c r="H105" s="22">
        <v>24.06</v>
      </c>
      <c r="I105" s="20" t="s">
        <v>45</v>
      </c>
      <c r="J105" s="20">
        <v>4</v>
      </c>
      <c r="K105" s="20" t="s">
        <v>46</v>
      </c>
      <c r="L105" s="23">
        <f t="shared" si="18"/>
        <v>45383</v>
      </c>
      <c r="M105" s="20">
        <f t="shared" si="19"/>
        <v>16</v>
      </c>
      <c r="N105" s="20">
        <f t="shared" si="20"/>
        <v>0</v>
      </c>
      <c r="O105" s="20">
        <f t="shared" si="21"/>
        <v>1</v>
      </c>
      <c r="P105" s="22">
        <f t="shared" si="22"/>
        <v>60.489999999999995</v>
      </c>
      <c r="Q105" s="22">
        <f>G105*INDEX(Assumptions!$B$8:$B$16,MATCH(F105,Assumptions!$A$8:$A$16,0))</f>
        <v>21.129399999999997</v>
      </c>
      <c r="R105" s="22">
        <f>H105*Assumptions!$B$3</f>
        <v>14.435999999999998</v>
      </c>
      <c r="S105" s="22">
        <f t="shared" si="23"/>
        <v>0.8646000000000047</v>
      </c>
      <c r="T105" s="20" t="str">
        <f t="shared" si="24"/>
        <v>15-21 days</v>
      </c>
    </row>
    <row r="106" spans="1:20" x14ac:dyDescent="0.3">
      <c r="A106" s="20" t="s">
        <v>170</v>
      </c>
      <c r="B106" s="20" t="s">
        <v>19</v>
      </c>
      <c r="C106" s="21">
        <v>45400</v>
      </c>
      <c r="D106" s="21">
        <v>45410</v>
      </c>
      <c r="E106" s="21">
        <v>45418</v>
      </c>
      <c r="F106" s="20" t="s">
        <v>53</v>
      </c>
      <c r="G106" s="22">
        <v>129.22</v>
      </c>
      <c r="H106" s="22">
        <v>16.75</v>
      </c>
      <c r="I106" s="20" t="s">
        <v>60</v>
      </c>
      <c r="J106" s="20">
        <v>5</v>
      </c>
      <c r="K106" s="20" t="s">
        <v>46</v>
      </c>
      <c r="L106" s="23">
        <f t="shared" si="18"/>
        <v>45383</v>
      </c>
      <c r="M106" s="20">
        <f t="shared" si="19"/>
        <v>10</v>
      </c>
      <c r="N106" s="20">
        <f t="shared" si="20"/>
        <v>0</v>
      </c>
      <c r="O106" s="20">
        <f t="shared" si="21"/>
        <v>1</v>
      </c>
      <c r="P106" s="22">
        <f t="shared" si="22"/>
        <v>145.97</v>
      </c>
      <c r="Q106" s="22">
        <f>G106*INDEX(Assumptions!$B$8:$B$16,MATCH(F106,Assumptions!$A$8:$A$16,0))</f>
        <v>95.622799999999998</v>
      </c>
      <c r="R106" s="22">
        <f>H106*Assumptions!$B$3</f>
        <v>10.049999999999999</v>
      </c>
      <c r="S106" s="22">
        <f t="shared" si="23"/>
        <v>23.547200000000004</v>
      </c>
      <c r="T106" s="20" t="str">
        <f t="shared" si="24"/>
        <v>8-14 days</v>
      </c>
    </row>
    <row r="107" spans="1:20" x14ac:dyDescent="0.3">
      <c r="A107" s="20" t="s">
        <v>171</v>
      </c>
      <c r="B107" s="20" t="s">
        <v>19</v>
      </c>
      <c r="C107" s="21">
        <v>45402</v>
      </c>
      <c r="D107" s="21">
        <v>45411</v>
      </c>
      <c r="E107" s="21">
        <v>45418</v>
      </c>
      <c r="F107" s="20" t="s">
        <v>53</v>
      </c>
      <c r="G107" s="22">
        <v>538.22</v>
      </c>
      <c r="H107" s="22">
        <v>28.89</v>
      </c>
      <c r="I107" s="20" t="s">
        <v>45</v>
      </c>
      <c r="J107" s="20">
        <v>4</v>
      </c>
      <c r="K107" s="20" t="s">
        <v>46</v>
      </c>
      <c r="L107" s="23">
        <f t="shared" si="18"/>
        <v>45383</v>
      </c>
      <c r="M107" s="20">
        <f t="shared" si="19"/>
        <v>9</v>
      </c>
      <c r="N107" s="20">
        <f t="shared" si="20"/>
        <v>0</v>
      </c>
      <c r="O107" s="20">
        <f t="shared" si="21"/>
        <v>1</v>
      </c>
      <c r="P107" s="22">
        <f t="shared" si="22"/>
        <v>567.11</v>
      </c>
      <c r="Q107" s="22">
        <f>G107*INDEX(Assumptions!$B$8:$B$16,MATCH(F107,Assumptions!$A$8:$A$16,0))</f>
        <v>398.28280000000001</v>
      </c>
      <c r="R107" s="22">
        <f>H107*Assumptions!$B$3</f>
        <v>17.334</v>
      </c>
      <c r="S107" s="22">
        <f t="shared" si="23"/>
        <v>122.60320000000002</v>
      </c>
      <c r="T107" s="20" t="str">
        <f t="shared" si="24"/>
        <v>8-14 days</v>
      </c>
    </row>
    <row r="108" spans="1:20" x14ac:dyDescent="0.3">
      <c r="A108" s="20" t="s">
        <v>172</v>
      </c>
      <c r="B108" s="20" t="s">
        <v>62</v>
      </c>
      <c r="C108" s="21">
        <v>45403</v>
      </c>
      <c r="D108" s="21">
        <v>45419</v>
      </c>
      <c r="E108" s="21">
        <v>45425</v>
      </c>
      <c r="F108" s="20" t="s">
        <v>67</v>
      </c>
      <c r="G108" s="22">
        <v>71.989999999999995</v>
      </c>
      <c r="H108" s="22">
        <v>28.09</v>
      </c>
      <c r="I108" s="20" t="s">
        <v>45</v>
      </c>
      <c r="J108" s="20">
        <v>4</v>
      </c>
      <c r="K108" s="20" t="s">
        <v>46</v>
      </c>
      <c r="L108" s="23">
        <f t="shared" si="18"/>
        <v>45383</v>
      </c>
      <c r="M108" s="20">
        <f t="shared" si="19"/>
        <v>16</v>
      </c>
      <c r="N108" s="20">
        <f t="shared" si="20"/>
        <v>0</v>
      </c>
      <c r="O108" s="20">
        <f t="shared" si="21"/>
        <v>1</v>
      </c>
      <c r="P108" s="22">
        <f t="shared" si="22"/>
        <v>100.08</v>
      </c>
      <c r="Q108" s="22">
        <f>G108*INDEX(Assumptions!$B$8:$B$16,MATCH(F108,Assumptions!$A$8:$A$16,0))</f>
        <v>44.633799999999994</v>
      </c>
      <c r="R108" s="22">
        <f>H108*Assumptions!$B$3</f>
        <v>16.853999999999999</v>
      </c>
      <c r="S108" s="22">
        <f t="shared" si="23"/>
        <v>10.502200000000002</v>
      </c>
      <c r="T108" s="20" t="str">
        <f t="shared" si="24"/>
        <v>15-21 days</v>
      </c>
    </row>
    <row r="109" spans="1:20" x14ac:dyDescent="0.3">
      <c r="A109" s="20" t="s">
        <v>173</v>
      </c>
      <c r="B109" s="20" t="s">
        <v>174</v>
      </c>
      <c r="C109" s="21">
        <v>45404</v>
      </c>
      <c r="D109" s="21">
        <v>45429</v>
      </c>
      <c r="E109" s="21">
        <v>45439</v>
      </c>
      <c r="F109" s="20" t="s">
        <v>67</v>
      </c>
      <c r="G109" s="22">
        <v>44.82</v>
      </c>
      <c r="H109" s="22">
        <v>36.42</v>
      </c>
      <c r="I109" s="20" t="s">
        <v>45</v>
      </c>
      <c r="J109" s="20">
        <v>4</v>
      </c>
      <c r="K109" s="20" t="s">
        <v>46</v>
      </c>
      <c r="L109" s="23">
        <f t="shared" si="18"/>
        <v>45383</v>
      </c>
      <c r="M109" s="20">
        <f t="shared" si="19"/>
        <v>25</v>
      </c>
      <c r="N109" s="20">
        <f t="shared" si="20"/>
        <v>0</v>
      </c>
      <c r="O109" s="20">
        <f t="shared" si="21"/>
        <v>1</v>
      </c>
      <c r="P109" s="22">
        <f t="shared" si="22"/>
        <v>81.240000000000009</v>
      </c>
      <c r="Q109" s="22">
        <f>G109*INDEX(Assumptions!$B$8:$B$16,MATCH(F109,Assumptions!$A$8:$A$16,0))</f>
        <v>27.788399999999999</v>
      </c>
      <c r="R109" s="22">
        <f>H109*Assumptions!$B$3</f>
        <v>21.852</v>
      </c>
      <c r="S109" s="22">
        <f t="shared" si="23"/>
        <v>-4.8203999999999994</v>
      </c>
      <c r="T109" s="20" t="str">
        <f t="shared" si="24"/>
        <v>22+ days</v>
      </c>
    </row>
    <row r="110" spans="1:20" x14ac:dyDescent="0.3">
      <c r="A110" s="20" t="s">
        <v>175</v>
      </c>
      <c r="B110" s="20" t="s">
        <v>19</v>
      </c>
      <c r="C110" s="21">
        <v>45404</v>
      </c>
      <c r="D110" s="21">
        <v>45411</v>
      </c>
      <c r="E110" s="21">
        <v>45417</v>
      </c>
      <c r="F110" s="20" t="s">
        <v>49</v>
      </c>
      <c r="G110" s="22">
        <v>105.53</v>
      </c>
      <c r="H110" s="22">
        <v>15.42</v>
      </c>
      <c r="I110" s="20" t="s">
        <v>45</v>
      </c>
      <c r="J110" s="20">
        <v>5</v>
      </c>
      <c r="K110" s="20" t="s">
        <v>46</v>
      </c>
      <c r="L110" s="23">
        <f t="shared" si="18"/>
        <v>45383</v>
      </c>
      <c r="M110" s="20">
        <f t="shared" si="19"/>
        <v>7</v>
      </c>
      <c r="N110" s="20">
        <f t="shared" si="20"/>
        <v>0</v>
      </c>
      <c r="O110" s="20">
        <f t="shared" si="21"/>
        <v>1</v>
      </c>
      <c r="P110" s="22">
        <f t="shared" si="22"/>
        <v>120.95</v>
      </c>
      <c r="Q110" s="22">
        <f>G110*INDEX(Assumptions!$B$8:$B$16,MATCH(F110,Assumptions!$A$8:$A$16,0))</f>
        <v>61.2074</v>
      </c>
      <c r="R110" s="22">
        <f>H110*Assumptions!$B$3</f>
        <v>9.2519999999999989</v>
      </c>
      <c r="S110" s="22">
        <f t="shared" si="23"/>
        <v>35.070599999999999</v>
      </c>
      <c r="T110" s="20" t="str">
        <f t="shared" si="24"/>
        <v>0-7 days</v>
      </c>
    </row>
    <row r="111" spans="1:20" x14ac:dyDescent="0.3">
      <c r="A111" s="20" t="s">
        <v>176</v>
      </c>
      <c r="B111" s="20" t="s">
        <v>19</v>
      </c>
      <c r="C111" s="21">
        <v>45404</v>
      </c>
      <c r="D111" s="21">
        <v>45408</v>
      </c>
      <c r="E111" s="21">
        <v>45419</v>
      </c>
      <c r="F111" s="20" t="s">
        <v>111</v>
      </c>
      <c r="G111" s="22">
        <v>144.31</v>
      </c>
      <c r="H111" s="22">
        <v>22.34</v>
      </c>
      <c r="I111" s="20" t="s">
        <v>45</v>
      </c>
      <c r="J111" s="20">
        <v>4</v>
      </c>
      <c r="K111" s="20" t="s">
        <v>46</v>
      </c>
      <c r="L111" s="23">
        <f t="shared" si="18"/>
        <v>45383</v>
      </c>
      <c r="M111" s="20">
        <f t="shared" si="19"/>
        <v>4</v>
      </c>
      <c r="N111" s="20">
        <f t="shared" si="20"/>
        <v>0</v>
      </c>
      <c r="O111" s="20">
        <f t="shared" si="21"/>
        <v>1</v>
      </c>
      <c r="P111" s="22">
        <f t="shared" si="22"/>
        <v>166.65</v>
      </c>
      <c r="Q111" s="22">
        <f>G111*INDEX(Assumptions!$B$8:$B$16,MATCH(F111,Assumptions!$A$8:$A$16,0))</f>
        <v>90.915300000000002</v>
      </c>
      <c r="R111" s="22">
        <f>H111*Assumptions!$B$3</f>
        <v>13.404</v>
      </c>
      <c r="S111" s="22">
        <f t="shared" si="23"/>
        <v>39.990700000000004</v>
      </c>
      <c r="T111" s="20" t="str">
        <f t="shared" si="24"/>
        <v>0-7 days</v>
      </c>
    </row>
    <row r="112" spans="1:20" x14ac:dyDescent="0.3">
      <c r="A112" s="20" t="s">
        <v>177</v>
      </c>
      <c r="B112" s="20" t="s">
        <v>156</v>
      </c>
      <c r="C112" s="21">
        <v>45405</v>
      </c>
      <c r="D112" s="21">
        <v>45442</v>
      </c>
      <c r="E112" s="21">
        <v>45430</v>
      </c>
      <c r="F112" s="20" t="s">
        <v>53</v>
      </c>
      <c r="G112" s="22">
        <v>169.6</v>
      </c>
      <c r="H112" s="22">
        <v>29.07</v>
      </c>
      <c r="I112" s="20" t="s">
        <v>45</v>
      </c>
      <c r="J112" s="20">
        <v>2</v>
      </c>
      <c r="K112" s="20" t="s">
        <v>46</v>
      </c>
      <c r="L112" s="23">
        <f t="shared" si="18"/>
        <v>45383</v>
      </c>
      <c r="M112" s="20">
        <f t="shared" si="19"/>
        <v>37</v>
      </c>
      <c r="N112" s="20">
        <f t="shared" si="20"/>
        <v>12</v>
      </c>
      <c r="O112" s="20">
        <f t="shared" si="21"/>
        <v>0</v>
      </c>
      <c r="P112" s="22">
        <f t="shared" si="22"/>
        <v>198.67</v>
      </c>
      <c r="Q112" s="22">
        <f>G112*INDEX(Assumptions!$B$8:$B$16,MATCH(F112,Assumptions!$A$8:$A$16,0))</f>
        <v>125.50399999999999</v>
      </c>
      <c r="R112" s="22">
        <f>H112*Assumptions!$B$3</f>
        <v>17.442</v>
      </c>
      <c r="S112" s="22">
        <f t="shared" si="23"/>
        <v>26.654000000000003</v>
      </c>
      <c r="T112" s="20" t="str">
        <f t="shared" si="24"/>
        <v>22+ days</v>
      </c>
    </row>
    <row r="113" spans="1:20" x14ac:dyDescent="0.3">
      <c r="A113" s="20" t="s">
        <v>178</v>
      </c>
      <c r="B113" s="20" t="s">
        <v>48</v>
      </c>
      <c r="C113" s="21">
        <v>45405</v>
      </c>
      <c r="D113" s="21">
        <v>45418</v>
      </c>
      <c r="E113" s="21">
        <v>45424</v>
      </c>
      <c r="F113" s="20" t="s">
        <v>59</v>
      </c>
      <c r="G113" s="22">
        <v>67.72</v>
      </c>
      <c r="H113" s="22">
        <v>20.02</v>
      </c>
      <c r="I113" s="20" t="s">
        <v>60</v>
      </c>
      <c r="J113" s="20">
        <v>4</v>
      </c>
      <c r="K113" s="20" t="s">
        <v>46</v>
      </c>
      <c r="L113" s="23">
        <f t="shared" si="18"/>
        <v>45383</v>
      </c>
      <c r="M113" s="20">
        <f t="shared" si="19"/>
        <v>13</v>
      </c>
      <c r="N113" s="20">
        <f t="shared" si="20"/>
        <v>0</v>
      </c>
      <c r="O113" s="20">
        <f t="shared" si="21"/>
        <v>1</v>
      </c>
      <c r="P113" s="22">
        <f t="shared" si="22"/>
        <v>87.74</v>
      </c>
      <c r="Q113" s="22">
        <f>G113*INDEX(Assumptions!$B$8:$B$16,MATCH(F113,Assumptions!$A$8:$A$16,0))</f>
        <v>43.340800000000002</v>
      </c>
      <c r="R113" s="22">
        <f>H113*Assumptions!$B$3</f>
        <v>12.011999999999999</v>
      </c>
      <c r="S113" s="22">
        <f t="shared" si="23"/>
        <v>12.367199999999999</v>
      </c>
      <c r="T113" s="20" t="str">
        <f t="shared" si="24"/>
        <v>8-14 days</v>
      </c>
    </row>
    <row r="114" spans="1:20" x14ac:dyDescent="0.3">
      <c r="A114" s="20" t="s">
        <v>179</v>
      </c>
      <c r="B114" s="20" t="s">
        <v>62</v>
      </c>
      <c r="C114" s="21">
        <v>45406</v>
      </c>
      <c r="D114" s="21">
        <v>45420</v>
      </c>
      <c r="E114" s="21">
        <v>45424</v>
      </c>
      <c r="F114" s="20" t="s">
        <v>59</v>
      </c>
      <c r="G114" s="22">
        <v>145.88</v>
      </c>
      <c r="H114" s="22">
        <v>18.420000000000002</v>
      </c>
      <c r="I114" s="20" t="s">
        <v>45</v>
      </c>
      <c r="J114" s="20">
        <v>5</v>
      </c>
      <c r="K114" s="20" t="s">
        <v>46</v>
      </c>
      <c r="L114" s="23">
        <f t="shared" si="18"/>
        <v>45383</v>
      </c>
      <c r="M114" s="20">
        <f t="shared" si="19"/>
        <v>14</v>
      </c>
      <c r="N114" s="20">
        <f t="shared" si="20"/>
        <v>0</v>
      </c>
      <c r="O114" s="20">
        <f t="shared" si="21"/>
        <v>1</v>
      </c>
      <c r="P114" s="22">
        <f t="shared" si="22"/>
        <v>164.3</v>
      </c>
      <c r="Q114" s="22">
        <f>G114*INDEX(Assumptions!$B$8:$B$16,MATCH(F114,Assumptions!$A$8:$A$16,0))</f>
        <v>93.363199999999992</v>
      </c>
      <c r="R114" s="22">
        <f>H114*Assumptions!$B$3</f>
        <v>11.052000000000001</v>
      </c>
      <c r="S114" s="22">
        <f t="shared" si="23"/>
        <v>41.464800000000004</v>
      </c>
      <c r="T114" s="20" t="str">
        <f t="shared" si="24"/>
        <v>8-14 days</v>
      </c>
    </row>
    <row r="115" spans="1:20" x14ac:dyDescent="0.3">
      <c r="A115" s="20" t="s">
        <v>180</v>
      </c>
      <c r="B115" s="20" t="s">
        <v>134</v>
      </c>
      <c r="C115" s="21">
        <v>45406</v>
      </c>
      <c r="D115" s="21">
        <v>45413</v>
      </c>
      <c r="E115" s="21">
        <v>45432</v>
      </c>
      <c r="F115" s="20" t="s">
        <v>49</v>
      </c>
      <c r="G115" s="22">
        <v>79.400000000000006</v>
      </c>
      <c r="H115" s="22">
        <v>20.66</v>
      </c>
      <c r="I115" s="20" t="s">
        <v>45</v>
      </c>
      <c r="J115" s="20">
        <v>4</v>
      </c>
      <c r="K115" s="20" t="s">
        <v>46</v>
      </c>
      <c r="L115" s="23">
        <f t="shared" si="18"/>
        <v>45383</v>
      </c>
      <c r="M115" s="20">
        <f t="shared" si="19"/>
        <v>7</v>
      </c>
      <c r="N115" s="20">
        <f t="shared" si="20"/>
        <v>0</v>
      </c>
      <c r="O115" s="20">
        <f t="shared" si="21"/>
        <v>1</v>
      </c>
      <c r="P115" s="22">
        <f t="shared" si="22"/>
        <v>100.06</v>
      </c>
      <c r="Q115" s="22">
        <f>G115*INDEX(Assumptions!$B$8:$B$16,MATCH(F115,Assumptions!$A$8:$A$16,0))</f>
        <v>46.052</v>
      </c>
      <c r="R115" s="22">
        <f>H115*Assumptions!$B$3</f>
        <v>12.395999999999999</v>
      </c>
      <c r="S115" s="22">
        <f t="shared" si="23"/>
        <v>20.952000000000005</v>
      </c>
      <c r="T115" s="20" t="str">
        <f t="shared" si="24"/>
        <v>0-7 days</v>
      </c>
    </row>
    <row r="116" spans="1:20" x14ac:dyDescent="0.3">
      <c r="A116" s="20" t="s">
        <v>181</v>
      </c>
      <c r="B116" s="20" t="s">
        <v>19</v>
      </c>
      <c r="C116" s="21">
        <v>45407</v>
      </c>
      <c r="D116" s="21">
        <v>45414</v>
      </c>
      <c r="E116" s="21">
        <v>45422</v>
      </c>
      <c r="F116" s="20" t="s">
        <v>53</v>
      </c>
      <c r="G116" s="22">
        <v>52.98</v>
      </c>
      <c r="H116" s="22">
        <v>13.33</v>
      </c>
      <c r="I116" s="20" t="s">
        <v>60</v>
      </c>
      <c r="J116" s="20">
        <v>5</v>
      </c>
      <c r="K116" s="20" t="s">
        <v>46</v>
      </c>
      <c r="L116" s="23">
        <f t="shared" si="18"/>
        <v>45383</v>
      </c>
      <c r="M116" s="20">
        <f t="shared" si="19"/>
        <v>7</v>
      </c>
      <c r="N116" s="20">
        <f t="shared" si="20"/>
        <v>0</v>
      </c>
      <c r="O116" s="20">
        <f t="shared" si="21"/>
        <v>1</v>
      </c>
      <c r="P116" s="22">
        <f t="shared" si="22"/>
        <v>66.31</v>
      </c>
      <c r="Q116" s="22">
        <f>G116*INDEX(Assumptions!$B$8:$B$16,MATCH(F116,Assumptions!$A$8:$A$16,0))</f>
        <v>39.205199999999998</v>
      </c>
      <c r="R116" s="22">
        <f>H116*Assumptions!$B$3</f>
        <v>7.9979999999999993</v>
      </c>
      <c r="S116" s="22">
        <f t="shared" si="23"/>
        <v>5.7767999999999997</v>
      </c>
      <c r="T116" s="20" t="str">
        <f t="shared" si="24"/>
        <v>0-7 days</v>
      </c>
    </row>
    <row r="117" spans="1:20" x14ac:dyDescent="0.3">
      <c r="A117" s="20" t="s">
        <v>182</v>
      </c>
      <c r="B117" s="20" t="s">
        <v>62</v>
      </c>
      <c r="C117" s="21">
        <v>45409</v>
      </c>
      <c r="D117" s="21">
        <v>45424</v>
      </c>
      <c r="E117" s="21">
        <v>45429</v>
      </c>
      <c r="F117" s="20" t="s">
        <v>67</v>
      </c>
      <c r="G117" s="22">
        <v>97.29</v>
      </c>
      <c r="H117" s="22">
        <v>21.68</v>
      </c>
      <c r="I117" s="20" t="s">
        <v>50</v>
      </c>
      <c r="J117" s="20">
        <v>5</v>
      </c>
      <c r="K117" s="20" t="s">
        <v>46</v>
      </c>
      <c r="L117" s="23">
        <f t="shared" si="18"/>
        <v>45383</v>
      </c>
      <c r="M117" s="20">
        <f t="shared" si="19"/>
        <v>15</v>
      </c>
      <c r="N117" s="20">
        <f t="shared" si="20"/>
        <v>0</v>
      </c>
      <c r="O117" s="20">
        <f t="shared" si="21"/>
        <v>1</v>
      </c>
      <c r="P117" s="22">
        <f t="shared" si="22"/>
        <v>118.97</v>
      </c>
      <c r="Q117" s="22">
        <f>G117*INDEX(Assumptions!$B$8:$B$16,MATCH(F117,Assumptions!$A$8:$A$16,0))</f>
        <v>60.319800000000001</v>
      </c>
      <c r="R117" s="22">
        <f>H117*Assumptions!$B$3</f>
        <v>13.007999999999999</v>
      </c>
      <c r="S117" s="22">
        <f t="shared" si="23"/>
        <v>23.962200000000006</v>
      </c>
      <c r="T117" s="20" t="str">
        <f t="shared" si="24"/>
        <v>15-21 days</v>
      </c>
    </row>
    <row r="118" spans="1:20" x14ac:dyDescent="0.3">
      <c r="A118" s="20" t="s">
        <v>183</v>
      </c>
      <c r="B118" s="20" t="s">
        <v>55</v>
      </c>
      <c r="C118" s="21">
        <v>45409</v>
      </c>
      <c r="D118" s="21">
        <v>45419</v>
      </c>
      <c r="E118" s="21">
        <v>45435</v>
      </c>
      <c r="F118" s="20" t="s">
        <v>64</v>
      </c>
      <c r="G118" s="22">
        <v>117.16</v>
      </c>
      <c r="H118" s="22">
        <v>30.17</v>
      </c>
      <c r="I118" s="20" t="s">
        <v>45</v>
      </c>
      <c r="J118" s="20">
        <v>4</v>
      </c>
      <c r="K118" s="20" t="s">
        <v>46</v>
      </c>
      <c r="L118" s="23">
        <f t="shared" si="18"/>
        <v>45383</v>
      </c>
      <c r="M118" s="20">
        <f t="shared" si="19"/>
        <v>10</v>
      </c>
      <c r="N118" s="20">
        <f t="shared" si="20"/>
        <v>0</v>
      </c>
      <c r="O118" s="20">
        <f t="shared" si="21"/>
        <v>1</v>
      </c>
      <c r="P118" s="22">
        <f t="shared" si="22"/>
        <v>147.32999999999998</v>
      </c>
      <c r="Q118" s="22">
        <f>G118*INDEX(Assumptions!$B$8:$B$16,MATCH(F118,Assumptions!$A$8:$A$16,0))</f>
        <v>77.325599999999994</v>
      </c>
      <c r="R118" s="22">
        <f>H118*Assumptions!$B$3</f>
        <v>18.102</v>
      </c>
      <c r="S118" s="22">
        <f t="shared" si="23"/>
        <v>21.732400000000002</v>
      </c>
      <c r="T118" s="20" t="str">
        <f t="shared" si="24"/>
        <v>8-14 days</v>
      </c>
    </row>
    <row r="119" spans="1:20" x14ac:dyDescent="0.3">
      <c r="A119" s="20" t="s">
        <v>184</v>
      </c>
      <c r="B119" s="20" t="s">
        <v>52</v>
      </c>
      <c r="C119" s="21">
        <v>45410</v>
      </c>
      <c r="D119" s="21">
        <v>45429</v>
      </c>
      <c r="E119" s="21">
        <v>45436</v>
      </c>
      <c r="F119" s="20" t="s">
        <v>49</v>
      </c>
      <c r="G119" s="22">
        <v>42.63</v>
      </c>
      <c r="H119" s="22">
        <v>22.76</v>
      </c>
      <c r="I119" s="20" t="s">
        <v>45</v>
      </c>
      <c r="J119" s="20">
        <v>3</v>
      </c>
      <c r="K119" s="20" t="s">
        <v>46</v>
      </c>
      <c r="L119" s="23">
        <f t="shared" si="18"/>
        <v>45383</v>
      </c>
      <c r="M119" s="20">
        <f t="shared" si="19"/>
        <v>19</v>
      </c>
      <c r="N119" s="20">
        <f t="shared" si="20"/>
        <v>0</v>
      </c>
      <c r="O119" s="20">
        <f t="shared" si="21"/>
        <v>1</v>
      </c>
      <c r="P119" s="22">
        <f t="shared" si="22"/>
        <v>65.39</v>
      </c>
      <c r="Q119" s="22">
        <f>G119*INDEX(Assumptions!$B$8:$B$16,MATCH(F119,Assumptions!$A$8:$A$16,0))</f>
        <v>24.7254</v>
      </c>
      <c r="R119" s="22">
        <f>H119*Assumptions!$B$3</f>
        <v>13.656000000000001</v>
      </c>
      <c r="S119" s="22">
        <f t="shared" si="23"/>
        <v>4.2486000000000015</v>
      </c>
      <c r="T119" s="20" t="str">
        <f t="shared" si="24"/>
        <v>15-21 days</v>
      </c>
    </row>
    <row r="120" spans="1:20" x14ac:dyDescent="0.3">
      <c r="A120" s="20" t="s">
        <v>185</v>
      </c>
      <c r="B120" s="20" t="s">
        <v>48</v>
      </c>
      <c r="C120" s="21">
        <v>45411</v>
      </c>
      <c r="D120" s="21">
        <v>45417</v>
      </c>
      <c r="E120" s="21">
        <v>45434</v>
      </c>
      <c r="F120" s="20" t="s">
        <v>59</v>
      </c>
      <c r="G120" s="22">
        <v>69.209999999999994</v>
      </c>
      <c r="H120" s="22">
        <v>16.649999999999999</v>
      </c>
      <c r="I120" s="20" t="s">
        <v>45</v>
      </c>
      <c r="J120" s="20">
        <v>3</v>
      </c>
      <c r="K120" s="20" t="s">
        <v>46</v>
      </c>
      <c r="L120" s="23">
        <f t="shared" si="18"/>
        <v>45383</v>
      </c>
      <c r="M120" s="20">
        <f t="shared" si="19"/>
        <v>6</v>
      </c>
      <c r="N120" s="20">
        <f t="shared" si="20"/>
        <v>0</v>
      </c>
      <c r="O120" s="20">
        <f t="shared" si="21"/>
        <v>1</v>
      </c>
      <c r="P120" s="22">
        <f t="shared" si="22"/>
        <v>85.859999999999985</v>
      </c>
      <c r="Q120" s="22">
        <f>G120*INDEX(Assumptions!$B$8:$B$16,MATCH(F120,Assumptions!$A$8:$A$16,0))</f>
        <v>44.294399999999996</v>
      </c>
      <c r="R120" s="22">
        <f>H120*Assumptions!$B$3</f>
        <v>9.9899999999999984</v>
      </c>
      <c r="S120" s="22">
        <f t="shared" si="23"/>
        <v>14.925599999999999</v>
      </c>
      <c r="T120" s="20" t="str">
        <f t="shared" si="24"/>
        <v>0-7 days</v>
      </c>
    </row>
    <row r="121" spans="1:20" x14ac:dyDescent="0.3">
      <c r="A121" s="20" t="s">
        <v>186</v>
      </c>
      <c r="B121" s="20" t="s">
        <v>19</v>
      </c>
      <c r="C121" s="21">
        <v>45411</v>
      </c>
      <c r="D121" s="21">
        <v>45419</v>
      </c>
      <c r="E121" s="21">
        <v>45427</v>
      </c>
      <c r="F121" s="20" t="s">
        <v>67</v>
      </c>
      <c r="G121" s="22">
        <v>35.42</v>
      </c>
      <c r="H121" s="22">
        <v>14.6</v>
      </c>
      <c r="I121" s="20" t="s">
        <v>104</v>
      </c>
      <c r="J121" s="20">
        <v>4</v>
      </c>
      <c r="K121" s="20" t="s">
        <v>46</v>
      </c>
      <c r="L121" s="23">
        <f t="shared" si="18"/>
        <v>45383</v>
      </c>
      <c r="M121" s="20">
        <f t="shared" si="19"/>
        <v>8</v>
      </c>
      <c r="N121" s="20">
        <f t="shared" si="20"/>
        <v>0</v>
      </c>
      <c r="O121" s="20">
        <f t="shared" si="21"/>
        <v>1</v>
      </c>
      <c r="P121" s="22">
        <f t="shared" si="22"/>
        <v>50.02</v>
      </c>
      <c r="Q121" s="22">
        <f>G121*INDEX(Assumptions!$B$8:$B$16,MATCH(F121,Assumptions!$A$8:$A$16,0))</f>
        <v>21.9604</v>
      </c>
      <c r="R121" s="22">
        <f>H121*Assumptions!$B$3</f>
        <v>8.76</v>
      </c>
      <c r="S121" s="22">
        <f t="shared" si="23"/>
        <v>4.699600000000002</v>
      </c>
      <c r="T121" s="20" t="str">
        <f t="shared" si="24"/>
        <v>8-14 days</v>
      </c>
    </row>
    <row r="122" spans="1:20" x14ac:dyDescent="0.3">
      <c r="A122" s="20" t="s">
        <v>187</v>
      </c>
      <c r="B122" s="20" t="s">
        <v>19</v>
      </c>
      <c r="C122" s="21">
        <v>45411</v>
      </c>
      <c r="D122" s="21">
        <v>45418</v>
      </c>
      <c r="E122" s="21">
        <v>45425</v>
      </c>
      <c r="F122" s="20" t="s">
        <v>79</v>
      </c>
      <c r="G122" s="22">
        <v>59.93</v>
      </c>
      <c r="H122" s="22">
        <v>14.46</v>
      </c>
      <c r="I122" s="20" t="s">
        <v>45</v>
      </c>
      <c r="J122" s="20">
        <v>4</v>
      </c>
      <c r="K122" s="20" t="s">
        <v>46</v>
      </c>
      <c r="L122" s="23">
        <f t="shared" si="18"/>
        <v>45383</v>
      </c>
      <c r="M122" s="20">
        <f t="shared" si="19"/>
        <v>7</v>
      </c>
      <c r="N122" s="20">
        <f t="shared" si="20"/>
        <v>0</v>
      </c>
      <c r="O122" s="20">
        <f t="shared" si="21"/>
        <v>1</v>
      </c>
      <c r="P122" s="22">
        <f t="shared" si="22"/>
        <v>74.39</v>
      </c>
      <c r="Q122" s="22">
        <f>G122*INDEX(Assumptions!$B$8:$B$16,MATCH(F122,Assumptions!$A$8:$A$16,0))</f>
        <v>41.951000000000001</v>
      </c>
      <c r="R122" s="22">
        <f>H122*Assumptions!$B$3</f>
        <v>8.6760000000000002</v>
      </c>
      <c r="S122" s="22">
        <f t="shared" si="23"/>
        <v>9.302999999999999</v>
      </c>
      <c r="T122" s="20" t="str">
        <f t="shared" si="24"/>
        <v>0-7 days</v>
      </c>
    </row>
    <row r="123" spans="1:20" x14ac:dyDescent="0.3">
      <c r="A123" s="20" t="s">
        <v>188</v>
      </c>
      <c r="B123" s="20" t="s">
        <v>156</v>
      </c>
      <c r="C123" s="21">
        <v>45412</v>
      </c>
      <c r="D123" s="21">
        <v>45432</v>
      </c>
      <c r="E123" s="21">
        <v>45436</v>
      </c>
      <c r="F123" s="20" t="s">
        <v>64</v>
      </c>
      <c r="G123" s="22">
        <v>110.19</v>
      </c>
      <c r="H123" s="22">
        <v>21.32</v>
      </c>
      <c r="I123" s="20" t="s">
        <v>45</v>
      </c>
      <c r="J123" s="20">
        <v>4</v>
      </c>
      <c r="K123" s="20" t="s">
        <v>46</v>
      </c>
      <c r="L123" s="23">
        <f t="shared" si="18"/>
        <v>45383</v>
      </c>
      <c r="M123" s="20">
        <f t="shared" si="19"/>
        <v>20</v>
      </c>
      <c r="N123" s="20">
        <f t="shared" si="20"/>
        <v>0</v>
      </c>
      <c r="O123" s="20">
        <f t="shared" si="21"/>
        <v>1</v>
      </c>
      <c r="P123" s="22">
        <f t="shared" si="22"/>
        <v>131.51</v>
      </c>
      <c r="Q123" s="22">
        <f>G123*INDEX(Assumptions!$B$8:$B$16,MATCH(F123,Assumptions!$A$8:$A$16,0))</f>
        <v>72.725400000000008</v>
      </c>
      <c r="R123" s="22">
        <f>H123*Assumptions!$B$3</f>
        <v>12.792</v>
      </c>
      <c r="S123" s="22">
        <f t="shared" si="23"/>
        <v>24.672599999999989</v>
      </c>
      <c r="T123" s="20" t="str">
        <f t="shared" si="24"/>
        <v>15-21 days</v>
      </c>
    </row>
    <row r="124" spans="1:20" x14ac:dyDescent="0.3">
      <c r="A124" s="20" t="s">
        <v>189</v>
      </c>
      <c r="B124" s="20" t="s">
        <v>19</v>
      </c>
      <c r="C124" s="21">
        <v>45412</v>
      </c>
      <c r="D124" s="21">
        <v>45425</v>
      </c>
      <c r="E124" s="21">
        <v>45426</v>
      </c>
      <c r="F124" s="20" t="s">
        <v>53</v>
      </c>
      <c r="G124" s="22">
        <v>191.92</v>
      </c>
      <c r="H124" s="22">
        <v>19.8</v>
      </c>
      <c r="I124" s="20" t="s">
        <v>45</v>
      </c>
      <c r="J124" s="20">
        <v>5</v>
      </c>
      <c r="K124" s="20" t="s">
        <v>46</v>
      </c>
      <c r="L124" s="23">
        <f t="shared" si="18"/>
        <v>45383</v>
      </c>
      <c r="M124" s="20">
        <f t="shared" si="19"/>
        <v>13</v>
      </c>
      <c r="N124" s="20">
        <f t="shared" si="20"/>
        <v>0</v>
      </c>
      <c r="O124" s="20">
        <f t="shared" si="21"/>
        <v>1</v>
      </c>
      <c r="P124" s="22">
        <f t="shared" si="22"/>
        <v>211.72</v>
      </c>
      <c r="Q124" s="22">
        <f>G124*INDEX(Assumptions!$B$8:$B$16,MATCH(F124,Assumptions!$A$8:$A$16,0))</f>
        <v>142.02079999999998</v>
      </c>
      <c r="R124" s="22">
        <f>H124*Assumptions!$B$3</f>
        <v>11.88</v>
      </c>
      <c r="S124" s="22">
        <f t="shared" si="23"/>
        <v>38.019200000000005</v>
      </c>
      <c r="T124" s="20" t="str">
        <f t="shared" si="24"/>
        <v>8-14 days</v>
      </c>
    </row>
    <row r="125" spans="1:20" x14ac:dyDescent="0.3">
      <c r="A125" s="20" t="s">
        <v>190</v>
      </c>
      <c r="B125" s="20" t="s">
        <v>48</v>
      </c>
      <c r="C125" s="21">
        <v>45412</v>
      </c>
      <c r="D125" s="21">
        <v>45427</v>
      </c>
      <c r="E125" s="21">
        <v>45431</v>
      </c>
      <c r="F125" s="20" t="s">
        <v>57</v>
      </c>
      <c r="G125" s="22">
        <v>55.93</v>
      </c>
      <c r="H125" s="22">
        <v>16.829999999999998</v>
      </c>
      <c r="I125" s="20" t="s">
        <v>45</v>
      </c>
      <c r="J125" s="20">
        <v>4</v>
      </c>
      <c r="K125" s="20" t="s">
        <v>46</v>
      </c>
      <c r="L125" s="23">
        <f t="shared" si="18"/>
        <v>45383</v>
      </c>
      <c r="M125" s="20">
        <f t="shared" si="19"/>
        <v>15</v>
      </c>
      <c r="N125" s="20">
        <f t="shared" si="20"/>
        <v>0</v>
      </c>
      <c r="O125" s="20">
        <f t="shared" si="21"/>
        <v>1</v>
      </c>
      <c r="P125" s="22">
        <f t="shared" si="22"/>
        <v>72.759999999999991</v>
      </c>
      <c r="Q125" s="22">
        <f>G125*INDEX(Assumptions!$B$8:$B$16,MATCH(F125,Assumptions!$A$8:$A$16,0))</f>
        <v>38.032400000000003</v>
      </c>
      <c r="R125" s="22">
        <f>H125*Assumptions!$B$3</f>
        <v>10.097999999999999</v>
      </c>
      <c r="S125" s="22">
        <f t="shared" si="23"/>
        <v>7.7995999999999981</v>
      </c>
      <c r="T125" s="20" t="str">
        <f t="shared" si="24"/>
        <v>15-21 days</v>
      </c>
    </row>
    <row r="126" spans="1:20" x14ac:dyDescent="0.3">
      <c r="A126" s="20" t="s">
        <v>191</v>
      </c>
      <c r="B126" s="20" t="s">
        <v>55</v>
      </c>
      <c r="C126" s="21">
        <v>45413</v>
      </c>
      <c r="D126" s="21">
        <v>45432</v>
      </c>
      <c r="E126" s="21">
        <v>45439</v>
      </c>
      <c r="F126" s="20" t="s">
        <v>49</v>
      </c>
      <c r="G126" s="22">
        <v>137.88999999999999</v>
      </c>
      <c r="H126" s="22">
        <v>28.81</v>
      </c>
      <c r="I126" s="20" t="s">
        <v>45</v>
      </c>
      <c r="J126" s="20">
        <v>4</v>
      </c>
      <c r="K126" s="20" t="s">
        <v>46</v>
      </c>
      <c r="L126" s="23">
        <f t="shared" si="18"/>
        <v>45413</v>
      </c>
      <c r="M126" s="20">
        <f t="shared" si="19"/>
        <v>19</v>
      </c>
      <c r="N126" s="20">
        <f t="shared" si="20"/>
        <v>0</v>
      </c>
      <c r="O126" s="20">
        <f t="shared" si="21"/>
        <v>1</v>
      </c>
      <c r="P126" s="22">
        <f t="shared" si="22"/>
        <v>166.7</v>
      </c>
      <c r="Q126" s="22">
        <f>G126*INDEX(Assumptions!$B$8:$B$16,MATCH(F126,Assumptions!$A$8:$A$16,0))</f>
        <v>79.976199999999992</v>
      </c>
      <c r="R126" s="22">
        <f>H126*Assumptions!$B$3</f>
        <v>17.285999999999998</v>
      </c>
      <c r="S126" s="22">
        <f t="shared" si="23"/>
        <v>40.627799999999993</v>
      </c>
      <c r="T126" s="20" t="str">
        <f t="shared" si="24"/>
        <v>15-21 days</v>
      </c>
    </row>
    <row r="127" spans="1:20" x14ac:dyDescent="0.3">
      <c r="A127" s="20" t="s">
        <v>192</v>
      </c>
      <c r="B127" s="20" t="s">
        <v>19</v>
      </c>
      <c r="C127" s="21">
        <v>45413</v>
      </c>
      <c r="D127" s="21">
        <v>45417</v>
      </c>
      <c r="E127" s="21">
        <v>45430</v>
      </c>
      <c r="F127" s="20" t="s">
        <v>79</v>
      </c>
      <c r="G127" s="22">
        <v>94.69</v>
      </c>
      <c r="H127" s="22">
        <v>18.54</v>
      </c>
      <c r="I127" s="20" t="s">
        <v>45</v>
      </c>
      <c r="J127" s="20">
        <v>4</v>
      </c>
      <c r="K127" s="20" t="s">
        <v>46</v>
      </c>
      <c r="L127" s="23">
        <f t="shared" si="18"/>
        <v>45413</v>
      </c>
      <c r="M127" s="20">
        <f t="shared" si="19"/>
        <v>4</v>
      </c>
      <c r="N127" s="20">
        <f t="shared" si="20"/>
        <v>0</v>
      </c>
      <c r="O127" s="20">
        <f t="shared" si="21"/>
        <v>1</v>
      </c>
      <c r="P127" s="22">
        <f t="shared" si="22"/>
        <v>113.22999999999999</v>
      </c>
      <c r="Q127" s="22">
        <f>G127*INDEX(Assumptions!$B$8:$B$16,MATCH(F127,Assumptions!$A$8:$A$16,0))</f>
        <v>66.283000000000001</v>
      </c>
      <c r="R127" s="22">
        <f>H127*Assumptions!$B$3</f>
        <v>11.123999999999999</v>
      </c>
      <c r="S127" s="22">
        <f t="shared" si="23"/>
        <v>17.282999999999998</v>
      </c>
      <c r="T127" s="20" t="str">
        <f t="shared" si="24"/>
        <v>0-7 days</v>
      </c>
    </row>
    <row r="128" spans="1:20" x14ac:dyDescent="0.3">
      <c r="A128" s="20" t="s">
        <v>193</v>
      </c>
      <c r="B128" s="20" t="s">
        <v>62</v>
      </c>
      <c r="C128" s="21">
        <v>45413</v>
      </c>
      <c r="D128" s="21">
        <v>45426</v>
      </c>
      <c r="E128" s="21">
        <v>45433</v>
      </c>
      <c r="F128" s="20" t="s">
        <v>111</v>
      </c>
      <c r="G128" s="22">
        <v>153.59</v>
      </c>
      <c r="H128" s="22">
        <v>30.34</v>
      </c>
      <c r="I128" s="20" t="s">
        <v>50</v>
      </c>
      <c r="J128" s="20">
        <v>4</v>
      </c>
      <c r="K128" s="20" t="s">
        <v>46</v>
      </c>
      <c r="L128" s="23">
        <f t="shared" si="18"/>
        <v>45413</v>
      </c>
      <c r="M128" s="20">
        <f t="shared" si="19"/>
        <v>13</v>
      </c>
      <c r="N128" s="20">
        <f t="shared" si="20"/>
        <v>0</v>
      </c>
      <c r="O128" s="20">
        <f t="shared" si="21"/>
        <v>1</v>
      </c>
      <c r="P128" s="22">
        <f t="shared" si="22"/>
        <v>183.93</v>
      </c>
      <c r="Q128" s="22">
        <f>G128*INDEX(Assumptions!$B$8:$B$16,MATCH(F128,Assumptions!$A$8:$A$16,0))</f>
        <v>96.761700000000005</v>
      </c>
      <c r="R128" s="22">
        <f>H128*Assumptions!$B$3</f>
        <v>18.204000000000001</v>
      </c>
      <c r="S128" s="22">
        <f t="shared" si="23"/>
        <v>38.624299999999998</v>
      </c>
      <c r="T128" s="20" t="str">
        <f t="shared" si="24"/>
        <v>8-14 days</v>
      </c>
    </row>
    <row r="129" spans="1:20" x14ac:dyDescent="0.3">
      <c r="A129" s="20" t="s">
        <v>194</v>
      </c>
      <c r="B129" s="20" t="s">
        <v>55</v>
      </c>
      <c r="C129" s="21">
        <v>45414</v>
      </c>
      <c r="D129" s="21">
        <v>45428</v>
      </c>
      <c r="E129" s="21">
        <v>45436</v>
      </c>
      <c r="F129" s="20" t="s">
        <v>53</v>
      </c>
      <c r="G129" s="22">
        <v>99.26</v>
      </c>
      <c r="H129" s="22">
        <v>20.51</v>
      </c>
      <c r="I129" s="20" t="s">
        <v>45</v>
      </c>
      <c r="J129" s="20">
        <v>5</v>
      </c>
      <c r="K129" s="20" t="s">
        <v>46</v>
      </c>
      <c r="L129" s="23">
        <f t="shared" si="18"/>
        <v>45413</v>
      </c>
      <c r="M129" s="20">
        <f t="shared" si="19"/>
        <v>14</v>
      </c>
      <c r="N129" s="20">
        <f t="shared" si="20"/>
        <v>0</v>
      </c>
      <c r="O129" s="20">
        <f t="shared" si="21"/>
        <v>1</v>
      </c>
      <c r="P129" s="22">
        <f t="shared" si="22"/>
        <v>119.77000000000001</v>
      </c>
      <c r="Q129" s="22">
        <f>G129*INDEX(Assumptions!$B$8:$B$16,MATCH(F129,Assumptions!$A$8:$A$16,0))</f>
        <v>73.452399999999997</v>
      </c>
      <c r="R129" s="22">
        <f>H129*Assumptions!$B$3</f>
        <v>12.306000000000001</v>
      </c>
      <c r="S129" s="22">
        <f t="shared" si="23"/>
        <v>13.501600000000007</v>
      </c>
      <c r="T129" s="20" t="str">
        <f t="shared" si="24"/>
        <v>8-14 days</v>
      </c>
    </row>
    <row r="130" spans="1:20" x14ac:dyDescent="0.3">
      <c r="A130" s="20" t="s">
        <v>195</v>
      </c>
      <c r="B130" s="20" t="s">
        <v>103</v>
      </c>
      <c r="C130" s="21">
        <v>45415</v>
      </c>
      <c r="D130" s="21">
        <v>45423</v>
      </c>
      <c r="E130" s="21">
        <v>45441</v>
      </c>
      <c r="F130" s="20" t="s">
        <v>79</v>
      </c>
      <c r="G130" s="22">
        <v>52.13</v>
      </c>
      <c r="H130" s="22">
        <v>25.1</v>
      </c>
      <c r="I130" s="20" t="s">
        <v>60</v>
      </c>
      <c r="J130" s="20">
        <v>4</v>
      </c>
      <c r="K130" s="20" t="s">
        <v>46</v>
      </c>
      <c r="L130" s="23">
        <f t="shared" ref="L130:L193" si="25">DATE(YEAR(C130),MONTH(C130),1)</f>
        <v>45413</v>
      </c>
      <c r="M130" s="20">
        <f t="shared" ref="M130:M193" si="26">D130-C130</f>
        <v>8</v>
      </c>
      <c r="N130" s="20">
        <f t="shared" ref="N130:N193" si="27">MAX(0,D130-E130)</f>
        <v>0</v>
      </c>
      <c r="O130" s="20">
        <f t="shared" ref="O130:O193" si="28">IF(D130&lt;=E130,1,0)</f>
        <v>1</v>
      </c>
      <c r="P130" s="22">
        <f t="shared" ref="P130:P193" si="29">G130+H130</f>
        <v>77.23</v>
      </c>
      <c r="Q130" s="22">
        <f>G130*INDEX(Assumptions!$B$8:$B$16,MATCH(F130,Assumptions!$A$8:$A$16,0))</f>
        <v>36.491</v>
      </c>
      <c r="R130" s="22">
        <f>H130*Assumptions!$B$3</f>
        <v>15.06</v>
      </c>
      <c r="S130" s="22">
        <f t="shared" ref="S130:S193" si="30">G130-Q130-R130</f>
        <v>0.5790000000000024</v>
      </c>
      <c r="T130" s="20" t="str">
        <f t="shared" ref="T130:T193" si="31">IF(M130&lt;=7,"0-7 days",IF(M130&lt;=14,"8-14 days",IF(M130&lt;=21,"15-21 days","22+ days")))</f>
        <v>8-14 days</v>
      </c>
    </row>
    <row r="131" spans="1:20" x14ac:dyDescent="0.3">
      <c r="A131" s="20" t="s">
        <v>196</v>
      </c>
      <c r="B131" s="20" t="s">
        <v>19</v>
      </c>
      <c r="C131" s="21">
        <v>45415</v>
      </c>
      <c r="D131" s="21">
        <v>45425</v>
      </c>
      <c r="E131" s="21">
        <v>45430</v>
      </c>
      <c r="F131" s="20" t="s">
        <v>67</v>
      </c>
      <c r="G131" s="22">
        <v>104.54</v>
      </c>
      <c r="H131" s="22">
        <v>15.14</v>
      </c>
      <c r="I131" s="20" t="s">
        <v>45</v>
      </c>
      <c r="J131" s="20">
        <v>4</v>
      </c>
      <c r="K131" s="20" t="s">
        <v>46</v>
      </c>
      <c r="L131" s="23">
        <f t="shared" si="25"/>
        <v>45413</v>
      </c>
      <c r="M131" s="20">
        <f t="shared" si="26"/>
        <v>10</v>
      </c>
      <c r="N131" s="20">
        <f t="shared" si="27"/>
        <v>0</v>
      </c>
      <c r="O131" s="20">
        <f t="shared" si="28"/>
        <v>1</v>
      </c>
      <c r="P131" s="22">
        <f t="shared" si="29"/>
        <v>119.68</v>
      </c>
      <c r="Q131" s="22">
        <f>G131*INDEX(Assumptions!$B$8:$B$16,MATCH(F131,Assumptions!$A$8:$A$16,0))</f>
        <v>64.814800000000005</v>
      </c>
      <c r="R131" s="22">
        <f>H131*Assumptions!$B$3</f>
        <v>9.0839999999999996</v>
      </c>
      <c r="S131" s="22">
        <f t="shared" si="30"/>
        <v>30.641200000000001</v>
      </c>
      <c r="T131" s="20" t="str">
        <f t="shared" si="31"/>
        <v>8-14 days</v>
      </c>
    </row>
    <row r="132" spans="1:20" x14ac:dyDescent="0.3">
      <c r="A132" s="20" t="s">
        <v>197</v>
      </c>
      <c r="B132" s="20" t="s">
        <v>19</v>
      </c>
      <c r="C132" s="21">
        <v>45415</v>
      </c>
      <c r="D132" s="21">
        <v>45424</v>
      </c>
      <c r="E132" s="21">
        <v>45430</v>
      </c>
      <c r="F132" s="20" t="s">
        <v>44</v>
      </c>
      <c r="G132" s="22">
        <v>102.55</v>
      </c>
      <c r="H132" s="22">
        <v>17.28</v>
      </c>
      <c r="I132" s="20" t="s">
        <v>45</v>
      </c>
      <c r="J132" s="20">
        <v>5</v>
      </c>
      <c r="K132" s="20" t="s">
        <v>46</v>
      </c>
      <c r="L132" s="23">
        <f t="shared" si="25"/>
        <v>45413</v>
      </c>
      <c r="M132" s="20">
        <f t="shared" si="26"/>
        <v>9</v>
      </c>
      <c r="N132" s="20">
        <f t="shared" si="27"/>
        <v>0</v>
      </c>
      <c r="O132" s="20">
        <f t="shared" si="28"/>
        <v>1</v>
      </c>
      <c r="P132" s="22">
        <f t="shared" si="29"/>
        <v>119.83</v>
      </c>
      <c r="Q132" s="22">
        <f>G132*INDEX(Assumptions!$B$8:$B$16,MATCH(F132,Assumptions!$A$8:$A$16,0))</f>
        <v>61.529999999999994</v>
      </c>
      <c r="R132" s="22">
        <f>H132*Assumptions!$B$3</f>
        <v>10.368</v>
      </c>
      <c r="S132" s="22">
        <f t="shared" si="30"/>
        <v>30.652000000000001</v>
      </c>
      <c r="T132" s="20" t="str">
        <f t="shared" si="31"/>
        <v>8-14 days</v>
      </c>
    </row>
    <row r="133" spans="1:20" x14ac:dyDescent="0.3">
      <c r="A133" s="20" t="s">
        <v>198</v>
      </c>
      <c r="B133" s="20" t="s">
        <v>19</v>
      </c>
      <c r="C133" s="21">
        <v>45415</v>
      </c>
      <c r="D133" s="21">
        <v>45423</v>
      </c>
      <c r="E133" s="21">
        <v>45427</v>
      </c>
      <c r="F133" s="20" t="s">
        <v>67</v>
      </c>
      <c r="G133" s="22">
        <v>104.15</v>
      </c>
      <c r="H133" s="22">
        <v>22.68</v>
      </c>
      <c r="I133" s="20" t="s">
        <v>60</v>
      </c>
      <c r="J133" s="20">
        <v>5</v>
      </c>
      <c r="K133" s="20" t="s">
        <v>46</v>
      </c>
      <c r="L133" s="23">
        <f t="shared" si="25"/>
        <v>45413</v>
      </c>
      <c r="M133" s="20">
        <f t="shared" si="26"/>
        <v>8</v>
      </c>
      <c r="N133" s="20">
        <f t="shared" si="27"/>
        <v>0</v>
      </c>
      <c r="O133" s="20">
        <f t="shared" si="28"/>
        <v>1</v>
      </c>
      <c r="P133" s="22">
        <f t="shared" si="29"/>
        <v>126.83000000000001</v>
      </c>
      <c r="Q133" s="22">
        <f>G133*INDEX(Assumptions!$B$8:$B$16,MATCH(F133,Assumptions!$A$8:$A$16,0))</f>
        <v>64.573000000000008</v>
      </c>
      <c r="R133" s="22">
        <f>H133*Assumptions!$B$3</f>
        <v>13.607999999999999</v>
      </c>
      <c r="S133" s="22">
        <f t="shared" si="30"/>
        <v>25.969000000000001</v>
      </c>
      <c r="T133" s="20" t="str">
        <f t="shared" si="31"/>
        <v>8-14 days</v>
      </c>
    </row>
    <row r="134" spans="1:20" x14ac:dyDescent="0.3">
      <c r="A134" s="20" t="s">
        <v>199</v>
      </c>
      <c r="B134" s="20" t="s">
        <v>19</v>
      </c>
      <c r="C134" s="21">
        <v>45416</v>
      </c>
      <c r="D134" s="21">
        <v>45424</v>
      </c>
      <c r="E134" s="21">
        <v>45434</v>
      </c>
      <c r="F134" s="20" t="s">
        <v>111</v>
      </c>
      <c r="G134" s="22">
        <v>134.03</v>
      </c>
      <c r="H134" s="22">
        <v>14.27</v>
      </c>
      <c r="I134" s="20" t="s">
        <v>50</v>
      </c>
      <c r="J134" s="20">
        <v>5</v>
      </c>
      <c r="K134" s="20" t="s">
        <v>46</v>
      </c>
      <c r="L134" s="23">
        <f t="shared" si="25"/>
        <v>45413</v>
      </c>
      <c r="M134" s="20">
        <f t="shared" si="26"/>
        <v>8</v>
      </c>
      <c r="N134" s="20">
        <f t="shared" si="27"/>
        <v>0</v>
      </c>
      <c r="O134" s="20">
        <f t="shared" si="28"/>
        <v>1</v>
      </c>
      <c r="P134" s="22">
        <f t="shared" si="29"/>
        <v>148.30000000000001</v>
      </c>
      <c r="Q134" s="22">
        <f>G134*INDEX(Assumptions!$B$8:$B$16,MATCH(F134,Assumptions!$A$8:$A$16,0))</f>
        <v>84.438900000000004</v>
      </c>
      <c r="R134" s="22">
        <f>H134*Assumptions!$B$3</f>
        <v>8.5619999999999994</v>
      </c>
      <c r="S134" s="22">
        <f t="shared" si="30"/>
        <v>41.0291</v>
      </c>
      <c r="T134" s="20" t="str">
        <f t="shared" si="31"/>
        <v>8-14 days</v>
      </c>
    </row>
    <row r="135" spans="1:20" x14ac:dyDescent="0.3">
      <c r="A135" s="20" t="s">
        <v>200</v>
      </c>
      <c r="B135" s="20" t="s">
        <v>201</v>
      </c>
      <c r="C135" s="21">
        <v>45416</v>
      </c>
      <c r="D135" s="21">
        <v>45437</v>
      </c>
      <c r="E135" s="21">
        <v>45447</v>
      </c>
      <c r="F135" s="20" t="s">
        <v>49</v>
      </c>
      <c r="G135" s="22">
        <v>121.99</v>
      </c>
      <c r="H135" s="22">
        <v>37.229999999999997</v>
      </c>
      <c r="I135" s="20" t="s">
        <v>45</v>
      </c>
      <c r="J135" s="20">
        <v>4</v>
      </c>
      <c r="K135" s="20" t="s">
        <v>46</v>
      </c>
      <c r="L135" s="23">
        <f t="shared" si="25"/>
        <v>45413</v>
      </c>
      <c r="M135" s="20">
        <f t="shared" si="26"/>
        <v>21</v>
      </c>
      <c r="N135" s="20">
        <f t="shared" si="27"/>
        <v>0</v>
      </c>
      <c r="O135" s="20">
        <f t="shared" si="28"/>
        <v>1</v>
      </c>
      <c r="P135" s="22">
        <f t="shared" si="29"/>
        <v>159.22</v>
      </c>
      <c r="Q135" s="22">
        <f>G135*INDEX(Assumptions!$B$8:$B$16,MATCH(F135,Assumptions!$A$8:$A$16,0))</f>
        <v>70.754199999999997</v>
      </c>
      <c r="R135" s="22">
        <f>H135*Assumptions!$B$3</f>
        <v>22.337999999999997</v>
      </c>
      <c r="S135" s="22">
        <f t="shared" si="30"/>
        <v>28.8978</v>
      </c>
      <c r="T135" s="20" t="str">
        <f t="shared" si="31"/>
        <v>15-21 days</v>
      </c>
    </row>
    <row r="136" spans="1:20" x14ac:dyDescent="0.3">
      <c r="A136" s="20" t="s">
        <v>202</v>
      </c>
      <c r="B136" s="20" t="s">
        <v>55</v>
      </c>
      <c r="C136" s="21">
        <v>45419</v>
      </c>
      <c r="D136" s="21">
        <v>45441</v>
      </c>
      <c r="E136" s="21">
        <v>45440</v>
      </c>
      <c r="F136" s="20" t="s">
        <v>79</v>
      </c>
      <c r="G136" s="22">
        <v>161.54</v>
      </c>
      <c r="H136" s="22">
        <v>19.54</v>
      </c>
      <c r="I136" s="20" t="s">
        <v>60</v>
      </c>
      <c r="J136" s="20">
        <v>4</v>
      </c>
      <c r="K136" s="20" t="s">
        <v>46</v>
      </c>
      <c r="L136" s="23">
        <f t="shared" si="25"/>
        <v>45413</v>
      </c>
      <c r="M136" s="20">
        <f t="shared" si="26"/>
        <v>22</v>
      </c>
      <c r="N136" s="20">
        <f t="shared" si="27"/>
        <v>1</v>
      </c>
      <c r="O136" s="20">
        <f t="shared" si="28"/>
        <v>0</v>
      </c>
      <c r="P136" s="22">
        <f t="shared" si="29"/>
        <v>181.07999999999998</v>
      </c>
      <c r="Q136" s="22">
        <f>G136*INDEX(Assumptions!$B$8:$B$16,MATCH(F136,Assumptions!$A$8:$A$16,0))</f>
        <v>113.07799999999999</v>
      </c>
      <c r="R136" s="22">
        <f>H136*Assumptions!$B$3</f>
        <v>11.723999999999998</v>
      </c>
      <c r="S136" s="22">
        <f t="shared" si="30"/>
        <v>36.738000000000007</v>
      </c>
      <c r="T136" s="20" t="str">
        <f t="shared" si="31"/>
        <v>22+ days</v>
      </c>
    </row>
    <row r="137" spans="1:20" x14ac:dyDescent="0.3">
      <c r="A137" s="20" t="s">
        <v>203</v>
      </c>
      <c r="B137" s="20" t="s">
        <v>156</v>
      </c>
      <c r="C137" s="21">
        <v>45419</v>
      </c>
      <c r="D137" s="21">
        <v>45431</v>
      </c>
      <c r="E137" s="21">
        <v>45443</v>
      </c>
      <c r="F137" s="20" t="s">
        <v>67</v>
      </c>
      <c r="G137" s="22">
        <v>90.48</v>
      </c>
      <c r="H137" s="22">
        <v>26</v>
      </c>
      <c r="I137" s="20" t="s">
        <v>60</v>
      </c>
      <c r="J137" s="20">
        <v>5</v>
      </c>
      <c r="K137" s="20" t="s">
        <v>46</v>
      </c>
      <c r="L137" s="23">
        <f t="shared" si="25"/>
        <v>45413</v>
      </c>
      <c r="M137" s="20">
        <f t="shared" si="26"/>
        <v>12</v>
      </c>
      <c r="N137" s="20">
        <f t="shared" si="27"/>
        <v>0</v>
      </c>
      <c r="O137" s="20">
        <f t="shared" si="28"/>
        <v>1</v>
      </c>
      <c r="P137" s="22">
        <f t="shared" si="29"/>
        <v>116.48</v>
      </c>
      <c r="Q137" s="22">
        <f>G137*INDEX(Assumptions!$B$8:$B$16,MATCH(F137,Assumptions!$A$8:$A$16,0))</f>
        <v>56.0976</v>
      </c>
      <c r="R137" s="22">
        <f>H137*Assumptions!$B$3</f>
        <v>15.6</v>
      </c>
      <c r="S137" s="22">
        <f t="shared" si="30"/>
        <v>18.782400000000003</v>
      </c>
      <c r="T137" s="20" t="str">
        <f t="shared" si="31"/>
        <v>8-14 days</v>
      </c>
    </row>
    <row r="138" spans="1:20" x14ac:dyDescent="0.3">
      <c r="A138" s="20" t="s">
        <v>204</v>
      </c>
      <c r="B138" s="20" t="s">
        <v>19</v>
      </c>
      <c r="C138" s="21">
        <v>45420</v>
      </c>
      <c r="D138" s="21">
        <v>45432</v>
      </c>
      <c r="E138" s="21">
        <v>45439</v>
      </c>
      <c r="F138" s="20" t="s">
        <v>111</v>
      </c>
      <c r="G138" s="22">
        <v>278.94</v>
      </c>
      <c r="H138" s="22">
        <v>26.22</v>
      </c>
      <c r="I138" s="20" t="s">
        <v>45</v>
      </c>
      <c r="J138" s="20">
        <v>5</v>
      </c>
      <c r="K138" s="20" t="s">
        <v>46</v>
      </c>
      <c r="L138" s="23">
        <f t="shared" si="25"/>
        <v>45413</v>
      </c>
      <c r="M138" s="20">
        <f t="shared" si="26"/>
        <v>12</v>
      </c>
      <c r="N138" s="20">
        <f t="shared" si="27"/>
        <v>0</v>
      </c>
      <c r="O138" s="20">
        <f t="shared" si="28"/>
        <v>1</v>
      </c>
      <c r="P138" s="22">
        <f t="shared" si="29"/>
        <v>305.15999999999997</v>
      </c>
      <c r="Q138" s="22">
        <f>G138*INDEX(Assumptions!$B$8:$B$16,MATCH(F138,Assumptions!$A$8:$A$16,0))</f>
        <v>175.73220000000001</v>
      </c>
      <c r="R138" s="22">
        <f>H138*Assumptions!$B$3</f>
        <v>15.731999999999999</v>
      </c>
      <c r="S138" s="22">
        <f t="shared" si="30"/>
        <v>87.475799999999992</v>
      </c>
      <c r="T138" s="20" t="str">
        <f t="shared" si="31"/>
        <v>8-14 days</v>
      </c>
    </row>
    <row r="139" spans="1:20" x14ac:dyDescent="0.3">
      <c r="A139" s="20" t="s">
        <v>205</v>
      </c>
      <c r="B139" s="20" t="s">
        <v>55</v>
      </c>
      <c r="C139" s="21">
        <v>45420</v>
      </c>
      <c r="D139" s="21">
        <v>45438</v>
      </c>
      <c r="E139" s="21">
        <v>45446</v>
      </c>
      <c r="F139" s="20" t="s">
        <v>111</v>
      </c>
      <c r="G139" s="22">
        <v>88.21</v>
      </c>
      <c r="H139" s="22">
        <v>21.37</v>
      </c>
      <c r="I139" s="20" t="s">
        <v>45</v>
      </c>
      <c r="J139" s="20">
        <v>5</v>
      </c>
      <c r="K139" s="20" t="s">
        <v>46</v>
      </c>
      <c r="L139" s="23">
        <f t="shared" si="25"/>
        <v>45413</v>
      </c>
      <c r="M139" s="20">
        <f t="shared" si="26"/>
        <v>18</v>
      </c>
      <c r="N139" s="20">
        <f t="shared" si="27"/>
        <v>0</v>
      </c>
      <c r="O139" s="20">
        <f t="shared" si="28"/>
        <v>1</v>
      </c>
      <c r="P139" s="22">
        <f t="shared" si="29"/>
        <v>109.58</v>
      </c>
      <c r="Q139" s="22">
        <f>G139*INDEX(Assumptions!$B$8:$B$16,MATCH(F139,Assumptions!$A$8:$A$16,0))</f>
        <v>55.572299999999998</v>
      </c>
      <c r="R139" s="22">
        <f>H139*Assumptions!$B$3</f>
        <v>12.822000000000001</v>
      </c>
      <c r="S139" s="22">
        <f t="shared" si="30"/>
        <v>19.815699999999993</v>
      </c>
      <c r="T139" s="20" t="str">
        <f t="shared" si="31"/>
        <v>15-21 days</v>
      </c>
    </row>
    <row r="140" spans="1:20" x14ac:dyDescent="0.3">
      <c r="A140" s="20" t="s">
        <v>206</v>
      </c>
      <c r="B140" s="20" t="s">
        <v>19</v>
      </c>
      <c r="C140" s="21">
        <v>45421</v>
      </c>
      <c r="D140" s="21">
        <v>45428</v>
      </c>
      <c r="E140" s="21">
        <v>45439</v>
      </c>
      <c r="F140" s="20" t="s">
        <v>59</v>
      </c>
      <c r="G140" s="22">
        <v>148.27000000000001</v>
      </c>
      <c r="H140" s="22">
        <v>13.68</v>
      </c>
      <c r="I140" s="20" t="s">
        <v>45</v>
      </c>
      <c r="J140" s="20">
        <v>4</v>
      </c>
      <c r="K140" s="20" t="s">
        <v>46</v>
      </c>
      <c r="L140" s="23">
        <f t="shared" si="25"/>
        <v>45413</v>
      </c>
      <c r="M140" s="20">
        <f t="shared" si="26"/>
        <v>7</v>
      </c>
      <c r="N140" s="20">
        <f t="shared" si="27"/>
        <v>0</v>
      </c>
      <c r="O140" s="20">
        <f t="shared" si="28"/>
        <v>1</v>
      </c>
      <c r="P140" s="22">
        <f t="shared" si="29"/>
        <v>161.95000000000002</v>
      </c>
      <c r="Q140" s="22">
        <f>G140*INDEX(Assumptions!$B$8:$B$16,MATCH(F140,Assumptions!$A$8:$A$16,0))</f>
        <v>94.892800000000008</v>
      </c>
      <c r="R140" s="22">
        <f>H140*Assumptions!$B$3</f>
        <v>8.2080000000000002</v>
      </c>
      <c r="S140" s="22">
        <f t="shared" si="30"/>
        <v>45.169200000000004</v>
      </c>
      <c r="T140" s="20" t="str">
        <f t="shared" si="31"/>
        <v>0-7 days</v>
      </c>
    </row>
    <row r="141" spans="1:20" x14ac:dyDescent="0.3">
      <c r="A141" s="20" t="s">
        <v>207</v>
      </c>
      <c r="B141" s="20" t="s">
        <v>19</v>
      </c>
      <c r="C141" s="21">
        <v>45421</v>
      </c>
      <c r="D141" s="21">
        <v>45429</v>
      </c>
      <c r="E141" s="21">
        <v>45437</v>
      </c>
      <c r="F141" s="20" t="s">
        <v>111</v>
      </c>
      <c r="G141" s="22">
        <v>75.67</v>
      </c>
      <c r="H141" s="22">
        <v>16.440000000000001</v>
      </c>
      <c r="I141" s="20" t="s">
        <v>45</v>
      </c>
      <c r="J141" s="20">
        <v>5</v>
      </c>
      <c r="K141" s="20" t="s">
        <v>46</v>
      </c>
      <c r="L141" s="23">
        <f t="shared" si="25"/>
        <v>45413</v>
      </c>
      <c r="M141" s="20">
        <f t="shared" si="26"/>
        <v>8</v>
      </c>
      <c r="N141" s="20">
        <f t="shared" si="27"/>
        <v>0</v>
      </c>
      <c r="O141" s="20">
        <f t="shared" si="28"/>
        <v>1</v>
      </c>
      <c r="P141" s="22">
        <f t="shared" si="29"/>
        <v>92.11</v>
      </c>
      <c r="Q141" s="22">
        <f>G141*INDEX(Assumptions!$B$8:$B$16,MATCH(F141,Assumptions!$A$8:$A$16,0))</f>
        <v>47.6721</v>
      </c>
      <c r="R141" s="22">
        <f>H141*Assumptions!$B$3</f>
        <v>9.8640000000000008</v>
      </c>
      <c r="S141" s="22">
        <f t="shared" si="30"/>
        <v>18.133900000000001</v>
      </c>
      <c r="T141" s="20" t="str">
        <f t="shared" si="31"/>
        <v>8-14 days</v>
      </c>
    </row>
    <row r="142" spans="1:20" x14ac:dyDescent="0.3">
      <c r="A142" s="20" t="s">
        <v>208</v>
      </c>
      <c r="B142" s="20" t="s">
        <v>62</v>
      </c>
      <c r="C142" s="21">
        <v>45421</v>
      </c>
      <c r="D142" s="21">
        <v>45438</v>
      </c>
      <c r="E142" s="21">
        <v>45442</v>
      </c>
      <c r="F142" s="20" t="s">
        <v>111</v>
      </c>
      <c r="G142" s="22">
        <v>35.68</v>
      </c>
      <c r="H142" s="22">
        <v>27.79</v>
      </c>
      <c r="I142" s="20" t="s">
        <v>45</v>
      </c>
      <c r="J142" s="20">
        <v>3</v>
      </c>
      <c r="K142" s="20" t="s">
        <v>46</v>
      </c>
      <c r="L142" s="23">
        <f t="shared" si="25"/>
        <v>45413</v>
      </c>
      <c r="M142" s="20">
        <f t="shared" si="26"/>
        <v>17</v>
      </c>
      <c r="N142" s="20">
        <f t="shared" si="27"/>
        <v>0</v>
      </c>
      <c r="O142" s="20">
        <f t="shared" si="28"/>
        <v>1</v>
      </c>
      <c r="P142" s="22">
        <f t="shared" si="29"/>
        <v>63.47</v>
      </c>
      <c r="Q142" s="22">
        <f>G142*INDEX(Assumptions!$B$8:$B$16,MATCH(F142,Assumptions!$A$8:$A$16,0))</f>
        <v>22.478400000000001</v>
      </c>
      <c r="R142" s="22">
        <f>H142*Assumptions!$B$3</f>
        <v>16.673999999999999</v>
      </c>
      <c r="S142" s="22">
        <f t="shared" si="30"/>
        <v>-3.4724000000000004</v>
      </c>
      <c r="T142" s="20" t="str">
        <f t="shared" si="31"/>
        <v>15-21 days</v>
      </c>
    </row>
    <row r="143" spans="1:20" x14ac:dyDescent="0.3">
      <c r="A143" s="20" t="s">
        <v>209</v>
      </c>
      <c r="B143" s="20" t="s">
        <v>19</v>
      </c>
      <c r="C143" s="21">
        <v>45421</v>
      </c>
      <c r="D143" s="21">
        <v>45432</v>
      </c>
      <c r="E143" s="21">
        <v>45434</v>
      </c>
      <c r="F143" s="20" t="s">
        <v>111</v>
      </c>
      <c r="G143" s="22">
        <v>53.95</v>
      </c>
      <c r="H143" s="22">
        <v>18.809999999999999</v>
      </c>
      <c r="I143" s="20" t="s">
        <v>45</v>
      </c>
      <c r="J143" s="20">
        <v>4</v>
      </c>
      <c r="K143" s="20" t="s">
        <v>46</v>
      </c>
      <c r="L143" s="23">
        <f t="shared" si="25"/>
        <v>45413</v>
      </c>
      <c r="M143" s="20">
        <f t="shared" si="26"/>
        <v>11</v>
      </c>
      <c r="N143" s="20">
        <f t="shared" si="27"/>
        <v>0</v>
      </c>
      <c r="O143" s="20">
        <f t="shared" si="28"/>
        <v>1</v>
      </c>
      <c r="P143" s="22">
        <f t="shared" si="29"/>
        <v>72.760000000000005</v>
      </c>
      <c r="Q143" s="22">
        <f>G143*INDEX(Assumptions!$B$8:$B$16,MATCH(F143,Assumptions!$A$8:$A$16,0))</f>
        <v>33.988500000000002</v>
      </c>
      <c r="R143" s="22">
        <f>H143*Assumptions!$B$3</f>
        <v>11.286</v>
      </c>
      <c r="S143" s="22">
        <f t="shared" si="30"/>
        <v>8.6755000000000013</v>
      </c>
      <c r="T143" s="20" t="str">
        <f t="shared" si="31"/>
        <v>8-14 days</v>
      </c>
    </row>
    <row r="144" spans="1:20" x14ac:dyDescent="0.3">
      <c r="A144" s="20" t="s">
        <v>210</v>
      </c>
      <c r="B144" s="20" t="s">
        <v>19</v>
      </c>
      <c r="C144" s="21">
        <v>45424</v>
      </c>
      <c r="D144" s="21">
        <v>45428</v>
      </c>
      <c r="E144" s="21">
        <v>45439</v>
      </c>
      <c r="F144" s="20" t="s">
        <v>67</v>
      </c>
      <c r="G144" s="22">
        <v>163.84</v>
      </c>
      <c r="H144" s="22">
        <v>17.36</v>
      </c>
      <c r="I144" s="20" t="s">
        <v>45</v>
      </c>
      <c r="J144" s="20">
        <v>5</v>
      </c>
      <c r="K144" s="20" t="s">
        <v>46</v>
      </c>
      <c r="L144" s="23">
        <f t="shared" si="25"/>
        <v>45413</v>
      </c>
      <c r="M144" s="20">
        <f t="shared" si="26"/>
        <v>4</v>
      </c>
      <c r="N144" s="20">
        <f t="shared" si="27"/>
        <v>0</v>
      </c>
      <c r="O144" s="20">
        <f t="shared" si="28"/>
        <v>1</v>
      </c>
      <c r="P144" s="22">
        <f t="shared" si="29"/>
        <v>181.2</v>
      </c>
      <c r="Q144" s="22">
        <f>G144*INDEX(Assumptions!$B$8:$B$16,MATCH(F144,Assumptions!$A$8:$A$16,0))</f>
        <v>101.5808</v>
      </c>
      <c r="R144" s="22">
        <f>H144*Assumptions!$B$3</f>
        <v>10.415999999999999</v>
      </c>
      <c r="S144" s="22">
        <f t="shared" si="30"/>
        <v>51.84320000000001</v>
      </c>
      <c r="T144" s="20" t="str">
        <f t="shared" si="31"/>
        <v>0-7 days</v>
      </c>
    </row>
    <row r="145" spans="1:20" x14ac:dyDescent="0.3">
      <c r="A145" s="20" t="s">
        <v>211</v>
      </c>
      <c r="B145" s="20" t="s">
        <v>48</v>
      </c>
      <c r="C145" s="21">
        <v>45424</v>
      </c>
      <c r="D145" s="21">
        <v>45441</v>
      </c>
      <c r="E145" s="21">
        <v>45447</v>
      </c>
      <c r="F145" s="20" t="s">
        <v>79</v>
      </c>
      <c r="G145" s="22">
        <v>125.92</v>
      </c>
      <c r="H145" s="22">
        <v>26.64</v>
      </c>
      <c r="I145" s="20" t="s">
        <v>50</v>
      </c>
      <c r="J145" s="20">
        <v>4</v>
      </c>
      <c r="K145" s="20" t="s">
        <v>46</v>
      </c>
      <c r="L145" s="23">
        <f t="shared" si="25"/>
        <v>45413</v>
      </c>
      <c r="M145" s="20">
        <f t="shared" si="26"/>
        <v>17</v>
      </c>
      <c r="N145" s="20">
        <f t="shared" si="27"/>
        <v>0</v>
      </c>
      <c r="O145" s="20">
        <f t="shared" si="28"/>
        <v>1</v>
      </c>
      <c r="P145" s="22">
        <f t="shared" si="29"/>
        <v>152.56</v>
      </c>
      <c r="Q145" s="22">
        <f>G145*INDEX(Assumptions!$B$8:$B$16,MATCH(F145,Assumptions!$A$8:$A$16,0))</f>
        <v>88.143999999999991</v>
      </c>
      <c r="R145" s="22">
        <f>H145*Assumptions!$B$3</f>
        <v>15.984</v>
      </c>
      <c r="S145" s="22">
        <f t="shared" si="30"/>
        <v>21.792000000000009</v>
      </c>
      <c r="T145" s="20" t="str">
        <f t="shared" si="31"/>
        <v>15-21 days</v>
      </c>
    </row>
    <row r="146" spans="1:20" x14ac:dyDescent="0.3">
      <c r="A146" s="20" t="s">
        <v>212</v>
      </c>
      <c r="B146" s="20" t="s">
        <v>19</v>
      </c>
      <c r="C146" s="21">
        <v>45424</v>
      </c>
      <c r="D146" s="21">
        <v>45432</v>
      </c>
      <c r="E146" s="21">
        <v>45440</v>
      </c>
      <c r="F146" s="20" t="s">
        <v>79</v>
      </c>
      <c r="G146" s="22">
        <v>169.77</v>
      </c>
      <c r="H146" s="22">
        <v>19.22</v>
      </c>
      <c r="I146" s="20" t="s">
        <v>45</v>
      </c>
      <c r="J146" s="20">
        <v>4</v>
      </c>
      <c r="K146" s="20" t="s">
        <v>46</v>
      </c>
      <c r="L146" s="23">
        <f t="shared" si="25"/>
        <v>45413</v>
      </c>
      <c r="M146" s="20">
        <f t="shared" si="26"/>
        <v>8</v>
      </c>
      <c r="N146" s="20">
        <f t="shared" si="27"/>
        <v>0</v>
      </c>
      <c r="O146" s="20">
        <f t="shared" si="28"/>
        <v>1</v>
      </c>
      <c r="P146" s="22">
        <f t="shared" si="29"/>
        <v>188.99</v>
      </c>
      <c r="Q146" s="22">
        <f>G146*INDEX(Assumptions!$B$8:$B$16,MATCH(F146,Assumptions!$A$8:$A$16,0))</f>
        <v>118.839</v>
      </c>
      <c r="R146" s="22">
        <f>H146*Assumptions!$B$3</f>
        <v>11.531999999999998</v>
      </c>
      <c r="S146" s="22">
        <f t="shared" si="30"/>
        <v>39.399000000000015</v>
      </c>
      <c r="T146" s="20" t="str">
        <f t="shared" si="31"/>
        <v>8-14 days</v>
      </c>
    </row>
    <row r="147" spans="1:20" x14ac:dyDescent="0.3">
      <c r="A147" s="20" t="s">
        <v>213</v>
      </c>
      <c r="B147" s="20" t="s">
        <v>19</v>
      </c>
      <c r="C147" s="21">
        <v>45425</v>
      </c>
      <c r="D147" s="21">
        <v>45442</v>
      </c>
      <c r="E147" s="21">
        <v>45439</v>
      </c>
      <c r="F147" s="20" t="s">
        <v>79</v>
      </c>
      <c r="G147" s="22">
        <v>139.37</v>
      </c>
      <c r="H147" s="22">
        <v>15.18</v>
      </c>
      <c r="I147" s="20" t="s">
        <v>45</v>
      </c>
      <c r="J147" s="20">
        <v>4</v>
      </c>
      <c r="K147" s="20" t="s">
        <v>46</v>
      </c>
      <c r="L147" s="23">
        <f t="shared" si="25"/>
        <v>45413</v>
      </c>
      <c r="M147" s="20">
        <f t="shared" si="26"/>
        <v>17</v>
      </c>
      <c r="N147" s="20">
        <f t="shared" si="27"/>
        <v>3</v>
      </c>
      <c r="O147" s="20">
        <f t="shared" si="28"/>
        <v>0</v>
      </c>
      <c r="P147" s="22">
        <f t="shared" si="29"/>
        <v>154.55000000000001</v>
      </c>
      <c r="Q147" s="22">
        <f>G147*INDEX(Assumptions!$B$8:$B$16,MATCH(F147,Assumptions!$A$8:$A$16,0))</f>
        <v>97.558999999999997</v>
      </c>
      <c r="R147" s="22">
        <f>H147*Assumptions!$B$3</f>
        <v>9.1079999999999988</v>
      </c>
      <c r="S147" s="22">
        <f t="shared" si="30"/>
        <v>32.70300000000001</v>
      </c>
      <c r="T147" s="20" t="str">
        <f t="shared" si="31"/>
        <v>15-21 days</v>
      </c>
    </row>
    <row r="148" spans="1:20" x14ac:dyDescent="0.3">
      <c r="A148" s="20" t="s">
        <v>214</v>
      </c>
      <c r="B148" s="20" t="s">
        <v>19</v>
      </c>
      <c r="C148" s="21">
        <v>45427</v>
      </c>
      <c r="D148" s="21">
        <v>45435</v>
      </c>
      <c r="E148" s="21">
        <v>45443</v>
      </c>
      <c r="F148" s="20" t="s">
        <v>44</v>
      </c>
      <c r="G148" s="22">
        <v>194.56</v>
      </c>
      <c r="H148" s="22">
        <v>19.72</v>
      </c>
      <c r="I148" s="20" t="s">
        <v>60</v>
      </c>
      <c r="J148" s="20">
        <v>4</v>
      </c>
      <c r="K148" s="20" t="s">
        <v>46</v>
      </c>
      <c r="L148" s="23">
        <f t="shared" si="25"/>
        <v>45413</v>
      </c>
      <c r="M148" s="20">
        <f t="shared" si="26"/>
        <v>8</v>
      </c>
      <c r="N148" s="20">
        <f t="shared" si="27"/>
        <v>0</v>
      </c>
      <c r="O148" s="20">
        <f t="shared" si="28"/>
        <v>1</v>
      </c>
      <c r="P148" s="22">
        <f t="shared" si="29"/>
        <v>214.28</v>
      </c>
      <c r="Q148" s="22">
        <f>G148*INDEX(Assumptions!$B$8:$B$16,MATCH(F148,Assumptions!$A$8:$A$16,0))</f>
        <v>116.73599999999999</v>
      </c>
      <c r="R148" s="22">
        <f>H148*Assumptions!$B$3</f>
        <v>11.831999999999999</v>
      </c>
      <c r="S148" s="22">
        <f t="shared" si="30"/>
        <v>65.992000000000019</v>
      </c>
      <c r="T148" s="20" t="str">
        <f t="shared" si="31"/>
        <v>8-14 days</v>
      </c>
    </row>
    <row r="149" spans="1:20" x14ac:dyDescent="0.3">
      <c r="A149" s="20" t="s">
        <v>215</v>
      </c>
      <c r="B149" s="20" t="s">
        <v>19</v>
      </c>
      <c r="C149" s="21">
        <v>45428</v>
      </c>
      <c r="D149" s="21">
        <v>45443</v>
      </c>
      <c r="E149" s="21">
        <v>45442</v>
      </c>
      <c r="F149" s="20" t="s">
        <v>64</v>
      </c>
      <c r="G149" s="22">
        <v>95.7</v>
      </c>
      <c r="H149" s="22">
        <v>14.84</v>
      </c>
      <c r="I149" s="20" t="s">
        <v>45</v>
      </c>
      <c r="J149" s="20">
        <v>1</v>
      </c>
      <c r="K149" s="20" t="s">
        <v>46</v>
      </c>
      <c r="L149" s="23">
        <f t="shared" si="25"/>
        <v>45413</v>
      </c>
      <c r="M149" s="20">
        <f t="shared" si="26"/>
        <v>15</v>
      </c>
      <c r="N149" s="20">
        <f t="shared" si="27"/>
        <v>1</v>
      </c>
      <c r="O149" s="20">
        <f t="shared" si="28"/>
        <v>0</v>
      </c>
      <c r="P149" s="22">
        <f t="shared" si="29"/>
        <v>110.54</v>
      </c>
      <c r="Q149" s="22">
        <f>G149*INDEX(Assumptions!$B$8:$B$16,MATCH(F149,Assumptions!$A$8:$A$16,0))</f>
        <v>63.162000000000006</v>
      </c>
      <c r="R149" s="22">
        <f>H149*Assumptions!$B$3</f>
        <v>8.9039999999999999</v>
      </c>
      <c r="S149" s="22">
        <f t="shared" si="30"/>
        <v>23.633999999999997</v>
      </c>
      <c r="T149" s="20" t="str">
        <f t="shared" si="31"/>
        <v>15-21 days</v>
      </c>
    </row>
    <row r="150" spans="1:20" x14ac:dyDescent="0.3">
      <c r="A150" s="20" t="s">
        <v>216</v>
      </c>
      <c r="B150" s="20" t="s">
        <v>62</v>
      </c>
      <c r="C150" s="21">
        <v>45428</v>
      </c>
      <c r="D150" s="21">
        <v>45438</v>
      </c>
      <c r="E150" s="21">
        <v>45449</v>
      </c>
      <c r="F150" s="20" t="s">
        <v>53</v>
      </c>
      <c r="G150" s="22">
        <v>102.04</v>
      </c>
      <c r="H150" s="22">
        <v>22.44</v>
      </c>
      <c r="I150" s="20" t="s">
        <v>45</v>
      </c>
      <c r="J150" s="20">
        <v>4</v>
      </c>
      <c r="K150" s="20" t="s">
        <v>46</v>
      </c>
      <c r="L150" s="23">
        <f t="shared" si="25"/>
        <v>45413</v>
      </c>
      <c r="M150" s="20">
        <f t="shared" si="26"/>
        <v>10</v>
      </c>
      <c r="N150" s="20">
        <f t="shared" si="27"/>
        <v>0</v>
      </c>
      <c r="O150" s="20">
        <f t="shared" si="28"/>
        <v>1</v>
      </c>
      <c r="P150" s="22">
        <f t="shared" si="29"/>
        <v>124.48</v>
      </c>
      <c r="Q150" s="22">
        <f>G150*INDEX(Assumptions!$B$8:$B$16,MATCH(F150,Assumptions!$A$8:$A$16,0))</f>
        <v>75.509600000000006</v>
      </c>
      <c r="R150" s="22">
        <f>H150*Assumptions!$B$3</f>
        <v>13.464</v>
      </c>
      <c r="S150" s="22">
        <f t="shared" si="30"/>
        <v>13.0664</v>
      </c>
      <c r="T150" s="20" t="str">
        <f t="shared" si="31"/>
        <v>8-14 days</v>
      </c>
    </row>
    <row r="151" spans="1:20" x14ac:dyDescent="0.3">
      <c r="A151" s="20" t="s">
        <v>217</v>
      </c>
      <c r="B151" s="20" t="s">
        <v>19</v>
      </c>
      <c r="C151" s="21">
        <v>45429</v>
      </c>
      <c r="D151" s="21">
        <v>45436</v>
      </c>
      <c r="E151" s="21">
        <v>45445</v>
      </c>
      <c r="F151" s="20" t="s">
        <v>59</v>
      </c>
      <c r="G151" s="22">
        <v>119.23</v>
      </c>
      <c r="H151" s="22">
        <v>20.49</v>
      </c>
      <c r="I151" s="20" t="s">
        <v>60</v>
      </c>
      <c r="J151" s="20">
        <v>4</v>
      </c>
      <c r="K151" s="20" t="s">
        <v>46</v>
      </c>
      <c r="L151" s="23">
        <f t="shared" si="25"/>
        <v>45413</v>
      </c>
      <c r="M151" s="20">
        <f t="shared" si="26"/>
        <v>7</v>
      </c>
      <c r="N151" s="20">
        <f t="shared" si="27"/>
        <v>0</v>
      </c>
      <c r="O151" s="20">
        <f t="shared" si="28"/>
        <v>1</v>
      </c>
      <c r="P151" s="22">
        <f t="shared" si="29"/>
        <v>139.72</v>
      </c>
      <c r="Q151" s="22">
        <f>G151*INDEX(Assumptions!$B$8:$B$16,MATCH(F151,Assumptions!$A$8:$A$16,0))</f>
        <v>76.307200000000009</v>
      </c>
      <c r="R151" s="22">
        <f>H151*Assumptions!$B$3</f>
        <v>12.293999999999999</v>
      </c>
      <c r="S151" s="22">
        <f t="shared" si="30"/>
        <v>30.628799999999998</v>
      </c>
      <c r="T151" s="20" t="str">
        <f t="shared" si="31"/>
        <v>0-7 days</v>
      </c>
    </row>
    <row r="152" spans="1:20" x14ac:dyDescent="0.3">
      <c r="A152" s="20" t="s">
        <v>218</v>
      </c>
      <c r="B152" s="20" t="s">
        <v>93</v>
      </c>
      <c r="C152" s="21">
        <v>45429</v>
      </c>
      <c r="D152" s="21">
        <v>45440</v>
      </c>
      <c r="E152" s="21">
        <v>45456</v>
      </c>
      <c r="F152" s="20" t="s">
        <v>57</v>
      </c>
      <c r="G152" s="22">
        <v>159.18</v>
      </c>
      <c r="H152" s="22">
        <v>38.76</v>
      </c>
      <c r="I152" s="20" t="s">
        <v>45</v>
      </c>
      <c r="J152" s="20">
        <v>5</v>
      </c>
      <c r="K152" s="20" t="s">
        <v>46</v>
      </c>
      <c r="L152" s="23">
        <f t="shared" si="25"/>
        <v>45413</v>
      </c>
      <c r="M152" s="20">
        <f t="shared" si="26"/>
        <v>11</v>
      </c>
      <c r="N152" s="20">
        <f t="shared" si="27"/>
        <v>0</v>
      </c>
      <c r="O152" s="20">
        <f t="shared" si="28"/>
        <v>1</v>
      </c>
      <c r="P152" s="22">
        <f t="shared" si="29"/>
        <v>197.94</v>
      </c>
      <c r="Q152" s="22">
        <f>G152*INDEX(Assumptions!$B$8:$B$16,MATCH(F152,Assumptions!$A$8:$A$16,0))</f>
        <v>108.24240000000002</v>
      </c>
      <c r="R152" s="22">
        <f>H152*Assumptions!$B$3</f>
        <v>23.255999999999997</v>
      </c>
      <c r="S152" s="22">
        <f t="shared" si="30"/>
        <v>27.681599999999992</v>
      </c>
      <c r="T152" s="20" t="str">
        <f t="shared" si="31"/>
        <v>8-14 days</v>
      </c>
    </row>
    <row r="153" spans="1:20" x14ac:dyDescent="0.3">
      <c r="A153" s="20" t="s">
        <v>219</v>
      </c>
      <c r="B153" s="20" t="s">
        <v>55</v>
      </c>
      <c r="C153" s="21">
        <v>45429</v>
      </c>
      <c r="D153" s="21">
        <v>45445</v>
      </c>
      <c r="E153" s="21">
        <v>45453</v>
      </c>
      <c r="F153" s="20" t="s">
        <v>49</v>
      </c>
      <c r="G153" s="22">
        <v>47.52</v>
      </c>
      <c r="H153" s="22">
        <v>18.670000000000002</v>
      </c>
      <c r="I153" s="20" t="s">
        <v>45</v>
      </c>
      <c r="J153" s="20">
        <v>5</v>
      </c>
      <c r="K153" s="20" t="s">
        <v>46</v>
      </c>
      <c r="L153" s="23">
        <f t="shared" si="25"/>
        <v>45413</v>
      </c>
      <c r="M153" s="20">
        <f t="shared" si="26"/>
        <v>16</v>
      </c>
      <c r="N153" s="20">
        <f t="shared" si="27"/>
        <v>0</v>
      </c>
      <c r="O153" s="20">
        <f t="shared" si="28"/>
        <v>1</v>
      </c>
      <c r="P153" s="22">
        <f t="shared" si="29"/>
        <v>66.19</v>
      </c>
      <c r="Q153" s="22">
        <f>G153*INDEX(Assumptions!$B$8:$B$16,MATCH(F153,Assumptions!$A$8:$A$16,0))</f>
        <v>27.561599999999999</v>
      </c>
      <c r="R153" s="22">
        <f>H153*Assumptions!$B$3</f>
        <v>11.202</v>
      </c>
      <c r="S153" s="22">
        <f t="shared" si="30"/>
        <v>8.7564000000000046</v>
      </c>
      <c r="T153" s="20" t="str">
        <f t="shared" si="31"/>
        <v>15-21 days</v>
      </c>
    </row>
    <row r="154" spans="1:20" x14ac:dyDescent="0.3">
      <c r="A154" s="20" t="s">
        <v>220</v>
      </c>
      <c r="B154" s="20" t="s">
        <v>19</v>
      </c>
      <c r="C154" s="21">
        <v>45429</v>
      </c>
      <c r="D154" s="21">
        <v>45435</v>
      </c>
      <c r="E154" s="21">
        <v>45443</v>
      </c>
      <c r="F154" s="20" t="s">
        <v>67</v>
      </c>
      <c r="G154" s="22">
        <v>67.989999999999995</v>
      </c>
      <c r="H154" s="22">
        <v>19.11</v>
      </c>
      <c r="I154" s="20" t="s">
        <v>104</v>
      </c>
      <c r="J154" s="20">
        <v>4</v>
      </c>
      <c r="K154" s="20" t="s">
        <v>46</v>
      </c>
      <c r="L154" s="23">
        <f t="shared" si="25"/>
        <v>45413</v>
      </c>
      <c r="M154" s="20">
        <f t="shared" si="26"/>
        <v>6</v>
      </c>
      <c r="N154" s="20">
        <f t="shared" si="27"/>
        <v>0</v>
      </c>
      <c r="O154" s="20">
        <f t="shared" si="28"/>
        <v>1</v>
      </c>
      <c r="P154" s="22">
        <f t="shared" si="29"/>
        <v>87.1</v>
      </c>
      <c r="Q154" s="22">
        <f>G154*INDEX(Assumptions!$B$8:$B$16,MATCH(F154,Assumptions!$A$8:$A$16,0))</f>
        <v>42.153799999999997</v>
      </c>
      <c r="R154" s="22">
        <f>H154*Assumptions!$B$3</f>
        <v>11.465999999999999</v>
      </c>
      <c r="S154" s="22">
        <f t="shared" si="30"/>
        <v>14.370199999999999</v>
      </c>
      <c r="T154" s="20" t="str">
        <f t="shared" si="31"/>
        <v>0-7 days</v>
      </c>
    </row>
    <row r="155" spans="1:20" x14ac:dyDescent="0.3">
      <c r="A155" s="20" t="s">
        <v>221</v>
      </c>
      <c r="B155" s="20" t="s">
        <v>93</v>
      </c>
      <c r="C155" s="21">
        <v>45429</v>
      </c>
      <c r="D155" s="21">
        <v>45450</v>
      </c>
      <c r="E155" s="21">
        <v>45459</v>
      </c>
      <c r="F155" s="20" t="s">
        <v>59</v>
      </c>
      <c r="G155" s="22">
        <v>112.06</v>
      </c>
      <c r="H155" s="22">
        <v>42.26</v>
      </c>
      <c r="I155" s="20" t="s">
        <v>45</v>
      </c>
      <c r="J155" s="20">
        <v>3</v>
      </c>
      <c r="K155" s="20" t="s">
        <v>46</v>
      </c>
      <c r="L155" s="23">
        <f t="shared" si="25"/>
        <v>45413</v>
      </c>
      <c r="M155" s="20">
        <f t="shared" si="26"/>
        <v>21</v>
      </c>
      <c r="N155" s="20">
        <f t="shared" si="27"/>
        <v>0</v>
      </c>
      <c r="O155" s="20">
        <f t="shared" si="28"/>
        <v>1</v>
      </c>
      <c r="P155" s="22">
        <f t="shared" si="29"/>
        <v>154.32</v>
      </c>
      <c r="Q155" s="22">
        <f>G155*INDEX(Assumptions!$B$8:$B$16,MATCH(F155,Assumptions!$A$8:$A$16,0))</f>
        <v>71.718400000000003</v>
      </c>
      <c r="R155" s="22">
        <f>H155*Assumptions!$B$3</f>
        <v>25.355999999999998</v>
      </c>
      <c r="S155" s="22">
        <f t="shared" si="30"/>
        <v>14.985600000000002</v>
      </c>
      <c r="T155" s="20" t="str">
        <f t="shared" si="31"/>
        <v>15-21 days</v>
      </c>
    </row>
    <row r="156" spans="1:20" x14ac:dyDescent="0.3">
      <c r="A156" s="20" t="s">
        <v>222</v>
      </c>
      <c r="B156" s="20" t="s">
        <v>19</v>
      </c>
      <c r="C156" s="21">
        <v>45430</v>
      </c>
      <c r="D156" s="21">
        <v>45440</v>
      </c>
      <c r="E156" s="21">
        <v>45444</v>
      </c>
      <c r="F156" s="20" t="s">
        <v>67</v>
      </c>
      <c r="G156" s="22">
        <v>36.340000000000003</v>
      </c>
      <c r="H156" s="22">
        <v>13.21</v>
      </c>
      <c r="I156" s="20" t="s">
        <v>60</v>
      </c>
      <c r="J156" s="20">
        <v>5</v>
      </c>
      <c r="K156" s="20" t="s">
        <v>46</v>
      </c>
      <c r="L156" s="23">
        <f t="shared" si="25"/>
        <v>45413</v>
      </c>
      <c r="M156" s="20">
        <f t="shared" si="26"/>
        <v>10</v>
      </c>
      <c r="N156" s="20">
        <f t="shared" si="27"/>
        <v>0</v>
      </c>
      <c r="O156" s="20">
        <f t="shared" si="28"/>
        <v>1</v>
      </c>
      <c r="P156" s="22">
        <f t="shared" si="29"/>
        <v>49.550000000000004</v>
      </c>
      <c r="Q156" s="22">
        <f>G156*INDEX(Assumptions!$B$8:$B$16,MATCH(F156,Assumptions!$A$8:$A$16,0))</f>
        <v>22.530800000000003</v>
      </c>
      <c r="R156" s="22">
        <f>H156*Assumptions!$B$3</f>
        <v>7.9260000000000002</v>
      </c>
      <c r="S156" s="22">
        <f t="shared" si="30"/>
        <v>5.8832000000000004</v>
      </c>
      <c r="T156" s="20" t="str">
        <f t="shared" si="31"/>
        <v>8-14 days</v>
      </c>
    </row>
    <row r="157" spans="1:20" x14ac:dyDescent="0.3">
      <c r="A157" s="20" t="s">
        <v>223</v>
      </c>
      <c r="B157" s="20" t="s">
        <v>62</v>
      </c>
      <c r="C157" s="21">
        <v>45430</v>
      </c>
      <c r="D157" s="21">
        <v>45442</v>
      </c>
      <c r="E157" s="21">
        <v>45452</v>
      </c>
      <c r="F157" s="20" t="s">
        <v>79</v>
      </c>
      <c r="G157" s="22">
        <v>153.59</v>
      </c>
      <c r="H157" s="22">
        <v>20.329999999999998</v>
      </c>
      <c r="I157" s="20" t="s">
        <v>45</v>
      </c>
      <c r="J157" s="20">
        <v>5</v>
      </c>
      <c r="K157" s="20" t="s">
        <v>46</v>
      </c>
      <c r="L157" s="23">
        <f t="shared" si="25"/>
        <v>45413</v>
      </c>
      <c r="M157" s="20">
        <f t="shared" si="26"/>
        <v>12</v>
      </c>
      <c r="N157" s="20">
        <f t="shared" si="27"/>
        <v>0</v>
      </c>
      <c r="O157" s="20">
        <f t="shared" si="28"/>
        <v>1</v>
      </c>
      <c r="P157" s="22">
        <f t="shared" si="29"/>
        <v>173.92000000000002</v>
      </c>
      <c r="Q157" s="22">
        <f>G157*INDEX(Assumptions!$B$8:$B$16,MATCH(F157,Assumptions!$A$8:$A$16,0))</f>
        <v>107.51299999999999</v>
      </c>
      <c r="R157" s="22">
        <f>H157*Assumptions!$B$3</f>
        <v>12.197999999999999</v>
      </c>
      <c r="S157" s="22">
        <f t="shared" si="30"/>
        <v>33.879000000000012</v>
      </c>
      <c r="T157" s="20" t="str">
        <f t="shared" si="31"/>
        <v>8-14 days</v>
      </c>
    </row>
    <row r="158" spans="1:20" x14ac:dyDescent="0.3">
      <c r="A158" s="20" t="s">
        <v>224</v>
      </c>
      <c r="B158" s="20" t="s">
        <v>174</v>
      </c>
      <c r="C158" s="21">
        <v>45431</v>
      </c>
      <c r="D158" s="21">
        <v>45507</v>
      </c>
      <c r="E158" s="21">
        <v>45463</v>
      </c>
      <c r="F158" s="20" t="s">
        <v>49</v>
      </c>
      <c r="G158" s="22">
        <v>66.84</v>
      </c>
      <c r="H158" s="22">
        <v>33.4</v>
      </c>
      <c r="I158" s="20" t="s">
        <v>45</v>
      </c>
      <c r="J158" s="20">
        <v>1</v>
      </c>
      <c r="K158" s="20" t="s">
        <v>46</v>
      </c>
      <c r="L158" s="23">
        <f t="shared" si="25"/>
        <v>45413</v>
      </c>
      <c r="M158" s="20">
        <f t="shared" si="26"/>
        <v>76</v>
      </c>
      <c r="N158" s="20">
        <f t="shared" si="27"/>
        <v>44</v>
      </c>
      <c r="O158" s="20">
        <f t="shared" si="28"/>
        <v>0</v>
      </c>
      <c r="P158" s="22">
        <f t="shared" si="29"/>
        <v>100.24000000000001</v>
      </c>
      <c r="Q158" s="22">
        <f>G158*INDEX(Assumptions!$B$8:$B$16,MATCH(F158,Assumptions!$A$8:$A$16,0))</f>
        <v>38.767200000000003</v>
      </c>
      <c r="R158" s="22">
        <f>H158*Assumptions!$B$3</f>
        <v>20.04</v>
      </c>
      <c r="S158" s="22">
        <f t="shared" si="30"/>
        <v>8.0328000000000017</v>
      </c>
      <c r="T158" s="20" t="str">
        <f t="shared" si="31"/>
        <v>22+ days</v>
      </c>
    </row>
    <row r="159" spans="1:20" x14ac:dyDescent="0.3">
      <c r="A159" s="20" t="s">
        <v>225</v>
      </c>
      <c r="B159" s="20" t="s">
        <v>19</v>
      </c>
      <c r="C159" s="21">
        <v>45435</v>
      </c>
      <c r="D159" s="21">
        <v>45447</v>
      </c>
      <c r="E159" s="21">
        <v>45445</v>
      </c>
      <c r="F159" s="20" t="s">
        <v>59</v>
      </c>
      <c r="G159" s="22">
        <v>96.43</v>
      </c>
      <c r="H159" s="22">
        <v>20.25</v>
      </c>
      <c r="I159" s="20" t="s">
        <v>45</v>
      </c>
      <c r="J159" s="20">
        <v>3</v>
      </c>
      <c r="K159" s="20" t="s">
        <v>46</v>
      </c>
      <c r="L159" s="23">
        <f t="shared" si="25"/>
        <v>45413</v>
      </c>
      <c r="M159" s="20">
        <f t="shared" si="26"/>
        <v>12</v>
      </c>
      <c r="N159" s="20">
        <f t="shared" si="27"/>
        <v>2</v>
      </c>
      <c r="O159" s="20">
        <f t="shared" si="28"/>
        <v>0</v>
      </c>
      <c r="P159" s="22">
        <f t="shared" si="29"/>
        <v>116.68</v>
      </c>
      <c r="Q159" s="22">
        <f>G159*INDEX(Assumptions!$B$8:$B$16,MATCH(F159,Assumptions!$A$8:$A$16,0))</f>
        <v>61.715200000000003</v>
      </c>
      <c r="R159" s="22">
        <f>H159*Assumptions!$B$3</f>
        <v>12.15</v>
      </c>
      <c r="S159" s="22">
        <f t="shared" si="30"/>
        <v>22.564800000000005</v>
      </c>
      <c r="T159" s="20" t="str">
        <f t="shared" si="31"/>
        <v>8-14 days</v>
      </c>
    </row>
    <row r="160" spans="1:20" x14ac:dyDescent="0.3">
      <c r="A160" s="20" t="s">
        <v>226</v>
      </c>
      <c r="B160" s="20" t="s">
        <v>48</v>
      </c>
      <c r="C160" s="21">
        <v>45435</v>
      </c>
      <c r="D160" s="21">
        <v>45449</v>
      </c>
      <c r="E160" s="21">
        <v>45455</v>
      </c>
      <c r="F160" s="20" t="s">
        <v>53</v>
      </c>
      <c r="G160" s="22">
        <v>139.58000000000001</v>
      </c>
      <c r="H160" s="22">
        <v>25.1</v>
      </c>
      <c r="I160" s="20" t="s">
        <v>45</v>
      </c>
      <c r="J160" s="20">
        <v>3</v>
      </c>
      <c r="K160" s="20" t="s">
        <v>46</v>
      </c>
      <c r="L160" s="23">
        <f t="shared" si="25"/>
        <v>45413</v>
      </c>
      <c r="M160" s="20">
        <f t="shared" si="26"/>
        <v>14</v>
      </c>
      <c r="N160" s="20">
        <f t="shared" si="27"/>
        <v>0</v>
      </c>
      <c r="O160" s="20">
        <f t="shared" si="28"/>
        <v>1</v>
      </c>
      <c r="P160" s="22">
        <f t="shared" si="29"/>
        <v>164.68</v>
      </c>
      <c r="Q160" s="22">
        <f>G160*INDEX(Assumptions!$B$8:$B$16,MATCH(F160,Assumptions!$A$8:$A$16,0))</f>
        <v>103.28920000000001</v>
      </c>
      <c r="R160" s="22">
        <f>H160*Assumptions!$B$3</f>
        <v>15.06</v>
      </c>
      <c r="S160" s="22">
        <f t="shared" si="30"/>
        <v>21.230800000000002</v>
      </c>
      <c r="T160" s="20" t="str">
        <f t="shared" si="31"/>
        <v>8-14 days</v>
      </c>
    </row>
    <row r="161" spans="1:20" x14ac:dyDescent="0.3">
      <c r="A161" s="20" t="s">
        <v>227</v>
      </c>
      <c r="B161" s="20" t="s">
        <v>52</v>
      </c>
      <c r="C161" s="21">
        <v>45435</v>
      </c>
      <c r="D161" s="21">
        <v>45450</v>
      </c>
      <c r="E161" s="21">
        <v>45457</v>
      </c>
      <c r="F161" s="20" t="s">
        <v>59</v>
      </c>
      <c r="G161" s="22">
        <v>88.29</v>
      </c>
      <c r="H161" s="22">
        <v>31.27</v>
      </c>
      <c r="I161" s="20" t="s">
        <v>45</v>
      </c>
      <c r="J161" s="20">
        <v>5</v>
      </c>
      <c r="K161" s="20" t="s">
        <v>46</v>
      </c>
      <c r="L161" s="23">
        <f t="shared" si="25"/>
        <v>45413</v>
      </c>
      <c r="M161" s="20">
        <f t="shared" si="26"/>
        <v>15</v>
      </c>
      <c r="N161" s="20">
        <f t="shared" si="27"/>
        <v>0</v>
      </c>
      <c r="O161" s="20">
        <f t="shared" si="28"/>
        <v>1</v>
      </c>
      <c r="P161" s="22">
        <f t="shared" si="29"/>
        <v>119.56</v>
      </c>
      <c r="Q161" s="22">
        <f>G161*INDEX(Assumptions!$B$8:$B$16,MATCH(F161,Assumptions!$A$8:$A$16,0))</f>
        <v>56.505600000000008</v>
      </c>
      <c r="R161" s="22">
        <f>H161*Assumptions!$B$3</f>
        <v>18.762</v>
      </c>
      <c r="S161" s="22">
        <f t="shared" si="30"/>
        <v>13.022399999999998</v>
      </c>
      <c r="T161" s="20" t="str">
        <f t="shared" si="31"/>
        <v>15-21 days</v>
      </c>
    </row>
    <row r="162" spans="1:20" x14ac:dyDescent="0.3">
      <c r="A162" s="20" t="s">
        <v>228</v>
      </c>
      <c r="B162" s="20" t="s">
        <v>19</v>
      </c>
      <c r="C162" s="21">
        <v>45435</v>
      </c>
      <c r="D162" s="21">
        <v>45444</v>
      </c>
      <c r="E162" s="21">
        <v>45451</v>
      </c>
      <c r="F162" s="20" t="s">
        <v>49</v>
      </c>
      <c r="G162" s="22">
        <v>55.37</v>
      </c>
      <c r="H162" s="22">
        <v>18.54</v>
      </c>
      <c r="I162" s="20" t="s">
        <v>60</v>
      </c>
      <c r="J162" s="20">
        <v>4</v>
      </c>
      <c r="K162" s="20" t="s">
        <v>46</v>
      </c>
      <c r="L162" s="23">
        <f t="shared" si="25"/>
        <v>45413</v>
      </c>
      <c r="M162" s="20">
        <f t="shared" si="26"/>
        <v>9</v>
      </c>
      <c r="N162" s="20">
        <f t="shared" si="27"/>
        <v>0</v>
      </c>
      <c r="O162" s="20">
        <f t="shared" si="28"/>
        <v>1</v>
      </c>
      <c r="P162" s="22">
        <f t="shared" si="29"/>
        <v>73.91</v>
      </c>
      <c r="Q162" s="22">
        <f>G162*INDEX(Assumptions!$B$8:$B$16,MATCH(F162,Assumptions!$A$8:$A$16,0))</f>
        <v>32.114599999999996</v>
      </c>
      <c r="R162" s="22">
        <f>H162*Assumptions!$B$3</f>
        <v>11.123999999999999</v>
      </c>
      <c r="S162" s="22">
        <f t="shared" si="30"/>
        <v>12.131400000000003</v>
      </c>
      <c r="T162" s="20" t="str">
        <f t="shared" si="31"/>
        <v>8-14 days</v>
      </c>
    </row>
    <row r="163" spans="1:20" x14ac:dyDescent="0.3">
      <c r="A163" s="20" t="s">
        <v>229</v>
      </c>
      <c r="B163" s="20" t="s">
        <v>62</v>
      </c>
      <c r="C163" s="21">
        <v>45436</v>
      </c>
      <c r="D163" s="21">
        <v>45449</v>
      </c>
      <c r="E163" s="21">
        <v>45457</v>
      </c>
      <c r="F163" s="20" t="s">
        <v>59</v>
      </c>
      <c r="G163" s="22">
        <v>67.38</v>
      </c>
      <c r="H163" s="22">
        <v>25.45</v>
      </c>
      <c r="I163" s="20" t="s">
        <v>45</v>
      </c>
      <c r="J163" s="20">
        <v>4</v>
      </c>
      <c r="K163" s="20" t="s">
        <v>46</v>
      </c>
      <c r="L163" s="23">
        <f t="shared" si="25"/>
        <v>45413</v>
      </c>
      <c r="M163" s="20">
        <f t="shared" si="26"/>
        <v>13</v>
      </c>
      <c r="N163" s="20">
        <f t="shared" si="27"/>
        <v>0</v>
      </c>
      <c r="O163" s="20">
        <f t="shared" si="28"/>
        <v>1</v>
      </c>
      <c r="P163" s="22">
        <f t="shared" si="29"/>
        <v>92.83</v>
      </c>
      <c r="Q163" s="22">
        <f>G163*INDEX(Assumptions!$B$8:$B$16,MATCH(F163,Assumptions!$A$8:$A$16,0))</f>
        <v>43.123199999999997</v>
      </c>
      <c r="R163" s="22">
        <f>H163*Assumptions!$B$3</f>
        <v>15.27</v>
      </c>
      <c r="S163" s="22">
        <f t="shared" si="30"/>
        <v>8.9867999999999988</v>
      </c>
      <c r="T163" s="20" t="str">
        <f t="shared" si="31"/>
        <v>8-14 days</v>
      </c>
    </row>
    <row r="164" spans="1:20" x14ac:dyDescent="0.3">
      <c r="A164" s="20" t="s">
        <v>230</v>
      </c>
      <c r="B164" s="20" t="s">
        <v>55</v>
      </c>
      <c r="C164" s="21">
        <v>45436</v>
      </c>
      <c r="D164" s="21">
        <v>45463</v>
      </c>
      <c r="E164" s="21">
        <v>45462</v>
      </c>
      <c r="F164" s="20" t="s">
        <v>59</v>
      </c>
      <c r="G164" s="22">
        <v>99.57</v>
      </c>
      <c r="H164" s="22">
        <v>21.44</v>
      </c>
      <c r="I164" s="20" t="s">
        <v>45</v>
      </c>
      <c r="J164" s="20">
        <v>3</v>
      </c>
      <c r="K164" s="20" t="s">
        <v>46</v>
      </c>
      <c r="L164" s="23">
        <f t="shared" si="25"/>
        <v>45413</v>
      </c>
      <c r="M164" s="20">
        <f t="shared" si="26"/>
        <v>27</v>
      </c>
      <c r="N164" s="20">
        <f t="shared" si="27"/>
        <v>1</v>
      </c>
      <c r="O164" s="20">
        <f t="shared" si="28"/>
        <v>0</v>
      </c>
      <c r="P164" s="22">
        <f t="shared" si="29"/>
        <v>121.00999999999999</v>
      </c>
      <c r="Q164" s="22">
        <f>G164*INDEX(Assumptions!$B$8:$B$16,MATCH(F164,Assumptions!$A$8:$A$16,0))</f>
        <v>63.724799999999995</v>
      </c>
      <c r="R164" s="22">
        <f>H164*Assumptions!$B$3</f>
        <v>12.864000000000001</v>
      </c>
      <c r="S164" s="22">
        <f t="shared" si="30"/>
        <v>22.981199999999998</v>
      </c>
      <c r="T164" s="20" t="str">
        <f t="shared" si="31"/>
        <v>22+ days</v>
      </c>
    </row>
    <row r="165" spans="1:20" x14ac:dyDescent="0.3">
      <c r="A165" s="20" t="s">
        <v>231</v>
      </c>
      <c r="B165" s="20" t="s">
        <v>19</v>
      </c>
      <c r="C165" s="21">
        <v>45436</v>
      </c>
      <c r="D165" s="21">
        <v>45448</v>
      </c>
      <c r="E165" s="21">
        <v>45451</v>
      </c>
      <c r="F165" s="20" t="s">
        <v>79</v>
      </c>
      <c r="G165" s="22">
        <v>69.25</v>
      </c>
      <c r="H165" s="22">
        <v>20.67</v>
      </c>
      <c r="I165" s="20" t="s">
        <v>45</v>
      </c>
      <c r="J165" s="20">
        <v>5</v>
      </c>
      <c r="K165" s="20" t="s">
        <v>46</v>
      </c>
      <c r="L165" s="23">
        <f t="shared" si="25"/>
        <v>45413</v>
      </c>
      <c r="M165" s="20">
        <f t="shared" si="26"/>
        <v>12</v>
      </c>
      <c r="N165" s="20">
        <f t="shared" si="27"/>
        <v>0</v>
      </c>
      <c r="O165" s="20">
        <f t="shared" si="28"/>
        <v>1</v>
      </c>
      <c r="P165" s="22">
        <f t="shared" si="29"/>
        <v>89.92</v>
      </c>
      <c r="Q165" s="22">
        <f>G165*INDEX(Assumptions!$B$8:$B$16,MATCH(F165,Assumptions!$A$8:$A$16,0))</f>
        <v>48.474999999999994</v>
      </c>
      <c r="R165" s="22">
        <f>H165*Assumptions!$B$3</f>
        <v>12.402000000000001</v>
      </c>
      <c r="S165" s="22">
        <f t="shared" si="30"/>
        <v>8.3730000000000047</v>
      </c>
      <c r="T165" s="20" t="str">
        <f t="shared" si="31"/>
        <v>8-14 days</v>
      </c>
    </row>
    <row r="166" spans="1:20" x14ac:dyDescent="0.3">
      <c r="A166" s="20" t="s">
        <v>232</v>
      </c>
      <c r="B166" s="20" t="s">
        <v>19</v>
      </c>
      <c r="C166" s="21">
        <v>45436</v>
      </c>
      <c r="D166" s="21">
        <v>45446</v>
      </c>
      <c r="E166" s="21">
        <v>45451</v>
      </c>
      <c r="F166" s="20" t="s">
        <v>59</v>
      </c>
      <c r="G166" s="22">
        <v>221.35</v>
      </c>
      <c r="H166" s="22">
        <v>24.76</v>
      </c>
      <c r="I166" s="20" t="s">
        <v>60</v>
      </c>
      <c r="J166" s="20">
        <v>4</v>
      </c>
      <c r="K166" s="20" t="s">
        <v>46</v>
      </c>
      <c r="L166" s="23">
        <f t="shared" si="25"/>
        <v>45413</v>
      </c>
      <c r="M166" s="20">
        <f t="shared" si="26"/>
        <v>10</v>
      </c>
      <c r="N166" s="20">
        <f t="shared" si="27"/>
        <v>0</v>
      </c>
      <c r="O166" s="20">
        <f t="shared" si="28"/>
        <v>1</v>
      </c>
      <c r="P166" s="22">
        <f t="shared" si="29"/>
        <v>246.10999999999999</v>
      </c>
      <c r="Q166" s="22">
        <f>G166*INDEX(Assumptions!$B$8:$B$16,MATCH(F166,Assumptions!$A$8:$A$16,0))</f>
        <v>141.66399999999999</v>
      </c>
      <c r="R166" s="22">
        <f>H166*Assumptions!$B$3</f>
        <v>14.856</v>
      </c>
      <c r="S166" s="22">
        <f t="shared" si="30"/>
        <v>64.830000000000013</v>
      </c>
      <c r="T166" s="20" t="str">
        <f t="shared" si="31"/>
        <v>8-14 days</v>
      </c>
    </row>
    <row r="167" spans="1:20" x14ac:dyDescent="0.3">
      <c r="A167" s="20" t="s">
        <v>233</v>
      </c>
      <c r="B167" s="20" t="s">
        <v>93</v>
      </c>
      <c r="C167" s="21">
        <v>45437</v>
      </c>
      <c r="D167" s="21">
        <v>45482</v>
      </c>
      <c r="E167" s="21">
        <v>45469</v>
      </c>
      <c r="F167" s="20" t="s">
        <v>53</v>
      </c>
      <c r="G167" s="22">
        <v>115.88</v>
      </c>
      <c r="H167" s="22">
        <v>29.27</v>
      </c>
      <c r="I167" s="20" t="s">
        <v>45</v>
      </c>
      <c r="J167" s="20">
        <v>1</v>
      </c>
      <c r="K167" s="20" t="s">
        <v>46</v>
      </c>
      <c r="L167" s="23">
        <f t="shared" si="25"/>
        <v>45413</v>
      </c>
      <c r="M167" s="20">
        <f t="shared" si="26"/>
        <v>45</v>
      </c>
      <c r="N167" s="20">
        <f t="shared" si="27"/>
        <v>13</v>
      </c>
      <c r="O167" s="20">
        <f t="shared" si="28"/>
        <v>0</v>
      </c>
      <c r="P167" s="22">
        <f t="shared" si="29"/>
        <v>145.15</v>
      </c>
      <c r="Q167" s="22">
        <f>G167*INDEX(Assumptions!$B$8:$B$16,MATCH(F167,Assumptions!$A$8:$A$16,0))</f>
        <v>85.751199999999997</v>
      </c>
      <c r="R167" s="22">
        <f>H167*Assumptions!$B$3</f>
        <v>17.561999999999998</v>
      </c>
      <c r="S167" s="22">
        <f t="shared" si="30"/>
        <v>12.566800000000001</v>
      </c>
      <c r="T167" s="20" t="str">
        <f t="shared" si="31"/>
        <v>22+ days</v>
      </c>
    </row>
    <row r="168" spans="1:20" x14ac:dyDescent="0.3">
      <c r="A168" s="20" t="s">
        <v>234</v>
      </c>
      <c r="B168" s="20" t="s">
        <v>55</v>
      </c>
      <c r="C168" s="21">
        <v>45438</v>
      </c>
      <c r="D168" s="21">
        <v>45465</v>
      </c>
      <c r="E168" s="21">
        <v>45463</v>
      </c>
      <c r="F168" s="20" t="s">
        <v>49</v>
      </c>
      <c r="G168" s="22">
        <v>50.23</v>
      </c>
      <c r="H168" s="22">
        <v>27.86</v>
      </c>
      <c r="I168" s="20" t="s">
        <v>45</v>
      </c>
      <c r="J168" s="20">
        <v>3</v>
      </c>
      <c r="K168" s="20" t="s">
        <v>46</v>
      </c>
      <c r="L168" s="23">
        <f t="shared" si="25"/>
        <v>45413</v>
      </c>
      <c r="M168" s="20">
        <f t="shared" si="26"/>
        <v>27</v>
      </c>
      <c r="N168" s="20">
        <f t="shared" si="27"/>
        <v>2</v>
      </c>
      <c r="O168" s="20">
        <f t="shared" si="28"/>
        <v>0</v>
      </c>
      <c r="P168" s="22">
        <f t="shared" si="29"/>
        <v>78.09</v>
      </c>
      <c r="Q168" s="22">
        <f>G168*INDEX(Assumptions!$B$8:$B$16,MATCH(F168,Assumptions!$A$8:$A$16,0))</f>
        <v>29.133399999999995</v>
      </c>
      <c r="R168" s="22">
        <f>H168*Assumptions!$B$3</f>
        <v>16.715999999999998</v>
      </c>
      <c r="S168" s="22">
        <f t="shared" si="30"/>
        <v>4.3806000000000047</v>
      </c>
      <c r="T168" s="20" t="str">
        <f t="shared" si="31"/>
        <v>22+ days</v>
      </c>
    </row>
    <row r="169" spans="1:20" x14ac:dyDescent="0.3">
      <c r="A169" s="20" t="s">
        <v>235</v>
      </c>
      <c r="B169" s="20" t="s">
        <v>93</v>
      </c>
      <c r="C169" s="21">
        <v>45439</v>
      </c>
      <c r="D169" s="21">
        <v>45456</v>
      </c>
      <c r="E169" s="21">
        <v>45467</v>
      </c>
      <c r="F169" s="20" t="s">
        <v>111</v>
      </c>
      <c r="G169" s="22">
        <v>98.7</v>
      </c>
      <c r="H169" s="22">
        <v>30.84</v>
      </c>
      <c r="I169" s="20" t="s">
        <v>45</v>
      </c>
      <c r="J169" s="20">
        <v>5</v>
      </c>
      <c r="K169" s="20" t="s">
        <v>46</v>
      </c>
      <c r="L169" s="23">
        <f t="shared" si="25"/>
        <v>45413</v>
      </c>
      <c r="M169" s="20">
        <f t="shared" si="26"/>
        <v>17</v>
      </c>
      <c r="N169" s="20">
        <f t="shared" si="27"/>
        <v>0</v>
      </c>
      <c r="O169" s="20">
        <f t="shared" si="28"/>
        <v>1</v>
      </c>
      <c r="P169" s="22">
        <f t="shared" si="29"/>
        <v>129.54</v>
      </c>
      <c r="Q169" s="22">
        <f>G169*INDEX(Assumptions!$B$8:$B$16,MATCH(F169,Assumptions!$A$8:$A$16,0))</f>
        <v>62.181000000000004</v>
      </c>
      <c r="R169" s="22">
        <f>H169*Assumptions!$B$3</f>
        <v>18.503999999999998</v>
      </c>
      <c r="S169" s="22">
        <f t="shared" si="30"/>
        <v>18.015000000000001</v>
      </c>
      <c r="T169" s="20" t="str">
        <f t="shared" si="31"/>
        <v>15-21 days</v>
      </c>
    </row>
    <row r="170" spans="1:20" x14ac:dyDescent="0.3">
      <c r="A170" s="20" t="s">
        <v>236</v>
      </c>
      <c r="B170" s="20" t="s">
        <v>19</v>
      </c>
      <c r="C170" s="21">
        <v>45439</v>
      </c>
      <c r="D170" s="21">
        <v>45444</v>
      </c>
      <c r="E170" s="21">
        <v>45455</v>
      </c>
      <c r="F170" s="20" t="s">
        <v>49</v>
      </c>
      <c r="G170" s="22">
        <v>157.49</v>
      </c>
      <c r="H170" s="22">
        <v>16.63</v>
      </c>
      <c r="I170" s="20" t="s">
        <v>45</v>
      </c>
      <c r="J170" s="20">
        <v>4</v>
      </c>
      <c r="K170" s="20" t="s">
        <v>46</v>
      </c>
      <c r="L170" s="23">
        <f t="shared" si="25"/>
        <v>45413</v>
      </c>
      <c r="M170" s="20">
        <f t="shared" si="26"/>
        <v>5</v>
      </c>
      <c r="N170" s="20">
        <f t="shared" si="27"/>
        <v>0</v>
      </c>
      <c r="O170" s="20">
        <f t="shared" si="28"/>
        <v>1</v>
      </c>
      <c r="P170" s="22">
        <f t="shared" si="29"/>
        <v>174.12</v>
      </c>
      <c r="Q170" s="22">
        <f>G170*INDEX(Assumptions!$B$8:$B$16,MATCH(F170,Assumptions!$A$8:$A$16,0))</f>
        <v>91.344200000000001</v>
      </c>
      <c r="R170" s="22">
        <f>H170*Assumptions!$B$3</f>
        <v>9.9779999999999998</v>
      </c>
      <c r="S170" s="22">
        <f t="shared" si="30"/>
        <v>56.167800000000007</v>
      </c>
      <c r="T170" s="20" t="str">
        <f t="shared" si="31"/>
        <v>0-7 days</v>
      </c>
    </row>
    <row r="171" spans="1:20" x14ac:dyDescent="0.3">
      <c r="A171" s="20" t="s">
        <v>237</v>
      </c>
      <c r="B171" s="20" t="s">
        <v>19</v>
      </c>
      <c r="C171" s="21">
        <v>45440</v>
      </c>
      <c r="D171" s="21">
        <v>45443</v>
      </c>
      <c r="E171" s="21">
        <v>45455</v>
      </c>
      <c r="F171" s="20" t="s">
        <v>53</v>
      </c>
      <c r="G171" s="22">
        <v>133.68</v>
      </c>
      <c r="H171" s="22">
        <v>23.65</v>
      </c>
      <c r="I171" s="20" t="s">
        <v>45</v>
      </c>
      <c r="J171" s="20">
        <v>3</v>
      </c>
      <c r="K171" s="20" t="s">
        <v>46</v>
      </c>
      <c r="L171" s="23">
        <f t="shared" si="25"/>
        <v>45413</v>
      </c>
      <c r="M171" s="20">
        <f t="shared" si="26"/>
        <v>3</v>
      </c>
      <c r="N171" s="20">
        <f t="shared" si="27"/>
        <v>0</v>
      </c>
      <c r="O171" s="20">
        <f t="shared" si="28"/>
        <v>1</v>
      </c>
      <c r="P171" s="22">
        <f t="shared" si="29"/>
        <v>157.33000000000001</v>
      </c>
      <c r="Q171" s="22">
        <f>G171*INDEX(Assumptions!$B$8:$B$16,MATCH(F171,Assumptions!$A$8:$A$16,0))</f>
        <v>98.923200000000008</v>
      </c>
      <c r="R171" s="22">
        <f>H171*Assumptions!$B$3</f>
        <v>14.19</v>
      </c>
      <c r="S171" s="22">
        <f t="shared" si="30"/>
        <v>20.566800000000001</v>
      </c>
      <c r="T171" s="20" t="str">
        <f t="shared" si="31"/>
        <v>0-7 days</v>
      </c>
    </row>
    <row r="172" spans="1:20" x14ac:dyDescent="0.3">
      <c r="A172" s="20" t="s">
        <v>238</v>
      </c>
      <c r="B172" s="20" t="s">
        <v>48</v>
      </c>
      <c r="C172" s="21">
        <v>45442</v>
      </c>
      <c r="D172" s="21">
        <v>45449</v>
      </c>
      <c r="E172" s="21">
        <v>45461</v>
      </c>
      <c r="F172" s="20" t="s">
        <v>79</v>
      </c>
      <c r="G172" s="22">
        <v>84.93</v>
      </c>
      <c r="H172" s="22">
        <v>17.68</v>
      </c>
      <c r="I172" s="20" t="s">
        <v>45</v>
      </c>
      <c r="J172" s="20">
        <v>4</v>
      </c>
      <c r="K172" s="20" t="s">
        <v>46</v>
      </c>
      <c r="L172" s="23">
        <f t="shared" si="25"/>
        <v>45413</v>
      </c>
      <c r="M172" s="20">
        <f t="shared" si="26"/>
        <v>7</v>
      </c>
      <c r="N172" s="20">
        <f t="shared" si="27"/>
        <v>0</v>
      </c>
      <c r="O172" s="20">
        <f t="shared" si="28"/>
        <v>1</v>
      </c>
      <c r="P172" s="22">
        <f t="shared" si="29"/>
        <v>102.61000000000001</v>
      </c>
      <c r="Q172" s="22">
        <f>G172*INDEX(Assumptions!$B$8:$B$16,MATCH(F172,Assumptions!$A$8:$A$16,0))</f>
        <v>59.451000000000001</v>
      </c>
      <c r="R172" s="22">
        <f>H172*Assumptions!$B$3</f>
        <v>10.607999999999999</v>
      </c>
      <c r="S172" s="22">
        <f t="shared" si="30"/>
        <v>14.871000000000008</v>
      </c>
      <c r="T172" s="20" t="str">
        <f t="shared" si="31"/>
        <v>0-7 days</v>
      </c>
    </row>
    <row r="173" spans="1:20" x14ac:dyDescent="0.3">
      <c r="A173" s="20" t="s">
        <v>239</v>
      </c>
      <c r="B173" s="20" t="s">
        <v>19</v>
      </c>
      <c r="C173" s="21">
        <v>45443</v>
      </c>
      <c r="D173" s="21">
        <v>45449</v>
      </c>
      <c r="E173" s="21">
        <v>45457</v>
      </c>
      <c r="F173" s="20" t="s">
        <v>59</v>
      </c>
      <c r="G173" s="22">
        <v>76.849999999999994</v>
      </c>
      <c r="H173" s="22">
        <v>13.96</v>
      </c>
      <c r="I173" s="20" t="s">
        <v>45</v>
      </c>
      <c r="J173" s="20">
        <v>3</v>
      </c>
      <c r="K173" s="20" t="s">
        <v>46</v>
      </c>
      <c r="L173" s="23">
        <f t="shared" si="25"/>
        <v>45413</v>
      </c>
      <c r="M173" s="20">
        <f t="shared" si="26"/>
        <v>6</v>
      </c>
      <c r="N173" s="20">
        <f t="shared" si="27"/>
        <v>0</v>
      </c>
      <c r="O173" s="20">
        <f t="shared" si="28"/>
        <v>1</v>
      </c>
      <c r="P173" s="22">
        <f t="shared" si="29"/>
        <v>90.81</v>
      </c>
      <c r="Q173" s="22">
        <f>G173*INDEX(Assumptions!$B$8:$B$16,MATCH(F173,Assumptions!$A$8:$A$16,0))</f>
        <v>49.183999999999997</v>
      </c>
      <c r="R173" s="22">
        <f>H173*Assumptions!$B$3</f>
        <v>8.3759999999999994</v>
      </c>
      <c r="S173" s="22">
        <f t="shared" si="30"/>
        <v>19.29</v>
      </c>
      <c r="T173" s="20" t="str">
        <f t="shared" si="31"/>
        <v>0-7 days</v>
      </c>
    </row>
    <row r="174" spans="1:20" x14ac:dyDescent="0.3">
      <c r="A174" s="20" t="s">
        <v>240</v>
      </c>
      <c r="B174" s="20" t="s">
        <v>19</v>
      </c>
      <c r="C174" s="21">
        <v>45443</v>
      </c>
      <c r="D174" s="21">
        <v>45452</v>
      </c>
      <c r="E174" s="21">
        <v>45456</v>
      </c>
      <c r="F174" s="20" t="s">
        <v>59</v>
      </c>
      <c r="G174" s="22">
        <v>94.99</v>
      </c>
      <c r="H174" s="22">
        <v>18.600000000000001</v>
      </c>
      <c r="I174" s="20" t="s">
        <v>45</v>
      </c>
      <c r="J174" s="20">
        <v>5</v>
      </c>
      <c r="K174" s="20" t="s">
        <v>46</v>
      </c>
      <c r="L174" s="23">
        <f t="shared" si="25"/>
        <v>45413</v>
      </c>
      <c r="M174" s="20">
        <f t="shared" si="26"/>
        <v>9</v>
      </c>
      <c r="N174" s="20">
        <f t="shared" si="27"/>
        <v>0</v>
      </c>
      <c r="O174" s="20">
        <f t="shared" si="28"/>
        <v>1</v>
      </c>
      <c r="P174" s="22">
        <f t="shared" si="29"/>
        <v>113.59</v>
      </c>
      <c r="Q174" s="22">
        <f>G174*INDEX(Assumptions!$B$8:$B$16,MATCH(F174,Assumptions!$A$8:$A$16,0))</f>
        <v>60.793599999999998</v>
      </c>
      <c r="R174" s="22">
        <f>H174*Assumptions!$B$3</f>
        <v>11.16</v>
      </c>
      <c r="S174" s="22">
        <f t="shared" si="30"/>
        <v>23.036399999999997</v>
      </c>
      <c r="T174" s="20" t="str">
        <f t="shared" si="31"/>
        <v>8-14 days</v>
      </c>
    </row>
    <row r="175" spans="1:20" x14ac:dyDescent="0.3">
      <c r="A175" s="20" t="s">
        <v>241</v>
      </c>
      <c r="B175" s="20" t="s">
        <v>62</v>
      </c>
      <c r="C175" s="21">
        <v>45443</v>
      </c>
      <c r="D175" s="21">
        <v>45457</v>
      </c>
      <c r="E175" s="21">
        <v>45464</v>
      </c>
      <c r="F175" s="20" t="s">
        <v>44</v>
      </c>
      <c r="G175" s="22">
        <v>36.729999999999997</v>
      </c>
      <c r="H175" s="22">
        <v>21.86</v>
      </c>
      <c r="I175" s="20" t="s">
        <v>45</v>
      </c>
      <c r="J175" s="20">
        <v>5</v>
      </c>
      <c r="K175" s="20" t="s">
        <v>46</v>
      </c>
      <c r="L175" s="23">
        <f t="shared" si="25"/>
        <v>45413</v>
      </c>
      <c r="M175" s="20">
        <f t="shared" si="26"/>
        <v>14</v>
      </c>
      <c r="N175" s="20">
        <f t="shared" si="27"/>
        <v>0</v>
      </c>
      <c r="O175" s="20">
        <f t="shared" si="28"/>
        <v>1</v>
      </c>
      <c r="P175" s="22">
        <f t="shared" si="29"/>
        <v>58.589999999999996</v>
      </c>
      <c r="Q175" s="22">
        <f>G175*INDEX(Assumptions!$B$8:$B$16,MATCH(F175,Assumptions!$A$8:$A$16,0))</f>
        <v>22.037999999999997</v>
      </c>
      <c r="R175" s="22">
        <f>H175*Assumptions!$B$3</f>
        <v>13.116</v>
      </c>
      <c r="S175" s="22">
        <f t="shared" si="30"/>
        <v>1.5760000000000005</v>
      </c>
      <c r="T175" s="20" t="str">
        <f t="shared" si="31"/>
        <v>8-14 days</v>
      </c>
    </row>
    <row r="176" spans="1:20" x14ac:dyDescent="0.3">
      <c r="A176" s="20" t="s">
        <v>242</v>
      </c>
      <c r="B176" s="20" t="s">
        <v>19</v>
      </c>
      <c r="C176" s="21">
        <v>45444</v>
      </c>
      <c r="D176" s="21">
        <v>45450</v>
      </c>
      <c r="E176" s="21">
        <v>45462</v>
      </c>
      <c r="F176" s="20" t="s">
        <v>64</v>
      </c>
      <c r="G176" s="22">
        <v>252.51</v>
      </c>
      <c r="H176" s="22">
        <v>18.97</v>
      </c>
      <c r="I176" s="20" t="s">
        <v>50</v>
      </c>
      <c r="J176" s="20">
        <v>4</v>
      </c>
      <c r="K176" s="20" t="s">
        <v>46</v>
      </c>
      <c r="L176" s="23">
        <f t="shared" si="25"/>
        <v>45444</v>
      </c>
      <c r="M176" s="20">
        <f t="shared" si="26"/>
        <v>6</v>
      </c>
      <c r="N176" s="20">
        <f t="shared" si="27"/>
        <v>0</v>
      </c>
      <c r="O176" s="20">
        <f t="shared" si="28"/>
        <v>1</v>
      </c>
      <c r="P176" s="22">
        <f t="shared" si="29"/>
        <v>271.48</v>
      </c>
      <c r="Q176" s="22">
        <f>G176*INDEX(Assumptions!$B$8:$B$16,MATCH(F176,Assumptions!$A$8:$A$16,0))</f>
        <v>166.6566</v>
      </c>
      <c r="R176" s="22">
        <f>H176*Assumptions!$B$3</f>
        <v>11.382</v>
      </c>
      <c r="S176" s="22">
        <f t="shared" si="30"/>
        <v>74.471399999999988</v>
      </c>
      <c r="T176" s="20" t="str">
        <f t="shared" si="31"/>
        <v>0-7 days</v>
      </c>
    </row>
    <row r="177" spans="1:20" x14ac:dyDescent="0.3">
      <c r="A177" s="20" t="s">
        <v>243</v>
      </c>
      <c r="B177" s="20" t="s">
        <v>55</v>
      </c>
      <c r="C177" s="21">
        <v>45445</v>
      </c>
      <c r="D177" s="21">
        <v>45467</v>
      </c>
      <c r="E177" s="21">
        <v>45473</v>
      </c>
      <c r="F177" s="20" t="s">
        <v>64</v>
      </c>
      <c r="G177" s="22">
        <v>155.46</v>
      </c>
      <c r="H177" s="22">
        <v>20.73</v>
      </c>
      <c r="I177" s="20" t="s">
        <v>60</v>
      </c>
      <c r="J177" s="20">
        <v>5</v>
      </c>
      <c r="K177" s="20" t="s">
        <v>46</v>
      </c>
      <c r="L177" s="23">
        <f t="shared" si="25"/>
        <v>45444</v>
      </c>
      <c r="M177" s="20">
        <f t="shared" si="26"/>
        <v>22</v>
      </c>
      <c r="N177" s="20">
        <f t="shared" si="27"/>
        <v>0</v>
      </c>
      <c r="O177" s="20">
        <f t="shared" si="28"/>
        <v>1</v>
      </c>
      <c r="P177" s="22">
        <f t="shared" si="29"/>
        <v>176.19</v>
      </c>
      <c r="Q177" s="22">
        <f>G177*INDEX(Assumptions!$B$8:$B$16,MATCH(F177,Assumptions!$A$8:$A$16,0))</f>
        <v>102.60360000000001</v>
      </c>
      <c r="R177" s="22">
        <f>H177*Assumptions!$B$3</f>
        <v>12.438000000000001</v>
      </c>
      <c r="S177" s="22">
        <f t="shared" si="30"/>
        <v>40.418399999999991</v>
      </c>
      <c r="T177" s="20" t="str">
        <f t="shared" si="31"/>
        <v>22+ days</v>
      </c>
    </row>
    <row r="178" spans="1:20" x14ac:dyDescent="0.3">
      <c r="A178" s="20" t="s">
        <v>244</v>
      </c>
      <c r="B178" s="20" t="s">
        <v>55</v>
      </c>
      <c r="C178" s="21">
        <v>45445</v>
      </c>
      <c r="D178" s="21">
        <v>45468</v>
      </c>
      <c r="E178" s="21">
        <v>45472</v>
      </c>
      <c r="F178" s="20" t="s">
        <v>111</v>
      </c>
      <c r="G178" s="22">
        <v>63.12</v>
      </c>
      <c r="H178" s="22">
        <v>16.78</v>
      </c>
      <c r="I178" s="20" t="s">
        <v>45</v>
      </c>
      <c r="J178" s="20">
        <v>3</v>
      </c>
      <c r="K178" s="20" t="s">
        <v>46</v>
      </c>
      <c r="L178" s="23">
        <f t="shared" si="25"/>
        <v>45444</v>
      </c>
      <c r="M178" s="20">
        <f t="shared" si="26"/>
        <v>23</v>
      </c>
      <c r="N178" s="20">
        <f t="shared" si="27"/>
        <v>0</v>
      </c>
      <c r="O178" s="20">
        <f t="shared" si="28"/>
        <v>1</v>
      </c>
      <c r="P178" s="22">
        <f t="shared" si="29"/>
        <v>79.900000000000006</v>
      </c>
      <c r="Q178" s="22">
        <f>G178*INDEX(Assumptions!$B$8:$B$16,MATCH(F178,Assumptions!$A$8:$A$16,0))</f>
        <v>39.765599999999999</v>
      </c>
      <c r="R178" s="22">
        <f>H178*Assumptions!$B$3</f>
        <v>10.068</v>
      </c>
      <c r="S178" s="22">
        <f t="shared" si="30"/>
        <v>13.286399999999999</v>
      </c>
      <c r="T178" s="20" t="str">
        <f t="shared" si="31"/>
        <v>22+ days</v>
      </c>
    </row>
    <row r="179" spans="1:20" x14ac:dyDescent="0.3">
      <c r="A179" s="20" t="s">
        <v>245</v>
      </c>
      <c r="B179" s="20" t="s">
        <v>19</v>
      </c>
      <c r="C179" s="21">
        <v>45445</v>
      </c>
      <c r="D179" s="21">
        <v>45451</v>
      </c>
      <c r="E179" s="21">
        <v>45462</v>
      </c>
      <c r="F179" s="20" t="s">
        <v>64</v>
      </c>
      <c r="G179" s="22">
        <v>51.72</v>
      </c>
      <c r="H179" s="22">
        <v>13.49</v>
      </c>
      <c r="I179" s="20" t="s">
        <v>45</v>
      </c>
      <c r="J179" s="20">
        <v>4</v>
      </c>
      <c r="K179" s="20" t="s">
        <v>46</v>
      </c>
      <c r="L179" s="23">
        <f t="shared" si="25"/>
        <v>45444</v>
      </c>
      <c r="M179" s="20">
        <f t="shared" si="26"/>
        <v>6</v>
      </c>
      <c r="N179" s="20">
        <f t="shared" si="27"/>
        <v>0</v>
      </c>
      <c r="O179" s="20">
        <f t="shared" si="28"/>
        <v>1</v>
      </c>
      <c r="P179" s="22">
        <f t="shared" si="29"/>
        <v>65.209999999999994</v>
      </c>
      <c r="Q179" s="22">
        <f>G179*INDEX(Assumptions!$B$8:$B$16,MATCH(F179,Assumptions!$A$8:$A$16,0))</f>
        <v>34.135199999999998</v>
      </c>
      <c r="R179" s="22">
        <f>H179*Assumptions!$B$3</f>
        <v>8.0939999999999994</v>
      </c>
      <c r="S179" s="22">
        <f t="shared" si="30"/>
        <v>9.4908000000000019</v>
      </c>
      <c r="T179" s="20" t="str">
        <f t="shared" si="31"/>
        <v>0-7 days</v>
      </c>
    </row>
    <row r="180" spans="1:20" x14ac:dyDescent="0.3">
      <c r="A180" s="20" t="s">
        <v>246</v>
      </c>
      <c r="B180" s="20" t="s">
        <v>19</v>
      </c>
      <c r="C180" s="21">
        <v>45445</v>
      </c>
      <c r="D180" s="21">
        <v>45449</v>
      </c>
      <c r="E180" s="21">
        <v>45461</v>
      </c>
      <c r="F180" s="20" t="s">
        <v>67</v>
      </c>
      <c r="G180" s="22">
        <v>65.73</v>
      </c>
      <c r="H180" s="22">
        <v>13.53</v>
      </c>
      <c r="I180" s="20" t="s">
        <v>45</v>
      </c>
      <c r="J180" s="20">
        <v>5</v>
      </c>
      <c r="K180" s="20" t="s">
        <v>46</v>
      </c>
      <c r="L180" s="23">
        <f t="shared" si="25"/>
        <v>45444</v>
      </c>
      <c r="M180" s="20">
        <f t="shared" si="26"/>
        <v>4</v>
      </c>
      <c r="N180" s="20">
        <f t="shared" si="27"/>
        <v>0</v>
      </c>
      <c r="O180" s="20">
        <f t="shared" si="28"/>
        <v>1</v>
      </c>
      <c r="P180" s="22">
        <f t="shared" si="29"/>
        <v>79.260000000000005</v>
      </c>
      <c r="Q180" s="22">
        <f>G180*INDEX(Assumptions!$B$8:$B$16,MATCH(F180,Assumptions!$A$8:$A$16,0))</f>
        <v>40.752600000000001</v>
      </c>
      <c r="R180" s="22">
        <f>H180*Assumptions!$B$3</f>
        <v>8.1179999999999986</v>
      </c>
      <c r="S180" s="22">
        <f t="shared" si="30"/>
        <v>16.859400000000004</v>
      </c>
      <c r="T180" s="20" t="str">
        <f t="shared" si="31"/>
        <v>0-7 days</v>
      </c>
    </row>
    <row r="181" spans="1:20" x14ac:dyDescent="0.3">
      <c r="A181" s="20" t="s">
        <v>247</v>
      </c>
      <c r="B181" s="20" t="s">
        <v>19</v>
      </c>
      <c r="C181" s="21">
        <v>45446</v>
      </c>
      <c r="D181" s="21">
        <v>45455</v>
      </c>
      <c r="E181" s="21">
        <v>45461</v>
      </c>
      <c r="F181" s="20" t="s">
        <v>49</v>
      </c>
      <c r="G181" s="22">
        <v>121.17</v>
      </c>
      <c r="H181" s="22">
        <v>14.81</v>
      </c>
      <c r="I181" s="20" t="s">
        <v>45</v>
      </c>
      <c r="J181" s="20">
        <v>3</v>
      </c>
      <c r="K181" s="20" t="s">
        <v>46</v>
      </c>
      <c r="L181" s="23">
        <f t="shared" si="25"/>
        <v>45444</v>
      </c>
      <c r="M181" s="20">
        <f t="shared" si="26"/>
        <v>9</v>
      </c>
      <c r="N181" s="20">
        <f t="shared" si="27"/>
        <v>0</v>
      </c>
      <c r="O181" s="20">
        <f t="shared" si="28"/>
        <v>1</v>
      </c>
      <c r="P181" s="22">
        <f t="shared" si="29"/>
        <v>135.97999999999999</v>
      </c>
      <c r="Q181" s="22">
        <f>G181*INDEX(Assumptions!$B$8:$B$16,MATCH(F181,Assumptions!$A$8:$A$16,0))</f>
        <v>70.278599999999997</v>
      </c>
      <c r="R181" s="22">
        <f>H181*Assumptions!$B$3</f>
        <v>8.8859999999999992</v>
      </c>
      <c r="S181" s="22">
        <f t="shared" si="30"/>
        <v>42.005400000000009</v>
      </c>
      <c r="T181" s="20" t="str">
        <f t="shared" si="31"/>
        <v>8-14 days</v>
      </c>
    </row>
    <row r="182" spans="1:20" x14ac:dyDescent="0.3">
      <c r="A182" s="20" t="s">
        <v>248</v>
      </c>
      <c r="B182" s="20" t="s">
        <v>19</v>
      </c>
      <c r="C182" s="21">
        <v>45446</v>
      </c>
      <c r="D182" s="21">
        <v>45453</v>
      </c>
      <c r="E182" s="21">
        <v>45464</v>
      </c>
      <c r="F182" s="20" t="s">
        <v>111</v>
      </c>
      <c r="G182" s="22">
        <v>100.95</v>
      </c>
      <c r="H182" s="22">
        <v>19.59</v>
      </c>
      <c r="I182" s="20" t="s">
        <v>45</v>
      </c>
      <c r="J182" s="20">
        <v>5</v>
      </c>
      <c r="K182" s="20" t="s">
        <v>46</v>
      </c>
      <c r="L182" s="23">
        <f t="shared" si="25"/>
        <v>45444</v>
      </c>
      <c r="M182" s="20">
        <f t="shared" si="26"/>
        <v>7</v>
      </c>
      <c r="N182" s="20">
        <f t="shared" si="27"/>
        <v>0</v>
      </c>
      <c r="O182" s="20">
        <f t="shared" si="28"/>
        <v>1</v>
      </c>
      <c r="P182" s="22">
        <f t="shared" si="29"/>
        <v>120.54</v>
      </c>
      <c r="Q182" s="22">
        <f>G182*INDEX(Assumptions!$B$8:$B$16,MATCH(F182,Assumptions!$A$8:$A$16,0))</f>
        <v>63.598500000000001</v>
      </c>
      <c r="R182" s="22">
        <f>H182*Assumptions!$B$3</f>
        <v>11.754</v>
      </c>
      <c r="S182" s="22">
        <f t="shared" si="30"/>
        <v>25.597500000000004</v>
      </c>
      <c r="T182" s="20" t="str">
        <f t="shared" si="31"/>
        <v>0-7 days</v>
      </c>
    </row>
    <row r="183" spans="1:20" x14ac:dyDescent="0.3">
      <c r="A183" s="20" t="s">
        <v>249</v>
      </c>
      <c r="B183" s="20" t="s">
        <v>19</v>
      </c>
      <c r="C183" s="21">
        <v>45446</v>
      </c>
      <c r="D183" s="21">
        <v>45452</v>
      </c>
      <c r="E183" s="21">
        <v>45463</v>
      </c>
      <c r="F183" s="20" t="s">
        <v>111</v>
      </c>
      <c r="G183" s="22">
        <v>48.08</v>
      </c>
      <c r="H183" s="22">
        <v>19.71</v>
      </c>
      <c r="I183" s="20" t="s">
        <v>45</v>
      </c>
      <c r="J183" s="20">
        <v>4</v>
      </c>
      <c r="K183" s="20" t="s">
        <v>46</v>
      </c>
      <c r="L183" s="23">
        <f t="shared" si="25"/>
        <v>45444</v>
      </c>
      <c r="M183" s="20">
        <f t="shared" si="26"/>
        <v>6</v>
      </c>
      <c r="N183" s="20">
        <f t="shared" si="27"/>
        <v>0</v>
      </c>
      <c r="O183" s="20">
        <f t="shared" si="28"/>
        <v>1</v>
      </c>
      <c r="P183" s="22">
        <f t="shared" si="29"/>
        <v>67.789999999999992</v>
      </c>
      <c r="Q183" s="22">
        <f>G183*INDEX(Assumptions!$B$8:$B$16,MATCH(F183,Assumptions!$A$8:$A$16,0))</f>
        <v>30.290399999999998</v>
      </c>
      <c r="R183" s="22">
        <f>H183*Assumptions!$B$3</f>
        <v>11.826000000000001</v>
      </c>
      <c r="S183" s="22">
        <f t="shared" si="30"/>
        <v>5.9635999999999996</v>
      </c>
      <c r="T183" s="20" t="str">
        <f t="shared" si="31"/>
        <v>0-7 days</v>
      </c>
    </row>
    <row r="184" spans="1:20" x14ac:dyDescent="0.3">
      <c r="A184" s="20" t="s">
        <v>250</v>
      </c>
      <c r="B184" s="20" t="s">
        <v>77</v>
      </c>
      <c r="C184" s="21">
        <v>45447</v>
      </c>
      <c r="D184" s="21">
        <v>45463</v>
      </c>
      <c r="E184" s="21">
        <v>45471</v>
      </c>
      <c r="F184" s="20" t="s">
        <v>59</v>
      </c>
      <c r="G184" s="22">
        <v>82.48</v>
      </c>
      <c r="H184" s="22">
        <v>24.53</v>
      </c>
      <c r="I184" s="20" t="s">
        <v>45</v>
      </c>
      <c r="J184" s="20">
        <v>5</v>
      </c>
      <c r="K184" s="20" t="s">
        <v>46</v>
      </c>
      <c r="L184" s="23">
        <f t="shared" si="25"/>
        <v>45444</v>
      </c>
      <c r="M184" s="20">
        <f t="shared" si="26"/>
        <v>16</v>
      </c>
      <c r="N184" s="20">
        <f t="shared" si="27"/>
        <v>0</v>
      </c>
      <c r="O184" s="20">
        <f t="shared" si="28"/>
        <v>1</v>
      </c>
      <c r="P184" s="22">
        <f t="shared" si="29"/>
        <v>107.01</v>
      </c>
      <c r="Q184" s="22">
        <f>G184*INDEX(Assumptions!$B$8:$B$16,MATCH(F184,Assumptions!$A$8:$A$16,0))</f>
        <v>52.787200000000006</v>
      </c>
      <c r="R184" s="22">
        <f>H184*Assumptions!$B$3</f>
        <v>14.718</v>
      </c>
      <c r="S184" s="22">
        <f t="shared" si="30"/>
        <v>14.974799999999998</v>
      </c>
      <c r="T184" s="20" t="str">
        <f t="shared" si="31"/>
        <v>15-21 days</v>
      </c>
    </row>
    <row r="185" spans="1:20" x14ac:dyDescent="0.3">
      <c r="A185" s="20" t="s">
        <v>251</v>
      </c>
      <c r="B185" s="20" t="s">
        <v>62</v>
      </c>
      <c r="C185" s="21">
        <v>45448</v>
      </c>
      <c r="D185" s="21">
        <v>45461</v>
      </c>
      <c r="E185" s="21">
        <v>45470</v>
      </c>
      <c r="F185" s="20" t="s">
        <v>49</v>
      </c>
      <c r="G185" s="22">
        <v>127.96</v>
      </c>
      <c r="H185" s="22">
        <v>23.23</v>
      </c>
      <c r="I185" s="20" t="s">
        <v>50</v>
      </c>
      <c r="J185" s="20">
        <v>3</v>
      </c>
      <c r="K185" s="20" t="s">
        <v>46</v>
      </c>
      <c r="L185" s="23">
        <f t="shared" si="25"/>
        <v>45444</v>
      </c>
      <c r="M185" s="20">
        <f t="shared" si="26"/>
        <v>13</v>
      </c>
      <c r="N185" s="20">
        <f t="shared" si="27"/>
        <v>0</v>
      </c>
      <c r="O185" s="20">
        <f t="shared" si="28"/>
        <v>1</v>
      </c>
      <c r="P185" s="22">
        <f t="shared" si="29"/>
        <v>151.19</v>
      </c>
      <c r="Q185" s="22">
        <f>G185*INDEX(Assumptions!$B$8:$B$16,MATCH(F185,Assumptions!$A$8:$A$16,0))</f>
        <v>74.216799999999992</v>
      </c>
      <c r="R185" s="22">
        <f>H185*Assumptions!$B$3</f>
        <v>13.938000000000001</v>
      </c>
      <c r="S185" s="22">
        <f t="shared" si="30"/>
        <v>39.805199999999999</v>
      </c>
      <c r="T185" s="20" t="str">
        <f t="shared" si="31"/>
        <v>8-14 days</v>
      </c>
    </row>
    <row r="186" spans="1:20" x14ac:dyDescent="0.3">
      <c r="A186" s="20" t="s">
        <v>252</v>
      </c>
      <c r="B186" s="20" t="s">
        <v>52</v>
      </c>
      <c r="C186" s="21">
        <v>45448</v>
      </c>
      <c r="D186" s="21">
        <v>45459</v>
      </c>
      <c r="E186" s="21">
        <v>45477</v>
      </c>
      <c r="F186" s="20" t="s">
        <v>44</v>
      </c>
      <c r="G186" s="22">
        <v>72.099999999999994</v>
      </c>
      <c r="H186" s="22">
        <v>26.2</v>
      </c>
      <c r="I186" s="20" t="s">
        <v>45</v>
      </c>
      <c r="J186" s="20">
        <v>4</v>
      </c>
      <c r="K186" s="20" t="s">
        <v>46</v>
      </c>
      <c r="L186" s="23">
        <f t="shared" si="25"/>
        <v>45444</v>
      </c>
      <c r="M186" s="20">
        <f t="shared" si="26"/>
        <v>11</v>
      </c>
      <c r="N186" s="20">
        <f t="shared" si="27"/>
        <v>0</v>
      </c>
      <c r="O186" s="20">
        <f t="shared" si="28"/>
        <v>1</v>
      </c>
      <c r="P186" s="22">
        <f t="shared" si="29"/>
        <v>98.3</v>
      </c>
      <c r="Q186" s="22">
        <f>G186*INDEX(Assumptions!$B$8:$B$16,MATCH(F186,Assumptions!$A$8:$A$16,0))</f>
        <v>43.26</v>
      </c>
      <c r="R186" s="22">
        <f>H186*Assumptions!$B$3</f>
        <v>15.719999999999999</v>
      </c>
      <c r="S186" s="22">
        <f t="shared" si="30"/>
        <v>13.119999999999997</v>
      </c>
      <c r="T186" s="20" t="str">
        <f t="shared" si="31"/>
        <v>8-14 days</v>
      </c>
    </row>
    <row r="187" spans="1:20" x14ac:dyDescent="0.3">
      <c r="A187" s="20" t="s">
        <v>253</v>
      </c>
      <c r="B187" s="20" t="s">
        <v>19</v>
      </c>
      <c r="C187" s="21">
        <v>45448</v>
      </c>
      <c r="D187" s="21">
        <v>45456</v>
      </c>
      <c r="E187" s="21">
        <v>45465</v>
      </c>
      <c r="F187" s="20" t="s">
        <v>59</v>
      </c>
      <c r="G187" s="22">
        <v>118</v>
      </c>
      <c r="H187" s="22">
        <v>14.86</v>
      </c>
      <c r="I187" s="20" t="s">
        <v>60</v>
      </c>
      <c r="J187" s="20">
        <v>5</v>
      </c>
      <c r="K187" s="20" t="s">
        <v>46</v>
      </c>
      <c r="L187" s="23">
        <f t="shared" si="25"/>
        <v>45444</v>
      </c>
      <c r="M187" s="20">
        <f t="shared" si="26"/>
        <v>8</v>
      </c>
      <c r="N187" s="20">
        <f t="shared" si="27"/>
        <v>0</v>
      </c>
      <c r="O187" s="20">
        <f t="shared" si="28"/>
        <v>1</v>
      </c>
      <c r="P187" s="22">
        <f t="shared" si="29"/>
        <v>132.86000000000001</v>
      </c>
      <c r="Q187" s="22">
        <f>G187*INDEX(Assumptions!$B$8:$B$16,MATCH(F187,Assumptions!$A$8:$A$16,0))</f>
        <v>75.52</v>
      </c>
      <c r="R187" s="22">
        <f>H187*Assumptions!$B$3</f>
        <v>8.9159999999999986</v>
      </c>
      <c r="S187" s="22">
        <f t="shared" si="30"/>
        <v>33.564000000000007</v>
      </c>
      <c r="T187" s="20" t="str">
        <f t="shared" si="31"/>
        <v>8-14 days</v>
      </c>
    </row>
    <row r="188" spans="1:20" x14ac:dyDescent="0.3">
      <c r="A188" s="20" t="s">
        <v>254</v>
      </c>
      <c r="B188" s="20" t="s">
        <v>19</v>
      </c>
      <c r="C188" s="21">
        <v>45449</v>
      </c>
      <c r="D188" s="21">
        <v>45455</v>
      </c>
      <c r="E188" s="21">
        <v>45467</v>
      </c>
      <c r="F188" s="20" t="s">
        <v>44</v>
      </c>
      <c r="G188" s="22">
        <v>56.36</v>
      </c>
      <c r="H188" s="22">
        <v>21.11</v>
      </c>
      <c r="I188" s="20" t="s">
        <v>45</v>
      </c>
      <c r="J188" s="20">
        <v>4</v>
      </c>
      <c r="K188" s="20" t="s">
        <v>46</v>
      </c>
      <c r="L188" s="23">
        <f t="shared" si="25"/>
        <v>45444</v>
      </c>
      <c r="M188" s="20">
        <f t="shared" si="26"/>
        <v>6</v>
      </c>
      <c r="N188" s="20">
        <f t="shared" si="27"/>
        <v>0</v>
      </c>
      <c r="O188" s="20">
        <f t="shared" si="28"/>
        <v>1</v>
      </c>
      <c r="P188" s="22">
        <f t="shared" si="29"/>
        <v>77.47</v>
      </c>
      <c r="Q188" s="22">
        <f>G188*INDEX(Assumptions!$B$8:$B$16,MATCH(F188,Assumptions!$A$8:$A$16,0))</f>
        <v>33.815999999999995</v>
      </c>
      <c r="R188" s="22">
        <f>H188*Assumptions!$B$3</f>
        <v>12.665999999999999</v>
      </c>
      <c r="S188" s="22">
        <f t="shared" si="30"/>
        <v>9.8780000000000054</v>
      </c>
      <c r="T188" s="20" t="str">
        <f t="shared" si="31"/>
        <v>0-7 days</v>
      </c>
    </row>
    <row r="189" spans="1:20" x14ac:dyDescent="0.3">
      <c r="A189" s="20" t="s">
        <v>255</v>
      </c>
      <c r="B189" s="20" t="s">
        <v>48</v>
      </c>
      <c r="C189" s="21">
        <v>45449</v>
      </c>
      <c r="D189" s="21">
        <v>45458</v>
      </c>
      <c r="E189" s="21">
        <v>45471</v>
      </c>
      <c r="F189" s="20" t="s">
        <v>79</v>
      </c>
      <c r="G189" s="22">
        <v>79.97</v>
      </c>
      <c r="H189" s="22">
        <v>25.31</v>
      </c>
      <c r="I189" s="20" t="s">
        <v>60</v>
      </c>
      <c r="J189" s="20">
        <v>5</v>
      </c>
      <c r="K189" s="20" t="s">
        <v>46</v>
      </c>
      <c r="L189" s="23">
        <f t="shared" si="25"/>
        <v>45444</v>
      </c>
      <c r="M189" s="20">
        <f t="shared" si="26"/>
        <v>9</v>
      </c>
      <c r="N189" s="20">
        <f t="shared" si="27"/>
        <v>0</v>
      </c>
      <c r="O189" s="20">
        <f t="shared" si="28"/>
        <v>1</v>
      </c>
      <c r="P189" s="22">
        <f t="shared" si="29"/>
        <v>105.28</v>
      </c>
      <c r="Q189" s="22">
        <f>G189*INDEX(Assumptions!$B$8:$B$16,MATCH(F189,Assumptions!$A$8:$A$16,0))</f>
        <v>55.978999999999999</v>
      </c>
      <c r="R189" s="22">
        <f>H189*Assumptions!$B$3</f>
        <v>15.185999999999998</v>
      </c>
      <c r="S189" s="22">
        <f t="shared" si="30"/>
        <v>8.8050000000000015</v>
      </c>
      <c r="T189" s="20" t="str">
        <f t="shared" si="31"/>
        <v>8-14 days</v>
      </c>
    </row>
    <row r="190" spans="1:20" x14ac:dyDescent="0.3">
      <c r="A190" s="20" t="s">
        <v>256</v>
      </c>
      <c r="B190" s="20" t="s">
        <v>19</v>
      </c>
      <c r="C190" s="21">
        <v>45449</v>
      </c>
      <c r="D190" s="21">
        <v>45461</v>
      </c>
      <c r="E190" s="21">
        <v>45465</v>
      </c>
      <c r="F190" s="20" t="s">
        <v>59</v>
      </c>
      <c r="G190" s="22">
        <v>64.66</v>
      </c>
      <c r="H190" s="22">
        <v>16.96</v>
      </c>
      <c r="I190" s="20" t="s">
        <v>45</v>
      </c>
      <c r="J190" s="20">
        <v>2</v>
      </c>
      <c r="K190" s="20" t="s">
        <v>46</v>
      </c>
      <c r="L190" s="23">
        <f t="shared" si="25"/>
        <v>45444</v>
      </c>
      <c r="M190" s="20">
        <f t="shared" si="26"/>
        <v>12</v>
      </c>
      <c r="N190" s="20">
        <f t="shared" si="27"/>
        <v>0</v>
      </c>
      <c r="O190" s="20">
        <f t="shared" si="28"/>
        <v>1</v>
      </c>
      <c r="P190" s="22">
        <f t="shared" si="29"/>
        <v>81.62</v>
      </c>
      <c r="Q190" s="22">
        <f>G190*INDEX(Assumptions!$B$8:$B$16,MATCH(F190,Assumptions!$A$8:$A$16,0))</f>
        <v>41.382399999999997</v>
      </c>
      <c r="R190" s="22">
        <f>H190*Assumptions!$B$3</f>
        <v>10.176</v>
      </c>
      <c r="S190" s="22">
        <f t="shared" si="30"/>
        <v>13.101599999999999</v>
      </c>
      <c r="T190" s="20" t="str">
        <f t="shared" si="31"/>
        <v>8-14 days</v>
      </c>
    </row>
    <row r="191" spans="1:20" x14ac:dyDescent="0.3">
      <c r="A191" s="20" t="s">
        <v>257</v>
      </c>
      <c r="B191" s="20" t="s">
        <v>19</v>
      </c>
      <c r="C191" s="21">
        <v>45450</v>
      </c>
      <c r="D191" s="21">
        <v>45458</v>
      </c>
      <c r="E191" s="21">
        <v>45466</v>
      </c>
      <c r="F191" s="20" t="s">
        <v>67</v>
      </c>
      <c r="G191" s="22">
        <v>202.17</v>
      </c>
      <c r="H191" s="22">
        <v>24.92</v>
      </c>
      <c r="I191" s="20" t="s">
        <v>45</v>
      </c>
      <c r="J191" s="20">
        <v>5</v>
      </c>
      <c r="K191" s="20" t="s">
        <v>46</v>
      </c>
      <c r="L191" s="23">
        <f t="shared" si="25"/>
        <v>45444</v>
      </c>
      <c r="M191" s="20">
        <f t="shared" si="26"/>
        <v>8</v>
      </c>
      <c r="N191" s="20">
        <f t="shared" si="27"/>
        <v>0</v>
      </c>
      <c r="O191" s="20">
        <f t="shared" si="28"/>
        <v>1</v>
      </c>
      <c r="P191" s="22">
        <f t="shared" si="29"/>
        <v>227.08999999999997</v>
      </c>
      <c r="Q191" s="22">
        <f>G191*INDEX(Assumptions!$B$8:$B$16,MATCH(F191,Assumptions!$A$8:$A$16,0))</f>
        <v>125.3454</v>
      </c>
      <c r="R191" s="22">
        <f>H191*Assumptions!$B$3</f>
        <v>14.952</v>
      </c>
      <c r="S191" s="22">
        <f t="shared" si="30"/>
        <v>61.872599999999991</v>
      </c>
      <c r="T191" s="20" t="str">
        <f t="shared" si="31"/>
        <v>8-14 days</v>
      </c>
    </row>
    <row r="192" spans="1:20" x14ac:dyDescent="0.3">
      <c r="A192" s="20" t="s">
        <v>258</v>
      </c>
      <c r="B192" s="20" t="s">
        <v>19</v>
      </c>
      <c r="C192" s="21">
        <v>45450</v>
      </c>
      <c r="D192" s="21">
        <v>45460</v>
      </c>
      <c r="E192" s="21">
        <v>45464</v>
      </c>
      <c r="F192" s="20" t="s">
        <v>53</v>
      </c>
      <c r="G192" s="22">
        <v>60.12</v>
      </c>
      <c r="H192" s="22">
        <v>21.96</v>
      </c>
      <c r="I192" s="20" t="s">
        <v>60</v>
      </c>
      <c r="J192" s="20">
        <v>5</v>
      </c>
      <c r="K192" s="20" t="s">
        <v>46</v>
      </c>
      <c r="L192" s="23">
        <f t="shared" si="25"/>
        <v>45444</v>
      </c>
      <c r="M192" s="20">
        <f t="shared" si="26"/>
        <v>10</v>
      </c>
      <c r="N192" s="20">
        <f t="shared" si="27"/>
        <v>0</v>
      </c>
      <c r="O192" s="20">
        <f t="shared" si="28"/>
        <v>1</v>
      </c>
      <c r="P192" s="22">
        <f t="shared" si="29"/>
        <v>82.08</v>
      </c>
      <c r="Q192" s="22">
        <f>G192*INDEX(Assumptions!$B$8:$B$16,MATCH(F192,Assumptions!$A$8:$A$16,0))</f>
        <v>44.488799999999998</v>
      </c>
      <c r="R192" s="22">
        <f>H192*Assumptions!$B$3</f>
        <v>13.176</v>
      </c>
      <c r="S192" s="22">
        <f t="shared" si="30"/>
        <v>2.4551999999999996</v>
      </c>
      <c r="T192" s="20" t="str">
        <f t="shared" si="31"/>
        <v>8-14 days</v>
      </c>
    </row>
    <row r="193" spans="1:20" x14ac:dyDescent="0.3">
      <c r="A193" s="20" t="s">
        <v>259</v>
      </c>
      <c r="B193" s="20" t="s">
        <v>19</v>
      </c>
      <c r="C193" s="21">
        <v>45450</v>
      </c>
      <c r="D193" s="21">
        <v>45458</v>
      </c>
      <c r="E193" s="21">
        <v>45464</v>
      </c>
      <c r="F193" s="20" t="s">
        <v>111</v>
      </c>
      <c r="G193" s="22">
        <v>71.58</v>
      </c>
      <c r="H193" s="22">
        <v>18.37</v>
      </c>
      <c r="I193" s="20" t="s">
        <v>45</v>
      </c>
      <c r="J193" s="20">
        <v>5</v>
      </c>
      <c r="K193" s="20" t="s">
        <v>46</v>
      </c>
      <c r="L193" s="23">
        <f t="shared" si="25"/>
        <v>45444</v>
      </c>
      <c r="M193" s="20">
        <f t="shared" si="26"/>
        <v>8</v>
      </c>
      <c r="N193" s="20">
        <f t="shared" si="27"/>
        <v>0</v>
      </c>
      <c r="O193" s="20">
        <f t="shared" si="28"/>
        <v>1</v>
      </c>
      <c r="P193" s="22">
        <f t="shared" si="29"/>
        <v>89.95</v>
      </c>
      <c r="Q193" s="22">
        <f>G193*INDEX(Assumptions!$B$8:$B$16,MATCH(F193,Assumptions!$A$8:$A$16,0))</f>
        <v>45.095399999999998</v>
      </c>
      <c r="R193" s="22">
        <f>H193*Assumptions!$B$3</f>
        <v>11.022</v>
      </c>
      <c r="S193" s="22">
        <f t="shared" si="30"/>
        <v>15.4626</v>
      </c>
      <c r="T193" s="20" t="str">
        <f t="shared" si="31"/>
        <v>8-14 days</v>
      </c>
    </row>
    <row r="194" spans="1:20" x14ac:dyDescent="0.3">
      <c r="A194" s="20" t="s">
        <v>260</v>
      </c>
      <c r="B194" s="20" t="s">
        <v>134</v>
      </c>
      <c r="C194" s="21">
        <v>45450</v>
      </c>
      <c r="D194" s="21">
        <v>45461</v>
      </c>
      <c r="E194" s="21">
        <v>45473</v>
      </c>
      <c r="F194" s="20" t="s">
        <v>49</v>
      </c>
      <c r="G194" s="22">
        <v>61.55</v>
      </c>
      <c r="H194" s="22">
        <v>21.5</v>
      </c>
      <c r="I194" s="20" t="s">
        <v>45</v>
      </c>
      <c r="J194" s="20">
        <v>5</v>
      </c>
      <c r="K194" s="20" t="s">
        <v>46</v>
      </c>
      <c r="L194" s="23">
        <f t="shared" ref="L194:L257" si="32">DATE(YEAR(C194),MONTH(C194),1)</f>
        <v>45444</v>
      </c>
      <c r="M194" s="20">
        <f t="shared" ref="M194:M257" si="33">D194-C194</f>
        <v>11</v>
      </c>
      <c r="N194" s="20">
        <f t="shared" ref="N194:N257" si="34">MAX(0,D194-E194)</f>
        <v>0</v>
      </c>
      <c r="O194" s="20">
        <f t="shared" ref="O194:O257" si="35">IF(D194&lt;=E194,1,0)</f>
        <v>1</v>
      </c>
      <c r="P194" s="22">
        <f t="shared" ref="P194:P257" si="36">G194+H194</f>
        <v>83.05</v>
      </c>
      <c r="Q194" s="22">
        <f>G194*INDEX(Assumptions!$B$8:$B$16,MATCH(F194,Assumptions!$A$8:$A$16,0))</f>
        <v>35.698999999999998</v>
      </c>
      <c r="R194" s="22">
        <f>H194*Assumptions!$B$3</f>
        <v>12.9</v>
      </c>
      <c r="S194" s="22">
        <f t="shared" ref="S194:S257" si="37">G194-Q194-R194</f>
        <v>12.950999999999999</v>
      </c>
      <c r="T194" s="20" t="str">
        <f t="shared" ref="T194:T257" si="38">IF(M194&lt;=7,"0-7 days",IF(M194&lt;=14,"8-14 days",IF(M194&lt;=21,"15-21 days","22+ days")))</f>
        <v>8-14 days</v>
      </c>
    </row>
    <row r="195" spans="1:20" x14ac:dyDescent="0.3">
      <c r="A195" s="20" t="s">
        <v>261</v>
      </c>
      <c r="B195" s="20" t="s">
        <v>19</v>
      </c>
      <c r="C195" s="21">
        <v>45451</v>
      </c>
      <c r="D195" s="21">
        <v>45474</v>
      </c>
      <c r="E195" s="21">
        <v>45467</v>
      </c>
      <c r="F195" s="20" t="s">
        <v>49</v>
      </c>
      <c r="G195" s="22">
        <v>39.520000000000003</v>
      </c>
      <c r="H195" s="22">
        <v>17.27</v>
      </c>
      <c r="I195" s="20" t="s">
        <v>45</v>
      </c>
      <c r="J195" s="20">
        <v>2</v>
      </c>
      <c r="K195" s="20" t="s">
        <v>46</v>
      </c>
      <c r="L195" s="23">
        <f t="shared" si="32"/>
        <v>45444</v>
      </c>
      <c r="M195" s="20">
        <f t="shared" si="33"/>
        <v>23</v>
      </c>
      <c r="N195" s="20">
        <f t="shared" si="34"/>
        <v>7</v>
      </c>
      <c r="O195" s="20">
        <f t="shared" si="35"/>
        <v>0</v>
      </c>
      <c r="P195" s="22">
        <f t="shared" si="36"/>
        <v>56.790000000000006</v>
      </c>
      <c r="Q195" s="22">
        <f>G195*INDEX(Assumptions!$B$8:$B$16,MATCH(F195,Assumptions!$A$8:$A$16,0))</f>
        <v>22.921600000000002</v>
      </c>
      <c r="R195" s="22">
        <f>H195*Assumptions!$B$3</f>
        <v>10.362</v>
      </c>
      <c r="S195" s="22">
        <f t="shared" si="37"/>
        <v>6.2364000000000015</v>
      </c>
      <c r="T195" s="20" t="str">
        <f t="shared" si="38"/>
        <v>22+ days</v>
      </c>
    </row>
    <row r="196" spans="1:20" x14ac:dyDescent="0.3">
      <c r="A196" s="20" t="s">
        <v>262</v>
      </c>
      <c r="B196" s="20" t="s">
        <v>201</v>
      </c>
      <c r="C196" s="21">
        <v>45451</v>
      </c>
      <c r="D196" s="21">
        <v>45469</v>
      </c>
      <c r="E196" s="21">
        <v>45486</v>
      </c>
      <c r="F196" s="20" t="s">
        <v>67</v>
      </c>
      <c r="G196" s="22">
        <v>92.75</v>
      </c>
      <c r="H196" s="22">
        <v>26.22</v>
      </c>
      <c r="I196" s="20" t="s">
        <v>45</v>
      </c>
      <c r="J196" s="20">
        <v>4</v>
      </c>
      <c r="K196" s="20" t="s">
        <v>46</v>
      </c>
      <c r="L196" s="23">
        <f t="shared" si="32"/>
        <v>45444</v>
      </c>
      <c r="M196" s="20">
        <f t="shared" si="33"/>
        <v>18</v>
      </c>
      <c r="N196" s="20">
        <f t="shared" si="34"/>
        <v>0</v>
      </c>
      <c r="O196" s="20">
        <f t="shared" si="35"/>
        <v>1</v>
      </c>
      <c r="P196" s="22">
        <f t="shared" si="36"/>
        <v>118.97</v>
      </c>
      <c r="Q196" s="22">
        <f>G196*INDEX(Assumptions!$B$8:$B$16,MATCH(F196,Assumptions!$A$8:$A$16,0))</f>
        <v>57.505000000000003</v>
      </c>
      <c r="R196" s="22">
        <f>H196*Assumptions!$B$3</f>
        <v>15.731999999999999</v>
      </c>
      <c r="S196" s="22">
        <f t="shared" si="37"/>
        <v>19.512999999999998</v>
      </c>
      <c r="T196" s="20" t="str">
        <f t="shared" si="38"/>
        <v>15-21 days</v>
      </c>
    </row>
    <row r="197" spans="1:20" x14ac:dyDescent="0.3">
      <c r="A197" s="20" t="s">
        <v>263</v>
      </c>
      <c r="B197" s="20" t="s">
        <v>19</v>
      </c>
      <c r="C197" s="21">
        <v>45451</v>
      </c>
      <c r="D197" s="21">
        <v>45457</v>
      </c>
      <c r="E197" s="21">
        <v>45467</v>
      </c>
      <c r="F197" s="20" t="s">
        <v>64</v>
      </c>
      <c r="G197" s="22">
        <v>237.31</v>
      </c>
      <c r="H197" s="22">
        <v>17.14</v>
      </c>
      <c r="I197" s="20" t="s">
        <v>45</v>
      </c>
      <c r="J197" s="20">
        <v>3</v>
      </c>
      <c r="K197" s="20" t="s">
        <v>46</v>
      </c>
      <c r="L197" s="23">
        <f t="shared" si="32"/>
        <v>45444</v>
      </c>
      <c r="M197" s="20">
        <f t="shared" si="33"/>
        <v>6</v>
      </c>
      <c r="N197" s="20">
        <f t="shared" si="34"/>
        <v>0</v>
      </c>
      <c r="O197" s="20">
        <f t="shared" si="35"/>
        <v>1</v>
      </c>
      <c r="P197" s="22">
        <f t="shared" si="36"/>
        <v>254.45</v>
      </c>
      <c r="Q197" s="22">
        <f>G197*INDEX(Assumptions!$B$8:$B$16,MATCH(F197,Assumptions!$A$8:$A$16,0))</f>
        <v>156.62460000000002</v>
      </c>
      <c r="R197" s="22">
        <f>H197*Assumptions!$B$3</f>
        <v>10.284000000000001</v>
      </c>
      <c r="S197" s="22">
        <f t="shared" si="37"/>
        <v>70.401399999999981</v>
      </c>
      <c r="T197" s="20" t="str">
        <f t="shared" si="38"/>
        <v>0-7 days</v>
      </c>
    </row>
    <row r="198" spans="1:20" x14ac:dyDescent="0.3">
      <c r="A198" s="20" t="s">
        <v>264</v>
      </c>
      <c r="B198" s="20" t="s">
        <v>19</v>
      </c>
      <c r="C198" s="21">
        <v>45452</v>
      </c>
      <c r="D198" s="21">
        <v>45459</v>
      </c>
      <c r="E198" s="21">
        <v>45466</v>
      </c>
      <c r="F198" s="20" t="s">
        <v>79</v>
      </c>
      <c r="G198" s="22">
        <v>91.72</v>
      </c>
      <c r="H198" s="22">
        <v>19.54</v>
      </c>
      <c r="I198" s="20" t="s">
        <v>45</v>
      </c>
      <c r="J198" s="20">
        <v>4</v>
      </c>
      <c r="K198" s="20" t="s">
        <v>46</v>
      </c>
      <c r="L198" s="23">
        <f t="shared" si="32"/>
        <v>45444</v>
      </c>
      <c r="M198" s="20">
        <f t="shared" si="33"/>
        <v>7</v>
      </c>
      <c r="N198" s="20">
        <f t="shared" si="34"/>
        <v>0</v>
      </c>
      <c r="O198" s="20">
        <f t="shared" si="35"/>
        <v>1</v>
      </c>
      <c r="P198" s="22">
        <f t="shared" si="36"/>
        <v>111.25999999999999</v>
      </c>
      <c r="Q198" s="22">
        <f>G198*INDEX(Assumptions!$B$8:$B$16,MATCH(F198,Assumptions!$A$8:$A$16,0))</f>
        <v>64.203999999999994</v>
      </c>
      <c r="R198" s="22">
        <f>H198*Assumptions!$B$3</f>
        <v>11.723999999999998</v>
      </c>
      <c r="S198" s="22">
        <f t="shared" si="37"/>
        <v>15.792000000000007</v>
      </c>
      <c r="T198" s="20" t="str">
        <f t="shared" si="38"/>
        <v>0-7 days</v>
      </c>
    </row>
    <row r="199" spans="1:20" x14ac:dyDescent="0.3">
      <c r="A199" s="20" t="s">
        <v>265</v>
      </c>
      <c r="B199" s="20" t="s">
        <v>103</v>
      </c>
      <c r="C199" s="21">
        <v>45452</v>
      </c>
      <c r="D199" s="21">
        <v>45472</v>
      </c>
      <c r="E199" s="21">
        <v>45471</v>
      </c>
      <c r="F199" s="20" t="s">
        <v>111</v>
      </c>
      <c r="G199" s="22">
        <v>37.5</v>
      </c>
      <c r="H199" s="22">
        <v>24.66</v>
      </c>
      <c r="I199" s="20" t="s">
        <v>104</v>
      </c>
      <c r="J199" s="20">
        <v>3</v>
      </c>
      <c r="K199" s="20" t="s">
        <v>46</v>
      </c>
      <c r="L199" s="23">
        <f t="shared" si="32"/>
        <v>45444</v>
      </c>
      <c r="M199" s="20">
        <f t="shared" si="33"/>
        <v>20</v>
      </c>
      <c r="N199" s="20">
        <f t="shared" si="34"/>
        <v>1</v>
      </c>
      <c r="O199" s="20">
        <f t="shared" si="35"/>
        <v>0</v>
      </c>
      <c r="P199" s="22">
        <f t="shared" si="36"/>
        <v>62.16</v>
      </c>
      <c r="Q199" s="22">
        <f>G199*INDEX(Assumptions!$B$8:$B$16,MATCH(F199,Assumptions!$A$8:$A$16,0))</f>
        <v>23.625</v>
      </c>
      <c r="R199" s="22">
        <f>H199*Assumptions!$B$3</f>
        <v>14.795999999999999</v>
      </c>
      <c r="S199" s="22">
        <f t="shared" si="37"/>
        <v>-0.92099999999999937</v>
      </c>
      <c r="T199" s="20" t="str">
        <f t="shared" si="38"/>
        <v>15-21 days</v>
      </c>
    </row>
    <row r="200" spans="1:20" x14ac:dyDescent="0.3">
      <c r="A200" s="20" t="s">
        <v>266</v>
      </c>
      <c r="B200" s="20" t="s">
        <v>93</v>
      </c>
      <c r="C200" s="21">
        <v>45453</v>
      </c>
      <c r="D200" s="21">
        <v>45482</v>
      </c>
      <c r="E200" s="21">
        <v>45483</v>
      </c>
      <c r="F200" s="20" t="s">
        <v>44</v>
      </c>
      <c r="G200" s="22">
        <v>83.5</v>
      </c>
      <c r="H200" s="22">
        <v>35.64</v>
      </c>
      <c r="I200" s="20" t="s">
        <v>45</v>
      </c>
      <c r="J200" s="20">
        <v>3</v>
      </c>
      <c r="K200" s="20" t="s">
        <v>46</v>
      </c>
      <c r="L200" s="23">
        <f t="shared" si="32"/>
        <v>45444</v>
      </c>
      <c r="M200" s="20">
        <f t="shared" si="33"/>
        <v>29</v>
      </c>
      <c r="N200" s="20">
        <f t="shared" si="34"/>
        <v>0</v>
      </c>
      <c r="O200" s="20">
        <f t="shared" si="35"/>
        <v>1</v>
      </c>
      <c r="P200" s="22">
        <f t="shared" si="36"/>
        <v>119.14</v>
      </c>
      <c r="Q200" s="22">
        <f>G200*INDEX(Assumptions!$B$8:$B$16,MATCH(F200,Assumptions!$A$8:$A$16,0))</f>
        <v>50.1</v>
      </c>
      <c r="R200" s="22">
        <f>H200*Assumptions!$B$3</f>
        <v>21.384</v>
      </c>
      <c r="S200" s="22">
        <f t="shared" si="37"/>
        <v>12.015999999999998</v>
      </c>
      <c r="T200" s="20" t="str">
        <f t="shared" si="38"/>
        <v>22+ days</v>
      </c>
    </row>
    <row r="201" spans="1:20" x14ac:dyDescent="0.3">
      <c r="A201" s="20" t="s">
        <v>267</v>
      </c>
      <c r="B201" s="20" t="s">
        <v>19</v>
      </c>
      <c r="C201" s="21">
        <v>45454</v>
      </c>
      <c r="D201" s="21">
        <v>45464</v>
      </c>
      <c r="E201" s="21">
        <v>45467</v>
      </c>
      <c r="F201" s="20" t="s">
        <v>59</v>
      </c>
      <c r="G201" s="22">
        <v>170.8</v>
      </c>
      <c r="H201" s="22">
        <v>17.43</v>
      </c>
      <c r="I201" s="20" t="s">
        <v>45</v>
      </c>
      <c r="J201" s="20">
        <v>3</v>
      </c>
      <c r="K201" s="20" t="s">
        <v>46</v>
      </c>
      <c r="L201" s="23">
        <f t="shared" si="32"/>
        <v>45444</v>
      </c>
      <c r="M201" s="20">
        <f t="shared" si="33"/>
        <v>10</v>
      </c>
      <c r="N201" s="20">
        <f t="shared" si="34"/>
        <v>0</v>
      </c>
      <c r="O201" s="20">
        <f t="shared" si="35"/>
        <v>1</v>
      </c>
      <c r="P201" s="22">
        <f t="shared" si="36"/>
        <v>188.23000000000002</v>
      </c>
      <c r="Q201" s="22">
        <f>G201*INDEX(Assumptions!$B$8:$B$16,MATCH(F201,Assumptions!$A$8:$A$16,0))</f>
        <v>109.31200000000001</v>
      </c>
      <c r="R201" s="22">
        <f>H201*Assumptions!$B$3</f>
        <v>10.458</v>
      </c>
      <c r="S201" s="22">
        <f t="shared" si="37"/>
        <v>51.03</v>
      </c>
      <c r="T201" s="20" t="str">
        <f t="shared" si="38"/>
        <v>8-14 days</v>
      </c>
    </row>
    <row r="202" spans="1:20" x14ac:dyDescent="0.3">
      <c r="A202" s="20" t="s">
        <v>268</v>
      </c>
      <c r="B202" s="20" t="s">
        <v>19</v>
      </c>
      <c r="C202" s="21">
        <v>45454</v>
      </c>
      <c r="D202" s="21">
        <v>45463</v>
      </c>
      <c r="E202" s="21">
        <v>45470</v>
      </c>
      <c r="F202" s="20" t="s">
        <v>79</v>
      </c>
      <c r="G202" s="22">
        <v>96.99</v>
      </c>
      <c r="H202" s="22">
        <v>22.04</v>
      </c>
      <c r="I202" s="20" t="s">
        <v>45</v>
      </c>
      <c r="J202" s="20">
        <v>5</v>
      </c>
      <c r="K202" s="20" t="s">
        <v>46</v>
      </c>
      <c r="L202" s="23">
        <f t="shared" si="32"/>
        <v>45444</v>
      </c>
      <c r="M202" s="20">
        <f t="shared" si="33"/>
        <v>9</v>
      </c>
      <c r="N202" s="20">
        <f t="shared" si="34"/>
        <v>0</v>
      </c>
      <c r="O202" s="20">
        <f t="shared" si="35"/>
        <v>1</v>
      </c>
      <c r="P202" s="22">
        <f t="shared" si="36"/>
        <v>119.03</v>
      </c>
      <c r="Q202" s="22">
        <f>G202*INDEX(Assumptions!$B$8:$B$16,MATCH(F202,Assumptions!$A$8:$A$16,0))</f>
        <v>67.892999999999986</v>
      </c>
      <c r="R202" s="22">
        <f>H202*Assumptions!$B$3</f>
        <v>13.223999999999998</v>
      </c>
      <c r="S202" s="22">
        <f t="shared" si="37"/>
        <v>15.87300000000001</v>
      </c>
      <c r="T202" s="20" t="str">
        <f t="shared" si="38"/>
        <v>8-14 days</v>
      </c>
    </row>
    <row r="203" spans="1:20" x14ac:dyDescent="0.3">
      <c r="A203" s="20" t="s">
        <v>269</v>
      </c>
      <c r="B203" s="20" t="s">
        <v>55</v>
      </c>
      <c r="C203" s="21">
        <v>45455</v>
      </c>
      <c r="D203" s="21">
        <v>45468</v>
      </c>
      <c r="E203" s="21">
        <v>45483</v>
      </c>
      <c r="F203" s="20" t="s">
        <v>67</v>
      </c>
      <c r="G203" s="22">
        <v>66.849999999999994</v>
      </c>
      <c r="H203" s="22">
        <v>27.22</v>
      </c>
      <c r="I203" s="20" t="s">
        <v>45</v>
      </c>
      <c r="J203" s="20">
        <v>3</v>
      </c>
      <c r="K203" s="20" t="s">
        <v>46</v>
      </c>
      <c r="L203" s="23">
        <f t="shared" si="32"/>
        <v>45444</v>
      </c>
      <c r="M203" s="20">
        <f t="shared" si="33"/>
        <v>13</v>
      </c>
      <c r="N203" s="20">
        <f t="shared" si="34"/>
        <v>0</v>
      </c>
      <c r="O203" s="20">
        <f t="shared" si="35"/>
        <v>1</v>
      </c>
      <c r="P203" s="22">
        <f t="shared" si="36"/>
        <v>94.07</v>
      </c>
      <c r="Q203" s="22">
        <f>G203*INDEX(Assumptions!$B$8:$B$16,MATCH(F203,Assumptions!$A$8:$A$16,0))</f>
        <v>41.446999999999996</v>
      </c>
      <c r="R203" s="22">
        <f>H203*Assumptions!$B$3</f>
        <v>16.331999999999997</v>
      </c>
      <c r="S203" s="22">
        <f t="shared" si="37"/>
        <v>9.0710000000000015</v>
      </c>
      <c r="T203" s="20" t="str">
        <f t="shared" si="38"/>
        <v>8-14 days</v>
      </c>
    </row>
    <row r="204" spans="1:20" x14ac:dyDescent="0.3">
      <c r="A204" s="20" t="s">
        <v>270</v>
      </c>
      <c r="B204" s="20" t="s">
        <v>52</v>
      </c>
      <c r="C204" s="21">
        <v>45455</v>
      </c>
      <c r="D204" s="21">
        <v>45466</v>
      </c>
      <c r="E204" s="21">
        <v>45483</v>
      </c>
      <c r="F204" s="20" t="s">
        <v>49</v>
      </c>
      <c r="G204" s="22">
        <v>53.51</v>
      </c>
      <c r="H204" s="22">
        <v>24.3</v>
      </c>
      <c r="I204" s="20" t="s">
        <v>45</v>
      </c>
      <c r="J204" s="20">
        <v>4</v>
      </c>
      <c r="K204" s="20" t="s">
        <v>46</v>
      </c>
      <c r="L204" s="23">
        <f t="shared" si="32"/>
        <v>45444</v>
      </c>
      <c r="M204" s="20">
        <f t="shared" si="33"/>
        <v>11</v>
      </c>
      <c r="N204" s="20">
        <f t="shared" si="34"/>
        <v>0</v>
      </c>
      <c r="O204" s="20">
        <f t="shared" si="35"/>
        <v>1</v>
      </c>
      <c r="P204" s="22">
        <f t="shared" si="36"/>
        <v>77.81</v>
      </c>
      <c r="Q204" s="22">
        <f>G204*INDEX(Assumptions!$B$8:$B$16,MATCH(F204,Assumptions!$A$8:$A$16,0))</f>
        <v>31.035799999999998</v>
      </c>
      <c r="R204" s="22">
        <f>H204*Assumptions!$B$3</f>
        <v>14.58</v>
      </c>
      <c r="S204" s="22">
        <f t="shared" si="37"/>
        <v>7.8941999999999997</v>
      </c>
      <c r="T204" s="20" t="str">
        <f t="shared" si="38"/>
        <v>8-14 days</v>
      </c>
    </row>
    <row r="205" spans="1:20" x14ac:dyDescent="0.3">
      <c r="A205" s="20" t="s">
        <v>271</v>
      </c>
      <c r="B205" s="20" t="s">
        <v>156</v>
      </c>
      <c r="C205" s="21">
        <v>45456</v>
      </c>
      <c r="D205" s="21">
        <v>45476</v>
      </c>
      <c r="E205" s="21">
        <v>45484</v>
      </c>
      <c r="F205" s="20" t="s">
        <v>111</v>
      </c>
      <c r="G205" s="22">
        <v>66.89</v>
      </c>
      <c r="H205" s="22">
        <v>30.61</v>
      </c>
      <c r="I205" s="20" t="s">
        <v>45</v>
      </c>
      <c r="J205" s="20">
        <v>4</v>
      </c>
      <c r="K205" s="20" t="s">
        <v>46</v>
      </c>
      <c r="L205" s="23">
        <f t="shared" si="32"/>
        <v>45444</v>
      </c>
      <c r="M205" s="20">
        <f t="shared" si="33"/>
        <v>20</v>
      </c>
      <c r="N205" s="20">
        <f t="shared" si="34"/>
        <v>0</v>
      </c>
      <c r="O205" s="20">
        <f t="shared" si="35"/>
        <v>1</v>
      </c>
      <c r="P205" s="22">
        <f t="shared" si="36"/>
        <v>97.5</v>
      </c>
      <c r="Q205" s="22">
        <f>G205*INDEX(Assumptions!$B$8:$B$16,MATCH(F205,Assumptions!$A$8:$A$16,0))</f>
        <v>42.140700000000002</v>
      </c>
      <c r="R205" s="22">
        <f>H205*Assumptions!$B$3</f>
        <v>18.366</v>
      </c>
      <c r="S205" s="22">
        <f t="shared" si="37"/>
        <v>6.3832999999999984</v>
      </c>
      <c r="T205" s="20" t="str">
        <f t="shared" si="38"/>
        <v>15-21 days</v>
      </c>
    </row>
    <row r="206" spans="1:20" x14ac:dyDescent="0.3">
      <c r="A206" s="20" t="s">
        <v>272</v>
      </c>
      <c r="B206" s="20" t="s">
        <v>62</v>
      </c>
      <c r="C206" s="21">
        <v>45456</v>
      </c>
      <c r="D206" s="21">
        <v>45463</v>
      </c>
      <c r="E206" s="21">
        <v>45476</v>
      </c>
      <c r="F206" s="20" t="s">
        <v>67</v>
      </c>
      <c r="G206" s="22">
        <v>21.88</v>
      </c>
      <c r="H206" s="22">
        <v>15.5</v>
      </c>
      <c r="I206" s="20" t="s">
        <v>45</v>
      </c>
      <c r="J206" s="20">
        <v>5</v>
      </c>
      <c r="K206" s="20" t="s">
        <v>46</v>
      </c>
      <c r="L206" s="23">
        <f t="shared" si="32"/>
        <v>45444</v>
      </c>
      <c r="M206" s="20">
        <f t="shared" si="33"/>
        <v>7</v>
      </c>
      <c r="N206" s="20">
        <f t="shared" si="34"/>
        <v>0</v>
      </c>
      <c r="O206" s="20">
        <f t="shared" si="35"/>
        <v>1</v>
      </c>
      <c r="P206" s="22">
        <f t="shared" si="36"/>
        <v>37.379999999999995</v>
      </c>
      <c r="Q206" s="22">
        <f>G206*INDEX(Assumptions!$B$8:$B$16,MATCH(F206,Assumptions!$A$8:$A$16,0))</f>
        <v>13.5656</v>
      </c>
      <c r="R206" s="22">
        <f>H206*Assumptions!$B$3</f>
        <v>9.2999999999999989</v>
      </c>
      <c r="S206" s="22">
        <f t="shared" si="37"/>
        <v>-0.98559999999999981</v>
      </c>
      <c r="T206" s="20" t="str">
        <f t="shared" si="38"/>
        <v>0-7 days</v>
      </c>
    </row>
    <row r="207" spans="1:20" x14ac:dyDescent="0.3">
      <c r="A207" s="20" t="s">
        <v>273</v>
      </c>
      <c r="B207" s="20" t="s">
        <v>19</v>
      </c>
      <c r="C207" s="21">
        <v>45457</v>
      </c>
      <c r="D207" s="21">
        <v>45468</v>
      </c>
      <c r="E207" s="21">
        <v>45474</v>
      </c>
      <c r="F207" s="20" t="s">
        <v>111</v>
      </c>
      <c r="G207" s="22">
        <v>44.96</v>
      </c>
      <c r="H207" s="22">
        <v>16.600000000000001</v>
      </c>
      <c r="I207" s="20" t="s">
        <v>45</v>
      </c>
      <c r="J207" s="20">
        <v>5</v>
      </c>
      <c r="K207" s="20" t="s">
        <v>46</v>
      </c>
      <c r="L207" s="23">
        <f t="shared" si="32"/>
        <v>45444</v>
      </c>
      <c r="M207" s="20">
        <f t="shared" si="33"/>
        <v>11</v>
      </c>
      <c r="N207" s="20">
        <f t="shared" si="34"/>
        <v>0</v>
      </c>
      <c r="O207" s="20">
        <f t="shared" si="35"/>
        <v>1</v>
      </c>
      <c r="P207" s="22">
        <f t="shared" si="36"/>
        <v>61.56</v>
      </c>
      <c r="Q207" s="22">
        <f>G207*INDEX(Assumptions!$B$8:$B$16,MATCH(F207,Assumptions!$A$8:$A$16,0))</f>
        <v>28.3248</v>
      </c>
      <c r="R207" s="22">
        <f>H207*Assumptions!$B$3</f>
        <v>9.9600000000000009</v>
      </c>
      <c r="S207" s="22">
        <f t="shared" si="37"/>
        <v>6.6752000000000002</v>
      </c>
      <c r="T207" s="20" t="str">
        <f t="shared" si="38"/>
        <v>8-14 days</v>
      </c>
    </row>
    <row r="208" spans="1:20" x14ac:dyDescent="0.3">
      <c r="A208" s="20" t="s">
        <v>274</v>
      </c>
      <c r="B208" s="20" t="s">
        <v>19</v>
      </c>
      <c r="C208" s="21">
        <v>45457</v>
      </c>
      <c r="D208" s="21">
        <v>45467</v>
      </c>
      <c r="E208" s="21">
        <v>45473</v>
      </c>
      <c r="F208" s="20" t="s">
        <v>53</v>
      </c>
      <c r="G208" s="22">
        <v>367.05</v>
      </c>
      <c r="H208" s="22">
        <v>20.16</v>
      </c>
      <c r="I208" s="20" t="s">
        <v>45</v>
      </c>
      <c r="J208" s="20">
        <v>4</v>
      </c>
      <c r="K208" s="20" t="s">
        <v>46</v>
      </c>
      <c r="L208" s="23">
        <f t="shared" si="32"/>
        <v>45444</v>
      </c>
      <c r="M208" s="20">
        <f t="shared" si="33"/>
        <v>10</v>
      </c>
      <c r="N208" s="20">
        <f t="shared" si="34"/>
        <v>0</v>
      </c>
      <c r="O208" s="20">
        <f t="shared" si="35"/>
        <v>1</v>
      </c>
      <c r="P208" s="22">
        <f t="shared" si="36"/>
        <v>387.21000000000004</v>
      </c>
      <c r="Q208" s="22">
        <f>G208*INDEX(Assumptions!$B$8:$B$16,MATCH(F208,Assumptions!$A$8:$A$16,0))</f>
        <v>271.61700000000002</v>
      </c>
      <c r="R208" s="22">
        <f>H208*Assumptions!$B$3</f>
        <v>12.096</v>
      </c>
      <c r="S208" s="22">
        <f t="shared" si="37"/>
        <v>83.336999999999989</v>
      </c>
      <c r="T208" s="20" t="str">
        <f t="shared" si="38"/>
        <v>8-14 days</v>
      </c>
    </row>
    <row r="209" spans="1:20" x14ac:dyDescent="0.3">
      <c r="A209" s="20" t="s">
        <v>275</v>
      </c>
      <c r="B209" s="20" t="s">
        <v>62</v>
      </c>
      <c r="C209" s="21">
        <v>45458</v>
      </c>
      <c r="D209" s="21">
        <v>45472</v>
      </c>
      <c r="E209" s="21">
        <v>45481</v>
      </c>
      <c r="F209" s="20" t="s">
        <v>49</v>
      </c>
      <c r="G209" s="22">
        <v>47.24</v>
      </c>
      <c r="H209" s="22">
        <v>17.03</v>
      </c>
      <c r="I209" s="20" t="s">
        <v>45</v>
      </c>
      <c r="J209" s="20">
        <v>5</v>
      </c>
      <c r="K209" s="20" t="s">
        <v>46</v>
      </c>
      <c r="L209" s="23">
        <f t="shared" si="32"/>
        <v>45444</v>
      </c>
      <c r="M209" s="20">
        <f t="shared" si="33"/>
        <v>14</v>
      </c>
      <c r="N209" s="20">
        <f t="shared" si="34"/>
        <v>0</v>
      </c>
      <c r="O209" s="20">
        <f t="shared" si="35"/>
        <v>1</v>
      </c>
      <c r="P209" s="22">
        <f t="shared" si="36"/>
        <v>64.27000000000001</v>
      </c>
      <c r="Q209" s="22">
        <f>G209*INDEX(Assumptions!$B$8:$B$16,MATCH(F209,Assumptions!$A$8:$A$16,0))</f>
        <v>27.3992</v>
      </c>
      <c r="R209" s="22">
        <f>H209*Assumptions!$B$3</f>
        <v>10.218</v>
      </c>
      <c r="S209" s="22">
        <f t="shared" si="37"/>
        <v>9.6228000000000016</v>
      </c>
      <c r="T209" s="20" t="str">
        <f t="shared" si="38"/>
        <v>8-14 days</v>
      </c>
    </row>
    <row r="210" spans="1:20" x14ac:dyDescent="0.3">
      <c r="A210" s="20" t="s">
        <v>276</v>
      </c>
      <c r="B210" s="20" t="s">
        <v>62</v>
      </c>
      <c r="C210" s="21">
        <v>45458</v>
      </c>
      <c r="D210" s="21">
        <v>45467</v>
      </c>
      <c r="E210" s="21">
        <v>45479</v>
      </c>
      <c r="F210" s="20" t="s">
        <v>111</v>
      </c>
      <c r="G210" s="22">
        <v>114.48</v>
      </c>
      <c r="H210" s="22">
        <v>17.7</v>
      </c>
      <c r="I210" s="20" t="s">
        <v>45</v>
      </c>
      <c r="J210" s="20">
        <v>5</v>
      </c>
      <c r="K210" s="20" t="s">
        <v>46</v>
      </c>
      <c r="L210" s="23">
        <f t="shared" si="32"/>
        <v>45444</v>
      </c>
      <c r="M210" s="20">
        <f t="shared" si="33"/>
        <v>9</v>
      </c>
      <c r="N210" s="20">
        <f t="shared" si="34"/>
        <v>0</v>
      </c>
      <c r="O210" s="20">
        <f t="shared" si="35"/>
        <v>1</v>
      </c>
      <c r="P210" s="22">
        <f t="shared" si="36"/>
        <v>132.18</v>
      </c>
      <c r="Q210" s="22">
        <f>G210*INDEX(Assumptions!$B$8:$B$16,MATCH(F210,Assumptions!$A$8:$A$16,0))</f>
        <v>72.122399999999999</v>
      </c>
      <c r="R210" s="22">
        <f>H210*Assumptions!$B$3</f>
        <v>10.62</v>
      </c>
      <c r="S210" s="22">
        <f t="shared" si="37"/>
        <v>31.737600000000008</v>
      </c>
      <c r="T210" s="20" t="str">
        <f t="shared" si="38"/>
        <v>8-14 days</v>
      </c>
    </row>
    <row r="211" spans="1:20" x14ac:dyDescent="0.3">
      <c r="A211" s="20" t="s">
        <v>277</v>
      </c>
      <c r="B211" s="20" t="s">
        <v>19</v>
      </c>
      <c r="C211" s="21">
        <v>45459</v>
      </c>
      <c r="D211" s="21">
        <v>45467</v>
      </c>
      <c r="E211" s="21">
        <v>45473</v>
      </c>
      <c r="F211" s="20" t="s">
        <v>79</v>
      </c>
      <c r="G211" s="22">
        <v>201.98</v>
      </c>
      <c r="H211" s="22">
        <v>14.79</v>
      </c>
      <c r="I211" s="20" t="s">
        <v>45</v>
      </c>
      <c r="J211" s="20">
        <v>4</v>
      </c>
      <c r="K211" s="20" t="s">
        <v>46</v>
      </c>
      <c r="L211" s="23">
        <f t="shared" si="32"/>
        <v>45444</v>
      </c>
      <c r="M211" s="20">
        <f t="shared" si="33"/>
        <v>8</v>
      </c>
      <c r="N211" s="20">
        <f t="shared" si="34"/>
        <v>0</v>
      </c>
      <c r="O211" s="20">
        <f t="shared" si="35"/>
        <v>1</v>
      </c>
      <c r="P211" s="22">
        <f t="shared" si="36"/>
        <v>216.76999999999998</v>
      </c>
      <c r="Q211" s="22">
        <f>G211*INDEX(Assumptions!$B$8:$B$16,MATCH(F211,Assumptions!$A$8:$A$16,0))</f>
        <v>141.386</v>
      </c>
      <c r="R211" s="22">
        <f>H211*Assumptions!$B$3</f>
        <v>8.8739999999999988</v>
      </c>
      <c r="S211" s="22">
        <f t="shared" si="37"/>
        <v>51.72</v>
      </c>
      <c r="T211" s="20" t="str">
        <f t="shared" si="38"/>
        <v>8-14 days</v>
      </c>
    </row>
    <row r="212" spans="1:20" x14ac:dyDescent="0.3">
      <c r="A212" s="20" t="s">
        <v>278</v>
      </c>
      <c r="B212" s="20" t="s">
        <v>19</v>
      </c>
      <c r="C212" s="21">
        <v>45460</v>
      </c>
      <c r="D212" s="21">
        <v>45473</v>
      </c>
      <c r="E212" s="21">
        <v>45474</v>
      </c>
      <c r="F212" s="20" t="s">
        <v>64</v>
      </c>
      <c r="G212" s="22">
        <v>144.61000000000001</v>
      </c>
      <c r="H212" s="22">
        <v>16.3</v>
      </c>
      <c r="I212" s="20" t="s">
        <v>45</v>
      </c>
      <c r="J212" s="20">
        <v>4</v>
      </c>
      <c r="K212" s="20" t="s">
        <v>46</v>
      </c>
      <c r="L212" s="23">
        <f t="shared" si="32"/>
        <v>45444</v>
      </c>
      <c r="M212" s="20">
        <f t="shared" si="33"/>
        <v>13</v>
      </c>
      <c r="N212" s="20">
        <f t="shared" si="34"/>
        <v>0</v>
      </c>
      <c r="O212" s="20">
        <f t="shared" si="35"/>
        <v>1</v>
      </c>
      <c r="P212" s="22">
        <f t="shared" si="36"/>
        <v>160.91000000000003</v>
      </c>
      <c r="Q212" s="22">
        <f>G212*INDEX(Assumptions!$B$8:$B$16,MATCH(F212,Assumptions!$A$8:$A$16,0))</f>
        <v>95.442600000000013</v>
      </c>
      <c r="R212" s="22">
        <f>H212*Assumptions!$B$3</f>
        <v>9.7799999999999994</v>
      </c>
      <c r="S212" s="22">
        <f t="shared" si="37"/>
        <v>39.3874</v>
      </c>
      <c r="T212" s="20" t="str">
        <f t="shared" si="38"/>
        <v>8-14 days</v>
      </c>
    </row>
    <row r="213" spans="1:20" x14ac:dyDescent="0.3">
      <c r="A213" s="20" t="s">
        <v>279</v>
      </c>
      <c r="B213" s="20" t="s">
        <v>19</v>
      </c>
      <c r="C213" s="21">
        <v>45460</v>
      </c>
      <c r="D213" s="21">
        <v>45464</v>
      </c>
      <c r="E213" s="21">
        <v>45478</v>
      </c>
      <c r="F213" s="20" t="s">
        <v>53</v>
      </c>
      <c r="G213" s="22">
        <v>135.09</v>
      </c>
      <c r="H213" s="22">
        <v>22.16</v>
      </c>
      <c r="I213" s="20" t="s">
        <v>50</v>
      </c>
      <c r="J213" s="20">
        <v>3</v>
      </c>
      <c r="K213" s="20" t="s">
        <v>46</v>
      </c>
      <c r="L213" s="23">
        <f t="shared" si="32"/>
        <v>45444</v>
      </c>
      <c r="M213" s="20">
        <f t="shared" si="33"/>
        <v>4</v>
      </c>
      <c r="N213" s="20">
        <f t="shared" si="34"/>
        <v>0</v>
      </c>
      <c r="O213" s="20">
        <f t="shared" si="35"/>
        <v>1</v>
      </c>
      <c r="P213" s="22">
        <f t="shared" si="36"/>
        <v>157.25</v>
      </c>
      <c r="Q213" s="22">
        <f>G213*INDEX(Assumptions!$B$8:$B$16,MATCH(F213,Assumptions!$A$8:$A$16,0))</f>
        <v>99.9666</v>
      </c>
      <c r="R213" s="22">
        <f>H213*Assumptions!$B$3</f>
        <v>13.295999999999999</v>
      </c>
      <c r="S213" s="22">
        <f t="shared" si="37"/>
        <v>21.827400000000004</v>
      </c>
      <c r="T213" s="20" t="str">
        <f t="shared" si="38"/>
        <v>0-7 days</v>
      </c>
    </row>
    <row r="214" spans="1:20" x14ac:dyDescent="0.3">
      <c r="A214" s="20" t="s">
        <v>280</v>
      </c>
      <c r="B214" s="20" t="s">
        <v>52</v>
      </c>
      <c r="C214" s="21">
        <v>45461</v>
      </c>
      <c r="D214" s="21">
        <v>45487</v>
      </c>
      <c r="E214" s="21">
        <v>45485</v>
      </c>
      <c r="F214" s="20" t="s">
        <v>79</v>
      </c>
      <c r="G214" s="22">
        <v>180.18</v>
      </c>
      <c r="H214" s="22">
        <v>31.54</v>
      </c>
      <c r="I214" s="20" t="s">
        <v>45</v>
      </c>
      <c r="J214" s="20">
        <v>4</v>
      </c>
      <c r="K214" s="20" t="s">
        <v>46</v>
      </c>
      <c r="L214" s="23">
        <f t="shared" si="32"/>
        <v>45444</v>
      </c>
      <c r="M214" s="20">
        <f t="shared" si="33"/>
        <v>26</v>
      </c>
      <c r="N214" s="20">
        <f t="shared" si="34"/>
        <v>2</v>
      </c>
      <c r="O214" s="20">
        <f t="shared" si="35"/>
        <v>0</v>
      </c>
      <c r="P214" s="22">
        <f t="shared" si="36"/>
        <v>211.72</v>
      </c>
      <c r="Q214" s="22">
        <f>G214*INDEX(Assumptions!$B$8:$B$16,MATCH(F214,Assumptions!$A$8:$A$16,0))</f>
        <v>126.12599999999999</v>
      </c>
      <c r="R214" s="22">
        <f>H214*Assumptions!$B$3</f>
        <v>18.923999999999999</v>
      </c>
      <c r="S214" s="22">
        <f t="shared" si="37"/>
        <v>35.130000000000017</v>
      </c>
      <c r="T214" s="20" t="str">
        <f t="shared" si="38"/>
        <v>22+ days</v>
      </c>
    </row>
    <row r="215" spans="1:20" x14ac:dyDescent="0.3">
      <c r="A215" s="20" t="s">
        <v>281</v>
      </c>
      <c r="B215" s="20" t="s">
        <v>19</v>
      </c>
      <c r="C215" s="21">
        <v>45461</v>
      </c>
      <c r="D215" s="21">
        <v>45470</v>
      </c>
      <c r="E215" s="21">
        <v>45474</v>
      </c>
      <c r="F215" s="20" t="s">
        <v>111</v>
      </c>
      <c r="G215" s="22">
        <v>79.22</v>
      </c>
      <c r="H215" s="22">
        <v>19.2</v>
      </c>
      <c r="I215" s="20" t="s">
        <v>50</v>
      </c>
      <c r="J215" s="20">
        <v>4</v>
      </c>
      <c r="K215" s="20" t="s">
        <v>46</v>
      </c>
      <c r="L215" s="23">
        <f t="shared" si="32"/>
        <v>45444</v>
      </c>
      <c r="M215" s="20">
        <f t="shared" si="33"/>
        <v>9</v>
      </c>
      <c r="N215" s="20">
        <f t="shared" si="34"/>
        <v>0</v>
      </c>
      <c r="O215" s="20">
        <f t="shared" si="35"/>
        <v>1</v>
      </c>
      <c r="P215" s="22">
        <f t="shared" si="36"/>
        <v>98.42</v>
      </c>
      <c r="Q215" s="22">
        <f>G215*INDEX(Assumptions!$B$8:$B$16,MATCH(F215,Assumptions!$A$8:$A$16,0))</f>
        <v>49.9086</v>
      </c>
      <c r="R215" s="22">
        <f>H215*Assumptions!$B$3</f>
        <v>11.52</v>
      </c>
      <c r="S215" s="22">
        <f t="shared" si="37"/>
        <v>17.791399999999999</v>
      </c>
      <c r="T215" s="20" t="str">
        <f t="shared" si="38"/>
        <v>8-14 days</v>
      </c>
    </row>
    <row r="216" spans="1:20" x14ac:dyDescent="0.3">
      <c r="A216" s="20" t="s">
        <v>282</v>
      </c>
      <c r="B216" s="20" t="s">
        <v>52</v>
      </c>
      <c r="C216" s="21">
        <v>45462</v>
      </c>
      <c r="D216" s="21">
        <v>45472</v>
      </c>
      <c r="E216" s="21">
        <v>45485</v>
      </c>
      <c r="F216" s="20" t="s">
        <v>53</v>
      </c>
      <c r="G216" s="22">
        <v>145.22</v>
      </c>
      <c r="H216" s="22">
        <v>25.83</v>
      </c>
      <c r="I216" s="20" t="s">
        <v>45</v>
      </c>
      <c r="J216" s="20">
        <v>4</v>
      </c>
      <c r="K216" s="20" t="s">
        <v>46</v>
      </c>
      <c r="L216" s="23">
        <f t="shared" si="32"/>
        <v>45444</v>
      </c>
      <c r="M216" s="20">
        <f t="shared" si="33"/>
        <v>10</v>
      </c>
      <c r="N216" s="20">
        <f t="shared" si="34"/>
        <v>0</v>
      </c>
      <c r="O216" s="20">
        <f t="shared" si="35"/>
        <v>1</v>
      </c>
      <c r="P216" s="22">
        <f t="shared" si="36"/>
        <v>171.05</v>
      </c>
      <c r="Q216" s="22">
        <f>G216*INDEX(Assumptions!$B$8:$B$16,MATCH(F216,Assumptions!$A$8:$A$16,0))</f>
        <v>107.4628</v>
      </c>
      <c r="R216" s="22">
        <f>H216*Assumptions!$B$3</f>
        <v>15.497999999999998</v>
      </c>
      <c r="S216" s="22">
        <f t="shared" si="37"/>
        <v>22.2592</v>
      </c>
      <c r="T216" s="20" t="str">
        <f t="shared" si="38"/>
        <v>8-14 days</v>
      </c>
    </row>
    <row r="217" spans="1:20" x14ac:dyDescent="0.3">
      <c r="A217" s="20" t="s">
        <v>283</v>
      </c>
      <c r="B217" s="20" t="s">
        <v>19</v>
      </c>
      <c r="C217" s="21">
        <v>45462</v>
      </c>
      <c r="D217" s="21">
        <v>45470</v>
      </c>
      <c r="E217" s="21">
        <v>45477</v>
      </c>
      <c r="F217" s="20" t="s">
        <v>53</v>
      </c>
      <c r="G217" s="22">
        <v>149.11000000000001</v>
      </c>
      <c r="H217" s="22">
        <v>18.86</v>
      </c>
      <c r="I217" s="20" t="s">
        <v>45</v>
      </c>
      <c r="J217" s="20">
        <v>5</v>
      </c>
      <c r="K217" s="20" t="s">
        <v>46</v>
      </c>
      <c r="L217" s="23">
        <f t="shared" si="32"/>
        <v>45444</v>
      </c>
      <c r="M217" s="20">
        <f t="shared" si="33"/>
        <v>8</v>
      </c>
      <c r="N217" s="20">
        <f t="shared" si="34"/>
        <v>0</v>
      </c>
      <c r="O217" s="20">
        <f t="shared" si="35"/>
        <v>1</v>
      </c>
      <c r="P217" s="22">
        <f t="shared" si="36"/>
        <v>167.97000000000003</v>
      </c>
      <c r="Q217" s="22">
        <f>G217*INDEX(Assumptions!$B$8:$B$16,MATCH(F217,Assumptions!$A$8:$A$16,0))</f>
        <v>110.34140000000001</v>
      </c>
      <c r="R217" s="22">
        <f>H217*Assumptions!$B$3</f>
        <v>11.315999999999999</v>
      </c>
      <c r="S217" s="22">
        <f t="shared" si="37"/>
        <v>27.452600000000007</v>
      </c>
      <c r="T217" s="20" t="str">
        <f t="shared" si="38"/>
        <v>8-14 days</v>
      </c>
    </row>
    <row r="218" spans="1:20" x14ac:dyDescent="0.3">
      <c r="A218" s="20" t="s">
        <v>284</v>
      </c>
      <c r="B218" s="20" t="s">
        <v>55</v>
      </c>
      <c r="C218" s="21">
        <v>45462</v>
      </c>
      <c r="D218" s="21">
        <v>45477</v>
      </c>
      <c r="E218" s="21">
        <v>45485</v>
      </c>
      <c r="F218" s="20" t="s">
        <v>67</v>
      </c>
      <c r="G218" s="22">
        <v>103.96</v>
      </c>
      <c r="H218" s="22">
        <v>25.53</v>
      </c>
      <c r="I218" s="20" t="s">
        <v>60</v>
      </c>
      <c r="J218" s="20">
        <v>2</v>
      </c>
      <c r="K218" s="20" t="s">
        <v>46</v>
      </c>
      <c r="L218" s="23">
        <f t="shared" si="32"/>
        <v>45444</v>
      </c>
      <c r="M218" s="20">
        <f t="shared" si="33"/>
        <v>15</v>
      </c>
      <c r="N218" s="20">
        <f t="shared" si="34"/>
        <v>0</v>
      </c>
      <c r="O218" s="20">
        <f t="shared" si="35"/>
        <v>1</v>
      </c>
      <c r="P218" s="22">
        <f t="shared" si="36"/>
        <v>129.49</v>
      </c>
      <c r="Q218" s="22">
        <f>G218*INDEX(Assumptions!$B$8:$B$16,MATCH(F218,Assumptions!$A$8:$A$16,0))</f>
        <v>64.455199999999991</v>
      </c>
      <c r="R218" s="22">
        <f>H218*Assumptions!$B$3</f>
        <v>15.318</v>
      </c>
      <c r="S218" s="22">
        <f t="shared" si="37"/>
        <v>24.186800000000005</v>
      </c>
      <c r="T218" s="20" t="str">
        <f t="shared" si="38"/>
        <v>15-21 days</v>
      </c>
    </row>
    <row r="219" spans="1:20" x14ac:dyDescent="0.3">
      <c r="A219" s="20" t="s">
        <v>285</v>
      </c>
      <c r="B219" s="20" t="s">
        <v>19</v>
      </c>
      <c r="C219" s="21">
        <v>45462</v>
      </c>
      <c r="D219" s="21">
        <v>45466</v>
      </c>
      <c r="E219" s="21">
        <v>45475</v>
      </c>
      <c r="F219" s="20" t="s">
        <v>67</v>
      </c>
      <c r="G219" s="22">
        <v>49.74</v>
      </c>
      <c r="H219" s="22">
        <v>21.62</v>
      </c>
      <c r="I219" s="20" t="s">
        <v>45</v>
      </c>
      <c r="J219" s="20">
        <v>4</v>
      </c>
      <c r="K219" s="20" t="s">
        <v>46</v>
      </c>
      <c r="L219" s="23">
        <f t="shared" si="32"/>
        <v>45444</v>
      </c>
      <c r="M219" s="20">
        <f t="shared" si="33"/>
        <v>4</v>
      </c>
      <c r="N219" s="20">
        <f t="shared" si="34"/>
        <v>0</v>
      </c>
      <c r="O219" s="20">
        <f t="shared" si="35"/>
        <v>1</v>
      </c>
      <c r="P219" s="22">
        <f t="shared" si="36"/>
        <v>71.36</v>
      </c>
      <c r="Q219" s="22">
        <f>G219*INDEX(Assumptions!$B$8:$B$16,MATCH(F219,Assumptions!$A$8:$A$16,0))</f>
        <v>30.838800000000003</v>
      </c>
      <c r="R219" s="22">
        <f>H219*Assumptions!$B$3</f>
        <v>12.972</v>
      </c>
      <c r="S219" s="22">
        <f t="shared" si="37"/>
        <v>5.9291999999999998</v>
      </c>
      <c r="T219" s="20" t="str">
        <f t="shared" si="38"/>
        <v>0-7 days</v>
      </c>
    </row>
    <row r="220" spans="1:20" x14ac:dyDescent="0.3">
      <c r="A220" s="20" t="s">
        <v>286</v>
      </c>
      <c r="B220" s="20" t="s">
        <v>156</v>
      </c>
      <c r="C220" s="21">
        <v>45463</v>
      </c>
      <c r="D220" s="21">
        <v>45480</v>
      </c>
      <c r="E220" s="21">
        <v>45487</v>
      </c>
      <c r="F220" s="20" t="s">
        <v>67</v>
      </c>
      <c r="G220" s="22">
        <v>156.41</v>
      </c>
      <c r="H220" s="22">
        <v>21.87</v>
      </c>
      <c r="I220" s="20" t="s">
        <v>60</v>
      </c>
      <c r="J220" s="20">
        <v>3</v>
      </c>
      <c r="K220" s="20" t="s">
        <v>46</v>
      </c>
      <c r="L220" s="23">
        <f t="shared" si="32"/>
        <v>45444</v>
      </c>
      <c r="M220" s="20">
        <f t="shared" si="33"/>
        <v>17</v>
      </c>
      <c r="N220" s="20">
        <f t="shared" si="34"/>
        <v>0</v>
      </c>
      <c r="O220" s="20">
        <f t="shared" si="35"/>
        <v>1</v>
      </c>
      <c r="P220" s="22">
        <f t="shared" si="36"/>
        <v>178.28</v>
      </c>
      <c r="Q220" s="22">
        <f>G220*INDEX(Assumptions!$B$8:$B$16,MATCH(F220,Assumptions!$A$8:$A$16,0))</f>
        <v>96.974199999999996</v>
      </c>
      <c r="R220" s="22">
        <f>H220*Assumptions!$B$3</f>
        <v>13.122</v>
      </c>
      <c r="S220" s="22">
        <f t="shared" si="37"/>
        <v>46.313800000000001</v>
      </c>
      <c r="T220" s="20" t="str">
        <f t="shared" si="38"/>
        <v>15-21 days</v>
      </c>
    </row>
    <row r="221" spans="1:20" x14ac:dyDescent="0.3">
      <c r="A221" s="20" t="s">
        <v>287</v>
      </c>
      <c r="B221" s="20" t="s">
        <v>62</v>
      </c>
      <c r="C221" s="21">
        <v>45465</v>
      </c>
      <c r="D221" s="21">
        <v>45476</v>
      </c>
      <c r="E221" s="21">
        <v>45483</v>
      </c>
      <c r="F221" s="20" t="s">
        <v>59</v>
      </c>
      <c r="G221" s="22">
        <v>30.6</v>
      </c>
      <c r="H221" s="22">
        <v>24.39</v>
      </c>
      <c r="I221" s="20" t="s">
        <v>45</v>
      </c>
      <c r="J221" s="20">
        <v>5</v>
      </c>
      <c r="K221" s="20" t="s">
        <v>46</v>
      </c>
      <c r="L221" s="23">
        <f t="shared" si="32"/>
        <v>45444</v>
      </c>
      <c r="M221" s="20">
        <f t="shared" si="33"/>
        <v>11</v>
      </c>
      <c r="N221" s="20">
        <f t="shared" si="34"/>
        <v>0</v>
      </c>
      <c r="O221" s="20">
        <f t="shared" si="35"/>
        <v>1</v>
      </c>
      <c r="P221" s="22">
        <f t="shared" si="36"/>
        <v>54.99</v>
      </c>
      <c r="Q221" s="22">
        <f>G221*INDEX(Assumptions!$B$8:$B$16,MATCH(F221,Assumptions!$A$8:$A$16,0))</f>
        <v>19.584</v>
      </c>
      <c r="R221" s="22">
        <f>H221*Assumptions!$B$3</f>
        <v>14.634</v>
      </c>
      <c r="S221" s="22">
        <f t="shared" si="37"/>
        <v>-3.6179999999999986</v>
      </c>
      <c r="T221" s="20" t="str">
        <f t="shared" si="38"/>
        <v>8-14 days</v>
      </c>
    </row>
    <row r="222" spans="1:20" x14ac:dyDescent="0.3">
      <c r="A222" s="20" t="s">
        <v>288</v>
      </c>
      <c r="B222" s="20" t="s">
        <v>19</v>
      </c>
      <c r="C222" s="21">
        <v>45465</v>
      </c>
      <c r="D222" s="21">
        <v>45472</v>
      </c>
      <c r="E222" s="21">
        <v>45478</v>
      </c>
      <c r="F222" s="20" t="s">
        <v>79</v>
      </c>
      <c r="G222" s="22">
        <v>73.63</v>
      </c>
      <c r="H222" s="22">
        <v>15.7</v>
      </c>
      <c r="I222" s="20" t="s">
        <v>60</v>
      </c>
      <c r="J222" s="20">
        <v>5</v>
      </c>
      <c r="K222" s="20" t="s">
        <v>46</v>
      </c>
      <c r="L222" s="23">
        <f t="shared" si="32"/>
        <v>45444</v>
      </c>
      <c r="M222" s="20">
        <f t="shared" si="33"/>
        <v>7</v>
      </c>
      <c r="N222" s="20">
        <f t="shared" si="34"/>
        <v>0</v>
      </c>
      <c r="O222" s="20">
        <f t="shared" si="35"/>
        <v>1</v>
      </c>
      <c r="P222" s="22">
        <f t="shared" si="36"/>
        <v>89.33</v>
      </c>
      <c r="Q222" s="22">
        <f>G222*INDEX(Assumptions!$B$8:$B$16,MATCH(F222,Assumptions!$A$8:$A$16,0))</f>
        <v>51.540999999999997</v>
      </c>
      <c r="R222" s="22">
        <f>H222*Assumptions!$B$3</f>
        <v>9.42</v>
      </c>
      <c r="S222" s="22">
        <f t="shared" si="37"/>
        <v>12.668999999999999</v>
      </c>
      <c r="T222" s="20" t="str">
        <f t="shared" si="38"/>
        <v>0-7 days</v>
      </c>
    </row>
    <row r="223" spans="1:20" x14ac:dyDescent="0.3">
      <c r="A223" s="20" t="s">
        <v>289</v>
      </c>
      <c r="B223" s="20" t="s">
        <v>77</v>
      </c>
      <c r="C223" s="21">
        <v>45466</v>
      </c>
      <c r="D223" s="21">
        <v>45482</v>
      </c>
      <c r="E223" s="21">
        <v>45494</v>
      </c>
      <c r="F223" s="20" t="s">
        <v>79</v>
      </c>
      <c r="G223" s="22">
        <v>75.38</v>
      </c>
      <c r="H223" s="22">
        <v>31.48</v>
      </c>
      <c r="I223" s="20" t="s">
        <v>60</v>
      </c>
      <c r="J223" s="20">
        <v>4</v>
      </c>
      <c r="K223" s="20" t="s">
        <v>46</v>
      </c>
      <c r="L223" s="23">
        <f t="shared" si="32"/>
        <v>45444</v>
      </c>
      <c r="M223" s="20">
        <f t="shared" si="33"/>
        <v>16</v>
      </c>
      <c r="N223" s="20">
        <f t="shared" si="34"/>
        <v>0</v>
      </c>
      <c r="O223" s="20">
        <f t="shared" si="35"/>
        <v>1</v>
      </c>
      <c r="P223" s="22">
        <f t="shared" si="36"/>
        <v>106.86</v>
      </c>
      <c r="Q223" s="22">
        <f>G223*INDEX(Assumptions!$B$8:$B$16,MATCH(F223,Assumptions!$A$8:$A$16,0))</f>
        <v>52.765999999999991</v>
      </c>
      <c r="R223" s="22">
        <f>H223*Assumptions!$B$3</f>
        <v>18.887999999999998</v>
      </c>
      <c r="S223" s="22">
        <f t="shared" si="37"/>
        <v>3.7260000000000062</v>
      </c>
      <c r="T223" s="20" t="str">
        <f t="shared" si="38"/>
        <v>15-21 days</v>
      </c>
    </row>
    <row r="224" spans="1:20" x14ac:dyDescent="0.3">
      <c r="A224" s="20" t="s">
        <v>290</v>
      </c>
      <c r="B224" s="20" t="s">
        <v>19</v>
      </c>
      <c r="C224" s="21">
        <v>45466</v>
      </c>
      <c r="D224" s="21">
        <v>45481</v>
      </c>
      <c r="E224" s="21">
        <v>45484</v>
      </c>
      <c r="F224" s="20" t="s">
        <v>79</v>
      </c>
      <c r="G224" s="22">
        <v>345.77</v>
      </c>
      <c r="H224" s="22">
        <v>18.260000000000002</v>
      </c>
      <c r="I224" s="20" t="s">
        <v>45</v>
      </c>
      <c r="J224" s="20">
        <v>3</v>
      </c>
      <c r="K224" s="20" t="s">
        <v>46</v>
      </c>
      <c r="L224" s="23">
        <f t="shared" si="32"/>
        <v>45444</v>
      </c>
      <c r="M224" s="20">
        <f t="shared" si="33"/>
        <v>15</v>
      </c>
      <c r="N224" s="20">
        <f t="shared" si="34"/>
        <v>0</v>
      </c>
      <c r="O224" s="20">
        <f t="shared" si="35"/>
        <v>1</v>
      </c>
      <c r="P224" s="22">
        <f t="shared" si="36"/>
        <v>364.03</v>
      </c>
      <c r="Q224" s="22">
        <f>G224*INDEX(Assumptions!$B$8:$B$16,MATCH(F224,Assumptions!$A$8:$A$16,0))</f>
        <v>242.03899999999996</v>
      </c>
      <c r="R224" s="22">
        <f>H224*Assumptions!$B$3</f>
        <v>10.956000000000001</v>
      </c>
      <c r="S224" s="22">
        <f t="shared" si="37"/>
        <v>92.77500000000002</v>
      </c>
      <c r="T224" s="20" t="str">
        <f t="shared" si="38"/>
        <v>15-21 days</v>
      </c>
    </row>
    <row r="225" spans="1:20" x14ac:dyDescent="0.3">
      <c r="A225" s="20" t="s">
        <v>291</v>
      </c>
      <c r="B225" s="20" t="s">
        <v>19</v>
      </c>
      <c r="C225" s="21">
        <v>45467</v>
      </c>
      <c r="D225" s="21">
        <v>45474</v>
      </c>
      <c r="E225" s="21">
        <v>45483</v>
      </c>
      <c r="F225" s="20" t="s">
        <v>53</v>
      </c>
      <c r="G225" s="22">
        <v>52.18</v>
      </c>
      <c r="H225" s="22">
        <v>13.81</v>
      </c>
      <c r="I225" s="20" t="s">
        <v>45</v>
      </c>
      <c r="J225" s="20">
        <v>4</v>
      </c>
      <c r="K225" s="20" t="s">
        <v>46</v>
      </c>
      <c r="L225" s="23">
        <f t="shared" si="32"/>
        <v>45444</v>
      </c>
      <c r="M225" s="20">
        <f t="shared" si="33"/>
        <v>7</v>
      </c>
      <c r="N225" s="20">
        <f t="shared" si="34"/>
        <v>0</v>
      </c>
      <c r="O225" s="20">
        <f t="shared" si="35"/>
        <v>1</v>
      </c>
      <c r="P225" s="22">
        <f t="shared" si="36"/>
        <v>65.989999999999995</v>
      </c>
      <c r="Q225" s="22">
        <f>G225*INDEX(Assumptions!$B$8:$B$16,MATCH(F225,Assumptions!$A$8:$A$16,0))</f>
        <v>38.613199999999999</v>
      </c>
      <c r="R225" s="22">
        <f>H225*Assumptions!$B$3</f>
        <v>8.2859999999999996</v>
      </c>
      <c r="S225" s="22">
        <f t="shared" si="37"/>
        <v>5.280800000000001</v>
      </c>
      <c r="T225" s="20" t="str">
        <f t="shared" si="38"/>
        <v>0-7 days</v>
      </c>
    </row>
    <row r="226" spans="1:20" x14ac:dyDescent="0.3">
      <c r="A226" s="20" t="s">
        <v>292</v>
      </c>
      <c r="B226" s="20" t="s">
        <v>55</v>
      </c>
      <c r="C226" s="21">
        <v>45467</v>
      </c>
      <c r="D226" s="21">
        <v>45483</v>
      </c>
      <c r="E226" s="21">
        <v>45488</v>
      </c>
      <c r="F226" s="20" t="s">
        <v>49</v>
      </c>
      <c r="G226" s="22">
        <v>58.74</v>
      </c>
      <c r="H226" s="22">
        <v>18.57</v>
      </c>
      <c r="I226" s="20" t="s">
        <v>45</v>
      </c>
      <c r="J226" s="20">
        <v>5</v>
      </c>
      <c r="K226" s="20" t="s">
        <v>46</v>
      </c>
      <c r="L226" s="23">
        <f t="shared" si="32"/>
        <v>45444</v>
      </c>
      <c r="M226" s="20">
        <f t="shared" si="33"/>
        <v>16</v>
      </c>
      <c r="N226" s="20">
        <f t="shared" si="34"/>
        <v>0</v>
      </c>
      <c r="O226" s="20">
        <f t="shared" si="35"/>
        <v>1</v>
      </c>
      <c r="P226" s="22">
        <f t="shared" si="36"/>
        <v>77.31</v>
      </c>
      <c r="Q226" s="22">
        <f>G226*INDEX(Assumptions!$B$8:$B$16,MATCH(F226,Assumptions!$A$8:$A$16,0))</f>
        <v>34.069200000000002</v>
      </c>
      <c r="R226" s="22">
        <f>H226*Assumptions!$B$3</f>
        <v>11.141999999999999</v>
      </c>
      <c r="S226" s="22">
        <f t="shared" si="37"/>
        <v>13.5288</v>
      </c>
      <c r="T226" s="20" t="str">
        <f t="shared" si="38"/>
        <v>15-21 days</v>
      </c>
    </row>
    <row r="227" spans="1:20" x14ac:dyDescent="0.3">
      <c r="A227" s="20" t="s">
        <v>293</v>
      </c>
      <c r="B227" s="20" t="s">
        <v>48</v>
      </c>
      <c r="C227" s="21">
        <v>45468</v>
      </c>
      <c r="D227" s="21">
        <v>45475</v>
      </c>
      <c r="E227" s="21">
        <v>45492</v>
      </c>
      <c r="F227" s="20" t="s">
        <v>64</v>
      </c>
      <c r="G227" s="22">
        <v>71.45</v>
      </c>
      <c r="H227" s="22">
        <v>19.829999999999998</v>
      </c>
      <c r="I227" s="20" t="s">
        <v>45</v>
      </c>
      <c r="J227" s="20">
        <v>5</v>
      </c>
      <c r="K227" s="20" t="s">
        <v>46</v>
      </c>
      <c r="L227" s="23">
        <f t="shared" si="32"/>
        <v>45444</v>
      </c>
      <c r="M227" s="20">
        <f t="shared" si="33"/>
        <v>7</v>
      </c>
      <c r="N227" s="20">
        <f t="shared" si="34"/>
        <v>0</v>
      </c>
      <c r="O227" s="20">
        <f t="shared" si="35"/>
        <v>1</v>
      </c>
      <c r="P227" s="22">
        <f t="shared" si="36"/>
        <v>91.28</v>
      </c>
      <c r="Q227" s="22">
        <f>G227*INDEX(Assumptions!$B$8:$B$16,MATCH(F227,Assumptions!$A$8:$A$16,0))</f>
        <v>47.157000000000004</v>
      </c>
      <c r="R227" s="22">
        <f>H227*Assumptions!$B$3</f>
        <v>11.897999999999998</v>
      </c>
      <c r="S227" s="22">
        <f t="shared" si="37"/>
        <v>12.395000000000001</v>
      </c>
      <c r="T227" s="20" t="str">
        <f t="shared" si="38"/>
        <v>0-7 days</v>
      </c>
    </row>
    <row r="228" spans="1:20" x14ac:dyDescent="0.3">
      <c r="A228" s="20" t="s">
        <v>294</v>
      </c>
      <c r="B228" s="20" t="s">
        <v>52</v>
      </c>
      <c r="C228" s="21">
        <v>45469</v>
      </c>
      <c r="D228" s="21">
        <v>45491</v>
      </c>
      <c r="E228" s="21">
        <v>45494</v>
      </c>
      <c r="F228" s="20" t="s">
        <v>49</v>
      </c>
      <c r="G228" s="22">
        <v>108</v>
      </c>
      <c r="H228" s="22">
        <v>27.2</v>
      </c>
      <c r="I228" s="20" t="s">
        <v>45</v>
      </c>
      <c r="J228" s="20">
        <v>4</v>
      </c>
      <c r="K228" s="20" t="s">
        <v>46</v>
      </c>
      <c r="L228" s="23">
        <f t="shared" si="32"/>
        <v>45444</v>
      </c>
      <c r="M228" s="20">
        <f t="shared" si="33"/>
        <v>22</v>
      </c>
      <c r="N228" s="20">
        <f t="shared" si="34"/>
        <v>0</v>
      </c>
      <c r="O228" s="20">
        <f t="shared" si="35"/>
        <v>1</v>
      </c>
      <c r="P228" s="22">
        <f t="shared" si="36"/>
        <v>135.19999999999999</v>
      </c>
      <c r="Q228" s="22">
        <f>G228*INDEX(Assumptions!$B$8:$B$16,MATCH(F228,Assumptions!$A$8:$A$16,0))</f>
        <v>62.639999999999993</v>
      </c>
      <c r="R228" s="22">
        <f>H228*Assumptions!$B$3</f>
        <v>16.32</v>
      </c>
      <c r="S228" s="22">
        <f t="shared" si="37"/>
        <v>29.040000000000006</v>
      </c>
      <c r="T228" s="20" t="str">
        <f t="shared" si="38"/>
        <v>22+ days</v>
      </c>
    </row>
    <row r="229" spans="1:20" x14ac:dyDescent="0.3">
      <c r="A229" s="20" t="s">
        <v>295</v>
      </c>
      <c r="B229" s="20" t="s">
        <v>19</v>
      </c>
      <c r="C229" s="21">
        <v>45470</v>
      </c>
      <c r="D229" s="21">
        <v>45479</v>
      </c>
      <c r="E229" s="21">
        <v>45489</v>
      </c>
      <c r="F229" s="20" t="s">
        <v>111</v>
      </c>
      <c r="G229" s="22">
        <v>55.99</v>
      </c>
      <c r="H229" s="22">
        <v>14.86</v>
      </c>
      <c r="I229" s="20" t="s">
        <v>45</v>
      </c>
      <c r="J229" s="20">
        <v>3</v>
      </c>
      <c r="K229" s="20" t="s">
        <v>46</v>
      </c>
      <c r="L229" s="23">
        <f t="shared" si="32"/>
        <v>45444</v>
      </c>
      <c r="M229" s="20">
        <f t="shared" si="33"/>
        <v>9</v>
      </c>
      <c r="N229" s="20">
        <f t="shared" si="34"/>
        <v>0</v>
      </c>
      <c r="O229" s="20">
        <f t="shared" si="35"/>
        <v>1</v>
      </c>
      <c r="P229" s="22">
        <f t="shared" si="36"/>
        <v>70.849999999999994</v>
      </c>
      <c r="Q229" s="22">
        <f>G229*INDEX(Assumptions!$B$8:$B$16,MATCH(F229,Assumptions!$A$8:$A$16,0))</f>
        <v>35.273699999999998</v>
      </c>
      <c r="R229" s="22">
        <f>H229*Assumptions!$B$3</f>
        <v>8.9159999999999986</v>
      </c>
      <c r="S229" s="22">
        <f t="shared" si="37"/>
        <v>11.800300000000005</v>
      </c>
      <c r="T229" s="20" t="str">
        <f t="shared" si="38"/>
        <v>8-14 days</v>
      </c>
    </row>
    <row r="230" spans="1:20" x14ac:dyDescent="0.3">
      <c r="A230" s="20" t="s">
        <v>296</v>
      </c>
      <c r="B230" s="20" t="s">
        <v>48</v>
      </c>
      <c r="C230" s="21">
        <v>45471</v>
      </c>
      <c r="D230" s="21">
        <v>45486</v>
      </c>
      <c r="E230" s="21">
        <v>45491</v>
      </c>
      <c r="F230" s="20" t="s">
        <v>67</v>
      </c>
      <c r="G230" s="22">
        <v>133.56</v>
      </c>
      <c r="H230" s="22">
        <v>27.11</v>
      </c>
      <c r="I230" s="20" t="s">
        <v>45</v>
      </c>
      <c r="J230" s="20">
        <v>5</v>
      </c>
      <c r="K230" s="20" t="s">
        <v>46</v>
      </c>
      <c r="L230" s="23">
        <f t="shared" si="32"/>
        <v>45444</v>
      </c>
      <c r="M230" s="20">
        <f t="shared" si="33"/>
        <v>15</v>
      </c>
      <c r="N230" s="20">
        <f t="shared" si="34"/>
        <v>0</v>
      </c>
      <c r="O230" s="20">
        <f t="shared" si="35"/>
        <v>1</v>
      </c>
      <c r="P230" s="22">
        <f t="shared" si="36"/>
        <v>160.67000000000002</v>
      </c>
      <c r="Q230" s="22">
        <f>G230*INDEX(Assumptions!$B$8:$B$16,MATCH(F230,Assumptions!$A$8:$A$16,0))</f>
        <v>82.807199999999995</v>
      </c>
      <c r="R230" s="22">
        <f>H230*Assumptions!$B$3</f>
        <v>16.265999999999998</v>
      </c>
      <c r="S230" s="22">
        <f t="shared" si="37"/>
        <v>34.486800000000009</v>
      </c>
      <c r="T230" s="20" t="str">
        <f t="shared" si="38"/>
        <v>15-21 days</v>
      </c>
    </row>
    <row r="231" spans="1:20" x14ac:dyDescent="0.3">
      <c r="A231" s="20" t="s">
        <v>297</v>
      </c>
      <c r="B231" s="20" t="s">
        <v>19</v>
      </c>
      <c r="C231" s="21">
        <v>45471</v>
      </c>
      <c r="D231" s="21">
        <v>45482</v>
      </c>
      <c r="E231" s="21">
        <v>45484</v>
      </c>
      <c r="F231" s="20" t="s">
        <v>79</v>
      </c>
      <c r="G231" s="22">
        <v>187.21</v>
      </c>
      <c r="H231" s="22">
        <v>17.66</v>
      </c>
      <c r="I231" s="20" t="s">
        <v>45</v>
      </c>
      <c r="J231" s="20">
        <v>4</v>
      </c>
      <c r="K231" s="20" t="s">
        <v>46</v>
      </c>
      <c r="L231" s="23">
        <f t="shared" si="32"/>
        <v>45444</v>
      </c>
      <c r="M231" s="20">
        <f t="shared" si="33"/>
        <v>11</v>
      </c>
      <c r="N231" s="20">
        <f t="shared" si="34"/>
        <v>0</v>
      </c>
      <c r="O231" s="20">
        <f t="shared" si="35"/>
        <v>1</v>
      </c>
      <c r="P231" s="22">
        <f t="shared" si="36"/>
        <v>204.87</v>
      </c>
      <c r="Q231" s="22">
        <f>G231*INDEX(Assumptions!$B$8:$B$16,MATCH(F231,Assumptions!$A$8:$A$16,0))</f>
        <v>131.047</v>
      </c>
      <c r="R231" s="22">
        <f>H231*Assumptions!$B$3</f>
        <v>10.596</v>
      </c>
      <c r="S231" s="22">
        <f t="shared" si="37"/>
        <v>45.567000000000007</v>
      </c>
      <c r="T231" s="20" t="str">
        <f t="shared" si="38"/>
        <v>8-14 days</v>
      </c>
    </row>
    <row r="232" spans="1:20" x14ac:dyDescent="0.3">
      <c r="A232" s="20" t="s">
        <v>298</v>
      </c>
      <c r="B232" s="20" t="s">
        <v>19</v>
      </c>
      <c r="C232" s="21">
        <v>45472</v>
      </c>
      <c r="D232" s="21">
        <v>45483</v>
      </c>
      <c r="E232" s="21">
        <v>45486</v>
      </c>
      <c r="F232" s="20" t="s">
        <v>79</v>
      </c>
      <c r="G232" s="22">
        <v>64.38</v>
      </c>
      <c r="H232" s="22">
        <v>19.73</v>
      </c>
      <c r="I232" s="20" t="s">
        <v>45</v>
      </c>
      <c r="J232" s="20">
        <v>4</v>
      </c>
      <c r="K232" s="20" t="s">
        <v>46</v>
      </c>
      <c r="L232" s="23">
        <f t="shared" si="32"/>
        <v>45444</v>
      </c>
      <c r="M232" s="20">
        <f t="shared" si="33"/>
        <v>11</v>
      </c>
      <c r="N232" s="20">
        <f t="shared" si="34"/>
        <v>0</v>
      </c>
      <c r="O232" s="20">
        <f t="shared" si="35"/>
        <v>1</v>
      </c>
      <c r="P232" s="22">
        <f t="shared" si="36"/>
        <v>84.11</v>
      </c>
      <c r="Q232" s="22">
        <f>G232*INDEX(Assumptions!$B$8:$B$16,MATCH(F232,Assumptions!$A$8:$A$16,0))</f>
        <v>45.065999999999995</v>
      </c>
      <c r="R232" s="22">
        <f>H232*Assumptions!$B$3</f>
        <v>11.837999999999999</v>
      </c>
      <c r="S232" s="22">
        <f t="shared" si="37"/>
        <v>7.4760000000000009</v>
      </c>
      <c r="T232" s="20" t="str">
        <f t="shared" si="38"/>
        <v>8-14 days</v>
      </c>
    </row>
    <row r="233" spans="1:20" x14ac:dyDescent="0.3">
      <c r="A233" s="20" t="s">
        <v>299</v>
      </c>
      <c r="B233" s="20" t="s">
        <v>19</v>
      </c>
      <c r="C233" s="21">
        <v>45473</v>
      </c>
      <c r="D233" s="21">
        <v>45484</v>
      </c>
      <c r="E233" s="21">
        <v>45489</v>
      </c>
      <c r="F233" s="20" t="s">
        <v>67</v>
      </c>
      <c r="G233" s="22">
        <v>102.93</v>
      </c>
      <c r="H233" s="22">
        <v>14.44</v>
      </c>
      <c r="I233" s="20" t="s">
        <v>45</v>
      </c>
      <c r="J233" s="20">
        <v>5</v>
      </c>
      <c r="K233" s="20" t="s">
        <v>46</v>
      </c>
      <c r="L233" s="23">
        <f t="shared" si="32"/>
        <v>45444</v>
      </c>
      <c r="M233" s="20">
        <f t="shared" si="33"/>
        <v>11</v>
      </c>
      <c r="N233" s="20">
        <f t="shared" si="34"/>
        <v>0</v>
      </c>
      <c r="O233" s="20">
        <f t="shared" si="35"/>
        <v>1</v>
      </c>
      <c r="P233" s="22">
        <f t="shared" si="36"/>
        <v>117.37</v>
      </c>
      <c r="Q233" s="22">
        <f>G233*INDEX(Assumptions!$B$8:$B$16,MATCH(F233,Assumptions!$A$8:$A$16,0))</f>
        <v>63.816600000000001</v>
      </c>
      <c r="R233" s="22">
        <f>H233*Assumptions!$B$3</f>
        <v>8.6639999999999997</v>
      </c>
      <c r="S233" s="22">
        <f t="shared" si="37"/>
        <v>30.449400000000004</v>
      </c>
      <c r="T233" s="20" t="str">
        <f t="shared" si="38"/>
        <v>8-14 days</v>
      </c>
    </row>
    <row r="234" spans="1:20" x14ac:dyDescent="0.3">
      <c r="A234" s="20" t="s">
        <v>300</v>
      </c>
      <c r="B234" s="20" t="s">
        <v>48</v>
      </c>
      <c r="C234" s="21">
        <v>45473</v>
      </c>
      <c r="D234" s="21">
        <v>45485</v>
      </c>
      <c r="E234" s="21">
        <v>45490</v>
      </c>
      <c r="F234" s="20" t="s">
        <v>59</v>
      </c>
      <c r="G234" s="22">
        <v>200.71</v>
      </c>
      <c r="H234" s="22">
        <v>31.11</v>
      </c>
      <c r="I234" s="20" t="s">
        <v>45</v>
      </c>
      <c r="J234" s="20">
        <v>4</v>
      </c>
      <c r="K234" s="20" t="s">
        <v>46</v>
      </c>
      <c r="L234" s="23">
        <f t="shared" si="32"/>
        <v>45444</v>
      </c>
      <c r="M234" s="20">
        <f t="shared" si="33"/>
        <v>12</v>
      </c>
      <c r="N234" s="20">
        <f t="shared" si="34"/>
        <v>0</v>
      </c>
      <c r="O234" s="20">
        <f t="shared" si="35"/>
        <v>1</v>
      </c>
      <c r="P234" s="22">
        <f t="shared" si="36"/>
        <v>231.82</v>
      </c>
      <c r="Q234" s="22">
        <f>G234*INDEX(Assumptions!$B$8:$B$16,MATCH(F234,Assumptions!$A$8:$A$16,0))</f>
        <v>128.45440000000002</v>
      </c>
      <c r="R234" s="22">
        <f>H234*Assumptions!$B$3</f>
        <v>18.666</v>
      </c>
      <c r="S234" s="22">
        <f t="shared" si="37"/>
        <v>53.58959999999999</v>
      </c>
      <c r="T234" s="20" t="str">
        <f t="shared" si="38"/>
        <v>8-14 days</v>
      </c>
    </row>
    <row r="235" spans="1:20" x14ac:dyDescent="0.3">
      <c r="A235" s="20" t="s">
        <v>301</v>
      </c>
      <c r="B235" s="20" t="s">
        <v>62</v>
      </c>
      <c r="C235" s="21">
        <v>45473</v>
      </c>
      <c r="D235" s="21">
        <v>45487</v>
      </c>
      <c r="E235" s="21">
        <v>45491</v>
      </c>
      <c r="F235" s="20" t="s">
        <v>67</v>
      </c>
      <c r="G235" s="22">
        <v>41.24</v>
      </c>
      <c r="H235" s="22">
        <v>22.83</v>
      </c>
      <c r="I235" s="20" t="s">
        <v>45</v>
      </c>
      <c r="J235" s="20">
        <v>5</v>
      </c>
      <c r="K235" s="20" t="s">
        <v>46</v>
      </c>
      <c r="L235" s="23">
        <f t="shared" si="32"/>
        <v>45444</v>
      </c>
      <c r="M235" s="20">
        <f t="shared" si="33"/>
        <v>14</v>
      </c>
      <c r="N235" s="20">
        <f t="shared" si="34"/>
        <v>0</v>
      </c>
      <c r="O235" s="20">
        <f t="shared" si="35"/>
        <v>1</v>
      </c>
      <c r="P235" s="22">
        <f t="shared" si="36"/>
        <v>64.069999999999993</v>
      </c>
      <c r="Q235" s="22">
        <f>G235*INDEX(Assumptions!$B$8:$B$16,MATCH(F235,Assumptions!$A$8:$A$16,0))</f>
        <v>25.5688</v>
      </c>
      <c r="R235" s="22">
        <f>H235*Assumptions!$B$3</f>
        <v>13.697999999999999</v>
      </c>
      <c r="S235" s="22">
        <f t="shared" si="37"/>
        <v>1.9732000000000038</v>
      </c>
      <c r="T235" s="20" t="str">
        <f t="shared" si="38"/>
        <v>8-14 days</v>
      </c>
    </row>
    <row r="236" spans="1:20" x14ac:dyDescent="0.3">
      <c r="A236" s="20" t="s">
        <v>302</v>
      </c>
      <c r="B236" s="20" t="s">
        <v>19</v>
      </c>
      <c r="C236" s="21">
        <v>45473</v>
      </c>
      <c r="D236" s="21">
        <v>45479</v>
      </c>
      <c r="E236" s="21">
        <v>45485</v>
      </c>
      <c r="F236" s="20" t="s">
        <v>49</v>
      </c>
      <c r="G236" s="22">
        <v>121.39</v>
      </c>
      <c r="H236" s="22">
        <v>18.920000000000002</v>
      </c>
      <c r="I236" s="20" t="s">
        <v>45</v>
      </c>
      <c r="J236" s="20">
        <v>4</v>
      </c>
      <c r="K236" s="20" t="s">
        <v>46</v>
      </c>
      <c r="L236" s="23">
        <f t="shared" si="32"/>
        <v>45444</v>
      </c>
      <c r="M236" s="20">
        <f t="shared" si="33"/>
        <v>6</v>
      </c>
      <c r="N236" s="20">
        <f t="shared" si="34"/>
        <v>0</v>
      </c>
      <c r="O236" s="20">
        <f t="shared" si="35"/>
        <v>1</v>
      </c>
      <c r="P236" s="22">
        <f t="shared" si="36"/>
        <v>140.31</v>
      </c>
      <c r="Q236" s="22">
        <f>G236*INDEX(Assumptions!$B$8:$B$16,MATCH(F236,Assumptions!$A$8:$A$16,0))</f>
        <v>70.406199999999998</v>
      </c>
      <c r="R236" s="22">
        <f>H236*Assumptions!$B$3</f>
        <v>11.352</v>
      </c>
      <c r="S236" s="22">
        <f t="shared" si="37"/>
        <v>39.631799999999998</v>
      </c>
      <c r="T236" s="20" t="str">
        <f t="shared" si="38"/>
        <v>0-7 days</v>
      </c>
    </row>
    <row r="237" spans="1:20" x14ac:dyDescent="0.3">
      <c r="A237" s="20" t="s">
        <v>303</v>
      </c>
      <c r="B237" s="20" t="s">
        <v>62</v>
      </c>
      <c r="C237" s="21">
        <v>45473</v>
      </c>
      <c r="D237" s="21">
        <v>45485</v>
      </c>
      <c r="E237" s="21">
        <v>45493</v>
      </c>
      <c r="F237" s="20" t="s">
        <v>59</v>
      </c>
      <c r="G237" s="22">
        <v>85.79</v>
      </c>
      <c r="H237" s="22">
        <v>28.22</v>
      </c>
      <c r="I237" s="20" t="s">
        <v>60</v>
      </c>
      <c r="J237" s="20">
        <v>4</v>
      </c>
      <c r="K237" s="20" t="s">
        <v>46</v>
      </c>
      <c r="L237" s="23">
        <f t="shared" si="32"/>
        <v>45444</v>
      </c>
      <c r="M237" s="20">
        <f t="shared" si="33"/>
        <v>12</v>
      </c>
      <c r="N237" s="20">
        <f t="shared" si="34"/>
        <v>0</v>
      </c>
      <c r="O237" s="20">
        <f t="shared" si="35"/>
        <v>1</v>
      </c>
      <c r="P237" s="22">
        <f t="shared" si="36"/>
        <v>114.01</v>
      </c>
      <c r="Q237" s="22">
        <f>G237*INDEX(Assumptions!$B$8:$B$16,MATCH(F237,Assumptions!$A$8:$A$16,0))</f>
        <v>54.905600000000007</v>
      </c>
      <c r="R237" s="22">
        <f>H237*Assumptions!$B$3</f>
        <v>16.931999999999999</v>
      </c>
      <c r="S237" s="22">
        <f t="shared" si="37"/>
        <v>13.952400000000001</v>
      </c>
      <c r="T237" s="20" t="str">
        <f t="shared" si="38"/>
        <v>8-14 days</v>
      </c>
    </row>
    <row r="238" spans="1:20" x14ac:dyDescent="0.3">
      <c r="A238" s="20" t="s">
        <v>304</v>
      </c>
      <c r="B238" s="20" t="s">
        <v>156</v>
      </c>
      <c r="C238" s="21">
        <v>45474</v>
      </c>
      <c r="D238" s="21">
        <v>45484</v>
      </c>
      <c r="E238" s="21">
        <v>45497</v>
      </c>
      <c r="F238" s="20" t="s">
        <v>111</v>
      </c>
      <c r="G238" s="22">
        <v>51.74</v>
      </c>
      <c r="H238" s="22">
        <v>17.760000000000002</v>
      </c>
      <c r="I238" s="20" t="s">
        <v>45</v>
      </c>
      <c r="J238" s="20">
        <v>5</v>
      </c>
      <c r="K238" s="20" t="s">
        <v>46</v>
      </c>
      <c r="L238" s="23">
        <f t="shared" si="32"/>
        <v>45474</v>
      </c>
      <c r="M238" s="20">
        <f t="shared" si="33"/>
        <v>10</v>
      </c>
      <c r="N238" s="20">
        <f t="shared" si="34"/>
        <v>0</v>
      </c>
      <c r="O238" s="20">
        <f t="shared" si="35"/>
        <v>1</v>
      </c>
      <c r="P238" s="22">
        <f t="shared" si="36"/>
        <v>69.5</v>
      </c>
      <c r="Q238" s="22">
        <f>G238*INDEX(Assumptions!$B$8:$B$16,MATCH(F238,Assumptions!$A$8:$A$16,0))</f>
        <v>32.596200000000003</v>
      </c>
      <c r="R238" s="22">
        <f>H238*Assumptions!$B$3</f>
        <v>10.656000000000001</v>
      </c>
      <c r="S238" s="22">
        <f t="shared" si="37"/>
        <v>8.4877999999999982</v>
      </c>
      <c r="T238" s="20" t="str">
        <f t="shared" si="38"/>
        <v>8-14 days</v>
      </c>
    </row>
    <row r="239" spans="1:20" x14ac:dyDescent="0.3">
      <c r="A239" s="20" t="s">
        <v>305</v>
      </c>
      <c r="B239" s="20" t="s">
        <v>55</v>
      </c>
      <c r="C239" s="21">
        <v>45474</v>
      </c>
      <c r="D239" s="21">
        <v>45508</v>
      </c>
      <c r="E239" s="21">
        <v>45501</v>
      </c>
      <c r="F239" s="20" t="s">
        <v>59</v>
      </c>
      <c r="G239" s="22">
        <v>87.48</v>
      </c>
      <c r="H239" s="22">
        <v>29.44</v>
      </c>
      <c r="I239" s="20" t="s">
        <v>45</v>
      </c>
      <c r="J239" s="20">
        <v>3</v>
      </c>
      <c r="K239" s="20" t="s">
        <v>46</v>
      </c>
      <c r="L239" s="23">
        <f t="shared" si="32"/>
        <v>45474</v>
      </c>
      <c r="M239" s="20">
        <f t="shared" si="33"/>
        <v>34</v>
      </c>
      <c r="N239" s="20">
        <f t="shared" si="34"/>
        <v>7</v>
      </c>
      <c r="O239" s="20">
        <f t="shared" si="35"/>
        <v>0</v>
      </c>
      <c r="P239" s="22">
        <f t="shared" si="36"/>
        <v>116.92</v>
      </c>
      <c r="Q239" s="22">
        <f>G239*INDEX(Assumptions!$B$8:$B$16,MATCH(F239,Assumptions!$A$8:$A$16,0))</f>
        <v>55.987200000000001</v>
      </c>
      <c r="R239" s="22">
        <f>H239*Assumptions!$B$3</f>
        <v>17.664000000000001</v>
      </c>
      <c r="S239" s="22">
        <f t="shared" si="37"/>
        <v>13.828800000000001</v>
      </c>
      <c r="T239" s="20" t="str">
        <f t="shared" si="38"/>
        <v>22+ days</v>
      </c>
    </row>
    <row r="240" spans="1:20" x14ac:dyDescent="0.3">
      <c r="A240" s="20" t="s">
        <v>306</v>
      </c>
      <c r="B240" s="20" t="s">
        <v>103</v>
      </c>
      <c r="C240" s="21">
        <v>45475</v>
      </c>
      <c r="D240" s="21">
        <v>45483</v>
      </c>
      <c r="E240" s="21">
        <v>45496</v>
      </c>
      <c r="F240" s="20" t="s">
        <v>67</v>
      </c>
      <c r="G240" s="22">
        <v>62.04</v>
      </c>
      <c r="H240" s="22">
        <v>16.21</v>
      </c>
      <c r="I240" s="20" t="s">
        <v>104</v>
      </c>
      <c r="J240" s="20">
        <v>4</v>
      </c>
      <c r="K240" s="20" t="s">
        <v>46</v>
      </c>
      <c r="L240" s="23">
        <f t="shared" si="32"/>
        <v>45474</v>
      </c>
      <c r="M240" s="20">
        <f t="shared" si="33"/>
        <v>8</v>
      </c>
      <c r="N240" s="20">
        <f t="shared" si="34"/>
        <v>0</v>
      </c>
      <c r="O240" s="20">
        <f t="shared" si="35"/>
        <v>1</v>
      </c>
      <c r="P240" s="22">
        <f t="shared" si="36"/>
        <v>78.25</v>
      </c>
      <c r="Q240" s="22">
        <f>G240*INDEX(Assumptions!$B$8:$B$16,MATCH(F240,Assumptions!$A$8:$A$16,0))</f>
        <v>38.464799999999997</v>
      </c>
      <c r="R240" s="22">
        <f>H240*Assumptions!$B$3</f>
        <v>9.7260000000000009</v>
      </c>
      <c r="S240" s="22">
        <f t="shared" si="37"/>
        <v>13.849200000000002</v>
      </c>
      <c r="T240" s="20" t="str">
        <f t="shared" si="38"/>
        <v>8-14 days</v>
      </c>
    </row>
    <row r="241" spans="1:20" x14ac:dyDescent="0.3">
      <c r="A241" s="20" t="s">
        <v>307</v>
      </c>
      <c r="B241" s="20" t="s">
        <v>174</v>
      </c>
      <c r="C241" s="21">
        <v>45475</v>
      </c>
      <c r="D241" s="21">
        <v>45504</v>
      </c>
      <c r="E241" s="21">
        <v>45508</v>
      </c>
      <c r="F241" s="20" t="s">
        <v>44</v>
      </c>
      <c r="G241" s="22">
        <v>66.48</v>
      </c>
      <c r="H241" s="22">
        <v>27.66</v>
      </c>
      <c r="I241" s="20" t="s">
        <v>45</v>
      </c>
      <c r="J241" s="20">
        <v>4</v>
      </c>
      <c r="K241" s="20" t="s">
        <v>46</v>
      </c>
      <c r="L241" s="23">
        <f t="shared" si="32"/>
        <v>45474</v>
      </c>
      <c r="M241" s="20">
        <f t="shared" si="33"/>
        <v>29</v>
      </c>
      <c r="N241" s="20">
        <f t="shared" si="34"/>
        <v>0</v>
      </c>
      <c r="O241" s="20">
        <f t="shared" si="35"/>
        <v>1</v>
      </c>
      <c r="P241" s="22">
        <f t="shared" si="36"/>
        <v>94.14</v>
      </c>
      <c r="Q241" s="22">
        <f>G241*INDEX(Assumptions!$B$8:$B$16,MATCH(F241,Assumptions!$A$8:$A$16,0))</f>
        <v>39.887999999999998</v>
      </c>
      <c r="R241" s="22">
        <f>H241*Assumptions!$B$3</f>
        <v>16.596</v>
      </c>
      <c r="S241" s="22">
        <f t="shared" si="37"/>
        <v>9.9960000000000058</v>
      </c>
      <c r="T241" s="20" t="str">
        <f t="shared" si="38"/>
        <v>22+ days</v>
      </c>
    </row>
    <row r="242" spans="1:20" x14ac:dyDescent="0.3">
      <c r="A242" s="20" t="s">
        <v>308</v>
      </c>
      <c r="B242" s="20" t="s">
        <v>19</v>
      </c>
      <c r="C242" s="21">
        <v>45475</v>
      </c>
      <c r="D242" s="21">
        <v>45487</v>
      </c>
      <c r="E242" s="21">
        <v>45489</v>
      </c>
      <c r="F242" s="20" t="s">
        <v>67</v>
      </c>
      <c r="G242" s="22">
        <v>141.04</v>
      </c>
      <c r="H242" s="22">
        <v>23.18</v>
      </c>
      <c r="I242" s="20" t="s">
        <v>45</v>
      </c>
      <c r="J242" s="20">
        <v>5</v>
      </c>
      <c r="K242" s="20" t="s">
        <v>46</v>
      </c>
      <c r="L242" s="23">
        <f t="shared" si="32"/>
        <v>45474</v>
      </c>
      <c r="M242" s="20">
        <f t="shared" si="33"/>
        <v>12</v>
      </c>
      <c r="N242" s="20">
        <f t="shared" si="34"/>
        <v>0</v>
      </c>
      <c r="O242" s="20">
        <f t="shared" si="35"/>
        <v>1</v>
      </c>
      <c r="P242" s="22">
        <f t="shared" si="36"/>
        <v>164.22</v>
      </c>
      <c r="Q242" s="22">
        <f>G242*INDEX(Assumptions!$B$8:$B$16,MATCH(F242,Assumptions!$A$8:$A$16,0))</f>
        <v>87.444800000000001</v>
      </c>
      <c r="R242" s="22">
        <f>H242*Assumptions!$B$3</f>
        <v>13.907999999999999</v>
      </c>
      <c r="S242" s="22">
        <f t="shared" si="37"/>
        <v>39.68719999999999</v>
      </c>
      <c r="T242" s="20" t="str">
        <f t="shared" si="38"/>
        <v>8-14 days</v>
      </c>
    </row>
    <row r="243" spans="1:20" x14ac:dyDescent="0.3">
      <c r="A243" s="20" t="s">
        <v>309</v>
      </c>
      <c r="B243" s="20" t="s">
        <v>103</v>
      </c>
      <c r="C243" s="21">
        <v>45475</v>
      </c>
      <c r="D243" s="21">
        <v>45487</v>
      </c>
      <c r="E243" s="21">
        <v>45499</v>
      </c>
      <c r="F243" s="20" t="s">
        <v>59</v>
      </c>
      <c r="G243" s="22">
        <v>151.74</v>
      </c>
      <c r="H243" s="22">
        <v>29.48</v>
      </c>
      <c r="I243" s="20" t="s">
        <v>45</v>
      </c>
      <c r="J243" s="20">
        <v>5</v>
      </c>
      <c r="K243" s="20" t="s">
        <v>46</v>
      </c>
      <c r="L243" s="23">
        <f t="shared" si="32"/>
        <v>45474</v>
      </c>
      <c r="M243" s="20">
        <f t="shared" si="33"/>
        <v>12</v>
      </c>
      <c r="N243" s="20">
        <f t="shared" si="34"/>
        <v>0</v>
      </c>
      <c r="O243" s="20">
        <f t="shared" si="35"/>
        <v>1</v>
      </c>
      <c r="P243" s="22">
        <f t="shared" si="36"/>
        <v>181.22</v>
      </c>
      <c r="Q243" s="22">
        <f>G243*INDEX(Assumptions!$B$8:$B$16,MATCH(F243,Assumptions!$A$8:$A$16,0))</f>
        <v>97.113600000000005</v>
      </c>
      <c r="R243" s="22">
        <f>H243*Assumptions!$B$3</f>
        <v>17.687999999999999</v>
      </c>
      <c r="S243" s="22">
        <f t="shared" si="37"/>
        <v>36.938400000000001</v>
      </c>
      <c r="T243" s="20" t="str">
        <f t="shared" si="38"/>
        <v>8-14 days</v>
      </c>
    </row>
    <row r="244" spans="1:20" x14ac:dyDescent="0.3">
      <c r="A244" s="20" t="s">
        <v>310</v>
      </c>
      <c r="B244" s="20" t="s">
        <v>19</v>
      </c>
      <c r="C244" s="21">
        <v>45477</v>
      </c>
      <c r="D244" s="21">
        <v>45487</v>
      </c>
      <c r="E244" s="21">
        <v>45492</v>
      </c>
      <c r="F244" s="20" t="s">
        <v>49</v>
      </c>
      <c r="G244" s="22">
        <v>84.82</v>
      </c>
      <c r="H244" s="22">
        <v>13.27</v>
      </c>
      <c r="I244" s="20" t="s">
        <v>45</v>
      </c>
      <c r="J244" s="20">
        <v>5</v>
      </c>
      <c r="K244" s="20" t="s">
        <v>46</v>
      </c>
      <c r="L244" s="23">
        <f t="shared" si="32"/>
        <v>45474</v>
      </c>
      <c r="M244" s="20">
        <f t="shared" si="33"/>
        <v>10</v>
      </c>
      <c r="N244" s="20">
        <f t="shared" si="34"/>
        <v>0</v>
      </c>
      <c r="O244" s="20">
        <f t="shared" si="35"/>
        <v>1</v>
      </c>
      <c r="P244" s="22">
        <f t="shared" si="36"/>
        <v>98.089999999999989</v>
      </c>
      <c r="Q244" s="22">
        <f>G244*INDEX(Assumptions!$B$8:$B$16,MATCH(F244,Assumptions!$A$8:$A$16,0))</f>
        <v>49.195599999999992</v>
      </c>
      <c r="R244" s="22">
        <f>H244*Assumptions!$B$3</f>
        <v>7.9619999999999997</v>
      </c>
      <c r="S244" s="22">
        <f t="shared" si="37"/>
        <v>27.662400000000002</v>
      </c>
      <c r="T244" s="20" t="str">
        <f t="shared" si="38"/>
        <v>8-14 days</v>
      </c>
    </row>
    <row r="245" spans="1:20" x14ac:dyDescent="0.3">
      <c r="A245" s="20" t="s">
        <v>311</v>
      </c>
      <c r="B245" s="20" t="s">
        <v>62</v>
      </c>
      <c r="C245" s="21">
        <v>45477</v>
      </c>
      <c r="D245" s="21">
        <v>45507</v>
      </c>
      <c r="E245" s="21">
        <v>45497</v>
      </c>
      <c r="F245" s="20" t="s">
        <v>49</v>
      </c>
      <c r="G245" s="22">
        <v>89.6</v>
      </c>
      <c r="H245" s="22">
        <v>20.03</v>
      </c>
      <c r="I245" s="20" t="s">
        <v>45</v>
      </c>
      <c r="J245" s="20">
        <v>2</v>
      </c>
      <c r="K245" s="20" t="s">
        <v>46</v>
      </c>
      <c r="L245" s="23">
        <f t="shared" si="32"/>
        <v>45474</v>
      </c>
      <c r="M245" s="20">
        <f t="shared" si="33"/>
        <v>30</v>
      </c>
      <c r="N245" s="20">
        <f t="shared" si="34"/>
        <v>10</v>
      </c>
      <c r="O245" s="20">
        <f t="shared" si="35"/>
        <v>0</v>
      </c>
      <c r="P245" s="22">
        <f t="shared" si="36"/>
        <v>109.63</v>
      </c>
      <c r="Q245" s="22">
        <f>G245*INDEX(Assumptions!$B$8:$B$16,MATCH(F245,Assumptions!$A$8:$A$16,0))</f>
        <v>51.967999999999996</v>
      </c>
      <c r="R245" s="22">
        <f>H245*Assumptions!$B$3</f>
        <v>12.018000000000001</v>
      </c>
      <c r="S245" s="22">
        <f t="shared" si="37"/>
        <v>25.613999999999997</v>
      </c>
      <c r="T245" s="20" t="str">
        <f t="shared" si="38"/>
        <v>22+ days</v>
      </c>
    </row>
    <row r="246" spans="1:20" x14ac:dyDescent="0.3">
      <c r="A246" s="20" t="s">
        <v>312</v>
      </c>
      <c r="B246" s="20" t="s">
        <v>48</v>
      </c>
      <c r="C246" s="21">
        <v>45478</v>
      </c>
      <c r="D246" s="21">
        <v>45490</v>
      </c>
      <c r="E246" s="21">
        <v>45497</v>
      </c>
      <c r="F246" s="20" t="s">
        <v>53</v>
      </c>
      <c r="G246" s="22">
        <v>88.41</v>
      </c>
      <c r="H246" s="22">
        <v>21.79</v>
      </c>
      <c r="I246" s="20" t="s">
        <v>45</v>
      </c>
      <c r="J246" s="20">
        <v>5</v>
      </c>
      <c r="K246" s="20" t="s">
        <v>46</v>
      </c>
      <c r="L246" s="23">
        <f t="shared" si="32"/>
        <v>45474</v>
      </c>
      <c r="M246" s="20">
        <f t="shared" si="33"/>
        <v>12</v>
      </c>
      <c r="N246" s="20">
        <f t="shared" si="34"/>
        <v>0</v>
      </c>
      <c r="O246" s="20">
        <f t="shared" si="35"/>
        <v>1</v>
      </c>
      <c r="P246" s="22">
        <f t="shared" si="36"/>
        <v>110.19999999999999</v>
      </c>
      <c r="Q246" s="22">
        <f>G246*INDEX(Assumptions!$B$8:$B$16,MATCH(F246,Assumptions!$A$8:$A$16,0))</f>
        <v>65.423400000000001</v>
      </c>
      <c r="R246" s="22">
        <f>H246*Assumptions!$B$3</f>
        <v>13.074</v>
      </c>
      <c r="S246" s="22">
        <f t="shared" si="37"/>
        <v>9.9125999999999959</v>
      </c>
      <c r="T246" s="20" t="str">
        <f t="shared" si="38"/>
        <v>8-14 days</v>
      </c>
    </row>
    <row r="247" spans="1:20" x14ac:dyDescent="0.3">
      <c r="A247" s="20" t="s">
        <v>313</v>
      </c>
      <c r="B247" s="20" t="s">
        <v>134</v>
      </c>
      <c r="C247" s="21">
        <v>45478</v>
      </c>
      <c r="D247" s="21">
        <v>45492</v>
      </c>
      <c r="E247" s="21">
        <v>45499</v>
      </c>
      <c r="F247" s="20" t="s">
        <v>44</v>
      </c>
      <c r="G247" s="22">
        <v>39.31</v>
      </c>
      <c r="H247" s="22">
        <v>25.25</v>
      </c>
      <c r="I247" s="20" t="s">
        <v>45</v>
      </c>
      <c r="J247" s="20">
        <v>5</v>
      </c>
      <c r="K247" s="20" t="s">
        <v>46</v>
      </c>
      <c r="L247" s="23">
        <f t="shared" si="32"/>
        <v>45474</v>
      </c>
      <c r="M247" s="20">
        <f t="shared" si="33"/>
        <v>14</v>
      </c>
      <c r="N247" s="20">
        <f t="shared" si="34"/>
        <v>0</v>
      </c>
      <c r="O247" s="20">
        <f t="shared" si="35"/>
        <v>1</v>
      </c>
      <c r="P247" s="22">
        <f t="shared" si="36"/>
        <v>64.56</v>
      </c>
      <c r="Q247" s="22">
        <f>G247*INDEX(Assumptions!$B$8:$B$16,MATCH(F247,Assumptions!$A$8:$A$16,0))</f>
        <v>23.586000000000002</v>
      </c>
      <c r="R247" s="22">
        <f>H247*Assumptions!$B$3</f>
        <v>15.149999999999999</v>
      </c>
      <c r="S247" s="22">
        <f t="shared" si="37"/>
        <v>0.57400000000000162</v>
      </c>
      <c r="T247" s="20" t="str">
        <f t="shared" si="38"/>
        <v>8-14 days</v>
      </c>
    </row>
    <row r="248" spans="1:20" x14ac:dyDescent="0.3">
      <c r="A248" s="20" t="s">
        <v>314</v>
      </c>
      <c r="B248" s="20" t="s">
        <v>19</v>
      </c>
      <c r="C248" s="21">
        <v>45478</v>
      </c>
      <c r="D248" s="21">
        <v>45488</v>
      </c>
      <c r="E248" s="21">
        <v>45492</v>
      </c>
      <c r="F248" s="20" t="s">
        <v>67</v>
      </c>
      <c r="G248" s="22">
        <v>76.06</v>
      </c>
      <c r="H248" s="22">
        <v>17.59</v>
      </c>
      <c r="I248" s="20" t="s">
        <v>45</v>
      </c>
      <c r="J248" s="20">
        <v>5</v>
      </c>
      <c r="K248" s="20" t="s">
        <v>46</v>
      </c>
      <c r="L248" s="23">
        <f t="shared" si="32"/>
        <v>45474</v>
      </c>
      <c r="M248" s="20">
        <f t="shared" si="33"/>
        <v>10</v>
      </c>
      <c r="N248" s="20">
        <f t="shared" si="34"/>
        <v>0</v>
      </c>
      <c r="O248" s="20">
        <f t="shared" si="35"/>
        <v>1</v>
      </c>
      <c r="P248" s="22">
        <f t="shared" si="36"/>
        <v>93.65</v>
      </c>
      <c r="Q248" s="22">
        <f>G248*INDEX(Assumptions!$B$8:$B$16,MATCH(F248,Assumptions!$A$8:$A$16,0))</f>
        <v>47.157200000000003</v>
      </c>
      <c r="R248" s="22">
        <f>H248*Assumptions!$B$3</f>
        <v>10.554</v>
      </c>
      <c r="S248" s="22">
        <f t="shared" si="37"/>
        <v>18.348799999999997</v>
      </c>
      <c r="T248" s="20" t="str">
        <f t="shared" si="38"/>
        <v>8-14 days</v>
      </c>
    </row>
    <row r="249" spans="1:20" x14ac:dyDescent="0.3">
      <c r="A249" s="20" t="s">
        <v>315</v>
      </c>
      <c r="B249" s="20" t="s">
        <v>103</v>
      </c>
      <c r="C249" s="21">
        <v>45478</v>
      </c>
      <c r="D249" s="21">
        <v>45497</v>
      </c>
      <c r="E249" s="21">
        <v>45497</v>
      </c>
      <c r="F249" s="20" t="s">
        <v>49</v>
      </c>
      <c r="G249" s="22">
        <v>107.4</v>
      </c>
      <c r="H249" s="22">
        <v>16.87</v>
      </c>
      <c r="I249" s="20" t="s">
        <v>45</v>
      </c>
      <c r="J249" s="20">
        <v>5</v>
      </c>
      <c r="K249" s="20" t="s">
        <v>46</v>
      </c>
      <c r="L249" s="23">
        <f t="shared" si="32"/>
        <v>45474</v>
      </c>
      <c r="M249" s="20">
        <f t="shared" si="33"/>
        <v>19</v>
      </c>
      <c r="N249" s="20">
        <f t="shared" si="34"/>
        <v>0</v>
      </c>
      <c r="O249" s="20">
        <f t="shared" si="35"/>
        <v>1</v>
      </c>
      <c r="P249" s="22">
        <f t="shared" si="36"/>
        <v>124.27000000000001</v>
      </c>
      <c r="Q249" s="22">
        <f>G249*INDEX(Assumptions!$B$8:$B$16,MATCH(F249,Assumptions!$A$8:$A$16,0))</f>
        <v>62.292000000000002</v>
      </c>
      <c r="R249" s="22">
        <f>H249*Assumptions!$B$3</f>
        <v>10.122</v>
      </c>
      <c r="S249" s="22">
        <f t="shared" si="37"/>
        <v>34.986000000000004</v>
      </c>
      <c r="T249" s="20" t="str">
        <f t="shared" si="38"/>
        <v>15-21 days</v>
      </c>
    </row>
    <row r="250" spans="1:20" x14ac:dyDescent="0.3">
      <c r="A250" s="20" t="s">
        <v>316</v>
      </c>
      <c r="B250" s="20" t="s">
        <v>55</v>
      </c>
      <c r="C250" s="21">
        <v>45478</v>
      </c>
      <c r="D250" s="21">
        <v>45490</v>
      </c>
      <c r="E250" s="21">
        <v>45501</v>
      </c>
      <c r="F250" s="20" t="s">
        <v>59</v>
      </c>
      <c r="G250" s="22">
        <v>92.04</v>
      </c>
      <c r="H250" s="22">
        <v>25.84</v>
      </c>
      <c r="I250" s="20" t="s">
        <v>45</v>
      </c>
      <c r="J250" s="20">
        <v>4</v>
      </c>
      <c r="K250" s="20" t="s">
        <v>46</v>
      </c>
      <c r="L250" s="23">
        <f t="shared" si="32"/>
        <v>45474</v>
      </c>
      <c r="M250" s="20">
        <f t="shared" si="33"/>
        <v>12</v>
      </c>
      <c r="N250" s="20">
        <f t="shared" si="34"/>
        <v>0</v>
      </c>
      <c r="O250" s="20">
        <f t="shared" si="35"/>
        <v>1</v>
      </c>
      <c r="P250" s="22">
        <f t="shared" si="36"/>
        <v>117.88000000000001</v>
      </c>
      <c r="Q250" s="22">
        <f>G250*INDEX(Assumptions!$B$8:$B$16,MATCH(F250,Assumptions!$A$8:$A$16,0))</f>
        <v>58.905600000000007</v>
      </c>
      <c r="R250" s="22">
        <f>H250*Assumptions!$B$3</f>
        <v>15.504</v>
      </c>
      <c r="S250" s="22">
        <f t="shared" si="37"/>
        <v>17.630400000000002</v>
      </c>
      <c r="T250" s="20" t="str">
        <f t="shared" si="38"/>
        <v>8-14 days</v>
      </c>
    </row>
    <row r="251" spans="1:20" x14ac:dyDescent="0.3">
      <c r="A251" s="20" t="s">
        <v>317</v>
      </c>
      <c r="B251" s="20" t="s">
        <v>55</v>
      </c>
      <c r="C251" s="21">
        <v>45479</v>
      </c>
      <c r="D251" s="21">
        <v>45486</v>
      </c>
      <c r="E251" s="21">
        <v>45501</v>
      </c>
      <c r="F251" s="20" t="s">
        <v>79</v>
      </c>
      <c r="G251" s="22">
        <v>123.29</v>
      </c>
      <c r="H251" s="22">
        <v>29.69</v>
      </c>
      <c r="I251" s="20" t="s">
        <v>60</v>
      </c>
      <c r="J251" s="20">
        <v>4</v>
      </c>
      <c r="K251" s="20" t="s">
        <v>46</v>
      </c>
      <c r="L251" s="23">
        <f t="shared" si="32"/>
        <v>45474</v>
      </c>
      <c r="M251" s="20">
        <f t="shared" si="33"/>
        <v>7</v>
      </c>
      <c r="N251" s="20">
        <f t="shared" si="34"/>
        <v>0</v>
      </c>
      <c r="O251" s="20">
        <f t="shared" si="35"/>
        <v>1</v>
      </c>
      <c r="P251" s="22">
        <f t="shared" si="36"/>
        <v>152.98000000000002</v>
      </c>
      <c r="Q251" s="22">
        <f>G251*INDEX(Assumptions!$B$8:$B$16,MATCH(F251,Assumptions!$A$8:$A$16,0))</f>
        <v>86.302999999999997</v>
      </c>
      <c r="R251" s="22">
        <f>H251*Assumptions!$B$3</f>
        <v>17.814</v>
      </c>
      <c r="S251" s="22">
        <f t="shared" si="37"/>
        <v>19.173000000000009</v>
      </c>
      <c r="T251" s="20" t="str">
        <f t="shared" si="38"/>
        <v>0-7 days</v>
      </c>
    </row>
    <row r="252" spans="1:20" x14ac:dyDescent="0.3">
      <c r="A252" s="20" t="s">
        <v>318</v>
      </c>
      <c r="B252" s="20" t="s">
        <v>103</v>
      </c>
      <c r="C252" s="21">
        <v>45479</v>
      </c>
      <c r="D252" s="21">
        <v>45490</v>
      </c>
      <c r="E252" s="21">
        <v>45504</v>
      </c>
      <c r="F252" s="20" t="s">
        <v>53</v>
      </c>
      <c r="G252" s="22">
        <v>170.06</v>
      </c>
      <c r="H252" s="22">
        <v>19.36</v>
      </c>
      <c r="I252" s="20" t="s">
        <v>60</v>
      </c>
      <c r="J252" s="20">
        <v>4</v>
      </c>
      <c r="K252" s="20" t="s">
        <v>46</v>
      </c>
      <c r="L252" s="23">
        <f t="shared" si="32"/>
        <v>45474</v>
      </c>
      <c r="M252" s="20">
        <f t="shared" si="33"/>
        <v>11</v>
      </c>
      <c r="N252" s="20">
        <f t="shared" si="34"/>
        <v>0</v>
      </c>
      <c r="O252" s="20">
        <f t="shared" si="35"/>
        <v>1</v>
      </c>
      <c r="P252" s="22">
        <f t="shared" si="36"/>
        <v>189.42000000000002</v>
      </c>
      <c r="Q252" s="22">
        <f>G252*INDEX(Assumptions!$B$8:$B$16,MATCH(F252,Assumptions!$A$8:$A$16,0))</f>
        <v>125.84439999999999</v>
      </c>
      <c r="R252" s="22">
        <f>H252*Assumptions!$B$3</f>
        <v>11.616</v>
      </c>
      <c r="S252" s="22">
        <f t="shared" si="37"/>
        <v>32.599600000000009</v>
      </c>
      <c r="T252" s="20" t="str">
        <f t="shared" si="38"/>
        <v>8-14 days</v>
      </c>
    </row>
    <row r="253" spans="1:20" x14ac:dyDescent="0.3">
      <c r="A253" s="20" t="s">
        <v>319</v>
      </c>
      <c r="B253" s="20" t="s">
        <v>156</v>
      </c>
      <c r="C253" s="21">
        <v>45479</v>
      </c>
      <c r="D253" s="21">
        <v>45500</v>
      </c>
      <c r="E253" s="21">
        <v>45505</v>
      </c>
      <c r="F253" s="20" t="s">
        <v>67</v>
      </c>
      <c r="G253" s="22">
        <v>110.35</v>
      </c>
      <c r="H253" s="22">
        <v>29.93</v>
      </c>
      <c r="I253" s="20" t="s">
        <v>45</v>
      </c>
      <c r="J253" s="20">
        <v>4</v>
      </c>
      <c r="K253" s="20" t="s">
        <v>46</v>
      </c>
      <c r="L253" s="23">
        <f t="shared" si="32"/>
        <v>45474</v>
      </c>
      <c r="M253" s="20">
        <f t="shared" si="33"/>
        <v>21</v>
      </c>
      <c r="N253" s="20">
        <f t="shared" si="34"/>
        <v>0</v>
      </c>
      <c r="O253" s="20">
        <f t="shared" si="35"/>
        <v>1</v>
      </c>
      <c r="P253" s="22">
        <f t="shared" si="36"/>
        <v>140.28</v>
      </c>
      <c r="Q253" s="22">
        <f>G253*INDEX(Assumptions!$B$8:$B$16,MATCH(F253,Assumptions!$A$8:$A$16,0))</f>
        <v>68.417000000000002</v>
      </c>
      <c r="R253" s="22">
        <f>H253*Assumptions!$B$3</f>
        <v>17.957999999999998</v>
      </c>
      <c r="S253" s="22">
        <f t="shared" si="37"/>
        <v>23.974999999999994</v>
      </c>
      <c r="T253" s="20" t="str">
        <f t="shared" si="38"/>
        <v>15-21 days</v>
      </c>
    </row>
    <row r="254" spans="1:20" x14ac:dyDescent="0.3">
      <c r="A254" s="20" t="s">
        <v>320</v>
      </c>
      <c r="B254" s="20" t="s">
        <v>55</v>
      </c>
      <c r="C254" s="21">
        <v>45479</v>
      </c>
      <c r="D254" s="21">
        <v>45492</v>
      </c>
      <c r="E254" s="21">
        <v>45503</v>
      </c>
      <c r="F254" s="20" t="s">
        <v>64</v>
      </c>
      <c r="G254" s="22">
        <v>48.91</v>
      </c>
      <c r="H254" s="22">
        <v>18.260000000000002</v>
      </c>
      <c r="I254" s="20" t="s">
        <v>45</v>
      </c>
      <c r="J254" s="20">
        <v>4</v>
      </c>
      <c r="K254" s="20" t="s">
        <v>46</v>
      </c>
      <c r="L254" s="23">
        <f t="shared" si="32"/>
        <v>45474</v>
      </c>
      <c r="M254" s="20">
        <f t="shared" si="33"/>
        <v>13</v>
      </c>
      <c r="N254" s="20">
        <f t="shared" si="34"/>
        <v>0</v>
      </c>
      <c r="O254" s="20">
        <f t="shared" si="35"/>
        <v>1</v>
      </c>
      <c r="P254" s="22">
        <f t="shared" si="36"/>
        <v>67.17</v>
      </c>
      <c r="Q254" s="22">
        <f>G254*INDEX(Assumptions!$B$8:$B$16,MATCH(F254,Assumptions!$A$8:$A$16,0))</f>
        <v>32.2806</v>
      </c>
      <c r="R254" s="22">
        <f>H254*Assumptions!$B$3</f>
        <v>10.956000000000001</v>
      </c>
      <c r="S254" s="22">
        <f t="shared" si="37"/>
        <v>5.6733999999999956</v>
      </c>
      <c r="T254" s="20" t="str">
        <f t="shared" si="38"/>
        <v>8-14 days</v>
      </c>
    </row>
    <row r="255" spans="1:20" x14ac:dyDescent="0.3">
      <c r="A255" s="20" t="s">
        <v>321</v>
      </c>
      <c r="B255" s="20" t="s">
        <v>19</v>
      </c>
      <c r="C255" s="21">
        <v>45479</v>
      </c>
      <c r="D255" s="21">
        <v>45490</v>
      </c>
      <c r="E255" s="21">
        <v>45497</v>
      </c>
      <c r="F255" s="20" t="s">
        <v>64</v>
      </c>
      <c r="G255" s="22">
        <v>802.15</v>
      </c>
      <c r="H255" s="22">
        <v>30</v>
      </c>
      <c r="I255" s="20" t="s">
        <v>45</v>
      </c>
      <c r="J255" s="20">
        <v>4</v>
      </c>
      <c r="K255" s="20" t="s">
        <v>46</v>
      </c>
      <c r="L255" s="23">
        <f t="shared" si="32"/>
        <v>45474</v>
      </c>
      <c r="M255" s="20">
        <f t="shared" si="33"/>
        <v>11</v>
      </c>
      <c r="N255" s="20">
        <f t="shared" si="34"/>
        <v>0</v>
      </c>
      <c r="O255" s="20">
        <f t="shared" si="35"/>
        <v>1</v>
      </c>
      <c r="P255" s="22">
        <f t="shared" si="36"/>
        <v>832.15</v>
      </c>
      <c r="Q255" s="22">
        <f>G255*INDEX(Assumptions!$B$8:$B$16,MATCH(F255,Assumptions!$A$8:$A$16,0))</f>
        <v>529.41899999999998</v>
      </c>
      <c r="R255" s="22">
        <f>H255*Assumptions!$B$3</f>
        <v>18</v>
      </c>
      <c r="S255" s="22">
        <f t="shared" si="37"/>
        <v>254.73099999999999</v>
      </c>
      <c r="T255" s="20" t="str">
        <f t="shared" si="38"/>
        <v>8-14 days</v>
      </c>
    </row>
    <row r="256" spans="1:20" x14ac:dyDescent="0.3">
      <c r="A256" s="20" t="s">
        <v>322</v>
      </c>
      <c r="B256" s="20" t="s">
        <v>93</v>
      </c>
      <c r="C256" s="21">
        <v>45479</v>
      </c>
      <c r="D256" s="21">
        <v>45503</v>
      </c>
      <c r="E256" s="21">
        <v>45509</v>
      </c>
      <c r="F256" s="20" t="s">
        <v>59</v>
      </c>
      <c r="G256" s="22">
        <v>70.31</v>
      </c>
      <c r="H256" s="22">
        <v>25.46</v>
      </c>
      <c r="I256" s="20" t="s">
        <v>45</v>
      </c>
      <c r="J256" s="20">
        <v>4</v>
      </c>
      <c r="K256" s="20" t="s">
        <v>46</v>
      </c>
      <c r="L256" s="23">
        <f t="shared" si="32"/>
        <v>45474</v>
      </c>
      <c r="M256" s="20">
        <f t="shared" si="33"/>
        <v>24</v>
      </c>
      <c r="N256" s="20">
        <f t="shared" si="34"/>
        <v>0</v>
      </c>
      <c r="O256" s="20">
        <f t="shared" si="35"/>
        <v>1</v>
      </c>
      <c r="P256" s="22">
        <f t="shared" si="36"/>
        <v>95.77000000000001</v>
      </c>
      <c r="Q256" s="22">
        <f>G256*INDEX(Assumptions!$B$8:$B$16,MATCH(F256,Assumptions!$A$8:$A$16,0))</f>
        <v>44.998400000000004</v>
      </c>
      <c r="R256" s="22">
        <f>H256*Assumptions!$B$3</f>
        <v>15.276</v>
      </c>
      <c r="S256" s="22">
        <f t="shared" si="37"/>
        <v>10.035599999999999</v>
      </c>
      <c r="T256" s="20" t="str">
        <f t="shared" si="38"/>
        <v>22+ days</v>
      </c>
    </row>
    <row r="257" spans="1:20" x14ac:dyDescent="0.3">
      <c r="A257" s="20" t="s">
        <v>323</v>
      </c>
      <c r="B257" s="20" t="s">
        <v>19</v>
      </c>
      <c r="C257" s="21">
        <v>45481</v>
      </c>
      <c r="D257" s="21">
        <v>45495</v>
      </c>
      <c r="E257" s="21">
        <v>45498</v>
      </c>
      <c r="F257" s="20" t="s">
        <v>44</v>
      </c>
      <c r="G257" s="22">
        <v>65.569999999999993</v>
      </c>
      <c r="H257" s="22">
        <v>15.16</v>
      </c>
      <c r="I257" s="20" t="s">
        <v>45</v>
      </c>
      <c r="J257" s="20">
        <v>4</v>
      </c>
      <c r="K257" s="20" t="s">
        <v>46</v>
      </c>
      <c r="L257" s="23">
        <f t="shared" si="32"/>
        <v>45474</v>
      </c>
      <c r="M257" s="20">
        <f t="shared" si="33"/>
        <v>14</v>
      </c>
      <c r="N257" s="20">
        <f t="shared" si="34"/>
        <v>0</v>
      </c>
      <c r="O257" s="20">
        <f t="shared" si="35"/>
        <v>1</v>
      </c>
      <c r="P257" s="22">
        <f t="shared" si="36"/>
        <v>80.72999999999999</v>
      </c>
      <c r="Q257" s="22">
        <f>G257*INDEX(Assumptions!$B$8:$B$16,MATCH(F257,Assumptions!$A$8:$A$16,0))</f>
        <v>39.341999999999992</v>
      </c>
      <c r="R257" s="22">
        <f>H257*Assumptions!$B$3</f>
        <v>9.0960000000000001</v>
      </c>
      <c r="S257" s="22">
        <f t="shared" si="37"/>
        <v>17.132000000000001</v>
      </c>
      <c r="T257" s="20" t="str">
        <f t="shared" si="38"/>
        <v>8-14 days</v>
      </c>
    </row>
    <row r="258" spans="1:20" x14ac:dyDescent="0.3">
      <c r="A258" s="20" t="s">
        <v>324</v>
      </c>
      <c r="B258" s="20" t="s">
        <v>103</v>
      </c>
      <c r="C258" s="21">
        <v>45481</v>
      </c>
      <c r="D258" s="21">
        <v>45496</v>
      </c>
      <c r="E258" s="21">
        <v>45504</v>
      </c>
      <c r="F258" s="20" t="s">
        <v>53</v>
      </c>
      <c r="G258" s="22">
        <v>306.69</v>
      </c>
      <c r="H258" s="22">
        <v>26.42</v>
      </c>
      <c r="I258" s="20" t="s">
        <v>60</v>
      </c>
      <c r="J258" s="20">
        <v>5</v>
      </c>
      <c r="K258" s="20" t="s">
        <v>46</v>
      </c>
      <c r="L258" s="23">
        <f t="shared" ref="L258:L321" si="39">DATE(YEAR(C258),MONTH(C258),1)</f>
        <v>45474</v>
      </c>
      <c r="M258" s="20">
        <f t="shared" ref="M258:M321" si="40">D258-C258</f>
        <v>15</v>
      </c>
      <c r="N258" s="20">
        <f t="shared" ref="N258:N321" si="41">MAX(0,D258-E258)</f>
        <v>0</v>
      </c>
      <c r="O258" s="20">
        <f t="shared" ref="O258:O321" si="42">IF(D258&lt;=E258,1,0)</f>
        <v>1</v>
      </c>
      <c r="P258" s="22">
        <f t="shared" ref="P258:P321" si="43">G258+H258</f>
        <v>333.11</v>
      </c>
      <c r="Q258" s="22">
        <f>G258*INDEX(Assumptions!$B$8:$B$16,MATCH(F258,Assumptions!$A$8:$A$16,0))</f>
        <v>226.95060000000001</v>
      </c>
      <c r="R258" s="22">
        <f>H258*Assumptions!$B$3</f>
        <v>15.852</v>
      </c>
      <c r="S258" s="22">
        <f t="shared" ref="S258:S321" si="44">G258-Q258-R258</f>
        <v>63.887399999999985</v>
      </c>
      <c r="T258" s="20" t="str">
        <f t="shared" ref="T258:T321" si="45">IF(M258&lt;=7,"0-7 days",IF(M258&lt;=14,"8-14 days",IF(M258&lt;=21,"15-21 days","22+ days")))</f>
        <v>15-21 days</v>
      </c>
    </row>
    <row r="259" spans="1:20" x14ac:dyDescent="0.3">
      <c r="A259" s="20" t="s">
        <v>325</v>
      </c>
      <c r="B259" s="20" t="s">
        <v>77</v>
      </c>
      <c r="C259" s="21">
        <v>45482</v>
      </c>
      <c r="D259" s="21">
        <v>45488</v>
      </c>
      <c r="E259" s="21">
        <v>45512</v>
      </c>
      <c r="F259" s="20" t="s">
        <v>59</v>
      </c>
      <c r="G259" s="22">
        <v>93.94</v>
      </c>
      <c r="H259" s="22">
        <v>23.54</v>
      </c>
      <c r="I259" s="20" t="s">
        <v>45</v>
      </c>
      <c r="J259" s="20">
        <v>4</v>
      </c>
      <c r="K259" s="20" t="s">
        <v>46</v>
      </c>
      <c r="L259" s="23">
        <f t="shared" si="39"/>
        <v>45474</v>
      </c>
      <c r="M259" s="20">
        <f t="shared" si="40"/>
        <v>6</v>
      </c>
      <c r="N259" s="20">
        <f t="shared" si="41"/>
        <v>0</v>
      </c>
      <c r="O259" s="20">
        <f t="shared" si="42"/>
        <v>1</v>
      </c>
      <c r="P259" s="22">
        <f t="shared" si="43"/>
        <v>117.47999999999999</v>
      </c>
      <c r="Q259" s="22">
        <f>G259*INDEX(Assumptions!$B$8:$B$16,MATCH(F259,Assumptions!$A$8:$A$16,0))</f>
        <v>60.121600000000001</v>
      </c>
      <c r="R259" s="22">
        <f>H259*Assumptions!$B$3</f>
        <v>14.123999999999999</v>
      </c>
      <c r="S259" s="22">
        <f t="shared" si="44"/>
        <v>19.694399999999998</v>
      </c>
      <c r="T259" s="20" t="str">
        <f t="shared" si="45"/>
        <v>0-7 days</v>
      </c>
    </row>
    <row r="260" spans="1:20" x14ac:dyDescent="0.3">
      <c r="A260" s="20" t="s">
        <v>326</v>
      </c>
      <c r="B260" s="20" t="s">
        <v>19</v>
      </c>
      <c r="C260" s="21">
        <v>45482</v>
      </c>
      <c r="D260" s="21">
        <v>45488</v>
      </c>
      <c r="E260" s="21">
        <v>45498</v>
      </c>
      <c r="F260" s="20" t="s">
        <v>67</v>
      </c>
      <c r="G260" s="22">
        <v>98.05</v>
      </c>
      <c r="H260" s="22">
        <v>20.02</v>
      </c>
      <c r="I260" s="20" t="s">
        <v>45</v>
      </c>
      <c r="J260" s="20">
        <v>5</v>
      </c>
      <c r="K260" s="20" t="s">
        <v>46</v>
      </c>
      <c r="L260" s="23">
        <f t="shared" si="39"/>
        <v>45474</v>
      </c>
      <c r="M260" s="20">
        <f t="shared" si="40"/>
        <v>6</v>
      </c>
      <c r="N260" s="20">
        <f t="shared" si="41"/>
        <v>0</v>
      </c>
      <c r="O260" s="20">
        <f t="shared" si="42"/>
        <v>1</v>
      </c>
      <c r="P260" s="22">
        <f t="shared" si="43"/>
        <v>118.07</v>
      </c>
      <c r="Q260" s="22">
        <f>G260*INDEX(Assumptions!$B$8:$B$16,MATCH(F260,Assumptions!$A$8:$A$16,0))</f>
        <v>60.790999999999997</v>
      </c>
      <c r="R260" s="22">
        <f>H260*Assumptions!$B$3</f>
        <v>12.011999999999999</v>
      </c>
      <c r="S260" s="22">
        <f t="shared" si="44"/>
        <v>25.247</v>
      </c>
      <c r="T260" s="20" t="str">
        <f t="shared" si="45"/>
        <v>0-7 days</v>
      </c>
    </row>
    <row r="261" spans="1:20" x14ac:dyDescent="0.3">
      <c r="A261" s="20" t="s">
        <v>327</v>
      </c>
      <c r="B261" s="20" t="s">
        <v>19</v>
      </c>
      <c r="C261" s="21">
        <v>45482</v>
      </c>
      <c r="D261" s="21">
        <v>45490</v>
      </c>
      <c r="E261" s="21">
        <v>45495</v>
      </c>
      <c r="F261" s="20" t="s">
        <v>44</v>
      </c>
      <c r="G261" s="22">
        <v>107.49</v>
      </c>
      <c r="H261" s="22">
        <v>15.95</v>
      </c>
      <c r="I261" s="20" t="s">
        <v>104</v>
      </c>
      <c r="J261" s="20">
        <v>5</v>
      </c>
      <c r="K261" s="20" t="s">
        <v>46</v>
      </c>
      <c r="L261" s="23">
        <f t="shared" si="39"/>
        <v>45474</v>
      </c>
      <c r="M261" s="20">
        <f t="shared" si="40"/>
        <v>8</v>
      </c>
      <c r="N261" s="20">
        <f t="shared" si="41"/>
        <v>0</v>
      </c>
      <c r="O261" s="20">
        <f t="shared" si="42"/>
        <v>1</v>
      </c>
      <c r="P261" s="22">
        <f t="shared" si="43"/>
        <v>123.44</v>
      </c>
      <c r="Q261" s="22">
        <f>G261*INDEX(Assumptions!$B$8:$B$16,MATCH(F261,Assumptions!$A$8:$A$16,0))</f>
        <v>64.494</v>
      </c>
      <c r="R261" s="22">
        <f>H261*Assumptions!$B$3</f>
        <v>9.5699999999999985</v>
      </c>
      <c r="S261" s="22">
        <f t="shared" si="44"/>
        <v>33.425999999999995</v>
      </c>
      <c r="T261" s="20" t="str">
        <f t="shared" si="45"/>
        <v>8-14 days</v>
      </c>
    </row>
    <row r="262" spans="1:20" x14ac:dyDescent="0.3">
      <c r="A262" s="20" t="s">
        <v>328</v>
      </c>
      <c r="B262" s="20" t="s">
        <v>48</v>
      </c>
      <c r="C262" s="21">
        <v>45483</v>
      </c>
      <c r="D262" s="21">
        <v>45496</v>
      </c>
      <c r="E262" s="21">
        <v>45504</v>
      </c>
      <c r="F262" s="20" t="s">
        <v>49</v>
      </c>
      <c r="G262" s="22">
        <v>94.4</v>
      </c>
      <c r="H262" s="22">
        <v>19.739999999999998</v>
      </c>
      <c r="I262" s="20" t="s">
        <v>45</v>
      </c>
      <c r="J262" s="20">
        <v>3</v>
      </c>
      <c r="K262" s="20" t="s">
        <v>46</v>
      </c>
      <c r="L262" s="23">
        <f t="shared" si="39"/>
        <v>45474</v>
      </c>
      <c r="M262" s="20">
        <f t="shared" si="40"/>
        <v>13</v>
      </c>
      <c r="N262" s="20">
        <f t="shared" si="41"/>
        <v>0</v>
      </c>
      <c r="O262" s="20">
        <f t="shared" si="42"/>
        <v>1</v>
      </c>
      <c r="P262" s="22">
        <f t="shared" si="43"/>
        <v>114.14</v>
      </c>
      <c r="Q262" s="22">
        <f>G262*INDEX(Assumptions!$B$8:$B$16,MATCH(F262,Assumptions!$A$8:$A$16,0))</f>
        <v>54.752000000000002</v>
      </c>
      <c r="R262" s="22">
        <f>H262*Assumptions!$B$3</f>
        <v>11.843999999999999</v>
      </c>
      <c r="S262" s="22">
        <f t="shared" si="44"/>
        <v>27.804000000000002</v>
      </c>
      <c r="T262" s="20" t="str">
        <f t="shared" si="45"/>
        <v>8-14 days</v>
      </c>
    </row>
    <row r="263" spans="1:20" x14ac:dyDescent="0.3">
      <c r="A263" s="20" t="s">
        <v>329</v>
      </c>
      <c r="B263" s="20" t="s">
        <v>48</v>
      </c>
      <c r="C263" s="21">
        <v>45483</v>
      </c>
      <c r="D263" s="21">
        <v>45502</v>
      </c>
      <c r="E263" s="21">
        <v>45503</v>
      </c>
      <c r="F263" s="20" t="s">
        <v>44</v>
      </c>
      <c r="G263" s="22">
        <v>46.78</v>
      </c>
      <c r="H263" s="22">
        <v>27.1</v>
      </c>
      <c r="I263" s="20" t="s">
        <v>45</v>
      </c>
      <c r="J263" s="20">
        <v>4</v>
      </c>
      <c r="K263" s="20" t="s">
        <v>46</v>
      </c>
      <c r="L263" s="23">
        <f t="shared" si="39"/>
        <v>45474</v>
      </c>
      <c r="M263" s="20">
        <f t="shared" si="40"/>
        <v>19</v>
      </c>
      <c r="N263" s="20">
        <f t="shared" si="41"/>
        <v>0</v>
      </c>
      <c r="O263" s="20">
        <f t="shared" si="42"/>
        <v>1</v>
      </c>
      <c r="P263" s="22">
        <f t="shared" si="43"/>
        <v>73.88</v>
      </c>
      <c r="Q263" s="22">
        <f>G263*INDEX(Assumptions!$B$8:$B$16,MATCH(F263,Assumptions!$A$8:$A$16,0))</f>
        <v>28.068000000000001</v>
      </c>
      <c r="R263" s="22">
        <f>H263*Assumptions!$B$3</f>
        <v>16.260000000000002</v>
      </c>
      <c r="S263" s="22">
        <f t="shared" si="44"/>
        <v>2.4519999999999982</v>
      </c>
      <c r="T263" s="20" t="str">
        <f t="shared" si="45"/>
        <v>15-21 days</v>
      </c>
    </row>
    <row r="264" spans="1:20" x14ac:dyDescent="0.3">
      <c r="A264" s="20" t="s">
        <v>330</v>
      </c>
      <c r="B264" s="20" t="s">
        <v>19</v>
      </c>
      <c r="C264" s="21">
        <v>45483</v>
      </c>
      <c r="D264" s="21">
        <v>45489</v>
      </c>
      <c r="E264" s="21">
        <v>45498</v>
      </c>
      <c r="F264" s="20" t="s">
        <v>49</v>
      </c>
      <c r="G264" s="22">
        <v>45.02</v>
      </c>
      <c r="H264" s="22">
        <v>15.55</v>
      </c>
      <c r="I264" s="20" t="s">
        <v>45</v>
      </c>
      <c r="J264" s="20">
        <v>5</v>
      </c>
      <c r="K264" s="20" t="s">
        <v>46</v>
      </c>
      <c r="L264" s="23">
        <f t="shared" si="39"/>
        <v>45474</v>
      </c>
      <c r="M264" s="20">
        <f t="shared" si="40"/>
        <v>6</v>
      </c>
      <c r="N264" s="20">
        <f t="shared" si="41"/>
        <v>0</v>
      </c>
      <c r="O264" s="20">
        <f t="shared" si="42"/>
        <v>1</v>
      </c>
      <c r="P264" s="22">
        <f t="shared" si="43"/>
        <v>60.570000000000007</v>
      </c>
      <c r="Q264" s="22">
        <f>G264*INDEX(Assumptions!$B$8:$B$16,MATCH(F264,Assumptions!$A$8:$A$16,0))</f>
        <v>26.111599999999999</v>
      </c>
      <c r="R264" s="22">
        <f>H264*Assumptions!$B$3</f>
        <v>9.33</v>
      </c>
      <c r="S264" s="22">
        <f t="shared" si="44"/>
        <v>9.5784000000000038</v>
      </c>
      <c r="T264" s="20" t="str">
        <f t="shared" si="45"/>
        <v>0-7 days</v>
      </c>
    </row>
    <row r="265" spans="1:20" x14ac:dyDescent="0.3">
      <c r="A265" s="20" t="s">
        <v>331</v>
      </c>
      <c r="B265" s="20" t="s">
        <v>62</v>
      </c>
      <c r="C265" s="21">
        <v>45483</v>
      </c>
      <c r="D265" s="21">
        <v>45503</v>
      </c>
      <c r="E265" s="21">
        <v>45501</v>
      </c>
      <c r="F265" s="20" t="s">
        <v>49</v>
      </c>
      <c r="G265" s="22">
        <v>193.99</v>
      </c>
      <c r="H265" s="22">
        <v>25.67</v>
      </c>
      <c r="I265" s="20" t="s">
        <v>45</v>
      </c>
      <c r="J265" s="20">
        <v>3</v>
      </c>
      <c r="K265" s="20" t="s">
        <v>46</v>
      </c>
      <c r="L265" s="23">
        <f t="shared" si="39"/>
        <v>45474</v>
      </c>
      <c r="M265" s="20">
        <f t="shared" si="40"/>
        <v>20</v>
      </c>
      <c r="N265" s="20">
        <f t="shared" si="41"/>
        <v>2</v>
      </c>
      <c r="O265" s="20">
        <f t="shared" si="42"/>
        <v>0</v>
      </c>
      <c r="P265" s="22">
        <f t="shared" si="43"/>
        <v>219.66000000000003</v>
      </c>
      <c r="Q265" s="22">
        <f>G265*INDEX(Assumptions!$B$8:$B$16,MATCH(F265,Assumptions!$A$8:$A$16,0))</f>
        <v>112.5142</v>
      </c>
      <c r="R265" s="22">
        <f>H265*Assumptions!$B$3</f>
        <v>15.402000000000001</v>
      </c>
      <c r="S265" s="22">
        <f t="shared" si="44"/>
        <v>66.073800000000006</v>
      </c>
      <c r="T265" s="20" t="str">
        <f t="shared" si="45"/>
        <v>15-21 days</v>
      </c>
    </row>
    <row r="266" spans="1:20" x14ac:dyDescent="0.3">
      <c r="A266" s="20" t="s">
        <v>332</v>
      </c>
      <c r="B266" s="20" t="s">
        <v>19</v>
      </c>
      <c r="C266" s="21">
        <v>45484</v>
      </c>
      <c r="D266" s="21">
        <v>45495</v>
      </c>
      <c r="E266" s="21">
        <v>45500</v>
      </c>
      <c r="F266" s="20" t="s">
        <v>49</v>
      </c>
      <c r="G266" s="22">
        <v>91.39</v>
      </c>
      <c r="H266" s="22">
        <v>17.579999999999998</v>
      </c>
      <c r="I266" s="20" t="s">
        <v>45</v>
      </c>
      <c r="J266" s="20">
        <v>4</v>
      </c>
      <c r="K266" s="20" t="s">
        <v>46</v>
      </c>
      <c r="L266" s="23">
        <f t="shared" si="39"/>
        <v>45474</v>
      </c>
      <c r="M266" s="20">
        <f t="shared" si="40"/>
        <v>11</v>
      </c>
      <c r="N266" s="20">
        <f t="shared" si="41"/>
        <v>0</v>
      </c>
      <c r="O266" s="20">
        <f t="shared" si="42"/>
        <v>1</v>
      </c>
      <c r="P266" s="22">
        <f t="shared" si="43"/>
        <v>108.97</v>
      </c>
      <c r="Q266" s="22">
        <f>G266*INDEX(Assumptions!$B$8:$B$16,MATCH(F266,Assumptions!$A$8:$A$16,0))</f>
        <v>53.0062</v>
      </c>
      <c r="R266" s="22">
        <f>H266*Assumptions!$B$3</f>
        <v>10.547999999999998</v>
      </c>
      <c r="S266" s="22">
        <f t="shared" si="44"/>
        <v>27.835800000000003</v>
      </c>
      <c r="T266" s="20" t="str">
        <f t="shared" si="45"/>
        <v>8-14 days</v>
      </c>
    </row>
    <row r="267" spans="1:20" x14ac:dyDescent="0.3">
      <c r="A267" s="20" t="s">
        <v>333</v>
      </c>
      <c r="B267" s="20" t="s">
        <v>19</v>
      </c>
      <c r="C267" s="21">
        <v>45484</v>
      </c>
      <c r="D267" s="21">
        <v>45489</v>
      </c>
      <c r="E267" s="21">
        <v>45496</v>
      </c>
      <c r="F267" s="20" t="s">
        <v>57</v>
      </c>
      <c r="G267" s="22">
        <v>66.62</v>
      </c>
      <c r="H267" s="22">
        <v>20</v>
      </c>
      <c r="I267" s="20" t="s">
        <v>45</v>
      </c>
      <c r="J267" s="20">
        <v>4</v>
      </c>
      <c r="K267" s="20" t="s">
        <v>46</v>
      </c>
      <c r="L267" s="23">
        <f t="shared" si="39"/>
        <v>45474</v>
      </c>
      <c r="M267" s="20">
        <f t="shared" si="40"/>
        <v>5</v>
      </c>
      <c r="N267" s="20">
        <f t="shared" si="41"/>
        <v>0</v>
      </c>
      <c r="O267" s="20">
        <f t="shared" si="42"/>
        <v>1</v>
      </c>
      <c r="P267" s="22">
        <f t="shared" si="43"/>
        <v>86.62</v>
      </c>
      <c r="Q267" s="22">
        <f>G267*INDEX(Assumptions!$B$8:$B$16,MATCH(F267,Assumptions!$A$8:$A$16,0))</f>
        <v>45.301600000000008</v>
      </c>
      <c r="R267" s="22">
        <f>H267*Assumptions!$B$3</f>
        <v>12</v>
      </c>
      <c r="S267" s="22">
        <f t="shared" si="44"/>
        <v>9.3183999999999969</v>
      </c>
      <c r="T267" s="20" t="str">
        <f t="shared" si="45"/>
        <v>0-7 days</v>
      </c>
    </row>
    <row r="268" spans="1:20" x14ac:dyDescent="0.3">
      <c r="A268" s="20" t="s">
        <v>334</v>
      </c>
      <c r="B268" s="20" t="s">
        <v>77</v>
      </c>
      <c r="C268" s="21">
        <v>45484</v>
      </c>
      <c r="D268" s="21">
        <v>45493</v>
      </c>
      <c r="E268" s="21">
        <v>45508</v>
      </c>
      <c r="F268" s="20" t="s">
        <v>111</v>
      </c>
      <c r="G268" s="22">
        <v>75.69</v>
      </c>
      <c r="H268" s="22">
        <v>27.65</v>
      </c>
      <c r="I268" s="20" t="s">
        <v>45</v>
      </c>
      <c r="J268" s="20">
        <v>4</v>
      </c>
      <c r="K268" s="20" t="s">
        <v>46</v>
      </c>
      <c r="L268" s="23">
        <f t="shared" si="39"/>
        <v>45474</v>
      </c>
      <c r="M268" s="20">
        <f t="shared" si="40"/>
        <v>9</v>
      </c>
      <c r="N268" s="20">
        <f t="shared" si="41"/>
        <v>0</v>
      </c>
      <c r="O268" s="20">
        <f t="shared" si="42"/>
        <v>1</v>
      </c>
      <c r="P268" s="22">
        <f t="shared" si="43"/>
        <v>103.34</v>
      </c>
      <c r="Q268" s="22">
        <f>G268*INDEX(Assumptions!$B$8:$B$16,MATCH(F268,Assumptions!$A$8:$A$16,0))</f>
        <v>47.684699999999999</v>
      </c>
      <c r="R268" s="22">
        <f>H268*Assumptions!$B$3</f>
        <v>16.59</v>
      </c>
      <c r="S268" s="22">
        <f t="shared" si="44"/>
        <v>11.415299999999998</v>
      </c>
      <c r="T268" s="20" t="str">
        <f t="shared" si="45"/>
        <v>8-14 days</v>
      </c>
    </row>
    <row r="269" spans="1:20" x14ac:dyDescent="0.3">
      <c r="A269" s="20" t="s">
        <v>335</v>
      </c>
      <c r="B269" s="20" t="s">
        <v>19</v>
      </c>
      <c r="C269" s="21">
        <v>45484</v>
      </c>
      <c r="D269" s="21">
        <v>45492</v>
      </c>
      <c r="E269" s="21">
        <v>45498</v>
      </c>
      <c r="F269" s="20" t="s">
        <v>67</v>
      </c>
      <c r="G269" s="22">
        <v>86.03</v>
      </c>
      <c r="H269" s="22">
        <v>16.98</v>
      </c>
      <c r="I269" s="20" t="s">
        <v>45</v>
      </c>
      <c r="J269" s="20">
        <v>5</v>
      </c>
      <c r="K269" s="20" t="s">
        <v>46</v>
      </c>
      <c r="L269" s="23">
        <f t="shared" si="39"/>
        <v>45474</v>
      </c>
      <c r="M269" s="20">
        <f t="shared" si="40"/>
        <v>8</v>
      </c>
      <c r="N269" s="20">
        <f t="shared" si="41"/>
        <v>0</v>
      </c>
      <c r="O269" s="20">
        <f t="shared" si="42"/>
        <v>1</v>
      </c>
      <c r="P269" s="22">
        <f t="shared" si="43"/>
        <v>103.01</v>
      </c>
      <c r="Q269" s="22">
        <f>G269*INDEX(Assumptions!$B$8:$B$16,MATCH(F269,Assumptions!$A$8:$A$16,0))</f>
        <v>53.3386</v>
      </c>
      <c r="R269" s="22">
        <f>H269*Assumptions!$B$3</f>
        <v>10.188000000000001</v>
      </c>
      <c r="S269" s="22">
        <f t="shared" si="44"/>
        <v>22.503399999999999</v>
      </c>
      <c r="T269" s="20" t="str">
        <f t="shared" si="45"/>
        <v>8-14 days</v>
      </c>
    </row>
    <row r="270" spans="1:20" x14ac:dyDescent="0.3">
      <c r="A270" s="20" t="s">
        <v>336</v>
      </c>
      <c r="B270" s="20" t="s">
        <v>48</v>
      </c>
      <c r="C270" s="21">
        <v>45484</v>
      </c>
      <c r="D270" s="21">
        <v>45501</v>
      </c>
      <c r="E270" s="21">
        <v>45503</v>
      </c>
      <c r="F270" s="20" t="s">
        <v>44</v>
      </c>
      <c r="G270" s="22">
        <v>130.94</v>
      </c>
      <c r="H270" s="22">
        <v>24.35</v>
      </c>
      <c r="I270" s="20" t="s">
        <v>50</v>
      </c>
      <c r="J270" s="20">
        <v>3</v>
      </c>
      <c r="K270" s="20" t="s">
        <v>46</v>
      </c>
      <c r="L270" s="23">
        <f t="shared" si="39"/>
        <v>45474</v>
      </c>
      <c r="M270" s="20">
        <f t="shared" si="40"/>
        <v>17</v>
      </c>
      <c r="N270" s="20">
        <f t="shared" si="41"/>
        <v>0</v>
      </c>
      <c r="O270" s="20">
        <f t="shared" si="42"/>
        <v>1</v>
      </c>
      <c r="P270" s="22">
        <f t="shared" si="43"/>
        <v>155.29</v>
      </c>
      <c r="Q270" s="22">
        <f>G270*INDEX(Assumptions!$B$8:$B$16,MATCH(F270,Assumptions!$A$8:$A$16,0))</f>
        <v>78.563999999999993</v>
      </c>
      <c r="R270" s="22">
        <f>H270*Assumptions!$B$3</f>
        <v>14.61</v>
      </c>
      <c r="S270" s="22">
        <f t="shared" si="44"/>
        <v>37.766000000000005</v>
      </c>
      <c r="T270" s="20" t="str">
        <f t="shared" si="45"/>
        <v>15-21 days</v>
      </c>
    </row>
    <row r="271" spans="1:20" x14ac:dyDescent="0.3">
      <c r="A271" s="20" t="s">
        <v>337</v>
      </c>
      <c r="B271" s="20" t="s">
        <v>52</v>
      </c>
      <c r="C271" s="21">
        <v>45485</v>
      </c>
      <c r="D271" s="21">
        <v>45506</v>
      </c>
      <c r="E271" s="21">
        <v>45508</v>
      </c>
      <c r="F271" s="20" t="s">
        <v>44</v>
      </c>
      <c r="G271" s="22">
        <v>112.79</v>
      </c>
      <c r="H271" s="22">
        <v>25.49</v>
      </c>
      <c r="I271" s="20" t="s">
        <v>60</v>
      </c>
      <c r="J271" s="20">
        <v>4</v>
      </c>
      <c r="K271" s="20" t="s">
        <v>46</v>
      </c>
      <c r="L271" s="23">
        <f t="shared" si="39"/>
        <v>45474</v>
      </c>
      <c r="M271" s="20">
        <f t="shared" si="40"/>
        <v>21</v>
      </c>
      <c r="N271" s="20">
        <f t="shared" si="41"/>
        <v>0</v>
      </c>
      <c r="O271" s="20">
        <f t="shared" si="42"/>
        <v>1</v>
      </c>
      <c r="P271" s="22">
        <f t="shared" si="43"/>
        <v>138.28</v>
      </c>
      <c r="Q271" s="22">
        <f>G271*INDEX(Assumptions!$B$8:$B$16,MATCH(F271,Assumptions!$A$8:$A$16,0))</f>
        <v>67.674000000000007</v>
      </c>
      <c r="R271" s="22">
        <f>H271*Assumptions!$B$3</f>
        <v>15.293999999999999</v>
      </c>
      <c r="S271" s="22">
        <f t="shared" si="44"/>
        <v>29.822000000000003</v>
      </c>
      <c r="T271" s="20" t="str">
        <f t="shared" si="45"/>
        <v>15-21 days</v>
      </c>
    </row>
    <row r="272" spans="1:20" x14ac:dyDescent="0.3">
      <c r="A272" s="20" t="s">
        <v>338</v>
      </c>
      <c r="B272" s="20" t="s">
        <v>55</v>
      </c>
      <c r="C272" s="21">
        <v>45486</v>
      </c>
      <c r="D272" s="21">
        <v>45506</v>
      </c>
      <c r="E272" s="21">
        <v>45511</v>
      </c>
      <c r="F272" s="20" t="s">
        <v>67</v>
      </c>
      <c r="G272" s="22">
        <v>205.51</v>
      </c>
      <c r="H272" s="22">
        <v>26.04</v>
      </c>
      <c r="I272" s="20" t="s">
        <v>45</v>
      </c>
      <c r="J272" s="20">
        <v>4</v>
      </c>
      <c r="K272" s="20" t="s">
        <v>46</v>
      </c>
      <c r="L272" s="23">
        <f t="shared" si="39"/>
        <v>45474</v>
      </c>
      <c r="M272" s="20">
        <f t="shared" si="40"/>
        <v>20</v>
      </c>
      <c r="N272" s="20">
        <f t="shared" si="41"/>
        <v>0</v>
      </c>
      <c r="O272" s="20">
        <f t="shared" si="42"/>
        <v>1</v>
      </c>
      <c r="P272" s="22">
        <f t="shared" si="43"/>
        <v>231.54999999999998</v>
      </c>
      <c r="Q272" s="22">
        <f>G272*INDEX(Assumptions!$B$8:$B$16,MATCH(F272,Assumptions!$A$8:$A$16,0))</f>
        <v>127.41619999999999</v>
      </c>
      <c r="R272" s="22">
        <f>H272*Assumptions!$B$3</f>
        <v>15.623999999999999</v>
      </c>
      <c r="S272" s="22">
        <f t="shared" si="44"/>
        <v>62.469800000000006</v>
      </c>
      <c r="T272" s="20" t="str">
        <f t="shared" si="45"/>
        <v>15-21 days</v>
      </c>
    </row>
    <row r="273" spans="1:20" x14ac:dyDescent="0.3">
      <c r="A273" s="20" t="s">
        <v>339</v>
      </c>
      <c r="B273" s="20" t="s">
        <v>19</v>
      </c>
      <c r="C273" s="21">
        <v>45486</v>
      </c>
      <c r="D273" s="21">
        <v>45490</v>
      </c>
      <c r="E273" s="21">
        <v>45501</v>
      </c>
      <c r="F273" s="20" t="s">
        <v>44</v>
      </c>
      <c r="G273" s="22">
        <v>57.51</v>
      </c>
      <c r="H273" s="22">
        <v>21.15</v>
      </c>
      <c r="I273" s="20" t="s">
        <v>45</v>
      </c>
      <c r="J273" s="20">
        <v>4</v>
      </c>
      <c r="K273" s="20" t="s">
        <v>46</v>
      </c>
      <c r="L273" s="23">
        <f t="shared" si="39"/>
        <v>45474</v>
      </c>
      <c r="M273" s="20">
        <f t="shared" si="40"/>
        <v>4</v>
      </c>
      <c r="N273" s="20">
        <f t="shared" si="41"/>
        <v>0</v>
      </c>
      <c r="O273" s="20">
        <f t="shared" si="42"/>
        <v>1</v>
      </c>
      <c r="P273" s="22">
        <f t="shared" si="43"/>
        <v>78.66</v>
      </c>
      <c r="Q273" s="22">
        <f>G273*INDEX(Assumptions!$B$8:$B$16,MATCH(F273,Assumptions!$A$8:$A$16,0))</f>
        <v>34.506</v>
      </c>
      <c r="R273" s="22">
        <f>H273*Assumptions!$B$3</f>
        <v>12.69</v>
      </c>
      <c r="S273" s="22">
        <f t="shared" si="44"/>
        <v>10.313999999999998</v>
      </c>
      <c r="T273" s="20" t="str">
        <f t="shared" si="45"/>
        <v>0-7 days</v>
      </c>
    </row>
    <row r="274" spans="1:20" x14ac:dyDescent="0.3">
      <c r="A274" s="20" t="s">
        <v>340</v>
      </c>
      <c r="B274" s="20" t="s">
        <v>19</v>
      </c>
      <c r="C274" s="21">
        <v>45486</v>
      </c>
      <c r="D274" s="21">
        <v>45498</v>
      </c>
      <c r="E274" s="21">
        <v>45503</v>
      </c>
      <c r="F274" s="20" t="s">
        <v>49</v>
      </c>
      <c r="G274" s="22">
        <v>101.01</v>
      </c>
      <c r="H274" s="22">
        <v>18.16</v>
      </c>
      <c r="I274" s="20" t="s">
        <v>45</v>
      </c>
      <c r="J274" s="20">
        <v>3</v>
      </c>
      <c r="K274" s="20" t="s">
        <v>46</v>
      </c>
      <c r="L274" s="23">
        <f t="shared" si="39"/>
        <v>45474</v>
      </c>
      <c r="M274" s="20">
        <f t="shared" si="40"/>
        <v>12</v>
      </c>
      <c r="N274" s="20">
        <f t="shared" si="41"/>
        <v>0</v>
      </c>
      <c r="O274" s="20">
        <f t="shared" si="42"/>
        <v>1</v>
      </c>
      <c r="P274" s="22">
        <f t="shared" si="43"/>
        <v>119.17</v>
      </c>
      <c r="Q274" s="22">
        <f>G274*INDEX(Assumptions!$B$8:$B$16,MATCH(F274,Assumptions!$A$8:$A$16,0))</f>
        <v>58.585799999999999</v>
      </c>
      <c r="R274" s="22">
        <f>H274*Assumptions!$B$3</f>
        <v>10.895999999999999</v>
      </c>
      <c r="S274" s="22">
        <f t="shared" si="44"/>
        <v>31.528200000000005</v>
      </c>
      <c r="T274" s="20" t="str">
        <f t="shared" si="45"/>
        <v>8-14 days</v>
      </c>
    </row>
    <row r="275" spans="1:20" x14ac:dyDescent="0.3">
      <c r="A275" s="20" t="s">
        <v>341</v>
      </c>
      <c r="B275" s="20" t="s">
        <v>19</v>
      </c>
      <c r="C275" s="21">
        <v>45487</v>
      </c>
      <c r="D275" s="21">
        <v>45492</v>
      </c>
      <c r="E275" s="21">
        <v>45504</v>
      </c>
      <c r="F275" s="20" t="s">
        <v>67</v>
      </c>
      <c r="G275" s="22">
        <v>55.2</v>
      </c>
      <c r="H275" s="22">
        <v>12.78</v>
      </c>
      <c r="I275" s="20" t="s">
        <v>45</v>
      </c>
      <c r="J275" s="20">
        <v>3</v>
      </c>
      <c r="K275" s="20" t="s">
        <v>46</v>
      </c>
      <c r="L275" s="23">
        <f t="shared" si="39"/>
        <v>45474</v>
      </c>
      <c r="M275" s="20">
        <f t="shared" si="40"/>
        <v>5</v>
      </c>
      <c r="N275" s="20">
        <f t="shared" si="41"/>
        <v>0</v>
      </c>
      <c r="O275" s="20">
        <f t="shared" si="42"/>
        <v>1</v>
      </c>
      <c r="P275" s="22">
        <f t="shared" si="43"/>
        <v>67.98</v>
      </c>
      <c r="Q275" s="22">
        <f>G275*INDEX(Assumptions!$B$8:$B$16,MATCH(F275,Assumptions!$A$8:$A$16,0))</f>
        <v>34.224000000000004</v>
      </c>
      <c r="R275" s="22">
        <f>H275*Assumptions!$B$3</f>
        <v>7.6679999999999993</v>
      </c>
      <c r="S275" s="22">
        <f t="shared" si="44"/>
        <v>13.308</v>
      </c>
      <c r="T275" s="20" t="str">
        <f t="shared" si="45"/>
        <v>0-7 days</v>
      </c>
    </row>
    <row r="276" spans="1:20" x14ac:dyDescent="0.3">
      <c r="A276" s="20" t="s">
        <v>342</v>
      </c>
      <c r="B276" s="20" t="s">
        <v>19</v>
      </c>
      <c r="C276" s="21">
        <v>45487</v>
      </c>
      <c r="D276" s="21">
        <v>45493</v>
      </c>
      <c r="E276" s="21">
        <v>45502</v>
      </c>
      <c r="F276" s="20" t="s">
        <v>53</v>
      </c>
      <c r="G276" s="22">
        <v>116.38</v>
      </c>
      <c r="H276" s="22">
        <v>15.14</v>
      </c>
      <c r="I276" s="20" t="s">
        <v>45</v>
      </c>
      <c r="J276" s="20">
        <v>4</v>
      </c>
      <c r="K276" s="20" t="s">
        <v>46</v>
      </c>
      <c r="L276" s="23">
        <f t="shared" si="39"/>
        <v>45474</v>
      </c>
      <c r="M276" s="20">
        <f t="shared" si="40"/>
        <v>6</v>
      </c>
      <c r="N276" s="20">
        <f t="shared" si="41"/>
        <v>0</v>
      </c>
      <c r="O276" s="20">
        <f t="shared" si="42"/>
        <v>1</v>
      </c>
      <c r="P276" s="22">
        <f t="shared" si="43"/>
        <v>131.51999999999998</v>
      </c>
      <c r="Q276" s="22">
        <f>G276*INDEX(Assumptions!$B$8:$B$16,MATCH(F276,Assumptions!$A$8:$A$16,0))</f>
        <v>86.121200000000002</v>
      </c>
      <c r="R276" s="22">
        <f>H276*Assumptions!$B$3</f>
        <v>9.0839999999999996</v>
      </c>
      <c r="S276" s="22">
        <f t="shared" si="44"/>
        <v>21.174799999999994</v>
      </c>
      <c r="T276" s="20" t="str">
        <f t="shared" si="45"/>
        <v>0-7 days</v>
      </c>
    </row>
    <row r="277" spans="1:20" x14ac:dyDescent="0.3">
      <c r="A277" s="20" t="s">
        <v>343</v>
      </c>
      <c r="B277" s="20" t="s">
        <v>48</v>
      </c>
      <c r="C277" s="21">
        <v>45488</v>
      </c>
      <c r="D277" s="21">
        <v>45500</v>
      </c>
      <c r="E277" s="21">
        <v>45508</v>
      </c>
      <c r="F277" s="20" t="s">
        <v>64</v>
      </c>
      <c r="G277" s="22">
        <v>213.33</v>
      </c>
      <c r="H277" s="22">
        <v>28.24</v>
      </c>
      <c r="I277" s="20" t="s">
        <v>45</v>
      </c>
      <c r="J277" s="20">
        <v>5</v>
      </c>
      <c r="K277" s="20" t="s">
        <v>46</v>
      </c>
      <c r="L277" s="23">
        <f t="shared" si="39"/>
        <v>45474</v>
      </c>
      <c r="M277" s="20">
        <f t="shared" si="40"/>
        <v>12</v>
      </c>
      <c r="N277" s="20">
        <f t="shared" si="41"/>
        <v>0</v>
      </c>
      <c r="O277" s="20">
        <f t="shared" si="42"/>
        <v>1</v>
      </c>
      <c r="P277" s="22">
        <f t="shared" si="43"/>
        <v>241.57000000000002</v>
      </c>
      <c r="Q277" s="22">
        <f>G277*INDEX(Assumptions!$B$8:$B$16,MATCH(F277,Assumptions!$A$8:$A$16,0))</f>
        <v>140.79780000000002</v>
      </c>
      <c r="R277" s="22">
        <f>H277*Assumptions!$B$3</f>
        <v>16.943999999999999</v>
      </c>
      <c r="S277" s="22">
        <f t="shared" si="44"/>
        <v>55.588199999999986</v>
      </c>
      <c r="T277" s="20" t="str">
        <f t="shared" si="45"/>
        <v>8-14 days</v>
      </c>
    </row>
    <row r="278" spans="1:20" x14ac:dyDescent="0.3">
      <c r="A278" s="20" t="s">
        <v>344</v>
      </c>
      <c r="B278" s="20" t="s">
        <v>19</v>
      </c>
      <c r="C278" s="21">
        <v>45489</v>
      </c>
      <c r="D278" s="21">
        <v>45495</v>
      </c>
      <c r="E278" s="21">
        <v>45505</v>
      </c>
      <c r="F278" s="20" t="s">
        <v>59</v>
      </c>
      <c r="G278" s="22">
        <v>109.06</v>
      </c>
      <c r="H278" s="22">
        <v>13.52</v>
      </c>
      <c r="I278" s="20" t="s">
        <v>45</v>
      </c>
      <c r="J278" s="20">
        <v>4</v>
      </c>
      <c r="K278" s="20" t="s">
        <v>46</v>
      </c>
      <c r="L278" s="23">
        <f t="shared" si="39"/>
        <v>45474</v>
      </c>
      <c r="M278" s="20">
        <f t="shared" si="40"/>
        <v>6</v>
      </c>
      <c r="N278" s="20">
        <f t="shared" si="41"/>
        <v>0</v>
      </c>
      <c r="O278" s="20">
        <f t="shared" si="42"/>
        <v>1</v>
      </c>
      <c r="P278" s="22">
        <f t="shared" si="43"/>
        <v>122.58</v>
      </c>
      <c r="Q278" s="22">
        <f>G278*INDEX(Assumptions!$B$8:$B$16,MATCH(F278,Assumptions!$A$8:$A$16,0))</f>
        <v>69.798400000000001</v>
      </c>
      <c r="R278" s="22">
        <f>H278*Assumptions!$B$3</f>
        <v>8.1120000000000001</v>
      </c>
      <c r="S278" s="22">
        <f t="shared" si="44"/>
        <v>31.1496</v>
      </c>
      <c r="T278" s="20" t="str">
        <f t="shared" si="45"/>
        <v>0-7 days</v>
      </c>
    </row>
    <row r="279" spans="1:20" x14ac:dyDescent="0.3">
      <c r="A279" s="20" t="s">
        <v>345</v>
      </c>
      <c r="B279" s="20" t="s">
        <v>62</v>
      </c>
      <c r="C279" s="21">
        <v>45489</v>
      </c>
      <c r="D279" s="21">
        <v>45506</v>
      </c>
      <c r="E279" s="21">
        <v>45510</v>
      </c>
      <c r="F279" s="20" t="s">
        <v>79</v>
      </c>
      <c r="G279" s="22">
        <v>79.75</v>
      </c>
      <c r="H279" s="22">
        <v>20.170000000000002</v>
      </c>
      <c r="I279" s="20" t="s">
        <v>45</v>
      </c>
      <c r="J279" s="20">
        <v>4</v>
      </c>
      <c r="K279" s="20" t="s">
        <v>46</v>
      </c>
      <c r="L279" s="23">
        <f t="shared" si="39"/>
        <v>45474</v>
      </c>
      <c r="M279" s="20">
        <f t="shared" si="40"/>
        <v>17</v>
      </c>
      <c r="N279" s="20">
        <f t="shared" si="41"/>
        <v>0</v>
      </c>
      <c r="O279" s="20">
        <f t="shared" si="42"/>
        <v>1</v>
      </c>
      <c r="P279" s="22">
        <f t="shared" si="43"/>
        <v>99.92</v>
      </c>
      <c r="Q279" s="22">
        <f>G279*INDEX(Assumptions!$B$8:$B$16,MATCH(F279,Assumptions!$A$8:$A$16,0))</f>
        <v>55.824999999999996</v>
      </c>
      <c r="R279" s="22">
        <f>H279*Assumptions!$B$3</f>
        <v>12.102</v>
      </c>
      <c r="S279" s="22">
        <f t="shared" si="44"/>
        <v>11.823000000000004</v>
      </c>
      <c r="T279" s="20" t="str">
        <f t="shared" si="45"/>
        <v>15-21 days</v>
      </c>
    </row>
    <row r="280" spans="1:20" x14ac:dyDescent="0.3">
      <c r="A280" s="20" t="s">
        <v>346</v>
      </c>
      <c r="B280" s="20" t="s">
        <v>19</v>
      </c>
      <c r="C280" s="21">
        <v>45490</v>
      </c>
      <c r="D280" s="21">
        <v>45503</v>
      </c>
      <c r="E280" s="21">
        <v>45505</v>
      </c>
      <c r="F280" s="20" t="s">
        <v>49</v>
      </c>
      <c r="G280" s="22">
        <v>19.98</v>
      </c>
      <c r="H280" s="22">
        <v>12.82</v>
      </c>
      <c r="I280" s="20" t="s">
        <v>45</v>
      </c>
      <c r="J280" s="20">
        <v>5</v>
      </c>
      <c r="K280" s="20" t="s">
        <v>46</v>
      </c>
      <c r="L280" s="23">
        <f t="shared" si="39"/>
        <v>45474</v>
      </c>
      <c r="M280" s="20">
        <f t="shared" si="40"/>
        <v>13</v>
      </c>
      <c r="N280" s="20">
        <f t="shared" si="41"/>
        <v>0</v>
      </c>
      <c r="O280" s="20">
        <f t="shared" si="42"/>
        <v>1</v>
      </c>
      <c r="P280" s="22">
        <f t="shared" si="43"/>
        <v>32.799999999999997</v>
      </c>
      <c r="Q280" s="22">
        <f>G280*INDEX(Assumptions!$B$8:$B$16,MATCH(F280,Assumptions!$A$8:$A$16,0))</f>
        <v>11.5884</v>
      </c>
      <c r="R280" s="22">
        <f>H280*Assumptions!$B$3</f>
        <v>7.6920000000000002</v>
      </c>
      <c r="S280" s="22">
        <f t="shared" si="44"/>
        <v>0.69960000000000022</v>
      </c>
      <c r="T280" s="20" t="str">
        <f t="shared" si="45"/>
        <v>8-14 days</v>
      </c>
    </row>
    <row r="281" spans="1:20" x14ac:dyDescent="0.3">
      <c r="A281" s="20" t="s">
        <v>347</v>
      </c>
      <c r="B281" s="20" t="s">
        <v>48</v>
      </c>
      <c r="C281" s="21">
        <v>45490</v>
      </c>
      <c r="D281" s="21">
        <v>45523</v>
      </c>
      <c r="E281" s="21">
        <v>45512</v>
      </c>
      <c r="F281" s="20" t="s">
        <v>79</v>
      </c>
      <c r="G281" s="22">
        <v>149.52000000000001</v>
      </c>
      <c r="H281" s="22">
        <v>25.52</v>
      </c>
      <c r="I281" s="20" t="s">
        <v>60</v>
      </c>
      <c r="J281" s="20">
        <v>2</v>
      </c>
      <c r="K281" s="20" t="s">
        <v>46</v>
      </c>
      <c r="L281" s="23">
        <f t="shared" si="39"/>
        <v>45474</v>
      </c>
      <c r="M281" s="20">
        <f t="shared" si="40"/>
        <v>33</v>
      </c>
      <c r="N281" s="20">
        <f t="shared" si="41"/>
        <v>11</v>
      </c>
      <c r="O281" s="20">
        <f t="shared" si="42"/>
        <v>0</v>
      </c>
      <c r="P281" s="22">
        <f t="shared" si="43"/>
        <v>175.04000000000002</v>
      </c>
      <c r="Q281" s="22">
        <f>G281*INDEX(Assumptions!$B$8:$B$16,MATCH(F281,Assumptions!$A$8:$A$16,0))</f>
        <v>104.664</v>
      </c>
      <c r="R281" s="22">
        <f>H281*Assumptions!$B$3</f>
        <v>15.311999999999999</v>
      </c>
      <c r="S281" s="22">
        <f t="shared" si="44"/>
        <v>29.544000000000011</v>
      </c>
      <c r="T281" s="20" t="str">
        <f t="shared" si="45"/>
        <v>22+ days</v>
      </c>
    </row>
    <row r="282" spans="1:20" x14ac:dyDescent="0.3">
      <c r="A282" s="20" t="s">
        <v>348</v>
      </c>
      <c r="B282" s="20" t="s">
        <v>19</v>
      </c>
      <c r="C282" s="21">
        <v>45490</v>
      </c>
      <c r="D282" s="21">
        <v>45497</v>
      </c>
      <c r="E282" s="21">
        <v>45505</v>
      </c>
      <c r="F282" s="20" t="s">
        <v>64</v>
      </c>
      <c r="G282" s="22">
        <v>152.51</v>
      </c>
      <c r="H282" s="22">
        <v>18.27</v>
      </c>
      <c r="I282" s="20" t="s">
        <v>45</v>
      </c>
      <c r="J282" s="20">
        <v>3</v>
      </c>
      <c r="K282" s="20" t="s">
        <v>46</v>
      </c>
      <c r="L282" s="23">
        <f t="shared" si="39"/>
        <v>45474</v>
      </c>
      <c r="M282" s="20">
        <f t="shared" si="40"/>
        <v>7</v>
      </c>
      <c r="N282" s="20">
        <f t="shared" si="41"/>
        <v>0</v>
      </c>
      <c r="O282" s="20">
        <f t="shared" si="42"/>
        <v>1</v>
      </c>
      <c r="P282" s="22">
        <f t="shared" si="43"/>
        <v>170.78</v>
      </c>
      <c r="Q282" s="22">
        <f>G282*INDEX(Assumptions!$B$8:$B$16,MATCH(F282,Assumptions!$A$8:$A$16,0))</f>
        <v>100.6566</v>
      </c>
      <c r="R282" s="22">
        <f>H282*Assumptions!$B$3</f>
        <v>10.962</v>
      </c>
      <c r="S282" s="22">
        <f t="shared" si="44"/>
        <v>40.89139999999999</v>
      </c>
      <c r="T282" s="20" t="str">
        <f t="shared" si="45"/>
        <v>0-7 days</v>
      </c>
    </row>
    <row r="283" spans="1:20" x14ac:dyDescent="0.3">
      <c r="A283" s="20" t="s">
        <v>349</v>
      </c>
      <c r="B283" s="20" t="s">
        <v>19</v>
      </c>
      <c r="C283" s="21">
        <v>45490</v>
      </c>
      <c r="D283" s="21">
        <v>45497</v>
      </c>
      <c r="E283" s="21">
        <v>45507</v>
      </c>
      <c r="F283" s="20" t="s">
        <v>59</v>
      </c>
      <c r="G283" s="22">
        <v>142.07</v>
      </c>
      <c r="H283" s="22">
        <v>23.33</v>
      </c>
      <c r="I283" s="20" t="s">
        <v>45</v>
      </c>
      <c r="J283" s="20">
        <v>4</v>
      </c>
      <c r="K283" s="20" t="s">
        <v>46</v>
      </c>
      <c r="L283" s="23">
        <f t="shared" si="39"/>
        <v>45474</v>
      </c>
      <c r="M283" s="20">
        <f t="shared" si="40"/>
        <v>7</v>
      </c>
      <c r="N283" s="20">
        <f t="shared" si="41"/>
        <v>0</v>
      </c>
      <c r="O283" s="20">
        <f t="shared" si="42"/>
        <v>1</v>
      </c>
      <c r="P283" s="22">
        <f t="shared" si="43"/>
        <v>165.39999999999998</v>
      </c>
      <c r="Q283" s="22">
        <f>G283*INDEX(Assumptions!$B$8:$B$16,MATCH(F283,Assumptions!$A$8:$A$16,0))</f>
        <v>90.924799999999991</v>
      </c>
      <c r="R283" s="22">
        <f>H283*Assumptions!$B$3</f>
        <v>13.997999999999999</v>
      </c>
      <c r="S283" s="22">
        <f t="shared" si="44"/>
        <v>37.147200000000005</v>
      </c>
      <c r="T283" s="20" t="str">
        <f t="shared" si="45"/>
        <v>0-7 days</v>
      </c>
    </row>
    <row r="284" spans="1:20" x14ac:dyDescent="0.3">
      <c r="A284" s="20" t="s">
        <v>350</v>
      </c>
      <c r="B284" s="20" t="s">
        <v>55</v>
      </c>
      <c r="C284" s="21">
        <v>45490</v>
      </c>
      <c r="D284" s="21">
        <v>45497</v>
      </c>
      <c r="E284" s="21">
        <v>45509</v>
      </c>
      <c r="F284" s="20" t="s">
        <v>44</v>
      </c>
      <c r="G284" s="22">
        <v>90.61</v>
      </c>
      <c r="H284" s="22">
        <v>25.98</v>
      </c>
      <c r="I284" s="20" t="s">
        <v>45</v>
      </c>
      <c r="J284" s="20">
        <v>4</v>
      </c>
      <c r="K284" s="20" t="s">
        <v>46</v>
      </c>
      <c r="L284" s="23">
        <f t="shared" si="39"/>
        <v>45474</v>
      </c>
      <c r="M284" s="20">
        <f t="shared" si="40"/>
        <v>7</v>
      </c>
      <c r="N284" s="20">
        <f t="shared" si="41"/>
        <v>0</v>
      </c>
      <c r="O284" s="20">
        <f t="shared" si="42"/>
        <v>1</v>
      </c>
      <c r="P284" s="22">
        <f t="shared" si="43"/>
        <v>116.59</v>
      </c>
      <c r="Q284" s="22">
        <f>G284*INDEX(Assumptions!$B$8:$B$16,MATCH(F284,Assumptions!$A$8:$A$16,0))</f>
        <v>54.366</v>
      </c>
      <c r="R284" s="22">
        <f>H284*Assumptions!$B$3</f>
        <v>15.587999999999999</v>
      </c>
      <c r="S284" s="22">
        <f t="shared" si="44"/>
        <v>20.655999999999999</v>
      </c>
      <c r="T284" s="20" t="str">
        <f t="shared" si="45"/>
        <v>0-7 days</v>
      </c>
    </row>
    <row r="285" spans="1:20" x14ac:dyDescent="0.3">
      <c r="A285" s="20" t="s">
        <v>351</v>
      </c>
      <c r="B285" s="20" t="s">
        <v>19</v>
      </c>
      <c r="C285" s="21">
        <v>45491</v>
      </c>
      <c r="D285" s="21">
        <v>45500</v>
      </c>
      <c r="E285" s="21">
        <v>45508</v>
      </c>
      <c r="F285" s="20" t="s">
        <v>67</v>
      </c>
      <c r="G285" s="22">
        <v>43.8</v>
      </c>
      <c r="H285" s="22">
        <v>21.78</v>
      </c>
      <c r="I285" s="20" t="s">
        <v>60</v>
      </c>
      <c r="J285" s="20">
        <v>5</v>
      </c>
      <c r="K285" s="20" t="s">
        <v>46</v>
      </c>
      <c r="L285" s="23">
        <f t="shared" si="39"/>
        <v>45474</v>
      </c>
      <c r="M285" s="20">
        <f t="shared" si="40"/>
        <v>9</v>
      </c>
      <c r="N285" s="20">
        <f t="shared" si="41"/>
        <v>0</v>
      </c>
      <c r="O285" s="20">
        <f t="shared" si="42"/>
        <v>1</v>
      </c>
      <c r="P285" s="22">
        <f t="shared" si="43"/>
        <v>65.58</v>
      </c>
      <c r="Q285" s="22">
        <f>G285*INDEX(Assumptions!$B$8:$B$16,MATCH(F285,Assumptions!$A$8:$A$16,0))</f>
        <v>27.155999999999999</v>
      </c>
      <c r="R285" s="22">
        <f>H285*Assumptions!$B$3</f>
        <v>13.068</v>
      </c>
      <c r="S285" s="22">
        <f t="shared" si="44"/>
        <v>3.5759999999999987</v>
      </c>
      <c r="T285" s="20" t="str">
        <f t="shared" si="45"/>
        <v>8-14 days</v>
      </c>
    </row>
    <row r="286" spans="1:20" x14ac:dyDescent="0.3">
      <c r="A286" s="20" t="s">
        <v>352</v>
      </c>
      <c r="B286" s="20" t="s">
        <v>52</v>
      </c>
      <c r="C286" s="21">
        <v>45491</v>
      </c>
      <c r="D286" s="21">
        <v>45503</v>
      </c>
      <c r="E286" s="21">
        <v>45517</v>
      </c>
      <c r="F286" s="20" t="s">
        <v>111</v>
      </c>
      <c r="G286" s="22">
        <v>59.93</v>
      </c>
      <c r="H286" s="22">
        <v>22.69</v>
      </c>
      <c r="I286" s="20" t="s">
        <v>45</v>
      </c>
      <c r="J286" s="20">
        <v>3</v>
      </c>
      <c r="K286" s="20" t="s">
        <v>46</v>
      </c>
      <c r="L286" s="23">
        <f t="shared" si="39"/>
        <v>45474</v>
      </c>
      <c r="M286" s="20">
        <f t="shared" si="40"/>
        <v>12</v>
      </c>
      <c r="N286" s="20">
        <f t="shared" si="41"/>
        <v>0</v>
      </c>
      <c r="O286" s="20">
        <f t="shared" si="42"/>
        <v>1</v>
      </c>
      <c r="P286" s="22">
        <f t="shared" si="43"/>
        <v>82.62</v>
      </c>
      <c r="Q286" s="22">
        <f>G286*INDEX(Assumptions!$B$8:$B$16,MATCH(F286,Assumptions!$A$8:$A$16,0))</f>
        <v>37.755899999999997</v>
      </c>
      <c r="R286" s="22">
        <f>H286*Assumptions!$B$3</f>
        <v>13.614000000000001</v>
      </c>
      <c r="S286" s="22">
        <f t="shared" si="44"/>
        <v>8.560100000000002</v>
      </c>
      <c r="T286" s="20" t="str">
        <f t="shared" si="45"/>
        <v>8-14 days</v>
      </c>
    </row>
    <row r="287" spans="1:20" x14ac:dyDescent="0.3">
      <c r="A287" s="20" t="s">
        <v>353</v>
      </c>
      <c r="B287" s="20" t="s">
        <v>19</v>
      </c>
      <c r="C287" s="21">
        <v>45491</v>
      </c>
      <c r="D287" s="21">
        <v>45505</v>
      </c>
      <c r="E287" s="21">
        <v>45506</v>
      </c>
      <c r="F287" s="20" t="s">
        <v>49</v>
      </c>
      <c r="G287" s="22">
        <v>196.12</v>
      </c>
      <c r="H287" s="22">
        <v>22.34</v>
      </c>
      <c r="I287" s="20" t="s">
        <v>45</v>
      </c>
      <c r="J287" s="20">
        <v>5</v>
      </c>
      <c r="K287" s="20" t="s">
        <v>46</v>
      </c>
      <c r="L287" s="23">
        <f t="shared" si="39"/>
        <v>45474</v>
      </c>
      <c r="M287" s="20">
        <f t="shared" si="40"/>
        <v>14</v>
      </c>
      <c r="N287" s="20">
        <f t="shared" si="41"/>
        <v>0</v>
      </c>
      <c r="O287" s="20">
        <f t="shared" si="42"/>
        <v>1</v>
      </c>
      <c r="P287" s="22">
        <f t="shared" si="43"/>
        <v>218.46</v>
      </c>
      <c r="Q287" s="22">
        <f>G287*INDEX(Assumptions!$B$8:$B$16,MATCH(F287,Assumptions!$A$8:$A$16,0))</f>
        <v>113.7496</v>
      </c>
      <c r="R287" s="22">
        <f>H287*Assumptions!$B$3</f>
        <v>13.404</v>
      </c>
      <c r="S287" s="22">
        <f t="shared" si="44"/>
        <v>68.966400000000007</v>
      </c>
      <c r="T287" s="20" t="str">
        <f t="shared" si="45"/>
        <v>8-14 days</v>
      </c>
    </row>
    <row r="288" spans="1:20" x14ac:dyDescent="0.3">
      <c r="A288" s="20" t="s">
        <v>354</v>
      </c>
      <c r="B288" s="20" t="s">
        <v>19</v>
      </c>
      <c r="C288" s="21">
        <v>45492</v>
      </c>
      <c r="D288" s="21">
        <v>45501</v>
      </c>
      <c r="E288" s="21">
        <v>45508</v>
      </c>
      <c r="F288" s="20" t="s">
        <v>111</v>
      </c>
      <c r="G288" s="22">
        <v>144.62</v>
      </c>
      <c r="H288" s="22">
        <v>16.3</v>
      </c>
      <c r="I288" s="20" t="s">
        <v>45</v>
      </c>
      <c r="J288" s="20">
        <v>4</v>
      </c>
      <c r="K288" s="20" t="s">
        <v>46</v>
      </c>
      <c r="L288" s="23">
        <f t="shared" si="39"/>
        <v>45474</v>
      </c>
      <c r="M288" s="20">
        <f t="shared" si="40"/>
        <v>9</v>
      </c>
      <c r="N288" s="20">
        <f t="shared" si="41"/>
        <v>0</v>
      </c>
      <c r="O288" s="20">
        <f t="shared" si="42"/>
        <v>1</v>
      </c>
      <c r="P288" s="22">
        <f t="shared" si="43"/>
        <v>160.92000000000002</v>
      </c>
      <c r="Q288" s="22">
        <f>G288*INDEX(Assumptions!$B$8:$B$16,MATCH(F288,Assumptions!$A$8:$A$16,0))</f>
        <v>91.110600000000005</v>
      </c>
      <c r="R288" s="22">
        <f>H288*Assumptions!$B$3</f>
        <v>9.7799999999999994</v>
      </c>
      <c r="S288" s="22">
        <f t="shared" si="44"/>
        <v>43.729399999999998</v>
      </c>
      <c r="T288" s="20" t="str">
        <f t="shared" si="45"/>
        <v>8-14 days</v>
      </c>
    </row>
    <row r="289" spans="1:20" x14ac:dyDescent="0.3">
      <c r="A289" s="20" t="s">
        <v>355</v>
      </c>
      <c r="B289" s="20" t="s">
        <v>52</v>
      </c>
      <c r="C289" s="21">
        <v>45492</v>
      </c>
      <c r="D289" s="21">
        <v>45506</v>
      </c>
      <c r="E289" s="21">
        <v>45514</v>
      </c>
      <c r="F289" s="20" t="s">
        <v>111</v>
      </c>
      <c r="G289" s="22">
        <v>108.75</v>
      </c>
      <c r="H289" s="22">
        <v>19.059999999999999</v>
      </c>
      <c r="I289" s="20" t="s">
        <v>45</v>
      </c>
      <c r="J289" s="20">
        <v>3</v>
      </c>
      <c r="K289" s="20" t="s">
        <v>46</v>
      </c>
      <c r="L289" s="23">
        <f t="shared" si="39"/>
        <v>45474</v>
      </c>
      <c r="M289" s="20">
        <f t="shared" si="40"/>
        <v>14</v>
      </c>
      <c r="N289" s="20">
        <f t="shared" si="41"/>
        <v>0</v>
      </c>
      <c r="O289" s="20">
        <f t="shared" si="42"/>
        <v>1</v>
      </c>
      <c r="P289" s="22">
        <f t="shared" si="43"/>
        <v>127.81</v>
      </c>
      <c r="Q289" s="22">
        <f>G289*INDEX(Assumptions!$B$8:$B$16,MATCH(F289,Assumptions!$A$8:$A$16,0))</f>
        <v>68.512500000000003</v>
      </c>
      <c r="R289" s="22">
        <f>H289*Assumptions!$B$3</f>
        <v>11.435999999999998</v>
      </c>
      <c r="S289" s="22">
        <f t="shared" si="44"/>
        <v>28.801499999999997</v>
      </c>
      <c r="T289" s="20" t="str">
        <f t="shared" si="45"/>
        <v>8-14 days</v>
      </c>
    </row>
    <row r="290" spans="1:20" x14ac:dyDescent="0.3">
      <c r="A290" s="20" t="s">
        <v>356</v>
      </c>
      <c r="B290" s="20" t="s">
        <v>55</v>
      </c>
      <c r="C290" s="21">
        <v>45493</v>
      </c>
      <c r="D290" s="21">
        <v>45512</v>
      </c>
      <c r="E290" s="21">
        <v>45515</v>
      </c>
      <c r="F290" s="20" t="s">
        <v>67</v>
      </c>
      <c r="G290" s="22">
        <v>40.880000000000003</v>
      </c>
      <c r="H290" s="22">
        <v>18.190000000000001</v>
      </c>
      <c r="I290" s="20" t="s">
        <v>45</v>
      </c>
      <c r="J290" s="20">
        <v>4</v>
      </c>
      <c r="K290" s="20" t="s">
        <v>46</v>
      </c>
      <c r="L290" s="23">
        <f t="shared" si="39"/>
        <v>45474</v>
      </c>
      <c r="M290" s="20">
        <f t="shared" si="40"/>
        <v>19</v>
      </c>
      <c r="N290" s="20">
        <f t="shared" si="41"/>
        <v>0</v>
      </c>
      <c r="O290" s="20">
        <f t="shared" si="42"/>
        <v>1</v>
      </c>
      <c r="P290" s="22">
        <f t="shared" si="43"/>
        <v>59.070000000000007</v>
      </c>
      <c r="Q290" s="22">
        <f>G290*INDEX(Assumptions!$B$8:$B$16,MATCH(F290,Assumptions!$A$8:$A$16,0))</f>
        <v>25.345600000000001</v>
      </c>
      <c r="R290" s="22">
        <f>H290*Assumptions!$B$3</f>
        <v>10.914</v>
      </c>
      <c r="S290" s="22">
        <f t="shared" si="44"/>
        <v>4.6204000000000018</v>
      </c>
      <c r="T290" s="20" t="str">
        <f t="shared" si="45"/>
        <v>15-21 days</v>
      </c>
    </row>
    <row r="291" spans="1:20" x14ac:dyDescent="0.3">
      <c r="A291" s="20" t="s">
        <v>357</v>
      </c>
      <c r="B291" s="20" t="s">
        <v>19</v>
      </c>
      <c r="C291" s="21">
        <v>45493</v>
      </c>
      <c r="D291" s="21">
        <v>45501</v>
      </c>
      <c r="E291" s="21">
        <v>45507</v>
      </c>
      <c r="F291" s="20" t="s">
        <v>49</v>
      </c>
      <c r="G291" s="22">
        <v>82.91</v>
      </c>
      <c r="H291" s="22">
        <v>13.32</v>
      </c>
      <c r="I291" s="20" t="s">
        <v>45</v>
      </c>
      <c r="J291" s="20">
        <v>4</v>
      </c>
      <c r="K291" s="20" t="s">
        <v>46</v>
      </c>
      <c r="L291" s="23">
        <f t="shared" si="39"/>
        <v>45474</v>
      </c>
      <c r="M291" s="20">
        <f t="shared" si="40"/>
        <v>8</v>
      </c>
      <c r="N291" s="20">
        <f t="shared" si="41"/>
        <v>0</v>
      </c>
      <c r="O291" s="20">
        <f t="shared" si="42"/>
        <v>1</v>
      </c>
      <c r="P291" s="22">
        <f t="shared" si="43"/>
        <v>96.22999999999999</v>
      </c>
      <c r="Q291" s="22">
        <f>G291*INDEX(Assumptions!$B$8:$B$16,MATCH(F291,Assumptions!$A$8:$A$16,0))</f>
        <v>48.087799999999994</v>
      </c>
      <c r="R291" s="22">
        <f>H291*Assumptions!$B$3</f>
        <v>7.992</v>
      </c>
      <c r="S291" s="22">
        <f t="shared" si="44"/>
        <v>26.830200000000001</v>
      </c>
      <c r="T291" s="20" t="str">
        <f t="shared" si="45"/>
        <v>8-14 days</v>
      </c>
    </row>
    <row r="292" spans="1:20" x14ac:dyDescent="0.3">
      <c r="A292" s="20" t="s">
        <v>358</v>
      </c>
      <c r="B292" s="20" t="s">
        <v>55</v>
      </c>
      <c r="C292" s="21">
        <v>45493</v>
      </c>
      <c r="D292" s="21">
        <v>45508</v>
      </c>
      <c r="E292" s="21">
        <v>45520</v>
      </c>
      <c r="F292" s="20" t="s">
        <v>79</v>
      </c>
      <c r="G292" s="22">
        <v>50.34</v>
      </c>
      <c r="H292" s="22">
        <v>25.96</v>
      </c>
      <c r="I292" s="20" t="s">
        <v>45</v>
      </c>
      <c r="J292" s="20">
        <v>4</v>
      </c>
      <c r="K292" s="20" t="s">
        <v>46</v>
      </c>
      <c r="L292" s="23">
        <f t="shared" si="39"/>
        <v>45474</v>
      </c>
      <c r="M292" s="20">
        <f t="shared" si="40"/>
        <v>15</v>
      </c>
      <c r="N292" s="20">
        <f t="shared" si="41"/>
        <v>0</v>
      </c>
      <c r="O292" s="20">
        <f t="shared" si="42"/>
        <v>1</v>
      </c>
      <c r="P292" s="22">
        <f t="shared" si="43"/>
        <v>76.300000000000011</v>
      </c>
      <c r="Q292" s="22">
        <f>G292*INDEX(Assumptions!$B$8:$B$16,MATCH(F292,Assumptions!$A$8:$A$16,0))</f>
        <v>35.238</v>
      </c>
      <c r="R292" s="22">
        <f>H292*Assumptions!$B$3</f>
        <v>15.576000000000001</v>
      </c>
      <c r="S292" s="22">
        <f t="shared" si="44"/>
        <v>-0.47399999999999665</v>
      </c>
      <c r="T292" s="20" t="str">
        <f t="shared" si="45"/>
        <v>15-21 days</v>
      </c>
    </row>
    <row r="293" spans="1:20" x14ac:dyDescent="0.3">
      <c r="A293" s="20" t="s">
        <v>359</v>
      </c>
      <c r="B293" s="20" t="s">
        <v>19</v>
      </c>
      <c r="C293" s="21">
        <v>45493</v>
      </c>
      <c r="D293" s="21">
        <v>45504</v>
      </c>
      <c r="E293" s="21">
        <v>45506</v>
      </c>
      <c r="F293" s="20" t="s">
        <v>59</v>
      </c>
      <c r="G293" s="22">
        <v>81.540000000000006</v>
      </c>
      <c r="H293" s="22">
        <v>16.88</v>
      </c>
      <c r="I293" s="20" t="s">
        <v>45</v>
      </c>
      <c r="J293" s="20">
        <v>5</v>
      </c>
      <c r="K293" s="20" t="s">
        <v>46</v>
      </c>
      <c r="L293" s="23">
        <f t="shared" si="39"/>
        <v>45474</v>
      </c>
      <c r="M293" s="20">
        <f t="shared" si="40"/>
        <v>11</v>
      </c>
      <c r="N293" s="20">
        <f t="shared" si="41"/>
        <v>0</v>
      </c>
      <c r="O293" s="20">
        <f t="shared" si="42"/>
        <v>1</v>
      </c>
      <c r="P293" s="22">
        <f t="shared" si="43"/>
        <v>98.42</v>
      </c>
      <c r="Q293" s="22">
        <f>G293*INDEX(Assumptions!$B$8:$B$16,MATCH(F293,Assumptions!$A$8:$A$16,0))</f>
        <v>52.185600000000008</v>
      </c>
      <c r="R293" s="22">
        <f>H293*Assumptions!$B$3</f>
        <v>10.127999999999998</v>
      </c>
      <c r="S293" s="22">
        <f t="shared" si="44"/>
        <v>19.226399999999998</v>
      </c>
      <c r="T293" s="20" t="str">
        <f t="shared" si="45"/>
        <v>8-14 days</v>
      </c>
    </row>
    <row r="294" spans="1:20" x14ac:dyDescent="0.3">
      <c r="A294" s="20" t="s">
        <v>360</v>
      </c>
      <c r="B294" s="20" t="s">
        <v>19</v>
      </c>
      <c r="C294" s="21">
        <v>45494</v>
      </c>
      <c r="D294" s="21">
        <v>45500</v>
      </c>
      <c r="E294" s="21">
        <v>45511</v>
      </c>
      <c r="F294" s="20" t="s">
        <v>79</v>
      </c>
      <c r="G294" s="22">
        <v>61.83</v>
      </c>
      <c r="H294" s="22">
        <v>19.02</v>
      </c>
      <c r="I294" s="20" t="s">
        <v>60</v>
      </c>
      <c r="J294" s="20">
        <v>5</v>
      </c>
      <c r="K294" s="20" t="s">
        <v>46</v>
      </c>
      <c r="L294" s="23">
        <f t="shared" si="39"/>
        <v>45474</v>
      </c>
      <c r="M294" s="20">
        <f t="shared" si="40"/>
        <v>6</v>
      </c>
      <c r="N294" s="20">
        <f t="shared" si="41"/>
        <v>0</v>
      </c>
      <c r="O294" s="20">
        <f t="shared" si="42"/>
        <v>1</v>
      </c>
      <c r="P294" s="22">
        <f t="shared" si="43"/>
        <v>80.849999999999994</v>
      </c>
      <c r="Q294" s="22">
        <f>G294*INDEX(Assumptions!$B$8:$B$16,MATCH(F294,Assumptions!$A$8:$A$16,0))</f>
        <v>43.280999999999999</v>
      </c>
      <c r="R294" s="22">
        <f>H294*Assumptions!$B$3</f>
        <v>11.411999999999999</v>
      </c>
      <c r="S294" s="22">
        <f t="shared" si="44"/>
        <v>7.1370000000000005</v>
      </c>
      <c r="T294" s="20" t="str">
        <f t="shared" si="45"/>
        <v>0-7 days</v>
      </c>
    </row>
    <row r="295" spans="1:20" x14ac:dyDescent="0.3">
      <c r="A295" s="20" t="s">
        <v>361</v>
      </c>
      <c r="B295" s="20" t="s">
        <v>19</v>
      </c>
      <c r="C295" s="21">
        <v>45494</v>
      </c>
      <c r="D295" s="21">
        <v>45507</v>
      </c>
      <c r="E295" s="21">
        <v>45510</v>
      </c>
      <c r="F295" s="20" t="s">
        <v>79</v>
      </c>
      <c r="G295" s="22">
        <v>47.24</v>
      </c>
      <c r="H295" s="22">
        <v>13.24</v>
      </c>
      <c r="I295" s="20" t="s">
        <v>60</v>
      </c>
      <c r="J295" s="20">
        <v>5</v>
      </c>
      <c r="K295" s="20" t="s">
        <v>46</v>
      </c>
      <c r="L295" s="23">
        <f t="shared" si="39"/>
        <v>45474</v>
      </c>
      <c r="M295" s="20">
        <f t="shared" si="40"/>
        <v>13</v>
      </c>
      <c r="N295" s="20">
        <f t="shared" si="41"/>
        <v>0</v>
      </c>
      <c r="O295" s="20">
        <f t="shared" si="42"/>
        <v>1</v>
      </c>
      <c r="P295" s="22">
        <f t="shared" si="43"/>
        <v>60.480000000000004</v>
      </c>
      <c r="Q295" s="22">
        <f>G295*INDEX(Assumptions!$B$8:$B$16,MATCH(F295,Assumptions!$A$8:$A$16,0))</f>
        <v>33.067999999999998</v>
      </c>
      <c r="R295" s="22">
        <f>H295*Assumptions!$B$3</f>
        <v>7.944</v>
      </c>
      <c r="S295" s="22">
        <f t="shared" si="44"/>
        <v>6.2280000000000042</v>
      </c>
      <c r="T295" s="20" t="str">
        <f t="shared" si="45"/>
        <v>8-14 days</v>
      </c>
    </row>
    <row r="296" spans="1:20" x14ac:dyDescent="0.3">
      <c r="A296" s="20" t="s">
        <v>362</v>
      </c>
      <c r="B296" s="20" t="s">
        <v>48</v>
      </c>
      <c r="C296" s="21">
        <v>45494</v>
      </c>
      <c r="D296" s="21">
        <v>45503</v>
      </c>
      <c r="E296" s="21">
        <v>45513</v>
      </c>
      <c r="F296" s="20" t="s">
        <v>53</v>
      </c>
      <c r="G296" s="22">
        <v>132.85</v>
      </c>
      <c r="H296" s="22">
        <v>25.74</v>
      </c>
      <c r="I296" s="20" t="s">
        <v>45</v>
      </c>
      <c r="J296" s="20">
        <v>5</v>
      </c>
      <c r="K296" s="20" t="s">
        <v>46</v>
      </c>
      <c r="L296" s="23">
        <f t="shared" si="39"/>
        <v>45474</v>
      </c>
      <c r="M296" s="20">
        <f t="shared" si="40"/>
        <v>9</v>
      </c>
      <c r="N296" s="20">
        <f t="shared" si="41"/>
        <v>0</v>
      </c>
      <c r="O296" s="20">
        <f t="shared" si="42"/>
        <v>1</v>
      </c>
      <c r="P296" s="22">
        <f t="shared" si="43"/>
        <v>158.59</v>
      </c>
      <c r="Q296" s="22">
        <f>G296*INDEX(Assumptions!$B$8:$B$16,MATCH(F296,Assumptions!$A$8:$A$16,0))</f>
        <v>98.308999999999997</v>
      </c>
      <c r="R296" s="22">
        <f>H296*Assumptions!$B$3</f>
        <v>15.443999999999999</v>
      </c>
      <c r="S296" s="22">
        <f t="shared" si="44"/>
        <v>19.096999999999998</v>
      </c>
      <c r="T296" s="20" t="str">
        <f t="shared" si="45"/>
        <v>8-14 days</v>
      </c>
    </row>
    <row r="297" spans="1:20" x14ac:dyDescent="0.3">
      <c r="A297" s="20" t="s">
        <v>363</v>
      </c>
      <c r="B297" s="20" t="s">
        <v>62</v>
      </c>
      <c r="C297" s="21">
        <v>45495</v>
      </c>
      <c r="D297" s="21">
        <v>45514</v>
      </c>
      <c r="E297" s="21">
        <v>45516</v>
      </c>
      <c r="F297" s="20" t="s">
        <v>79</v>
      </c>
      <c r="G297" s="22">
        <v>77.08</v>
      </c>
      <c r="H297" s="22">
        <v>18.850000000000001</v>
      </c>
      <c r="I297" s="20" t="s">
        <v>45</v>
      </c>
      <c r="J297" s="20">
        <v>3</v>
      </c>
      <c r="K297" s="20" t="s">
        <v>46</v>
      </c>
      <c r="L297" s="23">
        <f t="shared" si="39"/>
        <v>45474</v>
      </c>
      <c r="M297" s="20">
        <f t="shared" si="40"/>
        <v>19</v>
      </c>
      <c r="N297" s="20">
        <f t="shared" si="41"/>
        <v>0</v>
      </c>
      <c r="O297" s="20">
        <f t="shared" si="42"/>
        <v>1</v>
      </c>
      <c r="P297" s="22">
        <f t="shared" si="43"/>
        <v>95.93</v>
      </c>
      <c r="Q297" s="22">
        <f>G297*INDEX(Assumptions!$B$8:$B$16,MATCH(F297,Assumptions!$A$8:$A$16,0))</f>
        <v>53.955999999999996</v>
      </c>
      <c r="R297" s="22">
        <f>H297*Assumptions!$B$3</f>
        <v>11.31</v>
      </c>
      <c r="S297" s="22">
        <f t="shared" si="44"/>
        <v>11.814000000000002</v>
      </c>
      <c r="T297" s="20" t="str">
        <f t="shared" si="45"/>
        <v>15-21 days</v>
      </c>
    </row>
    <row r="298" spans="1:20" x14ac:dyDescent="0.3">
      <c r="A298" s="20" t="s">
        <v>364</v>
      </c>
      <c r="B298" s="20" t="s">
        <v>19</v>
      </c>
      <c r="C298" s="21">
        <v>45495</v>
      </c>
      <c r="D298" s="21">
        <v>45501</v>
      </c>
      <c r="E298" s="21">
        <v>45513</v>
      </c>
      <c r="F298" s="20" t="s">
        <v>57</v>
      </c>
      <c r="G298" s="22">
        <v>91.31</v>
      </c>
      <c r="H298" s="22">
        <v>18.920000000000002</v>
      </c>
      <c r="I298" s="20" t="s">
        <v>45</v>
      </c>
      <c r="J298" s="20">
        <v>5</v>
      </c>
      <c r="K298" s="20" t="s">
        <v>46</v>
      </c>
      <c r="L298" s="23">
        <f t="shared" si="39"/>
        <v>45474</v>
      </c>
      <c r="M298" s="20">
        <f t="shared" si="40"/>
        <v>6</v>
      </c>
      <c r="N298" s="20">
        <f t="shared" si="41"/>
        <v>0</v>
      </c>
      <c r="O298" s="20">
        <f t="shared" si="42"/>
        <v>1</v>
      </c>
      <c r="P298" s="22">
        <f t="shared" si="43"/>
        <v>110.23</v>
      </c>
      <c r="Q298" s="22">
        <f>G298*INDEX(Assumptions!$B$8:$B$16,MATCH(F298,Assumptions!$A$8:$A$16,0))</f>
        <v>62.090800000000009</v>
      </c>
      <c r="R298" s="22">
        <f>H298*Assumptions!$B$3</f>
        <v>11.352</v>
      </c>
      <c r="S298" s="22">
        <f t="shared" si="44"/>
        <v>17.867199999999993</v>
      </c>
      <c r="T298" s="20" t="str">
        <f t="shared" si="45"/>
        <v>0-7 days</v>
      </c>
    </row>
    <row r="299" spans="1:20" x14ac:dyDescent="0.3">
      <c r="A299" s="20" t="s">
        <v>365</v>
      </c>
      <c r="B299" s="20" t="s">
        <v>19</v>
      </c>
      <c r="C299" s="21">
        <v>45496</v>
      </c>
      <c r="D299" s="21">
        <v>45503</v>
      </c>
      <c r="E299" s="21">
        <v>45514</v>
      </c>
      <c r="F299" s="20" t="s">
        <v>49</v>
      </c>
      <c r="G299" s="22">
        <v>26.18</v>
      </c>
      <c r="H299" s="22">
        <v>15.14</v>
      </c>
      <c r="I299" s="20" t="s">
        <v>60</v>
      </c>
      <c r="J299" s="20">
        <v>5</v>
      </c>
      <c r="K299" s="20" t="s">
        <v>46</v>
      </c>
      <c r="L299" s="23">
        <f t="shared" si="39"/>
        <v>45474</v>
      </c>
      <c r="M299" s="20">
        <f t="shared" si="40"/>
        <v>7</v>
      </c>
      <c r="N299" s="20">
        <f t="shared" si="41"/>
        <v>0</v>
      </c>
      <c r="O299" s="20">
        <f t="shared" si="42"/>
        <v>1</v>
      </c>
      <c r="P299" s="22">
        <f t="shared" si="43"/>
        <v>41.32</v>
      </c>
      <c r="Q299" s="22">
        <f>G299*INDEX(Assumptions!$B$8:$B$16,MATCH(F299,Assumptions!$A$8:$A$16,0))</f>
        <v>15.184399999999998</v>
      </c>
      <c r="R299" s="22">
        <f>H299*Assumptions!$B$3</f>
        <v>9.0839999999999996</v>
      </c>
      <c r="S299" s="22">
        <f t="shared" si="44"/>
        <v>1.9116000000000017</v>
      </c>
      <c r="T299" s="20" t="str">
        <f t="shared" si="45"/>
        <v>0-7 days</v>
      </c>
    </row>
    <row r="300" spans="1:20" x14ac:dyDescent="0.3">
      <c r="A300" s="20" t="s">
        <v>366</v>
      </c>
      <c r="B300" s="20" t="s">
        <v>19</v>
      </c>
      <c r="C300" s="21">
        <v>45496</v>
      </c>
      <c r="D300" s="21">
        <v>45503</v>
      </c>
      <c r="E300" s="21">
        <v>45512</v>
      </c>
      <c r="F300" s="20" t="s">
        <v>49</v>
      </c>
      <c r="G300" s="22">
        <v>101.87</v>
      </c>
      <c r="H300" s="22">
        <v>21.53</v>
      </c>
      <c r="I300" s="20" t="s">
        <v>60</v>
      </c>
      <c r="J300" s="20">
        <v>5</v>
      </c>
      <c r="K300" s="20" t="s">
        <v>46</v>
      </c>
      <c r="L300" s="23">
        <f t="shared" si="39"/>
        <v>45474</v>
      </c>
      <c r="M300" s="20">
        <f t="shared" si="40"/>
        <v>7</v>
      </c>
      <c r="N300" s="20">
        <f t="shared" si="41"/>
        <v>0</v>
      </c>
      <c r="O300" s="20">
        <f t="shared" si="42"/>
        <v>1</v>
      </c>
      <c r="P300" s="22">
        <f t="shared" si="43"/>
        <v>123.4</v>
      </c>
      <c r="Q300" s="22">
        <f>G300*INDEX(Assumptions!$B$8:$B$16,MATCH(F300,Assumptions!$A$8:$A$16,0))</f>
        <v>59.084600000000002</v>
      </c>
      <c r="R300" s="22">
        <f>H300*Assumptions!$B$3</f>
        <v>12.918000000000001</v>
      </c>
      <c r="S300" s="22">
        <f t="shared" si="44"/>
        <v>29.867400000000004</v>
      </c>
      <c r="T300" s="20" t="str">
        <f t="shared" si="45"/>
        <v>0-7 days</v>
      </c>
    </row>
    <row r="301" spans="1:20" x14ac:dyDescent="0.3">
      <c r="A301" s="20" t="s">
        <v>367</v>
      </c>
      <c r="B301" s="20" t="s">
        <v>62</v>
      </c>
      <c r="C301" s="21">
        <v>45496</v>
      </c>
      <c r="D301" s="21">
        <v>45508</v>
      </c>
      <c r="E301" s="21">
        <v>45514</v>
      </c>
      <c r="F301" s="20" t="s">
        <v>59</v>
      </c>
      <c r="G301" s="22">
        <v>128.51</v>
      </c>
      <c r="H301" s="22">
        <v>21.61</v>
      </c>
      <c r="I301" s="20" t="s">
        <v>60</v>
      </c>
      <c r="J301" s="20">
        <v>3</v>
      </c>
      <c r="K301" s="20" t="s">
        <v>46</v>
      </c>
      <c r="L301" s="23">
        <f t="shared" si="39"/>
        <v>45474</v>
      </c>
      <c r="M301" s="20">
        <f t="shared" si="40"/>
        <v>12</v>
      </c>
      <c r="N301" s="20">
        <f t="shared" si="41"/>
        <v>0</v>
      </c>
      <c r="O301" s="20">
        <f t="shared" si="42"/>
        <v>1</v>
      </c>
      <c r="P301" s="22">
        <f t="shared" si="43"/>
        <v>150.12</v>
      </c>
      <c r="Q301" s="22">
        <f>G301*INDEX(Assumptions!$B$8:$B$16,MATCH(F301,Assumptions!$A$8:$A$16,0))</f>
        <v>82.246399999999994</v>
      </c>
      <c r="R301" s="22">
        <f>H301*Assumptions!$B$3</f>
        <v>12.965999999999999</v>
      </c>
      <c r="S301" s="22">
        <f t="shared" si="44"/>
        <v>33.297599999999996</v>
      </c>
      <c r="T301" s="20" t="str">
        <f t="shared" si="45"/>
        <v>8-14 days</v>
      </c>
    </row>
    <row r="302" spans="1:20" x14ac:dyDescent="0.3">
      <c r="A302" s="20" t="s">
        <v>368</v>
      </c>
      <c r="B302" s="20" t="s">
        <v>19</v>
      </c>
      <c r="C302" s="21">
        <v>45496</v>
      </c>
      <c r="D302" s="21">
        <v>45507</v>
      </c>
      <c r="E302" s="21">
        <v>45510</v>
      </c>
      <c r="F302" s="20" t="s">
        <v>67</v>
      </c>
      <c r="G302" s="22">
        <v>48.31</v>
      </c>
      <c r="H302" s="22">
        <v>12.91</v>
      </c>
      <c r="I302" s="20" t="s">
        <v>60</v>
      </c>
      <c r="J302" s="20">
        <v>5</v>
      </c>
      <c r="K302" s="20" t="s">
        <v>46</v>
      </c>
      <c r="L302" s="23">
        <f t="shared" si="39"/>
        <v>45474</v>
      </c>
      <c r="M302" s="20">
        <f t="shared" si="40"/>
        <v>11</v>
      </c>
      <c r="N302" s="20">
        <f t="shared" si="41"/>
        <v>0</v>
      </c>
      <c r="O302" s="20">
        <f t="shared" si="42"/>
        <v>1</v>
      </c>
      <c r="P302" s="22">
        <f t="shared" si="43"/>
        <v>61.22</v>
      </c>
      <c r="Q302" s="22">
        <f>G302*INDEX(Assumptions!$B$8:$B$16,MATCH(F302,Assumptions!$A$8:$A$16,0))</f>
        <v>29.952200000000001</v>
      </c>
      <c r="R302" s="22">
        <f>H302*Assumptions!$B$3</f>
        <v>7.7459999999999996</v>
      </c>
      <c r="S302" s="22">
        <f t="shared" si="44"/>
        <v>10.611800000000002</v>
      </c>
      <c r="T302" s="20" t="str">
        <f t="shared" si="45"/>
        <v>8-14 days</v>
      </c>
    </row>
    <row r="303" spans="1:20" x14ac:dyDescent="0.3">
      <c r="A303" s="20" t="s">
        <v>369</v>
      </c>
      <c r="B303" s="20" t="s">
        <v>55</v>
      </c>
      <c r="C303" s="21">
        <v>45497</v>
      </c>
      <c r="D303" s="21">
        <v>45512</v>
      </c>
      <c r="E303" s="21">
        <v>45520</v>
      </c>
      <c r="F303" s="20" t="s">
        <v>111</v>
      </c>
      <c r="G303" s="22">
        <v>127.4</v>
      </c>
      <c r="H303" s="22">
        <v>29.89</v>
      </c>
      <c r="I303" s="20" t="s">
        <v>45</v>
      </c>
      <c r="J303" s="20">
        <v>5</v>
      </c>
      <c r="K303" s="20" t="s">
        <v>46</v>
      </c>
      <c r="L303" s="23">
        <f t="shared" si="39"/>
        <v>45474</v>
      </c>
      <c r="M303" s="20">
        <f t="shared" si="40"/>
        <v>15</v>
      </c>
      <c r="N303" s="20">
        <f t="shared" si="41"/>
        <v>0</v>
      </c>
      <c r="O303" s="20">
        <f t="shared" si="42"/>
        <v>1</v>
      </c>
      <c r="P303" s="22">
        <f t="shared" si="43"/>
        <v>157.29000000000002</v>
      </c>
      <c r="Q303" s="22">
        <f>G303*INDEX(Assumptions!$B$8:$B$16,MATCH(F303,Assumptions!$A$8:$A$16,0))</f>
        <v>80.262</v>
      </c>
      <c r="R303" s="22">
        <f>H303*Assumptions!$B$3</f>
        <v>17.934000000000001</v>
      </c>
      <c r="S303" s="22">
        <f t="shared" si="44"/>
        <v>29.204000000000004</v>
      </c>
      <c r="T303" s="20" t="str">
        <f t="shared" si="45"/>
        <v>15-21 days</v>
      </c>
    </row>
    <row r="304" spans="1:20" x14ac:dyDescent="0.3">
      <c r="A304" s="20" t="s">
        <v>370</v>
      </c>
      <c r="B304" s="20" t="s">
        <v>19</v>
      </c>
      <c r="C304" s="21">
        <v>45497</v>
      </c>
      <c r="D304" s="21">
        <v>45506</v>
      </c>
      <c r="E304" s="21">
        <v>45509</v>
      </c>
      <c r="F304" s="20" t="s">
        <v>59</v>
      </c>
      <c r="G304" s="22">
        <v>92.25</v>
      </c>
      <c r="H304" s="22">
        <v>19.309999999999999</v>
      </c>
      <c r="I304" s="20" t="s">
        <v>45</v>
      </c>
      <c r="J304" s="20">
        <v>5</v>
      </c>
      <c r="K304" s="20" t="s">
        <v>46</v>
      </c>
      <c r="L304" s="23">
        <f t="shared" si="39"/>
        <v>45474</v>
      </c>
      <c r="M304" s="20">
        <f t="shared" si="40"/>
        <v>9</v>
      </c>
      <c r="N304" s="20">
        <f t="shared" si="41"/>
        <v>0</v>
      </c>
      <c r="O304" s="20">
        <f t="shared" si="42"/>
        <v>1</v>
      </c>
      <c r="P304" s="22">
        <f t="shared" si="43"/>
        <v>111.56</v>
      </c>
      <c r="Q304" s="22">
        <f>G304*INDEX(Assumptions!$B$8:$B$16,MATCH(F304,Assumptions!$A$8:$A$16,0))</f>
        <v>59.04</v>
      </c>
      <c r="R304" s="22">
        <f>H304*Assumptions!$B$3</f>
        <v>11.585999999999999</v>
      </c>
      <c r="S304" s="22">
        <f t="shared" si="44"/>
        <v>21.624000000000002</v>
      </c>
      <c r="T304" s="20" t="str">
        <f t="shared" si="45"/>
        <v>8-14 days</v>
      </c>
    </row>
    <row r="305" spans="1:20" x14ac:dyDescent="0.3">
      <c r="A305" s="20" t="s">
        <v>371</v>
      </c>
      <c r="B305" s="20" t="s">
        <v>103</v>
      </c>
      <c r="C305" s="21">
        <v>45497</v>
      </c>
      <c r="D305" s="21">
        <v>45516</v>
      </c>
      <c r="E305" s="21">
        <v>45524</v>
      </c>
      <c r="F305" s="20" t="s">
        <v>79</v>
      </c>
      <c r="G305" s="22">
        <v>148.04</v>
      </c>
      <c r="H305" s="22">
        <v>26.32</v>
      </c>
      <c r="I305" s="20" t="s">
        <v>60</v>
      </c>
      <c r="J305" s="20">
        <v>4</v>
      </c>
      <c r="K305" s="20" t="s">
        <v>46</v>
      </c>
      <c r="L305" s="23">
        <f t="shared" si="39"/>
        <v>45474</v>
      </c>
      <c r="M305" s="20">
        <f t="shared" si="40"/>
        <v>19</v>
      </c>
      <c r="N305" s="20">
        <f t="shared" si="41"/>
        <v>0</v>
      </c>
      <c r="O305" s="20">
        <f t="shared" si="42"/>
        <v>1</v>
      </c>
      <c r="P305" s="22">
        <f t="shared" si="43"/>
        <v>174.35999999999999</v>
      </c>
      <c r="Q305" s="22">
        <f>G305*INDEX(Assumptions!$B$8:$B$16,MATCH(F305,Assumptions!$A$8:$A$16,0))</f>
        <v>103.62799999999999</v>
      </c>
      <c r="R305" s="22">
        <f>H305*Assumptions!$B$3</f>
        <v>15.792</v>
      </c>
      <c r="S305" s="22">
        <f t="shared" si="44"/>
        <v>28.620000000000005</v>
      </c>
      <c r="T305" s="20" t="str">
        <f t="shared" si="45"/>
        <v>15-21 days</v>
      </c>
    </row>
    <row r="306" spans="1:20" x14ac:dyDescent="0.3">
      <c r="A306" s="20" t="s">
        <v>372</v>
      </c>
      <c r="B306" s="20" t="s">
        <v>52</v>
      </c>
      <c r="C306" s="21">
        <v>45497</v>
      </c>
      <c r="D306" s="21">
        <v>45509</v>
      </c>
      <c r="E306" s="21">
        <v>45522</v>
      </c>
      <c r="F306" s="20" t="s">
        <v>111</v>
      </c>
      <c r="G306" s="22">
        <v>104.39</v>
      </c>
      <c r="H306" s="22">
        <v>21.28</v>
      </c>
      <c r="I306" s="20" t="s">
        <v>60</v>
      </c>
      <c r="J306" s="20">
        <v>5</v>
      </c>
      <c r="K306" s="20" t="s">
        <v>46</v>
      </c>
      <c r="L306" s="23">
        <f t="shared" si="39"/>
        <v>45474</v>
      </c>
      <c r="M306" s="20">
        <f t="shared" si="40"/>
        <v>12</v>
      </c>
      <c r="N306" s="20">
        <f t="shared" si="41"/>
        <v>0</v>
      </c>
      <c r="O306" s="20">
        <f t="shared" si="42"/>
        <v>1</v>
      </c>
      <c r="P306" s="22">
        <f t="shared" si="43"/>
        <v>125.67</v>
      </c>
      <c r="Q306" s="22">
        <f>G306*INDEX(Assumptions!$B$8:$B$16,MATCH(F306,Assumptions!$A$8:$A$16,0))</f>
        <v>65.765699999999995</v>
      </c>
      <c r="R306" s="22">
        <f>H306*Assumptions!$B$3</f>
        <v>12.768000000000001</v>
      </c>
      <c r="S306" s="22">
        <f t="shared" si="44"/>
        <v>25.856300000000005</v>
      </c>
      <c r="T306" s="20" t="str">
        <f t="shared" si="45"/>
        <v>8-14 days</v>
      </c>
    </row>
    <row r="307" spans="1:20" x14ac:dyDescent="0.3">
      <c r="A307" s="20" t="s">
        <v>373</v>
      </c>
      <c r="B307" s="20" t="s">
        <v>55</v>
      </c>
      <c r="C307" s="21">
        <v>45498</v>
      </c>
      <c r="D307" s="21">
        <v>45506</v>
      </c>
      <c r="E307" s="21">
        <v>45524</v>
      </c>
      <c r="F307" s="20" t="s">
        <v>79</v>
      </c>
      <c r="G307" s="22">
        <v>88.3</v>
      </c>
      <c r="H307" s="22">
        <v>19.37</v>
      </c>
      <c r="I307" s="20" t="s">
        <v>60</v>
      </c>
      <c r="J307" s="20">
        <v>5</v>
      </c>
      <c r="K307" s="20" t="s">
        <v>46</v>
      </c>
      <c r="L307" s="23">
        <f t="shared" si="39"/>
        <v>45474</v>
      </c>
      <c r="M307" s="20">
        <f t="shared" si="40"/>
        <v>8</v>
      </c>
      <c r="N307" s="20">
        <f t="shared" si="41"/>
        <v>0</v>
      </c>
      <c r="O307" s="20">
        <f t="shared" si="42"/>
        <v>1</v>
      </c>
      <c r="P307" s="22">
        <f t="shared" si="43"/>
        <v>107.67</v>
      </c>
      <c r="Q307" s="22">
        <f>G307*INDEX(Assumptions!$B$8:$B$16,MATCH(F307,Assumptions!$A$8:$A$16,0))</f>
        <v>61.809999999999995</v>
      </c>
      <c r="R307" s="22">
        <f>H307*Assumptions!$B$3</f>
        <v>11.622</v>
      </c>
      <c r="S307" s="22">
        <f t="shared" si="44"/>
        <v>14.868000000000002</v>
      </c>
      <c r="T307" s="20" t="str">
        <f t="shared" si="45"/>
        <v>8-14 days</v>
      </c>
    </row>
    <row r="308" spans="1:20" x14ac:dyDescent="0.3">
      <c r="A308" s="20" t="s">
        <v>374</v>
      </c>
      <c r="B308" s="20" t="s">
        <v>19</v>
      </c>
      <c r="C308" s="21">
        <v>45498</v>
      </c>
      <c r="D308" s="21">
        <v>45506</v>
      </c>
      <c r="E308" s="21">
        <v>45512</v>
      </c>
      <c r="F308" s="20" t="s">
        <v>67</v>
      </c>
      <c r="G308" s="22">
        <v>89.61</v>
      </c>
      <c r="H308" s="22">
        <v>20.78</v>
      </c>
      <c r="I308" s="20" t="s">
        <v>45</v>
      </c>
      <c r="J308" s="20">
        <v>4</v>
      </c>
      <c r="K308" s="20" t="s">
        <v>46</v>
      </c>
      <c r="L308" s="23">
        <f t="shared" si="39"/>
        <v>45474</v>
      </c>
      <c r="M308" s="20">
        <f t="shared" si="40"/>
        <v>8</v>
      </c>
      <c r="N308" s="20">
        <f t="shared" si="41"/>
        <v>0</v>
      </c>
      <c r="O308" s="20">
        <f t="shared" si="42"/>
        <v>1</v>
      </c>
      <c r="P308" s="22">
        <f t="shared" si="43"/>
        <v>110.39</v>
      </c>
      <c r="Q308" s="22">
        <f>G308*INDEX(Assumptions!$B$8:$B$16,MATCH(F308,Assumptions!$A$8:$A$16,0))</f>
        <v>55.558199999999999</v>
      </c>
      <c r="R308" s="22">
        <f>H308*Assumptions!$B$3</f>
        <v>12.468</v>
      </c>
      <c r="S308" s="22">
        <f t="shared" si="44"/>
        <v>21.5838</v>
      </c>
      <c r="T308" s="20" t="str">
        <f t="shared" si="45"/>
        <v>8-14 days</v>
      </c>
    </row>
    <row r="309" spans="1:20" x14ac:dyDescent="0.3">
      <c r="A309" s="20" t="s">
        <v>375</v>
      </c>
      <c r="B309" s="20" t="s">
        <v>19</v>
      </c>
      <c r="C309" s="21">
        <v>45498</v>
      </c>
      <c r="D309" s="21">
        <v>45504</v>
      </c>
      <c r="E309" s="21">
        <v>45516</v>
      </c>
      <c r="F309" s="20" t="s">
        <v>111</v>
      </c>
      <c r="G309" s="22">
        <v>69.55</v>
      </c>
      <c r="H309" s="22">
        <v>14.23</v>
      </c>
      <c r="I309" s="20" t="s">
        <v>45</v>
      </c>
      <c r="J309" s="20">
        <v>4</v>
      </c>
      <c r="K309" s="20" t="s">
        <v>46</v>
      </c>
      <c r="L309" s="23">
        <f t="shared" si="39"/>
        <v>45474</v>
      </c>
      <c r="M309" s="20">
        <f t="shared" si="40"/>
        <v>6</v>
      </c>
      <c r="N309" s="20">
        <f t="shared" si="41"/>
        <v>0</v>
      </c>
      <c r="O309" s="20">
        <f t="shared" si="42"/>
        <v>1</v>
      </c>
      <c r="P309" s="22">
        <f t="shared" si="43"/>
        <v>83.78</v>
      </c>
      <c r="Q309" s="22">
        <f>G309*INDEX(Assumptions!$B$8:$B$16,MATCH(F309,Assumptions!$A$8:$A$16,0))</f>
        <v>43.816499999999998</v>
      </c>
      <c r="R309" s="22">
        <f>H309*Assumptions!$B$3</f>
        <v>8.5380000000000003</v>
      </c>
      <c r="S309" s="22">
        <f t="shared" si="44"/>
        <v>17.195499999999999</v>
      </c>
      <c r="T309" s="20" t="str">
        <f t="shared" si="45"/>
        <v>0-7 days</v>
      </c>
    </row>
    <row r="310" spans="1:20" x14ac:dyDescent="0.3">
      <c r="A310" s="20" t="s">
        <v>376</v>
      </c>
      <c r="B310" s="20" t="s">
        <v>19</v>
      </c>
      <c r="C310" s="21">
        <v>45499</v>
      </c>
      <c r="D310" s="21">
        <v>45507</v>
      </c>
      <c r="E310" s="21">
        <v>45512</v>
      </c>
      <c r="F310" s="20" t="s">
        <v>49</v>
      </c>
      <c r="G310" s="22">
        <v>66.209999999999994</v>
      </c>
      <c r="H310" s="22">
        <v>14.81</v>
      </c>
      <c r="I310" s="20" t="s">
        <v>45</v>
      </c>
      <c r="J310" s="20">
        <v>5</v>
      </c>
      <c r="K310" s="20" t="s">
        <v>46</v>
      </c>
      <c r="L310" s="23">
        <f t="shared" si="39"/>
        <v>45474</v>
      </c>
      <c r="M310" s="20">
        <f t="shared" si="40"/>
        <v>8</v>
      </c>
      <c r="N310" s="20">
        <f t="shared" si="41"/>
        <v>0</v>
      </c>
      <c r="O310" s="20">
        <f t="shared" si="42"/>
        <v>1</v>
      </c>
      <c r="P310" s="22">
        <f t="shared" si="43"/>
        <v>81.02</v>
      </c>
      <c r="Q310" s="22">
        <f>G310*INDEX(Assumptions!$B$8:$B$16,MATCH(F310,Assumptions!$A$8:$A$16,0))</f>
        <v>38.401799999999994</v>
      </c>
      <c r="R310" s="22">
        <f>H310*Assumptions!$B$3</f>
        <v>8.8859999999999992</v>
      </c>
      <c r="S310" s="22">
        <f t="shared" si="44"/>
        <v>18.9222</v>
      </c>
      <c r="T310" s="20" t="str">
        <f t="shared" si="45"/>
        <v>8-14 days</v>
      </c>
    </row>
    <row r="311" spans="1:20" x14ac:dyDescent="0.3">
      <c r="A311" s="20" t="s">
        <v>377</v>
      </c>
      <c r="B311" s="20" t="s">
        <v>19</v>
      </c>
      <c r="C311" s="21">
        <v>45500</v>
      </c>
      <c r="D311" s="21">
        <v>45506</v>
      </c>
      <c r="E311" s="21">
        <v>45517</v>
      </c>
      <c r="F311" s="20" t="s">
        <v>44</v>
      </c>
      <c r="G311" s="22">
        <v>127.16</v>
      </c>
      <c r="H311" s="22">
        <v>18.07</v>
      </c>
      <c r="I311" s="20" t="s">
        <v>50</v>
      </c>
      <c r="J311" s="20">
        <v>5</v>
      </c>
      <c r="K311" s="20" t="s">
        <v>46</v>
      </c>
      <c r="L311" s="23">
        <f t="shared" si="39"/>
        <v>45474</v>
      </c>
      <c r="M311" s="20">
        <f t="shared" si="40"/>
        <v>6</v>
      </c>
      <c r="N311" s="20">
        <f t="shared" si="41"/>
        <v>0</v>
      </c>
      <c r="O311" s="20">
        <f t="shared" si="42"/>
        <v>1</v>
      </c>
      <c r="P311" s="22">
        <f t="shared" si="43"/>
        <v>145.22999999999999</v>
      </c>
      <c r="Q311" s="22">
        <f>G311*INDEX(Assumptions!$B$8:$B$16,MATCH(F311,Assumptions!$A$8:$A$16,0))</f>
        <v>76.295999999999992</v>
      </c>
      <c r="R311" s="22">
        <f>H311*Assumptions!$B$3</f>
        <v>10.842000000000001</v>
      </c>
      <c r="S311" s="22">
        <f t="shared" si="44"/>
        <v>40.022000000000006</v>
      </c>
      <c r="T311" s="20" t="str">
        <f t="shared" si="45"/>
        <v>0-7 days</v>
      </c>
    </row>
    <row r="312" spans="1:20" x14ac:dyDescent="0.3">
      <c r="A312" s="20" t="s">
        <v>378</v>
      </c>
      <c r="B312" s="20" t="s">
        <v>19</v>
      </c>
      <c r="C312" s="21">
        <v>45500</v>
      </c>
      <c r="D312" s="21">
        <v>45509</v>
      </c>
      <c r="E312" s="21">
        <v>45518</v>
      </c>
      <c r="F312" s="20" t="s">
        <v>67</v>
      </c>
      <c r="G312" s="22">
        <v>88.94</v>
      </c>
      <c r="H312" s="22">
        <v>16.2</v>
      </c>
      <c r="I312" s="20" t="s">
        <v>104</v>
      </c>
      <c r="J312" s="20">
        <v>4</v>
      </c>
      <c r="K312" s="20" t="s">
        <v>46</v>
      </c>
      <c r="L312" s="23">
        <f t="shared" si="39"/>
        <v>45474</v>
      </c>
      <c r="M312" s="20">
        <f t="shared" si="40"/>
        <v>9</v>
      </c>
      <c r="N312" s="20">
        <f t="shared" si="41"/>
        <v>0</v>
      </c>
      <c r="O312" s="20">
        <f t="shared" si="42"/>
        <v>1</v>
      </c>
      <c r="P312" s="22">
        <f t="shared" si="43"/>
        <v>105.14</v>
      </c>
      <c r="Q312" s="22">
        <f>G312*INDEX(Assumptions!$B$8:$B$16,MATCH(F312,Assumptions!$A$8:$A$16,0))</f>
        <v>55.142800000000001</v>
      </c>
      <c r="R312" s="22">
        <f>H312*Assumptions!$B$3</f>
        <v>9.7199999999999989</v>
      </c>
      <c r="S312" s="22">
        <f t="shared" si="44"/>
        <v>24.077199999999998</v>
      </c>
      <c r="T312" s="20" t="str">
        <f t="shared" si="45"/>
        <v>8-14 days</v>
      </c>
    </row>
    <row r="313" spans="1:20" x14ac:dyDescent="0.3">
      <c r="A313" s="20" t="s">
        <v>379</v>
      </c>
      <c r="B313" s="20" t="s">
        <v>48</v>
      </c>
      <c r="C313" s="21">
        <v>45501</v>
      </c>
      <c r="D313" s="21">
        <v>45516</v>
      </c>
      <c r="E313" s="21">
        <v>45519</v>
      </c>
      <c r="F313" s="20" t="s">
        <v>79</v>
      </c>
      <c r="G313" s="22">
        <v>72.92</v>
      </c>
      <c r="H313" s="22">
        <v>15.91</v>
      </c>
      <c r="I313" s="20" t="s">
        <v>45</v>
      </c>
      <c r="J313" s="20">
        <v>5</v>
      </c>
      <c r="K313" s="20" t="s">
        <v>46</v>
      </c>
      <c r="L313" s="23">
        <f t="shared" si="39"/>
        <v>45474</v>
      </c>
      <c r="M313" s="20">
        <f t="shared" si="40"/>
        <v>15</v>
      </c>
      <c r="N313" s="20">
        <f t="shared" si="41"/>
        <v>0</v>
      </c>
      <c r="O313" s="20">
        <f t="shared" si="42"/>
        <v>1</v>
      </c>
      <c r="P313" s="22">
        <f t="shared" si="43"/>
        <v>88.83</v>
      </c>
      <c r="Q313" s="22">
        <f>G313*INDEX(Assumptions!$B$8:$B$16,MATCH(F313,Assumptions!$A$8:$A$16,0))</f>
        <v>51.043999999999997</v>
      </c>
      <c r="R313" s="22">
        <f>H313*Assumptions!$B$3</f>
        <v>9.5459999999999994</v>
      </c>
      <c r="S313" s="22">
        <f t="shared" si="44"/>
        <v>12.330000000000005</v>
      </c>
      <c r="T313" s="20" t="str">
        <f t="shared" si="45"/>
        <v>15-21 days</v>
      </c>
    </row>
    <row r="314" spans="1:20" x14ac:dyDescent="0.3">
      <c r="A314" s="20" t="s">
        <v>380</v>
      </c>
      <c r="B314" s="20" t="s">
        <v>19</v>
      </c>
      <c r="C314" s="21">
        <v>45501</v>
      </c>
      <c r="D314" s="21">
        <v>45512</v>
      </c>
      <c r="E314" s="21">
        <v>45514</v>
      </c>
      <c r="F314" s="20" t="s">
        <v>59</v>
      </c>
      <c r="G314" s="22">
        <v>158.94999999999999</v>
      </c>
      <c r="H314" s="22">
        <v>17.100000000000001</v>
      </c>
      <c r="I314" s="20" t="s">
        <v>60</v>
      </c>
      <c r="J314" s="20">
        <v>5</v>
      </c>
      <c r="K314" s="20" t="s">
        <v>46</v>
      </c>
      <c r="L314" s="23">
        <f t="shared" si="39"/>
        <v>45474</v>
      </c>
      <c r="M314" s="20">
        <f t="shared" si="40"/>
        <v>11</v>
      </c>
      <c r="N314" s="20">
        <f t="shared" si="41"/>
        <v>0</v>
      </c>
      <c r="O314" s="20">
        <f t="shared" si="42"/>
        <v>1</v>
      </c>
      <c r="P314" s="22">
        <f t="shared" si="43"/>
        <v>176.04999999999998</v>
      </c>
      <c r="Q314" s="22">
        <f>G314*INDEX(Assumptions!$B$8:$B$16,MATCH(F314,Assumptions!$A$8:$A$16,0))</f>
        <v>101.72799999999999</v>
      </c>
      <c r="R314" s="22">
        <f>H314*Assumptions!$B$3</f>
        <v>10.26</v>
      </c>
      <c r="S314" s="22">
        <f t="shared" si="44"/>
        <v>46.961999999999996</v>
      </c>
      <c r="T314" s="20" t="str">
        <f t="shared" si="45"/>
        <v>8-14 days</v>
      </c>
    </row>
    <row r="315" spans="1:20" x14ac:dyDescent="0.3">
      <c r="A315" s="20" t="s">
        <v>381</v>
      </c>
      <c r="B315" s="20" t="s">
        <v>19</v>
      </c>
      <c r="C315" s="21">
        <v>45501</v>
      </c>
      <c r="D315" s="21">
        <v>45511</v>
      </c>
      <c r="E315" s="21">
        <v>45515</v>
      </c>
      <c r="F315" s="20" t="s">
        <v>67</v>
      </c>
      <c r="G315" s="22">
        <v>127.59</v>
      </c>
      <c r="H315" s="22">
        <v>16.59</v>
      </c>
      <c r="I315" s="20" t="s">
        <v>45</v>
      </c>
      <c r="J315" s="20">
        <v>5</v>
      </c>
      <c r="K315" s="20" t="s">
        <v>46</v>
      </c>
      <c r="L315" s="23">
        <f t="shared" si="39"/>
        <v>45474</v>
      </c>
      <c r="M315" s="20">
        <f t="shared" si="40"/>
        <v>10</v>
      </c>
      <c r="N315" s="20">
        <f t="shared" si="41"/>
        <v>0</v>
      </c>
      <c r="O315" s="20">
        <f t="shared" si="42"/>
        <v>1</v>
      </c>
      <c r="P315" s="22">
        <f t="shared" si="43"/>
        <v>144.18</v>
      </c>
      <c r="Q315" s="22">
        <f>G315*INDEX(Assumptions!$B$8:$B$16,MATCH(F315,Assumptions!$A$8:$A$16,0))</f>
        <v>79.105800000000002</v>
      </c>
      <c r="R315" s="22">
        <f>H315*Assumptions!$B$3</f>
        <v>9.9539999999999988</v>
      </c>
      <c r="S315" s="22">
        <f t="shared" si="44"/>
        <v>38.530200000000001</v>
      </c>
      <c r="T315" s="20" t="str">
        <f t="shared" si="45"/>
        <v>8-14 days</v>
      </c>
    </row>
    <row r="316" spans="1:20" x14ac:dyDescent="0.3">
      <c r="A316" s="20" t="s">
        <v>382</v>
      </c>
      <c r="B316" s="20" t="s">
        <v>77</v>
      </c>
      <c r="C316" s="21">
        <v>45502</v>
      </c>
      <c r="D316" s="21">
        <v>45518</v>
      </c>
      <c r="E316" s="21">
        <v>45527</v>
      </c>
      <c r="F316" s="20" t="s">
        <v>67</v>
      </c>
      <c r="G316" s="22">
        <v>60.43</v>
      </c>
      <c r="H316" s="22">
        <v>26.83</v>
      </c>
      <c r="I316" s="20" t="s">
        <v>45</v>
      </c>
      <c r="J316" s="20">
        <v>4</v>
      </c>
      <c r="K316" s="20" t="s">
        <v>46</v>
      </c>
      <c r="L316" s="23">
        <f t="shared" si="39"/>
        <v>45474</v>
      </c>
      <c r="M316" s="20">
        <f t="shared" si="40"/>
        <v>16</v>
      </c>
      <c r="N316" s="20">
        <f t="shared" si="41"/>
        <v>0</v>
      </c>
      <c r="O316" s="20">
        <f t="shared" si="42"/>
        <v>1</v>
      </c>
      <c r="P316" s="22">
        <f t="shared" si="43"/>
        <v>87.259999999999991</v>
      </c>
      <c r="Q316" s="22">
        <f>G316*INDEX(Assumptions!$B$8:$B$16,MATCH(F316,Assumptions!$A$8:$A$16,0))</f>
        <v>37.4666</v>
      </c>
      <c r="R316" s="22">
        <f>H316*Assumptions!$B$3</f>
        <v>16.097999999999999</v>
      </c>
      <c r="S316" s="22">
        <f t="shared" si="44"/>
        <v>6.8654000000000011</v>
      </c>
      <c r="T316" s="20" t="str">
        <f t="shared" si="45"/>
        <v>15-21 days</v>
      </c>
    </row>
    <row r="317" spans="1:20" x14ac:dyDescent="0.3">
      <c r="A317" s="20" t="s">
        <v>383</v>
      </c>
      <c r="B317" s="20" t="s">
        <v>19</v>
      </c>
      <c r="C317" s="21">
        <v>45502</v>
      </c>
      <c r="D317" s="21">
        <v>45509</v>
      </c>
      <c r="E317" s="21">
        <v>45514</v>
      </c>
      <c r="F317" s="20" t="s">
        <v>67</v>
      </c>
      <c r="G317" s="22">
        <v>32.590000000000003</v>
      </c>
      <c r="H317" s="22">
        <v>12.52</v>
      </c>
      <c r="I317" s="20" t="s">
        <v>60</v>
      </c>
      <c r="J317" s="20">
        <v>5</v>
      </c>
      <c r="K317" s="20" t="s">
        <v>46</v>
      </c>
      <c r="L317" s="23">
        <f t="shared" si="39"/>
        <v>45474</v>
      </c>
      <c r="M317" s="20">
        <f t="shared" si="40"/>
        <v>7</v>
      </c>
      <c r="N317" s="20">
        <f t="shared" si="41"/>
        <v>0</v>
      </c>
      <c r="O317" s="20">
        <f t="shared" si="42"/>
        <v>1</v>
      </c>
      <c r="P317" s="22">
        <f t="shared" si="43"/>
        <v>45.11</v>
      </c>
      <c r="Q317" s="22">
        <f>G317*INDEX(Assumptions!$B$8:$B$16,MATCH(F317,Assumptions!$A$8:$A$16,0))</f>
        <v>20.205800000000004</v>
      </c>
      <c r="R317" s="22">
        <f>H317*Assumptions!$B$3</f>
        <v>7.5119999999999996</v>
      </c>
      <c r="S317" s="22">
        <f t="shared" si="44"/>
        <v>4.8722000000000003</v>
      </c>
      <c r="T317" s="20" t="str">
        <f t="shared" si="45"/>
        <v>0-7 days</v>
      </c>
    </row>
    <row r="318" spans="1:20" x14ac:dyDescent="0.3">
      <c r="A318" s="20" t="s">
        <v>384</v>
      </c>
      <c r="B318" s="20" t="s">
        <v>19</v>
      </c>
      <c r="C318" s="21">
        <v>45502</v>
      </c>
      <c r="D318" s="21">
        <v>45517</v>
      </c>
      <c r="E318" s="21">
        <v>45518</v>
      </c>
      <c r="F318" s="20" t="s">
        <v>67</v>
      </c>
      <c r="G318" s="22">
        <v>85.07</v>
      </c>
      <c r="H318" s="22">
        <v>21.25</v>
      </c>
      <c r="I318" s="20" t="s">
        <v>60</v>
      </c>
      <c r="J318" s="20">
        <v>4</v>
      </c>
      <c r="K318" s="20" t="s">
        <v>46</v>
      </c>
      <c r="L318" s="23">
        <f t="shared" si="39"/>
        <v>45474</v>
      </c>
      <c r="M318" s="20">
        <f t="shared" si="40"/>
        <v>15</v>
      </c>
      <c r="N318" s="20">
        <f t="shared" si="41"/>
        <v>0</v>
      </c>
      <c r="O318" s="20">
        <f t="shared" si="42"/>
        <v>1</v>
      </c>
      <c r="P318" s="22">
        <f t="shared" si="43"/>
        <v>106.32</v>
      </c>
      <c r="Q318" s="22">
        <f>G318*INDEX(Assumptions!$B$8:$B$16,MATCH(F318,Assumptions!$A$8:$A$16,0))</f>
        <v>52.743399999999994</v>
      </c>
      <c r="R318" s="22">
        <f>H318*Assumptions!$B$3</f>
        <v>12.75</v>
      </c>
      <c r="S318" s="22">
        <f t="shared" si="44"/>
        <v>19.576599999999999</v>
      </c>
      <c r="T318" s="20" t="str">
        <f t="shared" si="45"/>
        <v>15-21 days</v>
      </c>
    </row>
    <row r="319" spans="1:20" x14ac:dyDescent="0.3">
      <c r="A319" s="20" t="s">
        <v>385</v>
      </c>
      <c r="B319" s="20" t="s">
        <v>19</v>
      </c>
      <c r="C319" s="21">
        <v>45503</v>
      </c>
      <c r="D319" s="21">
        <v>45519</v>
      </c>
      <c r="E319" s="21">
        <v>45518</v>
      </c>
      <c r="F319" s="20" t="s">
        <v>49</v>
      </c>
      <c r="G319" s="22">
        <v>145.03</v>
      </c>
      <c r="H319" s="22">
        <v>22.07</v>
      </c>
      <c r="I319" s="20" t="s">
        <v>45</v>
      </c>
      <c r="J319" s="20">
        <v>3</v>
      </c>
      <c r="K319" s="20" t="s">
        <v>46</v>
      </c>
      <c r="L319" s="23">
        <f t="shared" si="39"/>
        <v>45474</v>
      </c>
      <c r="M319" s="20">
        <f t="shared" si="40"/>
        <v>16</v>
      </c>
      <c r="N319" s="20">
        <f t="shared" si="41"/>
        <v>1</v>
      </c>
      <c r="O319" s="20">
        <f t="shared" si="42"/>
        <v>0</v>
      </c>
      <c r="P319" s="22">
        <f t="shared" si="43"/>
        <v>167.1</v>
      </c>
      <c r="Q319" s="22">
        <f>G319*INDEX(Assumptions!$B$8:$B$16,MATCH(F319,Assumptions!$A$8:$A$16,0))</f>
        <v>84.117399999999989</v>
      </c>
      <c r="R319" s="22">
        <f>H319*Assumptions!$B$3</f>
        <v>13.241999999999999</v>
      </c>
      <c r="S319" s="22">
        <f t="shared" si="44"/>
        <v>47.670600000000015</v>
      </c>
      <c r="T319" s="20" t="str">
        <f t="shared" si="45"/>
        <v>15-21 days</v>
      </c>
    </row>
    <row r="320" spans="1:20" x14ac:dyDescent="0.3">
      <c r="A320" s="20" t="s">
        <v>386</v>
      </c>
      <c r="B320" s="20" t="s">
        <v>174</v>
      </c>
      <c r="C320" s="21">
        <v>45503</v>
      </c>
      <c r="D320" s="21">
        <v>45523</v>
      </c>
      <c r="E320" s="21">
        <v>45535</v>
      </c>
      <c r="F320" s="20" t="s">
        <v>64</v>
      </c>
      <c r="G320" s="22">
        <v>187</v>
      </c>
      <c r="H320" s="22">
        <v>43.56</v>
      </c>
      <c r="I320" s="20" t="s">
        <v>60</v>
      </c>
      <c r="J320" s="20">
        <v>4</v>
      </c>
      <c r="K320" s="20" t="s">
        <v>46</v>
      </c>
      <c r="L320" s="23">
        <f t="shared" si="39"/>
        <v>45474</v>
      </c>
      <c r="M320" s="20">
        <f t="shared" si="40"/>
        <v>20</v>
      </c>
      <c r="N320" s="20">
        <f t="shared" si="41"/>
        <v>0</v>
      </c>
      <c r="O320" s="20">
        <f t="shared" si="42"/>
        <v>1</v>
      </c>
      <c r="P320" s="22">
        <f t="shared" si="43"/>
        <v>230.56</v>
      </c>
      <c r="Q320" s="22">
        <f>G320*INDEX(Assumptions!$B$8:$B$16,MATCH(F320,Assumptions!$A$8:$A$16,0))</f>
        <v>123.42</v>
      </c>
      <c r="R320" s="22">
        <f>H320*Assumptions!$B$3</f>
        <v>26.135999999999999</v>
      </c>
      <c r="S320" s="22">
        <f t="shared" si="44"/>
        <v>37.444000000000003</v>
      </c>
      <c r="T320" s="20" t="str">
        <f t="shared" si="45"/>
        <v>15-21 days</v>
      </c>
    </row>
    <row r="321" spans="1:20" x14ac:dyDescent="0.3">
      <c r="A321" s="20" t="s">
        <v>387</v>
      </c>
      <c r="B321" s="20" t="s">
        <v>52</v>
      </c>
      <c r="C321" s="21">
        <v>45503</v>
      </c>
      <c r="D321" s="21">
        <v>45519</v>
      </c>
      <c r="E321" s="21">
        <v>45524</v>
      </c>
      <c r="F321" s="20" t="s">
        <v>49</v>
      </c>
      <c r="G321" s="22">
        <v>132.31</v>
      </c>
      <c r="H321" s="22">
        <v>21.94</v>
      </c>
      <c r="I321" s="20" t="s">
        <v>50</v>
      </c>
      <c r="J321" s="20">
        <v>4</v>
      </c>
      <c r="K321" s="20" t="s">
        <v>46</v>
      </c>
      <c r="L321" s="23">
        <f t="shared" si="39"/>
        <v>45474</v>
      </c>
      <c r="M321" s="20">
        <f t="shared" si="40"/>
        <v>16</v>
      </c>
      <c r="N321" s="20">
        <f t="shared" si="41"/>
        <v>0</v>
      </c>
      <c r="O321" s="20">
        <f t="shared" si="42"/>
        <v>1</v>
      </c>
      <c r="P321" s="22">
        <f t="shared" si="43"/>
        <v>154.25</v>
      </c>
      <c r="Q321" s="22">
        <f>G321*INDEX(Assumptions!$B$8:$B$16,MATCH(F321,Assumptions!$A$8:$A$16,0))</f>
        <v>76.739800000000002</v>
      </c>
      <c r="R321" s="22">
        <f>H321*Assumptions!$B$3</f>
        <v>13.164</v>
      </c>
      <c r="S321" s="22">
        <f t="shared" si="44"/>
        <v>42.406199999999998</v>
      </c>
      <c r="T321" s="20" t="str">
        <f t="shared" si="45"/>
        <v>15-21 days</v>
      </c>
    </row>
    <row r="322" spans="1:20" x14ac:dyDescent="0.3">
      <c r="A322" s="20" t="s">
        <v>388</v>
      </c>
      <c r="B322" s="20" t="s">
        <v>19</v>
      </c>
      <c r="C322" s="21">
        <v>45504</v>
      </c>
      <c r="D322" s="21">
        <v>45515</v>
      </c>
      <c r="E322" s="21">
        <v>45521</v>
      </c>
      <c r="F322" s="20" t="s">
        <v>67</v>
      </c>
      <c r="G322" s="22">
        <v>201.27</v>
      </c>
      <c r="H322" s="22">
        <v>20.13</v>
      </c>
      <c r="I322" s="20" t="s">
        <v>45</v>
      </c>
      <c r="J322" s="20">
        <v>5</v>
      </c>
      <c r="K322" s="20" t="s">
        <v>46</v>
      </c>
      <c r="L322" s="23">
        <f t="shared" ref="L322:L385" si="46">DATE(YEAR(C322),MONTH(C322),1)</f>
        <v>45474</v>
      </c>
      <c r="M322" s="20">
        <f t="shared" ref="M322:M385" si="47">D322-C322</f>
        <v>11</v>
      </c>
      <c r="N322" s="20">
        <f t="shared" ref="N322:N385" si="48">MAX(0,D322-E322)</f>
        <v>0</v>
      </c>
      <c r="O322" s="20">
        <f t="shared" ref="O322:O385" si="49">IF(D322&lt;=E322,1,0)</f>
        <v>1</v>
      </c>
      <c r="P322" s="22">
        <f t="shared" ref="P322:P385" si="50">G322+H322</f>
        <v>221.4</v>
      </c>
      <c r="Q322" s="22">
        <f>G322*INDEX(Assumptions!$B$8:$B$16,MATCH(F322,Assumptions!$A$8:$A$16,0))</f>
        <v>124.78740000000001</v>
      </c>
      <c r="R322" s="22">
        <f>H322*Assumptions!$B$3</f>
        <v>12.077999999999999</v>
      </c>
      <c r="S322" s="22">
        <f t="shared" ref="S322:S385" si="51">G322-Q322-R322</f>
        <v>64.404600000000002</v>
      </c>
      <c r="T322" s="20" t="str">
        <f t="shared" ref="T322:T385" si="52">IF(M322&lt;=7,"0-7 days",IF(M322&lt;=14,"8-14 days",IF(M322&lt;=21,"15-21 days","22+ days")))</f>
        <v>8-14 days</v>
      </c>
    </row>
    <row r="323" spans="1:20" x14ac:dyDescent="0.3">
      <c r="A323" s="20" t="s">
        <v>389</v>
      </c>
      <c r="B323" s="20" t="s">
        <v>48</v>
      </c>
      <c r="C323" s="21">
        <v>45504</v>
      </c>
      <c r="D323" s="21">
        <v>45510</v>
      </c>
      <c r="E323" s="21">
        <v>45527</v>
      </c>
      <c r="F323" s="20" t="s">
        <v>111</v>
      </c>
      <c r="G323" s="22">
        <v>112.95</v>
      </c>
      <c r="H323" s="22">
        <v>30.14</v>
      </c>
      <c r="I323" s="20" t="s">
        <v>45</v>
      </c>
      <c r="J323" s="20">
        <v>5</v>
      </c>
      <c r="K323" s="20" t="s">
        <v>46</v>
      </c>
      <c r="L323" s="23">
        <f t="shared" si="46"/>
        <v>45474</v>
      </c>
      <c r="M323" s="20">
        <f t="shared" si="47"/>
        <v>6</v>
      </c>
      <c r="N323" s="20">
        <f t="shared" si="48"/>
        <v>0</v>
      </c>
      <c r="O323" s="20">
        <f t="shared" si="49"/>
        <v>1</v>
      </c>
      <c r="P323" s="22">
        <f t="shared" si="50"/>
        <v>143.09</v>
      </c>
      <c r="Q323" s="22">
        <f>G323*INDEX(Assumptions!$B$8:$B$16,MATCH(F323,Assumptions!$A$8:$A$16,0))</f>
        <v>71.158500000000004</v>
      </c>
      <c r="R323" s="22">
        <f>H323*Assumptions!$B$3</f>
        <v>18.084</v>
      </c>
      <c r="S323" s="22">
        <f t="shared" si="51"/>
        <v>23.7075</v>
      </c>
      <c r="T323" s="20" t="str">
        <f t="shared" si="52"/>
        <v>0-7 days</v>
      </c>
    </row>
    <row r="324" spans="1:20" x14ac:dyDescent="0.3">
      <c r="A324" s="20" t="s">
        <v>390</v>
      </c>
      <c r="B324" s="20" t="s">
        <v>52</v>
      </c>
      <c r="C324" s="21">
        <v>45505</v>
      </c>
      <c r="D324" s="21">
        <v>45514</v>
      </c>
      <c r="E324" s="21">
        <v>45528</v>
      </c>
      <c r="F324" s="20" t="s">
        <v>53</v>
      </c>
      <c r="G324" s="22">
        <v>169.61</v>
      </c>
      <c r="H324" s="22">
        <v>23.43</v>
      </c>
      <c r="I324" s="20" t="s">
        <v>45</v>
      </c>
      <c r="J324" s="20">
        <v>4</v>
      </c>
      <c r="K324" s="20" t="s">
        <v>46</v>
      </c>
      <c r="L324" s="23">
        <f t="shared" si="46"/>
        <v>45505</v>
      </c>
      <c r="M324" s="20">
        <f t="shared" si="47"/>
        <v>9</v>
      </c>
      <c r="N324" s="20">
        <f t="shared" si="48"/>
        <v>0</v>
      </c>
      <c r="O324" s="20">
        <f t="shared" si="49"/>
        <v>1</v>
      </c>
      <c r="P324" s="22">
        <f t="shared" si="50"/>
        <v>193.04000000000002</v>
      </c>
      <c r="Q324" s="22">
        <f>G324*INDEX(Assumptions!$B$8:$B$16,MATCH(F324,Assumptions!$A$8:$A$16,0))</f>
        <v>125.51140000000001</v>
      </c>
      <c r="R324" s="22">
        <f>H324*Assumptions!$B$3</f>
        <v>14.058</v>
      </c>
      <c r="S324" s="22">
        <f t="shared" si="51"/>
        <v>30.040600000000005</v>
      </c>
      <c r="T324" s="20" t="str">
        <f t="shared" si="52"/>
        <v>8-14 days</v>
      </c>
    </row>
    <row r="325" spans="1:20" x14ac:dyDescent="0.3">
      <c r="A325" s="20" t="s">
        <v>391</v>
      </c>
      <c r="B325" s="20" t="s">
        <v>19</v>
      </c>
      <c r="C325" s="21">
        <v>45505</v>
      </c>
      <c r="D325" s="21">
        <v>45512</v>
      </c>
      <c r="E325" s="21">
        <v>45519</v>
      </c>
      <c r="F325" s="20" t="s">
        <v>64</v>
      </c>
      <c r="G325" s="22">
        <v>90.44</v>
      </c>
      <c r="H325" s="22">
        <v>16.12</v>
      </c>
      <c r="I325" s="20" t="s">
        <v>45</v>
      </c>
      <c r="J325" s="20">
        <v>4</v>
      </c>
      <c r="K325" s="20" t="s">
        <v>46</v>
      </c>
      <c r="L325" s="23">
        <f t="shared" si="46"/>
        <v>45505</v>
      </c>
      <c r="M325" s="20">
        <f t="shared" si="47"/>
        <v>7</v>
      </c>
      <c r="N325" s="20">
        <f t="shared" si="48"/>
        <v>0</v>
      </c>
      <c r="O325" s="20">
        <f t="shared" si="49"/>
        <v>1</v>
      </c>
      <c r="P325" s="22">
        <f t="shared" si="50"/>
        <v>106.56</v>
      </c>
      <c r="Q325" s="22">
        <f>G325*INDEX(Assumptions!$B$8:$B$16,MATCH(F325,Assumptions!$A$8:$A$16,0))</f>
        <v>59.690400000000004</v>
      </c>
      <c r="R325" s="22">
        <f>H325*Assumptions!$B$3</f>
        <v>9.6720000000000006</v>
      </c>
      <c r="S325" s="22">
        <f t="shared" si="51"/>
        <v>21.077599999999993</v>
      </c>
      <c r="T325" s="20" t="str">
        <f t="shared" si="52"/>
        <v>0-7 days</v>
      </c>
    </row>
    <row r="326" spans="1:20" x14ac:dyDescent="0.3">
      <c r="A326" s="20" t="s">
        <v>392</v>
      </c>
      <c r="B326" s="20" t="s">
        <v>19</v>
      </c>
      <c r="C326" s="21">
        <v>45505</v>
      </c>
      <c r="D326" s="21">
        <v>45512</v>
      </c>
      <c r="E326" s="21">
        <v>45519</v>
      </c>
      <c r="F326" s="20" t="s">
        <v>111</v>
      </c>
      <c r="G326" s="22">
        <v>62.92</v>
      </c>
      <c r="H326" s="22">
        <v>22.13</v>
      </c>
      <c r="I326" s="20" t="s">
        <v>104</v>
      </c>
      <c r="J326" s="20">
        <v>5</v>
      </c>
      <c r="K326" s="20" t="s">
        <v>46</v>
      </c>
      <c r="L326" s="23">
        <f t="shared" si="46"/>
        <v>45505</v>
      </c>
      <c r="M326" s="20">
        <f t="shared" si="47"/>
        <v>7</v>
      </c>
      <c r="N326" s="20">
        <f t="shared" si="48"/>
        <v>0</v>
      </c>
      <c r="O326" s="20">
        <f t="shared" si="49"/>
        <v>1</v>
      </c>
      <c r="P326" s="22">
        <f t="shared" si="50"/>
        <v>85.05</v>
      </c>
      <c r="Q326" s="22">
        <f>G326*INDEX(Assumptions!$B$8:$B$16,MATCH(F326,Assumptions!$A$8:$A$16,0))</f>
        <v>39.639600000000002</v>
      </c>
      <c r="R326" s="22">
        <f>H326*Assumptions!$B$3</f>
        <v>13.277999999999999</v>
      </c>
      <c r="S326" s="22">
        <f t="shared" si="51"/>
        <v>10.002400000000002</v>
      </c>
      <c r="T326" s="20" t="str">
        <f t="shared" si="52"/>
        <v>0-7 days</v>
      </c>
    </row>
    <row r="327" spans="1:20" x14ac:dyDescent="0.3">
      <c r="A327" s="20" t="s">
        <v>393</v>
      </c>
      <c r="B327" s="20" t="s">
        <v>19</v>
      </c>
      <c r="C327" s="21">
        <v>45506</v>
      </c>
      <c r="D327" s="21">
        <v>45513</v>
      </c>
      <c r="E327" s="21">
        <v>45523</v>
      </c>
      <c r="F327" s="20" t="s">
        <v>111</v>
      </c>
      <c r="G327" s="22">
        <v>101.2</v>
      </c>
      <c r="H327" s="22">
        <v>19.77</v>
      </c>
      <c r="I327" s="20" t="s">
        <v>45</v>
      </c>
      <c r="J327" s="20">
        <v>4</v>
      </c>
      <c r="K327" s="20" t="s">
        <v>46</v>
      </c>
      <c r="L327" s="23">
        <f t="shared" si="46"/>
        <v>45505</v>
      </c>
      <c r="M327" s="20">
        <f t="shared" si="47"/>
        <v>7</v>
      </c>
      <c r="N327" s="20">
        <f t="shared" si="48"/>
        <v>0</v>
      </c>
      <c r="O327" s="20">
        <f t="shared" si="49"/>
        <v>1</v>
      </c>
      <c r="P327" s="22">
        <f t="shared" si="50"/>
        <v>120.97</v>
      </c>
      <c r="Q327" s="22">
        <f>G327*INDEX(Assumptions!$B$8:$B$16,MATCH(F327,Assumptions!$A$8:$A$16,0))</f>
        <v>63.756</v>
      </c>
      <c r="R327" s="22">
        <f>H327*Assumptions!$B$3</f>
        <v>11.862</v>
      </c>
      <c r="S327" s="22">
        <f t="shared" si="51"/>
        <v>25.582000000000001</v>
      </c>
      <c r="T327" s="20" t="str">
        <f t="shared" si="52"/>
        <v>0-7 days</v>
      </c>
    </row>
    <row r="328" spans="1:20" x14ac:dyDescent="0.3">
      <c r="A328" s="20" t="s">
        <v>394</v>
      </c>
      <c r="B328" s="20" t="s">
        <v>19</v>
      </c>
      <c r="C328" s="21">
        <v>45506</v>
      </c>
      <c r="D328" s="21">
        <v>45519</v>
      </c>
      <c r="E328" s="21">
        <v>45521</v>
      </c>
      <c r="F328" s="20" t="s">
        <v>59</v>
      </c>
      <c r="G328" s="22">
        <v>166.23</v>
      </c>
      <c r="H328" s="22">
        <v>16.04</v>
      </c>
      <c r="I328" s="20" t="s">
        <v>45</v>
      </c>
      <c r="J328" s="20">
        <v>3</v>
      </c>
      <c r="K328" s="20" t="s">
        <v>46</v>
      </c>
      <c r="L328" s="23">
        <f t="shared" si="46"/>
        <v>45505</v>
      </c>
      <c r="M328" s="20">
        <f t="shared" si="47"/>
        <v>13</v>
      </c>
      <c r="N328" s="20">
        <f t="shared" si="48"/>
        <v>0</v>
      </c>
      <c r="O328" s="20">
        <f t="shared" si="49"/>
        <v>1</v>
      </c>
      <c r="P328" s="22">
        <f t="shared" si="50"/>
        <v>182.26999999999998</v>
      </c>
      <c r="Q328" s="22">
        <f>G328*INDEX(Assumptions!$B$8:$B$16,MATCH(F328,Assumptions!$A$8:$A$16,0))</f>
        <v>106.38719999999999</v>
      </c>
      <c r="R328" s="22">
        <f>H328*Assumptions!$B$3</f>
        <v>9.6239999999999988</v>
      </c>
      <c r="S328" s="22">
        <f t="shared" si="51"/>
        <v>50.218800000000002</v>
      </c>
      <c r="T328" s="20" t="str">
        <f t="shared" si="52"/>
        <v>8-14 days</v>
      </c>
    </row>
    <row r="329" spans="1:20" x14ac:dyDescent="0.3">
      <c r="A329" s="20" t="s">
        <v>395</v>
      </c>
      <c r="B329" s="20" t="s">
        <v>55</v>
      </c>
      <c r="C329" s="21">
        <v>45506</v>
      </c>
      <c r="D329" s="21">
        <v>45525</v>
      </c>
      <c r="E329" s="21">
        <v>45527</v>
      </c>
      <c r="F329" s="20" t="s">
        <v>49</v>
      </c>
      <c r="G329" s="22">
        <v>50.58</v>
      </c>
      <c r="H329" s="22">
        <v>17.11</v>
      </c>
      <c r="I329" s="20" t="s">
        <v>45</v>
      </c>
      <c r="J329" s="20">
        <v>4</v>
      </c>
      <c r="K329" s="20" t="s">
        <v>46</v>
      </c>
      <c r="L329" s="23">
        <f t="shared" si="46"/>
        <v>45505</v>
      </c>
      <c r="M329" s="20">
        <f t="shared" si="47"/>
        <v>19</v>
      </c>
      <c r="N329" s="20">
        <f t="shared" si="48"/>
        <v>0</v>
      </c>
      <c r="O329" s="20">
        <f t="shared" si="49"/>
        <v>1</v>
      </c>
      <c r="P329" s="22">
        <f t="shared" si="50"/>
        <v>67.69</v>
      </c>
      <c r="Q329" s="22">
        <f>G329*INDEX(Assumptions!$B$8:$B$16,MATCH(F329,Assumptions!$A$8:$A$16,0))</f>
        <v>29.336399999999998</v>
      </c>
      <c r="R329" s="22">
        <f>H329*Assumptions!$B$3</f>
        <v>10.266</v>
      </c>
      <c r="S329" s="22">
        <f t="shared" si="51"/>
        <v>10.977600000000001</v>
      </c>
      <c r="T329" s="20" t="str">
        <f t="shared" si="52"/>
        <v>15-21 days</v>
      </c>
    </row>
    <row r="330" spans="1:20" x14ac:dyDescent="0.3">
      <c r="A330" s="20" t="s">
        <v>396</v>
      </c>
      <c r="B330" s="20" t="s">
        <v>19</v>
      </c>
      <c r="C330" s="21">
        <v>45507</v>
      </c>
      <c r="D330" s="21">
        <v>45514</v>
      </c>
      <c r="E330" s="21">
        <v>45519</v>
      </c>
      <c r="F330" s="20" t="s">
        <v>67</v>
      </c>
      <c r="G330" s="22">
        <v>92.31</v>
      </c>
      <c r="H330" s="22">
        <v>22.78</v>
      </c>
      <c r="I330" s="20" t="s">
        <v>45</v>
      </c>
      <c r="J330" s="20">
        <v>4</v>
      </c>
      <c r="K330" s="20" t="s">
        <v>46</v>
      </c>
      <c r="L330" s="23">
        <f t="shared" si="46"/>
        <v>45505</v>
      </c>
      <c r="M330" s="20">
        <f t="shared" si="47"/>
        <v>7</v>
      </c>
      <c r="N330" s="20">
        <f t="shared" si="48"/>
        <v>0</v>
      </c>
      <c r="O330" s="20">
        <f t="shared" si="49"/>
        <v>1</v>
      </c>
      <c r="P330" s="22">
        <f t="shared" si="50"/>
        <v>115.09</v>
      </c>
      <c r="Q330" s="22">
        <f>G330*INDEX(Assumptions!$B$8:$B$16,MATCH(F330,Assumptions!$A$8:$A$16,0))</f>
        <v>57.232199999999999</v>
      </c>
      <c r="R330" s="22">
        <f>H330*Assumptions!$B$3</f>
        <v>13.668000000000001</v>
      </c>
      <c r="S330" s="22">
        <f t="shared" si="51"/>
        <v>21.409800000000004</v>
      </c>
      <c r="T330" s="20" t="str">
        <f t="shared" si="52"/>
        <v>0-7 days</v>
      </c>
    </row>
    <row r="331" spans="1:20" x14ac:dyDescent="0.3">
      <c r="A331" s="20" t="s">
        <v>397</v>
      </c>
      <c r="B331" s="20" t="s">
        <v>19</v>
      </c>
      <c r="C331" s="21">
        <v>45507</v>
      </c>
      <c r="D331" s="21">
        <v>45514</v>
      </c>
      <c r="E331" s="21">
        <v>45525</v>
      </c>
      <c r="F331" s="20" t="s">
        <v>111</v>
      </c>
      <c r="G331" s="22">
        <v>37.47</v>
      </c>
      <c r="H331" s="22">
        <v>21.14</v>
      </c>
      <c r="I331" s="20" t="s">
        <v>60</v>
      </c>
      <c r="J331" s="20">
        <v>5</v>
      </c>
      <c r="K331" s="20" t="s">
        <v>46</v>
      </c>
      <c r="L331" s="23">
        <f t="shared" si="46"/>
        <v>45505</v>
      </c>
      <c r="M331" s="20">
        <f t="shared" si="47"/>
        <v>7</v>
      </c>
      <c r="N331" s="20">
        <f t="shared" si="48"/>
        <v>0</v>
      </c>
      <c r="O331" s="20">
        <f t="shared" si="49"/>
        <v>1</v>
      </c>
      <c r="P331" s="22">
        <f t="shared" si="50"/>
        <v>58.61</v>
      </c>
      <c r="Q331" s="22">
        <f>G331*INDEX(Assumptions!$B$8:$B$16,MATCH(F331,Assumptions!$A$8:$A$16,0))</f>
        <v>23.606099999999998</v>
      </c>
      <c r="R331" s="22">
        <f>H331*Assumptions!$B$3</f>
        <v>12.683999999999999</v>
      </c>
      <c r="S331" s="22">
        <f t="shared" si="51"/>
        <v>1.1799000000000017</v>
      </c>
      <c r="T331" s="20" t="str">
        <f t="shared" si="52"/>
        <v>0-7 days</v>
      </c>
    </row>
    <row r="332" spans="1:20" x14ac:dyDescent="0.3">
      <c r="A332" s="20" t="s">
        <v>398</v>
      </c>
      <c r="B332" s="20" t="s">
        <v>19</v>
      </c>
      <c r="C332" s="21">
        <v>45507</v>
      </c>
      <c r="D332" s="21">
        <v>45513</v>
      </c>
      <c r="E332" s="21">
        <v>45521</v>
      </c>
      <c r="F332" s="20" t="s">
        <v>111</v>
      </c>
      <c r="G332" s="22">
        <v>29.28</v>
      </c>
      <c r="H332" s="22">
        <v>19.670000000000002</v>
      </c>
      <c r="I332" s="20" t="s">
        <v>50</v>
      </c>
      <c r="J332" s="20">
        <v>4</v>
      </c>
      <c r="K332" s="20" t="s">
        <v>46</v>
      </c>
      <c r="L332" s="23">
        <f t="shared" si="46"/>
        <v>45505</v>
      </c>
      <c r="M332" s="20">
        <f t="shared" si="47"/>
        <v>6</v>
      </c>
      <c r="N332" s="20">
        <f t="shared" si="48"/>
        <v>0</v>
      </c>
      <c r="O332" s="20">
        <f t="shared" si="49"/>
        <v>1</v>
      </c>
      <c r="P332" s="22">
        <f t="shared" si="50"/>
        <v>48.95</v>
      </c>
      <c r="Q332" s="22">
        <f>G332*INDEX(Assumptions!$B$8:$B$16,MATCH(F332,Assumptions!$A$8:$A$16,0))</f>
        <v>18.446400000000001</v>
      </c>
      <c r="R332" s="22">
        <f>H332*Assumptions!$B$3</f>
        <v>11.802000000000001</v>
      </c>
      <c r="S332" s="22">
        <f t="shared" si="51"/>
        <v>-0.96840000000000082</v>
      </c>
      <c r="T332" s="20" t="str">
        <f t="shared" si="52"/>
        <v>0-7 days</v>
      </c>
    </row>
    <row r="333" spans="1:20" x14ac:dyDescent="0.3">
      <c r="A333" s="20" t="s">
        <v>399</v>
      </c>
      <c r="B333" s="20" t="s">
        <v>48</v>
      </c>
      <c r="C333" s="21">
        <v>45507</v>
      </c>
      <c r="D333" s="21">
        <v>45513</v>
      </c>
      <c r="E333" s="21">
        <v>45526</v>
      </c>
      <c r="F333" s="20" t="s">
        <v>67</v>
      </c>
      <c r="G333" s="22">
        <v>51.96</v>
      </c>
      <c r="H333" s="22">
        <v>16.84</v>
      </c>
      <c r="I333" s="20" t="s">
        <v>45</v>
      </c>
      <c r="J333" s="20">
        <v>4</v>
      </c>
      <c r="K333" s="20" t="s">
        <v>46</v>
      </c>
      <c r="L333" s="23">
        <f t="shared" si="46"/>
        <v>45505</v>
      </c>
      <c r="M333" s="20">
        <f t="shared" si="47"/>
        <v>6</v>
      </c>
      <c r="N333" s="20">
        <f t="shared" si="48"/>
        <v>0</v>
      </c>
      <c r="O333" s="20">
        <f t="shared" si="49"/>
        <v>1</v>
      </c>
      <c r="P333" s="22">
        <f t="shared" si="50"/>
        <v>68.8</v>
      </c>
      <c r="Q333" s="22">
        <f>G333*INDEX(Assumptions!$B$8:$B$16,MATCH(F333,Assumptions!$A$8:$A$16,0))</f>
        <v>32.215200000000003</v>
      </c>
      <c r="R333" s="22">
        <f>H333*Assumptions!$B$3</f>
        <v>10.103999999999999</v>
      </c>
      <c r="S333" s="22">
        <f t="shared" si="51"/>
        <v>9.6407999999999987</v>
      </c>
      <c r="T333" s="20" t="str">
        <f t="shared" si="52"/>
        <v>0-7 days</v>
      </c>
    </row>
    <row r="334" spans="1:20" x14ac:dyDescent="0.3">
      <c r="A334" s="20" t="s">
        <v>400</v>
      </c>
      <c r="B334" s="20" t="s">
        <v>19</v>
      </c>
      <c r="C334" s="21">
        <v>45507</v>
      </c>
      <c r="D334" s="21">
        <v>45514</v>
      </c>
      <c r="E334" s="21">
        <v>45525</v>
      </c>
      <c r="F334" s="20" t="s">
        <v>59</v>
      </c>
      <c r="G334" s="22">
        <v>49.42</v>
      </c>
      <c r="H334" s="22">
        <v>20.079999999999998</v>
      </c>
      <c r="I334" s="20" t="s">
        <v>45</v>
      </c>
      <c r="J334" s="20">
        <v>5</v>
      </c>
      <c r="K334" s="20" t="s">
        <v>46</v>
      </c>
      <c r="L334" s="23">
        <f t="shared" si="46"/>
        <v>45505</v>
      </c>
      <c r="M334" s="20">
        <f t="shared" si="47"/>
        <v>7</v>
      </c>
      <c r="N334" s="20">
        <f t="shared" si="48"/>
        <v>0</v>
      </c>
      <c r="O334" s="20">
        <f t="shared" si="49"/>
        <v>1</v>
      </c>
      <c r="P334" s="22">
        <f t="shared" si="50"/>
        <v>69.5</v>
      </c>
      <c r="Q334" s="22">
        <f>G334*INDEX(Assumptions!$B$8:$B$16,MATCH(F334,Assumptions!$A$8:$A$16,0))</f>
        <v>31.628800000000002</v>
      </c>
      <c r="R334" s="22">
        <f>H334*Assumptions!$B$3</f>
        <v>12.047999999999998</v>
      </c>
      <c r="S334" s="22">
        <f t="shared" si="51"/>
        <v>5.7432000000000016</v>
      </c>
      <c r="T334" s="20" t="str">
        <f t="shared" si="52"/>
        <v>0-7 days</v>
      </c>
    </row>
    <row r="335" spans="1:20" x14ac:dyDescent="0.3">
      <c r="A335" s="20" t="s">
        <v>401</v>
      </c>
      <c r="B335" s="20" t="s">
        <v>19</v>
      </c>
      <c r="C335" s="21">
        <v>45507</v>
      </c>
      <c r="D335" s="21">
        <v>45514</v>
      </c>
      <c r="E335" s="21">
        <v>45521</v>
      </c>
      <c r="F335" s="20" t="s">
        <v>64</v>
      </c>
      <c r="G335" s="22">
        <v>123.85</v>
      </c>
      <c r="H335" s="22">
        <v>19.52</v>
      </c>
      <c r="I335" s="20" t="s">
        <v>45</v>
      </c>
      <c r="J335" s="20">
        <v>5</v>
      </c>
      <c r="K335" s="20" t="s">
        <v>46</v>
      </c>
      <c r="L335" s="23">
        <f t="shared" si="46"/>
        <v>45505</v>
      </c>
      <c r="M335" s="20">
        <f t="shared" si="47"/>
        <v>7</v>
      </c>
      <c r="N335" s="20">
        <f t="shared" si="48"/>
        <v>0</v>
      </c>
      <c r="O335" s="20">
        <f t="shared" si="49"/>
        <v>1</v>
      </c>
      <c r="P335" s="22">
        <f t="shared" si="50"/>
        <v>143.37</v>
      </c>
      <c r="Q335" s="22">
        <f>G335*INDEX(Assumptions!$B$8:$B$16,MATCH(F335,Assumptions!$A$8:$A$16,0))</f>
        <v>81.741</v>
      </c>
      <c r="R335" s="22">
        <f>H335*Assumptions!$B$3</f>
        <v>11.712</v>
      </c>
      <c r="S335" s="22">
        <f t="shared" si="51"/>
        <v>30.396999999999995</v>
      </c>
      <c r="T335" s="20" t="str">
        <f t="shared" si="52"/>
        <v>0-7 days</v>
      </c>
    </row>
    <row r="336" spans="1:20" x14ac:dyDescent="0.3">
      <c r="A336" s="20" t="s">
        <v>402</v>
      </c>
      <c r="B336" s="20" t="s">
        <v>19</v>
      </c>
      <c r="C336" s="21">
        <v>45508</v>
      </c>
      <c r="D336" s="21">
        <v>45520</v>
      </c>
      <c r="E336" s="21">
        <v>45524</v>
      </c>
      <c r="F336" s="20" t="s">
        <v>79</v>
      </c>
      <c r="G336" s="22">
        <v>76.47</v>
      </c>
      <c r="H336" s="22">
        <v>18.55</v>
      </c>
      <c r="I336" s="20" t="s">
        <v>45</v>
      </c>
      <c r="J336" s="20">
        <v>4</v>
      </c>
      <c r="K336" s="20" t="s">
        <v>46</v>
      </c>
      <c r="L336" s="23">
        <f t="shared" si="46"/>
        <v>45505</v>
      </c>
      <c r="M336" s="20">
        <f t="shared" si="47"/>
        <v>12</v>
      </c>
      <c r="N336" s="20">
        <f t="shared" si="48"/>
        <v>0</v>
      </c>
      <c r="O336" s="20">
        <f t="shared" si="49"/>
        <v>1</v>
      </c>
      <c r="P336" s="22">
        <f t="shared" si="50"/>
        <v>95.02</v>
      </c>
      <c r="Q336" s="22">
        <f>G336*INDEX(Assumptions!$B$8:$B$16,MATCH(F336,Assumptions!$A$8:$A$16,0))</f>
        <v>53.528999999999996</v>
      </c>
      <c r="R336" s="22">
        <f>H336*Assumptions!$B$3</f>
        <v>11.13</v>
      </c>
      <c r="S336" s="22">
        <f t="shared" si="51"/>
        <v>11.811000000000002</v>
      </c>
      <c r="T336" s="20" t="str">
        <f t="shared" si="52"/>
        <v>8-14 days</v>
      </c>
    </row>
    <row r="337" spans="1:20" x14ac:dyDescent="0.3">
      <c r="A337" s="20" t="s">
        <v>403</v>
      </c>
      <c r="B337" s="20" t="s">
        <v>62</v>
      </c>
      <c r="C337" s="21">
        <v>45508</v>
      </c>
      <c r="D337" s="21">
        <v>45528</v>
      </c>
      <c r="E337" s="21">
        <v>45530</v>
      </c>
      <c r="F337" s="20" t="s">
        <v>53</v>
      </c>
      <c r="G337" s="22">
        <v>229.19</v>
      </c>
      <c r="H337" s="22">
        <v>21.23</v>
      </c>
      <c r="I337" s="20" t="s">
        <v>45</v>
      </c>
      <c r="J337" s="20">
        <v>4</v>
      </c>
      <c r="K337" s="20" t="s">
        <v>46</v>
      </c>
      <c r="L337" s="23">
        <f t="shared" si="46"/>
        <v>45505</v>
      </c>
      <c r="M337" s="20">
        <f t="shared" si="47"/>
        <v>20</v>
      </c>
      <c r="N337" s="20">
        <f t="shared" si="48"/>
        <v>0</v>
      </c>
      <c r="O337" s="20">
        <f t="shared" si="49"/>
        <v>1</v>
      </c>
      <c r="P337" s="22">
        <f t="shared" si="50"/>
        <v>250.42</v>
      </c>
      <c r="Q337" s="22">
        <f>G337*INDEX(Assumptions!$B$8:$B$16,MATCH(F337,Assumptions!$A$8:$A$16,0))</f>
        <v>169.60059999999999</v>
      </c>
      <c r="R337" s="22">
        <f>H337*Assumptions!$B$3</f>
        <v>12.738</v>
      </c>
      <c r="S337" s="22">
        <f t="shared" si="51"/>
        <v>46.851400000000012</v>
      </c>
      <c r="T337" s="20" t="str">
        <f t="shared" si="52"/>
        <v>15-21 days</v>
      </c>
    </row>
    <row r="338" spans="1:20" x14ac:dyDescent="0.3">
      <c r="A338" s="20" t="s">
        <v>404</v>
      </c>
      <c r="B338" s="20" t="s">
        <v>19</v>
      </c>
      <c r="C338" s="21">
        <v>45508</v>
      </c>
      <c r="D338" s="21">
        <v>45520</v>
      </c>
      <c r="E338" s="21">
        <v>45523</v>
      </c>
      <c r="F338" s="20" t="s">
        <v>64</v>
      </c>
      <c r="G338" s="22">
        <v>65.8</v>
      </c>
      <c r="H338" s="22">
        <v>12.92</v>
      </c>
      <c r="I338" s="20" t="s">
        <v>45</v>
      </c>
      <c r="J338" s="20">
        <v>5</v>
      </c>
      <c r="K338" s="20" t="s">
        <v>46</v>
      </c>
      <c r="L338" s="23">
        <f t="shared" si="46"/>
        <v>45505</v>
      </c>
      <c r="M338" s="20">
        <f t="shared" si="47"/>
        <v>12</v>
      </c>
      <c r="N338" s="20">
        <f t="shared" si="48"/>
        <v>0</v>
      </c>
      <c r="O338" s="20">
        <f t="shared" si="49"/>
        <v>1</v>
      </c>
      <c r="P338" s="22">
        <f t="shared" si="50"/>
        <v>78.72</v>
      </c>
      <c r="Q338" s="22">
        <f>G338*INDEX(Assumptions!$B$8:$B$16,MATCH(F338,Assumptions!$A$8:$A$16,0))</f>
        <v>43.427999999999997</v>
      </c>
      <c r="R338" s="22">
        <f>H338*Assumptions!$B$3</f>
        <v>7.7519999999999998</v>
      </c>
      <c r="S338" s="22">
        <f t="shared" si="51"/>
        <v>14.620000000000001</v>
      </c>
      <c r="T338" s="20" t="str">
        <f t="shared" si="52"/>
        <v>8-14 days</v>
      </c>
    </row>
    <row r="339" spans="1:20" x14ac:dyDescent="0.3">
      <c r="A339" s="20" t="s">
        <v>405</v>
      </c>
      <c r="B339" s="20" t="s">
        <v>55</v>
      </c>
      <c r="C339" s="21">
        <v>45508</v>
      </c>
      <c r="D339" s="21">
        <v>45524</v>
      </c>
      <c r="E339" s="21">
        <v>45531</v>
      </c>
      <c r="F339" s="20" t="s">
        <v>49</v>
      </c>
      <c r="G339" s="22">
        <v>127.98</v>
      </c>
      <c r="H339" s="22">
        <v>23.99</v>
      </c>
      <c r="I339" s="20" t="s">
        <v>45</v>
      </c>
      <c r="J339" s="20">
        <v>5</v>
      </c>
      <c r="K339" s="20" t="s">
        <v>46</v>
      </c>
      <c r="L339" s="23">
        <f t="shared" si="46"/>
        <v>45505</v>
      </c>
      <c r="M339" s="20">
        <f t="shared" si="47"/>
        <v>16</v>
      </c>
      <c r="N339" s="20">
        <f t="shared" si="48"/>
        <v>0</v>
      </c>
      <c r="O339" s="20">
        <f t="shared" si="49"/>
        <v>1</v>
      </c>
      <c r="P339" s="22">
        <f t="shared" si="50"/>
        <v>151.97</v>
      </c>
      <c r="Q339" s="22">
        <f>G339*INDEX(Assumptions!$B$8:$B$16,MATCH(F339,Assumptions!$A$8:$A$16,0))</f>
        <v>74.228399999999993</v>
      </c>
      <c r="R339" s="22">
        <f>H339*Assumptions!$B$3</f>
        <v>14.393999999999998</v>
      </c>
      <c r="S339" s="22">
        <f t="shared" si="51"/>
        <v>39.357600000000012</v>
      </c>
      <c r="T339" s="20" t="str">
        <f t="shared" si="52"/>
        <v>15-21 days</v>
      </c>
    </row>
    <row r="340" spans="1:20" x14ac:dyDescent="0.3">
      <c r="A340" s="20" t="s">
        <v>406</v>
      </c>
      <c r="B340" s="20" t="s">
        <v>48</v>
      </c>
      <c r="C340" s="21">
        <v>45509</v>
      </c>
      <c r="D340" s="21">
        <v>45518</v>
      </c>
      <c r="E340" s="21">
        <v>45530</v>
      </c>
      <c r="F340" s="20" t="s">
        <v>53</v>
      </c>
      <c r="G340" s="22">
        <v>198.13</v>
      </c>
      <c r="H340" s="22">
        <v>27.23</v>
      </c>
      <c r="I340" s="20" t="s">
        <v>45</v>
      </c>
      <c r="J340" s="20">
        <v>4</v>
      </c>
      <c r="K340" s="20" t="s">
        <v>46</v>
      </c>
      <c r="L340" s="23">
        <f t="shared" si="46"/>
        <v>45505</v>
      </c>
      <c r="M340" s="20">
        <f t="shared" si="47"/>
        <v>9</v>
      </c>
      <c r="N340" s="20">
        <f t="shared" si="48"/>
        <v>0</v>
      </c>
      <c r="O340" s="20">
        <f t="shared" si="49"/>
        <v>1</v>
      </c>
      <c r="P340" s="22">
        <f t="shared" si="50"/>
        <v>225.35999999999999</v>
      </c>
      <c r="Q340" s="22">
        <f>G340*INDEX(Assumptions!$B$8:$B$16,MATCH(F340,Assumptions!$A$8:$A$16,0))</f>
        <v>146.61619999999999</v>
      </c>
      <c r="R340" s="22">
        <f>H340*Assumptions!$B$3</f>
        <v>16.338000000000001</v>
      </c>
      <c r="S340" s="22">
        <f t="shared" si="51"/>
        <v>35.175800000000002</v>
      </c>
      <c r="T340" s="20" t="str">
        <f t="shared" si="52"/>
        <v>8-14 days</v>
      </c>
    </row>
    <row r="341" spans="1:20" x14ac:dyDescent="0.3">
      <c r="A341" s="20" t="s">
        <v>407</v>
      </c>
      <c r="B341" s="20" t="s">
        <v>52</v>
      </c>
      <c r="C341" s="21">
        <v>45509</v>
      </c>
      <c r="D341" s="21">
        <v>45527</v>
      </c>
      <c r="E341" s="21">
        <v>45535</v>
      </c>
      <c r="F341" s="20" t="s">
        <v>79</v>
      </c>
      <c r="G341" s="22">
        <v>112.83</v>
      </c>
      <c r="H341" s="22">
        <v>32.67</v>
      </c>
      <c r="I341" s="20" t="s">
        <v>45</v>
      </c>
      <c r="J341" s="20">
        <v>4</v>
      </c>
      <c r="K341" s="20" t="s">
        <v>46</v>
      </c>
      <c r="L341" s="23">
        <f t="shared" si="46"/>
        <v>45505</v>
      </c>
      <c r="M341" s="20">
        <f t="shared" si="47"/>
        <v>18</v>
      </c>
      <c r="N341" s="20">
        <f t="shared" si="48"/>
        <v>0</v>
      </c>
      <c r="O341" s="20">
        <f t="shared" si="49"/>
        <v>1</v>
      </c>
      <c r="P341" s="22">
        <f t="shared" si="50"/>
        <v>145.5</v>
      </c>
      <c r="Q341" s="22">
        <f>G341*INDEX(Assumptions!$B$8:$B$16,MATCH(F341,Assumptions!$A$8:$A$16,0))</f>
        <v>78.980999999999995</v>
      </c>
      <c r="R341" s="22">
        <f>H341*Assumptions!$B$3</f>
        <v>19.602</v>
      </c>
      <c r="S341" s="22">
        <f t="shared" si="51"/>
        <v>14.247000000000003</v>
      </c>
      <c r="T341" s="20" t="str">
        <f t="shared" si="52"/>
        <v>15-21 days</v>
      </c>
    </row>
    <row r="342" spans="1:20" x14ac:dyDescent="0.3">
      <c r="A342" s="20" t="s">
        <v>408</v>
      </c>
      <c r="B342" s="20" t="s">
        <v>55</v>
      </c>
      <c r="C342" s="21">
        <v>45509</v>
      </c>
      <c r="D342" s="21">
        <v>45531</v>
      </c>
      <c r="E342" s="21">
        <v>45535</v>
      </c>
      <c r="F342" s="20" t="s">
        <v>53</v>
      </c>
      <c r="G342" s="22">
        <v>36.619999999999997</v>
      </c>
      <c r="H342" s="22">
        <v>21.93</v>
      </c>
      <c r="I342" s="20" t="s">
        <v>45</v>
      </c>
      <c r="J342" s="20">
        <v>5</v>
      </c>
      <c r="K342" s="20" t="s">
        <v>46</v>
      </c>
      <c r="L342" s="23">
        <f t="shared" si="46"/>
        <v>45505</v>
      </c>
      <c r="M342" s="20">
        <f t="shared" si="47"/>
        <v>22</v>
      </c>
      <c r="N342" s="20">
        <f t="shared" si="48"/>
        <v>0</v>
      </c>
      <c r="O342" s="20">
        <f t="shared" si="49"/>
        <v>1</v>
      </c>
      <c r="P342" s="22">
        <f t="shared" si="50"/>
        <v>58.55</v>
      </c>
      <c r="Q342" s="22">
        <f>G342*INDEX(Assumptions!$B$8:$B$16,MATCH(F342,Assumptions!$A$8:$A$16,0))</f>
        <v>27.098799999999997</v>
      </c>
      <c r="R342" s="22">
        <f>H342*Assumptions!$B$3</f>
        <v>13.157999999999999</v>
      </c>
      <c r="S342" s="22">
        <f t="shared" si="51"/>
        <v>-3.6367999999999991</v>
      </c>
      <c r="T342" s="20" t="str">
        <f t="shared" si="52"/>
        <v>22+ days</v>
      </c>
    </row>
    <row r="343" spans="1:20" x14ac:dyDescent="0.3">
      <c r="A343" s="20" t="s">
        <v>409</v>
      </c>
      <c r="B343" s="20" t="s">
        <v>62</v>
      </c>
      <c r="C343" s="21">
        <v>45510</v>
      </c>
      <c r="D343" s="21">
        <v>45530</v>
      </c>
      <c r="E343" s="21">
        <v>45529</v>
      </c>
      <c r="F343" s="20" t="s">
        <v>59</v>
      </c>
      <c r="G343" s="22">
        <v>108.01</v>
      </c>
      <c r="H343" s="22">
        <v>21.46</v>
      </c>
      <c r="I343" s="20" t="s">
        <v>45</v>
      </c>
      <c r="J343" s="20">
        <v>4</v>
      </c>
      <c r="K343" s="20" t="s">
        <v>46</v>
      </c>
      <c r="L343" s="23">
        <f t="shared" si="46"/>
        <v>45505</v>
      </c>
      <c r="M343" s="20">
        <f t="shared" si="47"/>
        <v>20</v>
      </c>
      <c r="N343" s="20">
        <f t="shared" si="48"/>
        <v>1</v>
      </c>
      <c r="O343" s="20">
        <f t="shared" si="49"/>
        <v>0</v>
      </c>
      <c r="P343" s="22">
        <f t="shared" si="50"/>
        <v>129.47</v>
      </c>
      <c r="Q343" s="22">
        <f>G343*INDEX(Assumptions!$B$8:$B$16,MATCH(F343,Assumptions!$A$8:$A$16,0))</f>
        <v>69.126400000000004</v>
      </c>
      <c r="R343" s="22">
        <f>H343*Assumptions!$B$3</f>
        <v>12.875999999999999</v>
      </c>
      <c r="S343" s="22">
        <f t="shared" si="51"/>
        <v>26.007600000000004</v>
      </c>
      <c r="T343" s="20" t="str">
        <f t="shared" si="52"/>
        <v>15-21 days</v>
      </c>
    </row>
    <row r="344" spans="1:20" x14ac:dyDescent="0.3">
      <c r="A344" s="20" t="s">
        <v>410</v>
      </c>
      <c r="B344" s="20" t="s">
        <v>19</v>
      </c>
      <c r="C344" s="21">
        <v>45510</v>
      </c>
      <c r="D344" s="21">
        <v>45517</v>
      </c>
      <c r="E344" s="21">
        <v>45524</v>
      </c>
      <c r="F344" s="20" t="s">
        <v>67</v>
      </c>
      <c r="G344" s="22">
        <v>57.56</v>
      </c>
      <c r="H344" s="22">
        <v>17.16</v>
      </c>
      <c r="I344" s="20" t="s">
        <v>60</v>
      </c>
      <c r="J344" s="20">
        <v>5</v>
      </c>
      <c r="K344" s="20" t="s">
        <v>46</v>
      </c>
      <c r="L344" s="23">
        <f t="shared" si="46"/>
        <v>45505</v>
      </c>
      <c r="M344" s="20">
        <f t="shared" si="47"/>
        <v>7</v>
      </c>
      <c r="N344" s="20">
        <f t="shared" si="48"/>
        <v>0</v>
      </c>
      <c r="O344" s="20">
        <f t="shared" si="49"/>
        <v>1</v>
      </c>
      <c r="P344" s="22">
        <f t="shared" si="50"/>
        <v>74.72</v>
      </c>
      <c r="Q344" s="22">
        <f>G344*INDEX(Assumptions!$B$8:$B$16,MATCH(F344,Assumptions!$A$8:$A$16,0))</f>
        <v>35.687200000000004</v>
      </c>
      <c r="R344" s="22">
        <f>H344*Assumptions!$B$3</f>
        <v>10.295999999999999</v>
      </c>
      <c r="S344" s="22">
        <f t="shared" si="51"/>
        <v>11.576799999999999</v>
      </c>
      <c r="T344" s="20" t="str">
        <f t="shared" si="52"/>
        <v>0-7 days</v>
      </c>
    </row>
    <row r="345" spans="1:20" x14ac:dyDescent="0.3">
      <c r="A345" s="20" t="s">
        <v>411</v>
      </c>
      <c r="B345" s="20" t="s">
        <v>19</v>
      </c>
      <c r="C345" s="21">
        <v>45510</v>
      </c>
      <c r="D345" s="21">
        <v>45518</v>
      </c>
      <c r="E345" s="21">
        <v>45525</v>
      </c>
      <c r="F345" s="20" t="s">
        <v>49</v>
      </c>
      <c r="G345" s="22">
        <v>189.15</v>
      </c>
      <c r="H345" s="22">
        <v>19.97</v>
      </c>
      <c r="I345" s="20" t="s">
        <v>45</v>
      </c>
      <c r="J345" s="20">
        <v>5</v>
      </c>
      <c r="K345" s="20" t="s">
        <v>46</v>
      </c>
      <c r="L345" s="23">
        <f t="shared" si="46"/>
        <v>45505</v>
      </c>
      <c r="M345" s="20">
        <f t="shared" si="47"/>
        <v>8</v>
      </c>
      <c r="N345" s="20">
        <f t="shared" si="48"/>
        <v>0</v>
      </c>
      <c r="O345" s="20">
        <f t="shared" si="49"/>
        <v>1</v>
      </c>
      <c r="P345" s="22">
        <f t="shared" si="50"/>
        <v>209.12</v>
      </c>
      <c r="Q345" s="22">
        <f>G345*INDEX(Assumptions!$B$8:$B$16,MATCH(F345,Assumptions!$A$8:$A$16,0))</f>
        <v>109.70699999999999</v>
      </c>
      <c r="R345" s="22">
        <f>H345*Assumptions!$B$3</f>
        <v>11.981999999999999</v>
      </c>
      <c r="S345" s="22">
        <f t="shared" si="51"/>
        <v>67.461000000000013</v>
      </c>
      <c r="T345" s="20" t="str">
        <f t="shared" si="52"/>
        <v>8-14 days</v>
      </c>
    </row>
    <row r="346" spans="1:20" x14ac:dyDescent="0.3">
      <c r="A346" s="20" t="s">
        <v>412</v>
      </c>
      <c r="B346" s="20" t="s">
        <v>134</v>
      </c>
      <c r="C346" s="21">
        <v>45511</v>
      </c>
      <c r="D346" s="21">
        <v>45536</v>
      </c>
      <c r="E346" s="21">
        <v>45535</v>
      </c>
      <c r="F346" s="20" t="s">
        <v>111</v>
      </c>
      <c r="G346" s="22">
        <v>95.32</v>
      </c>
      <c r="H346" s="22">
        <v>30.23</v>
      </c>
      <c r="I346" s="20" t="s">
        <v>45</v>
      </c>
      <c r="J346" s="20">
        <v>2</v>
      </c>
      <c r="K346" s="20" t="s">
        <v>46</v>
      </c>
      <c r="L346" s="23">
        <f t="shared" si="46"/>
        <v>45505</v>
      </c>
      <c r="M346" s="20">
        <f t="shared" si="47"/>
        <v>25</v>
      </c>
      <c r="N346" s="20">
        <f t="shared" si="48"/>
        <v>1</v>
      </c>
      <c r="O346" s="20">
        <f t="shared" si="49"/>
        <v>0</v>
      </c>
      <c r="P346" s="22">
        <f t="shared" si="50"/>
        <v>125.55</v>
      </c>
      <c r="Q346" s="22">
        <f>G346*INDEX(Assumptions!$B$8:$B$16,MATCH(F346,Assumptions!$A$8:$A$16,0))</f>
        <v>60.051599999999993</v>
      </c>
      <c r="R346" s="22">
        <f>H346*Assumptions!$B$3</f>
        <v>18.137999999999998</v>
      </c>
      <c r="S346" s="22">
        <f t="shared" si="51"/>
        <v>17.130400000000002</v>
      </c>
      <c r="T346" s="20" t="str">
        <f t="shared" si="52"/>
        <v>22+ days</v>
      </c>
    </row>
    <row r="347" spans="1:20" x14ac:dyDescent="0.3">
      <c r="A347" s="20" t="s">
        <v>413</v>
      </c>
      <c r="B347" s="20" t="s">
        <v>55</v>
      </c>
      <c r="C347" s="21">
        <v>45512</v>
      </c>
      <c r="D347" s="21">
        <v>45532</v>
      </c>
      <c r="E347" s="21">
        <v>45537</v>
      </c>
      <c r="F347" s="20" t="s">
        <v>64</v>
      </c>
      <c r="G347" s="22">
        <v>130.94999999999999</v>
      </c>
      <c r="H347" s="22">
        <v>18.690000000000001</v>
      </c>
      <c r="I347" s="20" t="s">
        <v>45</v>
      </c>
      <c r="J347" s="20">
        <v>3</v>
      </c>
      <c r="K347" s="20" t="s">
        <v>46</v>
      </c>
      <c r="L347" s="23">
        <f t="shared" si="46"/>
        <v>45505</v>
      </c>
      <c r="M347" s="20">
        <f t="shared" si="47"/>
        <v>20</v>
      </c>
      <c r="N347" s="20">
        <f t="shared" si="48"/>
        <v>0</v>
      </c>
      <c r="O347" s="20">
        <f t="shared" si="49"/>
        <v>1</v>
      </c>
      <c r="P347" s="22">
        <f t="shared" si="50"/>
        <v>149.63999999999999</v>
      </c>
      <c r="Q347" s="22">
        <f>G347*INDEX(Assumptions!$B$8:$B$16,MATCH(F347,Assumptions!$A$8:$A$16,0))</f>
        <v>86.426999999999992</v>
      </c>
      <c r="R347" s="22">
        <f>H347*Assumptions!$B$3</f>
        <v>11.214</v>
      </c>
      <c r="S347" s="22">
        <f t="shared" si="51"/>
        <v>33.308999999999997</v>
      </c>
      <c r="T347" s="20" t="str">
        <f t="shared" si="52"/>
        <v>15-21 days</v>
      </c>
    </row>
    <row r="348" spans="1:20" x14ac:dyDescent="0.3">
      <c r="A348" s="20" t="s">
        <v>414</v>
      </c>
      <c r="B348" s="20" t="s">
        <v>19</v>
      </c>
      <c r="C348" s="21">
        <v>45512</v>
      </c>
      <c r="D348" s="21">
        <v>45516</v>
      </c>
      <c r="E348" s="21">
        <v>45523</v>
      </c>
      <c r="F348" s="20" t="s">
        <v>44</v>
      </c>
      <c r="G348" s="22">
        <v>27.79</v>
      </c>
      <c r="H348" s="22">
        <v>18.2</v>
      </c>
      <c r="I348" s="20" t="s">
        <v>60</v>
      </c>
      <c r="J348" s="20">
        <v>5</v>
      </c>
      <c r="K348" s="20" t="s">
        <v>46</v>
      </c>
      <c r="L348" s="23">
        <f t="shared" si="46"/>
        <v>45505</v>
      </c>
      <c r="M348" s="20">
        <f t="shared" si="47"/>
        <v>4</v>
      </c>
      <c r="N348" s="20">
        <f t="shared" si="48"/>
        <v>0</v>
      </c>
      <c r="O348" s="20">
        <f t="shared" si="49"/>
        <v>1</v>
      </c>
      <c r="P348" s="22">
        <f t="shared" si="50"/>
        <v>45.989999999999995</v>
      </c>
      <c r="Q348" s="22">
        <f>G348*INDEX(Assumptions!$B$8:$B$16,MATCH(F348,Assumptions!$A$8:$A$16,0))</f>
        <v>16.673999999999999</v>
      </c>
      <c r="R348" s="22">
        <f>H348*Assumptions!$B$3</f>
        <v>10.92</v>
      </c>
      <c r="S348" s="22">
        <f t="shared" si="51"/>
        <v>0.19599999999999973</v>
      </c>
      <c r="T348" s="20" t="str">
        <f t="shared" si="52"/>
        <v>0-7 days</v>
      </c>
    </row>
    <row r="349" spans="1:20" x14ac:dyDescent="0.3">
      <c r="A349" s="20" t="s">
        <v>415</v>
      </c>
      <c r="B349" s="20" t="s">
        <v>19</v>
      </c>
      <c r="C349" s="21">
        <v>45513</v>
      </c>
      <c r="D349" s="21">
        <v>45520</v>
      </c>
      <c r="E349" s="21">
        <v>45530</v>
      </c>
      <c r="F349" s="20" t="s">
        <v>49</v>
      </c>
      <c r="G349" s="22">
        <v>108.9</v>
      </c>
      <c r="H349" s="22">
        <v>14.73</v>
      </c>
      <c r="I349" s="20" t="s">
        <v>50</v>
      </c>
      <c r="J349" s="20">
        <v>5</v>
      </c>
      <c r="K349" s="20" t="s">
        <v>46</v>
      </c>
      <c r="L349" s="23">
        <f t="shared" si="46"/>
        <v>45505</v>
      </c>
      <c r="M349" s="20">
        <f t="shared" si="47"/>
        <v>7</v>
      </c>
      <c r="N349" s="20">
        <f t="shared" si="48"/>
        <v>0</v>
      </c>
      <c r="O349" s="20">
        <f t="shared" si="49"/>
        <v>1</v>
      </c>
      <c r="P349" s="22">
        <f t="shared" si="50"/>
        <v>123.63000000000001</v>
      </c>
      <c r="Q349" s="22">
        <f>G349*INDEX(Assumptions!$B$8:$B$16,MATCH(F349,Assumptions!$A$8:$A$16,0))</f>
        <v>63.161999999999999</v>
      </c>
      <c r="R349" s="22">
        <f>H349*Assumptions!$B$3</f>
        <v>8.8379999999999992</v>
      </c>
      <c r="S349" s="22">
        <f t="shared" si="51"/>
        <v>36.900000000000006</v>
      </c>
      <c r="T349" s="20" t="str">
        <f t="shared" si="52"/>
        <v>0-7 days</v>
      </c>
    </row>
    <row r="350" spans="1:20" x14ac:dyDescent="0.3">
      <c r="A350" s="20" t="s">
        <v>416</v>
      </c>
      <c r="B350" s="20" t="s">
        <v>48</v>
      </c>
      <c r="C350" s="21">
        <v>45513</v>
      </c>
      <c r="D350" s="21">
        <v>45522</v>
      </c>
      <c r="E350" s="21">
        <v>45533</v>
      </c>
      <c r="F350" s="20" t="s">
        <v>67</v>
      </c>
      <c r="G350" s="22">
        <v>94.32</v>
      </c>
      <c r="H350" s="22">
        <v>23.38</v>
      </c>
      <c r="I350" s="20" t="s">
        <v>45</v>
      </c>
      <c r="J350" s="20">
        <v>5</v>
      </c>
      <c r="K350" s="20" t="s">
        <v>46</v>
      </c>
      <c r="L350" s="23">
        <f t="shared" si="46"/>
        <v>45505</v>
      </c>
      <c r="M350" s="20">
        <f t="shared" si="47"/>
        <v>9</v>
      </c>
      <c r="N350" s="20">
        <f t="shared" si="48"/>
        <v>0</v>
      </c>
      <c r="O350" s="20">
        <f t="shared" si="49"/>
        <v>1</v>
      </c>
      <c r="P350" s="22">
        <f t="shared" si="50"/>
        <v>117.69999999999999</v>
      </c>
      <c r="Q350" s="22">
        <f>G350*INDEX(Assumptions!$B$8:$B$16,MATCH(F350,Assumptions!$A$8:$A$16,0))</f>
        <v>58.478399999999993</v>
      </c>
      <c r="R350" s="22">
        <f>H350*Assumptions!$B$3</f>
        <v>14.027999999999999</v>
      </c>
      <c r="S350" s="22">
        <f t="shared" si="51"/>
        <v>21.813600000000001</v>
      </c>
      <c r="T350" s="20" t="str">
        <f t="shared" si="52"/>
        <v>8-14 days</v>
      </c>
    </row>
    <row r="351" spans="1:20" x14ac:dyDescent="0.3">
      <c r="A351" s="20" t="s">
        <v>417</v>
      </c>
      <c r="B351" s="20" t="s">
        <v>19</v>
      </c>
      <c r="C351" s="21">
        <v>45513</v>
      </c>
      <c r="D351" s="21">
        <v>45521</v>
      </c>
      <c r="E351" s="21">
        <v>45528</v>
      </c>
      <c r="F351" s="20" t="s">
        <v>67</v>
      </c>
      <c r="G351" s="22">
        <v>154.49</v>
      </c>
      <c r="H351" s="22">
        <v>16.52</v>
      </c>
      <c r="I351" s="20" t="s">
        <v>45</v>
      </c>
      <c r="J351" s="20">
        <v>5</v>
      </c>
      <c r="K351" s="20" t="s">
        <v>46</v>
      </c>
      <c r="L351" s="23">
        <f t="shared" si="46"/>
        <v>45505</v>
      </c>
      <c r="M351" s="20">
        <f t="shared" si="47"/>
        <v>8</v>
      </c>
      <c r="N351" s="20">
        <f t="shared" si="48"/>
        <v>0</v>
      </c>
      <c r="O351" s="20">
        <f t="shared" si="49"/>
        <v>1</v>
      </c>
      <c r="P351" s="22">
        <f t="shared" si="50"/>
        <v>171.01000000000002</v>
      </c>
      <c r="Q351" s="22">
        <f>G351*INDEX(Assumptions!$B$8:$B$16,MATCH(F351,Assumptions!$A$8:$A$16,0))</f>
        <v>95.783799999999999</v>
      </c>
      <c r="R351" s="22">
        <f>H351*Assumptions!$B$3</f>
        <v>9.911999999999999</v>
      </c>
      <c r="S351" s="22">
        <f t="shared" si="51"/>
        <v>48.794200000000011</v>
      </c>
      <c r="T351" s="20" t="str">
        <f t="shared" si="52"/>
        <v>8-14 days</v>
      </c>
    </row>
    <row r="352" spans="1:20" x14ac:dyDescent="0.3">
      <c r="A352" s="20" t="s">
        <v>418</v>
      </c>
      <c r="B352" s="20" t="s">
        <v>19</v>
      </c>
      <c r="C352" s="21">
        <v>45513</v>
      </c>
      <c r="D352" s="21">
        <v>45520</v>
      </c>
      <c r="E352" s="21">
        <v>45527</v>
      </c>
      <c r="F352" s="20" t="s">
        <v>49</v>
      </c>
      <c r="G352" s="22">
        <v>29.42</v>
      </c>
      <c r="H352" s="22">
        <v>19.41</v>
      </c>
      <c r="I352" s="20" t="s">
        <v>50</v>
      </c>
      <c r="J352" s="20">
        <v>5</v>
      </c>
      <c r="K352" s="20" t="s">
        <v>46</v>
      </c>
      <c r="L352" s="23">
        <f t="shared" si="46"/>
        <v>45505</v>
      </c>
      <c r="M352" s="20">
        <f t="shared" si="47"/>
        <v>7</v>
      </c>
      <c r="N352" s="20">
        <f t="shared" si="48"/>
        <v>0</v>
      </c>
      <c r="O352" s="20">
        <f t="shared" si="49"/>
        <v>1</v>
      </c>
      <c r="P352" s="22">
        <f t="shared" si="50"/>
        <v>48.83</v>
      </c>
      <c r="Q352" s="22">
        <f>G352*INDEX(Assumptions!$B$8:$B$16,MATCH(F352,Assumptions!$A$8:$A$16,0))</f>
        <v>17.063600000000001</v>
      </c>
      <c r="R352" s="22">
        <f>H352*Assumptions!$B$3</f>
        <v>11.645999999999999</v>
      </c>
      <c r="S352" s="22">
        <f t="shared" si="51"/>
        <v>0.7104000000000017</v>
      </c>
      <c r="T352" s="20" t="str">
        <f t="shared" si="52"/>
        <v>0-7 days</v>
      </c>
    </row>
    <row r="353" spans="1:20" x14ac:dyDescent="0.3">
      <c r="A353" s="20" t="s">
        <v>419</v>
      </c>
      <c r="B353" s="20" t="s">
        <v>19</v>
      </c>
      <c r="C353" s="21">
        <v>45513</v>
      </c>
      <c r="D353" s="21">
        <v>45518</v>
      </c>
      <c r="E353" s="21">
        <v>45526</v>
      </c>
      <c r="F353" s="20" t="s">
        <v>49</v>
      </c>
      <c r="G353" s="22">
        <v>105.49</v>
      </c>
      <c r="H353" s="22">
        <v>12.84</v>
      </c>
      <c r="I353" s="20" t="s">
        <v>45</v>
      </c>
      <c r="J353" s="20">
        <v>5</v>
      </c>
      <c r="K353" s="20" t="s">
        <v>46</v>
      </c>
      <c r="L353" s="23">
        <f t="shared" si="46"/>
        <v>45505</v>
      </c>
      <c r="M353" s="20">
        <f t="shared" si="47"/>
        <v>5</v>
      </c>
      <c r="N353" s="20">
        <f t="shared" si="48"/>
        <v>0</v>
      </c>
      <c r="O353" s="20">
        <f t="shared" si="49"/>
        <v>1</v>
      </c>
      <c r="P353" s="22">
        <f t="shared" si="50"/>
        <v>118.33</v>
      </c>
      <c r="Q353" s="22">
        <f>G353*INDEX(Assumptions!$B$8:$B$16,MATCH(F353,Assumptions!$A$8:$A$16,0))</f>
        <v>61.18419999999999</v>
      </c>
      <c r="R353" s="22">
        <f>H353*Assumptions!$B$3</f>
        <v>7.7039999999999997</v>
      </c>
      <c r="S353" s="22">
        <f t="shared" si="51"/>
        <v>36.601800000000004</v>
      </c>
      <c r="T353" s="20" t="str">
        <f t="shared" si="52"/>
        <v>0-7 days</v>
      </c>
    </row>
    <row r="354" spans="1:20" x14ac:dyDescent="0.3">
      <c r="A354" s="20" t="s">
        <v>420</v>
      </c>
      <c r="B354" s="20" t="s">
        <v>62</v>
      </c>
      <c r="C354" s="21">
        <v>45513</v>
      </c>
      <c r="D354" s="21">
        <v>45525</v>
      </c>
      <c r="E354" s="21">
        <v>45537</v>
      </c>
      <c r="F354" s="20" t="s">
        <v>111</v>
      </c>
      <c r="G354" s="22">
        <v>30.75</v>
      </c>
      <c r="H354" s="22">
        <v>24.64</v>
      </c>
      <c r="I354" s="20" t="s">
        <v>45</v>
      </c>
      <c r="J354" s="20">
        <v>4</v>
      </c>
      <c r="K354" s="20" t="s">
        <v>46</v>
      </c>
      <c r="L354" s="23">
        <f t="shared" si="46"/>
        <v>45505</v>
      </c>
      <c r="M354" s="20">
        <f t="shared" si="47"/>
        <v>12</v>
      </c>
      <c r="N354" s="20">
        <f t="shared" si="48"/>
        <v>0</v>
      </c>
      <c r="O354" s="20">
        <f t="shared" si="49"/>
        <v>1</v>
      </c>
      <c r="P354" s="22">
        <f t="shared" si="50"/>
        <v>55.39</v>
      </c>
      <c r="Q354" s="22">
        <f>G354*INDEX(Assumptions!$B$8:$B$16,MATCH(F354,Assumptions!$A$8:$A$16,0))</f>
        <v>19.372499999999999</v>
      </c>
      <c r="R354" s="22">
        <f>H354*Assumptions!$B$3</f>
        <v>14.783999999999999</v>
      </c>
      <c r="S354" s="22">
        <f t="shared" si="51"/>
        <v>-3.4064999999999976</v>
      </c>
      <c r="T354" s="20" t="str">
        <f t="shared" si="52"/>
        <v>8-14 days</v>
      </c>
    </row>
    <row r="355" spans="1:20" x14ac:dyDescent="0.3">
      <c r="A355" s="20" t="s">
        <v>421</v>
      </c>
      <c r="B355" s="20" t="s">
        <v>55</v>
      </c>
      <c r="C355" s="21">
        <v>45514</v>
      </c>
      <c r="D355" s="21">
        <v>45525</v>
      </c>
      <c r="E355" s="21">
        <v>45538</v>
      </c>
      <c r="F355" s="20" t="s">
        <v>49</v>
      </c>
      <c r="G355" s="22">
        <v>105.89</v>
      </c>
      <c r="H355" s="22">
        <v>23.77</v>
      </c>
      <c r="I355" s="20" t="s">
        <v>45</v>
      </c>
      <c r="J355" s="20">
        <v>5</v>
      </c>
      <c r="K355" s="20" t="s">
        <v>46</v>
      </c>
      <c r="L355" s="23">
        <f t="shared" si="46"/>
        <v>45505</v>
      </c>
      <c r="M355" s="20">
        <f t="shared" si="47"/>
        <v>11</v>
      </c>
      <c r="N355" s="20">
        <f t="shared" si="48"/>
        <v>0</v>
      </c>
      <c r="O355" s="20">
        <f t="shared" si="49"/>
        <v>1</v>
      </c>
      <c r="P355" s="22">
        <f t="shared" si="50"/>
        <v>129.66</v>
      </c>
      <c r="Q355" s="22">
        <f>G355*INDEX(Assumptions!$B$8:$B$16,MATCH(F355,Assumptions!$A$8:$A$16,0))</f>
        <v>61.416199999999996</v>
      </c>
      <c r="R355" s="22">
        <f>H355*Assumptions!$B$3</f>
        <v>14.261999999999999</v>
      </c>
      <c r="S355" s="22">
        <f t="shared" si="51"/>
        <v>30.211800000000004</v>
      </c>
      <c r="T355" s="20" t="str">
        <f t="shared" si="52"/>
        <v>8-14 days</v>
      </c>
    </row>
    <row r="356" spans="1:20" x14ac:dyDescent="0.3">
      <c r="A356" s="20" t="s">
        <v>422</v>
      </c>
      <c r="B356" s="20" t="s">
        <v>62</v>
      </c>
      <c r="C356" s="21">
        <v>45514</v>
      </c>
      <c r="D356" s="21">
        <v>45522</v>
      </c>
      <c r="E356" s="21">
        <v>45533</v>
      </c>
      <c r="F356" s="20" t="s">
        <v>79</v>
      </c>
      <c r="G356" s="22">
        <v>123.55</v>
      </c>
      <c r="H356" s="22">
        <v>29.08</v>
      </c>
      <c r="I356" s="20" t="s">
        <v>50</v>
      </c>
      <c r="J356" s="20">
        <v>5</v>
      </c>
      <c r="K356" s="20" t="s">
        <v>46</v>
      </c>
      <c r="L356" s="23">
        <f t="shared" si="46"/>
        <v>45505</v>
      </c>
      <c r="M356" s="20">
        <f t="shared" si="47"/>
        <v>8</v>
      </c>
      <c r="N356" s="20">
        <f t="shared" si="48"/>
        <v>0</v>
      </c>
      <c r="O356" s="20">
        <f t="shared" si="49"/>
        <v>1</v>
      </c>
      <c r="P356" s="22">
        <f t="shared" si="50"/>
        <v>152.63</v>
      </c>
      <c r="Q356" s="22">
        <f>G356*INDEX(Assumptions!$B$8:$B$16,MATCH(F356,Assumptions!$A$8:$A$16,0))</f>
        <v>86.484999999999999</v>
      </c>
      <c r="R356" s="22">
        <f>H356*Assumptions!$B$3</f>
        <v>17.447999999999997</v>
      </c>
      <c r="S356" s="22">
        <f t="shared" si="51"/>
        <v>19.617000000000001</v>
      </c>
      <c r="T356" s="20" t="str">
        <f t="shared" si="52"/>
        <v>8-14 days</v>
      </c>
    </row>
    <row r="357" spans="1:20" x14ac:dyDescent="0.3">
      <c r="A357" s="20" t="s">
        <v>423</v>
      </c>
      <c r="B357" s="20" t="s">
        <v>77</v>
      </c>
      <c r="C357" s="21">
        <v>45515</v>
      </c>
      <c r="D357" s="21">
        <v>45527</v>
      </c>
      <c r="E357" s="21">
        <v>45539</v>
      </c>
      <c r="F357" s="20" t="s">
        <v>111</v>
      </c>
      <c r="G357" s="22">
        <v>150.29</v>
      </c>
      <c r="H357" s="22">
        <v>23.93</v>
      </c>
      <c r="I357" s="20" t="s">
        <v>45</v>
      </c>
      <c r="J357" s="20">
        <v>4</v>
      </c>
      <c r="K357" s="20" t="s">
        <v>46</v>
      </c>
      <c r="L357" s="23">
        <f t="shared" si="46"/>
        <v>45505</v>
      </c>
      <c r="M357" s="20">
        <f t="shared" si="47"/>
        <v>12</v>
      </c>
      <c r="N357" s="20">
        <f t="shared" si="48"/>
        <v>0</v>
      </c>
      <c r="O357" s="20">
        <f t="shared" si="49"/>
        <v>1</v>
      </c>
      <c r="P357" s="22">
        <f t="shared" si="50"/>
        <v>174.22</v>
      </c>
      <c r="Q357" s="22">
        <f>G357*INDEX(Assumptions!$B$8:$B$16,MATCH(F357,Assumptions!$A$8:$A$16,0))</f>
        <v>94.682699999999997</v>
      </c>
      <c r="R357" s="22">
        <f>H357*Assumptions!$B$3</f>
        <v>14.357999999999999</v>
      </c>
      <c r="S357" s="22">
        <f t="shared" si="51"/>
        <v>41.249299999999998</v>
      </c>
      <c r="T357" s="20" t="str">
        <f t="shared" si="52"/>
        <v>8-14 days</v>
      </c>
    </row>
    <row r="358" spans="1:20" x14ac:dyDescent="0.3">
      <c r="A358" s="20" t="s">
        <v>424</v>
      </c>
      <c r="B358" s="20" t="s">
        <v>62</v>
      </c>
      <c r="C358" s="21">
        <v>45515</v>
      </c>
      <c r="D358" s="21">
        <v>45522</v>
      </c>
      <c r="E358" s="21">
        <v>45535</v>
      </c>
      <c r="F358" s="20" t="s">
        <v>49</v>
      </c>
      <c r="G358" s="22">
        <v>175.79</v>
      </c>
      <c r="H358" s="22">
        <v>31.09</v>
      </c>
      <c r="I358" s="20" t="s">
        <v>45</v>
      </c>
      <c r="J358" s="20">
        <v>5</v>
      </c>
      <c r="K358" s="20" t="s">
        <v>46</v>
      </c>
      <c r="L358" s="23">
        <f t="shared" si="46"/>
        <v>45505</v>
      </c>
      <c r="M358" s="20">
        <f t="shared" si="47"/>
        <v>7</v>
      </c>
      <c r="N358" s="20">
        <f t="shared" si="48"/>
        <v>0</v>
      </c>
      <c r="O358" s="20">
        <f t="shared" si="49"/>
        <v>1</v>
      </c>
      <c r="P358" s="22">
        <f t="shared" si="50"/>
        <v>206.88</v>
      </c>
      <c r="Q358" s="22">
        <f>G358*INDEX(Assumptions!$B$8:$B$16,MATCH(F358,Assumptions!$A$8:$A$16,0))</f>
        <v>101.95819999999999</v>
      </c>
      <c r="R358" s="22">
        <f>H358*Assumptions!$B$3</f>
        <v>18.654</v>
      </c>
      <c r="S358" s="22">
        <f t="shared" si="51"/>
        <v>55.177800000000005</v>
      </c>
      <c r="T358" s="20" t="str">
        <f t="shared" si="52"/>
        <v>0-7 days</v>
      </c>
    </row>
    <row r="359" spans="1:20" x14ac:dyDescent="0.3">
      <c r="A359" s="20" t="s">
        <v>425</v>
      </c>
      <c r="B359" s="20" t="s">
        <v>19</v>
      </c>
      <c r="C359" s="21">
        <v>45515</v>
      </c>
      <c r="D359" s="21">
        <v>45525</v>
      </c>
      <c r="E359" s="21">
        <v>45527</v>
      </c>
      <c r="F359" s="20" t="s">
        <v>49</v>
      </c>
      <c r="G359" s="22">
        <v>64.7</v>
      </c>
      <c r="H359" s="22">
        <v>14.09</v>
      </c>
      <c r="I359" s="20" t="s">
        <v>45</v>
      </c>
      <c r="J359" s="20">
        <v>5</v>
      </c>
      <c r="K359" s="20" t="s">
        <v>46</v>
      </c>
      <c r="L359" s="23">
        <f t="shared" si="46"/>
        <v>45505</v>
      </c>
      <c r="M359" s="20">
        <f t="shared" si="47"/>
        <v>10</v>
      </c>
      <c r="N359" s="20">
        <f t="shared" si="48"/>
        <v>0</v>
      </c>
      <c r="O359" s="20">
        <f t="shared" si="49"/>
        <v>1</v>
      </c>
      <c r="P359" s="22">
        <f t="shared" si="50"/>
        <v>78.790000000000006</v>
      </c>
      <c r="Q359" s="22">
        <f>G359*INDEX(Assumptions!$B$8:$B$16,MATCH(F359,Assumptions!$A$8:$A$16,0))</f>
        <v>37.525999999999996</v>
      </c>
      <c r="R359" s="22">
        <f>H359*Assumptions!$B$3</f>
        <v>8.4539999999999988</v>
      </c>
      <c r="S359" s="22">
        <f t="shared" si="51"/>
        <v>18.720000000000006</v>
      </c>
      <c r="T359" s="20" t="str">
        <f t="shared" si="52"/>
        <v>8-14 days</v>
      </c>
    </row>
    <row r="360" spans="1:20" x14ac:dyDescent="0.3">
      <c r="A360" s="20" t="s">
        <v>426</v>
      </c>
      <c r="B360" s="20" t="s">
        <v>174</v>
      </c>
      <c r="C360" s="21">
        <v>45515</v>
      </c>
      <c r="D360" s="21">
        <v>45536</v>
      </c>
      <c r="E360" s="21">
        <v>45547</v>
      </c>
      <c r="F360" s="20" t="s">
        <v>64</v>
      </c>
      <c r="G360" s="22">
        <v>91.99</v>
      </c>
      <c r="H360" s="22">
        <v>33.29</v>
      </c>
      <c r="I360" s="20" t="s">
        <v>60</v>
      </c>
      <c r="J360" s="20">
        <v>5</v>
      </c>
      <c r="K360" s="20" t="s">
        <v>46</v>
      </c>
      <c r="L360" s="23">
        <f t="shared" si="46"/>
        <v>45505</v>
      </c>
      <c r="M360" s="20">
        <f t="shared" si="47"/>
        <v>21</v>
      </c>
      <c r="N360" s="20">
        <f t="shared" si="48"/>
        <v>0</v>
      </c>
      <c r="O360" s="20">
        <f t="shared" si="49"/>
        <v>1</v>
      </c>
      <c r="P360" s="22">
        <f t="shared" si="50"/>
        <v>125.28</v>
      </c>
      <c r="Q360" s="22">
        <f>G360*INDEX(Assumptions!$B$8:$B$16,MATCH(F360,Assumptions!$A$8:$A$16,0))</f>
        <v>60.7134</v>
      </c>
      <c r="R360" s="22">
        <f>H360*Assumptions!$B$3</f>
        <v>19.974</v>
      </c>
      <c r="S360" s="22">
        <f t="shared" si="51"/>
        <v>11.302599999999995</v>
      </c>
      <c r="T360" s="20" t="str">
        <f t="shared" si="52"/>
        <v>15-21 days</v>
      </c>
    </row>
    <row r="361" spans="1:20" x14ac:dyDescent="0.3">
      <c r="A361" s="20" t="s">
        <v>427</v>
      </c>
      <c r="B361" s="20" t="s">
        <v>55</v>
      </c>
      <c r="C361" s="21">
        <v>45516</v>
      </c>
      <c r="D361" s="21">
        <v>45523</v>
      </c>
      <c r="E361" s="21">
        <v>45542</v>
      </c>
      <c r="F361" s="20" t="s">
        <v>111</v>
      </c>
      <c r="G361" s="22">
        <v>64.680000000000007</v>
      </c>
      <c r="H361" s="22">
        <v>21.04</v>
      </c>
      <c r="I361" s="20" t="s">
        <v>60</v>
      </c>
      <c r="J361" s="20">
        <v>5</v>
      </c>
      <c r="K361" s="20" t="s">
        <v>46</v>
      </c>
      <c r="L361" s="23">
        <f t="shared" si="46"/>
        <v>45505</v>
      </c>
      <c r="M361" s="20">
        <f t="shared" si="47"/>
        <v>7</v>
      </c>
      <c r="N361" s="20">
        <f t="shared" si="48"/>
        <v>0</v>
      </c>
      <c r="O361" s="20">
        <f t="shared" si="49"/>
        <v>1</v>
      </c>
      <c r="P361" s="22">
        <f t="shared" si="50"/>
        <v>85.72</v>
      </c>
      <c r="Q361" s="22">
        <f>G361*INDEX(Assumptions!$B$8:$B$16,MATCH(F361,Assumptions!$A$8:$A$16,0))</f>
        <v>40.748400000000004</v>
      </c>
      <c r="R361" s="22">
        <f>H361*Assumptions!$B$3</f>
        <v>12.623999999999999</v>
      </c>
      <c r="S361" s="22">
        <f t="shared" si="51"/>
        <v>11.307600000000004</v>
      </c>
      <c r="T361" s="20" t="str">
        <f t="shared" si="52"/>
        <v>0-7 days</v>
      </c>
    </row>
    <row r="362" spans="1:20" x14ac:dyDescent="0.3">
      <c r="A362" s="20" t="s">
        <v>428</v>
      </c>
      <c r="B362" s="20" t="s">
        <v>55</v>
      </c>
      <c r="C362" s="21">
        <v>45517</v>
      </c>
      <c r="D362" s="21">
        <v>45535</v>
      </c>
      <c r="E362" s="21">
        <v>45541</v>
      </c>
      <c r="F362" s="20" t="s">
        <v>57</v>
      </c>
      <c r="G362" s="22">
        <v>76.89</v>
      </c>
      <c r="H362" s="22">
        <v>20.87</v>
      </c>
      <c r="I362" s="20" t="s">
        <v>45</v>
      </c>
      <c r="J362" s="20">
        <v>5</v>
      </c>
      <c r="K362" s="20" t="s">
        <v>46</v>
      </c>
      <c r="L362" s="23">
        <f t="shared" si="46"/>
        <v>45505</v>
      </c>
      <c r="M362" s="20">
        <f t="shared" si="47"/>
        <v>18</v>
      </c>
      <c r="N362" s="20">
        <f t="shared" si="48"/>
        <v>0</v>
      </c>
      <c r="O362" s="20">
        <f t="shared" si="49"/>
        <v>1</v>
      </c>
      <c r="P362" s="22">
        <f t="shared" si="50"/>
        <v>97.76</v>
      </c>
      <c r="Q362" s="22">
        <f>G362*INDEX(Assumptions!$B$8:$B$16,MATCH(F362,Assumptions!$A$8:$A$16,0))</f>
        <v>52.285200000000003</v>
      </c>
      <c r="R362" s="22">
        <f>H362*Assumptions!$B$3</f>
        <v>12.522</v>
      </c>
      <c r="S362" s="22">
        <f t="shared" si="51"/>
        <v>12.082799999999997</v>
      </c>
      <c r="T362" s="20" t="str">
        <f t="shared" si="52"/>
        <v>15-21 days</v>
      </c>
    </row>
    <row r="363" spans="1:20" x14ac:dyDescent="0.3">
      <c r="A363" s="20" t="s">
        <v>429</v>
      </c>
      <c r="B363" s="20" t="s">
        <v>19</v>
      </c>
      <c r="C363" s="21">
        <v>45519</v>
      </c>
      <c r="D363" s="21">
        <v>45530</v>
      </c>
      <c r="E363" s="21">
        <v>45537</v>
      </c>
      <c r="F363" s="20" t="s">
        <v>59</v>
      </c>
      <c r="G363" s="22">
        <v>33.950000000000003</v>
      </c>
      <c r="H363" s="22">
        <v>19.829999999999998</v>
      </c>
      <c r="I363" s="20" t="s">
        <v>45</v>
      </c>
      <c r="J363" s="20">
        <v>4</v>
      </c>
      <c r="K363" s="20" t="s">
        <v>46</v>
      </c>
      <c r="L363" s="23">
        <f t="shared" si="46"/>
        <v>45505</v>
      </c>
      <c r="M363" s="20">
        <f t="shared" si="47"/>
        <v>11</v>
      </c>
      <c r="N363" s="20">
        <f t="shared" si="48"/>
        <v>0</v>
      </c>
      <c r="O363" s="20">
        <f t="shared" si="49"/>
        <v>1</v>
      </c>
      <c r="P363" s="22">
        <f t="shared" si="50"/>
        <v>53.78</v>
      </c>
      <c r="Q363" s="22">
        <f>G363*INDEX(Assumptions!$B$8:$B$16,MATCH(F363,Assumptions!$A$8:$A$16,0))</f>
        <v>21.728000000000002</v>
      </c>
      <c r="R363" s="22">
        <f>H363*Assumptions!$B$3</f>
        <v>11.897999999999998</v>
      </c>
      <c r="S363" s="22">
        <f t="shared" si="51"/>
        <v>0.3240000000000034</v>
      </c>
      <c r="T363" s="20" t="str">
        <f t="shared" si="52"/>
        <v>8-14 days</v>
      </c>
    </row>
    <row r="364" spans="1:20" x14ac:dyDescent="0.3">
      <c r="A364" s="20" t="s">
        <v>430</v>
      </c>
      <c r="B364" s="20" t="s">
        <v>62</v>
      </c>
      <c r="C364" s="21">
        <v>45519</v>
      </c>
      <c r="D364" s="21">
        <v>45545</v>
      </c>
      <c r="E364" s="21">
        <v>45538</v>
      </c>
      <c r="F364" s="20" t="s">
        <v>64</v>
      </c>
      <c r="G364" s="22">
        <v>126.16</v>
      </c>
      <c r="H364" s="22">
        <v>18.34</v>
      </c>
      <c r="I364" s="20" t="s">
        <v>45</v>
      </c>
      <c r="J364" s="20">
        <v>3</v>
      </c>
      <c r="K364" s="20" t="s">
        <v>46</v>
      </c>
      <c r="L364" s="23">
        <f t="shared" si="46"/>
        <v>45505</v>
      </c>
      <c r="M364" s="20">
        <f t="shared" si="47"/>
        <v>26</v>
      </c>
      <c r="N364" s="20">
        <f t="shared" si="48"/>
        <v>7</v>
      </c>
      <c r="O364" s="20">
        <f t="shared" si="49"/>
        <v>0</v>
      </c>
      <c r="P364" s="22">
        <f t="shared" si="50"/>
        <v>144.5</v>
      </c>
      <c r="Q364" s="22">
        <f>G364*INDEX(Assumptions!$B$8:$B$16,MATCH(F364,Assumptions!$A$8:$A$16,0))</f>
        <v>83.265600000000006</v>
      </c>
      <c r="R364" s="22">
        <f>H364*Assumptions!$B$3</f>
        <v>11.004</v>
      </c>
      <c r="S364" s="22">
        <f t="shared" si="51"/>
        <v>31.890399999999993</v>
      </c>
      <c r="T364" s="20" t="str">
        <f t="shared" si="52"/>
        <v>22+ days</v>
      </c>
    </row>
    <row r="365" spans="1:20" x14ac:dyDescent="0.3">
      <c r="A365" s="20" t="s">
        <v>431</v>
      </c>
      <c r="B365" s="20" t="s">
        <v>55</v>
      </c>
      <c r="C365" s="21">
        <v>45519</v>
      </c>
      <c r="D365" s="21">
        <v>45531</v>
      </c>
      <c r="E365" s="21">
        <v>45544</v>
      </c>
      <c r="F365" s="20" t="s">
        <v>53</v>
      </c>
      <c r="G365" s="22">
        <v>32.61</v>
      </c>
      <c r="H365" s="22">
        <v>26.86</v>
      </c>
      <c r="I365" s="20" t="s">
        <v>45</v>
      </c>
      <c r="J365" s="20">
        <v>5</v>
      </c>
      <c r="K365" s="20" t="s">
        <v>46</v>
      </c>
      <c r="L365" s="23">
        <f t="shared" si="46"/>
        <v>45505</v>
      </c>
      <c r="M365" s="20">
        <f t="shared" si="47"/>
        <v>12</v>
      </c>
      <c r="N365" s="20">
        <f t="shared" si="48"/>
        <v>0</v>
      </c>
      <c r="O365" s="20">
        <f t="shared" si="49"/>
        <v>1</v>
      </c>
      <c r="P365" s="22">
        <f t="shared" si="50"/>
        <v>59.47</v>
      </c>
      <c r="Q365" s="22">
        <f>G365*INDEX(Assumptions!$B$8:$B$16,MATCH(F365,Assumptions!$A$8:$A$16,0))</f>
        <v>24.131399999999999</v>
      </c>
      <c r="R365" s="22">
        <f>H365*Assumptions!$B$3</f>
        <v>16.116</v>
      </c>
      <c r="S365" s="22">
        <f t="shared" si="51"/>
        <v>-7.6373999999999995</v>
      </c>
      <c r="T365" s="20" t="str">
        <f t="shared" si="52"/>
        <v>8-14 days</v>
      </c>
    </row>
    <row r="366" spans="1:20" x14ac:dyDescent="0.3">
      <c r="A366" s="20" t="s">
        <v>432</v>
      </c>
      <c r="B366" s="20" t="s">
        <v>19</v>
      </c>
      <c r="C366" s="21">
        <v>45520</v>
      </c>
      <c r="D366" s="21">
        <v>45526</v>
      </c>
      <c r="E366" s="21">
        <v>45539</v>
      </c>
      <c r="F366" s="20" t="s">
        <v>111</v>
      </c>
      <c r="G366" s="22">
        <v>129.19</v>
      </c>
      <c r="H366" s="22">
        <v>15.48</v>
      </c>
      <c r="I366" s="20" t="s">
        <v>45</v>
      </c>
      <c r="J366" s="20">
        <v>4</v>
      </c>
      <c r="K366" s="20" t="s">
        <v>46</v>
      </c>
      <c r="L366" s="23">
        <f t="shared" si="46"/>
        <v>45505</v>
      </c>
      <c r="M366" s="20">
        <f t="shared" si="47"/>
        <v>6</v>
      </c>
      <c r="N366" s="20">
        <f t="shared" si="48"/>
        <v>0</v>
      </c>
      <c r="O366" s="20">
        <f t="shared" si="49"/>
        <v>1</v>
      </c>
      <c r="P366" s="22">
        <f t="shared" si="50"/>
        <v>144.66999999999999</v>
      </c>
      <c r="Q366" s="22">
        <f>G366*INDEX(Assumptions!$B$8:$B$16,MATCH(F366,Assumptions!$A$8:$A$16,0))</f>
        <v>81.389700000000005</v>
      </c>
      <c r="R366" s="22">
        <f>H366*Assumptions!$B$3</f>
        <v>9.2880000000000003</v>
      </c>
      <c r="S366" s="22">
        <f t="shared" si="51"/>
        <v>38.512299999999996</v>
      </c>
      <c r="T366" s="20" t="str">
        <f t="shared" si="52"/>
        <v>0-7 days</v>
      </c>
    </row>
    <row r="367" spans="1:20" x14ac:dyDescent="0.3">
      <c r="A367" s="20" t="s">
        <v>433</v>
      </c>
      <c r="B367" s="20" t="s">
        <v>55</v>
      </c>
      <c r="C367" s="21">
        <v>45520</v>
      </c>
      <c r="D367" s="21">
        <v>45536</v>
      </c>
      <c r="E367" s="21">
        <v>45544</v>
      </c>
      <c r="F367" s="20" t="s">
        <v>44</v>
      </c>
      <c r="G367" s="22">
        <v>53.7</v>
      </c>
      <c r="H367" s="22">
        <v>23.74</v>
      </c>
      <c r="I367" s="20" t="s">
        <v>45</v>
      </c>
      <c r="J367" s="20">
        <v>5</v>
      </c>
      <c r="K367" s="20" t="s">
        <v>46</v>
      </c>
      <c r="L367" s="23">
        <f t="shared" si="46"/>
        <v>45505</v>
      </c>
      <c r="M367" s="20">
        <f t="shared" si="47"/>
        <v>16</v>
      </c>
      <c r="N367" s="20">
        <f t="shared" si="48"/>
        <v>0</v>
      </c>
      <c r="O367" s="20">
        <f t="shared" si="49"/>
        <v>1</v>
      </c>
      <c r="P367" s="22">
        <f t="shared" si="50"/>
        <v>77.44</v>
      </c>
      <c r="Q367" s="22">
        <f>G367*INDEX(Assumptions!$B$8:$B$16,MATCH(F367,Assumptions!$A$8:$A$16,0))</f>
        <v>32.22</v>
      </c>
      <c r="R367" s="22">
        <f>H367*Assumptions!$B$3</f>
        <v>14.243999999999998</v>
      </c>
      <c r="S367" s="22">
        <f t="shared" si="51"/>
        <v>7.236000000000006</v>
      </c>
      <c r="T367" s="20" t="str">
        <f t="shared" si="52"/>
        <v>15-21 days</v>
      </c>
    </row>
    <row r="368" spans="1:20" x14ac:dyDescent="0.3">
      <c r="A368" s="20" t="s">
        <v>434</v>
      </c>
      <c r="B368" s="20" t="s">
        <v>134</v>
      </c>
      <c r="C368" s="21">
        <v>45522</v>
      </c>
      <c r="D368" s="21">
        <v>45542</v>
      </c>
      <c r="E368" s="21">
        <v>45546</v>
      </c>
      <c r="F368" s="20" t="s">
        <v>53</v>
      </c>
      <c r="G368" s="22">
        <v>131.56</v>
      </c>
      <c r="H368" s="22">
        <v>30.19</v>
      </c>
      <c r="I368" s="20" t="s">
        <v>45</v>
      </c>
      <c r="J368" s="20">
        <v>4</v>
      </c>
      <c r="K368" s="20" t="s">
        <v>46</v>
      </c>
      <c r="L368" s="23">
        <f t="shared" si="46"/>
        <v>45505</v>
      </c>
      <c r="M368" s="20">
        <f t="shared" si="47"/>
        <v>20</v>
      </c>
      <c r="N368" s="20">
        <f t="shared" si="48"/>
        <v>0</v>
      </c>
      <c r="O368" s="20">
        <f t="shared" si="49"/>
        <v>1</v>
      </c>
      <c r="P368" s="22">
        <f t="shared" si="50"/>
        <v>161.75</v>
      </c>
      <c r="Q368" s="22">
        <f>G368*INDEX(Assumptions!$B$8:$B$16,MATCH(F368,Assumptions!$A$8:$A$16,0))</f>
        <v>97.354399999999998</v>
      </c>
      <c r="R368" s="22">
        <f>H368*Assumptions!$B$3</f>
        <v>18.114000000000001</v>
      </c>
      <c r="S368" s="22">
        <f t="shared" si="51"/>
        <v>16.091600000000003</v>
      </c>
      <c r="T368" s="20" t="str">
        <f t="shared" si="52"/>
        <v>15-21 days</v>
      </c>
    </row>
    <row r="369" spans="1:20" x14ac:dyDescent="0.3">
      <c r="A369" s="20" t="s">
        <v>435</v>
      </c>
      <c r="B369" s="20" t="s">
        <v>19</v>
      </c>
      <c r="C369" s="21">
        <v>45522</v>
      </c>
      <c r="D369" s="21">
        <v>45531</v>
      </c>
      <c r="E369" s="21">
        <v>45539</v>
      </c>
      <c r="F369" s="20" t="s">
        <v>79</v>
      </c>
      <c r="G369" s="22">
        <v>114.39</v>
      </c>
      <c r="H369" s="22">
        <v>14.65</v>
      </c>
      <c r="I369" s="20" t="s">
        <v>50</v>
      </c>
      <c r="J369" s="20">
        <v>5</v>
      </c>
      <c r="K369" s="20" t="s">
        <v>46</v>
      </c>
      <c r="L369" s="23">
        <f t="shared" si="46"/>
        <v>45505</v>
      </c>
      <c r="M369" s="20">
        <f t="shared" si="47"/>
        <v>9</v>
      </c>
      <c r="N369" s="20">
        <f t="shared" si="48"/>
        <v>0</v>
      </c>
      <c r="O369" s="20">
        <f t="shared" si="49"/>
        <v>1</v>
      </c>
      <c r="P369" s="22">
        <f t="shared" si="50"/>
        <v>129.04</v>
      </c>
      <c r="Q369" s="22">
        <f>G369*INDEX(Assumptions!$B$8:$B$16,MATCH(F369,Assumptions!$A$8:$A$16,0))</f>
        <v>80.072999999999993</v>
      </c>
      <c r="R369" s="22">
        <f>H369*Assumptions!$B$3</f>
        <v>8.7899999999999991</v>
      </c>
      <c r="S369" s="22">
        <f t="shared" si="51"/>
        <v>25.527000000000008</v>
      </c>
      <c r="T369" s="20" t="str">
        <f t="shared" si="52"/>
        <v>8-14 days</v>
      </c>
    </row>
    <row r="370" spans="1:20" x14ac:dyDescent="0.3">
      <c r="A370" s="20" t="s">
        <v>436</v>
      </c>
      <c r="B370" s="20" t="s">
        <v>19</v>
      </c>
      <c r="C370" s="21">
        <v>45523</v>
      </c>
      <c r="D370" s="21">
        <v>45537</v>
      </c>
      <c r="E370" s="21">
        <v>45542</v>
      </c>
      <c r="F370" s="20" t="s">
        <v>57</v>
      </c>
      <c r="G370" s="22">
        <v>55.05</v>
      </c>
      <c r="H370" s="22">
        <v>17.3</v>
      </c>
      <c r="I370" s="20" t="s">
        <v>45</v>
      </c>
      <c r="J370" s="20">
        <v>5</v>
      </c>
      <c r="K370" s="20" t="s">
        <v>46</v>
      </c>
      <c r="L370" s="23">
        <f t="shared" si="46"/>
        <v>45505</v>
      </c>
      <c r="M370" s="20">
        <f t="shared" si="47"/>
        <v>14</v>
      </c>
      <c r="N370" s="20">
        <f t="shared" si="48"/>
        <v>0</v>
      </c>
      <c r="O370" s="20">
        <f t="shared" si="49"/>
        <v>1</v>
      </c>
      <c r="P370" s="22">
        <f t="shared" si="50"/>
        <v>72.349999999999994</v>
      </c>
      <c r="Q370" s="22">
        <f>G370*INDEX(Assumptions!$B$8:$B$16,MATCH(F370,Assumptions!$A$8:$A$16,0))</f>
        <v>37.433999999999997</v>
      </c>
      <c r="R370" s="22">
        <f>H370*Assumptions!$B$3</f>
        <v>10.38</v>
      </c>
      <c r="S370" s="22">
        <f t="shared" si="51"/>
        <v>7.2359999999999989</v>
      </c>
      <c r="T370" s="20" t="str">
        <f t="shared" si="52"/>
        <v>8-14 days</v>
      </c>
    </row>
    <row r="371" spans="1:20" x14ac:dyDescent="0.3">
      <c r="A371" s="20" t="s">
        <v>437</v>
      </c>
      <c r="B371" s="20" t="s">
        <v>62</v>
      </c>
      <c r="C371" s="21">
        <v>45524</v>
      </c>
      <c r="D371" s="21">
        <v>45539</v>
      </c>
      <c r="E371" s="21">
        <v>45543</v>
      </c>
      <c r="F371" s="20" t="s">
        <v>79</v>
      </c>
      <c r="G371" s="22">
        <v>125.21</v>
      </c>
      <c r="H371" s="22">
        <v>27.92</v>
      </c>
      <c r="I371" s="20" t="s">
        <v>50</v>
      </c>
      <c r="J371" s="20">
        <v>5</v>
      </c>
      <c r="K371" s="20" t="s">
        <v>46</v>
      </c>
      <c r="L371" s="23">
        <f t="shared" si="46"/>
        <v>45505</v>
      </c>
      <c r="M371" s="20">
        <f t="shared" si="47"/>
        <v>15</v>
      </c>
      <c r="N371" s="20">
        <f t="shared" si="48"/>
        <v>0</v>
      </c>
      <c r="O371" s="20">
        <f t="shared" si="49"/>
        <v>1</v>
      </c>
      <c r="P371" s="22">
        <f t="shared" si="50"/>
        <v>153.13</v>
      </c>
      <c r="Q371" s="22">
        <f>G371*INDEX(Assumptions!$B$8:$B$16,MATCH(F371,Assumptions!$A$8:$A$16,0))</f>
        <v>87.646999999999991</v>
      </c>
      <c r="R371" s="22">
        <f>H371*Assumptions!$B$3</f>
        <v>16.751999999999999</v>
      </c>
      <c r="S371" s="22">
        <f t="shared" si="51"/>
        <v>20.811000000000003</v>
      </c>
      <c r="T371" s="20" t="str">
        <f t="shared" si="52"/>
        <v>15-21 days</v>
      </c>
    </row>
    <row r="372" spans="1:20" x14ac:dyDescent="0.3">
      <c r="A372" s="20" t="s">
        <v>438</v>
      </c>
      <c r="B372" s="20" t="s">
        <v>48</v>
      </c>
      <c r="C372" s="21">
        <v>45524</v>
      </c>
      <c r="D372" s="21">
        <v>45535</v>
      </c>
      <c r="E372" s="21">
        <v>45546</v>
      </c>
      <c r="F372" s="20" t="s">
        <v>57</v>
      </c>
      <c r="G372" s="22">
        <v>57.06</v>
      </c>
      <c r="H372" s="22">
        <v>20.99</v>
      </c>
      <c r="I372" s="20" t="s">
        <v>45</v>
      </c>
      <c r="J372" s="20">
        <v>5</v>
      </c>
      <c r="K372" s="20" t="s">
        <v>46</v>
      </c>
      <c r="L372" s="23">
        <f t="shared" si="46"/>
        <v>45505</v>
      </c>
      <c r="M372" s="20">
        <f t="shared" si="47"/>
        <v>11</v>
      </c>
      <c r="N372" s="20">
        <f t="shared" si="48"/>
        <v>0</v>
      </c>
      <c r="O372" s="20">
        <f t="shared" si="49"/>
        <v>1</v>
      </c>
      <c r="P372" s="22">
        <f t="shared" si="50"/>
        <v>78.05</v>
      </c>
      <c r="Q372" s="22">
        <f>G372*INDEX(Assumptions!$B$8:$B$16,MATCH(F372,Assumptions!$A$8:$A$16,0))</f>
        <v>38.800800000000002</v>
      </c>
      <c r="R372" s="22">
        <f>H372*Assumptions!$B$3</f>
        <v>12.593999999999999</v>
      </c>
      <c r="S372" s="22">
        <f t="shared" si="51"/>
        <v>5.6652000000000005</v>
      </c>
      <c r="T372" s="20" t="str">
        <f t="shared" si="52"/>
        <v>8-14 days</v>
      </c>
    </row>
    <row r="373" spans="1:20" x14ac:dyDescent="0.3">
      <c r="A373" s="20" t="s">
        <v>439</v>
      </c>
      <c r="B373" s="20" t="s">
        <v>55</v>
      </c>
      <c r="C373" s="21">
        <v>45524</v>
      </c>
      <c r="D373" s="21">
        <v>45536</v>
      </c>
      <c r="E373" s="21">
        <v>45551</v>
      </c>
      <c r="F373" s="20" t="s">
        <v>111</v>
      </c>
      <c r="G373" s="22">
        <v>134.57</v>
      </c>
      <c r="H373" s="22">
        <v>25.19</v>
      </c>
      <c r="I373" s="20" t="s">
        <v>45</v>
      </c>
      <c r="J373" s="20">
        <v>3</v>
      </c>
      <c r="K373" s="20" t="s">
        <v>46</v>
      </c>
      <c r="L373" s="23">
        <f t="shared" si="46"/>
        <v>45505</v>
      </c>
      <c r="M373" s="20">
        <f t="shared" si="47"/>
        <v>12</v>
      </c>
      <c r="N373" s="20">
        <f t="shared" si="48"/>
        <v>0</v>
      </c>
      <c r="O373" s="20">
        <f t="shared" si="49"/>
        <v>1</v>
      </c>
      <c r="P373" s="22">
        <f t="shared" si="50"/>
        <v>159.76</v>
      </c>
      <c r="Q373" s="22">
        <f>G373*INDEX(Assumptions!$B$8:$B$16,MATCH(F373,Assumptions!$A$8:$A$16,0))</f>
        <v>84.7791</v>
      </c>
      <c r="R373" s="22">
        <f>H373*Assumptions!$B$3</f>
        <v>15.114000000000001</v>
      </c>
      <c r="S373" s="22">
        <f t="shared" si="51"/>
        <v>34.676899999999989</v>
      </c>
      <c r="T373" s="20" t="str">
        <f t="shared" si="52"/>
        <v>8-14 days</v>
      </c>
    </row>
    <row r="374" spans="1:20" x14ac:dyDescent="0.3">
      <c r="A374" s="20" t="s">
        <v>440</v>
      </c>
      <c r="B374" s="20" t="s">
        <v>62</v>
      </c>
      <c r="C374" s="21">
        <v>45524</v>
      </c>
      <c r="D374" s="21">
        <v>45545</v>
      </c>
      <c r="E374" s="21">
        <v>45545</v>
      </c>
      <c r="F374" s="20" t="s">
        <v>67</v>
      </c>
      <c r="G374" s="22">
        <v>108.37</v>
      </c>
      <c r="H374" s="22">
        <v>21.12</v>
      </c>
      <c r="I374" s="20" t="s">
        <v>45</v>
      </c>
      <c r="J374" s="20">
        <v>5</v>
      </c>
      <c r="K374" s="20" t="s">
        <v>46</v>
      </c>
      <c r="L374" s="23">
        <f t="shared" si="46"/>
        <v>45505</v>
      </c>
      <c r="M374" s="20">
        <f t="shared" si="47"/>
        <v>21</v>
      </c>
      <c r="N374" s="20">
        <f t="shared" si="48"/>
        <v>0</v>
      </c>
      <c r="O374" s="20">
        <f t="shared" si="49"/>
        <v>1</v>
      </c>
      <c r="P374" s="22">
        <f t="shared" si="50"/>
        <v>129.49</v>
      </c>
      <c r="Q374" s="22">
        <f>G374*INDEX(Assumptions!$B$8:$B$16,MATCH(F374,Assumptions!$A$8:$A$16,0))</f>
        <v>67.189400000000006</v>
      </c>
      <c r="R374" s="22">
        <f>H374*Assumptions!$B$3</f>
        <v>12.672000000000001</v>
      </c>
      <c r="S374" s="22">
        <f t="shared" si="51"/>
        <v>28.508599999999998</v>
      </c>
      <c r="T374" s="20" t="str">
        <f t="shared" si="52"/>
        <v>15-21 days</v>
      </c>
    </row>
    <row r="375" spans="1:20" x14ac:dyDescent="0.3">
      <c r="A375" s="20" t="s">
        <v>441</v>
      </c>
      <c r="B375" s="20" t="s">
        <v>134</v>
      </c>
      <c r="C375" s="21">
        <v>45524</v>
      </c>
      <c r="D375" s="21">
        <v>45541</v>
      </c>
      <c r="E375" s="21">
        <v>45544</v>
      </c>
      <c r="F375" s="20" t="s">
        <v>111</v>
      </c>
      <c r="G375" s="22">
        <v>23.61</v>
      </c>
      <c r="H375" s="22">
        <v>28.67</v>
      </c>
      <c r="I375" s="20" t="s">
        <v>45</v>
      </c>
      <c r="J375" s="20">
        <v>5</v>
      </c>
      <c r="K375" s="20" t="s">
        <v>46</v>
      </c>
      <c r="L375" s="23">
        <f t="shared" si="46"/>
        <v>45505</v>
      </c>
      <c r="M375" s="20">
        <f t="shared" si="47"/>
        <v>17</v>
      </c>
      <c r="N375" s="20">
        <f t="shared" si="48"/>
        <v>0</v>
      </c>
      <c r="O375" s="20">
        <f t="shared" si="49"/>
        <v>1</v>
      </c>
      <c r="P375" s="22">
        <f t="shared" si="50"/>
        <v>52.28</v>
      </c>
      <c r="Q375" s="22">
        <f>G375*INDEX(Assumptions!$B$8:$B$16,MATCH(F375,Assumptions!$A$8:$A$16,0))</f>
        <v>14.8743</v>
      </c>
      <c r="R375" s="22">
        <f>H375*Assumptions!$B$3</f>
        <v>17.202000000000002</v>
      </c>
      <c r="S375" s="22">
        <f t="shared" si="51"/>
        <v>-8.4663000000000022</v>
      </c>
      <c r="T375" s="20" t="str">
        <f t="shared" si="52"/>
        <v>15-21 days</v>
      </c>
    </row>
    <row r="376" spans="1:20" x14ac:dyDescent="0.3">
      <c r="A376" s="20" t="s">
        <v>442</v>
      </c>
      <c r="B376" s="20" t="s">
        <v>19</v>
      </c>
      <c r="C376" s="21">
        <v>45525</v>
      </c>
      <c r="D376" s="21">
        <v>45533</v>
      </c>
      <c r="E376" s="21">
        <v>45542</v>
      </c>
      <c r="F376" s="20" t="s">
        <v>67</v>
      </c>
      <c r="G376" s="22">
        <v>109.4</v>
      </c>
      <c r="H376" s="22">
        <v>20.5</v>
      </c>
      <c r="I376" s="20" t="s">
        <v>45</v>
      </c>
      <c r="J376" s="20">
        <v>4</v>
      </c>
      <c r="K376" s="20" t="s">
        <v>46</v>
      </c>
      <c r="L376" s="23">
        <f t="shared" si="46"/>
        <v>45505</v>
      </c>
      <c r="M376" s="20">
        <f t="shared" si="47"/>
        <v>8</v>
      </c>
      <c r="N376" s="20">
        <f t="shared" si="48"/>
        <v>0</v>
      </c>
      <c r="O376" s="20">
        <f t="shared" si="49"/>
        <v>1</v>
      </c>
      <c r="P376" s="22">
        <f t="shared" si="50"/>
        <v>129.9</v>
      </c>
      <c r="Q376" s="22">
        <f>G376*INDEX(Assumptions!$B$8:$B$16,MATCH(F376,Assumptions!$A$8:$A$16,0))</f>
        <v>67.828000000000003</v>
      </c>
      <c r="R376" s="22">
        <f>H376*Assumptions!$B$3</f>
        <v>12.299999999999999</v>
      </c>
      <c r="S376" s="22">
        <f t="shared" si="51"/>
        <v>29.272000000000006</v>
      </c>
      <c r="T376" s="20" t="str">
        <f t="shared" si="52"/>
        <v>8-14 days</v>
      </c>
    </row>
    <row r="377" spans="1:20" x14ac:dyDescent="0.3">
      <c r="A377" s="20" t="s">
        <v>443</v>
      </c>
      <c r="B377" s="20" t="s">
        <v>19</v>
      </c>
      <c r="C377" s="21">
        <v>45525</v>
      </c>
      <c r="D377" s="21">
        <v>45538</v>
      </c>
      <c r="E377" s="21">
        <v>45543</v>
      </c>
      <c r="F377" s="20" t="s">
        <v>44</v>
      </c>
      <c r="G377" s="22">
        <v>78.23</v>
      </c>
      <c r="H377" s="22">
        <v>12.65</v>
      </c>
      <c r="I377" s="20" t="s">
        <v>45</v>
      </c>
      <c r="J377" s="20">
        <v>5</v>
      </c>
      <c r="K377" s="20" t="s">
        <v>46</v>
      </c>
      <c r="L377" s="23">
        <f t="shared" si="46"/>
        <v>45505</v>
      </c>
      <c r="M377" s="20">
        <f t="shared" si="47"/>
        <v>13</v>
      </c>
      <c r="N377" s="20">
        <f t="shared" si="48"/>
        <v>0</v>
      </c>
      <c r="O377" s="20">
        <f t="shared" si="49"/>
        <v>1</v>
      </c>
      <c r="P377" s="22">
        <f t="shared" si="50"/>
        <v>90.88000000000001</v>
      </c>
      <c r="Q377" s="22">
        <f>G377*INDEX(Assumptions!$B$8:$B$16,MATCH(F377,Assumptions!$A$8:$A$16,0))</f>
        <v>46.938000000000002</v>
      </c>
      <c r="R377" s="22">
        <f>H377*Assumptions!$B$3</f>
        <v>7.59</v>
      </c>
      <c r="S377" s="22">
        <f t="shared" si="51"/>
        <v>23.702000000000002</v>
      </c>
      <c r="T377" s="20" t="str">
        <f t="shared" si="52"/>
        <v>8-14 days</v>
      </c>
    </row>
    <row r="378" spans="1:20" x14ac:dyDescent="0.3">
      <c r="A378" s="20" t="s">
        <v>444</v>
      </c>
      <c r="B378" s="20" t="s">
        <v>55</v>
      </c>
      <c r="C378" s="21">
        <v>45525</v>
      </c>
      <c r="D378" s="21">
        <v>45540</v>
      </c>
      <c r="E378" s="21">
        <v>45549</v>
      </c>
      <c r="F378" s="20" t="s">
        <v>49</v>
      </c>
      <c r="G378" s="22">
        <v>90.89</v>
      </c>
      <c r="H378" s="22">
        <v>16.88</v>
      </c>
      <c r="I378" s="20" t="s">
        <v>45</v>
      </c>
      <c r="J378" s="20">
        <v>4</v>
      </c>
      <c r="K378" s="20" t="s">
        <v>46</v>
      </c>
      <c r="L378" s="23">
        <f t="shared" si="46"/>
        <v>45505</v>
      </c>
      <c r="M378" s="20">
        <f t="shared" si="47"/>
        <v>15</v>
      </c>
      <c r="N378" s="20">
        <f t="shared" si="48"/>
        <v>0</v>
      </c>
      <c r="O378" s="20">
        <f t="shared" si="49"/>
        <v>1</v>
      </c>
      <c r="P378" s="22">
        <f t="shared" si="50"/>
        <v>107.77</v>
      </c>
      <c r="Q378" s="22">
        <f>G378*INDEX(Assumptions!$B$8:$B$16,MATCH(F378,Assumptions!$A$8:$A$16,0))</f>
        <v>52.716199999999994</v>
      </c>
      <c r="R378" s="22">
        <f>H378*Assumptions!$B$3</f>
        <v>10.127999999999998</v>
      </c>
      <c r="S378" s="22">
        <f t="shared" si="51"/>
        <v>28.045800000000007</v>
      </c>
      <c r="T378" s="20" t="str">
        <f t="shared" si="52"/>
        <v>15-21 days</v>
      </c>
    </row>
    <row r="379" spans="1:20" x14ac:dyDescent="0.3">
      <c r="A379" s="20" t="s">
        <v>445</v>
      </c>
      <c r="B379" s="20" t="s">
        <v>19</v>
      </c>
      <c r="C379" s="21">
        <v>45526</v>
      </c>
      <c r="D379" s="21">
        <v>45534</v>
      </c>
      <c r="E379" s="21">
        <v>45541</v>
      </c>
      <c r="F379" s="20" t="s">
        <v>49</v>
      </c>
      <c r="G379" s="22">
        <v>62.43</v>
      </c>
      <c r="H379" s="22">
        <v>18.670000000000002</v>
      </c>
      <c r="I379" s="20" t="s">
        <v>45</v>
      </c>
      <c r="J379" s="20">
        <v>4</v>
      </c>
      <c r="K379" s="20" t="s">
        <v>46</v>
      </c>
      <c r="L379" s="23">
        <f t="shared" si="46"/>
        <v>45505</v>
      </c>
      <c r="M379" s="20">
        <f t="shared" si="47"/>
        <v>8</v>
      </c>
      <c r="N379" s="20">
        <f t="shared" si="48"/>
        <v>0</v>
      </c>
      <c r="O379" s="20">
        <f t="shared" si="49"/>
        <v>1</v>
      </c>
      <c r="P379" s="22">
        <f t="shared" si="50"/>
        <v>81.099999999999994</v>
      </c>
      <c r="Q379" s="22">
        <f>G379*INDEX(Assumptions!$B$8:$B$16,MATCH(F379,Assumptions!$A$8:$A$16,0))</f>
        <v>36.209399999999995</v>
      </c>
      <c r="R379" s="22">
        <f>H379*Assumptions!$B$3</f>
        <v>11.202</v>
      </c>
      <c r="S379" s="22">
        <f t="shared" si="51"/>
        <v>15.018600000000005</v>
      </c>
      <c r="T379" s="20" t="str">
        <f t="shared" si="52"/>
        <v>8-14 days</v>
      </c>
    </row>
    <row r="380" spans="1:20" x14ac:dyDescent="0.3">
      <c r="A380" s="20" t="s">
        <v>446</v>
      </c>
      <c r="B380" s="20" t="s">
        <v>19</v>
      </c>
      <c r="C380" s="21">
        <v>45526</v>
      </c>
      <c r="D380" s="21">
        <v>45544</v>
      </c>
      <c r="E380" s="21">
        <v>45542</v>
      </c>
      <c r="F380" s="20" t="s">
        <v>111</v>
      </c>
      <c r="G380" s="22">
        <v>81.37</v>
      </c>
      <c r="H380" s="22">
        <v>14.29</v>
      </c>
      <c r="I380" s="20" t="s">
        <v>45</v>
      </c>
      <c r="J380" s="20">
        <v>3</v>
      </c>
      <c r="K380" s="20" t="s">
        <v>46</v>
      </c>
      <c r="L380" s="23">
        <f t="shared" si="46"/>
        <v>45505</v>
      </c>
      <c r="M380" s="20">
        <f t="shared" si="47"/>
        <v>18</v>
      </c>
      <c r="N380" s="20">
        <f t="shared" si="48"/>
        <v>2</v>
      </c>
      <c r="O380" s="20">
        <f t="shared" si="49"/>
        <v>0</v>
      </c>
      <c r="P380" s="22">
        <f t="shared" si="50"/>
        <v>95.66</v>
      </c>
      <c r="Q380" s="22">
        <f>G380*INDEX(Assumptions!$B$8:$B$16,MATCH(F380,Assumptions!$A$8:$A$16,0))</f>
        <v>51.263100000000001</v>
      </c>
      <c r="R380" s="22">
        <f>H380*Assumptions!$B$3</f>
        <v>8.5739999999999998</v>
      </c>
      <c r="S380" s="22">
        <f t="shared" si="51"/>
        <v>21.532900000000005</v>
      </c>
      <c r="T380" s="20" t="str">
        <f t="shared" si="52"/>
        <v>15-21 days</v>
      </c>
    </row>
    <row r="381" spans="1:20" x14ac:dyDescent="0.3">
      <c r="A381" s="20" t="s">
        <v>447</v>
      </c>
      <c r="B381" s="20" t="s">
        <v>19</v>
      </c>
      <c r="C381" s="21">
        <v>45526</v>
      </c>
      <c r="D381" s="21">
        <v>45538</v>
      </c>
      <c r="E381" s="21">
        <v>45544</v>
      </c>
      <c r="F381" s="20" t="s">
        <v>53</v>
      </c>
      <c r="G381" s="22">
        <v>130.02000000000001</v>
      </c>
      <c r="H381" s="22">
        <v>22.77</v>
      </c>
      <c r="I381" s="20" t="s">
        <v>60</v>
      </c>
      <c r="J381" s="20">
        <v>5</v>
      </c>
      <c r="K381" s="20" t="s">
        <v>46</v>
      </c>
      <c r="L381" s="23">
        <f t="shared" si="46"/>
        <v>45505</v>
      </c>
      <c r="M381" s="20">
        <f t="shared" si="47"/>
        <v>12</v>
      </c>
      <c r="N381" s="20">
        <f t="shared" si="48"/>
        <v>0</v>
      </c>
      <c r="O381" s="20">
        <f t="shared" si="49"/>
        <v>1</v>
      </c>
      <c r="P381" s="22">
        <f t="shared" si="50"/>
        <v>152.79000000000002</v>
      </c>
      <c r="Q381" s="22">
        <f>G381*INDEX(Assumptions!$B$8:$B$16,MATCH(F381,Assumptions!$A$8:$A$16,0))</f>
        <v>96.214800000000011</v>
      </c>
      <c r="R381" s="22">
        <f>H381*Assumptions!$B$3</f>
        <v>13.661999999999999</v>
      </c>
      <c r="S381" s="22">
        <f t="shared" si="51"/>
        <v>20.1432</v>
      </c>
      <c r="T381" s="20" t="str">
        <f t="shared" si="52"/>
        <v>8-14 days</v>
      </c>
    </row>
    <row r="382" spans="1:20" x14ac:dyDescent="0.3">
      <c r="A382" s="20" t="s">
        <v>448</v>
      </c>
      <c r="B382" s="20" t="s">
        <v>62</v>
      </c>
      <c r="C382" s="21">
        <v>45526</v>
      </c>
      <c r="D382" s="21">
        <v>45532</v>
      </c>
      <c r="E382" s="21">
        <v>45546</v>
      </c>
      <c r="F382" s="20" t="s">
        <v>79</v>
      </c>
      <c r="G382" s="22">
        <v>112.6</v>
      </c>
      <c r="H382" s="22">
        <v>29.39</v>
      </c>
      <c r="I382" s="20" t="s">
        <v>45</v>
      </c>
      <c r="J382" s="20">
        <v>4</v>
      </c>
      <c r="K382" s="20" t="s">
        <v>46</v>
      </c>
      <c r="L382" s="23">
        <f t="shared" si="46"/>
        <v>45505</v>
      </c>
      <c r="M382" s="20">
        <f t="shared" si="47"/>
        <v>6</v>
      </c>
      <c r="N382" s="20">
        <f t="shared" si="48"/>
        <v>0</v>
      </c>
      <c r="O382" s="20">
        <f t="shared" si="49"/>
        <v>1</v>
      </c>
      <c r="P382" s="22">
        <f t="shared" si="50"/>
        <v>141.99</v>
      </c>
      <c r="Q382" s="22">
        <f>G382*INDEX(Assumptions!$B$8:$B$16,MATCH(F382,Assumptions!$A$8:$A$16,0))</f>
        <v>78.819999999999993</v>
      </c>
      <c r="R382" s="22">
        <f>H382*Assumptions!$B$3</f>
        <v>17.634</v>
      </c>
      <c r="S382" s="22">
        <f t="shared" si="51"/>
        <v>16.146000000000001</v>
      </c>
      <c r="T382" s="20" t="str">
        <f t="shared" si="52"/>
        <v>0-7 days</v>
      </c>
    </row>
    <row r="383" spans="1:20" x14ac:dyDescent="0.3">
      <c r="A383" s="20" t="s">
        <v>449</v>
      </c>
      <c r="B383" s="20" t="s">
        <v>19</v>
      </c>
      <c r="C383" s="21">
        <v>45527</v>
      </c>
      <c r="D383" s="21">
        <v>45547</v>
      </c>
      <c r="E383" s="21">
        <v>45543</v>
      </c>
      <c r="F383" s="20" t="s">
        <v>59</v>
      </c>
      <c r="G383" s="22">
        <v>111.97</v>
      </c>
      <c r="H383" s="22">
        <v>17.399999999999999</v>
      </c>
      <c r="I383" s="20" t="s">
        <v>45</v>
      </c>
      <c r="J383" s="20">
        <v>4</v>
      </c>
      <c r="K383" s="20" t="s">
        <v>46</v>
      </c>
      <c r="L383" s="23">
        <f t="shared" si="46"/>
        <v>45505</v>
      </c>
      <c r="M383" s="20">
        <f t="shared" si="47"/>
        <v>20</v>
      </c>
      <c r="N383" s="20">
        <f t="shared" si="48"/>
        <v>4</v>
      </c>
      <c r="O383" s="20">
        <f t="shared" si="49"/>
        <v>0</v>
      </c>
      <c r="P383" s="22">
        <f t="shared" si="50"/>
        <v>129.37</v>
      </c>
      <c r="Q383" s="22">
        <f>G383*INDEX(Assumptions!$B$8:$B$16,MATCH(F383,Assumptions!$A$8:$A$16,0))</f>
        <v>71.660799999999995</v>
      </c>
      <c r="R383" s="22">
        <f>H383*Assumptions!$B$3</f>
        <v>10.44</v>
      </c>
      <c r="S383" s="22">
        <f t="shared" si="51"/>
        <v>29.869200000000006</v>
      </c>
      <c r="T383" s="20" t="str">
        <f t="shared" si="52"/>
        <v>15-21 days</v>
      </c>
    </row>
    <row r="384" spans="1:20" x14ac:dyDescent="0.3">
      <c r="A384" s="20" t="s">
        <v>450</v>
      </c>
      <c r="B384" s="20" t="s">
        <v>62</v>
      </c>
      <c r="C384" s="21">
        <v>45527</v>
      </c>
      <c r="D384" s="21">
        <v>45534</v>
      </c>
      <c r="E384" s="21">
        <v>45544</v>
      </c>
      <c r="F384" s="20" t="s">
        <v>53</v>
      </c>
      <c r="G384" s="22">
        <v>166.05</v>
      </c>
      <c r="H384" s="22">
        <v>27.44</v>
      </c>
      <c r="I384" s="20" t="s">
        <v>45</v>
      </c>
      <c r="J384" s="20">
        <v>4</v>
      </c>
      <c r="K384" s="20" t="s">
        <v>46</v>
      </c>
      <c r="L384" s="23">
        <f t="shared" si="46"/>
        <v>45505</v>
      </c>
      <c r="M384" s="20">
        <f t="shared" si="47"/>
        <v>7</v>
      </c>
      <c r="N384" s="20">
        <f t="shared" si="48"/>
        <v>0</v>
      </c>
      <c r="O384" s="20">
        <f t="shared" si="49"/>
        <v>1</v>
      </c>
      <c r="P384" s="22">
        <f t="shared" si="50"/>
        <v>193.49</v>
      </c>
      <c r="Q384" s="22">
        <f>G384*INDEX(Assumptions!$B$8:$B$16,MATCH(F384,Assumptions!$A$8:$A$16,0))</f>
        <v>122.87700000000001</v>
      </c>
      <c r="R384" s="22">
        <f>H384*Assumptions!$B$3</f>
        <v>16.463999999999999</v>
      </c>
      <c r="S384" s="22">
        <f t="shared" si="51"/>
        <v>26.709000000000003</v>
      </c>
      <c r="T384" s="20" t="str">
        <f t="shared" si="52"/>
        <v>0-7 days</v>
      </c>
    </row>
    <row r="385" spans="1:20" x14ac:dyDescent="0.3">
      <c r="A385" s="20" t="s">
        <v>451</v>
      </c>
      <c r="B385" s="20" t="s">
        <v>19</v>
      </c>
      <c r="C385" s="21">
        <v>45527</v>
      </c>
      <c r="D385" s="21">
        <v>45533</v>
      </c>
      <c r="E385" s="21">
        <v>45543</v>
      </c>
      <c r="F385" s="20" t="s">
        <v>44</v>
      </c>
      <c r="G385" s="22">
        <v>68.39</v>
      </c>
      <c r="H385" s="22">
        <v>21.6</v>
      </c>
      <c r="I385" s="20" t="s">
        <v>104</v>
      </c>
      <c r="J385" s="20">
        <v>5</v>
      </c>
      <c r="K385" s="20" t="s">
        <v>46</v>
      </c>
      <c r="L385" s="23">
        <f t="shared" si="46"/>
        <v>45505</v>
      </c>
      <c r="M385" s="20">
        <f t="shared" si="47"/>
        <v>6</v>
      </c>
      <c r="N385" s="20">
        <f t="shared" si="48"/>
        <v>0</v>
      </c>
      <c r="O385" s="20">
        <f t="shared" si="49"/>
        <v>1</v>
      </c>
      <c r="P385" s="22">
        <f t="shared" si="50"/>
        <v>89.990000000000009</v>
      </c>
      <c r="Q385" s="22">
        <f>G385*INDEX(Assumptions!$B$8:$B$16,MATCH(F385,Assumptions!$A$8:$A$16,0))</f>
        <v>41.033999999999999</v>
      </c>
      <c r="R385" s="22">
        <f>H385*Assumptions!$B$3</f>
        <v>12.96</v>
      </c>
      <c r="S385" s="22">
        <f t="shared" si="51"/>
        <v>14.396000000000001</v>
      </c>
      <c r="T385" s="20" t="str">
        <f t="shared" si="52"/>
        <v>0-7 days</v>
      </c>
    </row>
    <row r="386" spans="1:20" x14ac:dyDescent="0.3">
      <c r="A386" s="20" t="s">
        <v>452</v>
      </c>
      <c r="B386" s="20" t="s">
        <v>62</v>
      </c>
      <c r="C386" s="21">
        <v>45528</v>
      </c>
      <c r="D386" s="21">
        <v>45543</v>
      </c>
      <c r="E386" s="21">
        <v>45549</v>
      </c>
      <c r="F386" s="20" t="s">
        <v>53</v>
      </c>
      <c r="G386" s="22">
        <v>26.78</v>
      </c>
      <c r="H386" s="22">
        <v>25.87</v>
      </c>
      <c r="I386" s="20" t="s">
        <v>45</v>
      </c>
      <c r="J386" s="20">
        <v>5</v>
      </c>
      <c r="K386" s="20" t="s">
        <v>46</v>
      </c>
      <c r="L386" s="23">
        <f t="shared" ref="L386:L449" si="53">DATE(YEAR(C386),MONTH(C386),1)</f>
        <v>45505</v>
      </c>
      <c r="M386" s="20">
        <f t="shared" ref="M386:M449" si="54">D386-C386</f>
        <v>15</v>
      </c>
      <c r="N386" s="20">
        <f t="shared" ref="N386:N449" si="55">MAX(0,D386-E386)</f>
        <v>0</v>
      </c>
      <c r="O386" s="20">
        <f t="shared" ref="O386:O449" si="56">IF(D386&lt;=E386,1,0)</f>
        <v>1</v>
      </c>
      <c r="P386" s="22">
        <f t="shared" ref="P386:P449" si="57">G386+H386</f>
        <v>52.650000000000006</v>
      </c>
      <c r="Q386" s="22">
        <f>G386*INDEX(Assumptions!$B$8:$B$16,MATCH(F386,Assumptions!$A$8:$A$16,0))</f>
        <v>19.8172</v>
      </c>
      <c r="R386" s="22">
        <f>H386*Assumptions!$B$3</f>
        <v>15.522</v>
      </c>
      <c r="S386" s="22">
        <f t="shared" ref="S386:S449" si="58">G386-Q386-R386</f>
        <v>-8.5591999999999988</v>
      </c>
      <c r="T386" s="20" t="str">
        <f t="shared" ref="T386:T449" si="59">IF(M386&lt;=7,"0-7 days",IF(M386&lt;=14,"8-14 days",IF(M386&lt;=21,"15-21 days","22+ days")))</f>
        <v>15-21 days</v>
      </c>
    </row>
    <row r="387" spans="1:20" x14ac:dyDescent="0.3">
      <c r="A387" s="20" t="s">
        <v>453</v>
      </c>
      <c r="B387" s="20" t="s">
        <v>19</v>
      </c>
      <c r="C387" s="21">
        <v>45528</v>
      </c>
      <c r="D387" s="21">
        <v>45534</v>
      </c>
      <c r="E387" s="21">
        <v>45542</v>
      </c>
      <c r="F387" s="20" t="s">
        <v>49</v>
      </c>
      <c r="G387" s="22">
        <v>59.12</v>
      </c>
      <c r="H387" s="22">
        <v>12.49</v>
      </c>
      <c r="I387" s="20" t="s">
        <v>60</v>
      </c>
      <c r="J387" s="20">
        <v>4</v>
      </c>
      <c r="K387" s="20" t="s">
        <v>46</v>
      </c>
      <c r="L387" s="23">
        <f t="shared" si="53"/>
        <v>45505</v>
      </c>
      <c r="M387" s="20">
        <f t="shared" si="54"/>
        <v>6</v>
      </c>
      <c r="N387" s="20">
        <f t="shared" si="55"/>
        <v>0</v>
      </c>
      <c r="O387" s="20">
        <f t="shared" si="56"/>
        <v>1</v>
      </c>
      <c r="P387" s="22">
        <f t="shared" si="57"/>
        <v>71.61</v>
      </c>
      <c r="Q387" s="22">
        <f>G387*INDEX(Assumptions!$B$8:$B$16,MATCH(F387,Assumptions!$A$8:$A$16,0))</f>
        <v>34.289599999999993</v>
      </c>
      <c r="R387" s="22">
        <f>H387*Assumptions!$B$3</f>
        <v>7.4939999999999998</v>
      </c>
      <c r="S387" s="22">
        <f t="shared" si="58"/>
        <v>17.336400000000005</v>
      </c>
      <c r="T387" s="20" t="str">
        <f t="shared" si="59"/>
        <v>0-7 days</v>
      </c>
    </row>
    <row r="388" spans="1:20" x14ac:dyDescent="0.3">
      <c r="A388" s="20" t="s">
        <v>454</v>
      </c>
      <c r="B388" s="20" t="s">
        <v>19</v>
      </c>
      <c r="C388" s="21">
        <v>45528</v>
      </c>
      <c r="D388" s="21">
        <v>45537</v>
      </c>
      <c r="E388" s="21">
        <v>45544</v>
      </c>
      <c r="F388" s="20" t="s">
        <v>57</v>
      </c>
      <c r="G388" s="22">
        <v>47.23</v>
      </c>
      <c r="H388" s="22">
        <v>20.71</v>
      </c>
      <c r="I388" s="20" t="s">
        <v>45</v>
      </c>
      <c r="J388" s="20">
        <v>5</v>
      </c>
      <c r="K388" s="20" t="s">
        <v>46</v>
      </c>
      <c r="L388" s="23">
        <f t="shared" si="53"/>
        <v>45505</v>
      </c>
      <c r="M388" s="20">
        <f t="shared" si="54"/>
        <v>9</v>
      </c>
      <c r="N388" s="20">
        <f t="shared" si="55"/>
        <v>0</v>
      </c>
      <c r="O388" s="20">
        <f t="shared" si="56"/>
        <v>1</v>
      </c>
      <c r="P388" s="22">
        <f t="shared" si="57"/>
        <v>67.94</v>
      </c>
      <c r="Q388" s="22">
        <f>G388*INDEX(Assumptions!$B$8:$B$16,MATCH(F388,Assumptions!$A$8:$A$16,0))</f>
        <v>32.116399999999999</v>
      </c>
      <c r="R388" s="22">
        <f>H388*Assumptions!$B$3</f>
        <v>12.426</v>
      </c>
      <c r="S388" s="22">
        <f t="shared" si="58"/>
        <v>2.687599999999998</v>
      </c>
      <c r="T388" s="20" t="str">
        <f t="shared" si="59"/>
        <v>8-14 days</v>
      </c>
    </row>
    <row r="389" spans="1:20" x14ac:dyDescent="0.3">
      <c r="A389" s="20" t="s">
        <v>455</v>
      </c>
      <c r="B389" s="20" t="s">
        <v>48</v>
      </c>
      <c r="C389" s="21">
        <v>45529</v>
      </c>
      <c r="D389" s="21">
        <v>45544</v>
      </c>
      <c r="E389" s="21">
        <v>45548</v>
      </c>
      <c r="F389" s="20" t="s">
        <v>79</v>
      </c>
      <c r="G389" s="22">
        <v>109.06</v>
      </c>
      <c r="H389" s="22">
        <v>23.65</v>
      </c>
      <c r="I389" s="20" t="s">
        <v>60</v>
      </c>
      <c r="J389" s="20">
        <v>5</v>
      </c>
      <c r="K389" s="20" t="s">
        <v>46</v>
      </c>
      <c r="L389" s="23">
        <f t="shared" si="53"/>
        <v>45505</v>
      </c>
      <c r="M389" s="20">
        <f t="shared" si="54"/>
        <v>15</v>
      </c>
      <c r="N389" s="20">
        <f t="shared" si="55"/>
        <v>0</v>
      </c>
      <c r="O389" s="20">
        <f t="shared" si="56"/>
        <v>1</v>
      </c>
      <c r="P389" s="22">
        <f t="shared" si="57"/>
        <v>132.71</v>
      </c>
      <c r="Q389" s="22">
        <f>G389*INDEX(Assumptions!$B$8:$B$16,MATCH(F389,Assumptions!$A$8:$A$16,0))</f>
        <v>76.341999999999999</v>
      </c>
      <c r="R389" s="22">
        <f>H389*Assumptions!$B$3</f>
        <v>14.19</v>
      </c>
      <c r="S389" s="22">
        <f t="shared" si="58"/>
        <v>18.528000000000006</v>
      </c>
      <c r="T389" s="20" t="str">
        <f t="shared" si="59"/>
        <v>15-21 days</v>
      </c>
    </row>
    <row r="390" spans="1:20" x14ac:dyDescent="0.3">
      <c r="A390" s="20" t="s">
        <v>456</v>
      </c>
      <c r="B390" s="20" t="s">
        <v>134</v>
      </c>
      <c r="C390" s="21">
        <v>45529</v>
      </c>
      <c r="D390" s="21">
        <v>45541</v>
      </c>
      <c r="E390" s="21">
        <v>45553</v>
      </c>
      <c r="F390" s="20" t="s">
        <v>49</v>
      </c>
      <c r="G390" s="22">
        <v>262.7</v>
      </c>
      <c r="H390" s="22">
        <v>33.5</v>
      </c>
      <c r="I390" s="20" t="s">
        <v>45</v>
      </c>
      <c r="J390" s="20">
        <v>4</v>
      </c>
      <c r="K390" s="20" t="s">
        <v>46</v>
      </c>
      <c r="L390" s="23">
        <f t="shared" si="53"/>
        <v>45505</v>
      </c>
      <c r="M390" s="20">
        <f t="shared" si="54"/>
        <v>12</v>
      </c>
      <c r="N390" s="20">
        <f t="shared" si="55"/>
        <v>0</v>
      </c>
      <c r="O390" s="20">
        <f t="shared" si="56"/>
        <v>1</v>
      </c>
      <c r="P390" s="22">
        <f t="shared" si="57"/>
        <v>296.2</v>
      </c>
      <c r="Q390" s="22">
        <f>G390*INDEX(Assumptions!$B$8:$B$16,MATCH(F390,Assumptions!$A$8:$A$16,0))</f>
        <v>152.36599999999999</v>
      </c>
      <c r="R390" s="22">
        <f>H390*Assumptions!$B$3</f>
        <v>20.099999999999998</v>
      </c>
      <c r="S390" s="22">
        <f t="shared" si="58"/>
        <v>90.234000000000009</v>
      </c>
      <c r="T390" s="20" t="str">
        <f t="shared" si="59"/>
        <v>8-14 days</v>
      </c>
    </row>
    <row r="391" spans="1:20" x14ac:dyDescent="0.3">
      <c r="A391" s="20" t="s">
        <v>457</v>
      </c>
      <c r="B391" s="20" t="s">
        <v>55</v>
      </c>
      <c r="C391" s="21">
        <v>45529</v>
      </c>
      <c r="D391" s="21">
        <v>45543</v>
      </c>
      <c r="E391" s="21">
        <v>45553</v>
      </c>
      <c r="F391" s="20" t="s">
        <v>67</v>
      </c>
      <c r="G391" s="22">
        <v>65.12</v>
      </c>
      <c r="H391" s="22">
        <v>21.43</v>
      </c>
      <c r="I391" s="20" t="s">
        <v>45</v>
      </c>
      <c r="J391" s="20">
        <v>3</v>
      </c>
      <c r="K391" s="20" t="s">
        <v>46</v>
      </c>
      <c r="L391" s="23">
        <f t="shared" si="53"/>
        <v>45505</v>
      </c>
      <c r="M391" s="20">
        <f t="shared" si="54"/>
        <v>14</v>
      </c>
      <c r="N391" s="20">
        <f t="shared" si="55"/>
        <v>0</v>
      </c>
      <c r="O391" s="20">
        <f t="shared" si="56"/>
        <v>1</v>
      </c>
      <c r="P391" s="22">
        <f t="shared" si="57"/>
        <v>86.550000000000011</v>
      </c>
      <c r="Q391" s="22">
        <f>G391*INDEX(Assumptions!$B$8:$B$16,MATCH(F391,Assumptions!$A$8:$A$16,0))</f>
        <v>40.374400000000001</v>
      </c>
      <c r="R391" s="22">
        <f>H391*Assumptions!$B$3</f>
        <v>12.857999999999999</v>
      </c>
      <c r="S391" s="22">
        <f t="shared" si="58"/>
        <v>11.887600000000004</v>
      </c>
      <c r="T391" s="20" t="str">
        <f t="shared" si="59"/>
        <v>8-14 days</v>
      </c>
    </row>
    <row r="392" spans="1:20" x14ac:dyDescent="0.3">
      <c r="A392" s="20" t="s">
        <v>458</v>
      </c>
      <c r="B392" s="20" t="s">
        <v>19</v>
      </c>
      <c r="C392" s="21">
        <v>45530</v>
      </c>
      <c r="D392" s="21">
        <v>45541</v>
      </c>
      <c r="E392" s="21">
        <v>45548</v>
      </c>
      <c r="F392" s="20" t="s">
        <v>44</v>
      </c>
      <c r="G392" s="22">
        <v>73</v>
      </c>
      <c r="H392" s="22">
        <v>15.13</v>
      </c>
      <c r="I392" s="20" t="s">
        <v>50</v>
      </c>
      <c r="J392" s="20">
        <v>5</v>
      </c>
      <c r="K392" s="20" t="s">
        <v>46</v>
      </c>
      <c r="L392" s="23">
        <f t="shared" si="53"/>
        <v>45505</v>
      </c>
      <c r="M392" s="20">
        <f t="shared" si="54"/>
        <v>11</v>
      </c>
      <c r="N392" s="20">
        <f t="shared" si="55"/>
        <v>0</v>
      </c>
      <c r="O392" s="20">
        <f t="shared" si="56"/>
        <v>1</v>
      </c>
      <c r="P392" s="22">
        <f t="shared" si="57"/>
        <v>88.13</v>
      </c>
      <c r="Q392" s="22">
        <f>G392*INDEX(Assumptions!$B$8:$B$16,MATCH(F392,Assumptions!$A$8:$A$16,0))</f>
        <v>43.8</v>
      </c>
      <c r="R392" s="22">
        <f>H392*Assumptions!$B$3</f>
        <v>9.0779999999999994</v>
      </c>
      <c r="S392" s="22">
        <f t="shared" si="58"/>
        <v>20.122000000000003</v>
      </c>
      <c r="T392" s="20" t="str">
        <f t="shared" si="59"/>
        <v>8-14 days</v>
      </c>
    </row>
    <row r="393" spans="1:20" x14ac:dyDescent="0.3">
      <c r="A393" s="20" t="s">
        <v>459</v>
      </c>
      <c r="B393" s="20" t="s">
        <v>19</v>
      </c>
      <c r="C393" s="21">
        <v>45530</v>
      </c>
      <c r="D393" s="21">
        <v>45541</v>
      </c>
      <c r="E393" s="21">
        <v>45548</v>
      </c>
      <c r="F393" s="20" t="s">
        <v>79</v>
      </c>
      <c r="G393" s="22">
        <v>83.18</v>
      </c>
      <c r="H393" s="22">
        <v>14.81</v>
      </c>
      <c r="I393" s="20" t="s">
        <v>60</v>
      </c>
      <c r="J393" s="20">
        <v>4</v>
      </c>
      <c r="K393" s="20" t="s">
        <v>46</v>
      </c>
      <c r="L393" s="23">
        <f t="shared" si="53"/>
        <v>45505</v>
      </c>
      <c r="M393" s="20">
        <f t="shared" si="54"/>
        <v>11</v>
      </c>
      <c r="N393" s="20">
        <f t="shared" si="55"/>
        <v>0</v>
      </c>
      <c r="O393" s="20">
        <f t="shared" si="56"/>
        <v>1</v>
      </c>
      <c r="P393" s="22">
        <f t="shared" si="57"/>
        <v>97.990000000000009</v>
      </c>
      <c r="Q393" s="22">
        <f>G393*INDEX(Assumptions!$B$8:$B$16,MATCH(F393,Assumptions!$A$8:$A$16,0))</f>
        <v>58.225999999999999</v>
      </c>
      <c r="R393" s="22">
        <f>H393*Assumptions!$B$3</f>
        <v>8.8859999999999992</v>
      </c>
      <c r="S393" s="22">
        <f t="shared" si="58"/>
        <v>16.068000000000008</v>
      </c>
      <c r="T393" s="20" t="str">
        <f t="shared" si="59"/>
        <v>8-14 days</v>
      </c>
    </row>
    <row r="394" spans="1:20" x14ac:dyDescent="0.3">
      <c r="A394" s="20" t="s">
        <v>460</v>
      </c>
      <c r="B394" s="20" t="s">
        <v>19</v>
      </c>
      <c r="C394" s="21">
        <v>45530</v>
      </c>
      <c r="D394" s="21">
        <v>45536</v>
      </c>
      <c r="E394" s="21">
        <v>45544</v>
      </c>
      <c r="F394" s="20" t="s">
        <v>53</v>
      </c>
      <c r="G394" s="22">
        <v>143.81</v>
      </c>
      <c r="H394" s="22">
        <v>15.75</v>
      </c>
      <c r="I394" s="20" t="s">
        <v>45</v>
      </c>
      <c r="J394" s="20">
        <v>4</v>
      </c>
      <c r="K394" s="20" t="s">
        <v>46</v>
      </c>
      <c r="L394" s="23">
        <f t="shared" si="53"/>
        <v>45505</v>
      </c>
      <c r="M394" s="20">
        <f t="shared" si="54"/>
        <v>6</v>
      </c>
      <c r="N394" s="20">
        <f t="shared" si="55"/>
        <v>0</v>
      </c>
      <c r="O394" s="20">
        <f t="shared" si="56"/>
        <v>1</v>
      </c>
      <c r="P394" s="22">
        <f t="shared" si="57"/>
        <v>159.56</v>
      </c>
      <c r="Q394" s="22">
        <f>G394*INDEX(Assumptions!$B$8:$B$16,MATCH(F394,Assumptions!$A$8:$A$16,0))</f>
        <v>106.4194</v>
      </c>
      <c r="R394" s="22">
        <f>H394*Assumptions!$B$3</f>
        <v>9.4499999999999993</v>
      </c>
      <c r="S394" s="22">
        <f t="shared" si="58"/>
        <v>27.940600000000007</v>
      </c>
      <c r="T394" s="20" t="str">
        <f t="shared" si="59"/>
        <v>0-7 days</v>
      </c>
    </row>
    <row r="395" spans="1:20" x14ac:dyDescent="0.3">
      <c r="A395" s="20" t="s">
        <v>461</v>
      </c>
      <c r="B395" s="20" t="s">
        <v>19</v>
      </c>
      <c r="C395" s="21">
        <v>45531</v>
      </c>
      <c r="D395" s="21">
        <v>45540</v>
      </c>
      <c r="E395" s="21">
        <v>45546</v>
      </c>
      <c r="F395" s="20" t="s">
        <v>49</v>
      </c>
      <c r="G395" s="22">
        <v>26.94</v>
      </c>
      <c r="H395" s="22">
        <v>18.100000000000001</v>
      </c>
      <c r="I395" s="20" t="s">
        <v>45</v>
      </c>
      <c r="J395" s="20">
        <v>5</v>
      </c>
      <c r="K395" s="20" t="s">
        <v>46</v>
      </c>
      <c r="L395" s="23">
        <f t="shared" si="53"/>
        <v>45505</v>
      </c>
      <c r="M395" s="20">
        <f t="shared" si="54"/>
        <v>9</v>
      </c>
      <c r="N395" s="20">
        <f t="shared" si="55"/>
        <v>0</v>
      </c>
      <c r="O395" s="20">
        <f t="shared" si="56"/>
        <v>1</v>
      </c>
      <c r="P395" s="22">
        <f t="shared" si="57"/>
        <v>45.040000000000006</v>
      </c>
      <c r="Q395" s="22">
        <f>G395*INDEX(Assumptions!$B$8:$B$16,MATCH(F395,Assumptions!$A$8:$A$16,0))</f>
        <v>15.6252</v>
      </c>
      <c r="R395" s="22">
        <f>H395*Assumptions!$B$3</f>
        <v>10.860000000000001</v>
      </c>
      <c r="S395" s="22">
        <f t="shared" si="58"/>
        <v>0.45480000000000054</v>
      </c>
      <c r="T395" s="20" t="str">
        <f t="shared" si="59"/>
        <v>8-14 days</v>
      </c>
    </row>
    <row r="396" spans="1:20" x14ac:dyDescent="0.3">
      <c r="A396" s="20" t="s">
        <v>462</v>
      </c>
      <c r="B396" s="20" t="s">
        <v>62</v>
      </c>
      <c r="C396" s="21">
        <v>45531</v>
      </c>
      <c r="D396" s="21">
        <v>45536</v>
      </c>
      <c r="E396" s="21">
        <v>45551</v>
      </c>
      <c r="F396" s="20" t="s">
        <v>49</v>
      </c>
      <c r="G396" s="22">
        <v>40.68</v>
      </c>
      <c r="H396" s="22">
        <v>24.08</v>
      </c>
      <c r="I396" s="20" t="s">
        <v>45</v>
      </c>
      <c r="J396" s="20">
        <v>4</v>
      </c>
      <c r="K396" s="20" t="s">
        <v>46</v>
      </c>
      <c r="L396" s="23">
        <f t="shared" si="53"/>
        <v>45505</v>
      </c>
      <c r="M396" s="20">
        <f t="shared" si="54"/>
        <v>5</v>
      </c>
      <c r="N396" s="20">
        <f t="shared" si="55"/>
        <v>0</v>
      </c>
      <c r="O396" s="20">
        <f t="shared" si="56"/>
        <v>1</v>
      </c>
      <c r="P396" s="22">
        <f t="shared" si="57"/>
        <v>64.759999999999991</v>
      </c>
      <c r="Q396" s="22">
        <f>G396*INDEX(Assumptions!$B$8:$B$16,MATCH(F396,Assumptions!$A$8:$A$16,0))</f>
        <v>23.594399999999997</v>
      </c>
      <c r="R396" s="22">
        <f>H396*Assumptions!$B$3</f>
        <v>14.447999999999999</v>
      </c>
      <c r="S396" s="22">
        <f t="shared" si="58"/>
        <v>2.6376000000000044</v>
      </c>
      <c r="T396" s="20" t="str">
        <f t="shared" si="59"/>
        <v>0-7 days</v>
      </c>
    </row>
    <row r="397" spans="1:20" x14ac:dyDescent="0.3">
      <c r="A397" s="20" t="s">
        <v>463</v>
      </c>
      <c r="B397" s="20" t="s">
        <v>62</v>
      </c>
      <c r="C397" s="21">
        <v>45531</v>
      </c>
      <c r="D397" s="21">
        <v>45539</v>
      </c>
      <c r="E397" s="21">
        <v>45551</v>
      </c>
      <c r="F397" s="20" t="s">
        <v>57</v>
      </c>
      <c r="G397" s="22">
        <v>73.069999999999993</v>
      </c>
      <c r="H397" s="22">
        <v>16.64</v>
      </c>
      <c r="I397" s="20" t="s">
        <v>45</v>
      </c>
      <c r="J397" s="20">
        <v>5</v>
      </c>
      <c r="K397" s="20" t="s">
        <v>46</v>
      </c>
      <c r="L397" s="23">
        <f t="shared" si="53"/>
        <v>45505</v>
      </c>
      <c r="M397" s="20">
        <f t="shared" si="54"/>
        <v>8</v>
      </c>
      <c r="N397" s="20">
        <f t="shared" si="55"/>
        <v>0</v>
      </c>
      <c r="O397" s="20">
        <f t="shared" si="56"/>
        <v>1</v>
      </c>
      <c r="P397" s="22">
        <f t="shared" si="57"/>
        <v>89.71</v>
      </c>
      <c r="Q397" s="22">
        <f>G397*INDEX(Assumptions!$B$8:$B$16,MATCH(F397,Assumptions!$A$8:$A$16,0))</f>
        <v>49.687599999999996</v>
      </c>
      <c r="R397" s="22">
        <f>H397*Assumptions!$B$3</f>
        <v>9.984</v>
      </c>
      <c r="S397" s="22">
        <f t="shared" si="58"/>
        <v>13.398399999999997</v>
      </c>
      <c r="T397" s="20" t="str">
        <f t="shared" si="59"/>
        <v>8-14 days</v>
      </c>
    </row>
    <row r="398" spans="1:20" x14ac:dyDescent="0.3">
      <c r="A398" s="20" t="s">
        <v>464</v>
      </c>
      <c r="B398" s="20" t="s">
        <v>77</v>
      </c>
      <c r="C398" s="21">
        <v>45531</v>
      </c>
      <c r="D398" s="21">
        <v>45548</v>
      </c>
      <c r="E398" s="21">
        <v>45558</v>
      </c>
      <c r="F398" s="20" t="s">
        <v>59</v>
      </c>
      <c r="G398" s="22">
        <v>48.27</v>
      </c>
      <c r="H398" s="22">
        <v>31.3</v>
      </c>
      <c r="I398" s="20" t="s">
        <v>60</v>
      </c>
      <c r="J398" s="20">
        <v>4</v>
      </c>
      <c r="K398" s="20" t="s">
        <v>46</v>
      </c>
      <c r="L398" s="23">
        <f t="shared" si="53"/>
        <v>45505</v>
      </c>
      <c r="M398" s="20">
        <f t="shared" si="54"/>
        <v>17</v>
      </c>
      <c r="N398" s="20">
        <f t="shared" si="55"/>
        <v>0</v>
      </c>
      <c r="O398" s="20">
        <f t="shared" si="56"/>
        <v>1</v>
      </c>
      <c r="P398" s="22">
        <f t="shared" si="57"/>
        <v>79.570000000000007</v>
      </c>
      <c r="Q398" s="22">
        <f>G398*INDEX(Assumptions!$B$8:$B$16,MATCH(F398,Assumptions!$A$8:$A$16,0))</f>
        <v>30.892800000000001</v>
      </c>
      <c r="R398" s="22">
        <f>H398*Assumptions!$B$3</f>
        <v>18.78</v>
      </c>
      <c r="S398" s="22">
        <f t="shared" si="58"/>
        <v>-1.4027999999999992</v>
      </c>
      <c r="T398" s="20" t="str">
        <f t="shared" si="59"/>
        <v>15-21 days</v>
      </c>
    </row>
    <row r="399" spans="1:20" x14ac:dyDescent="0.3">
      <c r="A399" s="20" t="s">
        <v>465</v>
      </c>
      <c r="B399" s="20" t="s">
        <v>19</v>
      </c>
      <c r="C399" s="21">
        <v>45531</v>
      </c>
      <c r="D399" s="21">
        <v>45535</v>
      </c>
      <c r="E399" s="21">
        <v>45547</v>
      </c>
      <c r="F399" s="20" t="s">
        <v>64</v>
      </c>
      <c r="G399" s="22">
        <v>125.05</v>
      </c>
      <c r="H399" s="22">
        <v>17.79</v>
      </c>
      <c r="I399" s="20" t="s">
        <v>45</v>
      </c>
      <c r="J399" s="20">
        <v>4</v>
      </c>
      <c r="K399" s="20" t="s">
        <v>46</v>
      </c>
      <c r="L399" s="23">
        <f t="shared" si="53"/>
        <v>45505</v>
      </c>
      <c r="M399" s="20">
        <f t="shared" si="54"/>
        <v>4</v>
      </c>
      <c r="N399" s="20">
        <f t="shared" si="55"/>
        <v>0</v>
      </c>
      <c r="O399" s="20">
        <f t="shared" si="56"/>
        <v>1</v>
      </c>
      <c r="P399" s="22">
        <f t="shared" si="57"/>
        <v>142.84</v>
      </c>
      <c r="Q399" s="22">
        <f>G399*INDEX(Assumptions!$B$8:$B$16,MATCH(F399,Assumptions!$A$8:$A$16,0))</f>
        <v>82.533000000000001</v>
      </c>
      <c r="R399" s="22">
        <f>H399*Assumptions!$B$3</f>
        <v>10.673999999999999</v>
      </c>
      <c r="S399" s="22">
        <f t="shared" si="58"/>
        <v>31.842999999999996</v>
      </c>
      <c r="T399" s="20" t="str">
        <f t="shared" si="59"/>
        <v>0-7 days</v>
      </c>
    </row>
    <row r="400" spans="1:20" x14ac:dyDescent="0.3">
      <c r="A400" s="20" t="s">
        <v>466</v>
      </c>
      <c r="B400" s="20" t="s">
        <v>55</v>
      </c>
      <c r="C400" s="21">
        <v>45531</v>
      </c>
      <c r="D400" s="21">
        <v>45551</v>
      </c>
      <c r="E400" s="21">
        <v>45555</v>
      </c>
      <c r="F400" s="20" t="s">
        <v>59</v>
      </c>
      <c r="G400" s="22">
        <v>98.44</v>
      </c>
      <c r="H400" s="22">
        <v>30.76</v>
      </c>
      <c r="I400" s="20" t="s">
        <v>45</v>
      </c>
      <c r="J400" s="20">
        <v>4</v>
      </c>
      <c r="K400" s="20" t="s">
        <v>46</v>
      </c>
      <c r="L400" s="23">
        <f t="shared" si="53"/>
        <v>45505</v>
      </c>
      <c r="M400" s="20">
        <f t="shared" si="54"/>
        <v>20</v>
      </c>
      <c r="N400" s="20">
        <f t="shared" si="55"/>
        <v>0</v>
      </c>
      <c r="O400" s="20">
        <f t="shared" si="56"/>
        <v>1</v>
      </c>
      <c r="P400" s="22">
        <f t="shared" si="57"/>
        <v>129.19999999999999</v>
      </c>
      <c r="Q400" s="22">
        <f>G400*INDEX(Assumptions!$B$8:$B$16,MATCH(F400,Assumptions!$A$8:$A$16,0))</f>
        <v>63.001600000000003</v>
      </c>
      <c r="R400" s="22">
        <f>H400*Assumptions!$B$3</f>
        <v>18.456</v>
      </c>
      <c r="S400" s="22">
        <f t="shared" si="58"/>
        <v>16.982399999999995</v>
      </c>
      <c r="T400" s="20" t="str">
        <f t="shared" si="59"/>
        <v>15-21 days</v>
      </c>
    </row>
    <row r="401" spans="1:20" x14ac:dyDescent="0.3">
      <c r="A401" s="20" t="s">
        <v>467</v>
      </c>
      <c r="B401" s="20" t="s">
        <v>134</v>
      </c>
      <c r="C401" s="21">
        <v>45531</v>
      </c>
      <c r="D401" s="21">
        <v>45546</v>
      </c>
      <c r="E401" s="21">
        <v>45552</v>
      </c>
      <c r="F401" s="20" t="s">
        <v>44</v>
      </c>
      <c r="G401" s="22">
        <v>74.91</v>
      </c>
      <c r="H401" s="22">
        <v>20.78</v>
      </c>
      <c r="I401" s="20" t="s">
        <v>45</v>
      </c>
      <c r="J401" s="20">
        <v>5</v>
      </c>
      <c r="K401" s="20" t="s">
        <v>46</v>
      </c>
      <c r="L401" s="23">
        <f t="shared" si="53"/>
        <v>45505</v>
      </c>
      <c r="M401" s="20">
        <f t="shared" si="54"/>
        <v>15</v>
      </c>
      <c r="N401" s="20">
        <f t="shared" si="55"/>
        <v>0</v>
      </c>
      <c r="O401" s="20">
        <f t="shared" si="56"/>
        <v>1</v>
      </c>
      <c r="P401" s="22">
        <f t="shared" si="57"/>
        <v>95.69</v>
      </c>
      <c r="Q401" s="22">
        <f>G401*INDEX(Assumptions!$B$8:$B$16,MATCH(F401,Assumptions!$A$8:$A$16,0))</f>
        <v>44.945999999999998</v>
      </c>
      <c r="R401" s="22">
        <f>H401*Assumptions!$B$3</f>
        <v>12.468</v>
      </c>
      <c r="S401" s="22">
        <f t="shared" si="58"/>
        <v>17.495999999999999</v>
      </c>
      <c r="T401" s="20" t="str">
        <f t="shared" si="59"/>
        <v>15-21 days</v>
      </c>
    </row>
    <row r="402" spans="1:20" x14ac:dyDescent="0.3">
      <c r="A402" s="20" t="s">
        <v>468</v>
      </c>
      <c r="B402" s="20" t="s">
        <v>48</v>
      </c>
      <c r="C402" s="21">
        <v>45532</v>
      </c>
      <c r="D402" s="21">
        <v>45546</v>
      </c>
      <c r="E402" s="21">
        <v>45551</v>
      </c>
      <c r="F402" s="20" t="s">
        <v>59</v>
      </c>
      <c r="G402" s="22">
        <v>72.37</v>
      </c>
      <c r="H402" s="22">
        <v>15.54</v>
      </c>
      <c r="I402" s="20" t="s">
        <v>45</v>
      </c>
      <c r="J402" s="20">
        <v>5</v>
      </c>
      <c r="K402" s="20" t="s">
        <v>46</v>
      </c>
      <c r="L402" s="23">
        <f t="shared" si="53"/>
        <v>45505</v>
      </c>
      <c r="M402" s="20">
        <f t="shared" si="54"/>
        <v>14</v>
      </c>
      <c r="N402" s="20">
        <f t="shared" si="55"/>
        <v>0</v>
      </c>
      <c r="O402" s="20">
        <f t="shared" si="56"/>
        <v>1</v>
      </c>
      <c r="P402" s="22">
        <f t="shared" si="57"/>
        <v>87.91</v>
      </c>
      <c r="Q402" s="22">
        <f>G402*INDEX(Assumptions!$B$8:$B$16,MATCH(F402,Assumptions!$A$8:$A$16,0))</f>
        <v>46.316800000000001</v>
      </c>
      <c r="R402" s="22">
        <f>H402*Assumptions!$B$3</f>
        <v>9.3239999999999998</v>
      </c>
      <c r="S402" s="22">
        <f t="shared" si="58"/>
        <v>16.729200000000006</v>
      </c>
      <c r="T402" s="20" t="str">
        <f t="shared" si="59"/>
        <v>8-14 days</v>
      </c>
    </row>
    <row r="403" spans="1:20" x14ac:dyDescent="0.3">
      <c r="A403" s="20" t="s">
        <v>469</v>
      </c>
      <c r="B403" s="20" t="s">
        <v>55</v>
      </c>
      <c r="C403" s="21">
        <v>45532</v>
      </c>
      <c r="D403" s="21">
        <v>45542</v>
      </c>
      <c r="E403" s="21">
        <v>45555</v>
      </c>
      <c r="F403" s="20" t="s">
        <v>111</v>
      </c>
      <c r="G403" s="22">
        <v>135.02000000000001</v>
      </c>
      <c r="H403" s="22">
        <v>28.53</v>
      </c>
      <c r="I403" s="20" t="s">
        <v>45</v>
      </c>
      <c r="J403" s="20">
        <v>4</v>
      </c>
      <c r="K403" s="20" t="s">
        <v>46</v>
      </c>
      <c r="L403" s="23">
        <f t="shared" si="53"/>
        <v>45505</v>
      </c>
      <c r="M403" s="20">
        <f t="shared" si="54"/>
        <v>10</v>
      </c>
      <c r="N403" s="20">
        <f t="shared" si="55"/>
        <v>0</v>
      </c>
      <c r="O403" s="20">
        <f t="shared" si="56"/>
        <v>1</v>
      </c>
      <c r="P403" s="22">
        <f t="shared" si="57"/>
        <v>163.55000000000001</v>
      </c>
      <c r="Q403" s="22">
        <f>G403*INDEX(Assumptions!$B$8:$B$16,MATCH(F403,Assumptions!$A$8:$A$16,0))</f>
        <v>85.062600000000003</v>
      </c>
      <c r="R403" s="22">
        <f>H403*Assumptions!$B$3</f>
        <v>17.117999999999999</v>
      </c>
      <c r="S403" s="22">
        <f t="shared" si="58"/>
        <v>32.839400000000012</v>
      </c>
      <c r="T403" s="20" t="str">
        <f t="shared" si="59"/>
        <v>8-14 days</v>
      </c>
    </row>
    <row r="404" spans="1:20" x14ac:dyDescent="0.3">
      <c r="A404" s="20" t="s">
        <v>470</v>
      </c>
      <c r="B404" s="20" t="s">
        <v>103</v>
      </c>
      <c r="C404" s="21">
        <v>45533</v>
      </c>
      <c r="D404" s="21">
        <v>45550</v>
      </c>
      <c r="E404" s="21">
        <v>45553</v>
      </c>
      <c r="F404" s="20" t="s">
        <v>67</v>
      </c>
      <c r="G404" s="22">
        <v>65.27</v>
      </c>
      <c r="H404" s="22">
        <v>22.61</v>
      </c>
      <c r="I404" s="20" t="s">
        <v>45</v>
      </c>
      <c r="J404" s="20">
        <v>5</v>
      </c>
      <c r="K404" s="20" t="s">
        <v>46</v>
      </c>
      <c r="L404" s="23">
        <f t="shared" si="53"/>
        <v>45505</v>
      </c>
      <c r="M404" s="20">
        <f t="shared" si="54"/>
        <v>17</v>
      </c>
      <c r="N404" s="20">
        <f t="shared" si="55"/>
        <v>0</v>
      </c>
      <c r="O404" s="20">
        <f t="shared" si="56"/>
        <v>1</v>
      </c>
      <c r="P404" s="22">
        <f t="shared" si="57"/>
        <v>87.88</v>
      </c>
      <c r="Q404" s="22">
        <f>G404*INDEX(Assumptions!$B$8:$B$16,MATCH(F404,Assumptions!$A$8:$A$16,0))</f>
        <v>40.467399999999998</v>
      </c>
      <c r="R404" s="22">
        <f>H404*Assumptions!$B$3</f>
        <v>13.565999999999999</v>
      </c>
      <c r="S404" s="22">
        <f t="shared" si="58"/>
        <v>11.236599999999999</v>
      </c>
      <c r="T404" s="20" t="str">
        <f t="shared" si="59"/>
        <v>15-21 days</v>
      </c>
    </row>
    <row r="405" spans="1:20" x14ac:dyDescent="0.3">
      <c r="A405" s="20" t="s">
        <v>471</v>
      </c>
      <c r="B405" s="20" t="s">
        <v>55</v>
      </c>
      <c r="C405" s="21">
        <v>45534</v>
      </c>
      <c r="D405" s="21">
        <v>45542</v>
      </c>
      <c r="E405" s="21">
        <v>45560</v>
      </c>
      <c r="F405" s="20" t="s">
        <v>49</v>
      </c>
      <c r="G405" s="22">
        <v>65.02</v>
      </c>
      <c r="H405" s="22">
        <v>30.02</v>
      </c>
      <c r="I405" s="20" t="s">
        <v>45</v>
      </c>
      <c r="J405" s="20">
        <v>4</v>
      </c>
      <c r="K405" s="20" t="s">
        <v>46</v>
      </c>
      <c r="L405" s="23">
        <f t="shared" si="53"/>
        <v>45505</v>
      </c>
      <c r="M405" s="20">
        <f t="shared" si="54"/>
        <v>8</v>
      </c>
      <c r="N405" s="20">
        <f t="shared" si="55"/>
        <v>0</v>
      </c>
      <c r="O405" s="20">
        <f t="shared" si="56"/>
        <v>1</v>
      </c>
      <c r="P405" s="22">
        <f t="shared" si="57"/>
        <v>95.039999999999992</v>
      </c>
      <c r="Q405" s="22">
        <f>G405*INDEX(Assumptions!$B$8:$B$16,MATCH(F405,Assumptions!$A$8:$A$16,0))</f>
        <v>37.711599999999997</v>
      </c>
      <c r="R405" s="22">
        <f>H405*Assumptions!$B$3</f>
        <v>18.012</v>
      </c>
      <c r="S405" s="22">
        <f t="shared" si="58"/>
        <v>9.2963999999999984</v>
      </c>
      <c r="T405" s="20" t="str">
        <f t="shared" si="59"/>
        <v>8-14 days</v>
      </c>
    </row>
    <row r="406" spans="1:20" x14ac:dyDescent="0.3">
      <c r="A406" s="20" t="s">
        <v>472</v>
      </c>
      <c r="B406" s="20" t="s">
        <v>19</v>
      </c>
      <c r="C406" s="21">
        <v>45534</v>
      </c>
      <c r="D406" s="21">
        <v>45546</v>
      </c>
      <c r="E406" s="21">
        <v>45551</v>
      </c>
      <c r="F406" s="20" t="s">
        <v>59</v>
      </c>
      <c r="G406" s="22">
        <v>308.63</v>
      </c>
      <c r="H406" s="22">
        <v>26.96</v>
      </c>
      <c r="I406" s="20" t="s">
        <v>45</v>
      </c>
      <c r="J406" s="20">
        <v>3</v>
      </c>
      <c r="K406" s="20" t="s">
        <v>46</v>
      </c>
      <c r="L406" s="23">
        <f t="shared" si="53"/>
        <v>45505</v>
      </c>
      <c r="M406" s="20">
        <f t="shared" si="54"/>
        <v>12</v>
      </c>
      <c r="N406" s="20">
        <f t="shared" si="55"/>
        <v>0</v>
      </c>
      <c r="O406" s="20">
        <f t="shared" si="56"/>
        <v>1</v>
      </c>
      <c r="P406" s="22">
        <f t="shared" si="57"/>
        <v>335.59</v>
      </c>
      <c r="Q406" s="22">
        <f>G406*INDEX(Assumptions!$B$8:$B$16,MATCH(F406,Assumptions!$A$8:$A$16,0))</f>
        <v>197.5232</v>
      </c>
      <c r="R406" s="22">
        <f>H406*Assumptions!$B$3</f>
        <v>16.175999999999998</v>
      </c>
      <c r="S406" s="22">
        <f t="shared" si="58"/>
        <v>94.930799999999991</v>
      </c>
      <c r="T406" s="20" t="str">
        <f t="shared" si="59"/>
        <v>8-14 days</v>
      </c>
    </row>
    <row r="407" spans="1:20" x14ac:dyDescent="0.3">
      <c r="A407" s="20" t="s">
        <v>473</v>
      </c>
      <c r="B407" s="20" t="s">
        <v>19</v>
      </c>
      <c r="C407" s="21">
        <v>45534</v>
      </c>
      <c r="D407" s="21">
        <v>45544</v>
      </c>
      <c r="E407" s="21">
        <v>45553</v>
      </c>
      <c r="F407" s="20" t="s">
        <v>111</v>
      </c>
      <c r="G407" s="22">
        <v>38.68</v>
      </c>
      <c r="H407" s="22">
        <v>17.059999999999999</v>
      </c>
      <c r="I407" s="20" t="s">
        <v>45</v>
      </c>
      <c r="J407" s="20">
        <v>4</v>
      </c>
      <c r="K407" s="20" t="s">
        <v>46</v>
      </c>
      <c r="L407" s="23">
        <f t="shared" si="53"/>
        <v>45505</v>
      </c>
      <c r="M407" s="20">
        <f t="shared" si="54"/>
        <v>10</v>
      </c>
      <c r="N407" s="20">
        <f t="shared" si="55"/>
        <v>0</v>
      </c>
      <c r="O407" s="20">
        <f t="shared" si="56"/>
        <v>1</v>
      </c>
      <c r="P407" s="22">
        <f t="shared" si="57"/>
        <v>55.739999999999995</v>
      </c>
      <c r="Q407" s="22">
        <f>G407*INDEX(Assumptions!$B$8:$B$16,MATCH(F407,Assumptions!$A$8:$A$16,0))</f>
        <v>24.368400000000001</v>
      </c>
      <c r="R407" s="22">
        <f>H407*Assumptions!$B$3</f>
        <v>10.235999999999999</v>
      </c>
      <c r="S407" s="22">
        <f t="shared" si="58"/>
        <v>4.0755999999999997</v>
      </c>
      <c r="T407" s="20" t="str">
        <f t="shared" si="59"/>
        <v>8-14 days</v>
      </c>
    </row>
    <row r="408" spans="1:20" x14ac:dyDescent="0.3">
      <c r="A408" s="20" t="s">
        <v>474</v>
      </c>
      <c r="B408" s="20" t="s">
        <v>93</v>
      </c>
      <c r="C408" s="21">
        <v>45534</v>
      </c>
      <c r="D408" s="21">
        <v>45558</v>
      </c>
      <c r="E408" s="21">
        <v>45564</v>
      </c>
      <c r="F408" s="20" t="s">
        <v>49</v>
      </c>
      <c r="G408" s="22">
        <v>41.54</v>
      </c>
      <c r="H408" s="22">
        <v>33.369999999999997</v>
      </c>
      <c r="I408" s="20" t="s">
        <v>45</v>
      </c>
      <c r="J408" s="20">
        <v>2</v>
      </c>
      <c r="K408" s="20" t="s">
        <v>46</v>
      </c>
      <c r="L408" s="23">
        <f t="shared" si="53"/>
        <v>45505</v>
      </c>
      <c r="M408" s="20">
        <f t="shared" si="54"/>
        <v>24</v>
      </c>
      <c r="N408" s="20">
        <f t="shared" si="55"/>
        <v>0</v>
      </c>
      <c r="O408" s="20">
        <f t="shared" si="56"/>
        <v>1</v>
      </c>
      <c r="P408" s="22">
        <f t="shared" si="57"/>
        <v>74.91</v>
      </c>
      <c r="Q408" s="22">
        <f>G408*INDEX(Assumptions!$B$8:$B$16,MATCH(F408,Assumptions!$A$8:$A$16,0))</f>
        <v>24.0932</v>
      </c>
      <c r="R408" s="22">
        <f>H408*Assumptions!$B$3</f>
        <v>20.021999999999998</v>
      </c>
      <c r="S408" s="22">
        <f t="shared" si="58"/>
        <v>-2.5751999999999988</v>
      </c>
      <c r="T408" s="20" t="str">
        <f t="shared" si="59"/>
        <v>22+ days</v>
      </c>
    </row>
    <row r="409" spans="1:20" x14ac:dyDescent="0.3">
      <c r="A409" s="20" t="s">
        <v>475</v>
      </c>
      <c r="B409" s="20" t="s">
        <v>134</v>
      </c>
      <c r="C409" s="21">
        <v>45534</v>
      </c>
      <c r="D409" s="21">
        <v>45544</v>
      </c>
      <c r="E409" s="21">
        <v>45560</v>
      </c>
      <c r="F409" s="20" t="s">
        <v>79</v>
      </c>
      <c r="G409" s="22">
        <v>143.96</v>
      </c>
      <c r="H409" s="22">
        <v>23.95</v>
      </c>
      <c r="I409" s="20" t="s">
        <v>45</v>
      </c>
      <c r="J409" s="20">
        <v>3</v>
      </c>
      <c r="K409" s="20" t="s">
        <v>46</v>
      </c>
      <c r="L409" s="23">
        <f t="shared" si="53"/>
        <v>45505</v>
      </c>
      <c r="M409" s="20">
        <f t="shared" si="54"/>
        <v>10</v>
      </c>
      <c r="N409" s="20">
        <f t="shared" si="55"/>
        <v>0</v>
      </c>
      <c r="O409" s="20">
        <f t="shared" si="56"/>
        <v>1</v>
      </c>
      <c r="P409" s="22">
        <f t="shared" si="57"/>
        <v>167.91</v>
      </c>
      <c r="Q409" s="22">
        <f>G409*INDEX(Assumptions!$B$8:$B$16,MATCH(F409,Assumptions!$A$8:$A$16,0))</f>
        <v>100.77200000000001</v>
      </c>
      <c r="R409" s="22">
        <f>H409*Assumptions!$B$3</f>
        <v>14.37</v>
      </c>
      <c r="S409" s="22">
        <f t="shared" si="58"/>
        <v>28.818000000000005</v>
      </c>
      <c r="T409" s="20" t="str">
        <f t="shared" si="59"/>
        <v>8-14 days</v>
      </c>
    </row>
    <row r="410" spans="1:20" x14ac:dyDescent="0.3">
      <c r="A410" s="20" t="s">
        <v>476</v>
      </c>
      <c r="B410" s="20" t="s">
        <v>48</v>
      </c>
      <c r="C410" s="21">
        <v>45534</v>
      </c>
      <c r="D410" s="21">
        <v>45544</v>
      </c>
      <c r="E410" s="21">
        <v>45556</v>
      </c>
      <c r="F410" s="20" t="s">
        <v>49</v>
      </c>
      <c r="G410" s="22">
        <v>144.84</v>
      </c>
      <c r="H410" s="22">
        <v>26.01</v>
      </c>
      <c r="I410" s="20" t="s">
        <v>45</v>
      </c>
      <c r="J410" s="20">
        <v>4</v>
      </c>
      <c r="K410" s="20" t="s">
        <v>46</v>
      </c>
      <c r="L410" s="23">
        <f t="shared" si="53"/>
        <v>45505</v>
      </c>
      <c r="M410" s="20">
        <f t="shared" si="54"/>
        <v>10</v>
      </c>
      <c r="N410" s="20">
        <f t="shared" si="55"/>
        <v>0</v>
      </c>
      <c r="O410" s="20">
        <f t="shared" si="56"/>
        <v>1</v>
      </c>
      <c r="P410" s="22">
        <f t="shared" si="57"/>
        <v>170.85</v>
      </c>
      <c r="Q410" s="22">
        <f>G410*INDEX(Assumptions!$B$8:$B$16,MATCH(F410,Assumptions!$A$8:$A$16,0))</f>
        <v>84.007199999999997</v>
      </c>
      <c r="R410" s="22">
        <f>H410*Assumptions!$B$3</f>
        <v>15.606</v>
      </c>
      <c r="S410" s="22">
        <f t="shared" si="58"/>
        <v>45.226800000000004</v>
      </c>
      <c r="T410" s="20" t="str">
        <f t="shared" si="59"/>
        <v>8-14 days</v>
      </c>
    </row>
    <row r="411" spans="1:20" x14ac:dyDescent="0.3">
      <c r="A411" s="20" t="s">
        <v>477</v>
      </c>
      <c r="B411" s="20" t="s">
        <v>55</v>
      </c>
      <c r="C411" s="21">
        <v>45535</v>
      </c>
      <c r="D411" s="21">
        <v>45551</v>
      </c>
      <c r="E411" s="21">
        <v>45556</v>
      </c>
      <c r="F411" s="20" t="s">
        <v>59</v>
      </c>
      <c r="G411" s="22">
        <v>62.5</v>
      </c>
      <c r="H411" s="22">
        <v>24.36</v>
      </c>
      <c r="I411" s="20" t="s">
        <v>60</v>
      </c>
      <c r="J411" s="20">
        <v>3</v>
      </c>
      <c r="K411" s="20" t="s">
        <v>46</v>
      </c>
      <c r="L411" s="23">
        <f t="shared" si="53"/>
        <v>45505</v>
      </c>
      <c r="M411" s="20">
        <f t="shared" si="54"/>
        <v>16</v>
      </c>
      <c r="N411" s="20">
        <f t="shared" si="55"/>
        <v>0</v>
      </c>
      <c r="O411" s="20">
        <f t="shared" si="56"/>
        <v>1</v>
      </c>
      <c r="P411" s="22">
        <f t="shared" si="57"/>
        <v>86.86</v>
      </c>
      <c r="Q411" s="22">
        <f>G411*INDEX(Assumptions!$B$8:$B$16,MATCH(F411,Assumptions!$A$8:$A$16,0))</f>
        <v>40</v>
      </c>
      <c r="R411" s="22">
        <f>H411*Assumptions!$B$3</f>
        <v>14.616</v>
      </c>
      <c r="S411" s="22">
        <f t="shared" si="58"/>
        <v>7.8840000000000003</v>
      </c>
      <c r="T411" s="20" t="str">
        <f t="shared" si="59"/>
        <v>15-21 days</v>
      </c>
    </row>
    <row r="412" spans="1:20" x14ac:dyDescent="0.3">
      <c r="A412" s="20" t="s">
        <v>478</v>
      </c>
      <c r="B412" s="20" t="s">
        <v>134</v>
      </c>
      <c r="C412" s="21">
        <v>45535</v>
      </c>
      <c r="D412" s="21">
        <v>45547</v>
      </c>
      <c r="E412" s="21">
        <v>45558</v>
      </c>
      <c r="F412" s="20" t="s">
        <v>79</v>
      </c>
      <c r="G412" s="22">
        <v>152.72999999999999</v>
      </c>
      <c r="H412" s="22">
        <v>17.93</v>
      </c>
      <c r="I412" s="20" t="s">
        <v>45</v>
      </c>
      <c r="J412" s="20">
        <v>4</v>
      </c>
      <c r="K412" s="20" t="s">
        <v>46</v>
      </c>
      <c r="L412" s="23">
        <f t="shared" si="53"/>
        <v>45505</v>
      </c>
      <c r="M412" s="20">
        <f t="shared" si="54"/>
        <v>12</v>
      </c>
      <c r="N412" s="20">
        <f t="shared" si="55"/>
        <v>0</v>
      </c>
      <c r="O412" s="20">
        <f t="shared" si="56"/>
        <v>1</v>
      </c>
      <c r="P412" s="22">
        <f t="shared" si="57"/>
        <v>170.66</v>
      </c>
      <c r="Q412" s="22">
        <f>G412*INDEX(Assumptions!$B$8:$B$16,MATCH(F412,Assumptions!$A$8:$A$16,0))</f>
        <v>106.91099999999999</v>
      </c>
      <c r="R412" s="22">
        <f>H412*Assumptions!$B$3</f>
        <v>10.757999999999999</v>
      </c>
      <c r="S412" s="22">
        <f t="shared" si="58"/>
        <v>35.061000000000007</v>
      </c>
      <c r="T412" s="20" t="str">
        <f t="shared" si="59"/>
        <v>8-14 days</v>
      </c>
    </row>
    <row r="413" spans="1:20" x14ac:dyDescent="0.3">
      <c r="A413" s="20" t="s">
        <v>479</v>
      </c>
      <c r="B413" s="20" t="s">
        <v>19</v>
      </c>
      <c r="C413" s="21">
        <v>45535</v>
      </c>
      <c r="D413" s="21">
        <v>45542</v>
      </c>
      <c r="E413" s="21">
        <v>45551</v>
      </c>
      <c r="F413" s="20" t="s">
        <v>59</v>
      </c>
      <c r="G413" s="22">
        <v>116.35</v>
      </c>
      <c r="H413" s="22">
        <v>18.45</v>
      </c>
      <c r="I413" s="20" t="s">
        <v>45</v>
      </c>
      <c r="J413" s="20">
        <v>4</v>
      </c>
      <c r="K413" s="20" t="s">
        <v>46</v>
      </c>
      <c r="L413" s="23">
        <f t="shared" si="53"/>
        <v>45505</v>
      </c>
      <c r="M413" s="20">
        <f t="shared" si="54"/>
        <v>7</v>
      </c>
      <c r="N413" s="20">
        <f t="shared" si="55"/>
        <v>0</v>
      </c>
      <c r="O413" s="20">
        <f t="shared" si="56"/>
        <v>1</v>
      </c>
      <c r="P413" s="22">
        <f t="shared" si="57"/>
        <v>134.79999999999998</v>
      </c>
      <c r="Q413" s="22">
        <f>G413*INDEX(Assumptions!$B$8:$B$16,MATCH(F413,Assumptions!$A$8:$A$16,0))</f>
        <v>74.463999999999999</v>
      </c>
      <c r="R413" s="22">
        <f>H413*Assumptions!$B$3</f>
        <v>11.069999999999999</v>
      </c>
      <c r="S413" s="22">
        <f t="shared" si="58"/>
        <v>30.815999999999995</v>
      </c>
      <c r="T413" s="20" t="str">
        <f t="shared" si="59"/>
        <v>0-7 days</v>
      </c>
    </row>
    <row r="414" spans="1:20" x14ac:dyDescent="0.3">
      <c r="A414" s="20" t="s">
        <v>480</v>
      </c>
      <c r="B414" s="20" t="s">
        <v>62</v>
      </c>
      <c r="C414" s="21">
        <v>45535</v>
      </c>
      <c r="D414" s="21">
        <v>45547</v>
      </c>
      <c r="E414" s="21">
        <v>45554</v>
      </c>
      <c r="F414" s="20" t="s">
        <v>59</v>
      </c>
      <c r="G414" s="22">
        <v>37.58</v>
      </c>
      <c r="H414" s="22">
        <v>16.66</v>
      </c>
      <c r="I414" s="20" t="s">
        <v>45</v>
      </c>
      <c r="J414" s="20">
        <v>5</v>
      </c>
      <c r="K414" s="20" t="s">
        <v>46</v>
      </c>
      <c r="L414" s="23">
        <f t="shared" si="53"/>
        <v>45505</v>
      </c>
      <c r="M414" s="20">
        <f t="shared" si="54"/>
        <v>12</v>
      </c>
      <c r="N414" s="20">
        <f t="shared" si="55"/>
        <v>0</v>
      </c>
      <c r="O414" s="20">
        <f t="shared" si="56"/>
        <v>1</v>
      </c>
      <c r="P414" s="22">
        <f t="shared" si="57"/>
        <v>54.239999999999995</v>
      </c>
      <c r="Q414" s="22">
        <f>G414*INDEX(Assumptions!$B$8:$B$16,MATCH(F414,Assumptions!$A$8:$A$16,0))</f>
        <v>24.051199999999998</v>
      </c>
      <c r="R414" s="22">
        <f>H414*Assumptions!$B$3</f>
        <v>9.9960000000000004</v>
      </c>
      <c r="S414" s="22">
        <f t="shared" si="58"/>
        <v>3.5327999999999999</v>
      </c>
      <c r="T414" s="20" t="str">
        <f t="shared" si="59"/>
        <v>8-14 days</v>
      </c>
    </row>
    <row r="415" spans="1:20" x14ac:dyDescent="0.3">
      <c r="A415" s="20" t="s">
        <v>481</v>
      </c>
      <c r="B415" s="20" t="s">
        <v>48</v>
      </c>
      <c r="C415" s="21">
        <v>45535</v>
      </c>
      <c r="D415" s="21">
        <v>45552</v>
      </c>
      <c r="E415" s="21">
        <v>45558</v>
      </c>
      <c r="F415" s="20" t="s">
        <v>79</v>
      </c>
      <c r="G415" s="22">
        <v>181.57</v>
      </c>
      <c r="H415" s="22">
        <v>19.28</v>
      </c>
      <c r="I415" s="20" t="s">
        <v>50</v>
      </c>
      <c r="J415" s="20">
        <v>5</v>
      </c>
      <c r="K415" s="20" t="s">
        <v>46</v>
      </c>
      <c r="L415" s="23">
        <f t="shared" si="53"/>
        <v>45505</v>
      </c>
      <c r="M415" s="20">
        <f t="shared" si="54"/>
        <v>17</v>
      </c>
      <c r="N415" s="20">
        <f t="shared" si="55"/>
        <v>0</v>
      </c>
      <c r="O415" s="20">
        <f t="shared" si="56"/>
        <v>1</v>
      </c>
      <c r="P415" s="22">
        <f t="shared" si="57"/>
        <v>200.85</v>
      </c>
      <c r="Q415" s="22">
        <f>G415*INDEX(Assumptions!$B$8:$B$16,MATCH(F415,Assumptions!$A$8:$A$16,0))</f>
        <v>127.09899999999999</v>
      </c>
      <c r="R415" s="22">
        <f>H415*Assumptions!$B$3</f>
        <v>11.568</v>
      </c>
      <c r="S415" s="22">
        <f t="shared" si="58"/>
        <v>42.903000000000006</v>
      </c>
      <c r="T415" s="20" t="str">
        <f t="shared" si="59"/>
        <v>15-21 days</v>
      </c>
    </row>
    <row r="416" spans="1:20" x14ac:dyDescent="0.3">
      <c r="A416" s="20" t="s">
        <v>482</v>
      </c>
      <c r="B416" s="20" t="s">
        <v>156</v>
      </c>
      <c r="C416" s="21">
        <v>45535</v>
      </c>
      <c r="D416" s="21">
        <v>45544</v>
      </c>
      <c r="E416" s="21">
        <v>45562</v>
      </c>
      <c r="F416" s="20" t="s">
        <v>64</v>
      </c>
      <c r="G416" s="22">
        <v>184.32</v>
      </c>
      <c r="H416" s="22">
        <v>23.27</v>
      </c>
      <c r="I416" s="20" t="s">
        <v>45</v>
      </c>
      <c r="J416" s="20">
        <v>5</v>
      </c>
      <c r="K416" s="20" t="s">
        <v>46</v>
      </c>
      <c r="L416" s="23">
        <f t="shared" si="53"/>
        <v>45505</v>
      </c>
      <c r="M416" s="20">
        <f t="shared" si="54"/>
        <v>9</v>
      </c>
      <c r="N416" s="20">
        <f t="shared" si="55"/>
        <v>0</v>
      </c>
      <c r="O416" s="20">
        <f t="shared" si="56"/>
        <v>1</v>
      </c>
      <c r="P416" s="22">
        <f t="shared" si="57"/>
        <v>207.59</v>
      </c>
      <c r="Q416" s="22">
        <f>G416*INDEX(Assumptions!$B$8:$B$16,MATCH(F416,Assumptions!$A$8:$A$16,0))</f>
        <v>121.6512</v>
      </c>
      <c r="R416" s="22">
        <f>H416*Assumptions!$B$3</f>
        <v>13.962</v>
      </c>
      <c r="S416" s="22">
        <f t="shared" si="58"/>
        <v>48.706799999999987</v>
      </c>
      <c r="T416" s="20" t="str">
        <f t="shared" si="59"/>
        <v>8-14 days</v>
      </c>
    </row>
    <row r="417" spans="1:20" x14ac:dyDescent="0.3">
      <c r="A417" s="20" t="s">
        <v>483</v>
      </c>
      <c r="B417" s="20" t="s">
        <v>19</v>
      </c>
      <c r="C417" s="21">
        <v>45535</v>
      </c>
      <c r="D417" s="21">
        <v>45544</v>
      </c>
      <c r="E417" s="21">
        <v>45551</v>
      </c>
      <c r="F417" s="20" t="s">
        <v>111</v>
      </c>
      <c r="G417" s="22">
        <v>78.540000000000006</v>
      </c>
      <c r="H417" s="22">
        <v>22.11</v>
      </c>
      <c r="I417" s="20" t="s">
        <v>45</v>
      </c>
      <c r="J417" s="20">
        <v>5</v>
      </c>
      <c r="K417" s="20" t="s">
        <v>46</v>
      </c>
      <c r="L417" s="23">
        <f t="shared" si="53"/>
        <v>45505</v>
      </c>
      <c r="M417" s="20">
        <f t="shared" si="54"/>
        <v>9</v>
      </c>
      <c r="N417" s="20">
        <f t="shared" si="55"/>
        <v>0</v>
      </c>
      <c r="O417" s="20">
        <f t="shared" si="56"/>
        <v>1</v>
      </c>
      <c r="P417" s="22">
        <f t="shared" si="57"/>
        <v>100.65</v>
      </c>
      <c r="Q417" s="22">
        <f>G417*INDEX(Assumptions!$B$8:$B$16,MATCH(F417,Assumptions!$A$8:$A$16,0))</f>
        <v>49.480200000000004</v>
      </c>
      <c r="R417" s="22">
        <f>H417*Assumptions!$B$3</f>
        <v>13.266</v>
      </c>
      <c r="S417" s="22">
        <f t="shared" si="58"/>
        <v>15.793800000000003</v>
      </c>
      <c r="T417" s="20" t="str">
        <f t="shared" si="59"/>
        <v>8-14 days</v>
      </c>
    </row>
    <row r="418" spans="1:20" x14ac:dyDescent="0.3">
      <c r="A418" s="20" t="s">
        <v>484</v>
      </c>
      <c r="B418" s="20" t="s">
        <v>19</v>
      </c>
      <c r="C418" s="21">
        <v>45536</v>
      </c>
      <c r="D418" s="21">
        <v>45547</v>
      </c>
      <c r="E418" s="21">
        <v>45547</v>
      </c>
      <c r="F418" s="20" t="s">
        <v>53</v>
      </c>
      <c r="G418" s="22">
        <v>153.61000000000001</v>
      </c>
      <c r="H418" s="22">
        <v>17.77</v>
      </c>
      <c r="I418" s="20" t="s">
        <v>60</v>
      </c>
      <c r="J418" s="20">
        <v>5</v>
      </c>
      <c r="K418" s="20" t="s">
        <v>46</v>
      </c>
      <c r="L418" s="23">
        <f t="shared" si="53"/>
        <v>45536</v>
      </c>
      <c r="M418" s="20">
        <f t="shared" si="54"/>
        <v>11</v>
      </c>
      <c r="N418" s="20">
        <f t="shared" si="55"/>
        <v>0</v>
      </c>
      <c r="O418" s="20">
        <f t="shared" si="56"/>
        <v>1</v>
      </c>
      <c r="P418" s="22">
        <f t="shared" si="57"/>
        <v>171.38000000000002</v>
      </c>
      <c r="Q418" s="22">
        <f>G418*INDEX(Assumptions!$B$8:$B$16,MATCH(F418,Assumptions!$A$8:$A$16,0))</f>
        <v>113.67140000000001</v>
      </c>
      <c r="R418" s="22">
        <f>H418*Assumptions!$B$3</f>
        <v>10.661999999999999</v>
      </c>
      <c r="S418" s="22">
        <f t="shared" si="58"/>
        <v>29.276600000000009</v>
      </c>
      <c r="T418" s="20" t="str">
        <f t="shared" si="59"/>
        <v>8-14 days</v>
      </c>
    </row>
    <row r="419" spans="1:20" x14ac:dyDescent="0.3">
      <c r="A419" s="20" t="s">
        <v>485</v>
      </c>
      <c r="B419" s="20" t="s">
        <v>62</v>
      </c>
      <c r="C419" s="21">
        <v>45537</v>
      </c>
      <c r="D419" s="21">
        <v>45550</v>
      </c>
      <c r="E419" s="21">
        <v>45557</v>
      </c>
      <c r="F419" s="20" t="s">
        <v>59</v>
      </c>
      <c r="G419" s="22">
        <v>61.78</v>
      </c>
      <c r="H419" s="22">
        <v>17.11</v>
      </c>
      <c r="I419" s="20" t="s">
        <v>60</v>
      </c>
      <c r="J419" s="20">
        <v>4</v>
      </c>
      <c r="K419" s="20" t="s">
        <v>46</v>
      </c>
      <c r="L419" s="23">
        <f t="shared" si="53"/>
        <v>45536</v>
      </c>
      <c r="M419" s="20">
        <f t="shared" si="54"/>
        <v>13</v>
      </c>
      <c r="N419" s="20">
        <f t="shared" si="55"/>
        <v>0</v>
      </c>
      <c r="O419" s="20">
        <f t="shared" si="56"/>
        <v>1</v>
      </c>
      <c r="P419" s="22">
        <f t="shared" si="57"/>
        <v>78.89</v>
      </c>
      <c r="Q419" s="22">
        <f>G419*INDEX(Assumptions!$B$8:$B$16,MATCH(F419,Assumptions!$A$8:$A$16,0))</f>
        <v>39.539200000000001</v>
      </c>
      <c r="R419" s="22">
        <f>H419*Assumptions!$B$3</f>
        <v>10.266</v>
      </c>
      <c r="S419" s="22">
        <f t="shared" si="58"/>
        <v>11.9748</v>
      </c>
      <c r="T419" s="20" t="str">
        <f t="shared" si="59"/>
        <v>8-14 days</v>
      </c>
    </row>
    <row r="420" spans="1:20" x14ac:dyDescent="0.3">
      <c r="A420" s="20" t="s">
        <v>486</v>
      </c>
      <c r="B420" s="20" t="s">
        <v>19</v>
      </c>
      <c r="C420" s="21">
        <v>45537</v>
      </c>
      <c r="D420" s="21">
        <v>45546</v>
      </c>
      <c r="E420" s="21">
        <v>45553</v>
      </c>
      <c r="F420" s="20" t="s">
        <v>59</v>
      </c>
      <c r="G420" s="22">
        <v>113.3</v>
      </c>
      <c r="H420" s="22">
        <v>22.82</v>
      </c>
      <c r="I420" s="20" t="s">
        <v>45</v>
      </c>
      <c r="J420" s="20">
        <v>4</v>
      </c>
      <c r="K420" s="20" t="s">
        <v>46</v>
      </c>
      <c r="L420" s="23">
        <f t="shared" si="53"/>
        <v>45536</v>
      </c>
      <c r="M420" s="20">
        <f t="shared" si="54"/>
        <v>9</v>
      </c>
      <c r="N420" s="20">
        <f t="shared" si="55"/>
        <v>0</v>
      </c>
      <c r="O420" s="20">
        <f t="shared" si="56"/>
        <v>1</v>
      </c>
      <c r="P420" s="22">
        <f t="shared" si="57"/>
        <v>136.12</v>
      </c>
      <c r="Q420" s="22">
        <f>G420*INDEX(Assumptions!$B$8:$B$16,MATCH(F420,Assumptions!$A$8:$A$16,0))</f>
        <v>72.512</v>
      </c>
      <c r="R420" s="22">
        <f>H420*Assumptions!$B$3</f>
        <v>13.692</v>
      </c>
      <c r="S420" s="22">
        <f t="shared" si="58"/>
        <v>27.095999999999997</v>
      </c>
      <c r="T420" s="20" t="str">
        <f t="shared" si="59"/>
        <v>8-14 days</v>
      </c>
    </row>
    <row r="421" spans="1:20" x14ac:dyDescent="0.3">
      <c r="A421" s="20" t="s">
        <v>487</v>
      </c>
      <c r="B421" s="20" t="s">
        <v>19</v>
      </c>
      <c r="C421" s="21">
        <v>45538</v>
      </c>
      <c r="D421" s="21">
        <v>45543</v>
      </c>
      <c r="E421" s="21">
        <v>45559</v>
      </c>
      <c r="F421" s="20" t="s">
        <v>57</v>
      </c>
      <c r="G421" s="22">
        <v>47.11</v>
      </c>
      <c r="H421" s="22">
        <v>19.52</v>
      </c>
      <c r="I421" s="20" t="s">
        <v>45</v>
      </c>
      <c r="J421" s="20">
        <v>5</v>
      </c>
      <c r="K421" s="20" t="s">
        <v>46</v>
      </c>
      <c r="L421" s="23">
        <f t="shared" si="53"/>
        <v>45536</v>
      </c>
      <c r="M421" s="20">
        <f t="shared" si="54"/>
        <v>5</v>
      </c>
      <c r="N421" s="20">
        <f t="shared" si="55"/>
        <v>0</v>
      </c>
      <c r="O421" s="20">
        <f t="shared" si="56"/>
        <v>1</v>
      </c>
      <c r="P421" s="22">
        <f t="shared" si="57"/>
        <v>66.63</v>
      </c>
      <c r="Q421" s="22">
        <f>G421*INDEX(Assumptions!$B$8:$B$16,MATCH(F421,Assumptions!$A$8:$A$16,0))</f>
        <v>32.034800000000004</v>
      </c>
      <c r="R421" s="22">
        <f>H421*Assumptions!$B$3</f>
        <v>11.712</v>
      </c>
      <c r="S421" s="22">
        <f t="shared" si="58"/>
        <v>3.3631999999999955</v>
      </c>
      <c r="T421" s="20" t="str">
        <f t="shared" si="59"/>
        <v>0-7 days</v>
      </c>
    </row>
    <row r="422" spans="1:20" x14ac:dyDescent="0.3">
      <c r="A422" s="20" t="s">
        <v>488</v>
      </c>
      <c r="B422" s="20" t="s">
        <v>77</v>
      </c>
      <c r="C422" s="21">
        <v>45538</v>
      </c>
      <c r="D422" s="21">
        <v>45556</v>
      </c>
      <c r="E422" s="21">
        <v>45561</v>
      </c>
      <c r="F422" s="20" t="s">
        <v>57</v>
      </c>
      <c r="G422" s="22">
        <v>111.98</v>
      </c>
      <c r="H422" s="22">
        <v>28.95</v>
      </c>
      <c r="I422" s="20" t="s">
        <v>60</v>
      </c>
      <c r="J422" s="20">
        <v>4</v>
      </c>
      <c r="K422" s="20" t="s">
        <v>46</v>
      </c>
      <c r="L422" s="23">
        <f t="shared" si="53"/>
        <v>45536</v>
      </c>
      <c r="M422" s="20">
        <f t="shared" si="54"/>
        <v>18</v>
      </c>
      <c r="N422" s="20">
        <f t="shared" si="55"/>
        <v>0</v>
      </c>
      <c r="O422" s="20">
        <f t="shared" si="56"/>
        <v>1</v>
      </c>
      <c r="P422" s="22">
        <f t="shared" si="57"/>
        <v>140.93</v>
      </c>
      <c r="Q422" s="22">
        <f>G422*INDEX(Assumptions!$B$8:$B$16,MATCH(F422,Assumptions!$A$8:$A$16,0))</f>
        <v>76.146400000000014</v>
      </c>
      <c r="R422" s="22">
        <f>H422*Assumptions!$B$3</f>
        <v>17.369999999999997</v>
      </c>
      <c r="S422" s="22">
        <f t="shared" si="58"/>
        <v>18.463599999999992</v>
      </c>
      <c r="T422" s="20" t="str">
        <f t="shared" si="59"/>
        <v>15-21 days</v>
      </c>
    </row>
    <row r="423" spans="1:20" x14ac:dyDescent="0.3">
      <c r="A423" s="20" t="s">
        <v>489</v>
      </c>
      <c r="B423" s="20" t="s">
        <v>93</v>
      </c>
      <c r="C423" s="21">
        <v>45538</v>
      </c>
      <c r="D423" s="21">
        <v>45563</v>
      </c>
      <c r="E423" s="21">
        <v>45566</v>
      </c>
      <c r="F423" s="20" t="s">
        <v>67</v>
      </c>
      <c r="G423" s="22">
        <v>90.87</v>
      </c>
      <c r="H423" s="22">
        <v>23.27</v>
      </c>
      <c r="I423" s="20" t="s">
        <v>60</v>
      </c>
      <c r="J423" s="20">
        <v>5</v>
      </c>
      <c r="K423" s="20" t="s">
        <v>46</v>
      </c>
      <c r="L423" s="23">
        <f t="shared" si="53"/>
        <v>45536</v>
      </c>
      <c r="M423" s="20">
        <f t="shared" si="54"/>
        <v>25</v>
      </c>
      <c r="N423" s="20">
        <f t="shared" si="55"/>
        <v>0</v>
      </c>
      <c r="O423" s="20">
        <f t="shared" si="56"/>
        <v>1</v>
      </c>
      <c r="P423" s="22">
        <f t="shared" si="57"/>
        <v>114.14</v>
      </c>
      <c r="Q423" s="22">
        <f>G423*INDEX(Assumptions!$B$8:$B$16,MATCH(F423,Assumptions!$A$8:$A$16,0))</f>
        <v>56.339400000000005</v>
      </c>
      <c r="R423" s="22">
        <f>H423*Assumptions!$B$3</f>
        <v>13.962</v>
      </c>
      <c r="S423" s="22">
        <f t="shared" si="58"/>
        <v>20.5686</v>
      </c>
      <c r="T423" s="20" t="str">
        <f t="shared" si="59"/>
        <v>22+ days</v>
      </c>
    </row>
    <row r="424" spans="1:20" x14ac:dyDescent="0.3">
      <c r="A424" s="20" t="s">
        <v>490</v>
      </c>
      <c r="B424" s="20" t="s">
        <v>19</v>
      </c>
      <c r="C424" s="21">
        <v>45538</v>
      </c>
      <c r="D424" s="21">
        <v>45543</v>
      </c>
      <c r="E424" s="21">
        <v>45553</v>
      </c>
      <c r="F424" s="20" t="s">
        <v>64</v>
      </c>
      <c r="G424" s="22">
        <v>107.22</v>
      </c>
      <c r="H424" s="22">
        <v>17.8</v>
      </c>
      <c r="I424" s="20" t="s">
        <v>45</v>
      </c>
      <c r="J424" s="20">
        <v>5</v>
      </c>
      <c r="K424" s="20" t="s">
        <v>46</v>
      </c>
      <c r="L424" s="23">
        <f t="shared" si="53"/>
        <v>45536</v>
      </c>
      <c r="M424" s="20">
        <f t="shared" si="54"/>
        <v>5</v>
      </c>
      <c r="N424" s="20">
        <f t="shared" si="55"/>
        <v>0</v>
      </c>
      <c r="O424" s="20">
        <f t="shared" si="56"/>
        <v>1</v>
      </c>
      <c r="P424" s="22">
        <f t="shared" si="57"/>
        <v>125.02</v>
      </c>
      <c r="Q424" s="22">
        <f>G424*INDEX(Assumptions!$B$8:$B$16,MATCH(F424,Assumptions!$A$8:$A$16,0))</f>
        <v>70.765200000000007</v>
      </c>
      <c r="R424" s="22">
        <f>H424*Assumptions!$B$3</f>
        <v>10.68</v>
      </c>
      <c r="S424" s="22">
        <f t="shared" si="58"/>
        <v>25.774799999999992</v>
      </c>
      <c r="T424" s="20" t="str">
        <f t="shared" si="59"/>
        <v>0-7 days</v>
      </c>
    </row>
    <row r="425" spans="1:20" x14ac:dyDescent="0.3">
      <c r="A425" s="20" t="s">
        <v>491</v>
      </c>
      <c r="B425" s="20" t="s">
        <v>93</v>
      </c>
      <c r="C425" s="21">
        <v>45538</v>
      </c>
      <c r="D425" s="21">
        <v>45555</v>
      </c>
      <c r="E425" s="21">
        <v>45571</v>
      </c>
      <c r="F425" s="20" t="s">
        <v>44</v>
      </c>
      <c r="G425" s="22">
        <v>27.86</v>
      </c>
      <c r="H425" s="22">
        <v>33.67</v>
      </c>
      <c r="I425" s="20" t="s">
        <v>60</v>
      </c>
      <c r="J425" s="20">
        <v>4</v>
      </c>
      <c r="K425" s="20" t="s">
        <v>46</v>
      </c>
      <c r="L425" s="23">
        <f t="shared" si="53"/>
        <v>45536</v>
      </c>
      <c r="M425" s="20">
        <f t="shared" si="54"/>
        <v>17</v>
      </c>
      <c r="N425" s="20">
        <f t="shared" si="55"/>
        <v>0</v>
      </c>
      <c r="O425" s="20">
        <f t="shared" si="56"/>
        <v>1</v>
      </c>
      <c r="P425" s="22">
        <f t="shared" si="57"/>
        <v>61.53</v>
      </c>
      <c r="Q425" s="22">
        <f>G425*INDEX(Assumptions!$B$8:$B$16,MATCH(F425,Assumptions!$A$8:$A$16,0))</f>
        <v>16.715999999999998</v>
      </c>
      <c r="R425" s="22">
        <f>H425*Assumptions!$B$3</f>
        <v>20.202000000000002</v>
      </c>
      <c r="S425" s="22">
        <f t="shared" si="58"/>
        <v>-9.0579999999999998</v>
      </c>
      <c r="T425" s="20" t="str">
        <f t="shared" si="59"/>
        <v>15-21 days</v>
      </c>
    </row>
    <row r="426" spans="1:20" x14ac:dyDescent="0.3">
      <c r="A426" s="20" t="s">
        <v>492</v>
      </c>
      <c r="B426" s="20" t="s">
        <v>19</v>
      </c>
      <c r="C426" s="21">
        <v>45539</v>
      </c>
      <c r="D426" s="21">
        <v>45547</v>
      </c>
      <c r="E426" s="21">
        <v>45556</v>
      </c>
      <c r="F426" s="20" t="s">
        <v>64</v>
      </c>
      <c r="G426" s="22">
        <v>126.76</v>
      </c>
      <c r="H426" s="22">
        <v>20.92</v>
      </c>
      <c r="I426" s="20" t="s">
        <v>45</v>
      </c>
      <c r="J426" s="20">
        <v>5</v>
      </c>
      <c r="K426" s="20" t="s">
        <v>46</v>
      </c>
      <c r="L426" s="23">
        <f t="shared" si="53"/>
        <v>45536</v>
      </c>
      <c r="M426" s="20">
        <f t="shared" si="54"/>
        <v>8</v>
      </c>
      <c r="N426" s="20">
        <f t="shared" si="55"/>
        <v>0</v>
      </c>
      <c r="O426" s="20">
        <f t="shared" si="56"/>
        <v>1</v>
      </c>
      <c r="P426" s="22">
        <f t="shared" si="57"/>
        <v>147.68</v>
      </c>
      <c r="Q426" s="22">
        <f>G426*INDEX(Assumptions!$B$8:$B$16,MATCH(F426,Assumptions!$A$8:$A$16,0))</f>
        <v>83.661600000000007</v>
      </c>
      <c r="R426" s="22">
        <f>H426*Assumptions!$B$3</f>
        <v>12.552000000000001</v>
      </c>
      <c r="S426" s="22">
        <f t="shared" si="58"/>
        <v>30.546399999999998</v>
      </c>
      <c r="T426" s="20" t="str">
        <f t="shared" si="59"/>
        <v>8-14 days</v>
      </c>
    </row>
    <row r="427" spans="1:20" x14ac:dyDescent="0.3">
      <c r="A427" s="20" t="s">
        <v>493</v>
      </c>
      <c r="B427" s="20" t="s">
        <v>19</v>
      </c>
      <c r="C427" s="21">
        <v>45539</v>
      </c>
      <c r="D427" s="21">
        <v>45548</v>
      </c>
      <c r="E427" s="21">
        <v>45555</v>
      </c>
      <c r="F427" s="20" t="s">
        <v>111</v>
      </c>
      <c r="G427" s="22">
        <v>73.569999999999993</v>
      </c>
      <c r="H427" s="22">
        <v>21.85</v>
      </c>
      <c r="I427" s="20" t="s">
        <v>60</v>
      </c>
      <c r="J427" s="20">
        <v>5</v>
      </c>
      <c r="K427" s="20" t="s">
        <v>46</v>
      </c>
      <c r="L427" s="23">
        <f t="shared" si="53"/>
        <v>45536</v>
      </c>
      <c r="M427" s="20">
        <f t="shared" si="54"/>
        <v>9</v>
      </c>
      <c r="N427" s="20">
        <f t="shared" si="55"/>
        <v>0</v>
      </c>
      <c r="O427" s="20">
        <f t="shared" si="56"/>
        <v>1</v>
      </c>
      <c r="P427" s="22">
        <f t="shared" si="57"/>
        <v>95.419999999999987</v>
      </c>
      <c r="Q427" s="22">
        <f>G427*INDEX(Assumptions!$B$8:$B$16,MATCH(F427,Assumptions!$A$8:$A$16,0))</f>
        <v>46.349099999999993</v>
      </c>
      <c r="R427" s="22">
        <f>H427*Assumptions!$B$3</f>
        <v>13.110000000000001</v>
      </c>
      <c r="S427" s="22">
        <f t="shared" si="58"/>
        <v>14.110899999999999</v>
      </c>
      <c r="T427" s="20" t="str">
        <f t="shared" si="59"/>
        <v>8-14 days</v>
      </c>
    </row>
    <row r="428" spans="1:20" x14ac:dyDescent="0.3">
      <c r="A428" s="20" t="s">
        <v>494</v>
      </c>
      <c r="B428" s="20" t="s">
        <v>19</v>
      </c>
      <c r="C428" s="21">
        <v>45540</v>
      </c>
      <c r="D428" s="21">
        <v>45552</v>
      </c>
      <c r="E428" s="21">
        <v>45560</v>
      </c>
      <c r="F428" s="20" t="s">
        <v>59</v>
      </c>
      <c r="G428" s="22">
        <v>202.76</v>
      </c>
      <c r="H428" s="22">
        <v>22.85</v>
      </c>
      <c r="I428" s="20" t="s">
        <v>45</v>
      </c>
      <c r="J428" s="20">
        <v>4</v>
      </c>
      <c r="K428" s="20" t="s">
        <v>46</v>
      </c>
      <c r="L428" s="23">
        <f t="shared" si="53"/>
        <v>45536</v>
      </c>
      <c r="M428" s="20">
        <f t="shared" si="54"/>
        <v>12</v>
      </c>
      <c r="N428" s="20">
        <f t="shared" si="55"/>
        <v>0</v>
      </c>
      <c r="O428" s="20">
        <f t="shared" si="56"/>
        <v>1</v>
      </c>
      <c r="P428" s="22">
        <f t="shared" si="57"/>
        <v>225.60999999999999</v>
      </c>
      <c r="Q428" s="22">
        <f>G428*INDEX(Assumptions!$B$8:$B$16,MATCH(F428,Assumptions!$A$8:$A$16,0))</f>
        <v>129.7664</v>
      </c>
      <c r="R428" s="22">
        <f>H428*Assumptions!$B$3</f>
        <v>13.71</v>
      </c>
      <c r="S428" s="22">
        <f t="shared" si="58"/>
        <v>59.283599999999986</v>
      </c>
      <c r="T428" s="20" t="str">
        <f t="shared" si="59"/>
        <v>8-14 days</v>
      </c>
    </row>
    <row r="429" spans="1:20" x14ac:dyDescent="0.3">
      <c r="A429" s="20" t="s">
        <v>495</v>
      </c>
      <c r="B429" s="20" t="s">
        <v>19</v>
      </c>
      <c r="C429" s="21">
        <v>45540</v>
      </c>
      <c r="D429" s="21">
        <v>45556</v>
      </c>
      <c r="E429" s="21">
        <v>45555</v>
      </c>
      <c r="F429" s="20" t="s">
        <v>111</v>
      </c>
      <c r="G429" s="22">
        <v>221.51</v>
      </c>
      <c r="H429" s="22">
        <v>23.72</v>
      </c>
      <c r="I429" s="20" t="s">
        <v>60</v>
      </c>
      <c r="J429" s="20">
        <v>3</v>
      </c>
      <c r="K429" s="20" t="s">
        <v>46</v>
      </c>
      <c r="L429" s="23">
        <f t="shared" si="53"/>
        <v>45536</v>
      </c>
      <c r="M429" s="20">
        <f t="shared" si="54"/>
        <v>16</v>
      </c>
      <c r="N429" s="20">
        <f t="shared" si="55"/>
        <v>1</v>
      </c>
      <c r="O429" s="20">
        <f t="shared" si="56"/>
        <v>0</v>
      </c>
      <c r="P429" s="22">
        <f t="shared" si="57"/>
        <v>245.23</v>
      </c>
      <c r="Q429" s="22">
        <f>G429*INDEX(Assumptions!$B$8:$B$16,MATCH(F429,Assumptions!$A$8:$A$16,0))</f>
        <v>139.5513</v>
      </c>
      <c r="R429" s="22">
        <f>H429*Assumptions!$B$3</f>
        <v>14.231999999999999</v>
      </c>
      <c r="S429" s="22">
        <f t="shared" si="58"/>
        <v>67.726699999999994</v>
      </c>
      <c r="T429" s="20" t="str">
        <f t="shared" si="59"/>
        <v>15-21 days</v>
      </c>
    </row>
    <row r="430" spans="1:20" x14ac:dyDescent="0.3">
      <c r="A430" s="20" t="s">
        <v>496</v>
      </c>
      <c r="B430" s="20" t="s">
        <v>52</v>
      </c>
      <c r="C430" s="21">
        <v>45541</v>
      </c>
      <c r="D430" s="21">
        <v>45550</v>
      </c>
      <c r="E430" s="21">
        <v>45564</v>
      </c>
      <c r="F430" s="20" t="s">
        <v>79</v>
      </c>
      <c r="G430" s="22">
        <v>452.56</v>
      </c>
      <c r="H430" s="22">
        <v>29.99</v>
      </c>
      <c r="I430" s="20" t="s">
        <v>45</v>
      </c>
      <c r="J430" s="20">
        <v>4</v>
      </c>
      <c r="K430" s="20" t="s">
        <v>46</v>
      </c>
      <c r="L430" s="23">
        <f t="shared" si="53"/>
        <v>45536</v>
      </c>
      <c r="M430" s="20">
        <f t="shared" si="54"/>
        <v>9</v>
      </c>
      <c r="N430" s="20">
        <f t="shared" si="55"/>
        <v>0</v>
      </c>
      <c r="O430" s="20">
        <f t="shared" si="56"/>
        <v>1</v>
      </c>
      <c r="P430" s="22">
        <f t="shared" si="57"/>
        <v>482.55</v>
      </c>
      <c r="Q430" s="22">
        <f>G430*INDEX(Assumptions!$B$8:$B$16,MATCH(F430,Assumptions!$A$8:$A$16,0))</f>
        <v>316.79199999999997</v>
      </c>
      <c r="R430" s="22">
        <f>H430*Assumptions!$B$3</f>
        <v>17.994</v>
      </c>
      <c r="S430" s="22">
        <f t="shared" si="58"/>
        <v>117.77400000000003</v>
      </c>
      <c r="T430" s="20" t="str">
        <f t="shared" si="59"/>
        <v>8-14 days</v>
      </c>
    </row>
    <row r="431" spans="1:20" x14ac:dyDescent="0.3">
      <c r="A431" s="20" t="s">
        <v>497</v>
      </c>
      <c r="B431" s="20" t="s">
        <v>201</v>
      </c>
      <c r="C431" s="21">
        <v>45541</v>
      </c>
      <c r="D431" s="21">
        <v>45558</v>
      </c>
      <c r="E431" s="21">
        <v>45575</v>
      </c>
      <c r="F431" s="20" t="s">
        <v>53</v>
      </c>
      <c r="G431" s="22">
        <v>129.09</v>
      </c>
      <c r="H431" s="22">
        <v>32.270000000000003</v>
      </c>
      <c r="I431" s="20" t="s">
        <v>50</v>
      </c>
      <c r="J431" s="20">
        <v>4</v>
      </c>
      <c r="K431" s="20" t="s">
        <v>46</v>
      </c>
      <c r="L431" s="23">
        <f t="shared" si="53"/>
        <v>45536</v>
      </c>
      <c r="M431" s="20">
        <f t="shared" si="54"/>
        <v>17</v>
      </c>
      <c r="N431" s="20">
        <f t="shared" si="55"/>
        <v>0</v>
      </c>
      <c r="O431" s="20">
        <f t="shared" si="56"/>
        <v>1</v>
      </c>
      <c r="P431" s="22">
        <f t="shared" si="57"/>
        <v>161.36000000000001</v>
      </c>
      <c r="Q431" s="22">
        <f>G431*INDEX(Assumptions!$B$8:$B$16,MATCH(F431,Assumptions!$A$8:$A$16,0))</f>
        <v>95.526600000000002</v>
      </c>
      <c r="R431" s="22">
        <f>H431*Assumptions!$B$3</f>
        <v>19.362000000000002</v>
      </c>
      <c r="S431" s="22">
        <f t="shared" si="58"/>
        <v>14.2014</v>
      </c>
      <c r="T431" s="20" t="str">
        <f t="shared" si="59"/>
        <v>15-21 days</v>
      </c>
    </row>
    <row r="432" spans="1:20" x14ac:dyDescent="0.3">
      <c r="A432" s="20" t="s">
        <v>498</v>
      </c>
      <c r="B432" s="20" t="s">
        <v>19</v>
      </c>
      <c r="C432" s="21">
        <v>45542</v>
      </c>
      <c r="D432" s="21">
        <v>45550</v>
      </c>
      <c r="E432" s="21">
        <v>45558</v>
      </c>
      <c r="F432" s="20" t="s">
        <v>57</v>
      </c>
      <c r="G432" s="22">
        <v>89.29</v>
      </c>
      <c r="H432" s="22">
        <v>18.71</v>
      </c>
      <c r="I432" s="20" t="s">
        <v>60</v>
      </c>
      <c r="J432" s="20">
        <v>3</v>
      </c>
      <c r="K432" s="20" t="s">
        <v>46</v>
      </c>
      <c r="L432" s="23">
        <f t="shared" si="53"/>
        <v>45536</v>
      </c>
      <c r="M432" s="20">
        <f t="shared" si="54"/>
        <v>8</v>
      </c>
      <c r="N432" s="20">
        <f t="shared" si="55"/>
        <v>0</v>
      </c>
      <c r="O432" s="20">
        <f t="shared" si="56"/>
        <v>1</v>
      </c>
      <c r="P432" s="22">
        <f t="shared" si="57"/>
        <v>108</v>
      </c>
      <c r="Q432" s="22">
        <f>G432*INDEX(Assumptions!$B$8:$B$16,MATCH(F432,Assumptions!$A$8:$A$16,0))</f>
        <v>60.717200000000005</v>
      </c>
      <c r="R432" s="22">
        <f>H432*Assumptions!$B$3</f>
        <v>11.226000000000001</v>
      </c>
      <c r="S432" s="22">
        <f t="shared" si="58"/>
        <v>17.346800000000002</v>
      </c>
      <c r="T432" s="20" t="str">
        <f t="shared" si="59"/>
        <v>8-14 days</v>
      </c>
    </row>
    <row r="433" spans="1:20" x14ac:dyDescent="0.3">
      <c r="A433" s="20" t="s">
        <v>499</v>
      </c>
      <c r="B433" s="20" t="s">
        <v>55</v>
      </c>
      <c r="C433" s="21">
        <v>45543</v>
      </c>
      <c r="D433" s="21">
        <v>45555</v>
      </c>
      <c r="E433" s="21">
        <v>45568</v>
      </c>
      <c r="F433" s="20" t="s">
        <v>64</v>
      </c>
      <c r="G433" s="22">
        <v>80.709999999999994</v>
      </c>
      <c r="H433" s="22">
        <v>30.77</v>
      </c>
      <c r="I433" s="20" t="s">
        <v>60</v>
      </c>
      <c r="J433" s="20">
        <v>3</v>
      </c>
      <c r="K433" s="20" t="s">
        <v>46</v>
      </c>
      <c r="L433" s="23">
        <f t="shared" si="53"/>
        <v>45536</v>
      </c>
      <c r="M433" s="20">
        <f t="shared" si="54"/>
        <v>12</v>
      </c>
      <c r="N433" s="20">
        <f t="shared" si="55"/>
        <v>0</v>
      </c>
      <c r="O433" s="20">
        <f t="shared" si="56"/>
        <v>1</v>
      </c>
      <c r="P433" s="22">
        <f t="shared" si="57"/>
        <v>111.47999999999999</v>
      </c>
      <c r="Q433" s="22">
        <f>G433*INDEX(Assumptions!$B$8:$B$16,MATCH(F433,Assumptions!$A$8:$A$16,0))</f>
        <v>53.268599999999999</v>
      </c>
      <c r="R433" s="22">
        <f>H433*Assumptions!$B$3</f>
        <v>18.462</v>
      </c>
      <c r="S433" s="22">
        <f t="shared" si="58"/>
        <v>8.9793999999999947</v>
      </c>
      <c r="T433" s="20" t="str">
        <f t="shared" si="59"/>
        <v>8-14 days</v>
      </c>
    </row>
    <row r="434" spans="1:20" x14ac:dyDescent="0.3">
      <c r="A434" s="20" t="s">
        <v>500</v>
      </c>
      <c r="B434" s="20" t="s">
        <v>19</v>
      </c>
      <c r="C434" s="21">
        <v>45543</v>
      </c>
      <c r="D434" s="21">
        <v>45553</v>
      </c>
      <c r="E434" s="21">
        <v>45557</v>
      </c>
      <c r="F434" s="20" t="s">
        <v>49</v>
      </c>
      <c r="G434" s="22">
        <v>52.52</v>
      </c>
      <c r="H434" s="22">
        <v>12.72</v>
      </c>
      <c r="I434" s="20" t="s">
        <v>60</v>
      </c>
      <c r="J434" s="20">
        <v>4</v>
      </c>
      <c r="K434" s="20" t="s">
        <v>46</v>
      </c>
      <c r="L434" s="23">
        <f t="shared" si="53"/>
        <v>45536</v>
      </c>
      <c r="M434" s="20">
        <f t="shared" si="54"/>
        <v>10</v>
      </c>
      <c r="N434" s="20">
        <f t="shared" si="55"/>
        <v>0</v>
      </c>
      <c r="O434" s="20">
        <f t="shared" si="56"/>
        <v>1</v>
      </c>
      <c r="P434" s="22">
        <f t="shared" si="57"/>
        <v>65.240000000000009</v>
      </c>
      <c r="Q434" s="22">
        <f>G434*INDEX(Assumptions!$B$8:$B$16,MATCH(F434,Assumptions!$A$8:$A$16,0))</f>
        <v>30.461600000000001</v>
      </c>
      <c r="R434" s="22">
        <f>H434*Assumptions!$B$3</f>
        <v>7.6319999999999997</v>
      </c>
      <c r="S434" s="22">
        <f t="shared" si="58"/>
        <v>14.426400000000003</v>
      </c>
      <c r="T434" s="20" t="str">
        <f t="shared" si="59"/>
        <v>8-14 days</v>
      </c>
    </row>
    <row r="435" spans="1:20" x14ac:dyDescent="0.3">
      <c r="A435" s="20" t="s">
        <v>501</v>
      </c>
      <c r="B435" s="20" t="s">
        <v>48</v>
      </c>
      <c r="C435" s="21">
        <v>45544</v>
      </c>
      <c r="D435" s="21">
        <v>45555</v>
      </c>
      <c r="E435" s="21">
        <v>45566</v>
      </c>
      <c r="F435" s="20" t="s">
        <v>59</v>
      </c>
      <c r="G435" s="22">
        <v>95.67</v>
      </c>
      <c r="H435" s="22">
        <v>16.559999999999999</v>
      </c>
      <c r="I435" s="20" t="s">
        <v>45</v>
      </c>
      <c r="J435" s="20">
        <v>5</v>
      </c>
      <c r="K435" s="20" t="s">
        <v>46</v>
      </c>
      <c r="L435" s="23">
        <f t="shared" si="53"/>
        <v>45536</v>
      </c>
      <c r="M435" s="20">
        <f t="shared" si="54"/>
        <v>11</v>
      </c>
      <c r="N435" s="20">
        <f t="shared" si="55"/>
        <v>0</v>
      </c>
      <c r="O435" s="20">
        <f t="shared" si="56"/>
        <v>1</v>
      </c>
      <c r="P435" s="22">
        <f t="shared" si="57"/>
        <v>112.23</v>
      </c>
      <c r="Q435" s="22">
        <f>G435*INDEX(Assumptions!$B$8:$B$16,MATCH(F435,Assumptions!$A$8:$A$16,0))</f>
        <v>61.2288</v>
      </c>
      <c r="R435" s="22">
        <f>H435*Assumptions!$B$3</f>
        <v>9.9359999999999982</v>
      </c>
      <c r="S435" s="22">
        <f t="shared" si="58"/>
        <v>24.505200000000002</v>
      </c>
      <c r="T435" s="20" t="str">
        <f t="shared" si="59"/>
        <v>8-14 days</v>
      </c>
    </row>
    <row r="436" spans="1:20" x14ac:dyDescent="0.3">
      <c r="A436" s="20" t="s">
        <v>502</v>
      </c>
      <c r="B436" s="20" t="s">
        <v>52</v>
      </c>
      <c r="C436" s="21">
        <v>45544</v>
      </c>
      <c r="D436" s="21">
        <v>45557</v>
      </c>
      <c r="E436" s="21">
        <v>45568</v>
      </c>
      <c r="F436" s="20" t="s">
        <v>59</v>
      </c>
      <c r="G436" s="22">
        <v>57.65</v>
      </c>
      <c r="H436" s="22">
        <v>23.48</v>
      </c>
      <c r="I436" s="20" t="s">
        <v>45</v>
      </c>
      <c r="J436" s="20">
        <v>5</v>
      </c>
      <c r="K436" s="20" t="s">
        <v>46</v>
      </c>
      <c r="L436" s="23">
        <f t="shared" si="53"/>
        <v>45536</v>
      </c>
      <c r="M436" s="20">
        <f t="shared" si="54"/>
        <v>13</v>
      </c>
      <c r="N436" s="20">
        <f t="shared" si="55"/>
        <v>0</v>
      </c>
      <c r="O436" s="20">
        <f t="shared" si="56"/>
        <v>1</v>
      </c>
      <c r="P436" s="22">
        <f t="shared" si="57"/>
        <v>81.13</v>
      </c>
      <c r="Q436" s="22">
        <f>G436*INDEX(Assumptions!$B$8:$B$16,MATCH(F436,Assumptions!$A$8:$A$16,0))</f>
        <v>36.896000000000001</v>
      </c>
      <c r="R436" s="22">
        <f>H436*Assumptions!$B$3</f>
        <v>14.087999999999999</v>
      </c>
      <c r="S436" s="22">
        <f t="shared" si="58"/>
        <v>6.6659999999999986</v>
      </c>
      <c r="T436" s="20" t="str">
        <f t="shared" si="59"/>
        <v>8-14 days</v>
      </c>
    </row>
    <row r="437" spans="1:20" x14ac:dyDescent="0.3">
      <c r="A437" s="20" t="s">
        <v>503</v>
      </c>
      <c r="B437" s="20" t="s">
        <v>19</v>
      </c>
      <c r="C437" s="21">
        <v>45544</v>
      </c>
      <c r="D437" s="21">
        <v>45556</v>
      </c>
      <c r="E437" s="21">
        <v>45560</v>
      </c>
      <c r="F437" s="20" t="s">
        <v>49</v>
      </c>
      <c r="G437" s="22">
        <v>36.619999999999997</v>
      </c>
      <c r="H437" s="22">
        <v>16.170000000000002</v>
      </c>
      <c r="I437" s="20" t="s">
        <v>45</v>
      </c>
      <c r="J437" s="20">
        <v>5</v>
      </c>
      <c r="K437" s="20" t="s">
        <v>46</v>
      </c>
      <c r="L437" s="23">
        <f t="shared" si="53"/>
        <v>45536</v>
      </c>
      <c r="M437" s="20">
        <f t="shared" si="54"/>
        <v>12</v>
      </c>
      <c r="N437" s="20">
        <f t="shared" si="55"/>
        <v>0</v>
      </c>
      <c r="O437" s="20">
        <f t="shared" si="56"/>
        <v>1</v>
      </c>
      <c r="P437" s="22">
        <f t="shared" si="57"/>
        <v>52.79</v>
      </c>
      <c r="Q437" s="22">
        <f>G437*INDEX(Assumptions!$B$8:$B$16,MATCH(F437,Assumptions!$A$8:$A$16,0))</f>
        <v>21.239599999999996</v>
      </c>
      <c r="R437" s="22">
        <f>H437*Assumptions!$B$3</f>
        <v>9.702</v>
      </c>
      <c r="S437" s="22">
        <f t="shared" si="58"/>
        <v>5.6784000000000017</v>
      </c>
      <c r="T437" s="20" t="str">
        <f t="shared" si="59"/>
        <v>8-14 days</v>
      </c>
    </row>
    <row r="438" spans="1:20" x14ac:dyDescent="0.3">
      <c r="A438" s="20" t="s">
        <v>504</v>
      </c>
      <c r="B438" s="20" t="s">
        <v>19</v>
      </c>
      <c r="C438" s="21">
        <v>45545</v>
      </c>
      <c r="D438" s="21">
        <v>45561</v>
      </c>
      <c r="E438" s="21">
        <v>45562</v>
      </c>
      <c r="F438" s="20" t="s">
        <v>59</v>
      </c>
      <c r="G438" s="22">
        <v>45.95</v>
      </c>
      <c r="H438" s="22">
        <v>16.260000000000002</v>
      </c>
      <c r="I438" s="20" t="s">
        <v>60</v>
      </c>
      <c r="J438" s="20">
        <v>5</v>
      </c>
      <c r="K438" s="20" t="s">
        <v>46</v>
      </c>
      <c r="L438" s="23">
        <f t="shared" si="53"/>
        <v>45536</v>
      </c>
      <c r="M438" s="20">
        <f t="shared" si="54"/>
        <v>16</v>
      </c>
      <c r="N438" s="20">
        <f t="shared" si="55"/>
        <v>0</v>
      </c>
      <c r="O438" s="20">
        <f t="shared" si="56"/>
        <v>1</v>
      </c>
      <c r="P438" s="22">
        <f t="shared" si="57"/>
        <v>62.210000000000008</v>
      </c>
      <c r="Q438" s="22">
        <f>G438*INDEX(Assumptions!$B$8:$B$16,MATCH(F438,Assumptions!$A$8:$A$16,0))</f>
        <v>29.408000000000001</v>
      </c>
      <c r="R438" s="22">
        <f>H438*Assumptions!$B$3</f>
        <v>9.7560000000000002</v>
      </c>
      <c r="S438" s="22">
        <f t="shared" si="58"/>
        <v>6.7860000000000014</v>
      </c>
      <c r="T438" s="20" t="str">
        <f t="shared" si="59"/>
        <v>15-21 days</v>
      </c>
    </row>
    <row r="439" spans="1:20" x14ac:dyDescent="0.3">
      <c r="A439" s="20" t="s">
        <v>505</v>
      </c>
      <c r="B439" s="20" t="s">
        <v>19</v>
      </c>
      <c r="C439" s="21">
        <v>45545</v>
      </c>
      <c r="D439" s="21">
        <v>45559</v>
      </c>
      <c r="E439" s="21">
        <v>45559</v>
      </c>
      <c r="F439" s="20" t="s">
        <v>111</v>
      </c>
      <c r="G439" s="22">
        <v>114.36</v>
      </c>
      <c r="H439" s="22">
        <v>15</v>
      </c>
      <c r="I439" s="20" t="s">
        <v>45</v>
      </c>
      <c r="J439" s="20">
        <v>4</v>
      </c>
      <c r="K439" s="20" t="s">
        <v>46</v>
      </c>
      <c r="L439" s="23">
        <f t="shared" si="53"/>
        <v>45536</v>
      </c>
      <c r="M439" s="20">
        <f t="shared" si="54"/>
        <v>14</v>
      </c>
      <c r="N439" s="20">
        <f t="shared" si="55"/>
        <v>0</v>
      </c>
      <c r="O439" s="20">
        <f t="shared" si="56"/>
        <v>1</v>
      </c>
      <c r="P439" s="22">
        <f t="shared" si="57"/>
        <v>129.36000000000001</v>
      </c>
      <c r="Q439" s="22">
        <f>G439*INDEX(Assumptions!$B$8:$B$16,MATCH(F439,Assumptions!$A$8:$A$16,0))</f>
        <v>72.046800000000005</v>
      </c>
      <c r="R439" s="22">
        <f>H439*Assumptions!$B$3</f>
        <v>9</v>
      </c>
      <c r="S439" s="22">
        <f t="shared" si="58"/>
        <v>33.313199999999995</v>
      </c>
      <c r="T439" s="20" t="str">
        <f t="shared" si="59"/>
        <v>8-14 days</v>
      </c>
    </row>
    <row r="440" spans="1:20" x14ac:dyDescent="0.3">
      <c r="A440" s="20" t="s">
        <v>506</v>
      </c>
      <c r="B440" s="20" t="s">
        <v>19</v>
      </c>
      <c r="C440" s="21">
        <v>45545</v>
      </c>
      <c r="D440" s="21">
        <v>45556</v>
      </c>
      <c r="E440" s="21">
        <v>45562</v>
      </c>
      <c r="F440" s="20" t="s">
        <v>53</v>
      </c>
      <c r="G440" s="22">
        <v>69.349999999999994</v>
      </c>
      <c r="H440" s="22">
        <v>17.260000000000002</v>
      </c>
      <c r="I440" s="20" t="s">
        <v>45</v>
      </c>
      <c r="J440" s="20">
        <v>5</v>
      </c>
      <c r="K440" s="20" t="s">
        <v>46</v>
      </c>
      <c r="L440" s="23">
        <f t="shared" si="53"/>
        <v>45536</v>
      </c>
      <c r="M440" s="20">
        <f t="shared" si="54"/>
        <v>11</v>
      </c>
      <c r="N440" s="20">
        <f t="shared" si="55"/>
        <v>0</v>
      </c>
      <c r="O440" s="20">
        <f t="shared" si="56"/>
        <v>1</v>
      </c>
      <c r="P440" s="22">
        <f t="shared" si="57"/>
        <v>86.61</v>
      </c>
      <c r="Q440" s="22">
        <f>G440*INDEX(Assumptions!$B$8:$B$16,MATCH(F440,Assumptions!$A$8:$A$16,0))</f>
        <v>51.318999999999996</v>
      </c>
      <c r="R440" s="22">
        <f>H440*Assumptions!$B$3</f>
        <v>10.356</v>
      </c>
      <c r="S440" s="22">
        <f t="shared" si="58"/>
        <v>7.6749999999999989</v>
      </c>
      <c r="T440" s="20" t="str">
        <f t="shared" si="59"/>
        <v>8-14 days</v>
      </c>
    </row>
    <row r="441" spans="1:20" x14ac:dyDescent="0.3">
      <c r="A441" s="20" t="s">
        <v>507</v>
      </c>
      <c r="B441" s="20" t="s">
        <v>55</v>
      </c>
      <c r="C441" s="21">
        <v>45545</v>
      </c>
      <c r="D441" s="21">
        <v>45557</v>
      </c>
      <c r="E441" s="21">
        <v>45570</v>
      </c>
      <c r="F441" s="20" t="s">
        <v>111</v>
      </c>
      <c r="G441" s="22">
        <v>33.83</v>
      </c>
      <c r="H441" s="22">
        <v>23.1</v>
      </c>
      <c r="I441" s="20" t="s">
        <v>60</v>
      </c>
      <c r="J441" s="20">
        <v>5</v>
      </c>
      <c r="K441" s="20" t="s">
        <v>46</v>
      </c>
      <c r="L441" s="23">
        <f t="shared" si="53"/>
        <v>45536</v>
      </c>
      <c r="M441" s="20">
        <f t="shared" si="54"/>
        <v>12</v>
      </c>
      <c r="N441" s="20">
        <f t="shared" si="55"/>
        <v>0</v>
      </c>
      <c r="O441" s="20">
        <f t="shared" si="56"/>
        <v>1</v>
      </c>
      <c r="P441" s="22">
        <f t="shared" si="57"/>
        <v>56.93</v>
      </c>
      <c r="Q441" s="22">
        <f>G441*INDEX(Assumptions!$B$8:$B$16,MATCH(F441,Assumptions!$A$8:$A$16,0))</f>
        <v>21.312899999999999</v>
      </c>
      <c r="R441" s="22">
        <f>H441*Assumptions!$B$3</f>
        <v>13.860000000000001</v>
      </c>
      <c r="S441" s="22">
        <f t="shared" si="58"/>
        <v>-1.342900000000002</v>
      </c>
      <c r="T441" s="20" t="str">
        <f t="shared" si="59"/>
        <v>8-14 days</v>
      </c>
    </row>
    <row r="442" spans="1:20" x14ac:dyDescent="0.3">
      <c r="A442" s="20" t="s">
        <v>508</v>
      </c>
      <c r="B442" s="20" t="s">
        <v>55</v>
      </c>
      <c r="C442" s="21">
        <v>45546</v>
      </c>
      <c r="D442" s="21">
        <v>45566</v>
      </c>
      <c r="E442" s="21">
        <v>45567</v>
      </c>
      <c r="F442" s="20" t="s">
        <v>67</v>
      </c>
      <c r="G442" s="22">
        <v>61.79</v>
      </c>
      <c r="H442" s="22">
        <v>16.920000000000002</v>
      </c>
      <c r="I442" s="20" t="s">
        <v>45</v>
      </c>
      <c r="J442" s="20">
        <v>4</v>
      </c>
      <c r="K442" s="20" t="s">
        <v>46</v>
      </c>
      <c r="L442" s="23">
        <f t="shared" si="53"/>
        <v>45536</v>
      </c>
      <c r="M442" s="20">
        <f t="shared" si="54"/>
        <v>20</v>
      </c>
      <c r="N442" s="20">
        <f t="shared" si="55"/>
        <v>0</v>
      </c>
      <c r="O442" s="20">
        <f t="shared" si="56"/>
        <v>1</v>
      </c>
      <c r="P442" s="22">
        <f t="shared" si="57"/>
        <v>78.710000000000008</v>
      </c>
      <c r="Q442" s="22">
        <f>G442*INDEX(Assumptions!$B$8:$B$16,MATCH(F442,Assumptions!$A$8:$A$16,0))</f>
        <v>38.309800000000003</v>
      </c>
      <c r="R442" s="22">
        <f>H442*Assumptions!$B$3</f>
        <v>10.152000000000001</v>
      </c>
      <c r="S442" s="22">
        <f t="shared" si="58"/>
        <v>13.328199999999995</v>
      </c>
      <c r="T442" s="20" t="str">
        <f t="shared" si="59"/>
        <v>15-21 days</v>
      </c>
    </row>
    <row r="443" spans="1:20" x14ac:dyDescent="0.3">
      <c r="A443" s="20" t="s">
        <v>509</v>
      </c>
      <c r="B443" s="20" t="s">
        <v>19</v>
      </c>
      <c r="C443" s="21">
        <v>45546</v>
      </c>
      <c r="D443" s="21">
        <v>45552</v>
      </c>
      <c r="E443" s="21">
        <v>45565</v>
      </c>
      <c r="F443" s="20" t="s">
        <v>64</v>
      </c>
      <c r="G443" s="22">
        <v>125.57</v>
      </c>
      <c r="H443" s="22">
        <v>15.59</v>
      </c>
      <c r="I443" s="20" t="s">
        <v>45</v>
      </c>
      <c r="J443" s="20">
        <v>4</v>
      </c>
      <c r="K443" s="20" t="s">
        <v>46</v>
      </c>
      <c r="L443" s="23">
        <f t="shared" si="53"/>
        <v>45536</v>
      </c>
      <c r="M443" s="20">
        <f t="shared" si="54"/>
        <v>6</v>
      </c>
      <c r="N443" s="20">
        <f t="shared" si="55"/>
        <v>0</v>
      </c>
      <c r="O443" s="20">
        <f t="shared" si="56"/>
        <v>1</v>
      </c>
      <c r="P443" s="22">
        <f t="shared" si="57"/>
        <v>141.16</v>
      </c>
      <c r="Q443" s="22">
        <f>G443*INDEX(Assumptions!$B$8:$B$16,MATCH(F443,Assumptions!$A$8:$A$16,0))</f>
        <v>82.876199999999997</v>
      </c>
      <c r="R443" s="22">
        <f>H443*Assumptions!$B$3</f>
        <v>9.3539999999999992</v>
      </c>
      <c r="S443" s="22">
        <f t="shared" si="58"/>
        <v>33.339799999999997</v>
      </c>
      <c r="T443" s="20" t="str">
        <f t="shared" si="59"/>
        <v>0-7 days</v>
      </c>
    </row>
    <row r="444" spans="1:20" x14ac:dyDescent="0.3">
      <c r="A444" s="20" t="s">
        <v>510</v>
      </c>
      <c r="B444" s="20" t="s">
        <v>55</v>
      </c>
      <c r="C444" s="21">
        <v>45547</v>
      </c>
      <c r="D444" s="21">
        <v>45602</v>
      </c>
      <c r="E444" s="21">
        <v>45570</v>
      </c>
      <c r="F444" s="20" t="s">
        <v>49</v>
      </c>
      <c r="G444" s="22">
        <v>66.02</v>
      </c>
      <c r="H444" s="22">
        <v>25.45</v>
      </c>
      <c r="I444" s="20" t="s">
        <v>60</v>
      </c>
      <c r="J444" s="20">
        <v>2</v>
      </c>
      <c r="K444" s="20" t="s">
        <v>46</v>
      </c>
      <c r="L444" s="23">
        <f t="shared" si="53"/>
        <v>45536</v>
      </c>
      <c r="M444" s="20">
        <f t="shared" si="54"/>
        <v>55</v>
      </c>
      <c r="N444" s="20">
        <f t="shared" si="55"/>
        <v>32</v>
      </c>
      <c r="O444" s="20">
        <f t="shared" si="56"/>
        <v>0</v>
      </c>
      <c r="P444" s="22">
        <f t="shared" si="57"/>
        <v>91.47</v>
      </c>
      <c r="Q444" s="22">
        <f>G444*INDEX(Assumptions!$B$8:$B$16,MATCH(F444,Assumptions!$A$8:$A$16,0))</f>
        <v>38.291599999999995</v>
      </c>
      <c r="R444" s="22">
        <f>H444*Assumptions!$B$3</f>
        <v>15.27</v>
      </c>
      <c r="S444" s="22">
        <f t="shared" si="58"/>
        <v>12.458400000000001</v>
      </c>
      <c r="T444" s="20" t="str">
        <f t="shared" si="59"/>
        <v>22+ days</v>
      </c>
    </row>
    <row r="445" spans="1:20" x14ac:dyDescent="0.3">
      <c r="A445" s="20" t="s">
        <v>511</v>
      </c>
      <c r="B445" s="20" t="s">
        <v>19</v>
      </c>
      <c r="C445" s="21">
        <v>45547</v>
      </c>
      <c r="D445" s="21">
        <v>45554</v>
      </c>
      <c r="E445" s="21">
        <v>45565</v>
      </c>
      <c r="F445" s="20" t="s">
        <v>64</v>
      </c>
      <c r="G445" s="22">
        <v>143.69999999999999</v>
      </c>
      <c r="H445" s="22">
        <v>16.059999999999999</v>
      </c>
      <c r="I445" s="20" t="s">
        <v>60</v>
      </c>
      <c r="J445" s="20">
        <v>5</v>
      </c>
      <c r="K445" s="20" t="s">
        <v>46</v>
      </c>
      <c r="L445" s="23">
        <f t="shared" si="53"/>
        <v>45536</v>
      </c>
      <c r="M445" s="20">
        <f t="shared" si="54"/>
        <v>7</v>
      </c>
      <c r="N445" s="20">
        <f t="shared" si="55"/>
        <v>0</v>
      </c>
      <c r="O445" s="20">
        <f t="shared" si="56"/>
        <v>1</v>
      </c>
      <c r="P445" s="22">
        <f t="shared" si="57"/>
        <v>159.76</v>
      </c>
      <c r="Q445" s="22">
        <f>G445*INDEX(Assumptions!$B$8:$B$16,MATCH(F445,Assumptions!$A$8:$A$16,0))</f>
        <v>94.841999999999999</v>
      </c>
      <c r="R445" s="22">
        <f>H445*Assumptions!$B$3</f>
        <v>9.6359999999999992</v>
      </c>
      <c r="S445" s="22">
        <f t="shared" si="58"/>
        <v>39.221999999999994</v>
      </c>
      <c r="T445" s="20" t="str">
        <f t="shared" si="59"/>
        <v>0-7 days</v>
      </c>
    </row>
    <row r="446" spans="1:20" x14ac:dyDescent="0.3">
      <c r="A446" s="20" t="s">
        <v>512</v>
      </c>
      <c r="B446" s="20" t="s">
        <v>62</v>
      </c>
      <c r="C446" s="21">
        <v>45547</v>
      </c>
      <c r="D446" s="21">
        <v>45563</v>
      </c>
      <c r="E446" s="21">
        <v>45565</v>
      </c>
      <c r="F446" s="20" t="s">
        <v>59</v>
      </c>
      <c r="G446" s="22">
        <v>127.99</v>
      </c>
      <c r="H446" s="22">
        <v>30.44</v>
      </c>
      <c r="I446" s="20" t="s">
        <v>45</v>
      </c>
      <c r="J446" s="20">
        <v>5</v>
      </c>
      <c r="K446" s="20" t="s">
        <v>46</v>
      </c>
      <c r="L446" s="23">
        <f t="shared" si="53"/>
        <v>45536</v>
      </c>
      <c r="M446" s="20">
        <f t="shared" si="54"/>
        <v>16</v>
      </c>
      <c r="N446" s="20">
        <f t="shared" si="55"/>
        <v>0</v>
      </c>
      <c r="O446" s="20">
        <f t="shared" si="56"/>
        <v>1</v>
      </c>
      <c r="P446" s="22">
        <f t="shared" si="57"/>
        <v>158.43</v>
      </c>
      <c r="Q446" s="22">
        <f>G446*INDEX(Assumptions!$B$8:$B$16,MATCH(F446,Assumptions!$A$8:$A$16,0))</f>
        <v>81.913600000000002</v>
      </c>
      <c r="R446" s="22">
        <f>H446*Assumptions!$B$3</f>
        <v>18.263999999999999</v>
      </c>
      <c r="S446" s="22">
        <f t="shared" si="58"/>
        <v>27.812399999999993</v>
      </c>
      <c r="T446" s="20" t="str">
        <f t="shared" si="59"/>
        <v>15-21 days</v>
      </c>
    </row>
    <row r="447" spans="1:20" x14ac:dyDescent="0.3">
      <c r="A447" s="20" t="s">
        <v>513</v>
      </c>
      <c r="B447" s="20" t="s">
        <v>48</v>
      </c>
      <c r="C447" s="21">
        <v>45548</v>
      </c>
      <c r="D447" s="21">
        <v>45555</v>
      </c>
      <c r="E447" s="21">
        <v>45567</v>
      </c>
      <c r="F447" s="20" t="s">
        <v>57</v>
      </c>
      <c r="G447" s="22">
        <v>123.35</v>
      </c>
      <c r="H447" s="22">
        <v>26.03</v>
      </c>
      <c r="I447" s="20" t="s">
        <v>60</v>
      </c>
      <c r="J447" s="20">
        <v>4</v>
      </c>
      <c r="K447" s="20" t="s">
        <v>46</v>
      </c>
      <c r="L447" s="23">
        <f t="shared" si="53"/>
        <v>45536</v>
      </c>
      <c r="M447" s="20">
        <f t="shared" si="54"/>
        <v>7</v>
      </c>
      <c r="N447" s="20">
        <f t="shared" si="55"/>
        <v>0</v>
      </c>
      <c r="O447" s="20">
        <f t="shared" si="56"/>
        <v>1</v>
      </c>
      <c r="P447" s="22">
        <f t="shared" si="57"/>
        <v>149.38</v>
      </c>
      <c r="Q447" s="22">
        <f>G447*INDEX(Assumptions!$B$8:$B$16,MATCH(F447,Assumptions!$A$8:$A$16,0))</f>
        <v>83.878</v>
      </c>
      <c r="R447" s="22">
        <f>H447*Assumptions!$B$3</f>
        <v>15.618</v>
      </c>
      <c r="S447" s="22">
        <f t="shared" si="58"/>
        <v>23.853999999999992</v>
      </c>
      <c r="T447" s="20" t="str">
        <f t="shared" si="59"/>
        <v>0-7 days</v>
      </c>
    </row>
    <row r="448" spans="1:20" x14ac:dyDescent="0.3">
      <c r="A448" s="20" t="s">
        <v>514</v>
      </c>
      <c r="B448" s="20" t="s">
        <v>55</v>
      </c>
      <c r="C448" s="21">
        <v>45548</v>
      </c>
      <c r="D448" s="21">
        <v>45559</v>
      </c>
      <c r="E448" s="21">
        <v>45571</v>
      </c>
      <c r="F448" s="20" t="s">
        <v>44</v>
      </c>
      <c r="G448" s="22">
        <v>96.15</v>
      </c>
      <c r="H448" s="22">
        <v>19.37</v>
      </c>
      <c r="I448" s="20" t="s">
        <v>60</v>
      </c>
      <c r="J448" s="20">
        <v>4</v>
      </c>
      <c r="K448" s="20" t="s">
        <v>46</v>
      </c>
      <c r="L448" s="23">
        <f t="shared" si="53"/>
        <v>45536</v>
      </c>
      <c r="M448" s="20">
        <f t="shared" si="54"/>
        <v>11</v>
      </c>
      <c r="N448" s="20">
        <f t="shared" si="55"/>
        <v>0</v>
      </c>
      <c r="O448" s="20">
        <f t="shared" si="56"/>
        <v>1</v>
      </c>
      <c r="P448" s="22">
        <f t="shared" si="57"/>
        <v>115.52000000000001</v>
      </c>
      <c r="Q448" s="22">
        <f>G448*INDEX(Assumptions!$B$8:$B$16,MATCH(F448,Assumptions!$A$8:$A$16,0))</f>
        <v>57.69</v>
      </c>
      <c r="R448" s="22">
        <f>H448*Assumptions!$B$3</f>
        <v>11.622</v>
      </c>
      <c r="S448" s="22">
        <f t="shared" si="58"/>
        <v>26.838000000000008</v>
      </c>
      <c r="T448" s="20" t="str">
        <f t="shared" si="59"/>
        <v>8-14 days</v>
      </c>
    </row>
    <row r="449" spans="1:20" x14ac:dyDescent="0.3">
      <c r="A449" s="20" t="s">
        <v>515</v>
      </c>
      <c r="B449" s="20" t="s">
        <v>48</v>
      </c>
      <c r="C449" s="21">
        <v>45548</v>
      </c>
      <c r="D449" s="21">
        <v>45561</v>
      </c>
      <c r="E449" s="21">
        <v>45574</v>
      </c>
      <c r="F449" s="20" t="s">
        <v>44</v>
      </c>
      <c r="G449" s="22">
        <v>63.98</v>
      </c>
      <c r="H449" s="22">
        <v>23.99</v>
      </c>
      <c r="I449" s="20" t="s">
        <v>60</v>
      </c>
      <c r="J449" s="20">
        <v>5</v>
      </c>
      <c r="K449" s="20" t="s">
        <v>46</v>
      </c>
      <c r="L449" s="23">
        <f t="shared" si="53"/>
        <v>45536</v>
      </c>
      <c r="M449" s="20">
        <f t="shared" si="54"/>
        <v>13</v>
      </c>
      <c r="N449" s="20">
        <f t="shared" si="55"/>
        <v>0</v>
      </c>
      <c r="O449" s="20">
        <f t="shared" si="56"/>
        <v>1</v>
      </c>
      <c r="P449" s="22">
        <f t="shared" si="57"/>
        <v>87.97</v>
      </c>
      <c r="Q449" s="22">
        <f>G449*INDEX(Assumptions!$B$8:$B$16,MATCH(F449,Assumptions!$A$8:$A$16,0))</f>
        <v>38.387999999999998</v>
      </c>
      <c r="R449" s="22">
        <f>H449*Assumptions!$B$3</f>
        <v>14.393999999999998</v>
      </c>
      <c r="S449" s="22">
        <f t="shared" si="58"/>
        <v>11.198</v>
      </c>
      <c r="T449" s="20" t="str">
        <f t="shared" si="59"/>
        <v>8-14 days</v>
      </c>
    </row>
    <row r="450" spans="1:20" x14ac:dyDescent="0.3">
      <c r="A450" s="20" t="s">
        <v>516</v>
      </c>
      <c r="B450" s="20" t="s">
        <v>174</v>
      </c>
      <c r="C450" s="21">
        <v>45548</v>
      </c>
      <c r="D450" s="21">
        <v>45562</v>
      </c>
      <c r="E450" s="21">
        <v>45580</v>
      </c>
      <c r="F450" s="20" t="s">
        <v>111</v>
      </c>
      <c r="G450" s="22">
        <v>24.66</v>
      </c>
      <c r="H450" s="22">
        <v>46.08</v>
      </c>
      <c r="I450" s="20" t="s">
        <v>60</v>
      </c>
      <c r="J450" s="20">
        <v>4</v>
      </c>
      <c r="K450" s="20" t="s">
        <v>46</v>
      </c>
      <c r="L450" s="23">
        <f t="shared" ref="L450:L513" si="60">DATE(YEAR(C450),MONTH(C450),1)</f>
        <v>45536</v>
      </c>
      <c r="M450" s="20">
        <f t="shared" ref="M450:M513" si="61">D450-C450</f>
        <v>14</v>
      </c>
      <c r="N450" s="20">
        <f t="shared" ref="N450:N513" si="62">MAX(0,D450-E450)</f>
        <v>0</v>
      </c>
      <c r="O450" s="20">
        <f t="shared" ref="O450:O513" si="63">IF(D450&lt;=E450,1,0)</f>
        <v>1</v>
      </c>
      <c r="P450" s="22">
        <f t="shared" ref="P450:P513" si="64">G450+H450</f>
        <v>70.739999999999995</v>
      </c>
      <c r="Q450" s="22">
        <f>G450*INDEX(Assumptions!$B$8:$B$16,MATCH(F450,Assumptions!$A$8:$A$16,0))</f>
        <v>15.5358</v>
      </c>
      <c r="R450" s="22">
        <f>H450*Assumptions!$B$3</f>
        <v>27.648</v>
      </c>
      <c r="S450" s="22">
        <f t="shared" ref="S450:S513" si="65">G450-Q450-R450</f>
        <v>-18.523800000000001</v>
      </c>
      <c r="T450" s="20" t="str">
        <f t="shared" ref="T450:T513" si="66">IF(M450&lt;=7,"0-7 days",IF(M450&lt;=14,"8-14 days",IF(M450&lt;=21,"15-21 days","22+ days")))</f>
        <v>8-14 days</v>
      </c>
    </row>
    <row r="451" spans="1:20" x14ac:dyDescent="0.3">
      <c r="A451" s="20" t="s">
        <v>517</v>
      </c>
      <c r="B451" s="20" t="s">
        <v>19</v>
      </c>
      <c r="C451" s="21">
        <v>45548</v>
      </c>
      <c r="D451" s="21">
        <v>45553</v>
      </c>
      <c r="E451" s="21">
        <v>45563</v>
      </c>
      <c r="F451" s="20" t="s">
        <v>111</v>
      </c>
      <c r="G451" s="22">
        <v>208.4</v>
      </c>
      <c r="H451" s="22">
        <v>22.55</v>
      </c>
      <c r="I451" s="20" t="s">
        <v>45</v>
      </c>
      <c r="J451" s="20">
        <v>5</v>
      </c>
      <c r="K451" s="20" t="s">
        <v>46</v>
      </c>
      <c r="L451" s="23">
        <f t="shared" si="60"/>
        <v>45536</v>
      </c>
      <c r="M451" s="20">
        <f t="shared" si="61"/>
        <v>5</v>
      </c>
      <c r="N451" s="20">
        <f t="shared" si="62"/>
        <v>0</v>
      </c>
      <c r="O451" s="20">
        <f t="shared" si="63"/>
        <v>1</v>
      </c>
      <c r="P451" s="22">
        <f t="shared" si="64"/>
        <v>230.95000000000002</v>
      </c>
      <c r="Q451" s="22">
        <f>G451*INDEX(Assumptions!$B$8:$B$16,MATCH(F451,Assumptions!$A$8:$A$16,0))</f>
        <v>131.292</v>
      </c>
      <c r="R451" s="22">
        <f>H451*Assumptions!$B$3</f>
        <v>13.53</v>
      </c>
      <c r="S451" s="22">
        <f t="shared" si="65"/>
        <v>63.578000000000003</v>
      </c>
      <c r="T451" s="20" t="str">
        <f t="shared" si="66"/>
        <v>0-7 days</v>
      </c>
    </row>
    <row r="452" spans="1:20" x14ac:dyDescent="0.3">
      <c r="A452" s="20" t="s">
        <v>518</v>
      </c>
      <c r="B452" s="20" t="s">
        <v>62</v>
      </c>
      <c r="C452" s="21">
        <v>45549</v>
      </c>
      <c r="D452" s="21">
        <v>45560</v>
      </c>
      <c r="E452" s="21">
        <v>45573</v>
      </c>
      <c r="F452" s="20" t="s">
        <v>49</v>
      </c>
      <c r="G452" s="22">
        <v>90.93</v>
      </c>
      <c r="H452" s="22">
        <v>16.260000000000002</v>
      </c>
      <c r="I452" s="20" t="s">
        <v>45</v>
      </c>
      <c r="J452" s="20">
        <v>4</v>
      </c>
      <c r="K452" s="20" t="s">
        <v>46</v>
      </c>
      <c r="L452" s="23">
        <f t="shared" si="60"/>
        <v>45536</v>
      </c>
      <c r="M452" s="20">
        <f t="shared" si="61"/>
        <v>11</v>
      </c>
      <c r="N452" s="20">
        <f t="shared" si="62"/>
        <v>0</v>
      </c>
      <c r="O452" s="20">
        <f t="shared" si="63"/>
        <v>1</v>
      </c>
      <c r="P452" s="22">
        <f t="shared" si="64"/>
        <v>107.19000000000001</v>
      </c>
      <c r="Q452" s="22">
        <f>G452*INDEX(Assumptions!$B$8:$B$16,MATCH(F452,Assumptions!$A$8:$A$16,0))</f>
        <v>52.739400000000003</v>
      </c>
      <c r="R452" s="22">
        <f>H452*Assumptions!$B$3</f>
        <v>9.7560000000000002</v>
      </c>
      <c r="S452" s="22">
        <f t="shared" si="65"/>
        <v>28.434600000000003</v>
      </c>
      <c r="T452" s="20" t="str">
        <f t="shared" si="66"/>
        <v>8-14 days</v>
      </c>
    </row>
    <row r="453" spans="1:20" x14ac:dyDescent="0.3">
      <c r="A453" s="20" t="s">
        <v>519</v>
      </c>
      <c r="B453" s="20" t="s">
        <v>19</v>
      </c>
      <c r="C453" s="21">
        <v>45549</v>
      </c>
      <c r="D453" s="21">
        <v>45560</v>
      </c>
      <c r="E453" s="21">
        <v>45564</v>
      </c>
      <c r="F453" s="20" t="s">
        <v>64</v>
      </c>
      <c r="G453" s="22">
        <v>79.98</v>
      </c>
      <c r="H453" s="22">
        <v>18.32</v>
      </c>
      <c r="I453" s="20" t="s">
        <v>45</v>
      </c>
      <c r="J453" s="20">
        <v>5</v>
      </c>
      <c r="K453" s="20" t="s">
        <v>46</v>
      </c>
      <c r="L453" s="23">
        <f t="shared" si="60"/>
        <v>45536</v>
      </c>
      <c r="M453" s="20">
        <f t="shared" si="61"/>
        <v>11</v>
      </c>
      <c r="N453" s="20">
        <f t="shared" si="62"/>
        <v>0</v>
      </c>
      <c r="O453" s="20">
        <f t="shared" si="63"/>
        <v>1</v>
      </c>
      <c r="P453" s="22">
        <f t="shared" si="64"/>
        <v>98.300000000000011</v>
      </c>
      <c r="Q453" s="22">
        <f>G453*INDEX(Assumptions!$B$8:$B$16,MATCH(F453,Assumptions!$A$8:$A$16,0))</f>
        <v>52.786800000000007</v>
      </c>
      <c r="R453" s="22">
        <f>H453*Assumptions!$B$3</f>
        <v>10.991999999999999</v>
      </c>
      <c r="S453" s="22">
        <f t="shared" si="65"/>
        <v>16.2012</v>
      </c>
      <c r="T453" s="20" t="str">
        <f t="shared" si="66"/>
        <v>8-14 days</v>
      </c>
    </row>
    <row r="454" spans="1:20" x14ac:dyDescent="0.3">
      <c r="A454" s="20" t="s">
        <v>520</v>
      </c>
      <c r="B454" s="20" t="s">
        <v>77</v>
      </c>
      <c r="C454" s="21">
        <v>45549</v>
      </c>
      <c r="D454" s="21">
        <v>45578</v>
      </c>
      <c r="E454" s="21">
        <v>45567</v>
      </c>
      <c r="F454" s="20" t="s">
        <v>57</v>
      </c>
      <c r="G454" s="22">
        <v>201.3</v>
      </c>
      <c r="H454" s="22">
        <v>20.49</v>
      </c>
      <c r="I454" s="20" t="s">
        <v>45</v>
      </c>
      <c r="J454" s="20">
        <v>3</v>
      </c>
      <c r="K454" s="20" t="s">
        <v>46</v>
      </c>
      <c r="L454" s="23">
        <f t="shared" si="60"/>
        <v>45536</v>
      </c>
      <c r="M454" s="20">
        <f t="shared" si="61"/>
        <v>29</v>
      </c>
      <c r="N454" s="20">
        <f t="shared" si="62"/>
        <v>11</v>
      </c>
      <c r="O454" s="20">
        <f t="shared" si="63"/>
        <v>0</v>
      </c>
      <c r="P454" s="22">
        <f t="shared" si="64"/>
        <v>221.79000000000002</v>
      </c>
      <c r="Q454" s="22">
        <f>G454*INDEX(Assumptions!$B$8:$B$16,MATCH(F454,Assumptions!$A$8:$A$16,0))</f>
        <v>136.88400000000001</v>
      </c>
      <c r="R454" s="22">
        <f>H454*Assumptions!$B$3</f>
        <v>12.293999999999999</v>
      </c>
      <c r="S454" s="22">
        <f t="shared" si="65"/>
        <v>52.122</v>
      </c>
      <c r="T454" s="20" t="str">
        <f t="shared" si="66"/>
        <v>22+ days</v>
      </c>
    </row>
    <row r="455" spans="1:20" x14ac:dyDescent="0.3">
      <c r="A455" s="20" t="s">
        <v>521</v>
      </c>
      <c r="B455" s="20" t="s">
        <v>55</v>
      </c>
      <c r="C455" s="21">
        <v>45550</v>
      </c>
      <c r="D455" s="21">
        <v>45560</v>
      </c>
      <c r="E455" s="21">
        <v>45574</v>
      </c>
      <c r="F455" s="20" t="s">
        <v>53</v>
      </c>
      <c r="G455" s="22">
        <v>64.89</v>
      </c>
      <c r="H455" s="22">
        <v>26.2</v>
      </c>
      <c r="I455" s="20" t="s">
        <v>45</v>
      </c>
      <c r="J455" s="20">
        <v>5</v>
      </c>
      <c r="K455" s="20" t="s">
        <v>46</v>
      </c>
      <c r="L455" s="23">
        <f t="shared" si="60"/>
        <v>45536</v>
      </c>
      <c r="M455" s="20">
        <f t="shared" si="61"/>
        <v>10</v>
      </c>
      <c r="N455" s="20">
        <f t="shared" si="62"/>
        <v>0</v>
      </c>
      <c r="O455" s="20">
        <f t="shared" si="63"/>
        <v>1</v>
      </c>
      <c r="P455" s="22">
        <f t="shared" si="64"/>
        <v>91.09</v>
      </c>
      <c r="Q455" s="22">
        <f>G455*INDEX(Assumptions!$B$8:$B$16,MATCH(F455,Assumptions!$A$8:$A$16,0))</f>
        <v>48.018599999999999</v>
      </c>
      <c r="R455" s="22">
        <f>H455*Assumptions!$B$3</f>
        <v>15.719999999999999</v>
      </c>
      <c r="S455" s="22">
        <f t="shared" si="65"/>
        <v>1.1514000000000024</v>
      </c>
      <c r="T455" s="20" t="str">
        <f t="shared" si="66"/>
        <v>8-14 days</v>
      </c>
    </row>
    <row r="456" spans="1:20" x14ac:dyDescent="0.3">
      <c r="A456" s="20" t="s">
        <v>522</v>
      </c>
      <c r="B456" s="20" t="s">
        <v>77</v>
      </c>
      <c r="C456" s="21">
        <v>45550</v>
      </c>
      <c r="D456" s="21">
        <v>45564</v>
      </c>
      <c r="E456" s="21">
        <v>45573</v>
      </c>
      <c r="F456" s="20" t="s">
        <v>67</v>
      </c>
      <c r="G456" s="22">
        <v>52.84</v>
      </c>
      <c r="H456" s="22">
        <v>17.98</v>
      </c>
      <c r="I456" s="20" t="s">
        <v>45</v>
      </c>
      <c r="J456" s="20">
        <v>5</v>
      </c>
      <c r="K456" s="20" t="s">
        <v>46</v>
      </c>
      <c r="L456" s="23">
        <f t="shared" si="60"/>
        <v>45536</v>
      </c>
      <c r="M456" s="20">
        <f t="shared" si="61"/>
        <v>14</v>
      </c>
      <c r="N456" s="20">
        <f t="shared" si="62"/>
        <v>0</v>
      </c>
      <c r="O456" s="20">
        <f t="shared" si="63"/>
        <v>1</v>
      </c>
      <c r="P456" s="22">
        <f t="shared" si="64"/>
        <v>70.820000000000007</v>
      </c>
      <c r="Q456" s="22">
        <f>G456*INDEX(Assumptions!$B$8:$B$16,MATCH(F456,Assumptions!$A$8:$A$16,0))</f>
        <v>32.760800000000003</v>
      </c>
      <c r="R456" s="22">
        <f>H456*Assumptions!$B$3</f>
        <v>10.788</v>
      </c>
      <c r="S456" s="22">
        <f t="shared" si="65"/>
        <v>9.2911999999999999</v>
      </c>
      <c r="T456" s="20" t="str">
        <f t="shared" si="66"/>
        <v>8-14 days</v>
      </c>
    </row>
    <row r="457" spans="1:20" x14ac:dyDescent="0.3">
      <c r="A457" s="20" t="s">
        <v>523</v>
      </c>
      <c r="B457" s="20" t="s">
        <v>52</v>
      </c>
      <c r="C457" s="21">
        <v>45550</v>
      </c>
      <c r="D457" s="21">
        <v>45560</v>
      </c>
      <c r="E457" s="21">
        <v>45573</v>
      </c>
      <c r="F457" s="20" t="s">
        <v>49</v>
      </c>
      <c r="G457" s="22">
        <v>114.15</v>
      </c>
      <c r="H457" s="22">
        <v>28.56</v>
      </c>
      <c r="I457" s="20" t="s">
        <v>45</v>
      </c>
      <c r="J457" s="20">
        <v>4</v>
      </c>
      <c r="K457" s="20" t="s">
        <v>46</v>
      </c>
      <c r="L457" s="23">
        <f t="shared" si="60"/>
        <v>45536</v>
      </c>
      <c r="M457" s="20">
        <f t="shared" si="61"/>
        <v>10</v>
      </c>
      <c r="N457" s="20">
        <f t="shared" si="62"/>
        <v>0</v>
      </c>
      <c r="O457" s="20">
        <f t="shared" si="63"/>
        <v>1</v>
      </c>
      <c r="P457" s="22">
        <f t="shared" si="64"/>
        <v>142.71</v>
      </c>
      <c r="Q457" s="22">
        <f>G457*INDEX(Assumptions!$B$8:$B$16,MATCH(F457,Assumptions!$A$8:$A$16,0))</f>
        <v>66.206999999999994</v>
      </c>
      <c r="R457" s="22">
        <f>H457*Assumptions!$B$3</f>
        <v>17.135999999999999</v>
      </c>
      <c r="S457" s="22">
        <f t="shared" si="65"/>
        <v>30.807000000000013</v>
      </c>
      <c r="T457" s="20" t="str">
        <f t="shared" si="66"/>
        <v>8-14 days</v>
      </c>
    </row>
    <row r="458" spans="1:20" x14ac:dyDescent="0.3">
      <c r="A458" s="20" t="s">
        <v>524</v>
      </c>
      <c r="B458" s="20" t="s">
        <v>48</v>
      </c>
      <c r="C458" s="21">
        <v>45550</v>
      </c>
      <c r="D458" s="21">
        <v>45557</v>
      </c>
      <c r="E458" s="21">
        <v>45571</v>
      </c>
      <c r="F458" s="20" t="s">
        <v>53</v>
      </c>
      <c r="G458" s="22">
        <v>109.5</v>
      </c>
      <c r="H458" s="22">
        <v>23.32</v>
      </c>
      <c r="I458" s="20" t="s">
        <v>45</v>
      </c>
      <c r="J458" s="20">
        <v>5</v>
      </c>
      <c r="K458" s="20" t="s">
        <v>46</v>
      </c>
      <c r="L458" s="23">
        <f t="shared" si="60"/>
        <v>45536</v>
      </c>
      <c r="M458" s="20">
        <f t="shared" si="61"/>
        <v>7</v>
      </c>
      <c r="N458" s="20">
        <f t="shared" si="62"/>
        <v>0</v>
      </c>
      <c r="O458" s="20">
        <f t="shared" si="63"/>
        <v>1</v>
      </c>
      <c r="P458" s="22">
        <f t="shared" si="64"/>
        <v>132.82</v>
      </c>
      <c r="Q458" s="22">
        <f>G458*INDEX(Assumptions!$B$8:$B$16,MATCH(F458,Assumptions!$A$8:$A$16,0))</f>
        <v>81.03</v>
      </c>
      <c r="R458" s="22">
        <f>H458*Assumptions!$B$3</f>
        <v>13.991999999999999</v>
      </c>
      <c r="S458" s="22">
        <f t="shared" si="65"/>
        <v>14.478</v>
      </c>
      <c r="T458" s="20" t="str">
        <f t="shared" si="66"/>
        <v>0-7 days</v>
      </c>
    </row>
    <row r="459" spans="1:20" x14ac:dyDescent="0.3">
      <c r="A459" s="20" t="s">
        <v>525</v>
      </c>
      <c r="B459" s="20" t="s">
        <v>48</v>
      </c>
      <c r="C459" s="21">
        <v>45551</v>
      </c>
      <c r="D459" s="21">
        <v>45559</v>
      </c>
      <c r="E459" s="21">
        <v>45569</v>
      </c>
      <c r="F459" s="20" t="s">
        <v>67</v>
      </c>
      <c r="G459" s="22">
        <v>127.58</v>
      </c>
      <c r="H459" s="22">
        <v>27.32</v>
      </c>
      <c r="I459" s="20" t="s">
        <v>50</v>
      </c>
      <c r="J459" s="20">
        <v>4</v>
      </c>
      <c r="K459" s="20" t="s">
        <v>46</v>
      </c>
      <c r="L459" s="23">
        <f t="shared" si="60"/>
        <v>45536</v>
      </c>
      <c r="M459" s="20">
        <f t="shared" si="61"/>
        <v>8</v>
      </c>
      <c r="N459" s="20">
        <f t="shared" si="62"/>
        <v>0</v>
      </c>
      <c r="O459" s="20">
        <f t="shared" si="63"/>
        <v>1</v>
      </c>
      <c r="P459" s="22">
        <f t="shared" si="64"/>
        <v>154.9</v>
      </c>
      <c r="Q459" s="22">
        <f>G459*INDEX(Assumptions!$B$8:$B$16,MATCH(F459,Assumptions!$A$8:$A$16,0))</f>
        <v>79.099599999999995</v>
      </c>
      <c r="R459" s="22">
        <f>H459*Assumptions!$B$3</f>
        <v>16.391999999999999</v>
      </c>
      <c r="S459" s="22">
        <f t="shared" si="65"/>
        <v>32.088400000000007</v>
      </c>
      <c r="T459" s="20" t="str">
        <f t="shared" si="66"/>
        <v>8-14 days</v>
      </c>
    </row>
    <row r="460" spans="1:20" x14ac:dyDescent="0.3">
      <c r="A460" s="20" t="s">
        <v>526</v>
      </c>
      <c r="B460" s="20" t="s">
        <v>19</v>
      </c>
      <c r="C460" s="21">
        <v>45551</v>
      </c>
      <c r="D460" s="21">
        <v>45559</v>
      </c>
      <c r="E460" s="21">
        <v>45569</v>
      </c>
      <c r="F460" s="20" t="s">
        <v>79</v>
      </c>
      <c r="G460" s="22">
        <v>110.1</v>
      </c>
      <c r="H460" s="22">
        <v>13.72</v>
      </c>
      <c r="I460" s="20" t="s">
        <v>45</v>
      </c>
      <c r="J460" s="20">
        <v>5</v>
      </c>
      <c r="K460" s="20" t="s">
        <v>46</v>
      </c>
      <c r="L460" s="23">
        <f t="shared" si="60"/>
        <v>45536</v>
      </c>
      <c r="M460" s="20">
        <f t="shared" si="61"/>
        <v>8</v>
      </c>
      <c r="N460" s="20">
        <f t="shared" si="62"/>
        <v>0</v>
      </c>
      <c r="O460" s="20">
        <f t="shared" si="63"/>
        <v>1</v>
      </c>
      <c r="P460" s="22">
        <f t="shared" si="64"/>
        <v>123.82</v>
      </c>
      <c r="Q460" s="22">
        <f>G460*INDEX(Assumptions!$B$8:$B$16,MATCH(F460,Assumptions!$A$8:$A$16,0))</f>
        <v>77.069999999999993</v>
      </c>
      <c r="R460" s="22">
        <f>H460*Assumptions!$B$3</f>
        <v>8.2319999999999993</v>
      </c>
      <c r="S460" s="22">
        <f t="shared" si="65"/>
        <v>24.798000000000002</v>
      </c>
      <c r="T460" s="20" t="str">
        <f t="shared" si="66"/>
        <v>8-14 days</v>
      </c>
    </row>
    <row r="461" spans="1:20" x14ac:dyDescent="0.3">
      <c r="A461" s="20" t="s">
        <v>527</v>
      </c>
      <c r="B461" s="20" t="s">
        <v>19</v>
      </c>
      <c r="C461" s="21">
        <v>45552</v>
      </c>
      <c r="D461" s="21">
        <v>45557</v>
      </c>
      <c r="E461" s="21">
        <v>45567</v>
      </c>
      <c r="F461" s="20" t="s">
        <v>59</v>
      </c>
      <c r="G461" s="22">
        <v>94.68</v>
      </c>
      <c r="H461" s="22">
        <v>14.5</v>
      </c>
      <c r="I461" s="20" t="s">
        <v>45</v>
      </c>
      <c r="J461" s="20">
        <v>5</v>
      </c>
      <c r="K461" s="20" t="s">
        <v>46</v>
      </c>
      <c r="L461" s="23">
        <f t="shared" si="60"/>
        <v>45536</v>
      </c>
      <c r="M461" s="20">
        <f t="shared" si="61"/>
        <v>5</v>
      </c>
      <c r="N461" s="20">
        <f t="shared" si="62"/>
        <v>0</v>
      </c>
      <c r="O461" s="20">
        <f t="shared" si="63"/>
        <v>1</v>
      </c>
      <c r="P461" s="22">
        <f t="shared" si="64"/>
        <v>109.18</v>
      </c>
      <c r="Q461" s="22">
        <f>G461*INDEX(Assumptions!$B$8:$B$16,MATCH(F461,Assumptions!$A$8:$A$16,0))</f>
        <v>60.595200000000006</v>
      </c>
      <c r="R461" s="22">
        <f>H461*Assumptions!$B$3</f>
        <v>8.6999999999999993</v>
      </c>
      <c r="S461" s="22">
        <f t="shared" si="65"/>
        <v>25.384800000000002</v>
      </c>
      <c r="T461" s="20" t="str">
        <f t="shared" si="66"/>
        <v>0-7 days</v>
      </c>
    </row>
    <row r="462" spans="1:20" x14ac:dyDescent="0.3">
      <c r="A462" s="20" t="s">
        <v>528</v>
      </c>
      <c r="B462" s="20" t="s">
        <v>19</v>
      </c>
      <c r="C462" s="21">
        <v>45552</v>
      </c>
      <c r="D462" s="21">
        <v>45559</v>
      </c>
      <c r="E462" s="21">
        <v>45569</v>
      </c>
      <c r="F462" s="20" t="s">
        <v>67</v>
      </c>
      <c r="G462" s="22">
        <v>115.81</v>
      </c>
      <c r="H462" s="22">
        <v>22.67</v>
      </c>
      <c r="I462" s="20" t="s">
        <v>60</v>
      </c>
      <c r="J462" s="20">
        <v>5</v>
      </c>
      <c r="K462" s="20" t="s">
        <v>46</v>
      </c>
      <c r="L462" s="23">
        <f t="shared" si="60"/>
        <v>45536</v>
      </c>
      <c r="M462" s="20">
        <f t="shared" si="61"/>
        <v>7</v>
      </c>
      <c r="N462" s="20">
        <f t="shared" si="62"/>
        <v>0</v>
      </c>
      <c r="O462" s="20">
        <f t="shared" si="63"/>
        <v>1</v>
      </c>
      <c r="P462" s="22">
        <f t="shared" si="64"/>
        <v>138.48000000000002</v>
      </c>
      <c r="Q462" s="22">
        <f>G462*INDEX(Assumptions!$B$8:$B$16,MATCH(F462,Assumptions!$A$8:$A$16,0))</f>
        <v>71.802199999999999</v>
      </c>
      <c r="R462" s="22">
        <f>H462*Assumptions!$B$3</f>
        <v>13.602</v>
      </c>
      <c r="S462" s="22">
        <f t="shared" si="65"/>
        <v>30.405800000000003</v>
      </c>
      <c r="T462" s="20" t="str">
        <f t="shared" si="66"/>
        <v>0-7 days</v>
      </c>
    </row>
    <row r="463" spans="1:20" x14ac:dyDescent="0.3">
      <c r="A463" s="20" t="s">
        <v>529</v>
      </c>
      <c r="B463" s="20" t="s">
        <v>134</v>
      </c>
      <c r="C463" s="21">
        <v>45552</v>
      </c>
      <c r="D463" s="21">
        <v>45564</v>
      </c>
      <c r="E463" s="21">
        <v>45576</v>
      </c>
      <c r="F463" s="20" t="s">
        <v>59</v>
      </c>
      <c r="G463" s="22">
        <v>26.33</v>
      </c>
      <c r="H463" s="22">
        <v>16.64</v>
      </c>
      <c r="I463" s="20" t="s">
        <v>45</v>
      </c>
      <c r="J463" s="20">
        <v>5</v>
      </c>
      <c r="K463" s="20" t="s">
        <v>46</v>
      </c>
      <c r="L463" s="23">
        <f t="shared" si="60"/>
        <v>45536</v>
      </c>
      <c r="M463" s="20">
        <f t="shared" si="61"/>
        <v>12</v>
      </c>
      <c r="N463" s="20">
        <f t="shared" si="62"/>
        <v>0</v>
      </c>
      <c r="O463" s="20">
        <f t="shared" si="63"/>
        <v>1</v>
      </c>
      <c r="P463" s="22">
        <f t="shared" si="64"/>
        <v>42.97</v>
      </c>
      <c r="Q463" s="22">
        <f>G463*INDEX(Assumptions!$B$8:$B$16,MATCH(F463,Assumptions!$A$8:$A$16,0))</f>
        <v>16.851199999999999</v>
      </c>
      <c r="R463" s="22">
        <f>H463*Assumptions!$B$3</f>
        <v>9.984</v>
      </c>
      <c r="S463" s="22">
        <f t="shared" si="65"/>
        <v>-0.50520000000000032</v>
      </c>
      <c r="T463" s="20" t="str">
        <f t="shared" si="66"/>
        <v>8-14 days</v>
      </c>
    </row>
    <row r="464" spans="1:20" x14ac:dyDescent="0.3">
      <c r="A464" s="20" t="s">
        <v>530</v>
      </c>
      <c r="B464" s="20" t="s">
        <v>52</v>
      </c>
      <c r="C464" s="21">
        <v>45553</v>
      </c>
      <c r="D464" s="21">
        <v>45568</v>
      </c>
      <c r="E464" s="21">
        <v>45574</v>
      </c>
      <c r="F464" s="20" t="s">
        <v>67</v>
      </c>
      <c r="G464" s="22">
        <v>102.32</v>
      </c>
      <c r="H464" s="22">
        <v>18.12</v>
      </c>
      <c r="I464" s="20" t="s">
        <v>60</v>
      </c>
      <c r="J464" s="20">
        <v>4</v>
      </c>
      <c r="K464" s="20" t="s">
        <v>46</v>
      </c>
      <c r="L464" s="23">
        <f t="shared" si="60"/>
        <v>45536</v>
      </c>
      <c r="M464" s="20">
        <f t="shared" si="61"/>
        <v>15</v>
      </c>
      <c r="N464" s="20">
        <f t="shared" si="62"/>
        <v>0</v>
      </c>
      <c r="O464" s="20">
        <f t="shared" si="63"/>
        <v>1</v>
      </c>
      <c r="P464" s="22">
        <f t="shared" si="64"/>
        <v>120.44</v>
      </c>
      <c r="Q464" s="22">
        <f>G464*INDEX(Assumptions!$B$8:$B$16,MATCH(F464,Assumptions!$A$8:$A$16,0))</f>
        <v>63.438399999999994</v>
      </c>
      <c r="R464" s="22">
        <f>H464*Assumptions!$B$3</f>
        <v>10.872</v>
      </c>
      <c r="S464" s="22">
        <f t="shared" si="65"/>
        <v>28.009599999999999</v>
      </c>
      <c r="T464" s="20" t="str">
        <f t="shared" si="66"/>
        <v>15-21 days</v>
      </c>
    </row>
    <row r="465" spans="1:20" x14ac:dyDescent="0.3">
      <c r="A465" s="20" t="s">
        <v>531</v>
      </c>
      <c r="B465" s="20" t="s">
        <v>19</v>
      </c>
      <c r="C465" s="21">
        <v>45553</v>
      </c>
      <c r="D465" s="21">
        <v>45565</v>
      </c>
      <c r="E465" s="21">
        <v>45569</v>
      </c>
      <c r="F465" s="20" t="s">
        <v>49</v>
      </c>
      <c r="G465" s="22">
        <v>156.91</v>
      </c>
      <c r="H465" s="22">
        <v>13.65</v>
      </c>
      <c r="I465" s="20" t="s">
        <v>45</v>
      </c>
      <c r="J465" s="20">
        <v>3</v>
      </c>
      <c r="K465" s="20" t="s">
        <v>46</v>
      </c>
      <c r="L465" s="23">
        <f t="shared" si="60"/>
        <v>45536</v>
      </c>
      <c r="M465" s="20">
        <f t="shared" si="61"/>
        <v>12</v>
      </c>
      <c r="N465" s="20">
        <f t="shared" si="62"/>
        <v>0</v>
      </c>
      <c r="O465" s="20">
        <f t="shared" si="63"/>
        <v>1</v>
      </c>
      <c r="P465" s="22">
        <f t="shared" si="64"/>
        <v>170.56</v>
      </c>
      <c r="Q465" s="22">
        <f>G465*INDEX(Assumptions!$B$8:$B$16,MATCH(F465,Assumptions!$A$8:$A$16,0))</f>
        <v>91.007799999999989</v>
      </c>
      <c r="R465" s="22">
        <f>H465*Assumptions!$B$3</f>
        <v>8.19</v>
      </c>
      <c r="S465" s="22">
        <f t="shared" si="65"/>
        <v>57.71220000000001</v>
      </c>
      <c r="T465" s="20" t="str">
        <f t="shared" si="66"/>
        <v>8-14 days</v>
      </c>
    </row>
    <row r="466" spans="1:20" x14ac:dyDescent="0.3">
      <c r="A466" s="20" t="s">
        <v>532</v>
      </c>
      <c r="B466" s="20" t="s">
        <v>62</v>
      </c>
      <c r="C466" s="21">
        <v>45553</v>
      </c>
      <c r="D466" s="21">
        <v>45567</v>
      </c>
      <c r="E466" s="21">
        <v>45577</v>
      </c>
      <c r="F466" s="20" t="s">
        <v>49</v>
      </c>
      <c r="G466" s="22">
        <v>64.59</v>
      </c>
      <c r="H466" s="22">
        <v>16.09</v>
      </c>
      <c r="I466" s="20" t="s">
        <v>45</v>
      </c>
      <c r="J466" s="20">
        <v>4</v>
      </c>
      <c r="K466" s="20" t="s">
        <v>46</v>
      </c>
      <c r="L466" s="23">
        <f t="shared" si="60"/>
        <v>45536</v>
      </c>
      <c r="M466" s="20">
        <f t="shared" si="61"/>
        <v>14</v>
      </c>
      <c r="N466" s="20">
        <f t="shared" si="62"/>
        <v>0</v>
      </c>
      <c r="O466" s="20">
        <f t="shared" si="63"/>
        <v>1</v>
      </c>
      <c r="P466" s="22">
        <f t="shared" si="64"/>
        <v>80.680000000000007</v>
      </c>
      <c r="Q466" s="22">
        <f>G466*INDEX(Assumptions!$B$8:$B$16,MATCH(F466,Assumptions!$A$8:$A$16,0))</f>
        <v>37.462200000000003</v>
      </c>
      <c r="R466" s="22">
        <f>H466*Assumptions!$B$3</f>
        <v>9.6539999999999999</v>
      </c>
      <c r="S466" s="22">
        <f t="shared" si="65"/>
        <v>17.473800000000001</v>
      </c>
      <c r="T466" s="20" t="str">
        <f t="shared" si="66"/>
        <v>8-14 days</v>
      </c>
    </row>
    <row r="467" spans="1:20" x14ac:dyDescent="0.3">
      <c r="A467" s="20" t="s">
        <v>533</v>
      </c>
      <c r="B467" s="20" t="s">
        <v>62</v>
      </c>
      <c r="C467" s="21">
        <v>45554</v>
      </c>
      <c r="D467" s="21">
        <v>45563</v>
      </c>
      <c r="E467" s="21">
        <v>45573</v>
      </c>
      <c r="F467" s="20" t="s">
        <v>67</v>
      </c>
      <c r="G467" s="22">
        <v>35.39</v>
      </c>
      <c r="H467" s="22">
        <v>17.54</v>
      </c>
      <c r="I467" s="20" t="s">
        <v>45</v>
      </c>
      <c r="J467" s="20">
        <v>5</v>
      </c>
      <c r="K467" s="20" t="s">
        <v>46</v>
      </c>
      <c r="L467" s="23">
        <f t="shared" si="60"/>
        <v>45536</v>
      </c>
      <c r="M467" s="20">
        <f t="shared" si="61"/>
        <v>9</v>
      </c>
      <c r="N467" s="20">
        <f t="shared" si="62"/>
        <v>0</v>
      </c>
      <c r="O467" s="20">
        <f t="shared" si="63"/>
        <v>1</v>
      </c>
      <c r="P467" s="22">
        <f t="shared" si="64"/>
        <v>52.93</v>
      </c>
      <c r="Q467" s="22">
        <f>G467*INDEX(Assumptions!$B$8:$B$16,MATCH(F467,Assumptions!$A$8:$A$16,0))</f>
        <v>21.941800000000001</v>
      </c>
      <c r="R467" s="22">
        <f>H467*Assumptions!$B$3</f>
        <v>10.523999999999999</v>
      </c>
      <c r="S467" s="22">
        <f t="shared" si="65"/>
        <v>2.9242000000000008</v>
      </c>
      <c r="T467" s="20" t="str">
        <f t="shared" si="66"/>
        <v>8-14 days</v>
      </c>
    </row>
    <row r="468" spans="1:20" x14ac:dyDescent="0.3">
      <c r="A468" s="20" t="s">
        <v>534</v>
      </c>
      <c r="B468" s="20" t="s">
        <v>19</v>
      </c>
      <c r="C468" s="21">
        <v>45555</v>
      </c>
      <c r="D468" s="21">
        <v>45565</v>
      </c>
      <c r="E468" s="21">
        <v>45572</v>
      </c>
      <c r="F468" s="20" t="s">
        <v>79</v>
      </c>
      <c r="G468" s="22">
        <v>47.06</v>
      </c>
      <c r="H468" s="22">
        <v>13.86</v>
      </c>
      <c r="I468" s="20" t="s">
        <v>45</v>
      </c>
      <c r="J468" s="20">
        <v>5</v>
      </c>
      <c r="K468" s="20" t="s">
        <v>46</v>
      </c>
      <c r="L468" s="23">
        <f t="shared" si="60"/>
        <v>45536</v>
      </c>
      <c r="M468" s="20">
        <f t="shared" si="61"/>
        <v>10</v>
      </c>
      <c r="N468" s="20">
        <f t="shared" si="62"/>
        <v>0</v>
      </c>
      <c r="O468" s="20">
        <f t="shared" si="63"/>
        <v>1</v>
      </c>
      <c r="P468" s="22">
        <f t="shared" si="64"/>
        <v>60.92</v>
      </c>
      <c r="Q468" s="22">
        <f>G468*INDEX(Assumptions!$B$8:$B$16,MATCH(F468,Assumptions!$A$8:$A$16,0))</f>
        <v>32.942</v>
      </c>
      <c r="R468" s="22">
        <f>H468*Assumptions!$B$3</f>
        <v>8.3159999999999989</v>
      </c>
      <c r="S468" s="22">
        <f t="shared" si="65"/>
        <v>5.8020000000000032</v>
      </c>
      <c r="T468" s="20" t="str">
        <f t="shared" si="66"/>
        <v>8-14 days</v>
      </c>
    </row>
    <row r="469" spans="1:20" x14ac:dyDescent="0.3">
      <c r="A469" s="20" t="s">
        <v>535</v>
      </c>
      <c r="B469" s="20" t="s">
        <v>62</v>
      </c>
      <c r="C469" s="21">
        <v>45555</v>
      </c>
      <c r="D469" s="21">
        <v>45574</v>
      </c>
      <c r="E469" s="21">
        <v>45577</v>
      </c>
      <c r="F469" s="20" t="s">
        <v>64</v>
      </c>
      <c r="G469" s="22">
        <v>157.44999999999999</v>
      </c>
      <c r="H469" s="22">
        <v>27.09</v>
      </c>
      <c r="I469" s="20" t="s">
        <v>45</v>
      </c>
      <c r="J469" s="20">
        <v>4</v>
      </c>
      <c r="K469" s="20" t="s">
        <v>46</v>
      </c>
      <c r="L469" s="23">
        <f t="shared" si="60"/>
        <v>45536</v>
      </c>
      <c r="M469" s="20">
        <f t="shared" si="61"/>
        <v>19</v>
      </c>
      <c r="N469" s="20">
        <f t="shared" si="62"/>
        <v>0</v>
      </c>
      <c r="O469" s="20">
        <f t="shared" si="63"/>
        <v>1</v>
      </c>
      <c r="P469" s="22">
        <f t="shared" si="64"/>
        <v>184.54</v>
      </c>
      <c r="Q469" s="22">
        <f>G469*INDEX(Assumptions!$B$8:$B$16,MATCH(F469,Assumptions!$A$8:$A$16,0))</f>
        <v>103.917</v>
      </c>
      <c r="R469" s="22">
        <f>H469*Assumptions!$B$3</f>
        <v>16.253999999999998</v>
      </c>
      <c r="S469" s="22">
        <f t="shared" si="65"/>
        <v>37.278999999999989</v>
      </c>
      <c r="T469" s="20" t="str">
        <f t="shared" si="66"/>
        <v>15-21 days</v>
      </c>
    </row>
    <row r="470" spans="1:20" x14ac:dyDescent="0.3">
      <c r="A470" s="20" t="s">
        <v>536</v>
      </c>
      <c r="B470" s="20" t="s">
        <v>134</v>
      </c>
      <c r="C470" s="21">
        <v>45555</v>
      </c>
      <c r="D470" s="21">
        <v>45581</v>
      </c>
      <c r="E470" s="21">
        <v>45579</v>
      </c>
      <c r="F470" s="20" t="s">
        <v>111</v>
      </c>
      <c r="G470" s="22">
        <v>93.8</v>
      </c>
      <c r="H470" s="22">
        <v>21.31</v>
      </c>
      <c r="I470" s="20" t="s">
        <v>45</v>
      </c>
      <c r="J470" s="20">
        <v>2</v>
      </c>
      <c r="K470" s="20" t="s">
        <v>46</v>
      </c>
      <c r="L470" s="23">
        <f t="shared" si="60"/>
        <v>45536</v>
      </c>
      <c r="M470" s="20">
        <f t="shared" si="61"/>
        <v>26</v>
      </c>
      <c r="N470" s="20">
        <f t="shared" si="62"/>
        <v>2</v>
      </c>
      <c r="O470" s="20">
        <f t="shared" si="63"/>
        <v>0</v>
      </c>
      <c r="P470" s="22">
        <f t="shared" si="64"/>
        <v>115.11</v>
      </c>
      <c r="Q470" s="22">
        <f>G470*INDEX(Assumptions!$B$8:$B$16,MATCH(F470,Assumptions!$A$8:$A$16,0))</f>
        <v>59.094000000000001</v>
      </c>
      <c r="R470" s="22">
        <f>H470*Assumptions!$B$3</f>
        <v>12.786</v>
      </c>
      <c r="S470" s="22">
        <f t="shared" si="65"/>
        <v>21.919999999999995</v>
      </c>
      <c r="T470" s="20" t="str">
        <f t="shared" si="66"/>
        <v>22+ days</v>
      </c>
    </row>
    <row r="471" spans="1:20" x14ac:dyDescent="0.3">
      <c r="A471" s="20" t="s">
        <v>537</v>
      </c>
      <c r="B471" s="20" t="s">
        <v>62</v>
      </c>
      <c r="C471" s="21">
        <v>45555</v>
      </c>
      <c r="D471" s="21">
        <v>45564</v>
      </c>
      <c r="E471" s="21">
        <v>45573</v>
      </c>
      <c r="F471" s="20" t="s">
        <v>64</v>
      </c>
      <c r="G471" s="22">
        <v>81.739999999999995</v>
      </c>
      <c r="H471" s="22">
        <v>25.07</v>
      </c>
      <c r="I471" s="20" t="s">
        <v>45</v>
      </c>
      <c r="J471" s="20">
        <v>4</v>
      </c>
      <c r="K471" s="20" t="s">
        <v>46</v>
      </c>
      <c r="L471" s="23">
        <f t="shared" si="60"/>
        <v>45536</v>
      </c>
      <c r="M471" s="20">
        <f t="shared" si="61"/>
        <v>9</v>
      </c>
      <c r="N471" s="20">
        <f t="shared" si="62"/>
        <v>0</v>
      </c>
      <c r="O471" s="20">
        <f t="shared" si="63"/>
        <v>1</v>
      </c>
      <c r="P471" s="22">
        <f t="shared" si="64"/>
        <v>106.81</v>
      </c>
      <c r="Q471" s="22">
        <f>G471*INDEX(Assumptions!$B$8:$B$16,MATCH(F471,Assumptions!$A$8:$A$16,0))</f>
        <v>53.948399999999999</v>
      </c>
      <c r="R471" s="22">
        <f>H471*Assumptions!$B$3</f>
        <v>15.042</v>
      </c>
      <c r="S471" s="22">
        <f t="shared" si="65"/>
        <v>12.749599999999996</v>
      </c>
      <c r="T471" s="20" t="str">
        <f t="shared" si="66"/>
        <v>8-14 days</v>
      </c>
    </row>
    <row r="472" spans="1:20" x14ac:dyDescent="0.3">
      <c r="A472" s="20" t="s">
        <v>538</v>
      </c>
      <c r="B472" s="20" t="s">
        <v>62</v>
      </c>
      <c r="C472" s="21">
        <v>45556</v>
      </c>
      <c r="D472" s="21">
        <v>45566</v>
      </c>
      <c r="E472" s="21">
        <v>45580</v>
      </c>
      <c r="F472" s="20" t="s">
        <v>44</v>
      </c>
      <c r="G472" s="22">
        <v>94.42</v>
      </c>
      <c r="H472" s="22">
        <v>22.07</v>
      </c>
      <c r="I472" s="20" t="s">
        <v>45</v>
      </c>
      <c r="J472" s="20">
        <v>5</v>
      </c>
      <c r="K472" s="20" t="s">
        <v>46</v>
      </c>
      <c r="L472" s="23">
        <f t="shared" si="60"/>
        <v>45536</v>
      </c>
      <c r="M472" s="20">
        <f t="shared" si="61"/>
        <v>10</v>
      </c>
      <c r="N472" s="20">
        <f t="shared" si="62"/>
        <v>0</v>
      </c>
      <c r="O472" s="20">
        <f t="shared" si="63"/>
        <v>1</v>
      </c>
      <c r="P472" s="22">
        <f t="shared" si="64"/>
        <v>116.49000000000001</v>
      </c>
      <c r="Q472" s="22">
        <f>G472*INDEX(Assumptions!$B$8:$B$16,MATCH(F472,Assumptions!$A$8:$A$16,0))</f>
        <v>56.652000000000001</v>
      </c>
      <c r="R472" s="22">
        <f>H472*Assumptions!$B$3</f>
        <v>13.241999999999999</v>
      </c>
      <c r="S472" s="22">
        <f t="shared" si="65"/>
        <v>24.526000000000003</v>
      </c>
      <c r="T472" s="20" t="str">
        <f t="shared" si="66"/>
        <v>8-14 days</v>
      </c>
    </row>
    <row r="473" spans="1:20" x14ac:dyDescent="0.3">
      <c r="A473" s="20" t="s">
        <v>539</v>
      </c>
      <c r="B473" s="20" t="s">
        <v>103</v>
      </c>
      <c r="C473" s="21">
        <v>45556</v>
      </c>
      <c r="D473" s="21">
        <v>45582</v>
      </c>
      <c r="E473" s="21">
        <v>45579</v>
      </c>
      <c r="F473" s="20" t="s">
        <v>64</v>
      </c>
      <c r="G473" s="22">
        <v>269.74</v>
      </c>
      <c r="H473" s="22">
        <v>25.65</v>
      </c>
      <c r="I473" s="20" t="s">
        <v>45</v>
      </c>
      <c r="J473" s="20">
        <v>2</v>
      </c>
      <c r="K473" s="20" t="s">
        <v>46</v>
      </c>
      <c r="L473" s="23">
        <f t="shared" si="60"/>
        <v>45536</v>
      </c>
      <c r="M473" s="20">
        <f t="shared" si="61"/>
        <v>26</v>
      </c>
      <c r="N473" s="20">
        <f t="shared" si="62"/>
        <v>3</v>
      </c>
      <c r="O473" s="20">
        <f t="shared" si="63"/>
        <v>0</v>
      </c>
      <c r="P473" s="22">
        <f t="shared" si="64"/>
        <v>295.39</v>
      </c>
      <c r="Q473" s="22">
        <f>G473*INDEX(Assumptions!$B$8:$B$16,MATCH(F473,Assumptions!$A$8:$A$16,0))</f>
        <v>178.0284</v>
      </c>
      <c r="R473" s="22">
        <f>H473*Assumptions!$B$3</f>
        <v>15.389999999999999</v>
      </c>
      <c r="S473" s="22">
        <f t="shared" si="65"/>
        <v>76.321600000000004</v>
      </c>
      <c r="T473" s="20" t="str">
        <f t="shared" si="66"/>
        <v>22+ days</v>
      </c>
    </row>
    <row r="474" spans="1:20" x14ac:dyDescent="0.3">
      <c r="A474" s="20" t="s">
        <v>540</v>
      </c>
      <c r="B474" s="20" t="s">
        <v>52</v>
      </c>
      <c r="C474" s="21">
        <v>45557</v>
      </c>
      <c r="D474" s="21">
        <v>45566</v>
      </c>
      <c r="E474" s="21">
        <v>45583</v>
      </c>
      <c r="F474" s="20" t="s">
        <v>67</v>
      </c>
      <c r="G474" s="22">
        <v>39.93</v>
      </c>
      <c r="H474" s="22">
        <v>28.76</v>
      </c>
      <c r="I474" s="20" t="s">
        <v>45</v>
      </c>
      <c r="J474" s="20">
        <v>4</v>
      </c>
      <c r="K474" s="20" t="s">
        <v>46</v>
      </c>
      <c r="L474" s="23">
        <f t="shared" si="60"/>
        <v>45536</v>
      </c>
      <c r="M474" s="20">
        <f t="shared" si="61"/>
        <v>9</v>
      </c>
      <c r="N474" s="20">
        <f t="shared" si="62"/>
        <v>0</v>
      </c>
      <c r="O474" s="20">
        <f t="shared" si="63"/>
        <v>1</v>
      </c>
      <c r="P474" s="22">
        <f t="shared" si="64"/>
        <v>68.69</v>
      </c>
      <c r="Q474" s="22">
        <f>G474*INDEX(Assumptions!$B$8:$B$16,MATCH(F474,Assumptions!$A$8:$A$16,0))</f>
        <v>24.756599999999999</v>
      </c>
      <c r="R474" s="22">
        <f>H474*Assumptions!$B$3</f>
        <v>17.256</v>
      </c>
      <c r="S474" s="22">
        <f t="shared" si="65"/>
        <v>-2.0825999999999993</v>
      </c>
      <c r="T474" s="20" t="str">
        <f t="shared" si="66"/>
        <v>8-14 days</v>
      </c>
    </row>
    <row r="475" spans="1:20" x14ac:dyDescent="0.3">
      <c r="A475" s="20" t="s">
        <v>541</v>
      </c>
      <c r="B475" s="20" t="s">
        <v>201</v>
      </c>
      <c r="C475" s="21">
        <v>45557</v>
      </c>
      <c r="D475" s="21">
        <v>45582</v>
      </c>
      <c r="E475" s="21">
        <v>45590</v>
      </c>
      <c r="F475" s="20" t="s">
        <v>67</v>
      </c>
      <c r="G475" s="22">
        <v>397.75</v>
      </c>
      <c r="H475" s="22">
        <v>35.07</v>
      </c>
      <c r="I475" s="20" t="s">
        <v>45</v>
      </c>
      <c r="J475" s="20">
        <v>4</v>
      </c>
      <c r="K475" s="20" t="s">
        <v>46</v>
      </c>
      <c r="L475" s="23">
        <f t="shared" si="60"/>
        <v>45536</v>
      </c>
      <c r="M475" s="20">
        <f t="shared" si="61"/>
        <v>25</v>
      </c>
      <c r="N475" s="20">
        <f t="shared" si="62"/>
        <v>0</v>
      </c>
      <c r="O475" s="20">
        <f t="shared" si="63"/>
        <v>1</v>
      </c>
      <c r="P475" s="22">
        <f t="shared" si="64"/>
        <v>432.82</v>
      </c>
      <c r="Q475" s="22">
        <f>G475*INDEX(Assumptions!$B$8:$B$16,MATCH(F475,Assumptions!$A$8:$A$16,0))</f>
        <v>246.60499999999999</v>
      </c>
      <c r="R475" s="22">
        <f>H475*Assumptions!$B$3</f>
        <v>21.041999999999998</v>
      </c>
      <c r="S475" s="22">
        <f t="shared" si="65"/>
        <v>130.10300000000001</v>
      </c>
      <c r="T475" s="20" t="str">
        <f t="shared" si="66"/>
        <v>22+ days</v>
      </c>
    </row>
    <row r="476" spans="1:20" x14ac:dyDescent="0.3">
      <c r="A476" s="20" t="s">
        <v>542</v>
      </c>
      <c r="B476" s="20" t="s">
        <v>156</v>
      </c>
      <c r="C476" s="21">
        <v>45558</v>
      </c>
      <c r="D476" s="21">
        <v>45569</v>
      </c>
      <c r="E476" s="21">
        <v>45585</v>
      </c>
      <c r="F476" s="20" t="s">
        <v>44</v>
      </c>
      <c r="G476" s="22">
        <v>73.790000000000006</v>
      </c>
      <c r="H476" s="22">
        <v>23.85</v>
      </c>
      <c r="I476" s="20" t="s">
        <v>45</v>
      </c>
      <c r="J476" s="20">
        <v>4</v>
      </c>
      <c r="K476" s="20" t="s">
        <v>46</v>
      </c>
      <c r="L476" s="23">
        <f t="shared" si="60"/>
        <v>45536</v>
      </c>
      <c r="M476" s="20">
        <f t="shared" si="61"/>
        <v>11</v>
      </c>
      <c r="N476" s="20">
        <f t="shared" si="62"/>
        <v>0</v>
      </c>
      <c r="O476" s="20">
        <f t="shared" si="63"/>
        <v>1</v>
      </c>
      <c r="P476" s="22">
        <f t="shared" si="64"/>
        <v>97.640000000000015</v>
      </c>
      <c r="Q476" s="22">
        <f>G476*INDEX(Assumptions!$B$8:$B$16,MATCH(F476,Assumptions!$A$8:$A$16,0))</f>
        <v>44.274000000000001</v>
      </c>
      <c r="R476" s="22">
        <f>H476*Assumptions!$B$3</f>
        <v>14.31</v>
      </c>
      <c r="S476" s="22">
        <f t="shared" si="65"/>
        <v>15.206000000000005</v>
      </c>
      <c r="T476" s="20" t="str">
        <f t="shared" si="66"/>
        <v>8-14 days</v>
      </c>
    </row>
    <row r="477" spans="1:20" x14ac:dyDescent="0.3">
      <c r="A477" s="20" t="s">
        <v>543</v>
      </c>
      <c r="B477" s="20" t="s">
        <v>62</v>
      </c>
      <c r="C477" s="21">
        <v>45558</v>
      </c>
      <c r="D477" s="21">
        <v>45577</v>
      </c>
      <c r="E477" s="21">
        <v>45581</v>
      </c>
      <c r="F477" s="20" t="s">
        <v>49</v>
      </c>
      <c r="G477" s="22">
        <v>74.760000000000005</v>
      </c>
      <c r="H477" s="22">
        <v>17.78</v>
      </c>
      <c r="I477" s="20" t="s">
        <v>45</v>
      </c>
      <c r="J477" s="20">
        <v>4</v>
      </c>
      <c r="K477" s="20" t="s">
        <v>46</v>
      </c>
      <c r="L477" s="23">
        <f t="shared" si="60"/>
        <v>45536</v>
      </c>
      <c r="M477" s="20">
        <f t="shared" si="61"/>
        <v>19</v>
      </c>
      <c r="N477" s="20">
        <f t="shared" si="62"/>
        <v>0</v>
      </c>
      <c r="O477" s="20">
        <f t="shared" si="63"/>
        <v>1</v>
      </c>
      <c r="P477" s="22">
        <f t="shared" si="64"/>
        <v>92.54</v>
      </c>
      <c r="Q477" s="22">
        <f>G477*INDEX(Assumptions!$B$8:$B$16,MATCH(F477,Assumptions!$A$8:$A$16,0))</f>
        <v>43.360799999999998</v>
      </c>
      <c r="R477" s="22">
        <f>H477*Assumptions!$B$3</f>
        <v>10.668000000000001</v>
      </c>
      <c r="S477" s="22">
        <f t="shared" si="65"/>
        <v>20.731200000000008</v>
      </c>
      <c r="T477" s="20" t="str">
        <f t="shared" si="66"/>
        <v>15-21 days</v>
      </c>
    </row>
    <row r="478" spans="1:20" x14ac:dyDescent="0.3">
      <c r="A478" s="20" t="s">
        <v>544</v>
      </c>
      <c r="B478" s="20" t="s">
        <v>48</v>
      </c>
      <c r="C478" s="21">
        <v>45558</v>
      </c>
      <c r="D478" s="21">
        <v>45574</v>
      </c>
      <c r="E478" s="21">
        <v>45578</v>
      </c>
      <c r="F478" s="20" t="s">
        <v>79</v>
      </c>
      <c r="G478" s="22">
        <v>84.33</v>
      </c>
      <c r="H478" s="22">
        <v>29.4</v>
      </c>
      <c r="I478" s="20" t="s">
        <v>60</v>
      </c>
      <c r="J478" s="20">
        <v>4</v>
      </c>
      <c r="K478" s="20" t="s">
        <v>46</v>
      </c>
      <c r="L478" s="23">
        <f t="shared" si="60"/>
        <v>45536</v>
      </c>
      <c r="M478" s="20">
        <f t="shared" si="61"/>
        <v>16</v>
      </c>
      <c r="N478" s="20">
        <f t="shared" si="62"/>
        <v>0</v>
      </c>
      <c r="O478" s="20">
        <f t="shared" si="63"/>
        <v>1</v>
      </c>
      <c r="P478" s="22">
        <f t="shared" si="64"/>
        <v>113.72999999999999</v>
      </c>
      <c r="Q478" s="22">
        <f>G478*INDEX(Assumptions!$B$8:$B$16,MATCH(F478,Assumptions!$A$8:$A$16,0))</f>
        <v>59.030999999999992</v>
      </c>
      <c r="R478" s="22">
        <f>H478*Assumptions!$B$3</f>
        <v>17.639999999999997</v>
      </c>
      <c r="S478" s="22">
        <f t="shared" si="65"/>
        <v>7.6590000000000096</v>
      </c>
      <c r="T478" s="20" t="str">
        <f t="shared" si="66"/>
        <v>15-21 days</v>
      </c>
    </row>
    <row r="479" spans="1:20" x14ac:dyDescent="0.3">
      <c r="A479" s="20" t="s">
        <v>545</v>
      </c>
      <c r="B479" s="20" t="s">
        <v>19</v>
      </c>
      <c r="C479" s="21">
        <v>45559</v>
      </c>
      <c r="D479" s="21">
        <v>45567</v>
      </c>
      <c r="E479" s="21">
        <v>45572</v>
      </c>
      <c r="F479" s="20" t="s">
        <v>79</v>
      </c>
      <c r="G479" s="22">
        <v>142.80000000000001</v>
      </c>
      <c r="H479" s="22">
        <v>19.34</v>
      </c>
      <c r="I479" s="20" t="s">
        <v>45</v>
      </c>
      <c r="J479" s="20">
        <v>5</v>
      </c>
      <c r="K479" s="20" t="s">
        <v>46</v>
      </c>
      <c r="L479" s="23">
        <f t="shared" si="60"/>
        <v>45536</v>
      </c>
      <c r="M479" s="20">
        <f t="shared" si="61"/>
        <v>8</v>
      </c>
      <c r="N479" s="20">
        <f t="shared" si="62"/>
        <v>0</v>
      </c>
      <c r="O479" s="20">
        <f t="shared" si="63"/>
        <v>1</v>
      </c>
      <c r="P479" s="22">
        <f t="shared" si="64"/>
        <v>162.14000000000001</v>
      </c>
      <c r="Q479" s="22">
        <f>G479*INDEX(Assumptions!$B$8:$B$16,MATCH(F479,Assumptions!$A$8:$A$16,0))</f>
        <v>99.960000000000008</v>
      </c>
      <c r="R479" s="22">
        <f>H479*Assumptions!$B$3</f>
        <v>11.603999999999999</v>
      </c>
      <c r="S479" s="22">
        <f t="shared" si="65"/>
        <v>31.236000000000004</v>
      </c>
      <c r="T479" s="20" t="str">
        <f t="shared" si="66"/>
        <v>8-14 days</v>
      </c>
    </row>
    <row r="480" spans="1:20" x14ac:dyDescent="0.3">
      <c r="A480" s="20" t="s">
        <v>546</v>
      </c>
      <c r="B480" s="20" t="s">
        <v>19</v>
      </c>
      <c r="C480" s="21">
        <v>45560</v>
      </c>
      <c r="D480" s="21">
        <v>45569</v>
      </c>
      <c r="E480" s="21">
        <v>45573</v>
      </c>
      <c r="F480" s="20" t="s">
        <v>57</v>
      </c>
      <c r="G480" s="22">
        <v>72.290000000000006</v>
      </c>
      <c r="H480" s="22">
        <v>17.75</v>
      </c>
      <c r="I480" s="20" t="s">
        <v>45</v>
      </c>
      <c r="J480" s="20">
        <v>5</v>
      </c>
      <c r="K480" s="20" t="s">
        <v>46</v>
      </c>
      <c r="L480" s="23">
        <f t="shared" si="60"/>
        <v>45536</v>
      </c>
      <c r="M480" s="20">
        <f t="shared" si="61"/>
        <v>9</v>
      </c>
      <c r="N480" s="20">
        <f t="shared" si="62"/>
        <v>0</v>
      </c>
      <c r="O480" s="20">
        <f t="shared" si="63"/>
        <v>1</v>
      </c>
      <c r="P480" s="22">
        <f t="shared" si="64"/>
        <v>90.04</v>
      </c>
      <c r="Q480" s="22">
        <f>G480*INDEX(Assumptions!$B$8:$B$16,MATCH(F480,Assumptions!$A$8:$A$16,0))</f>
        <v>49.15720000000001</v>
      </c>
      <c r="R480" s="22">
        <f>H480*Assumptions!$B$3</f>
        <v>10.65</v>
      </c>
      <c r="S480" s="22">
        <f t="shared" si="65"/>
        <v>12.482799999999996</v>
      </c>
      <c r="T480" s="20" t="str">
        <f t="shared" si="66"/>
        <v>8-14 days</v>
      </c>
    </row>
    <row r="481" spans="1:20" x14ac:dyDescent="0.3">
      <c r="A481" s="20" t="s">
        <v>547</v>
      </c>
      <c r="B481" s="20" t="s">
        <v>48</v>
      </c>
      <c r="C481" s="21">
        <v>45560</v>
      </c>
      <c r="D481" s="21">
        <v>45584</v>
      </c>
      <c r="E481" s="21">
        <v>45580</v>
      </c>
      <c r="F481" s="20" t="s">
        <v>111</v>
      </c>
      <c r="G481" s="22">
        <v>44.46</v>
      </c>
      <c r="H481" s="22">
        <v>16.13</v>
      </c>
      <c r="I481" s="20" t="s">
        <v>60</v>
      </c>
      <c r="J481" s="20">
        <v>1</v>
      </c>
      <c r="K481" s="20" t="s">
        <v>46</v>
      </c>
      <c r="L481" s="23">
        <f t="shared" si="60"/>
        <v>45536</v>
      </c>
      <c r="M481" s="20">
        <f t="shared" si="61"/>
        <v>24</v>
      </c>
      <c r="N481" s="20">
        <f t="shared" si="62"/>
        <v>4</v>
      </c>
      <c r="O481" s="20">
        <f t="shared" si="63"/>
        <v>0</v>
      </c>
      <c r="P481" s="22">
        <f t="shared" si="64"/>
        <v>60.59</v>
      </c>
      <c r="Q481" s="22">
        <f>G481*INDEX(Assumptions!$B$8:$B$16,MATCH(F481,Assumptions!$A$8:$A$16,0))</f>
        <v>28.009800000000002</v>
      </c>
      <c r="R481" s="22">
        <f>H481*Assumptions!$B$3</f>
        <v>9.677999999999999</v>
      </c>
      <c r="S481" s="22">
        <f t="shared" si="65"/>
        <v>6.7721999999999998</v>
      </c>
      <c r="T481" s="20" t="str">
        <f t="shared" si="66"/>
        <v>22+ days</v>
      </c>
    </row>
    <row r="482" spans="1:20" x14ac:dyDescent="0.3">
      <c r="A482" s="20" t="s">
        <v>548</v>
      </c>
      <c r="B482" s="20" t="s">
        <v>19</v>
      </c>
      <c r="C482" s="21">
        <v>45560</v>
      </c>
      <c r="D482" s="21">
        <v>45566</v>
      </c>
      <c r="E482" s="21">
        <v>45572</v>
      </c>
      <c r="F482" s="20" t="s">
        <v>79</v>
      </c>
      <c r="G482" s="22">
        <v>104.56</v>
      </c>
      <c r="H482" s="22">
        <v>19.25</v>
      </c>
      <c r="I482" s="20" t="s">
        <v>45</v>
      </c>
      <c r="J482" s="20">
        <v>3</v>
      </c>
      <c r="K482" s="20" t="s">
        <v>46</v>
      </c>
      <c r="L482" s="23">
        <f t="shared" si="60"/>
        <v>45536</v>
      </c>
      <c r="M482" s="20">
        <f t="shared" si="61"/>
        <v>6</v>
      </c>
      <c r="N482" s="20">
        <f t="shared" si="62"/>
        <v>0</v>
      </c>
      <c r="O482" s="20">
        <f t="shared" si="63"/>
        <v>1</v>
      </c>
      <c r="P482" s="22">
        <f t="shared" si="64"/>
        <v>123.81</v>
      </c>
      <c r="Q482" s="22">
        <f>G482*INDEX(Assumptions!$B$8:$B$16,MATCH(F482,Assumptions!$A$8:$A$16,0))</f>
        <v>73.191999999999993</v>
      </c>
      <c r="R482" s="22">
        <f>H482*Assumptions!$B$3</f>
        <v>11.549999999999999</v>
      </c>
      <c r="S482" s="22">
        <f t="shared" si="65"/>
        <v>19.818000000000012</v>
      </c>
      <c r="T482" s="20" t="str">
        <f t="shared" si="66"/>
        <v>0-7 days</v>
      </c>
    </row>
    <row r="483" spans="1:20" x14ac:dyDescent="0.3">
      <c r="A483" s="20" t="s">
        <v>549</v>
      </c>
      <c r="B483" s="20" t="s">
        <v>19</v>
      </c>
      <c r="C483" s="21">
        <v>45561</v>
      </c>
      <c r="D483" s="21">
        <v>45569</v>
      </c>
      <c r="E483" s="21">
        <v>45576</v>
      </c>
      <c r="F483" s="20" t="s">
        <v>57</v>
      </c>
      <c r="G483" s="22">
        <v>79.81</v>
      </c>
      <c r="H483" s="22">
        <v>12.29</v>
      </c>
      <c r="I483" s="20" t="s">
        <v>45</v>
      </c>
      <c r="J483" s="20">
        <v>5</v>
      </c>
      <c r="K483" s="20" t="s">
        <v>46</v>
      </c>
      <c r="L483" s="23">
        <f t="shared" si="60"/>
        <v>45536</v>
      </c>
      <c r="M483" s="20">
        <f t="shared" si="61"/>
        <v>8</v>
      </c>
      <c r="N483" s="20">
        <f t="shared" si="62"/>
        <v>0</v>
      </c>
      <c r="O483" s="20">
        <f t="shared" si="63"/>
        <v>1</v>
      </c>
      <c r="P483" s="22">
        <f t="shared" si="64"/>
        <v>92.1</v>
      </c>
      <c r="Q483" s="22">
        <f>G483*INDEX(Assumptions!$B$8:$B$16,MATCH(F483,Assumptions!$A$8:$A$16,0))</f>
        <v>54.270800000000008</v>
      </c>
      <c r="R483" s="22">
        <f>H483*Assumptions!$B$3</f>
        <v>7.3739999999999988</v>
      </c>
      <c r="S483" s="22">
        <f t="shared" si="65"/>
        <v>18.165199999999995</v>
      </c>
      <c r="T483" s="20" t="str">
        <f t="shared" si="66"/>
        <v>8-14 days</v>
      </c>
    </row>
    <row r="484" spans="1:20" x14ac:dyDescent="0.3">
      <c r="A484" s="20" t="s">
        <v>550</v>
      </c>
      <c r="B484" s="20" t="s">
        <v>19</v>
      </c>
      <c r="C484" s="21">
        <v>45561</v>
      </c>
      <c r="D484" s="21">
        <v>45569</v>
      </c>
      <c r="E484" s="21">
        <v>45578</v>
      </c>
      <c r="F484" s="20" t="s">
        <v>59</v>
      </c>
      <c r="G484" s="22">
        <v>133.49</v>
      </c>
      <c r="H484" s="22">
        <v>16.649999999999999</v>
      </c>
      <c r="I484" s="20" t="s">
        <v>45</v>
      </c>
      <c r="J484" s="20">
        <v>5</v>
      </c>
      <c r="K484" s="20" t="s">
        <v>46</v>
      </c>
      <c r="L484" s="23">
        <f t="shared" si="60"/>
        <v>45536</v>
      </c>
      <c r="M484" s="20">
        <f t="shared" si="61"/>
        <v>8</v>
      </c>
      <c r="N484" s="20">
        <f t="shared" si="62"/>
        <v>0</v>
      </c>
      <c r="O484" s="20">
        <f t="shared" si="63"/>
        <v>1</v>
      </c>
      <c r="P484" s="22">
        <f t="shared" si="64"/>
        <v>150.14000000000001</v>
      </c>
      <c r="Q484" s="22">
        <f>G484*INDEX(Assumptions!$B$8:$B$16,MATCH(F484,Assumptions!$A$8:$A$16,0))</f>
        <v>85.433600000000013</v>
      </c>
      <c r="R484" s="22">
        <f>H484*Assumptions!$B$3</f>
        <v>9.9899999999999984</v>
      </c>
      <c r="S484" s="22">
        <f t="shared" si="65"/>
        <v>38.066400000000002</v>
      </c>
      <c r="T484" s="20" t="str">
        <f t="shared" si="66"/>
        <v>8-14 days</v>
      </c>
    </row>
    <row r="485" spans="1:20" x14ac:dyDescent="0.3">
      <c r="A485" s="20" t="s">
        <v>551</v>
      </c>
      <c r="B485" s="20" t="s">
        <v>62</v>
      </c>
      <c r="C485" s="21">
        <v>45561</v>
      </c>
      <c r="D485" s="21">
        <v>45571</v>
      </c>
      <c r="E485" s="21">
        <v>45581</v>
      </c>
      <c r="F485" s="20" t="s">
        <v>67</v>
      </c>
      <c r="G485" s="22">
        <v>64.22</v>
      </c>
      <c r="H485" s="22">
        <v>25.71</v>
      </c>
      <c r="I485" s="20" t="s">
        <v>60</v>
      </c>
      <c r="J485" s="20">
        <v>4</v>
      </c>
      <c r="K485" s="20" t="s">
        <v>46</v>
      </c>
      <c r="L485" s="23">
        <f t="shared" si="60"/>
        <v>45536</v>
      </c>
      <c r="M485" s="20">
        <f t="shared" si="61"/>
        <v>10</v>
      </c>
      <c r="N485" s="20">
        <f t="shared" si="62"/>
        <v>0</v>
      </c>
      <c r="O485" s="20">
        <f t="shared" si="63"/>
        <v>1</v>
      </c>
      <c r="P485" s="22">
        <f t="shared" si="64"/>
        <v>89.93</v>
      </c>
      <c r="Q485" s="22">
        <f>G485*INDEX(Assumptions!$B$8:$B$16,MATCH(F485,Assumptions!$A$8:$A$16,0))</f>
        <v>39.816400000000002</v>
      </c>
      <c r="R485" s="22">
        <f>H485*Assumptions!$B$3</f>
        <v>15.426</v>
      </c>
      <c r="S485" s="22">
        <f t="shared" si="65"/>
        <v>8.9775999999999971</v>
      </c>
      <c r="T485" s="20" t="str">
        <f t="shared" si="66"/>
        <v>8-14 days</v>
      </c>
    </row>
    <row r="486" spans="1:20" x14ac:dyDescent="0.3">
      <c r="A486" s="20" t="s">
        <v>552</v>
      </c>
      <c r="B486" s="20" t="s">
        <v>93</v>
      </c>
      <c r="C486" s="21">
        <v>45562</v>
      </c>
      <c r="D486" s="21">
        <v>45590</v>
      </c>
      <c r="E486" s="21">
        <v>45593</v>
      </c>
      <c r="F486" s="20" t="s">
        <v>79</v>
      </c>
      <c r="G486" s="22">
        <v>63.82</v>
      </c>
      <c r="H486" s="22">
        <v>22.01</v>
      </c>
      <c r="I486" s="20" t="s">
        <v>50</v>
      </c>
      <c r="J486" s="20">
        <v>4</v>
      </c>
      <c r="K486" s="20" t="s">
        <v>46</v>
      </c>
      <c r="L486" s="23">
        <f t="shared" si="60"/>
        <v>45536</v>
      </c>
      <c r="M486" s="20">
        <f t="shared" si="61"/>
        <v>28</v>
      </c>
      <c r="N486" s="20">
        <f t="shared" si="62"/>
        <v>0</v>
      </c>
      <c r="O486" s="20">
        <f t="shared" si="63"/>
        <v>1</v>
      </c>
      <c r="P486" s="22">
        <f t="shared" si="64"/>
        <v>85.83</v>
      </c>
      <c r="Q486" s="22">
        <f>G486*INDEX(Assumptions!$B$8:$B$16,MATCH(F486,Assumptions!$A$8:$A$16,0))</f>
        <v>44.673999999999999</v>
      </c>
      <c r="R486" s="22">
        <f>H486*Assumptions!$B$3</f>
        <v>13.206000000000001</v>
      </c>
      <c r="S486" s="22">
        <f t="shared" si="65"/>
        <v>5.9399999999999995</v>
      </c>
      <c r="T486" s="20" t="str">
        <f t="shared" si="66"/>
        <v>22+ days</v>
      </c>
    </row>
    <row r="487" spans="1:20" x14ac:dyDescent="0.3">
      <c r="A487" s="20" t="s">
        <v>553</v>
      </c>
      <c r="B487" s="20" t="s">
        <v>19</v>
      </c>
      <c r="C487" s="21">
        <v>45562</v>
      </c>
      <c r="D487" s="21">
        <v>45570</v>
      </c>
      <c r="E487" s="21">
        <v>45576</v>
      </c>
      <c r="F487" s="20" t="s">
        <v>64</v>
      </c>
      <c r="G487" s="22">
        <v>161.26</v>
      </c>
      <c r="H487" s="22">
        <v>16.14</v>
      </c>
      <c r="I487" s="20" t="s">
        <v>45</v>
      </c>
      <c r="J487" s="20">
        <v>5</v>
      </c>
      <c r="K487" s="20" t="s">
        <v>46</v>
      </c>
      <c r="L487" s="23">
        <f t="shared" si="60"/>
        <v>45536</v>
      </c>
      <c r="M487" s="20">
        <f t="shared" si="61"/>
        <v>8</v>
      </c>
      <c r="N487" s="20">
        <f t="shared" si="62"/>
        <v>0</v>
      </c>
      <c r="O487" s="20">
        <f t="shared" si="63"/>
        <v>1</v>
      </c>
      <c r="P487" s="22">
        <f t="shared" si="64"/>
        <v>177.39999999999998</v>
      </c>
      <c r="Q487" s="22">
        <f>G487*INDEX(Assumptions!$B$8:$B$16,MATCH(F487,Assumptions!$A$8:$A$16,0))</f>
        <v>106.4316</v>
      </c>
      <c r="R487" s="22">
        <f>H487*Assumptions!$B$3</f>
        <v>9.6839999999999993</v>
      </c>
      <c r="S487" s="22">
        <f t="shared" si="65"/>
        <v>45.14439999999999</v>
      </c>
      <c r="T487" s="20" t="str">
        <f t="shared" si="66"/>
        <v>8-14 days</v>
      </c>
    </row>
    <row r="488" spans="1:20" x14ac:dyDescent="0.3">
      <c r="A488" s="20" t="s">
        <v>554</v>
      </c>
      <c r="B488" s="20" t="s">
        <v>55</v>
      </c>
      <c r="C488" s="21">
        <v>45562</v>
      </c>
      <c r="D488" s="21">
        <v>45574</v>
      </c>
      <c r="E488" s="21">
        <v>45587</v>
      </c>
      <c r="F488" s="20" t="s">
        <v>44</v>
      </c>
      <c r="G488" s="22">
        <v>51.96</v>
      </c>
      <c r="H488" s="22">
        <v>21.77</v>
      </c>
      <c r="I488" s="20" t="s">
        <v>45</v>
      </c>
      <c r="J488" s="20">
        <v>4</v>
      </c>
      <c r="K488" s="20" t="s">
        <v>46</v>
      </c>
      <c r="L488" s="23">
        <f t="shared" si="60"/>
        <v>45536</v>
      </c>
      <c r="M488" s="20">
        <f t="shared" si="61"/>
        <v>12</v>
      </c>
      <c r="N488" s="20">
        <f t="shared" si="62"/>
        <v>0</v>
      </c>
      <c r="O488" s="20">
        <f t="shared" si="63"/>
        <v>1</v>
      </c>
      <c r="P488" s="22">
        <f t="shared" si="64"/>
        <v>73.73</v>
      </c>
      <c r="Q488" s="22">
        <f>G488*INDEX(Assumptions!$B$8:$B$16,MATCH(F488,Assumptions!$A$8:$A$16,0))</f>
        <v>31.175999999999998</v>
      </c>
      <c r="R488" s="22">
        <f>H488*Assumptions!$B$3</f>
        <v>13.061999999999999</v>
      </c>
      <c r="S488" s="22">
        <f t="shared" si="65"/>
        <v>7.7220000000000031</v>
      </c>
      <c r="T488" s="20" t="str">
        <f t="shared" si="66"/>
        <v>8-14 days</v>
      </c>
    </row>
    <row r="489" spans="1:20" x14ac:dyDescent="0.3">
      <c r="A489" s="20" t="s">
        <v>555</v>
      </c>
      <c r="B489" s="20" t="s">
        <v>19</v>
      </c>
      <c r="C489" s="21">
        <v>45562</v>
      </c>
      <c r="D489" s="21">
        <v>45574</v>
      </c>
      <c r="E489" s="21">
        <v>45582</v>
      </c>
      <c r="F489" s="20" t="s">
        <v>67</v>
      </c>
      <c r="G489" s="22">
        <v>102.42</v>
      </c>
      <c r="H489" s="22">
        <v>17.89</v>
      </c>
      <c r="I489" s="20" t="s">
        <v>45</v>
      </c>
      <c r="J489" s="20">
        <v>4</v>
      </c>
      <c r="K489" s="20" t="s">
        <v>46</v>
      </c>
      <c r="L489" s="23">
        <f t="shared" si="60"/>
        <v>45536</v>
      </c>
      <c r="M489" s="20">
        <f t="shared" si="61"/>
        <v>12</v>
      </c>
      <c r="N489" s="20">
        <f t="shared" si="62"/>
        <v>0</v>
      </c>
      <c r="O489" s="20">
        <f t="shared" si="63"/>
        <v>1</v>
      </c>
      <c r="P489" s="22">
        <f t="shared" si="64"/>
        <v>120.31</v>
      </c>
      <c r="Q489" s="22">
        <f>G489*INDEX(Assumptions!$B$8:$B$16,MATCH(F489,Assumptions!$A$8:$A$16,0))</f>
        <v>63.500399999999999</v>
      </c>
      <c r="R489" s="22">
        <f>H489*Assumptions!$B$3</f>
        <v>10.734</v>
      </c>
      <c r="S489" s="22">
        <f t="shared" si="65"/>
        <v>28.185600000000001</v>
      </c>
      <c r="T489" s="20" t="str">
        <f t="shared" si="66"/>
        <v>8-14 days</v>
      </c>
    </row>
    <row r="490" spans="1:20" x14ac:dyDescent="0.3">
      <c r="A490" s="20" t="s">
        <v>556</v>
      </c>
      <c r="B490" s="20" t="s">
        <v>19</v>
      </c>
      <c r="C490" s="21">
        <v>45563</v>
      </c>
      <c r="D490" s="21">
        <v>45580</v>
      </c>
      <c r="E490" s="21">
        <v>45579</v>
      </c>
      <c r="F490" s="20" t="s">
        <v>64</v>
      </c>
      <c r="G490" s="22">
        <v>389.13</v>
      </c>
      <c r="H490" s="22">
        <v>22.88</v>
      </c>
      <c r="I490" s="20" t="s">
        <v>45</v>
      </c>
      <c r="J490" s="20">
        <v>4</v>
      </c>
      <c r="K490" s="20" t="s">
        <v>46</v>
      </c>
      <c r="L490" s="23">
        <f t="shared" si="60"/>
        <v>45536</v>
      </c>
      <c r="M490" s="20">
        <f t="shared" si="61"/>
        <v>17</v>
      </c>
      <c r="N490" s="20">
        <f t="shared" si="62"/>
        <v>1</v>
      </c>
      <c r="O490" s="20">
        <f t="shared" si="63"/>
        <v>0</v>
      </c>
      <c r="P490" s="22">
        <f t="shared" si="64"/>
        <v>412.01</v>
      </c>
      <c r="Q490" s="22">
        <f>G490*INDEX(Assumptions!$B$8:$B$16,MATCH(F490,Assumptions!$A$8:$A$16,0))</f>
        <v>256.82580000000002</v>
      </c>
      <c r="R490" s="22">
        <f>H490*Assumptions!$B$3</f>
        <v>13.728</v>
      </c>
      <c r="S490" s="22">
        <f t="shared" si="65"/>
        <v>118.57619999999999</v>
      </c>
      <c r="T490" s="20" t="str">
        <f t="shared" si="66"/>
        <v>15-21 days</v>
      </c>
    </row>
    <row r="491" spans="1:20" x14ac:dyDescent="0.3">
      <c r="A491" s="20" t="s">
        <v>557</v>
      </c>
      <c r="B491" s="20" t="s">
        <v>48</v>
      </c>
      <c r="C491" s="21">
        <v>45563</v>
      </c>
      <c r="D491" s="21">
        <v>45573</v>
      </c>
      <c r="E491" s="21">
        <v>45584</v>
      </c>
      <c r="F491" s="20" t="s">
        <v>67</v>
      </c>
      <c r="G491" s="22">
        <v>31.53</v>
      </c>
      <c r="H491" s="22">
        <v>16.28</v>
      </c>
      <c r="I491" s="20" t="s">
        <v>45</v>
      </c>
      <c r="J491" s="20">
        <v>5</v>
      </c>
      <c r="K491" s="20" t="s">
        <v>46</v>
      </c>
      <c r="L491" s="23">
        <f t="shared" si="60"/>
        <v>45536</v>
      </c>
      <c r="M491" s="20">
        <f t="shared" si="61"/>
        <v>10</v>
      </c>
      <c r="N491" s="20">
        <f t="shared" si="62"/>
        <v>0</v>
      </c>
      <c r="O491" s="20">
        <f t="shared" si="63"/>
        <v>1</v>
      </c>
      <c r="P491" s="22">
        <f t="shared" si="64"/>
        <v>47.81</v>
      </c>
      <c r="Q491" s="22">
        <f>G491*INDEX(Assumptions!$B$8:$B$16,MATCH(F491,Assumptions!$A$8:$A$16,0))</f>
        <v>19.5486</v>
      </c>
      <c r="R491" s="22">
        <f>H491*Assumptions!$B$3</f>
        <v>9.7680000000000007</v>
      </c>
      <c r="S491" s="22">
        <f t="shared" si="65"/>
        <v>2.2134</v>
      </c>
      <c r="T491" s="20" t="str">
        <f t="shared" si="66"/>
        <v>8-14 days</v>
      </c>
    </row>
    <row r="492" spans="1:20" x14ac:dyDescent="0.3">
      <c r="A492" s="20" t="s">
        <v>558</v>
      </c>
      <c r="B492" s="20" t="s">
        <v>62</v>
      </c>
      <c r="C492" s="21">
        <v>45563</v>
      </c>
      <c r="D492" s="21">
        <v>45579</v>
      </c>
      <c r="E492" s="21">
        <v>45581</v>
      </c>
      <c r="F492" s="20" t="s">
        <v>67</v>
      </c>
      <c r="G492" s="22">
        <v>31.14</v>
      </c>
      <c r="H492" s="22">
        <v>25.86</v>
      </c>
      <c r="I492" s="20" t="s">
        <v>45</v>
      </c>
      <c r="J492" s="20">
        <v>5</v>
      </c>
      <c r="K492" s="20" t="s">
        <v>46</v>
      </c>
      <c r="L492" s="23">
        <f t="shared" si="60"/>
        <v>45536</v>
      </c>
      <c r="M492" s="20">
        <f t="shared" si="61"/>
        <v>16</v>
      </c>
      <c r="N492" s="20">
        <f t="shared" si="62"/>
        <v>0</v>
      </c>
      <c r="O492" s="20">
        <f t="shared" si="63"/>
        <v>1</v>
      </c>
      <c r="P492" s="22">
        <f t="shared" si="64"/>
        <v>57</v>
      </c>
      <c r="Q492" s="22">
        <f>G492*INDEX(Assumptions!$B$8:$B$16,MATCH(F492,Assumptions!$A$8:$A$16,0))</f>
        <v>19.306799999999999</v>
      </c>
      <c r="R492" s="22">
        <f>H492*Assumptions!$B$3</f>
        <v>15.515999999999998</v>
      </c>
      <c r="S492" s="22">
        <f t="shared" si="65"/>
        <v>-3.6827999999999967</v>
      </c>
      <c r="T492" s="20" t="str">
        <f t="shared" si="66"/>
        <v>15-21 days</v>
      </c>
    </row>
    <row r="493" spans="1:20" x14ac:dyDescent="0.3">
      <c r="A493" s="20" t="s">
        <v>559</v>
      </c>
      <c r="B493" s="20" t="s">
        <v>19</v>
      </c>
      <c r="C493" s="21">
        <v>45565</v>
      </c>
      <c r="D493" s="21">
        <v>45572</v>
      </c>
      <c r="E493" s="21">
        <v>45582</v>
      </c>
      <c r="F493" s="20" t="s">
        <v>79</v>
      </c>
      <c r="G493" s="22">
        <v>106.25</v>
      </c>
      <c r="H493" s="22">
        <v>19.989999999999998</v>
      </c>
      <c r="I493" s="20" t="s">
        <v>45</v>
      </c>
      <c r="J493" s="20">
        <v>4</v>
      </c>
      <c r="K493" s="20" t="s">
        <v>46</v>
      </c>
      <c r="L493" s="23">
        <f t="shared" si="60"/>
        <v>45536</v>
      </c>
      <c r="M493" s="20">
        <f t="shared" si="61"/>
        <v>7</v>
      </c>
      <c r="N493" s="20">
        <f t="shared" si="62"/>
        <v>0</v>
      </c>
      <c r="O493" s="20">
        <f t="shared" si="63"/>
        <v>1</v>
      </c>
      <c r="P493" s="22">
        <f t="shared" si="64"/>
        <v>126.24</v>
      </c>
      <c r="Q493" s="22">
        <f>G493*INDEX(Assumptions!$B$8:$B$16,MATCH(F493,Assumptions!$A$8:$A$16,0))</f>
        <v>74.375</v>
      </c>
      <c r="R493" s="22">
        <f>H493*Assumptions!$B$3</f>
        <v>11.993999999999998</v>
      </c>
      <c r="S493" s="22">
        <f t="shared" si="65"/>
        <v>19.881</v>
      </c>
      <c r="T493" s="20" t="str">
        <f t="shared" si="66"/>
        <v>0-7 days</v>
      </c>
    </row>
    <row r="494" spans="1:20" x14ac:dyDescent="0.3">
      <c r="A494" s="20" t="s">
        <v>560</v>
      </c>
      <c r="B494" s="20" t="s">
        <v>55</v>
      </c>
      <c r="C494" s="21">
        <v>45566</v>
      </c>
      <c r="D494" s="21">
        <v>45580</v>
      </c>
      <c r="E494" s="21">
        <v>45593</v>
      </c>
      <c r="F494" s="20" t="s">
        <v>53</v>
      </c>
      <c r="G494" s="22">
        <v>34.840000000000003</v>
      </c>
      <c r="H494" s="22">
        <v>24.96</v>
      </c>
      <c r="I494" s="20" t="s">
        <v>45</v>
      </c>
      <c r="J494" s="20">
        <v>4</v>
      </c>
      <c r="K494" s="20" t="s">
        <v>46</v>
      </c>
      <c r="L494" s="23">
        <f t="shared" si="60"/>
        <v>45566</v>
      </c>
      <c r="M494" s="20">
        <f t="shared" si="61"/>
        <v>14</v>
      </c>
      <c r="N494" s="20">
        <f t="shared" si="62"/>
        <v>0</v>
      </c>
      <c r="O494" s="20">
        <f t="shared" si="63"/>
        <v>1</v>
      </c>
      <c r="P494" s="22">
        <f t="shared" si="64"/>
        <v>59.800000000000004</v>
      </c>
      <c r="Q494" s="22">
        <f>G494*INDEX(Assumptions!$B$8:$B$16,MATCH(F494,Assumptions!$A$8:$A$16,0))</f>
        <v>25.781600000000001</v>
      </c>
      <c r="R494" s="22">
        <f>H494*Assumptions!$B$3</f>
        <v>14.975999999999999</v>
      </c>
      <c r="S494" s="22">
        <f t="shared" si="65"/>
        <v>-5.9175999999999966</v>
      </c>
      <c r="T494" s="20" t="str">
        <f t="shared" si="66"/>
        <v>8-14 days</v>
      </c>
    </row>
    <row r="495" spans="1:20" x14ac:dyDescent="0.3">
      <c r="A495" s="20" t="s">
        <v>561</v>
      </c>
      <c r="B495" s="20" t="s">
        <v>52</v>
      </c>
      <c r="C495" s="21">
        <v>45567</v>
      </c>
      <c r="D495" s="21">
        <v>45590</v>
      </c>
      <c r="E495" s="21">
        <v>45591</v>
      </c>
      <c r="F495" s="20" t="s">
        <v>64</v>
      </c>
      <c r="G495" s="22">
        <v>70.34</v>
      </c>
      <c r="H495" s="22">
        <v>31.35</v>
      </c>
      <c r="I495" s="20" t="s">
        <v>45</v>
      </c>
      <c r="J495" s="20">
        <v>4</v>
      </c>
      <c r="K495" s="20" t="s">
        <v>46</v>
      </c>
      <c r="L495" s="23">
        <f t="shared" si="60"/>
        <v>45566</v>
      </c>
      <c r="M495" s="20">
        <f t="shared" si="61"/>
        <v>23</v>
      </c>
      <c r="N495" s="20">
        <f t="shared" si="62"/>
        <v>0</v>
      </c>
      <c r="O495" s="20">
        <f t="shared" si="63"/>
        <v>1</v>
      </c>
      <c r="P495" s="22">
        <f t="shared" si="64"/>
        <v>101.69</v>
      </c>
      <c r="Q495" s="22">
        <f>G495*INDEX(Assumptions!$B$8:$B$16,MATCH(F495,Assumptions!$A$8:$A$16,0))</f>
        <v>46.424400000000006</v>
      </c>
      <c r="R495" s="22">
        <f>H495*Assumptions!$B$3</f>
        <v>18.809999999999999</v>
      </c>
      <c r="S495" s="22">
        <f t="shared" si="65"/>
        <v>5.105599999999999</v>
      </c>
      <c r="T495" s="20" t="str">
        <f t="shared" si="66"/>
        <v>22+ days</v>
      </c>
    </row>
    <row r="496" spans="1:20" x14ac:dyDescent="0.3">
      <c r="A496" s="20" t="s">
        <v>562</v>
      </c>
      <c r="B496" s="20" t="s">
        <v>55</v>
      </c>
      <c r="C496" s="21">
        <v>45567</v>
      </c>
      <c r="D496" s="21">
        <v>45576</v>
      </c>
      <c r="E496" s="21">
        <v>45590</v>
      </c>
      <c r="F496" s="20" t="s">
        <v>59</v>
      </c>
      <c r="G496" s="22">
        <v>67.87</v>
      </c>
      <c r="H496" s="22">
        <v>18.510000000000002</v>
      </c>
      <c r="I496" s="20" t="s">
        <v>50</v>
      </c>
      <c r="J496" s="20">
        <v>5</v>
      </c>
      <c r="K496" s="20" t="s">
        <v>46</v>
      </c>
      <c r="L496" s="23">
        <f t="shared" si="60"/>
        <v>45566</v>
      </c>
      <c r="M496" s="20">
        <f t="shared" si="61"/>
        <v>9</v>
      </c>
      <c r="N496" s="20">
        <f t="shared" si="62"/>
        <v>0</v>
      </c>
      <c r="O496" s="20">
        <f t="shared" si="63"/>
        <v>1</v>
      </c>
      <c r="P496" s="22">
        <f t="shared" si="64"/>
        <v>86.38000000000001</v>
      </c>
      <c r="Q496" s="22">
        <f>G496*INDEX(Assumptions!$B$8:$B$16,MATCH(F496,Assumptions!$A$8:$A$16,0))</f>
        <v>43.436800000000005</v>
      </c>
      <c r="R496" s="22">
        <f>H496*Assumptions!$B$3</f>
        <v>11.106</v>
      </c>
      <c r="S496" s="22">
        <f t="shared" si="65"/>
        <v>13.327199999999999</v>
      </c>
      <c r="T496" s="20" t="str">
        <f t="shared" si="66"/>
        <v>8-14 days</v>
      </c>
    </row>
    <row r="497" spans="1:20" x14ac:dyDescent="0.3">
      <c r="A497" s="20" t="s">
        <v>563</v>
      </c>
      <c r="B497" s="20" t="s">
        <v>19</v>
      </c>
      <c r="C497" s="21">
        <v>45567</v>
      </c>
      <c r="D497" s="21">
        <v>45577</v>
      </c>
      <c r="E497" s="21">
        <v>45582</v>
      </c>
      <c r="F497" s="20" t="s">
        <v>44</v>
      </c>
      <c r="G497" s="22">
        <v>66.48</v>
      </c>
      <c r="H497" s="22">
        <v>20.41</v>
      </c>
      <c r="I497" s="20" t="s">
        <v>45</v>
      </c>
      <c r="J497" s="20">
        <v>4</v>
      </c>
      <c r="K497" s="20" t="s">
        <v>46</v>
      </c>
      <c r="L497" s="23">
        <f t="shared" si="60"/>
        <v>45566</v>
      </c>
      <c r="M497" s="20">
        <f t="shared" si="61"/>
        <v>10</v>
      </c>
      <c r="N497" s="20">
        <f t="shared" si="62"/>
        <v>0</v>
      </c>
      <c r="O497" s="20">
        <f t="shared" si="63"/>
        <v>1</v>
      </c>
      <c r="P497" s="22">
        <f t="shared" si="64"/>
        <v>86.89</v>
      </c>
      <c r="Q497" s="22">
        <f>G497*INDEX(Assumptions!$B$8:$B$16,MATCH(F497,Assumptions!$A$8:$A$16,0))</f>
        <v>39.887999999999998</v>
      </c>
      <c r="R497" s="22">
        <f>H497*Assumptions!$B$3</f>
        <v>12.246</v>
      </c>
      <c r="S497" s="22">
        <f t="shared" si="65"/>
        <v>14.346000000000005</v>
      </c>
      <c r="T497" s="20" t="str">
        <f t="shared" si="66"/>
        <v>8-14 days</v>
      </c>
    </row>
    <row r="498" spans="1:20" x14ac:dyDescent="0.3">
      <c r="A498" s="20" t="s">
        <v>564</v>
      </c>
      <c r="B498" s="20" t="s">
        <v>19</v>
      </c>
      <c r="C498" s="21">
        <v>45567</v>
      </c>
      <c r="D498" s="21">
        <v>45571</v>
      </c>
      <c r="E498" s="21">
        <v>45583</v>
      </c>
      <c r="F498" s="20" t="s">
        <v>49</v>
      </c>
      <c r="G498" s="22">
        <v>63.36</v>
      </c>
      <c r="H498" s="22">
        <v>20.37</v>
      </c>
      <c r="I498" s="20" t="s">
        <v>45</v>
      </c>
      <c r="J498" s="20">
        <v>5</v>
      </c>
      <c r="K498" s="20" t="s">
        <v>46</v>
      </c>
      <c r="L498" s="23">
        <f t="shared" si="60"/>
        <v>45566</v>
      </c>
      <c r="M498" s="20">
        <f t="shared" si="61"/>
        <v>4</v>
      </c>
      <c r="N498" s="20">
        <f t="shared" si="62"/>
        <v>0</v>
      </c>
      <c r="O498" s="20">
        <f t="shared" si="63"/>
        <v>1</v>
      </c>
      <c r="P498" s="22">
        <f t="shared" si="64"/>
        <v>83.73</v>
      </c>
      <c r="Q498" s="22">
        <f>G498*INDEX(Assumptions!$B$8:$B$16,MATCH(F498,Assumptions!$A$8:$A$16,0))</f>
        <v>36.748799999999996</v>
      </c>
      <c r="R498" s="22">
        <f>H498*Assumptions!$B$3</f>
        <v>12.222</v>
      </c>
      <c r="S498" s="22">
        <f t="shared" si="65"/>
        <v>14.389200000000004</v>
      </c>
      <c r="T498" s="20" t="str">
        <f t="shared" si="66"/>
        <v>0-7 days</v>
      </c>
    </row>
    <row r="499" spans="1:20" x14ac:dyDescent="0.3">
      <c r="A499" s="20" t="s">
        <v>565</v>
      </c>
      <c r="B499" s="20" t="s">
        <v>156</v>
      </c>
      <c r="C499" s="21">
        <v>45568</v>
      </c>
      <c r="D499" s="21">
        <v>45596</v>
      </c>
      <c r="E499" s="21">
        <v>45593</v>
      </c>
      <c r="F499" s="20" t="s">
        <v>53</v>
      </c>
      <c r="G499" s="22">
        <v>87.39</v>
      </c>
      <c r="H499" s="22">
        <v>29.86</v>
      </c>
      <c r="I499" s="20" t="s">
        <v>60</v>
      </c>
      <c r="J499" s="20">
        <v>3</v>
      </c>
      <c r="K499" s="20" t="s">
        <v>46</v>
      </c>
      <c r="L499" s="23">
        <f t="shared" si="60"/>
        <v>45566</v>
      </c>
      <c r="M499" s="20">
        <f t="shared" si="61"/>
        <v>28</v>
      </c>
      <c r="N499" s="20">
        <f t="shared" si="62"/>
        <v>3</v>
      </c>
      <c r="O499" s="20">
        <f t="shared" si="63"/>
        <v>0</v>
      </c>
      <c r="P499" s="22">
        <f t="shared" si="64"/>
        <v>117.25</v>
      </c>
      <c r="Q499" s="22">
        <f>G499*INDEX(Assumptions!$B$8:$B$16,MATCH(F499,Assumptions!$A$8:$A$16,0))</f>
        <v>64.668599999999998</v>
      </c>
      <c r="R499" s="22">
        <f>H499*Assumptions!$B$3</f>
        <v>17.916</v>
      </c>
      <c r="S499" s="22">
        <f t="shared" si="65"/>
        <v>4.8054000000000023</v>
      </c>
      <c r="T499" s="20" t="str">
        <f t="shared" si="66"/>
        <v>22+ days</v>
      </c>
    </row>
    <row r="500" spans="1:20" x14ac:dyDescent="0.3">
      <c r="A500" s="20" t="s">
        <v>566</v>
      </c>
      <c r="B500" s="20" t="s">
        <v>174</v>
      </c>
      <c r="C500" s="21">
        <v>45568</v>
      </c>
      <c r="D500" s="21">
        <v>45604</v>
      </c>
      <c r="E500" s="21">
        <v>45599</v>
      </c>
      <c r="F500" s="20" t="s">
        <v>67</v>
      </c>
      <c r="G500" s="22">
        <v>141.34</v>
      </c>
      <c r="H500" s="22">
        <v>30.81</v>
      </c>
      <c r="I500" s="20" t="s">
        <v>45</v>
      </c>
      <c r="J500" s="20">
        <v>3</v>
      </c>
      <c r="K500" s="20" t="s">
        <v>46</v>
      </c>
      <c r="L500" s="23">
        <f t="shared" si="60"/>
        <v>45566</v>
      </c>
      <c r="M500" s="20">
        <f t="shared" si="61"/>
        <v>36</v>
      </c>
      <c r="N500" s="20">
        <f t="shared" si="62"/>
        <v>5</v>
      </c>
      <c r="O500" s="20">
        <f t="shared" si="63"/>
        <v>0</v>
      </c>
      <c r="P500" s="22">
        <f t="shared" si="64"/>
        <v>172.15</v>
      </c>
      <c r="Q500" s="22">
        <f>G500*INDEX(Assumptions!$B$8:$B$16,MATCH(F500,Assumptions!$A$8:$A$16,0))</f>
        <v>87.630800000000008</v>
      </c>
      <c r="R500" s="22">
        <f>H500*Assumptions!$B$3</f>
        <v>18.485999999999997</v>
      </c>
      <c r="S500" s="22">
        <f t="shared" si="65"/>
        <v>35.223199999999999</v>
      </c>
      <c r="T500" s="20" t="str">
        <f t="shared" si="66"/>
        <v>22+ days</v>
      </c>
    </row>
    <row r="501" spans="1:20" x14ac:dyDescent="0.3">
      <c r="A501" s="20" t="s">
        <v>567</v>
      </c>
      <c r="B501" s="20" t="s">
        <v>48</v>
      </c>
      <c r="C501" s="21">
        <v>45568</v>
      </c>
      <c r="D501" s="21">
        <v>45575</v>
      </c>
      <c r="E501" s="21">
        <v>45592</v>
      </c>
      <c r="F501" s="20" t="s">
        <v>53</v>
      </c>
      <c r="G501" s="22">
        <v>220.46</v>
      </c>
      <c r="H501" s="22">
        <v>25.2</v>
      </c>
      <c r="I501" s="20" t="s">
        <v>45</v>
      </c>
      <c r="J501" s="20">
        <v>5</v>
      </c>
      <c r="K501" s="20" t="s">
        <v>46</v>
      </c>
      <c r="L501" s="23">
        <f t="shared" si="60"/>
        <v>45566</v>
      </c>
      <c r="M501" s="20">
        <f t="shared" si="61"/>
        <v>7</v>
      </c>
      <c r="N501" s="20">
        <f t="shared" si="62"/>
        <v>0</v>
      </c>
      <c r="O501" s="20">
        <f t="shared" si="63"/>
        <v>1</v>
      </c>
      <c r="P501" s="22">
        <f t="shared" si="64"/>
        <v>245.66</v>
      </c>
      <c r="Q501" s="22">
        <f>G501*INDEX(Assumptions!$B$8:$B$16,MATCH(F501,Assumptions!$A$8:$A$16,0))</f>
        <v>163.1404</v>
      </c>
      <c r="R501" s="22">
        <f>H501*Assumptions!$B$3</f>
        <v>15.12</v>
      </c>
      <c r="S501" s="22">
        <f t="shared" si="65"/>
        <v>42.199600000000011</v>
      </c>
      <c r="T501" s="20" t="str">
        <f t="shared" si="66"/>
        <v>0-7 days</v>
      </c>
    </row>
    <row r="502" spans="1:20" x14ac:dyDescent="0.3">
      <c r="A502" s="20" t="s">
        <v>568</v>
      </c>
      <c r="B502" s="20" t="s">
        <v>19</v>
      </c>
      <c r="C502" s="21">
        <v>45568</v>
      </c>
      <c r="D502" s="21">
        <v>45584</v>
      </c>
      <c r="E502" s="21">
        <v>45583</v>
      </c>
      <c r="F502" s="20" t="s">
        <v>59</v>
      </c>
      <c r="G502" s="22">
        <v>81.31</v>
      </c>
      <c r="H502" s="22">
        <v>18.34</v>
      </c>
      <c r="I502" s="20" t="s">
        <v>60</v>
      </c>
      <c r="J502" s="20">
        <v>2</v>
      </c>
      <c r="K502" s="20" t="s">
        <v>46</v>
      </c>
      <c r="L502" s="23">
        <f t="shared" si="60"/>
        <v>45566</v>
      </c>
      <c r="M502" s="20">
        <f t="shared" si="61"/>
        <v>16</v>
      </c>
      <c r="N502" s="20">
        <f t="shared" si="62"/>
        <v>1</v>
      </c>
      <c r="O502" s="20">
        <f t="shared" si="63"/>
        <v>0</v>
      </c>
      <c r="P502" s="22">
        <f t="shared" si="64"/>
        <v>99.65</v>
      </c>
      <c r="Q502" s="22">
        <f>G502*INDEX(Assumptions!$B$8:$B$16,MATCH(F502,Assumptions!$A$8:$A$16,0))</f>
        <v>52.038400000000003</v>
      </c>
      <c r="R502" s="22">
        <f>H502*Assumptions!$B$3</f>
        <v>11.004</v>
      </c>
      <c r="S502" s="22">
        <f t="shared" si="65"/>
        <v>18.267600000000002</v>
      </c>
      <c r="T502" s="20" t="str">
        <f t="shared" si="66"/>
        <v>15-21 days</v>
      </c>
    </row>
    <row r="503" spans="1:20" x14ac:dyDescent="0.3">
      <c r="A503" s="20" t="s">
        <v>569</v>
      </c>
      <c r="B503" s="20" t="s">
        <v>19</v>
      </c>
      <c r="C503" s="21">
        <v>45569</v>
      </c>
      <c r="D503" s="21">
        <v>45574</v>
      </c>
      <c r="E503" s="21">
        <v>45583</v>
      </c>
      <c r="F503" s="20" t="s">
        <v>44</v>
      </c>
      <c r="G503" s="22">
        <v>25.82</v>
      </c>
      <c r="H503" s="22">
        <v>21.18</v>
      </c>
      <c r="I503" s="20" t="s">
        <v>45</v>
      </c>
      <c r="J503" s="20">
        <v>4</v>
      </c>
      <c r="K503" s="20" t="s">
        <v>46</v>
      </c>
      <c r="L503" s="23">
        <f t="shared" si="60"/>
        <v>45566</v>
      </c>
      <c r="M503" s="20">
        <f t="shared" si="61"/>
        <v>5</v>
      </c>
      <c r="N503" s="20">
        <f t="shared" si="62"/>
        <v>0</v>
      </c>
      <c r="O503" s="20">
        <f t="shared" si="63"/>
        <v>1</v>
      </c>
      <c r="P503" s="22">
        <f t="shared" si="64"/>
        <v>47</v>
      </c>
      <c r="Q503" s="22">
        <f>G503*INDEX(Assumptions!$B$8:$B$16,MATCH(F503,Assumptions!$A$8:$A$16,0))</f>
        <v>15.491999999999999</v>
      </c>
      <c r="R503" s="22">
        <f>H503*Assumptions!$B$3</f>
        <v>12.708</v>
      </c>
      <c r="S503" s="22">
        <f t="shared" si="65"/>
        <v>-2.379999999999999</v>
      </c>
      <c r="T503" s="20" t="str">
        <f t="shared" si="66"/>
        <v>0-7 days</v>
      </c>
    </row>
    <row r="504" spans="1:20" x14ac:dyDescent="0.3">
      <c r="A504" s="20" t="s">
        <v>570</v>
      </c>
      <c r="B504" s="20" t="s">
        <v>19</v>
      </c>
      <c r="C504" s="21">
        <v>45569</v>
      </c>
      <c r="D504" s="21">
        <v>45577</v>
      </c>
      <c r="E504" s="21">
        <v>45584</v>
      </c>
      <c r="F504" s="20" t="s">
        <v>57</v>
      </c>
      <c r="G504" s="22">
        <v>112.26</v>
      </c>
      <c r="H504" s="22">
        <v>17.600000000000001</v>
      </c>
      <c r="I504" s="20" t="s">
        <v>60</v>
      </c>
      <c r="J504" s="20">
        <v>5</v>
      </c>
      <c r="K504" s="20" t="s">
        <v>46</v>
      </c>
      <c r="L504" s="23">
        <f t="shared" si="60"/>
        <v>45566</v>
      </c>
      <c r="M504" s="20">
        <f t="shared" si="61"/>
        <v>8</v>
      </c>
      <c r="N504" s="20">
        <f t="shared" si="62"/>
        <v>0</v>
      </c>
      <c r="O504" s="20">
        <f t="shared" si="63"/>
        <v>1</v>
      </c>
      <c r="P504" s="22">
        <f t="shared" si="64"/>
        <v>129.86000000000001</v>
      </c>
      <c r="Q504" s="22">
        <f>G504*INDEX(Assumptions!$B$8:$B$16,MATCH(F504,Assumptions!$A$8:$A$16,0))</f>
        <v>76.336800000000011</v>
      </c>
      <c r="R504" s="22">
        <f>H504*Assumptions!$B$3</f>
        <v>10.56</v>
      </c>
      <c r="S504" s="22">
        <f t="shared" si="65"/>
        <v>25.363199999999992</v>
      </c>
      <c r="T504" s="20" t="str">
        <f t="shared" si="66"/>
        <v>8-14 days</v>
      </c>
    </row>
    <row r="505" spans="1:20" x14ac:dyDescent="0.3">
      <c r="A505" s="20" t="s">
        <v>571</v>
      </c>
      <c r="B505" s="20" t="s">
        <v>55</v>
      </c>
      <c r="C505" s="21">
        <v>45570</v>
      </c>
      <c r="D505" s="21">
        <v>45581</v>
      </c>
      <c r="E505" s="21">
        <v>45591</v>
      </c>
      <c r="F505" s="20" t="s">
        <v>59</v>
      </c>
      <c r="G505" s="22">
        <v>154.22999999999999</v>
      </c>
      <c r="H505" s="22">
        <v>29.19</v>
      </c>
      <c r="I505" s="20" t="s">
        <v>60</v>
      </c>
      <c r="J505" s="20">
        <v>4</v>
      </c>
      <c r="K505" s="20" t="s">
        <v>46</v>
      </c>
      <c r="L505" s="23">
        <f t="shared" si="60"/>
        <v>45566</v>
      </c>
      <c r="M505" s="20">
        <f t="shared" si="61"/>
        <v>11</v>
      </c>
      <c r="N505" s="20">
        <f t="shared" si="62"/>
        <v>0</v>
      </c>
      <c r="O505" s="20">
        <f t="shared" si="63"/>
        <v>1</v>
      </c>
      <c r="P505" s="22">
        <f t="shared" si="64"/>
        <v>183.42</v>
      </c>
      <c r="Q505" s="22">
        <f>G505*INDEX(Assumptions!$B$8:$B$16,MATCH(F505,Assumptions!$A$8:$A$16,0))</f>
        <v>98.7072</v>
      </c>
      <c r="R505" s="22">
        <f>H505*Assumptions!$B$3</f>
        <v>17.513999999999999</v>
      </c>
      <c r="S505" s="22">
        <f t="shared" si="65"/>
        <v>38.008799999999994</v>
      </c>
      <c r="T505" s="20" t="str">
        <f t="shared" si="66"/>
        <v>8-14 days</v>
      </c>
    </row>
    <row r="506" spans="1:20" x14ac:dyDescent="0.3">
      <c r="A506" s="20" t="s">
        <v>572</v>
      </c>
      <c r="B506" s="20" t="s">
        <v>19</v>
      </c>
      <c r="C506" s="21">
        <v>45570</v>
      </c>
      <c r="D506" s="21">
        <v>45584</v>
      </c>
      <c r="E506" s="21">
        <v>45587</v>
      </c>
      <c r="F506" s="20" t="s">
        <v>57</v>
      </c>
      <c r="G506" s="22">
        <v>47.92</v>
      </c>
      <c r="H506" s="22">
        <v>20.88</v>
      </c>
      <c r="I506" s="20" t="s">
        <v>45</v>
      </c>
      <c r="J506" s="20">
        <v>3</v>
      </c>
      <c r="K506" s="20" t="s">
        <v>46</v>
      </c>
      <c r="L506" s="23">
        <f t="shared" si="60"/>
        <v>45566</v>
      </c>
      <c r="M506" s="20">
        <f t="shared" si="61"/>
        <v>14</v>
      </c>
      <c r="N506" s="20">
        <f t="shared" si="62"/>
        <v>0</v>
      </c>
      <c r="O506" s="20">
        <f t="shared" si="63"/>
        <v>1</v>
      </c>
      <c r="P506" s="22">
        <f t="shared" si="64"/>
        <v>68.8</v>
      </c>
      <c r="Q506" s="22">
        <f>G506*INDEX(Assumptions!$B$8:$B$16,MATCH(F506,Assumptions!$A$8:$A$16,0))</f>
        <v>32.585600000000007</v>
      </c>
      <c r="R506" s="22">
        <f>H506*Assumptions!$B$3</f>
        <v>12.527999999999999</v>
      </c>
      <c r="S506" s="22">
        <f t="shared" si="65"/>
        <v>2.8063999999999965</v>
      </c>
      <c r="T506" s="20" t="str">
        <f t="shared" si="66"/>
        <v>8-14 days</v>
      </c>
    </row>
    <row r="507" spans="1:20" x14ac:dyDescent="0.3">
      <c r="A507" s="20" t="s">
        <v>573</v>
      </c>
      <c r="B507" s="20" t="s">
        <v>62</v>
      </c>
      <c r="C507" s="21">
        <v>45571</v>
      </c>
      <c r="D507" s="21">
        <v>45585</v>
      </c>
      <c r="E507" s="21">
        <v>45592</v>
      </c>
      <c r="F507" s="20" t="s">
        <v>59</v>
      </c>
      <c r="G507" s="22">
        <v>27.24</v>
      </c>
      <c r="H507" s="22">
        <v>18.510000000000002</v>
      </c>
      <c r="I507" s="20" t="s">
        <v>45</v>
      </c>
      <c r="J507" s="20">
        <v>5</v>
      </c>
      <c r="K507" s="20" t="s">
        <v>46</v>
      </c>
      <c r="L507" s="23">
        <f t="shared" si="60"/>
        <v>45566</v>
      </c>
      <c r="M507" s="20">
        <f t="shared" si="61"/>
        <v>14</v>
      </c>
      <c r="N507" s="20">
        <f t="shared" si="62"/>
        <v>0</v>
      </c>
      <c r="O507" s="20">
        <f t="shared" si="63"/>
        <v>1</v>
      </c>
      <c r="P507" s="22">
        <f t="shared" si="64"/>
        <v>45.75</v>
      </c>
      <c r="Q507" s="22">
        <f>G507*INDEX(Assumptions!$B$8:$B$16,MATCH(F507,Assumptions!$A$8:$A$16,0))</f>
        <v>17.433599999999998</v>
      </c>
      <c r="R507" s="22">
        <f>H507*Assumptions!$B$3</f>
        <v>11.106</v>
      </c>
      <c r="S507" s="22">
        <f t="shared" si="65"/>
        <v>-1.2995999999999999</v>
      </c>
      <c r="T507" s="20" t="str">
        <f t="shared" si="66"/>
        <v>8-14 days</v>
      </c>
    </row>
    <row r="508" spans="1:20" x14ac:dyDescent="0.3">
      <c r="A508" s="20" t="s">
        <v>574</v>
      </c>
      <c r="B508" s="20" t="s">
        <v>19</v>
      </c>
      <c r="C508" s="21">
        <v>45571</v>
      </c>
      <c r="D508" s="21">
        <v>45577</v>
      </c>
      <c r="E508" s="21">
        <v>45587</v>
      </c>
      <c r="F508" s="20" t="s">
        <v>111</v>
      </c>
      <c r="G508" s="22">
        <v>96.5</v>
      </c>
      <c r="H508" s="22">
        <v>20.7</v>
      </c>
      <c r="I508" s="20" t="s">
        <v>45</v>
      </c>
      <c r="J508" s="20">
        <v>5</v>
      </c>
      <c r="K508" s="20" t="s">
        <v>46</v>
      </c>
      <c r="L508" s="23">
        <f t="shared" si="60"/>
        <v>45566</v>
      </c>
      <c r="M508" s="20">
        <f t="shared" si="61"/>
        <v>6</v>
      </c>
      <c r="N508" s="20">
        <f t="shared" si="62"/>
        <v>0</v>
      </c>
      <c r="O508" s="20">
        <f t="shared" si="63"/>
        <v>1</v>
      </c>
      <c r="P508" s="22">
        <f t="shared" si="64"/>
        <v>117.2</v>
      </c>
      <c r="Q508" s="22">
        <f>G508*INDEX(Assumptions!$B$8:$B$16,MATCH(F508,Assumptions!$A$8:$A$16,0))</f>
        <v>60.795000000000002</v>
      </c>
      <c r="R508" s="22">
        <f>H508*Assumptions!$B$3</f>
        <v>12.42</v>
      </c>
      <c r="S508" s="22">
        <f t="shared" si="65"/>
        <v>23.284999999999997</v>
      </c>
      <c r="T508" s="20" t="str">
        <f t="shared" si="66"/>
        <v>0-7 days</v>
      </c>
    </row>
    <row r="509" spans="1:20" x14ac:dyDescent="0.3">
      <c r="A509" s="20" t="s">
        <v>575</v>
      </c>
      <c r="B509" s="20" t="s">
        <v>19</v>
      </c>
      <c r="C509" s="21">
        <v>45571</v>
      </c>
      <c r="D509" s="21">
        <v>45577</v>
      </c>
      <c r="E509" s="21">
        <v>45583</v>
      </c>
      <c r="F509" s="20" t="s">
        <v>44</v>
      </c>
      <c r="G509" s="22">
        <v>138.41</v>
      </c>
      <c r="H509" s="22">
        <v>20.95</v>
      </c>
      <c r="I509" s="20" t="s">
        <v>60</v>
      </c>
      <c r="J509" s="20">
        <v>5</v>
      </c>
      <c r="K509" s="20" t="s">
        <v>46</v>
      </c>
      <c r="L509" s="23">
        <f t="shared" si="60"/>
        <v>45566</v>
      </c>
      <c r="M509" s="20">
        <f t="shared" si="61"/>
        <v>6</v>
      </c>
      <c r="N509" s="20">
        <f t="shared" si="62"/>
        <v>0</v>
      </c>
      <c r="O509" s="20">
        <f t="shared" si="63"/>
        <v>1</v>
      </c>
      <c r="P509" s="22">
        <f t="shared" si="64"/>
        <v>159.35999999999999</v>
      </c>
      <c r="Q509" s="22">
        <f>G509*INDEX(Assumptions!$B$8:$B$16,MATCH(F509,Assumptions!$A$8:$A$16,0))</f>
        <v>83.045999999999992</v>
      </c>
      <c r="R509" s="22">
        <f>H509*Assumptions!$B$3</f>
        <v>12.569999999999999</v>
      </c>
      <c r="S509" s="22">
        <f t="shared" si="65"/>
        <v>42.794000000000004</v>
      </c>
      <c r="T509" s="20" t="str">
        <f t="shared" si="66"/>
        <v>0-7 days</v>
      </c>
    </row>
    <row r="510" spans="1:20" x14ac:dyDescent="0.3">
      <c r="A510" s="20" t="s">
        <v>576</v>
      </c>
      <c r="B510" s="20" t="s">
        <v>62</v>
      </c>
      <c r="C510" s="21">
        <v>45572</v>
      </c>
      <c r="D510" s="21">
        <v>45586</v>
      </c>
      <c r="E510" s="21">
        <v>45593</v>
      </c>
      <c r="F510" s="20" t="s">
        <v>44</v>
      </c>
      <c r="G510" s="22">
        <v>59.33</v>
      </c>
      <c r="H510" s="22">
        <v>19.11</v>
      </c>
      <c r="I510" s="20" t="s">
        <v>50</v>
      </c>
      <c r="J510" s="20">
        <v>4</v>
      </c>
      <c r="K510" s="20" t="s">
        <v>46</v>
      </c>
      <c r="L510" s="23">
        <f t="shared" si="60"/>
        <v>45566</v>
      </c>
      <c r="M510" s="20">
        <f t="shared" si="61"/>
        <v>14</v>
      </c>
      <c r="N510" s="20">
        <f t="shared" si="62"/>
        <v>0</v>
      </c>
      <c r="O510" s="20">
        <f t="shared" si="63"/>
        <v>1</v>
      </c>
      <c r="P510" s="22">
        <f t="shared" si="64"/>
        <v>78.44</v>
      </c>
      <c r="Q510" s="22">
        <f>G510*INDEX(Assumptions!$B$8:$B$16,MATCH(F510,Assumptions!$A$8:$A$16,0))</f>
        <v>35.597999999999999</v>
      </c>
      <c r="R510" s="22">
        <f>H510*Assumptions!$B$3</f>
        <v>11.465999999999999</v>
      </c>
      <c r="S510" s="22">
        <f t="shared" si="65"/>
        <v>12.266</v>
      </c>
      <c r="T510" s="20" t="str">
        <f t="shared" si="66"/>
        <v>8-14 days</v>
      </c>
    </row>
    <row r="511" spans="1:20" x14ac:dyDescent="0.3">
      <c r="A511" s="20" t="s">
        <v>577</v>
      </c>
      <c r="B511" s="20" t="s">
        <v>93</v>
      </c>
      <c r="C511" s="21">
        <v>45572</v>
      </c>
      <c r="D511" s="21">
        <v>45590</v>
      </c>
      <c r="E511" s="21">
        <v>45597</v>
      </c>
      <c r="F511" s="20" t="s">
        <v>49</v>
      </c>
      <c r="G511" s="22">
        <v>56.27</v>
      </c>
      <c r="H511" s="22">
        <v>27.3</v>
      </c>
      <c r="I511" s="20" t="s">
        <v>60</v>
      </c>
      <c r="J511" s="20">
        <v>5</v>
      </c>
      <c r="K511" s="20" t="s">
        <v>46</v>
      </c>
      <c r="L511" s="23">
        <f t="shared" si="60"/>
        <v>45566</v>
      </c>
      <c r="M511" s="20">
        <f t="shared" si="61"/>
        <v>18</v>
      </c>
      <c r="N511" s="20">
        <f t="shared" si="62"/>
        <v>0</v>
      </c>
      <c r="O511" s="20">
        <f t="shared" si="63"/>
        <v>1</v>
      </c>
      <c r="P511" s="22">
        <f t="shared" si="64"/>
        <v>83.570000000000007</v>
      </c>
      <c r="Q511" s="22">
        <f>G511*INDEX(Assumptions!$B$8:$B$16,MATCH(F511,Assumptions!$A$8:$A$16,0))</f>
        <v>32.636600000000001</v>
      </c>
      <c r="R511" s="22">
        <f>H511*Assumptions!$B$3</f>
        <v>16.38</v>
      </c>
      <c r="S511" s="22">
        <f t="shared" si="65"/>
        <v>7.2534000000000027</v>
      </c>
      <c r="T511" s="20" t="str">
        <f t="shared" si="66"/>
        <v>15-21 days</v>
      </c>
    </row>
    <row r="512" spans="1:20" x14ac:dyDescent="0.3">
      <c r="A512" s="20" t="s">
        <v>578</v>
      </c>
      <c r="B512" s="20" t="s">
        <v>19</v>
      </c>
      <c r="C512" s="21">
        <v>45572</v>
      </c>
      <c r="D512" s="21">
        <v>45582</v>
      </c>
      <c r="E512" s="21">
        <v>45587</v>
      </c>
      <c r="F512" s="20" t="s">
        <v>44</v>
      </c>
      <c r="G512" s="22">
        <v>129.91999999999999</v>
      </c>
      <c r="H512" s="22">
        <v>22.19</v>
      </c>
      <c r="I512" s="20" t="s">
        <v>45</v>
      </c>
      <c r="J512" s="20">
        <v>3</v>
      </c>
      <c r="K512" s="20" t="s">
        <v>46</v>
      </c>
      <c r="L512" s="23">
        <f t="shared" si="60"/>
        <v>45566</v>
      </c>
      <c r="M512" s="20">
        <f t="shared" si="61"/>
        <v>10</v>
      </c>
      <c r="N512" s="20">
        <f t="shared" si="62"/>
        <v>0</v>
      </c>
      <c r="O512" s="20">
        <f t="shared" si="63"/>
        <v>1</v>
      </c>
      <c r="P512" s="22">
        <f t="shared" si="64"/>
        <v>152.10999999999999</v>
      </c>
      <c r="Q512" s="22">
        <f>G512*INDEX(Assumptions!$B$8:$B$16,MATCH(F512,Assumptions!$A$8:$A$16,0))</f>
        <v>77.951999999999984</v>
      </c>
      <c r="R512" s="22">
        <f>H512*Assumptions!$B$3</f>
        <v>13.314</v>
      </c>
      <c r="S512" s="22">
        <f t="shared" si="65"/>
        <v>38.654000000000003</v>
      </c>
      <c r="T512" s="20" t="str">
        <f t="shared" si="66"/>
        <v>8-14 days</v>
      </c>
    </row>
    <row r="513" spans="1:20" x14ac:dyDescent="0.3">
      <c r="A513" s="20" t="s">
        <v>579</v>
      </c>
      <c r="B513" s="20" t="s">
        <v>77</v>
      </c>
      <c r="C513" s="21">
        <v>45572</v>
      </c>
      <c r="D513" s="21">
        <v>45585</v>
      </c>
      <c r="E513" s="21">
        <v>45598</v>
      </c>
      <c r="F513" s="20" t="s">
        <v>67</v>
      </c>
      <c r="G513" s="22">
        <v>63.28</v>
      </c>
      <c r="H513" s="22">
        <v>24.72</v>
      </c>
      <c r="I513" s="20" t="s">
        <v>60</v>
      </c>
      <c r="J513" s="20">
        <v>4</v>
      </c>
      <c r="K513" s="20" t="s">
        <v>46</v>
      </c>
      <c r="L513" s="23">
        <f t="shared" si="60"/>
        <v>45566</v>
      </c>
      <c r="M513" s="20">
        <f t="shared" si="61"/>
        <v>13</v>
      </c>
      <c r="N513" s="20">
        <f t="shared" si="62"/>
        <v>0</v>
      </c>
      <c r="O513" s="20">
        <f t="shared" si="63"/>
        <v>1</v>
      </c>
      <c r="P513" s="22">
        <f t="shared" si="64"/>
        <v>88</v>
      </c>
      <c r="Q513" s="22">
        <f>G513*INDEX(Assumptions!$B$8:$B$16,MATCH(F513,Assumptions!$A$8:$A$16,0))</f>
        <v>39.233600000000003</v>
      </c>
      <c r="R513" s="22">
        <f>H513*Assumptions!$B$3</f>
        <v>14.831999999999999</v>
      </c>
      <c r="S513" s="22">
        <f t="shared" si="65"/>
        <v>9.2143999999999995</v>
      </c>
      <c r="T513" s="20" t="str">
        <f t="shared" si="66"/>
        <v>8-14 days</v>
      </c>
    </row>
    <row r="514" spans="1:20" x14ac:dyDescent="0.3">
      <c r="A514" s="20" t="s">
        <v>580</v>
      </c>
      <c r="B514" s="20" t="s">
        <v>19</v>
      </c>
      <c r="C514" s="21">
        <v>45572</v>
      </c>
      <c r="D514" s="21">
        <v>45584</v>
      </c>
      <c r="E514" s="21">
        <v>45588</v>
      </c>
      <c r="F514" s="20" t="s">
        <v>111</v>
      </c>
      <c r="G514" s="22">
        <v>118.24</v>
      </c>
      <c r="H514" s="22">
        <v>13.34</v>
      </c>
      <c r="I514" s="20" t="s">
        <v>45</v>
      </c>
      <c r="J514" s="20">
        <v>5</v>
      </c>
      <c r="K514" s="20" t="s">
        <v>46</v>
      </c>
      <c r="L514" s="23">
        <f t="shared" ref="L514:L577" si="67">DATE(YEAR(C514),MONTH(C514),1)</f>
        <v>45566</v>
      </c>
      <c r="M514" s="20">
        <f t="shared" ref="M514:M577" si="68">D514-C514</f>
        <v>12</v>
      </c>
      <c r="N514" s="20">
        <f t="shared" ref="N514:N577" si="69">MAX(0,D514-E514)</f>
        <v>0</v>
      </c>
      <c r="O514" s="20">
        <f t="shared" ref="O514:O577" si="70">IF(D514&lt;=E514,1,0)</f>
        <v>1</v>
      </c>
      <c r="P514" s="22">
        <f t="shared" ref="P514:P577" si="71">G514+H514</f>
        <v>131.57999999999998</v>
      </c>
      <c r="Q514" s="22">
        <f>G514*INDEX(Assumptions!$B$8:$B$16,MATCH(F514,Assumptions!$A$8:$A$16,0))</f>
        <v>74.491199999999992</v>
      </c>
      <c r="R514" s="22">
        <f>H514*Assumptions!$B$3</f>
        <v>8.0039999999999996</v>
      </c>
      <c r="S514" s="22">
        <f t="shared" ref="S514:S577" si="72">G514-Q514-R514</f>
        <v>35.744800000000005</v>
      </c>
      <c r="T514" s="20" t="str">
        <f t="shared" ref="T514:T577" si="73">IF(M514&lt;=7,"0-7 days",IF(M514&lt;=14,"8-14 days",IF(M514&lt;=21,"15-21 days","22+ days")))</f>
        <v>8-14 days</v>
      </c>
    </row>
    <row r="515" spans="1:20" x14ac:dyDescent="0.3">
      <c r="A515" s="20" t="s">
        <v>581</v>
      </c>
      <c r="B515" s="20" t="s">
        <v>19</v>
      </c>
      <c r="C515" s="21">
        <v>45573</v>
      </c>
      <c r="D515" s="21">
        <v>45580</v>
      </c>
      <c r="E515" s="21">
        <v>45590</v>
      </c>
      <c r="F515" s="20" t="s">
        <v>67</v>
      </c>
      <c r="G515" s="22">
        <v>122.17</v>
      </c>
      <c r="H515" s="22">
        <v>16.77</v>
      </c>
      <c r="I515" s="20" t="s">
        <v>45</v>
      </c>
      <c r="J515" s="20">
        <v>3</v>
      </c>
      <c r="K515" s="20" t="s">
        <v>46</v>
      </c>
      <c r="L515" s="23">
        <f t="shared" si="67"/>
        <v>45566</v>
      </c>
      <c r="M515" s="20">
        <f t="shared" si="68"/>
        <v>7</v>
      </c>
      <c r="N515" s="20">
        <f t="shared" si="69"/>
        <v>0</v>
      </c>
      <c r="O515" s="20">
        <f t="shared" si="70"/>
        <v>1</v>
      </c>
      <c r="P515" s="22">
        <f t="shared" si="71"/>
        <v>138.94</v>
      </c>
      <c r="Q515" s="22">
        <f>G515*INDEX(Assumptions!$B$8:$B$16,MATCH(F515,Assumptions!$A$8:$A$16,0))</f>
        <v>75.745400000000004</v>
      </c>
      <c r="R515" s="22">
        <f>H515*Assumptions!$B$3</f>
        <v>10.061999999999999</v>
      </c>
      <c r="S515" s="22">
        <f t="shared" si="72"/>
        <v>36.3626</v>
      </c>
      <c r="T515" s="20" t="str">
        <f t="shared" si="73"/>
        <v>0-7 days</v>
      </c>
    </row>
    <row r="516" spans="1:20" x14ac:dyDescent="0.3">
      <c r="A516" s="20" t="s">
        <v>582</v>
      </c>
      <c r="B516" s="20" t="s">
        <v>134</v>
      </c>
      <c r="C516" s="21">
        <v>45573</v>
      </c>
      <c r="D516" s="21">
        <v>45580</v>
      </c>
      <c r="E516" s="21">
        <v>45594</v>
      </c>
      <c r="F516" s="20" t="s">
        <v>53</v>
      </c>
      <c r="G516" s="22">
        <v>127.2</v>
      </c>
      <c r="H516" s="22">
        <v>19.670000000000002</v>
      </c>
      <c r="I516" s="20" t="s">
        <v>45</v>
      </c>
      <c r="J516" s="20">
        <v>5</v>
      </c>
      <c r="K516" s="20" t="s">
        <v>46</v>
      </c>
      <c r="L516" s="23">
        <f t="shared" si="67"/>
        <v>45566</v>
      </c>
      <c r="M516" s="20">
        <f t="shared" si="68"/>
        <v>7</v>
      </c>
      <c r="N516" s="20">
        <f t="shared" si="69"/>
        <v>0</v>
      </c>
      <c r="O516" s="20">
        <f t="shared" si="70"/>
        <v>1</v>
      </c>
      <c r="P516" s="22">
        <f t="shared" si="71"/>
        <v>146.87</v>
      </c>
      <c r="Q516" s="22">
        <f>G516*INDEX(Assumptions!$B$8:$B$16,MATCH(F516,Assumptions!$A$8:$A$16,0))</f>
        <v>94.128</v>
      </c>
      <c r="R516" s="22">
        <f>H516*Assumptions!$B$3</f>
        <v>11.802000000000001</v>
      </c>
      <c r="S516" s="22">
        <f t="shared" si="72"/>
        <v>21.270000000000003</v>
      </c>
      <c r="T516" s="20" t="str">
        <f t="shared" si="73"/>
        <v>0-7 days</v>
      </c>
    </row>
    <row r="517" spans="1:20" x14ac:dyDescent="0.3">
      <c r="A517" s="20" t="s">
        <v>583</v>
      </c>
      <c r="B517" s="20" t="s">
        <v>93</v>
      </c>
      <c r="C517" s="21">
        <v>45574</v>
      </c>
      <c r="D517" s="21">
        <v>45598</v>
      </c>
      <c r="E517" s="21">
        <v>45603</v>
      </c>
      <c r="F517" s="20" t="s">
        <v>111</v>
      </c>
      <c r="G517" s="22">
        <v>149.22999999999999</v>
      </c>
      <c r="H517" s="22">
        <v>33.35</v>
      </c>
      <c r="I517" s="20" t="s">
        <v>45</v>
      </c>
      <c r="J517" s="20">
        <v>4</v>
      </c>
      <c r="K517" s="20" t="s">
        <v>46</v>
      </c>
      <c r="L517" s="23">
        <f t="shared" si="67"/>
        <v>45566</v>
      </c>
      <c r="M517" s="20">
        <f t="shared" si="68"/>
        <v>24</v>
      </c>
      <c r="N517" s="20">
        <f t="shared" si="69"/>
        <v>0</v>
      </c>
      <c r="O517" s="20">
        <f t="shared" si="70"/>
        <v>1</v>
      </c>
      <c r="P517" s="22">
        <f t="shared" si="71"/>
        <v>182.57999999999998</v>
      </c>
      <c r="Q517" s="22">
        <f>G517*INDEX(Assumptions!$B$8:$B$16,MATCH(F517,Assumptions!$A$8:$A$16,0))</f>
        <v>94.014899999999997</v>
      </c>
      <c r="R517" s="22">
        <f>H517*Assumptions!$B$3</f>
        <v>20.010000000000002</v>
      </c>
      <c r="S517" s="22">
        <f t="shared" si="72"/>
        <v>35.205099999999987</v>
      </c>
      <c r="T517" s="20" t="str">
        <f t="shared" si="73"/>
        <v>22+ days</v>
      </c>
    </row>
    <row r="518" spans="1:20" x14ac:dyDescent="0.3">
      <c r="A518" s="20" t="s">
        <v>584</v>
      </c>
      <c r="B518" s="20" t="s">
        <v>48</v>
      </c>
      <c r="C518" s="21">
        <v>45574</v>
      </c>
      <c r="D518" s="21">
        <v>45583</v>
      </c>
      <c r="E518" s="21">
        <v>45595</v>
      </c>
      <c r="F518" s="20" t="s">
        <v>53</v>
      </c>
      <c r="G518" s="22">
        <v>113.48</v>
      </c>
      <c r="H518" s="22">
        <v>19.57</v>
      </c>
      <c r="I518" s="20" t="s">
        <v>45</v>
      </c>
      <c r="J518" s="20">
        <v>5</v>
      </c>
      <c r="K518" s="20" t="s">
        <v>46</v>
      </c>
      <c r="L518" s="23">
        <f t="shared" si="67"/>
        <v>45566</v>
      </c>
      <c r="M518" s="20">
        <f t="shared" si="68"/>
        <v>9</v>
      </c>
      <c r="N518" s="20">
        <f t="shared" si="69"/>
        <v>0</v>
      </c>
      <c r="O518" s="20">
        <f t="shared" si="70"/>
        <v>1</v>
      </c>
      <c r="P518" s="22">
        <f t="shared" si="71"/>
        <v>133.05000000000001</v>
      </c>
      <c r="Q518" s="22">
        <f>G518*INDEX(Assumptions!$B$8:$B$16,MATCH(F518,Assumptions!$A$8:$A$16,0))</f>
        <v>83.975200000000001</v>
      </c>
      <c r="R518" s="22">
        <f>H518*Assumptions!$B$3</f>
        <v>11.741999999999999</v>
      </c>
      <c r="S518" s="22">
        <f t="shared" si="72"/>
        <v>17.762800000000006</v>
      </c>
      <c r="T518" s="20" t="str">
        <f t="shared" si="73"/>
        <v>8-14 days</v>
      </c>
    </row>
    <row r="519" spans="1:20" x14ac:dyDescent="0.3">
      <c r="A519" s="20" t="s">
        <v>585</v>
      </c>
      <c r="B519" s="20" t="s">
        <v>19</v>
      </c>
      <c r="C519" s="21">
        <v>45574</v>
      </c>
      <c r="D519" s="21">
        <v>45581</v>
      </c>
      <c r="E519" s="21">
        <v>45587</v>
      </c>
      <c r="F519" s="20" t="s">
        <v>111</v>
      </c>
      <c r="G519" s="22">
        <v>190.14</v>
      </c>
      <c r="H519" s="22">
        <v>20.34</v>
      </c>
      <c r="I519" s="20" t="s">
        <v>45</v>
      </c>
      <c r="J519" s="20">
        <v>4</v>
      </c>
      <c r="K519" s="20" t="s">
        <v>46</v>
      </c>
      <c r="L519" s="23">
        <f t="shared" si="67"/>
        <v>45566</v>
      </c>
      <c r="M519" s="20">
        <f t="shared" si="68"/>
        <v>7</v>
      </c>
      <c r="N519" s="20">
        <f t="shared" si="69"/>
        <v>0</v>
      </c>
      <c r="O519" s="20">
        <f t="shared" si="70"/>
        <v>1</v>
      </c>
      <c r="P519" s="22">
        <f t="shared" si="71"/>
        <v>210.48</v>
      </c>
      <c r="Q519" s="22">
        <f>G519*INDEX(Assumptions!$B$8:$B$16,MATCH(F519,Assumptions!$A$8:$A$16,0))</f>
        <v>119.78819999999999</v>
      </c>
      <c r="R519" s="22">
        <f>H519*Assumptions!$B$3</f>
        <v>12.203999999999999</v>
      </c>
      <c r="S519" s="22">
        <f t="shared" si="72"/>
        <v>58.147799999999997</v>
      </c>
      <c r="T519" s="20" t="str">
        <f t="shared" si="73"/>
        <v>0-7 days</v>
      </c>
    </row>
    <row r="520" spans="1:20" x14ac:dyDescent="0.3">
      <c r="A520" s="20" t="s">
        <v>586</v>
      </c>
      <c r="B520" s="20" t="s">
        <v>62</v>
      </c>
      <c r="C520" s="21">
        <v>45575</v>
      </c>
      <c r="D520" s="21">
        <v>45587</v>
      </c>
      <c r="E520" s="21">
        <v>45595</v>
      </c>
      <c r="F520" s="20" t="s">
        <v>59</v>
      </c>
      <c r="G520" s="22">
        <v>69.09</v>
      </c>
      <c r="H520" s="22">
        <v>26.54</v>
      </c>
      <c r="I520" s="20" t="s">
        <v>45</v>
      </c>
      <c r="J520" s="20">
        <v>4</v>
      </c>
      <c r="K520" s="20" t="s">
        <v>46</v>
      </c>
      <c r="L520" s="23">
        <f t="shared" si="67"/>
        <v>45566</v>
      </c>
      <c r="M520" s="20">
        <f t="shared" si="68"/>
        <v>12</v>
      </c>
      <c r="N520" s="20">
        <f t="shared" si="69"/>
        <v>0</v>
      </c>
      <c r="O520" s="20">
        <f t="shared" si="70"/>
        <v>1</v>
      </c>
      <c r="P520" s="22">
        <f t="shared" si="71"/>
        <v>95.63</v>
      </c>
      <c r="Q520" s="22">
        <f>G520*INDEX(Assumptions!$B$8:$B$16,MATCH(F520,Assumptions!$A$8:$A$16,0))</f>
        <v>44.217600000000004</v>
      </c>
      <c r="R520" s="22">
        <f>H520*Assumptions!$B$3</f>
        <v>15.923999999999999</v>
      </c>
      <c r="S520" s="22">
        <f t="shared" si="72"/>
        <v>8.9483999999999995</v>
      </c>
      <c r="T520" s="20" t="str">
        <f t="shared" si="73"/>
        <v>8-14 days</v>
      </c>
    </row>
    <row r="521" spans="1:20" x14ac:dyDescent="0.3">
      <c r="A521" s="20" t="s">
        <v>587</v>
      </c>
      <c r="B521" s="20" t="s">
        <v>48</v>
      </c>
      <c r="C521" s="21">
        <v>45575</v>
      </c>
      <c r="D521" s="21">
        <v>45591</v>
      </c>
      <c r="E521" s="21">
        <v>45596</v>
      </c>
      <c r="F521" s="20" t="s">
        <v>49</v>
      </c>
      <c r="G521" s="22">
        <v>180.17</v>
      </c>
      <c r="H521" s="22">
        <v>27.19</v>
      </c>
      <c r="I521" s="20" t="s">
        <v>45</v>
      </c>
      <c r="J521" s="20">
        <v>5</v>
      </c>
      <c r="K521" s="20" t="s">
        <v>46</v>
      </c>
      <c r="L521" s="23">
        <f t="shared" si="67"/>
        <v>45566</v>
      </c>
      <c r="M521" s="20">
        <f t="shared" si="68"/>
        <v>16</v>
      </c>
      <c r="N521" s="20">
        <f t="shared" si="69"/>
        <v>0</v>
      </c>
      <c r="O521" s="20">
        <f t="shared" si="70"/>
        <v>1</v>
      </c>
      <c r="P521" s="22">
        <f t="shared" si="71"/>
        <v>207.35999999999999</v>
      </c>
      <c r="Q521" s="22">
        <f>G521*INDEX(Assumptions!$B$8:$B$16,MATCH(F521,Assumptions!$A$8:$A$16,0))</f>
        <v>104.49859999999998</v>
      </c>
      <c r="R521" s="22">
        <f>H521*Assumptions!$B$3</f>
        <v>16.314</v>
      </c>
      <c r="S521" s="22">
        <f t="shared" si="72"/>
        <v>59.357400000000005</v>
      </c>
      <c r="T521" s="20" t="str">
        <f t="shared" si="73"/>
        <v>15-21 days</v>
      </c>
    </row>
    <row r="522" spans="1:20" x14ac:dyDescent="0.3">
      <c r="A522" s="20" t="s">
        <v>588</v>
      </c>
      <c r="B522" s="20" t="s">
        <v>19</v>
      </c>
      <c r="C522" s="21">
        <v>45575</v>
      </c>
      <c r="D522" s="21">
        <v>45579</v>
      </c>
      <c r="E522" s="21">
        <v>45588</v>
      </c>
      <c r="F522" s="20" t="s">
        <v>49</v>
      </c>
      <c r="G522" s="22">
        <v>44.8</v>
      </c>
      <c r="H522" s="22">
        <v>20.97</v>
      </c>
      <c r="I522" s="20" t="s">
        <v>60</v>
      </c>
      <c r="J522" s="20">
        <v>4</v>
      </c>
      <c r="K522" s="20" t="s">
        <v>46</v>
      </c>
      <c r="L522" s="23">
        <f t="shared" si="67"/>
        <v>45566</v>
      </c>
      <c r="M522" s="20">
        <f t="shared" si="68"/>
        <v>4</v>
      </c>
      <c r="N522" s="20">
        <f t="shared" si="69"/>
        <v>0</v>
      </c>
      <c r="O522" s="20">
        <f t="shared" si="70"/>
        <v>1</v>
      </c>
      <c r="P522" s="22">
        <f t="shared" si="71"/>
        <v>65.77</v>
      </c>
      <c r="Q522" s="22">
        <f>G522*INDEX(Assumptions!$B$8:$B$16,MATCH(F522,Assumptions!$A$8:$A$16,0))</f>
        <v>25.983999999999998</v>
      </c>
      <c r="R522" s="22">
        <f>H522*Assumptions!$B$3</f>
        <v>12.581999999999999</v>
      </c>
      <c r="S522" s="22">
        <f t="shared" si="72"/>
        <v>6.234</v>
      </c>
      <c r="T522" s="20" t="str">
        <f t="shared" si="73"/>
        <v>0-7 days</v>
      </c>
    </row>
    <row r="523" spans="1:20" x14ac:dyDescent="0.3">
      <c r="A523" s="20" t="s">
        <v>589</v>
      </c>
      <c r="B523" s="20" t="s">
        <v>19</v>
      </c>
      <c r="C523" s="21">
        <v>45575</v>
      </c>
      <c r="D523" s="21">
        <v>45592</v>
      </c>
      <c r="E523" s="21">
        <v>45592</v>
      </c>
      <c r="F523" s="20" t="s">
        <v>49</v>
      </c>
      <c r="G523" s="22">
        <v>246.69</v>
      </c>
      <c r="H523" s="22">
        <v>24.65</v>
      </c>
      <c r="I523" s="20" t="s">
        <v>60</v>
      </c>
      <c r="J523" s="20">
        <v>5</v>
      </c>
      <c r="K523" s="20" t="s">
        <v>46</v>
      </c>
      <c r="L523" s="23">
        <f t="shared" si="67"/>
        <v>45566</v>
      </c>
      <c r="M523" s="20">
        <f t="shared" si="68"/>
        <v>17</v>
      </c>
      <c r="N523" s="20">
        <f t="shared" si="69"/>
        <v>0</v>
      </c>
      <c r="O523" s="20">
        <f t="shared" si="70"/>
        <v>1</v>
      </c>
      <c r="P523" s="22">
        <f t="shared" si="71"/>
        <v>271.33999999999997</v>
      </c>
      <c r="Q523" s="22">
        <f>G523*INDEX(Assumptions!$B$8:$B$16,MATCH(F523,Assumptions!$A$8:$A$16,0))</f>
        <v>143.08019999999999</v>
      </c>
      <c r="R523" s="22">
        <f>H523*Assumptions!$B$3</f>
        <v>14.79</v>
      </c>
      <c r="S523" s="22">
        <f t="shared" si="72"/>
        <v>88.819800000000015</v>
      </c>
      <c r="T523" s="20" t="str">
        <f t="shared" si="73"/>
        <v>15-21 days</v>
      </c>
    </row>
    <row r="524" spans="1:20" x14ac:dyDescent="0.3">
      <c r="A524" s="20" t="s">
        <v>590</v>
      </c>
      <c r="B524" s="20" t="s">
        <v>134</v>
      </c>
      <c r="C524" s="21">
        <v>45575</v>
      </c>
      <c r="D524" s="21">
        <v>45585</v>
      </c>
      <c r="E524" s="21">
        <v>45597</v>
      </c>
      <c r="F524" s="20" t="s">
        <v>67</v>
      </c>
      <c r="G524" s="22">
        <v>121.08</v>
      </c>
      <c r="H524" s="22">
        <v>21.29</v>
      </c>
      <c r="I524" s="20" t="s">
        <v>45</v>
      </c>
      <c r="J524" s="20">
        <v>5</v>
      </c>
      <c r="K524" s="20" t="s">
        <v>46</v>
      </c>
      <c r="L524" s="23">
        <f t="shared" si="67"/>
        <v>45566</v>
      </c>
      <c r="M524" s="20">
        <f t="shared" si="68"/>
        <v>10</v>
      </c>
      <c r="N524" s="20">
        <f t="shared" si="69"/>
        <v>0</v>
      </c>
      <c r="O524" s="20">
        <f t="shared" si="70"/>
        <v>1</v>
      </c>
      <c r="P524" s="22">
        <f t="shared" si="71"/>
        <v>142.37</v>
      </c>
      <c r="Q524" s="22">
        <f>G524*INDEX(Assumptions!$B$8:$B$16,MATCH(F524,Assumptions!$A$8:$A$16,0))</f>
        <v>75.069599999999994</v>
      </c>
      <c r="R524" s="22">
        <f>H524*Assumptions!$B$3</f>
        <v>12.773999999999999</v>
      </c>
      <c r="S524" s="22">
        <f t="shared" si="72"/>
        <v>33.236400000000003</v>
      </c>
      <c r="T524" s="20" t="str">
        <f t="shared" si="73"/>
        <v>8-14 days</v>
      </c>
    </row>
    <row r="525" spans="1:20" x14ac:dyDescent="0.3">
      <c r="A525" s="20" t="s">
        <v>591</v>
      </c>
      <c r="B525" s="20" t="s">
        <v>48</v>
      </c>
      <c r="C525" s="21">
        <v>45576</v>
      </c>
      <c r="D525" s="21">
        <v>45587</v>
      </c>
      <c r="E525" s="21">
        <v>45596</v>
      </c>
      <c r="F525" s="20" t="s">
        <v>57</v>
      </c>
      <c r="G525" s="22">
        <v>220.14</v>
      </c>
      <c r="H525" s="22">
        <v>27.32</v>
      </c>
      <c r="I525" s="20" t="s">
        <v>45</v>
      </c>
      <c r="J525" s="20">
        <v>4</v>
      </c>
      <c r="K525" s="20" t="s">
        <v>46</v>
      </c>
      <c r="L525" s="23">
        <f t="shared" si="67"/>
        <v>45566</v>
      </c>
      <c r="M525" s="20">
        <f t="shared" si="68"/>
        <v>11</v>
      </c>
      <c r="N525" s="20">
        <f t="shared" si="69"/>
        <v>0</v>
      </c>
      <c r="O525" s="20">
        <f t="shared" si="70"/>
        <v>1</v>
      </c>
      <c r="P525" s="22">
        <f t="shared" si="71"/>
        <v>247.45999999999998</v>
      </c>
      <c r="Q525" s="22">
        <f>G525*INDEX(Assumptions!$B$8:$B$16,MATCH(F525,Assumptions!$A$8:$A$16,0))</f>
        <v>149.6952</v>
      </c>
      <c r="R525" s="22">
        <f>H525*Assumptions!$B$3</f>
        <v>16.391999999999999</v>
      </c>
      <c r="S525" s="22">
        <f t="shared" si="72"/>
        <v>54.052799999999991</v>
      </c>
      <c r="T525" s="20" t="str">
        <f t="shared" si="73"/>
        <v>8-14 days</v>
      </c>
    </row>
    <row r="526" spans="1:20" x14ac:dyDescent="0.3">
      <c r="A526" s="20" t="s">
        <v>592</v>
      </c>
      <c r="B526" s="20" t="s">
        <v>62</v>
      </c>
      <c r="C526" s="21">
        <v>45576</v>
      </c>
      <c r="D526" s="21">
        <v>45591</v>
      </c>
      <c r="E526" s="21">
        <v>45594</v>
      </c>
      <c r="F526" s="20" t="s">
        <v>59</v>
      </c>
      <c r="G526" s="22">
        <v>97.76</v>
      </c>
      <c r="H526" s="22">
        <v>18.3</v>
      </c>
      <c r="I526" s="20" t="s">
        <v>45</v>
      </c>
      <c r="J526" s="20">
        <v>5</v>
      </c>
      <c r="K526" s="20" t="s">
        <v>46</v>
      </c>
      <c r="L526" s="23">
        <f t="shared" si="67"/>
        <v>45566</v>
      </c>
      <c r="M526" s="20">
        <f t="shared" si="68"/>
        <v>15</v>
      </c>
      <c r="N526" s="20">
        <f t="shared" si="69"/>
        <v>0</v>
      </c>
      <c r="O526" s="20">
        <f t="shared" si="70"/>
        <v>1</v>
      </c>
      <c r="P526" s="22">
        <f t="shared" si="71"/>
        <v>116.06</v>
      </c>
      <c r="Q526" s="22">
        <f>G526*INDEX(Assumptions!$B$8:$B$16,MATCH(F526,Assumptions!$A$8:$A$16,0))</f>
        <v>62.566400000000002</v>
      </c>
      <c r="R526" s="22">
        <f>H526*Assumptions!$B$3</f>
        <v>10.98</v>
      </c>
      <c r="S526" s="22">
        <f t="shared" si="72"/>
        <v>24.213600000000003</v>
      </c>
      <c r="T526" s="20" t="str">
        <f t="shared" si="73"/>
        <v>15-21 days</v>
      </c>
    </row>
    <row r="527" spans="1:20" x14ac:dyDescent="0.3">
      <c r="A527" s="20" t="s">
        <v>593</v>
      </c>
      <c r="B527" s="20" t="s">
        <v>19</v>
      </c>
      <c r="C527" s="21">
        <v>45576</v>
      </c>
      <c r="D527" s="21">
        <v>45592</v>
      </c>
      <c r="E527" s="21">
        <v>45595</v>
      </c>
      <c r="F527" s="20" t="s">
        <v>59</v>
      </c>
      <c r="G527" s="22">
        <v>74.040000000000006</v>
      </c>
      <c r="H527" s="22">
        <v>13.47</v>
      </c>
      <c r="I527" s="20" t="s">
        <v>60</v>
      </c>
      <c r="J527" s="20">
        <v>4</v>
      </c>
      <c r="K527" s="20" t="s">
        <v>46</v>
      </c>
      <c r="L527" s="23">
        <f t="shared" si="67"/>
        <v>45566</v>
      </c>
      <c r="M527" s="20">
        <f t="shared" si="68"/>
        <v>16</v>
      </c>
      <c r="N527" s="20">
        <f t="shared" si="69"/>
        <v>0</v>
      </c>
      <c r="O527" s="20">
        <f t="shared" si="70"/>
        <v>1</v>
      </c>
      <c r="P527" s="22">
        <f t="shared" si="71"/>
        <v>87.51</v>
      </c>
      <c r="Q527" s="22">
        <f>G527*INDEX(Assumptions!$B$8:$B$16,MATCH(F527,Assumptions!$A$8:$A$16,0))</f>
        <v>47.385600000000004</v>
      </c>
      <c r="R527" s="22">
        <f>H527*Assumptions!$B$3</f>
        <v>8.0820000000000007</v>
      </c>
      <c r="S527" s="22">
        <f t="shared" si="72"/>
        <v>18.572400000000002</v>
      </c>
      <c r="T527" s="20" t="str">
        <f t="shared" si="73"/>
        <v>15-21 days</v>
      </c>
    </row>
    <row r="528" spans="1:20" x14ac:dyDescent="0.3">
      <c r="A528" s="20" t="s">
        <v>594</v>
      </c>
      <c r="B528" s="20" t="s">
        <v>52</v>
      </c>
      <c r="C528" s="21">
        <v>45576</v>
      </c>
      <c r="D528" s="21">
        <v>45601</v>
      </c>
      <c r="E528" s="21">
        <v>45601</v>
      </c>
      <c r="F528" s="20" t="s">
        <v>67</v>
      </c>
      <c r="G528" s="22">
        <v>102.83</v>
      </c>
      <c r="H528" s="22">
        <v>21.5</v>
      </c>
      <c r="I528" s="20" t="s">
        <v>45</v>
      </c>
      <c r="J528" s="20">
        <v>3</v>
      </c>
      <c r="K528" s="20" t="s">
        <v>46</v>
      </c>
      <c r="L528" s="23">
        <f t="shared" si="67"/>
        <v>45566</v>
      </c>
      <c r="M528" s="20">
        <f t="shared" si="68"/>
        <v>25</v>
      </c>
      <c r="N528" s="20">
        <f t="shared" si="69"/>
        <v>0</v>
      </c>
      <c r="O528" s="20">
        <f t="shared" si="70"/>
        <v>1</v>
      </c>
      <c r="P528" s="22">
        <f t="shared" si="71"/>
        <v>124.33</v>
      </c>
      <c r="Q528" s="22">
        <f>G528*INDEX(Assumptions!$B$8:$B$16,MATCH(F528,Assumptions!$A$8:$A$16,0))</f>
        <v>63.754599999999996</v>
      </c>
      <c r="R528" s="22">
        <f>H528*Assumptions!$B$3</f>
        <v>12.9</v>
      </c>
      <c r="S528" s="22">
        <f t="shared" si="72"/>
        <v>26.175400000000003</v>
      </c>
      <c r="T528" s="20" t="str">
        <f t="shared" si="73"/>
        <v>22+ days</v>
      </c>
    </row>
    <row r="529" spans="1:20" x14ac:dyDescent="0.3">
      <c r="A529" s="20" t="s">
        <v>595</v>
      </c>
      <c r="B529" s="20" t="s">
        <v>48</v>
      </c>
      <c r="C529" s="21">
        <v>45576</v>
      </c>
      <c r="D529" s="21">
        <v>45599</v>
      </c>
      <c r="E529" s="21">
        <v>45597</v>
      </c>
      <c r="F529" s="20" t="s">
        <v>59</v>
      </c>
      <c r="G529" s="22">
        <v>152.38</v>
      </c>
      <c r="H529" s="22">
        <v>25</v>
      </c>
      <c r="I529" s="20" t="s">
        <v>45</v>
      </c>
      <c r="J529" s="20">
        <v>4</v>
      </c>
      <c r="K529" s="20" t="s">
        <v>46</v>
      </c>
      <c r="L529" s="23">
        <f t="shared" si="67"/>
        <v>45566</v>
      </c>
      <c r="M529" s="20">
        <f t="shared" si="68"/>
        <v>23</v>
      </c>
      <c r="N529" s="20">
        <f t="shared" si="69"/>
        <v>2</v>
      </c>
      <c r="O529" s="20">
        <f t="shared" si="70"/>
        <v>0</v>
      </c>
      <c r="P529" s="22">
        <f t="shared" si="71"/>
        <v>177.38</v>
      </c>
      <c r="Q529" s="22">
        <f>G529*INDEX(Assumptions!$B$8:$B$16,MATCH(F529,Assumptions!$A$8:$A$16,0))</f>
        <v>97.523200000000003</v>
      </c>
      <c r="R529" s="22">
        <f>H529*Assumptions!$B$3</f>
        <v>15</v>
      </c>
      <c r="S529" s="22">
        <f t="shared" si="72"/>
        <v>39.856799999999993</v>
      </c>
      <c r="T529" s="20" t="str">
        <f t="shared" si="73"/>
        <v>22+ days</v>
      </c>
    </row>
    <row r="530" spans="1:20" x14ac:dyDescent="0.3">
      <c r="A530" s="20" t="s">
        <v>596</v>
      </c>
      <c r="B530" s="20" t="s">
        <v>62</v>
      </c>
      <c r="C530" s="21">
        <v>45576</v>
      </c>
      <c r="D530" s="21">
        <v>45594</v>
      </c>
      <c r="E530" s="21">
        <v>45597</v>
      </c>
      <c r="F530" s="20" t="s">
        <v>59</v>
      </c>
      <c r="G530" s="22">
        <v>126.75</v>
      </c>
      <c r="H530" s="22">
        <v>22.63</v>
      </c>
      <c r="I530" s="20" t="s">
        <v>45</v>
      </c>
      <c r="J530" s="20">
        <v>5</v>
      </c>
      <c r="K530" s="20" t="s">
        <v>46</v>
      </c>
      <c r="L530" s="23">
        <f t="shared" si="67"/>
        <v>45566</v>
      </c>
      <c r="M530" s="20">
        <f t="shared" si="68"/>
        <v>18</v>
      </c>
      <c r="N530" s="20">
        <f t="shared" si="69"/>
        <v>0</v>
      </c>
      <c r="O530" s="20">
        <f t="shared" si="70"/>
        <v>1</v>
      </c>
      <c r="P530" s="22">
        <f t="shared" si="71"/>
        <v>149.38</v>
      </c>
      <c r="Q530" s="22">
        <f>G530*INDEX(Assumptions!$B$8:$B$16,MATCH(F530,Assumptions!$A$8:$A$16,0))</f>
        <v>81.12</v>
      </c>
      <c r="R530" s="22">
        <f>H530*Assumptions!$B$3</f>
        <v>13.577999999999999</v>
      </c>
      <c r="S530" s="22">
        <f t="shared" si="72"/>
        <v>32.051999999999992</v>
      </c>
      <c r="T530" s="20" t="str">
        <f t="shared" si="73"/>
        <v>15-21 days</v>
      </c>
    </row>
    <row r="531" spans="1:20" x14ac:dyDescent="0.3">
      <c r="A531" s="20" t="s">
        <v>597</v>
      </c>
      <c r="B531" s="20" t="s">
        <v>134</v>
      </c>
      <c r="C531" s="21">
        <v>45577</v>
      </c>
      <c r="D531" s="21">
        <v>45592</v>
      </c>
      <c r="E531" s="21">
        <v>45603</v>
      </c>
      <c r="F531" s="20" t="s">
        <v>111</v>
      </c>
      <c r="G531" s="22">
        <v>50.74</v>
      </c>
      <c r="H531" s="22">
        <v>27.36</v>
      </c>
      <c r="I531" s="20" t="s">
        <v>45</v>
      </c>
      <c r="J531" s="20">
        <v>5</v>
      </c>
      <c r="K531" s="20" t="s">
        <v>46</v>
      </c>
      <c r="L531" s="23">
        <f t="shared" si="67"/>
        <v>45566</v>
      </c>
      <c r="M531" s="20">
        <f t="shared" si="68"/>
        <v>15</v>
      </c>
      <c r="N531" s="20">
        <f t="shared" si="69"/>
        <v>0</v>
      </c>
      <c r="O531" s="20">
        <f t="shared" si="70"/>
        <v>1</v>
      </c>
      <c r="P531" s="22">
        <f t="shared" si="71"/>
        <v>78.099999999999994</v>
      </c>
      <c r="Q531" s="22">
        <f>G531*INDEX(Assumptions!$B$8:$B$16,MATCH(F531,Assumptions!$A$8:$A$16,0))</f>
        <v>31.966200000000001</v>
      </c>
      <c r="R531" s="22">
        <f>H531*Assumptions!$B$3</f>
        <v>16.416</v>
      </c>
      <c r="S531" s="22">
        <f t="shared" si="72"/>
        <v>2.357800000000001</v>
      </c>
      <c r="T531" s="20" t="str">
        <f t="shared" si="73"/>
        <v>15-21 days</v>
      </c>
    </row>
    <row r="532" spans="1:20" x14ac:dyDescent="0.3">
      <c r="A532" s="20" t="s">
        <v>598</v>
      </c>
      <c r="B532" s="20" t="s">
        <v>19</v>
      </c>
      <c r="C532" s="21">
        <v>45578</v>
      </c>
      <c r="D532" s="21">
        <v>45589</v>
      </c>
      <c r="E532" s="21">
        <v>45595</v>
      </c>
      <c r="F532" s="20" t="s">
        <v>67</v>
      </c>
      <c r="G532" s="22">
        <v>45.05</v>
      </c>
      <c r="H532" s="22">
        <v>16.14</v>
      </c>
      <c r="I532" s="20" t="s">
        <v>45</v>
      </c>
      <c r="J532" s="20">
        <v>4</v>
      </c>
      <c r="K532" s="20" t="s">
        <v>46</v>
      </c>
      <c r="L532" s="23">
        <f t="shared" si="67"/>
        <v>45566</v>
      </c>
      <c r="M532" s="20">
        <f t="shared" si="68"/>
        <v>11</v>
      </c>
      <c r="N532" s="20">
        <f t="shared" si="69"/>
        <v>0</v>
      </c>
      <c r="O532" s="20">
        <f t="shared" si="70"/>
        <v>1</v>
      </c>
      <c r="P532" s="22">
        <f t="shared" si="71"/>
        <v>61.19</v>
      </c>
      <c r="Q532" s="22">
        <f>G532*INDEX(Assumptions!$B$8:$B$16,MATCH(F532,Assumptions!$A$8:$A$16,0))</f>
        <v>27.930999999999997</v>
      </c>
      <c r="R532" s="22">
        <f>H532*Assumptions!$B$3</f>
        <v>9.6839999999999993</v>
      </c>
      <c r="S532" s="22">
        <f t="shared" si="72"/>
        <v>7.4350000000000005</v>
      </c>
      <c r="T532" s="20" t="str">
        <f t="shared" si="73"/>
        <v>8-14 days</v>
      </c>
    </row>
    <row r="533" spans="1:20" x14ac:dyDescent="0.3">
      <c r="A533" s="20" t="s">
        <v>599</v>
      </c>
      <c r="B533" s="20" t="s">
        <v>19</v>
      </c>
      <c r="C533" s="21">
        <v>45578</v>
      </c>
      <c r="D533" s="21">
        <v>45591</v>
      </c>
      <c r="E533" s="21">
        <v>45593</v>
      </c>
      <c r="F533" s="20" t="s">
        <v>79</v>
      </c>
      <c r="G533" s="22">
        <v>65.63</v>
      </c>
      <c r="H533" s="22">
        <v>16.850000000000001</v>
      </c>
      <c r="I533" s="20" t="s">
        <v>45</v>
      </c>
      <c r="J533" s="20">
        <v>4</v>
      </c>
      <c r="K533" s="20" t="s">
        <v>46</v>
      </c>
      <c r="L533" s="23">
        <f t="shared" si="67"/>
        <v>45566</v>
      </c>
      <c r="M533" s="20">
        <f t="shared" si="68"/>
        <v>13</v>
      </c>
      <c r="N533" s="20">
        <f t="shared" si="69"/>
        <v>0</v>
      </c>
      <c r="O533" s="20">
        <f t="shared" si="70"/>
        <v>1</v>
      </c>
      <c r="P533" s="22">
        <f t="shared" si="71"/>
        <v>82.47999999999999</v>
      </c>
      <c r="Q533" s="22">
        <f>G533*INDEX(Assumptions!$B$8:$B$16,MATCH(F533,Assumptions!$A$8:$A$16,0))</f>
        <v>45.940999999999995</v>
      </c>
      <c r="R533" s="22">
        <f>H533*Assumptions!$B$3</f>
        <v>10.110000000000001</v>
      </c>
      <c r="S533" s="22">
        <f t="shared" si="72"/>
        <v>9.5789999999999988</v>
      </c>
      <c r="T533" s="20" t="str">
        <f t="shared" si="73"/>
        <v>8-14 days</v>
      </c>
    </row>
    <row r="534" spans="1:20" x14ac:dyDescent="0.3">
      <c r="A534" s="20" t="s">
        <v>600</v>
      </c>
      <c r="B534" s="20" t="s">
        <v>19</v>
      </c>
      <c r="C534" s="21">
        <v>45578</v>
      </c>
      <c r="D534" s="21">
        <v>45586</v>
      </c>
      <c r="E534" s="21">
        <v>45596</v>
      </c>
      <c r="F534" s="20" t="s">
        <v>44</v>
      </c>
      <c r="G534" s="22">
        <v>219.65</v>
      </c>
      <c r="H534" s="22">
        <v>23.44</v>
      </c>
      <c r="I534" s="20" t="s">
        <v>60</v>
      </c>
      <c r="J534" s="20">
        <v>5</v>
      </c>
      <c r="K534" s="20" t="s">
        <v>46</v>
      </c>
      <c r="L534" s="23">
        <f t="shared" si="67"/>
        <v>45566</v>
      </c>
      <c r="M534" s="20">
        <f t="shared" si="68"/>
        <v>8</v>
      </c>
      <c r="N534" s="20">
        <f t="shared" si="69"/>
        <v>0</v>
      </c>
      <c r="O534" s="20">
        <f t="shared" si="70"/>
        <v>1</v>
      </c>
      <c r="P534" s="22">
        <f t="shared" si="71"/>
        <v>243.09</v>
      </c>
      <c r="Q534" s="22">
        <f>G534*INDEX(Assumptions!$B$8:$B$16,MATCH(F534,Assumptions!$A$8:$A$16,0))</f>
        <v>131.79</v>
      </c>
      <c r="R534" s="22">
        <f>H534*Assumptions!$B$3</f>
        <v>14.064</v>
      </c>
      <c r="S534" s="22">
        <f t="shared" si="72"/>
        <v>73.796000000000021</v>
      </c>
      <c r="T534" s="20" t="str">
        <f t="shared" si="73"/>
        <v>8-14 days</v>
      </c>
    </row>
    <row r="535" spans="1:20" x14ac:dyDescent="0.3">
      <c r="A535" s="20" t="s">
        <v>601</v>
      </c>
      <c r="B535" s="20" t="s">
        <v>93</v>
      </c>
      <c r="C535" s="21">
        <v>45579</v>
      </c>
      <c r="D535" s="21">
        <v>45610</v>
      </c>
      <c r="E535" s="21">
        <v>45608</v>
      </c>
      <c r="F535" s="20" t="s">
        <v>53</v>
      </c>
      <c r="G535" s="22">
        <v>46.01</v>
      </c>
      <c r="H535" s="22">
        <v>36.82</v>
      </c>
      <c r="I535" s="20" t="s">
        <v>45</v>
      </c>
      <c r="J535" s="20">
        <v>2</v>
      </c>
      <c r="K535" s="20" t="s">
        <v>46</v>
      </c>
      <c r="L535" s="23">
        <f t="shared" si="67"/>
        <v>45566</v>
      </c>
      <c r="M535" s="20">
        <f t="shared" si="68"/>
        <v>31</v>
      </c>
      <c r="N535" s="20">
        <f t="shared" si="69"/>
        <v>2</v>
      </c>
      <c r="O535" s="20">
        <f t="shared" si="70"/>
        <v>0</v>
      </c>
      <c r="P535" s="22">
        <f t="shared" si="71"/>
        <v>82.83</v>
      </c>
      <c r="Q535" s="22">
        <f>G535*INDEX(Assumptions!$B$8:$B$16,MATCH(F535,Assumptions!$A$8:$A$16,0))</f>
        <v>34.047399999999996</v>
      </c>
      <c r="R535" s="22">
        <f>H535*Assumptions!$B$3</f>
        <v>22.091999999999999</v>
      </c>
      <c r="S535" s="22">
        <f t="shared" si="72"/>
        <v>-10.129399999999997</v>
      </c>
      <c r="T535" s="20" t="str">
        <f t="shared" si="73"/>
        <v>22+ days</v>
      </c>
    </row>
    <row r="536" spans="1:20" x14ac:dyDescent="0.3">
      <c r="A536" s="20" t="s">
        <v>602</v>
      </c>
      <c r="B536" s="20" t="s">
        <v>48</v>
      </c>
      <c r="C536" s="21">
        <v>45579</v>
      </c>
      <c r="D536" s="21">
        <v>45591</v>
      </c>
      <c r="E536" s="21">
        <v>45602</v>
      </c>
      <c r="F536" s="20" t="s">
        <v>49</v>
      </c>
      <c r="G536" s="22">
        <v>153.83000000000001</v>
      </c>
      <c r="H536" s="22">
        <v>29.06</v>
      </c>
      <c r="I536" s="20" t="s">
        <v>45</v>
      </c>
      <c r="J536" s="20">
        <v>4</v>
      </c>
      <c r="K536" s="20" t="s">
        <v>46</v>
      </c>
      <c r="L536" s="23">
        <f t="shared" si="67"/>
        <v>45566</v>
      </c>
      <c r="M536" s="20">
        <f t="shared" si="68"/>
        <v>12</v>
      </c>
      <c r="N536" s="20">
        <f t="shared" si="69"/>
        <v>0</v>
      </c>
      <c r="O536" s="20">
        <f t="shared" si="70"/>
        <v>1</v>
      </c>
      <c r="P536" s="22">
        <f t="shared" si="71"/>
        <v>182.89000000000001</v>
      </c>
      <c r="Q536" s="22">
        <f>G536*INDEX(Assumptions!$B$8:$B$16,MATCH(F536,Assumptions!$A$8:$A$16,0))</f>
        <v>89.221400000000003</v>
      </c>
      <c r="R536" s="22">
        <f>H536*Assumptions!$B$3</f>
        <v>17.436</v>
      </c>
      <c r="S536" s="22">
        <f t="shared" si="72"/>
        <v>47.17260000000001</v>
      </c>
      <c r="T536" s="20" t="str">
        <f t="shared" si="73"/>
        <v>8-14 days</v>
      </c>
    </row>
    <row r="537" spans="1:20" x14ac:dyDescent="0.3">
      <c r="A537" s="20" t="s">
        <v>603</v>
      </c>
      <c r="B537" s="20" t="s">
        <v>55</v>
      </c>
      <c r="C537" s="21">
        <v>45580</v>
      </c>
      <c r="D537" s="21">
        <v>45598</v>
      </c>
      <c r="E537" s="21">
        <v>45607</v>
      </c>
      <c r="F537" s="20" t="s">
        <v>67</v>
      </c>
      <c r="G537" s="22">
        <v>40.57</v>
      </c>
      <c r="H537" s="22">
        <v>17.48</v>
      </c>
      <c r="I537" s="20" t="s">
        <v>45</v>
      </c>
      <c r="J537" s="20">
        <v>5</v>
      </c>
      <c r="K537" s="20" t="s">
        <v>46</v>
      </c>
      <c r="L537" s="23">
        <f t="shared" si="67"/>
        <v>45566</v>
      </c>
      <c r="M537" s="20">
        <f t="shared" si="68"/>
        <v>18</v>
      </c>
      <c r="N537" s="20">
        <f t="shared" si="69"/>
        <v>0</v>
      </c>
      <c r="O537" s="20">
        <f t="shared" si="70"/>
        <v>1</v>
      </c>
      <c r="P537" s="22">
        <f t="shared" si="71"/>
        <v>58.05</v>
      </c>
      <c r="Q537" s="22">
        <f>G537*INDEX(Assumptions!$B$8:$B$16,MATCH(F537,Assumptions!$A$8:$A$16,0))</f>
        <v>25.153400000000001</v>
      </c>
      <c r="R537" s="22">
        <f>H537*Assumptions!$B$3</f>
        <v>10.488</v>
      </c>
      <c r="S537" s="22">
        <f t="shared" si="72"/>
        <v>4.9285999999999994</v>
      </c>
      <c r="T537" s="20" t="str">
        <f t="shared" si="73"/>
        <v>15-21 days</v>
      </c>
    </row>
    <row r="538" spans="1:20" x14ac:dyDescent="0.3">
      <c r="A538" s="20" t="s">
        <v>604</v>
      </c>
      <c r="B538" s="20" t="s">
        <v>62</v>
      </c>
      <c r="C538" s="21">
        <v>45580</v>
      </c>
      <c r="D538" s="21">
        <v>45588</v>
      </c>
      <c r="E538" s="21">
        <v>45600</v>
      </c>
      <c r="F538" s="20" t="s">
        <v>64</v>
      </c>
      <c r="G538" s="22">
        <v>103.98</v>
      </c>
      <c r="H538" s="22">
        <v>20.8</v>
      </c>
      <c r="I538" s="20" t="s">
        <v>50</v>
      </c>
      <c r="J538" s="20">
        <v>4</v>
      </c>
      <c r="K538" s="20" t="s">
        <v>46</v>
      </c>
      <c r="L538" s="23">
        <f t="shared" si="67"/>
        <v>45566</v>
      </c>
      <c r="M538" s="20">
        <f t="shared" si="68"/>
        <v>8</v>
      </c>
      <c r="N538" s="20">
        <f t="shared" si="69"/>
        <v>0</v>
      </c>
      <c r="O538" s="20">
        <f t="shared" si="70"/>
        <v>1</v>
      </c>
      <c r="P538" s="22">
        <f t="shared" si="71"/>
        <v>124.78</v>
      </c>
      <c r="Q538" s="22">
        <f>G538*INDEX(Assumptions!$B$8:$B$16,MATCH(F538,Assumptions!$A$8:$A$16,0))</f>
        <v>68.626800000000003</v>
      </c>
      <c r="R538" s="22">
        <f>H538*Assumptions!$B$3</f>
        <v>12.48</v>
      </c>
      <c r="S538" s="22">
        <f t="shared" si="72"/>
        <v>22.873200000000001</v>
      </c>
      <c r="T538" s="20" t="str">
        <f t="shared" si="73"/>
        <v>8-14 days</v>
      </c>
    </row>
    <row r="539" spans="1:20" x14ac:dyDescent="0.3">
      <c r="A539" s="20" t="s">
        <v>605</v>
      </c>
      <c r="B539" s="20" t="s">
        <v>156</v>
      </c>
      <c r="C539" s="21">
        <v>45581</v>
      </c>
      <c r="D539" s="21">
        <v>45623</v>
      </c>
      <c r="E539" s="21">
        <v>45608</v>
      </c>
      <c r="F539" s="20" t="s">
        <v>64</v>
      </c>
      <c r="G539" s="22">
        <v>127.94</v>
      </c>
      <c r="H539" s="22">
        <v>33.97</v>
      </c>
      <c r="I539" s="20" t="s">
        <v>45</v>
      </c>
      <c r="J539" s="20">
        <v>2</v>
      </c>
      <c r="K539" s="20" t="s">
        <v>46</v>
      </c>
      <c r="L539" s="23">
        <f t="shared" si="67"/>
        <v>45566</v>
      </c>
      <c r="M539" s="20">
        <f t="shared" si="68"/>
        <v>42</v>
      </c>
      <c r="N539" s="20">
        <f t="shared" si="69"/>
        <v>15</v>
      </c>
      <c r="O539" s="20">
        <f t="shared" si="70"/>
        <v>0</v>
      </c>
      <c r="P539" s="22">
        <f t="shared" si="71"/>
        <v>161.91</v>
      </c>
      <c r="Q539" s="22">
        <f>G539*INDEX(Assumptions!$B$8:$B$16,MATCH(F539,Assumptions!$A$8:$A$16,0))</f>
        <v>84.440399999999997</v>
      </c>
      <c r="R539" s="22">
        <f>H539*Assumptions!$B$3</f>
        <v>20.381999999999998</v>
      </c>
      <c r="S539" s="22">
        <f t="shared" si="72"/>
        <v>23.117600000000003</v>
      </c>
      <c r="T539" s="20" t="str">
        <f t="shared" si="73"/>
        <v>22+ days</v>
      </c>
    </row>
    <row r="540" spans="1:20" x14ac:dyDescent="0.3">
      <c r="A540" s="20" t="s">
        <v>606</v>
      </c>
      <c r="B540" s="20" t="s">
        <v>19</v>
      </c>
      <c r="C540" s="21">
        <v>45581</v>
      </c>
      <c r="D540" s="21">
        <v>45591</v>
      </c>
      <c r="E540" s="21">
        <v>45598</v>
      </c>
      <c r="F540" s="20" t="s">
        <v>79</v>
      </c>
      <c r="G540" s="22">
        <v>28.56</v>
      </c>
      <c r="H540" s="22">
        <v>16.46</v>
      </c>
      <c r="I540" s="20" t="s">
        <v>45</v>
      </c>
      <c r="J540" s="20">
        <v>5</v>
      </c>
      <c r="K540" s="20" t="s">
        <v>46</v>
      </c>
      <c r="L540" s="23">
        <f t="shared" si="67"/>
        <v>45566</v>
      </c>
      <c r="M540" s="20">
        <f t="shared" si="68"/>
        <v>10</v>
      </c>
      <c r="N540" s="20">
        <f t="shared" si="69"/>
        <v>0</v>
      </c>
      <c r="O540" s="20">
        <f t="shared" si="70"/>
        <v>1</v>
      </c>
      <c r="P540" s="22">
        <f t="shared" si="71"/>
        <v>45.019999999999996</v>
      </c>
      <c r="Q540" s="22">
        <f>G540*INDEX(Assumptions!$B$8:$B$16,MATCH(F540,Assumptions!$A$8:$A$16,0))</f>
        <v>19.991999999999997</v>
      </c>
      <c r="R540" s="22">
        <f>H540*Assumptions!$B$3</f>
        <v>9.8759999999999994</v>
      </c>
      <c r="S540" s="22">
        <f t="shared" si="72"/>
        <v>-1.3079999999999981</v>
      </c>
      <c r="T540" s="20" t="str">
        <f t="shared" si="73"/>
        <v>8-14 days</v>
      </c>
    </row>
    <row r="541" spans="1:20" x14ac:dyDescent="0.3">
      <c r="A541" s="20" t="s">
        <v>607</v>
      </c>
      <c r="B541" s="20" t="s">
        <v>55</v>
      </c>
      <c r="C541" s="21">
        <v>45581</v>
      </c>
      <c r="D541" s="21">
        <v>45599</v>
      </c>
      <c r="E541" s="21">
        <v>45605</v>
      </c>
      <c r="F541" s="20" t="s">
        <v>67</v>
      </c>
      <c r="G541" s="22">
        <v>62.83</v>
      </c>
      <c r="H541" s="22">
        <v>23.34</v>
      </c>
      <c r="I541" s="20" t="s">
        <v>45</v>
      </c>
      <c r="J541" s="20">
        <v>5</v>
      </c>
      <c r="K541" s="20" t="s">
        <v>46</v>
      </c>
      <c r="L541" s="23">
        <f t="shared" si="67"/>
        <v>45566</v>
      </c>
      <c r="M541" s="20">
        <f t="shared" si="68"/>
        <v>18</v>
      </c>
      <c r="N541" s="20">
        <f t="shared" si="69"/>
        <v>0</v>
      </c>
      <c r="O541" s="20">
        <f t="shared" si="70"/>
        <v>1</v>
      </c>
      <c r="P541" s="22">
        <f t="shared" si="71"/>
        <v>86.17</v>
      </c>
      <c r="Q541" s="22">
        <f>G541*INDEX(Assumptions!$B$8:$B$16,MATCH(F541,Assumptions!$A$8:$A$16,0))</f>
        <v>38.954599999999999</v>
      </c>
      <c r="R541" s="22">
        <f>H541*Assumptions!$B$3</f>
        <v>14.004</v>
      </c>
      <c r="S541" s="22">
        <f t="shared" si="72"/>
        <v>9.8713999999999995</v>
      </c>
      <c r="T541" s="20" t="str">
        <f t="shared" si="73"/>
        <v>15-21 days</v>
      </c>
    </row>
    <row r="542" spans="1:20" x14ac:dyDescent="0.3">
      <c r="A542" s="20" t="s">
        <v>608</v>
      </c>
      <c r="B542" s="20" t="s">
        <v>55</v>
      </c>
      <c r="C542" s="21">
        <v>45581</v>
      </c>
      <c r="D542" s="21">
        <v>45598</v>
      </c>
      <c r="E542" s="21">
        <v>45605</v>
      </c>
      <c r="F542" s="20" t="s">
        <v>53</v>
      </c>
      <c r="G542" s="22">
        <v>174.86</v>
      </c>
      <c r="H542" s="22">
        <v>21.29</v>
      </c>
      <c r="I542" s="20" t="s">
        <v>45</v>
      </c>
      <c r="J542" s="20">
        <v>3</v>
      </c>
      <c r="K542" s="20" t="s">
        <v>46</v>
      </c>
      <c r="L542" s="23">
        <f t="shared" si="67"/>
        <v>45566</v>
      </c>
      <c r="M542" s="20">
        <f t="shared" si="68"/>
        <v>17</v>
      </c>
      <c r="N542" s="20">
        <f t="shared" si="69"/>
        <v>0</v>
      </c>
      <c r="O542" s="20">
        <f t="shared" si="70"/>
        <v>1</v>
      </c>
      <c r="P542" s="22">
        <f t="shared" si="71"/>
        <v>196.15</v>
      </c>
      <c r="Q542" s="22">
        <f>G542*INDEX(Assumptions!$B$8:$B$16,MATCH(F542,Assumptions!$A$8:$A$16,0))</f>
        <v>129.3964</v>
      </c>
      <c r="R542" s="22">
        <f>H542*Assumptions!$B$3</f>
        <v>12.773999999999999</v>
      </c>
      <c r="S542" s="22">
        <f t="shared" si="72"/>
        <v>32.689600000000013</v>
      </c>
      <c r="T542" s="20" t="str">
        <f t="shared" si="73"/>
        <v>15-21 days</v>
      </c>
    </row>
    <row r="543" spans="1:20" x14ac:dyDescent="0.3">
      <c r="A543" s="20" t="s">
        <v>609</v>
      </c>
      <c r="B543" s="20" t="s">
        <v>52</v>
      </c>
      <c r="C543" s="21">
        <v>45582</v>
      </c>
      <c r="D543" s="21">
        <v>45601</v>
      </c>
      <c r="E543" s="21">
        <v>45606</v>
      </c>
      <c r="F543" s="20" t="s">
        <v>67</v>
      </c>
      <c r="G543" s="22">
        <v>97.41</v>
      </c>
      <c r="H543" s="22">
        <v>19.5</v>
      </c>
      <c r="I543" s="20" t="s">
        <v>45</v>
      </c>
      <c r="J543" s="20">
        <v>4</v>
      </c>
      <c r="K543" s="20" t="s">
        <v>46</v>
      </c>
      <c r="L543" s="23">
        <f t="shared" si="67"/>
        <v>45566</v>
      </c>
      <c r="M543" s="20">
        <f t="shared" si="68"/>
        <v>19</v>
      </c>
      <c r="N543" s="20">
        <f t="shared" si="69"/>
        <v>0</v>
      </c>
      <c r="O543" s="20">
        <f t="shared" si="70"/>
        <v>1</v>
      </c>
      <c r="P543" s="22">
        <f t="shared" si="71"/>
        <v>116.91</v>
      </c>
      <c r="Q543" s="22">
        <f>G543*INDEX(Assumptions!$B$8:$B$16,MATCH(F543,Assumptions!$A$8:$A$16,0))</f>
        <v>60.394199999999998</v>
      </c>
      <c r="R543" s="22">
        <f>H543*Assumptions!$B$3</f>
        <v>11.7</v>
      </c>
      <c r="S543" s="22">
        <f t="shared" si="72"/>
        <v>25.315799999999999</v>
      </c>
      <c r="T543" s="20" t="str">
        <f t="shared" si="73"/>
        <v>15-21 days</v>
      </c>
    </row>
    <row r="544" spans="1:20" x14ac:dyDescent="0.3">
      <c r="A544" s="20" t="s">
        <v>610</v>
      </c>
      <c r="B544" s="20" t="s">
        <v>19</v>
      </c>
      <c r="C544" s="21">
        <v>45583</v>
      </c>
      <c r="D544" s="21">
        <v>45592</v>
      </c>
      <c r="E544" s="21">
        <v>45600</v>
      </c>
      <c r="F544" s="20" t="s">
        <v>49</v>
      </c>
      <c r="G544" s="22">
        <v>92.84</v>
      </c>
      <c r="H544" s="22">
        <v>17.52</v>
      </c>
      <c r="I544" s="20" t="s">
        <v>104</v>
      </c>
      <c r="J544" s="20">
        <v>4</v>
      </c>
      <c r="K544" s="20" t="s">
        <v>46</v>
      </c>
      <c r="L544" s="23">
        <f t="shared" si="67"/>
        <v>45566</v>
      </c>
      <c r="M544" s="20">
        <f t="shared" si="68"/>
        <v>9</v>
      </c>
      <c r="N544" s="20">
        <f t="shared" si="69"/>
        <v>0</v>
      </c>
      <c r="O544" s="20">
        <f t="shared" si="70"/>
        <v>1</v>
      </c>
      <c r="P544" s="22">
        <f t="shared" si="71"/>
        <v>110.36</v>
      </c>
      <c r="Q544" s="22">
        <f>G544*INDEX(Assumptions!$B$8:$B$16,MATCH(F544,Assumptions!$A$8:$A$16,0))</f>
        <v>53.847200000000001</v>
      </c>
      <c r="R544" s="22">
        <f>H544*Assumptions!$B$3</f>
        <v>10.511999999999999</v>
      </c>
      <c r="S544" s="22">
        <f t="shared" si="72"/>
        <v>28.480800000000002</v>
      </c>
      <c r="T544" s="20" t="str">
        <f t="shared" si="73"/>
        <v>8-14 days</v>
      </c>
    </row>
    <row r="545" spans="1:20" x14ac:dyDescent="0.3">
      <c r="A545" s="20" t="s">
        <v>611</v>
      </c>
      <c r="B545" s="20" t="s">
        <v>62</v>
      </c>
      <c r="C545" s="21">
        <v>45583</v>
      </c>
      <c r="D545" s="21">
        <v>45594</v>
      </c>
      <c r="E545" s="21">
        <v>45606</v>
      </c>
      <c r="F545" s="20" t="s">
        <v>111</v>
      </c>
      <c r="G545" s="22">
        <v>55.06</v>
      </c>
      <c r="H545" s="22">
        <v>15.35</v>
      </c>
      <c r="I545" s="20" t="s">
        <v>45</v>
      </c>
      <c r="J545" s="20">
        <v>5</v>
      </c>
      <c r="K545" s="20" t="s">
        <v>46</v>
      </c>
      <c r="L545" s="23">
        <f t="shared" si="67"/>
        <v>45566</v>
      </c>
      <c r="M545" s="20">
        <f t="shared" si="68"/>
        <v>11</v>
      </c>
      <c r="N545" s="20">
        <f t="shared" si="69"/>
        <v>0</v>
      </c>
      <c r="O545" s="20">
        <f t="shared" si="70"/>
        <v>1</v>
      </c>
      <c r="P545" s="22">
        <f t="shared" si="71"/>
        <v>70.41</v>
      </c>
      <c r="Q545" s="22">
        <f>G545*INDEX(Assumptions!$B$8:$B$16,MATCH(F545,Assumptions!$A$8:$A$16,0))</f>
        <v>34.687800000000003</v>
      </c>
      <c r="R545" s="22">
        <f>H545*Assumptions!$B$3</f>
        <v>9.2099999999999991</v>
      </c>
      <c r="S545" s="22">
        <f t="shared" si="72"/>
        <v>11.1622</v>
      </c>
      <c r="T545" s="20" t="str">
        <f t="shared" si="73"/>
        <v>8-14 days</v>
      </c>
    </row>
    <row r="546" spans="1:20" x14ac:dyDescent="0.3">
      <c r="A546" s="20" t="s">
        <v>612</v>
      </c>
      <c r="B546" s="20" t="s">
        <v>52</v>
      </c>
      <c r="C546" s="21">
        <v>45583</v>
      </c>
      <c r="D546" s="21">
        <v>45593</v>
      </c>
      <c r="E546" s="21">
        <v>45607</v>
      </c>
      <c r="F546" s="20" t="s">
        <v>57</v>
      </c>
      <c r="G546" s="22">
        <v>148.78</v>
      </c>
      <c r="H546" s="22">
        <v>20.309999999999999</v>
      </c>
      <c r="I546" s="20" t="s">
        <v>104</v>
      </c>
      <c r="J546" s="20">
        <v>5</v>
      </c>
      <c r="K546" s="20" t="s">
        <v>46</v>
      </c>
      <c r="L546" s="23">
        <f t="shared" si="67"/>
        <v>45566</v>
      </c>
      <c r="M546" s="20">
        <f t="shared" si="68"/>
        <v>10</v>
      </c>
      <c r="N546" s="20">
        <f t="shared" si="69"/>
        <v>0</v>
      </c>
      <c r="O546" s="20">
        <f t="shared" si="70"/>
        <v>1</v>
      </c>
      <c r="P546" s="22">
        <f t="shared" si="71"/>
        <v>169.09</v>
      </c>
      <c r="Q546" s="22">
        <f>G546*INDEX(Assumptions!$B$8:$B$16,MATCH(F546,Assumptions!$A$8:$A$16,0))</f>
        <v>101.17040000000001</v>
      </c>
      <c r="R546" s="22">
        <f>H546*Assumptions!$B$3</f>
        <v>12.185999999999998</v>
      </c>
      <c r="S546" s="22">
        <f t="shared" si="72"/>
        <v>35.423599999999986</v>
      </c>
      <c r="T546" s="20" t="str">
        <f t="shared" si="73"/>
        <v>8-14 days</v>
      </c>
    </row>
    <row r="547" spans="1:20" x14ac:dyDescent="0.3">
      <c r="A547" s="20" t="s">
        <v>613</v>
      </c>
      <c r="B547" s="20" t="s">
        <v>52</v>
      </c>
      <c r="C547" s="21">
        <v>45584</v>
      </c>
      <c r="D547" s="21">
        <v>45613</v>
      </c>
      <c r="E547" s="21">
        <v>45608</v>
      </c>
      <c r="F547" s="20" t="s">
        <v>49</v>
      </c>
      <c r="G547" s="22">
        <v>65.489999999999995</v>
      </c>
      <c r="H547" s="22">
        <v>16.93</v>
      </c>
      <c r="I547" s="20" t="s">
        <v>50</v>
      </c>
      <c r="J547" s="20">
        <v>3</v>
      </c>
      <c r="K547" s="20" t="s">
        <v>46</v>
      </c>
      <c r="L547" s="23">
        <f t="shared" si="67"/>
        <v>45566</v>
      </c>
      <c r="M547" s="20">
        <f t="shared" si="68"/>
        <v>29</v>
      </c>
      <c r="N547" s="20">
        <f t="shared" si="69"/>
        <v>5</v>
      </c>
      <c r="O547" s="20">
        <f t="shared" si="70"/>
        <v>0</v>
      </c>
      <c r="P547" s="22">
        <f t="shared" si="71"/>
        <v>82.419999999999987</v>
      </c>
      <c r="Q547" s="22">
        <f>G547*INDEX(Assumptions!$B$8:$B$16,MATCH(F547,Assumptions!$A$8:$A$16,0))</f>
        <v>37.984199999999994</v>
      </c>
      <c r="R547" s="22">
        <f>H547*Assumptions!$B$3</f>
        <v>10.157999999999999</v>
      </c>
      <c r="S547" s="22">
        <f t="shared" si="72"/>
        <v>17.347799999999999</v>
      </c>
      <c r="T547" s="20" t="str">
        <f t="shared" si="73"/>
        <v>22+ days</v>
      </c>
    </row>
    <row r="548" spans="1:20" x14ac:dyDescent="0.3">
      <c r="A548" s="20" t="s">
        <v>614</v>
      </c>
      <c r="B548" s="20" t="s">
        <v>134</v>
      </c>
      <c r="C548" s="21">
        <v>45584</v>
      </c>
      <c r="D548" s="21">
        <v>45597</v>
      </c>
      <c r="E548" s="21">
        <v>45609</v>
      </c>
      <c r="F548" s="20" t="s">
        <v>49</v>
      </c>
      <c r="G548" s="22">
        <v>119.16</v>
      </c>
      <c r="H548" s="22">
        <v>26.39</v>
      </c>
      <c r="I548" s="20" t="s">
        <v>60</v>
      </c>
      <c r="J548" s="20">
        <v>3</v>
      </c>
      <c r="K548" s="20" t="s">
        <v>46</v>
      </c>
      <c r="L548" s="23">
        <f t="shared" si="67"/>
        <v>45566</v>
      </c>
      <c r="M548" s="20">
        <f t="shared" si="68"/>
        <v>13</v>
      </c>
      <c r="N548" s="20">
        <f t="shared" si="69"/>
        <v>0</v>
      </c>
      <c r="O548" s="20">
        <f t="shared" si="70"/>
        <v>1</v>
      </c>
      <c r="P548" s="22">
        <f t="shared" si="71"/>
        <v>145.55000000000001</v>
      </c>
      <c r="Q548" s="22">
        <f>G548*INDEX(Assumptions!$B$8:$B$16,MATCH(F548,Assumptions!$A$8:$A$16,0))</f>
        <v>69.112799999999993</v>
      </c>
      <c r="R548" s="22">
        <f>H548*Assumptions!$B$3</f>
        <v>15.834</v>
      </c>
      <c r="S548" s="22">
        <f t="shared" si="72"/>
        <v>34.213200000000001</v>
      </c>
      <c r="T548" s="20" t="str">
        <f t="shared" si="73"/>
        <v>8-14 days</v>
      </c>
    </row>
    <row r="549" spans="1:20" x14ac:dyDescent="0.3">
      <c r="A549" s="20" t="s">
        <v>615</v>
      </c>
      <c r="B549" s="20" t="s">
        <v>52</v>
      </c>
      <c r="C549" s="21">
        <v>45584</v>
      </c>
      <c r="D549" s="21">
        <v>45597</v>
      </c>
      <c r="E549" s="21">
        <v>45605</v>
      </c>
      <c r="F549" s="20" t="s">
        <v>49</v>
      </c>
      <c r="G549" s="22">
        <v>96.44</v>
      </c>
      <c r="H549" s="22">
        <v>26.23</v>
      </c>
      <c r="I549" s="20" t="s">
        <v>45</v>
      </c>
      <c r="J549" s="20">
        <v>4</v>
      </c>
      <c r="K549" s="20" t="s">
        <v>46</v>
      </c>
      <c r="L549" s="23">
        <f t="shared" si="67"/>
        <v>45566</v>
      </c>
      <c r="M549" s="20">
        <f t="shared" si="68"/>
        <v>13</v>
      </c>
      <c r="N549" s="20">
        <f t="shared" si="69"/>
        <v>0</v>
      </c>
      <c r="O549" s="20">
        <f t="shared" si="70"/>
        <v>1</v>
      </c>
      <c r="P549" s="22">
        <f t="shared" si="71"/>
        <v>122.67</v>
      </c>
      <c r="Q549" s="22">
        <f>G549*INDEX(Assumptions!$B$8:$B$16,MATCH(F549,Assumptions!$A$8:$A$16,0))</f>
        <v>55.935199999999995</v>
      </c>
      <c r="R549" s="22">
        <f>H549*Assumptions!$B$3</f>
        <v>15.738</v>
      </c>
      <c r="S549" s="22">
        <f t="shared" si="72"/>
        <v>24.766800000000003</v>
      </c>
      <c r="T549" s="20" t="str">
        <f t="shared" si="73"/>
        <v>8-14 days</v>
      </c>
    </row>
    <row r="550" spans="1:20" x14ac:dyDescent="0.3">
      <c r="A550" s="20" t="s">
        <v>616</v>
      </c>
      <c r="B550" s="20" t="s">
        <v>62</v>
      </c>
      <c r="C550" s="21">
        <v>45584</v>
      </c>
      <c r="D550" s="21">
        <v>45598</v>
      </c>
      <c r="E550" s="21">
        <v>45607</v>
      </c>
      <c r="F550" s="20" t="s">
        <v>64</v>
      </c>
      <c r="G550" s="22">
        <v>109.15</v>
      </c>
      <c r="H550" s="22">
        <v>28.45</v>
      </c>
      <c r="I550" s="20" t="s">
        <v>60</v>
      </c>
      <c r="J550" s="20">
        <v>5</v>
      </c>
      <c r="K550" s="20" t="s">
        <v>46</v>
      </c>
      <c r="L550" s="23">
        <f t="shared" si="67"/>
        <v>45566</v>
      </c>
      <c r="M550" s="20">
        <f t="shared" si="68"/>
        <v>14</v>
      </c>
      <c r="N550" s="20">
        <f t="shared" si="69"/>
        <v>0</v>
      </c>
      <c r="O550" s="20">
        <f t="shared" si="70"/>
        <v>1</v>
      </c>
      <c r="P550" s="22">
        <f t="shared" si="71"/>
        <v>137.6</v>
      </c>
      <c r="Q550" s="22">
        <f>G550*INDEX(Assumptions!$B$8:$B$16,MATCH(F550,Assumptions!$A$8:$A$16,0))</f>
        <v>72.039000000000001</v>
      </c>
      <c r="R550" s="22">
        <f>H550*Assumptions!$B$3</f>
        <v>17.07</v>
      </c>
      <c r="S550" s="22">
        <f t="shared" si="72"/>
        <v>20.041000000000004</v>
      </c>
      <c r="T550" s="20" t="str">
        <f t="shared" si="73"/>
        <v>8-14 days</v>
      </c>
    </row>
    <row r="551" spans="1:20" x14ac:dyDescent="0.3">
      <c r="A551" s="20" t="s">
        <v>617</v>
      </c>
      <c r="B551" s="20" t="s">
        <v>62</v>
      </c>
      <c r="C551" s="21">
        <v>45584</v>
      </c>
      <c r="D551" s="21">
        <v>45601</v>
      </c>
      <c r="E551" s="21">
        <v>45603</v>
      </c>
      <c r="F551" s="20" t="s">
        <v>64</v>
      </c>
      <c r="G551" s="22">
        <v>60.31</v>
      </c>
      <c r="H551" s="22">
        <v>18.940000000000001</v>
      </c>
      <c r="I551" s="20" t="s">
        <v>45</v>
      </c>
      <c r="J551" s="20">
        <v>5</v>
      </c>
      <c r="K551" s="20" t="s">
        <v>46</v>
      </c>
      <c r="L551" s="23">
        <f t="shared" si="67"/>
        <v>45566</v>
      </c>
      <c r="M551" s="20">
        <f t="shared" si="68"/>
        <v>17</v>
      </c>
      <c r="N551" s="20">
        <f t="shared" si="69"/>
        <v>0</v>
      </c>
      <c r="O551" s="20">
        <f t="shared" si="70"/>
        <v>1</v>
      </c>
      <c r="P551" s="22">
        <f t="shared" si="71"/>
        <v>79.25</v>
      </c>
      <c r="Q551" s="22">
        <f>G551*INDEX(Assumptions!$B$8:$B$16,MATCH(F551,Assumptions!$A$8:$A$16,0))</f>
        <v>39.804600000000001</v>
      </c>
      <c r="R551" s="22">
        <f>H551*Assumptions!$B$3</f>
        <v>11.364000000000001</v>
      </c>
      <c r="S551" s="22">
        <f t="shared" si="72"/>
        <v>9.1414000000000009</v>
      </c>
      <c r="T551" s="20" t="str">
        <f t="shared" si="73"/>
        <v>15-21 days</v>
      </c>
    </row>
    <row r="552" spans="1:20" x14ac:dyDescent="0.3">
      <c r="A552" s="20" t="s">
        <v>618</v>
      </c>
      <c r="B552" s="20" t="s">
        <v>62</v>
      </c>
      <c r="C552" s="21">
        <v>45584</v>
      </c>
      <c r="D552" s="21">
        <v>45595</v>
      </c>
      <c r="E552" s="21">
        <v>45607</v>
      </c>
      <c r="F552" s="20" t="s">
        <v>111</v>
      </c>
      <c r="G552" s="22">
        <v>32.380000000000003</v>
      </c>
      <c r="H552" s="22">
        <v>26.31</v>
      </c>
      <c r="I552" s="20" t="s">
        <v>45</v>
      </c>
      <c r="J552" s="20">
        <v>5</v>
      </c>
      <c r="K552" s="20" t="s">
        <v>46</v>
      </c>
      <c r="L552" s="23">
        <f t="shared" si="67"/>
        <v>45566</v>
      </c>
      <c r="M552" s="20">
        <f t="shared" si="68"/>
        <v>11</v>
      </c>
      <c r="N552" s="20">
        <f t="shared" si="69"/>
        <v>0</v>
      </c>
      <c r="O552" s="20">
        <f t="shared" si="70"/>
        <v>1</v>
      </c>
      <c r="P552" s="22">
        <f t="shared" si="71"/>
        <v>58.69</v>
      </c>
      <c r="Q552" s="22">
        <f>G552*INDEX(Assumptions!$B$8:$B$16,MATCH(F552,Assumptions!$A$8:$A$16,0))</f>
        <v>20.399400000000004</v>
      </c>
      <c r="R552" s="22">
        <f>H552*Assumptions!$B$3</f>
        <v>15.785999999999998</v>
      </c>
      <c r="S552" s="22">
        <f t="shared" si="72"/>
        <v>-3.8053999999999988</v>
      </c>
      <c r="T552" s="20" t="str">
        <f t="shared" si="73"/>
        <v>8-14 days</v>
      </c>
    </row>
    <row r="553" spans="1:20" x14ac:dyDescent="0.3">
      <c r="A553" s="20" t="s">
        <v>619</v>
      </c>
      <c r="B553" s="20" t="s">
        <v>134</v>
      </c>
      <c r="C553" s="21">
        <v>45584</v>
      </c>
      <c r="D553" s="21">
        <v>45596</v>
      </c>
      <c r="E553" s="21">
        <v>45608</v>
      </c>
      <c r="F553" s="20" t="s">
        <v>59</v>
      </c>
      <c r="G553" s="22">
        <v>155.88</v>
      </c>
      <c r="H553" s="22">
        <v>28.7</v>
      </c>
      <c r="I553" s="20" t="s">
        <v>45</v>
      </c>
      <c r="J553" s="20">
        <v>4</v>
      </c>
      <c r="K553" s="20" t="s">
        <v>46</v>
      </c>
      <c r="L553" s="23">
        <f t="shared" si="67"/>
        <v>45566</v>
      </c>
      <c r="M553" s="20">
        <f t="shared" si="68"/>
        <v>12</v>
      </c>
      <c r="N553" s="20">
        <f t="shared" si="69"/>
        <v>0</v>
      </c>
      <c r="O553" s="20">
        <f t="shared" si="70"/>
        <v>1</v>
      </c>
      <c r="P553" s="22">
        <f t="shared" si="71"/>
        <v>184.57999999999998</v>
      </c>
      <c r="Q553" s="22">
        <f>G553*INDEX(Assumptions!$B$8:$B$16,MATCH(F553,Assumptions!$A$8:$A$16,0))</f>
        <v>99.763199999999998</v>
      </c>
      <c r="R553" s="22">
        <f>H553*Assumptions!$B$3</f>
        <v>17.22</v>
      </c>
      <c r="S553" s="22">
        <f t="shared" si="72"/>
        <v>38.896799999999999</v>
      </c>
      <c r="T553" s="20" t="str">
        <f t="shared" si="73"/>
        <v>8-14 days</v>
      </c>
    </row>
    <row r="554" spans="1:20" x14ac:dyDescent="0.3">
      <c r="A554" s="20" t="s">
        <v>620</v>
      </c>
      <c r="B554" s="20" t="s">
        <v>19</v>
      </c>
      <c r="C554" s="21">
        <v>45585</v>
      </c>
      <c r="D554" s="21">
        <v>45594</v>
      </c>
      <c r="E554" s="21">
        <v>45600</v>
      </c>
      <c r="F554" s="20" t="s">
        <v>64</v>
      </c>
      <c r="G554" s="22">
        <v>166.18</v>
      </c>
      <c r="H554" s="22">
        <v>21.13</v>
      </c>
      <c r="I554" s="20" t="s">
        <v>60</v>
      </c>
      <c r="J554" s="20">
        <v>4</v>
      </c>
      <c r="K554" s="20" t="s">
        <v>46</v>
      </c>
      <c r="L554" s="23">
        <f t="shared" si="67"/>
        <v>45566</v>
      </c>
      <c r="M554" s="20">
        <f t="shared" si="68"/>
        <v>9</v>
      </c>
      <c r="N554" s="20">
        <f t="shared" si="69"/>
        <v>0</v>
      </c>
      <c r="O554" s="20">
        <f t="shared" si="70"/>
        <v>1</v>
      </c>
      <c r="P554" s="22">
        <f t="shared" si="71"/>
        <v>187.31</v>
      </c>
      <c r="Q554" s="22">
        <f>G554*INDEX(Assumptions!$B$8:$B$16,MATCH(F554,Assumptions!$A$8:$A$16,0))</f>
        <v>109.67880000000001</v>
      </c>
      <c r="R554" s="22">
        <f>H554*Assumptions!$B$3</f>
        <v>12.677999999999999</v>
      </c>
      <c r="S554" s="22">
        <f t="shared" si="72"/>
        <v>43.8232</v>
      </c>
      <c r="T554" s="20" t="str">
        <f t="shared" si="73"/>
        <v>8-14 days</v>
      </c>
    </row>
    <row r="555" spans="1:20" x14ac:dyDescent="0.3">
      <c r="A555" s="20" t="s">
        <v>621</v>
      </c>
      <c r="B555" s="20" t="s">
        <v>156</v>
      </c>
      <c r="C555" s="21">
        <v>45585</v>
      </c>
      <c r="D555" s="21">
        <v>45599</v>
      </c>
      <c r="E555" s="21">
        <v>45607</v>
      </c>
      <c r="F555" s="20" t="s">
        <v>53</v>
      </c>
      <c r="G555" s="22">
        <v>130.88</v>
      </c>
      <c r="H555" s="22">
        <v>34.479999999999997</v>
      </c>
      <c r="I555" s="20" t="s">
        <v>45</v>
      </c>
      <c r="J555" s="20">
        <v>4</v>
      </c>
      <c r="K555" s="20" t="s">
        <v>46</v>
      </c>
      <c r="L555" s="23">
        <f t="shared" si="67"/>
        <v>45566</v>
      </c>
      <c r="M555" s="20">
        <f t="shared" si="68"/>
        <v>14</v>
      </c>
      <c r="N555" s="20">
        <f t="shared" si="69"/>
        <v>0</v>
      </c>
      <c r="O555" s="20">
        <f t="shared" si="70"/>
        <v>1</v>
      </c>
      <c r="P555" s="22">
        <f t="shared" si="71"/>
        <v>165.35999999999999</v>
      </c>
      <c r="Q555" s="22">
        <f>G555*INDEX(Assumptions!$B$8:$B$16,MATCH(F555,Assumptions!$A$8:$A$16,0))</f>
        <v>96.851199999999992</v>
      </c>
      <c r="R555" s="22">
        <f>H555*Assumptions!$B$3</f>
        <v>20.687999999999999</v>
      </c>
      <c r="S555" s="22">
        <f t="shared" si="72"/>
        <v>13.340800000000005</v>
      </c>
      <c r="T555" s="20" t="str">
        <f t="shared" si="73"/>
        <v>8-14 days</v>
      </c>
    </row>
    <row r="556" spans="1:20" x14ac:dyDescent="0.3">
      <c r="A556" s="20" t="s">
        <v>622</v>
      </c>
      <c r="B556" s="20" t="s">
        <v>156</v>
      </c>
      <c r="C556" s="21">
        <v>45586</v>
      </c>
      <c r="D556" s="21">
        <v>45602</v>
      </c>
      <c r="E556" s="21">
        <v>45611</v>
      </c>
      <c r="F556" s="20" t="s">
        <v>53</v>
      </c>
      <c r="G556" s="22">
        <v>155.35</v>
      </c>
      <c r="H556" s="22">
        <v>25.07</v>
      </c>
      <c r="I556" s="20" t="s">
        <v>45</v>
      </c>
      <c r="J556" s="20">
        <v>3</v>
      </c>
      <c r="K556" s="20" t="s">
        <v>46</v>
      </c>
      <c r="L556" s="23">
        <f t="shared" si="67"/>
        <v>45566</v>
      </c>
      <c r="M556" s="20">
        <f t="shared" si="68"/>
        <v>16</v>
      </c>
      <c r="N556" s="20">
        <f t="shared" si="69"/>
        <v>0</v>
      </c>
      <c r="O556" s="20">
        <f t="shared" si="70"/>
        <v>1</v>
      </c>
      <c r="P556" s="22">
        <f t="shared" si="71"/>
        <v>180.42</v>
      </c>
      <c r="Q556" s="22">
        <f>G556*INDEX(Assumptions!$B$8:$B$16,MATCH(F556,Assumptions!$A$8:$A$16,0))</f>
        <v>114.95899999999999</v>
      </c>
      <c r="R556" s="22">
        <f>H556*Assumptions!$B$3</f>
        <v>15.042</v>
      </c>
      <c r="S556" s="22">
        <f t="shared" si="72"/>
        <v>25.349000000000004</v>
      </c>
      <c r="T556" s="20" t="str">
        <f t="shared" si="73"/>
        <v>15-21 days</v>
      </c>
    </row>
    <row r="557" spans="1:20" x14ac:dyDescent="0.3">
      <c r="A557" s="20" t="s">
        <v>623</v>
      </c>
      <c r="B557" s="20" t="s">
        <v>19</v>
      </c>
      <c r="C557" s="21">
        <v>45586</v>
      </c>
      <c r="D557" s="21">
        <v>45590</v>
      </c>
      <c r="E557" s="21">
        <v>45603</v>
      </c>
      <c r="F557" s="20" t="s">
        <v>64</v>
      </c>
      <c r="G557" s="22">
        <v>219.48</v>
      </c>
      <c r="H557" s="22">
        <v>21.03</v>
      </c>
      <c r="I557" s="20" t="s">
        <v>45</v>
      </c>
      <c r="J557" s="20">
        <v>4</v>
      </c>
      <c r="K557" s="20" t="s">
        <v>46</v>
      </c>
      <c r="L557" s="23">
        <f t="shared" si="67"/>
        <v>45566</v>
      </c>
      <c r="M557" s="20">
        <f t="shared" si="68"/>
        <v>4</v>
      </c>
      <c r="N557" s="20">
        <f t="shared" si="69"/>
        <v>0</v>
      </c>
      <c r="O557" s="20">
        <f t="shared" si="70"/>
        <v>1</v>
      </c>
      <c r="P557" s="22">
        <f t="shared" si="71"/>
        <v>240.51</v>
      </c>
      <c r="Q557" s="22">
        <f>G557*INDEX(Assumptions!$B$8:$B$16,MATCH(F557,Assumptions!$A$8:$A$16,0))</f>
        <v>144.85679999999999</v>
      </c>
      <c r="R557" s="22">
        <f>H557*Assumptions!$B$3</f>
        <v>12.618</v>
      </c>
      <c r="S557" s="22">
        <f t="shared" si="72"/>
        <v>62.005199999999995</v>
      </c>
      <c r="T557" s="20" t="str">
        <f t="shared" si="73"/>
        <v>0-7 days</v>
      </c>
    </row>
    <row r="558" spans="1:20" x14ac:dyDescent="0.3">
      <c r="A558" s="20" t="s">
        <v>624</v>
      </c>
      <c r="B558" s="20" t="s">
        <v>19</v>
      </c>
      <c r="C558" s="21">
        <v>45586</v>
      </c>
      <c r="D558" s="21">
        <v>45592</v>
      </c>
      <c r="E558" s="21">
        <v>45604</v>
      </c>
      <c r="F558" s="20" t="s">
        <v>49</v>
      </c>
      <c r="G558" s="22">
        <v>104.04</v>
      </c>
      <c r="H558" s="22">
        <v>17.55</v>
      </c>
      <c r="I558" s="20" t="s">
        <v>60</v>
      </c>
      <c r="J558" s="20">
        <v>5</v>
      </c>
      <c r="K558" s="20" t="s">
        <v>46</v>
      </c>
      <c r="L558" s="23">
        <f t="shared" si="67"/>
        <v>45566</v>
      </c>
      <c r="M558" s="20">
        <f t="shared" si="68"/>
        <v>6</v>
      </c>
      <c r="N558" s="20">
        <f t="shared" si="69"/>
        <v>0</v>
      </c>
      <c r="O558" s="20">
        <f t="shared" si="70"/>
        <v>1</v>
      </c>
      <c r="P558" s="22">
        <f t="shared" si="71"/>
        <v>121.59</v>
      </c>
      <c r="Q558" s="22">
        <f>G558*INDEX(Assumptions!$B$8:$B$16,MATCH(F558,Assumptions!$A$8:$A$16,0))</f>
        <v>60.343199999999996</v>
      </c>
      <c r="R558" s="22">
        <f>H558*Assumptions!$B$3</f>
        <v>10.53</v>
      </c>
      <c r="S558" s="22">
        <f t="shared" si="72"/>
        <v>33.166800000000009</v>
      </c>
      <c r="T558" s="20" t="str">
        <f t="shared" si="73"/>
        <v>0-7 days</v>
      </c>
    </row>
    <row r="559" spans="1:20" x14ac:dyDescent="0.3">
      <c r="A559" s="20" t="s">
        <v>625</v>
      </c>
      <c r="B559" s="20" t="s">
        <v>93</v>
      </c>
      <c r="C559" s="21">
        <v>45587</v>
      </c>
      <c r="D559" s="21">
        <v>45609</v>
      </c>
      <c r="E559" s="21">
        <v>45618</v>
      </c>
      <c r="F559" s="20" t="s">
        <v>64</v>
      </c>
      <c r="G559" s="22">
        <v>103.58</v>
      </c>
      <c r="H559" s="22">
        <v>36.61</v>
      </c>
      <c r="I559" s="20" t="s">
        <v>45</v>
      </c>
      <c r="J559" s="20">
        <v>3</v>
      </c>
      <c r="K559" s="20" t="s">
        <v>46</v>
      </c>
      <c r="L559" s="23">
        <f t="shared" si="67"/>
        <v>45566</v>
      </c>
      <c r="M559" s="20">
        <f t="shared" si="68"/>
        <v>22</v>
      </c>
      <c r="N559" s="20">
        <f t="shared" si="69"/>
        <v>0</v>
      </c>
      <c r="O559" s="20">
        <f t="shared" si="70"/>
        <v>1</v>
      </c>
      <c r="P559" s="22">
        <f t="shared" si="71"/>
        <v>140.19</v>
      </c>
      <c r="Q559" s="22">
        <f>G559*INDEX(Assumptions!$B$8:$B$16,MATCH(F559,Assumptions!$A$8:$A$16,0))</f>
        <v>68.362800000000007</v>
      </c>
      <c r="R559" s="22">
        <f>H559*Assumptions!$B$3</f>
        <v>21.965999999999998</v>
      </c>
      <c r="S559" s="22">
        <f t="shared" si="72"/>
        <v>13.251199999999994</v>
      </c>
      <c r="T559" s="20" t="str">
        <f t="shared" si="73"/>
        <v>22+ days</v>
      </c>
    </row>
    <row r="560" spans="1:20" x14ac:dyDescent="0.3">
      <c r="A560" s="20" t="s">
        <v>626</v>
      </c>
      <c r="B560" s="20" t="s">
        <v>19</v>
      </c>
      <c r="C560" s="21">
        <v>45588</v>
      </c>
      <c r="D560" s="21">
        <v>45600</v>
      </c>
      <c r="E560" s="21">
        <v>45603</v>
      </c>
      <c r="F560" s="20" t="s">
        <v>67</v>
      </c>
      <c r="G560" s="22">
        <v>78.28</v>
      </c>
      <c r="H560" s="22">
        <v>22.04</v>
      </c>
      <c r="I560" s="20" t="s">
        <v>60</v>
      </c>
      <c r="J560" s="20">
        <v>4</v>
      </c>
      <c r="K560" s="20" t="s">
        <v>46</v>
      </c>
      <c r="L560" s="23">
        <f t="shared" si="67"/>
        <v>45566</v>
      </c>
      <c r="M560" s="20">
        <f t="shared" si="68"/>
        <v>12</v>
      </c>
      <c r="N560" s="20">
        <f t="shared" si="69"/>
        <v>0</v>
      </c>
      <c r="O560" s="20">
        <f t="shared" si="70"/>
        <v>1</v>
      </c>
      <c r="P560" s="22">
        <f t="shared" si="71"/>
        <v>100.32</v>
      </c>
      <c r="Q560" s="22">
        <f>G560*INDEX(Assumptions!$B$8:$B$16,MATCH(F560,Assumptions!$A$8:$A$16,0))</f>
        <v>48.5336</v>
      </c>
      <c r="R560" s="22">
        <f>H560*Assumptions!$B$3</f>
        <v>13.223999999999998</v>
      </c>
      <c r="S560" s="22">
        <f t="shared" si="72"/>
        <v>16.522400000000005</v>
      </c>
      <c r="T560" s="20" t="str">
        <f t="shared" si="73"/>
        <v>8-14 days</v>
      </c>
    </row>
    <row r="561" spans="1:20" x14ac:dyDescent="0.3">
      <c r="A561" s="20" t="s">
        <v>627</v>
      </c>
      <c r="B561" s="20" t="s">
        <v>62</v>
      </c>
      <c r="C561" s="21">
        <v>45588</v>
      </c>
      <c r="D561" s="21">
        <v>45597</v>
      </c>
      <c r="E561" s="21">
        <v>45608</v>
      </c>
      <c r="F561" s="20" t="s">
        <v>111</v>
      </c>
      <c r="G561" s="22">
        <v>63.82</v>
      </c>
      <c r="H561" s="22">
        <v>29.01</v>
      </c>
      <c r="I561" s="20" t="s">
        <v>45</v>
      </c>
      <c r="J561" s="20">
        <v>5</v>
      </c>
      <c r="K561" s="20" t="s">
        <v>46</v>
      </c>
      <c r="L561" s="23">
        <f t="shared" si="67"/>
        <v>45566</v>
      </c>
      <c r="M561" s="20">
        <f t="shared" si="68"/>
        <v>9</v>
      </c>
      <c r="N561" s="20">
        <f t="shared" si="69"/>
        <v>0</v>
      </c>
      <c r="O561" s="20">
        <f t="shared" si="70"/>
        <v>1</v>
      </c>
      <c r="P561" s="22">
        <f t="shared" si="71"/>
        <v>92.83</v>
      </c>
      <c r="Q561" s="22">
        <f>G561*INDEX(Assumptions!$B$8:$B$16,MATCH(F561,Assumptions!$A$8:$A$16,0))</f>
        <v>40.206600000000002</v>
      </c>
      <c r="R561" s="22">
        <f>H561*Assumptions!$B$3</f>
        <v>17.405999999999999</v>
      </c>
      <c r="S561" s="22">
        <f t="shared" si="72"/>
        <v>6.2073999999999998</v>
      </c>
      <c r="T561" s="20" t="str">
        <f t="shared" si="73"/>
        <v>8-14 days</v>
      </c>
    </row>
    <row r="562" spans="1:20" x14ac:dyDescent="0.3">
      <c r="A562" s="20" t="s">
        <v>628</v>
      </c>
      <c r="B562" s="20" t="s">
        <v>19</v>
      </c>
      <c r="C562" s="21">
        <v>45588</v>
      </c>
      <c r="D562" s="21">
        <v>45598</v>
      </c>
      <c r="E562" s="21">
        <v>45600</v>
      </c>
      <c r="F562" s="20" t="s">
        <v>79</v>
      </c>
      <c r="G562" s="22">
        <v>138.91</v>
      </c>
      <c r="H562" s="22">
        <v>21.4</v>
      </c>
      <c r="I562" s="20" t="s">
        <v>45</v>
      </c>
      <c r="J562" s="20">
        <v>5</v>
      </c>
      <c r="K562" s="20" t="s">
        <v>46</v>
      </c>
      <c r="L562" s="23">
        <f t="shared" si="67"/>
        <v>45566</v>
      </c>
      <c r="M562" s="20">
        <f t="shared" si="68"/>
        <v>10</v>
      </c>
      <c r="N562" s="20">
        <f t="shared" si="69"/>
        <v>0</v>
      </c>
      <c r="O562" s="20">
        <f t="shared" si="70"/>
        <v>1</v>
      </c>
      <c r="P562" s="22">
        <f t="shared" si="71"/>
        <v>160.31</v>
      </c>
      <c r="Q562" s="22">
        <f>G562*INDEX(Assumptions!$B$8:$B$16,MATCH(F562,Assumptions!$A$8:$A$16,0))</f>
        <v>97.236999999999995</v>
      </c>
      <c r="R562" s="22">
        <f>H562*Assumptions!$B$3</f>
        <v>12.839999999999998</v>
      </c>
      <c r="S562" s="22">
        <f t="shared" si="72"/>
        <v>28.833000000000006</v>
      </c>
      <c r="T562" s="20" t="str">
        <f t="shared" si="73"/>
        <v>8-14 days</v>
      </c>
    </row>
    <row r="563" spans="1:20" x14ac:dyDescent="0.3">
      <c r="A563" s="20" t="s">
        <v>629</v>
      </c>
      <c r="B563" s="20" t="s">
        <v>19</v>
      </c>
      <c r="C563" s="21">
        <v>45589</v>
      </c>
      <c r="D563" s="21">
        <v>45598</v>
      </c>
      <c r="E563" s="21">
        <v>45605</v>
      </c>
      <c r="F563" s="20" t="s">
        <v>67</v>
      </c>
      <c r="G563" s="22">
        <v>162.6</v>
      </c>
      <c r="H563" s="22">
        <v>14.03</v>
      </c>
      <c r="I563" s="20" t="s">
        <v>45</v>
      </c>
      <c r="J563" s="20">
        <v>5</v>
      </c>
      <c r="K563" s="20" t="s">
        <v>46</v>
      </c>
      <c r="L563" s="23">
        <f t="shared" si="67"/>
        <v>45566</v>
      </c>
      <c r="M563" s="20">
        <f t="shared" si="68"/>
        <v>9</v>
      </c>
      <c r="N563" s="20">
        <f t="shared" si="69"/>
        <v>0</v>
      </c>
      <c r="O563" s="20">
        <f t="shared" si="70"/>
        <v>1</v>
      </c>
      <c r="P563" s="22">
        <f t="shared" si="71"/>
        <v>176.63</v>
      </c>
      <c r="Q563" s="22">
        <f>G563*INDEX(Assumptions!$B$8:$B$16,MATCH(F563,Assumptions!$A$8:$A$16,0))</f>
        <v>100.812</v>
      </c>
      <c r="R563" s="22">
        <f>H563*Assumptions!$B$3</f>
        <v>8.4179999999999993</v>
      </c>
      <c r="S563" s="22">
        <f t="shared" si="72"/>
        <v>53.37</v>
      </c>
      <c r="T563" s="20" t="str">
        <f t="shared" si="73"/>
        <v>8-14 days</v>
      </c>
    </row>
    <row r="564" spans="1:20" x14ac:dyDescent="0.3">
      <c r="A564" s="20" t="s">
        <v>630</v>
      </c>
      <c r="B564" s="20" t="s">
        <v>19</v>
      </c>
      <c r="C564" s="21">
        <v>45589</v>
      </c>
      <c r="D564" s="21">
        <v>45594</v>
      </c>
      <c r="E564" s="21">
        <v>45602</v>
      </c>
      <c r="F564" s="20" t="s">
        <v>79</v>
      </c>
      <c r="G564" s="22">
        <v>159.38</v>
      </c>
      <c r="H564" s="22">
        <v>22.86</v>
      </c>
      <c r="I564" s="20" t="s">
        <v>45</v>
      </c>
      <c r="J564" s="20">
        <v>5</v>
      </c>
      <c r="K564" s="20" t="s">
        <v>46</v>
      </c>
      <c r="L564" s="23">
        <f t="shared" si="67"/>
        <v>45566</v>
      </c>
      <c r="M564" s="20">
        <f t="shared" si="68"/>
        <v>5</v>
      </c>
      <c r="N564" s="20">
        <f t="shared" si="69"/>
        <v>0</v>
      </c>
      <c r="O564" s="20">
        <f t="shared" si="70"/>
        <v>1</v>
      </c>
      <c r="P564" s="22">
        <f t="shared" si="71"/>
        <v>182.24</v>
      </c>
      <c r="Q564" s="22">
        <f>G564*INDEX(Assumptions!$B$8:$B$16,MATCH(F564,Assumptions!$A$8:$A$16,0))</f>
        <v>111.56599999999999</v>
      </c>
      <c r="R564" s="22">
        <f>H564*Assumptions!$B$3</f>
        <v>13.715999999999999</v>
      </c>
      <c r="S564" s="22">
        <f t="shared" si="72"/>
        <v>34.098000000000006</v>
      </c>
      <c r="T564" s="20" t="str">
        <f t="shared" si="73"/>
        <v>0-7 days</v>
      </c>
    </row>
    <row r="565" spans="1:20" x14ac:dyDescent="0.3">
      <c r="A565" s="20" t="s">
        <v>631</v>
      </c>
      <c r="B565" s="20" t="s">
        <v>55</v>
      </c>
      <c r="C565" s="21">
        <v>45589</v>
      </c>
      <c r="D565" s="21">
        <v>45607</v>
      </c>
      <c r="E565" s="21">
        <v>45613</v>
      </c>
      <c r="F565" s="20" t="s">
        <v>44</v>
      </c>
      <c r="G565" s="22">
        <v>49.89</v>
      </c>
      <c r="H565" s="22">
        <v>21.59</v>
      </c>
      <c r="I565" s="20" t="s">
        <v>45</v>
      </c>
      <c r="J565" s="20">
        <v>4</v>
      </c>
      <c r="K565" s="20" t="s">
        <v>46</v>
      </c>
      <c r="L565" s="23">
        <f t="shared" si="67"/>
        <v>45566</v>
      </c>
      <c r="M565" s="20">
        <f t="shared" si="68"/>
        <v>18</v>
      </c>
      <c r="N565" s="20">
        <f t="shared" si="69"/>
        <v>0</v>
      </c>
      <c r="O565" s="20">
        <f t="shared" si="70"/>
        <v>1</v>
      </c>
      <c r="P565" s="22">
        <f t="shared" si="71"/>
        <v>71.48</v>
      </c>
      <c r="Q565" s="22">
        <f>G565*INDEX(Assumptions!$B$8:$B$16,MATCH(F565,Assumptions!$A$8:$A$16,0))</f>
        <v>29.933999999999997</v>
      </c>
      <c r="R565" s="22">
        <f>H565*Assumptions!$B$3</f>
        <v>12.953999999999999</v>
      </c>
      <c r="S565" s="22">
        <f t="shared" si="72"/>
        <v>7.0020000000000042</v>
      </c>
      <c r="T565" s="20" t="str">
        <f t="shared" si="73"/>
        <v>15-21 days</v>
      </c>
    </row>
    <row r="566" spans="1:20" x14ac:dyDescent="0.3">
      <c r="A566" s="20" t="s">
        <v>632</v>
      </c>
      <c r="B566" s="20" t="s">
        <v>19</v>
      </c>
      <c r="C566" s="21">
        <v>45590</v>
      </c>
      <c r="D566" s="21">
        <v>45598</v>
      </c>
      <c r="E566" s="21">
        <v>45606</v>
      </c>
      <c r="F566" s="20" t="s">
        <v>67</v>
      </c>
      <c r="G566" s="22">
        <v>53.29</v>
      </c>
      <c r="H566" s="22">
        <v>20.98</v>
      </c>
      <c r="I566" s="20" t="s">
        <v>45</v>
      </c>
      <c r="J566" s="20">
        <v>4</v>
      </c>
      <c r="K566" s="20" t="s">
        <v>46</v>
      </c>
      <c r="L566" s="23">
        <f t="shared" si="67"/>
        <v>45566</v>
      </c>
      <c r="M566" s="20">
        <f t="shared" si="68"/>
        <v>8</v>
      </c>
      <c r="N566" s="20">
        <f t="shared" si="69"/>
        <v>0</v>
      </c>
      <c r="O566" s="20">
        <f t="shared" si="70"/>
        <v>1</v>
      </c>
      <c r="P566" s="22">
        <f t="shared" si="71"/>
        <v>74.27</v>
      </c>
      <c r="Q566" s="22">
        <f>G566*INDEX(Assumptions!$B$8:$B$16,MATCH(F566,Assumptions!$A$8:$A$16,0))</f>
        <v>33.0398</v>
      </c>
      <c r="R566" s="22">
        <f>H566*Assumptions!$B$3</f>
        <v>12.587999999999999</v>
      </c>
      <c r="S566" s="22">
        <f t="shared" si="72"/>
        <v>7.6622000000000003</v>
      </c>
      <c r="T566" s="20" t="str">
        <f t="shared" si="73"/>
        <v>8-14 days</v>
      </c>
    </row>
    <row r="567" spans="1:20" x14ac:dyDescent="0.3">
      <c r="A567" s="20" t="s">
        <v>633</v>
      </c>
      <c r="B567" s="20" t="s">
        <v>19</v>
      </c>
      <c r="C567" s="21">
        <v>45590</v>
      </c>
      <c r="D567" s="21">
        <v>45598</v>
      </c>
      <c r="E567" s="21">
        <v>45603</v>
      </c>
      <c r="F567" s="20" t="s">
        <v>57</v>
      </c>
      <c r="G567" s="22">
        <v>238.92</v>
      </c>
      <c r="H567" s="22">
        <v>23.5</v>
      </c>
      <c r="I567" s="20" t="s">
        <v>45</v>
      </c>
      <c r="J567" s="20">
        <v>4</v>
      </c>
      <c r="K567" s="20" t="s">
        <v>46</v>
      </c>
      <c r="L567" s="23">
        <f t="shared" si="67"/>
        <v>45566</v>
      </c>
      <c r="M567" s="20">
        <f t="shared" si="68"/>
        <v>8</v>
      </c>
      <c r="N567" s="20">
        <f t="shared" si="69"/>
        <v>0</v>
      </c>
      <c r="O567" s="20">
        <f t="shared" si="70"/>
        <v>1</v>
      </c>
      <c r="P567" s="22">
        <f t="shared" si="71"/>
        <v>262.41999999999996</v>
      </c>
      <c r="Q567" s="22">
        <f>G567*INDEX(Assumptions!$B$8:$B$16,MATCH(F567,Assumptions!$A$8:$A$16,0))</f>
        <v>162.46559999999999</v>
      </c>
      <c r="R567" s="22">
        <f>H567*Assumptions!$B$3</f>
        <v>14.1</v>
      </c>
      <c r="S567" s="22">
        <f t="shared" si="72"/>
        <v>62.354399999999991</v>
      </c>
      <c r="T567" s="20" t="str">
        <f t="shared" si="73"/>
        <v>8-14 days</v>
      </c>
    </row>
    <row r="568" spans="1:20" x14ac:dyDescent="0.3">
      <c r="A568" s="20" t="s">
        <v>634</v>
      </c>
      <c r="B568" s="20" t="s">
        <v>62</v>
      </c>
      <c r="C568" s="21">
        <v>45590</v>
      </c>
      <c r="D568" s="21">
        <v>45605</v>
      </c>
      <c r="E568" s="21">
        <v>45607</v>
      </c>
      <c r="F568" s="20" t="s">
        <v>59</v>
      </c>
      <c r="G568" s="22">
        <v>208.88</v>
      </c>
      <c r="H568" s="22">
        <v>31.57</v>
      </c>
      <c r="I568" s="20" t="s">
        <v>45</v>
      </c>
      <c r="J568" s="20">
        <v>4</v>
      </c>
      <c r="K568" s="20" t="s">
        <v>46</v>
      </c>
      <c r="L568" s="23">
        <f t="shared" si="67"/>
        <v>45566</v>
      </c>
      <c r="M568" s="20">
        <f t="shared" si="68"/>
        <v>15</v>
      </c>
      <c r="N568" s="20">
        <f t="shared" si="69"/>
        <v>0</v>
      </c>
      <c r="O568" s="20">
        <f t="shared" si="70"/>
        <v>1</v>
      </c>
      <c r="P568" s="22">
        <f t="shared" si="71"/>
        <v>240.45</v>
      </c>
      <c r="Q568" s="22">
        <f>G568*INDEX(Assumptions!$B$8:$B$16,MATCH(F568,Assumptions!$A$8:$A$16,0))</f>
        <v>133.6832</v>
      </c>
      <c r="R568" s="22">
        <f>H568*Assumptions!$B$3</f>
        <v>18.942</v>
      </c>
      <c r="S568" s="22">
        <f t="shared" si="72"/>
        <v>56.254799999999996</v>
      </c>
      <c r="T568" s="20" t="str">
        <f t="shared" si="73"/>
        <v>15-21 days</v>
      </c>
    </row>
    <row r="569" spans="1:20" x14ac:dyDescent="0.3">
      <c r="A569" s="20" t="s">
        <v>635</v>
      </c>
      <c r="B569" s="20" t="s">
        <v>55</v>
      </c>
      <c r="C569" s="21">
        <v>45590</v>
      </c>
      <c r="D569" s="21">
        <v>45613</v>
      </c>
      <c r="E569" s="21">
        <v>45613</v>
      </c>
      <c r="F569" s="20" t="s">
        <v>79</v>
      </c>
      <c r="G569" s="22">
        <v>51.95</v>
      </c>
      <c r="H569" s="22">
        <v>29.39</v>
      </c>
      <c r="I569" s="20" t="s">
        <v>45</v>
      </c>
      <c r="J569" s="20">
        <v>5</v>
      </c>
      <c r="K569" s="20" t="s">
        <v>46</v>
      </c>
      <c r="L569" s="23">
        <f t="shared" si="67"/>
        <v>45566</v>
      </c>
      <c r="M569" s="20">
        <f t="shared" si="68"/>
        <v>23</v>
      </c>
      <c r="N569" s="20">
        <f t="shared" si="69"/>
        <v>0</v>
      </c>
      <c r="O569" s="20">
        <f t="shared" si="70"/>
        <v>1</v>
      </c>
      <c r="P569" s="22">
        <f t="shared" si="71"/>
        <v>81.34</v>
      </c>
      <c r="Q569" s="22">
        <f>G569*INDEX(Assumptions!$B$8:$B$16,MATCH(F569,Assumptions!$A$8:$A$16,0))</f>
        <v>36.365000000000002</v>
      </c>
      <c r="R569" s="22">
        <f>H569*Assumptions!$B$3</f>
        <v>17.634</v>
      </c>
      <c r="S569" s="22">
        <f t="shared" si="72"/>
        <v>-2.0489999999999995</v>
      </c>
      <c r="T569" s="20" t="str">
        <f t="shared" si="73"/>
        <v>22+ days</v>
      </c>
    </row>
    <row r="570" spans="1:20" x14ac:dyDescent="0.3">
      <c r="A570" s="20" t="s">
        <v>636</v>
      </c>
      <c r="B570" s="20" t="s">
        <v>48</v>
      </c>
      <c r="C570" s="21">
        <v>45591</v>
      </c>
      <c r="D570" s="21">
        <v>45604</v>
      </c>
      <c r="E570" s="21">
        <v>45610</v>
      </c>
      <c r="F570" s="20" t="s">
        <v>53</v>
      </c>
      <c r="G570" s="22">
        <v>209.43</v>
      </c>
      <c r="H570" s="22">
        <v>20.74</v>
      </c>
      <c r="I570" s="20" t="s">
        <v>50</v>
      </c>
      <c r="J570" s="20">
        <v>5</v>
      </c>
      <c r="K570" s="20" t="s">
        <v>46</v>
      </c>
      <c r="L570" s="23">
        <f t="shared" si="67"/>
        <v>45566</v>
      </c>
      <c r="M570" s="20">
        <f t="shared" si="68"/>
        <v>13</v>
      </c>
      <c r="N570" s="20">
        <f t="shared" si="69"/>
        <v>0</v>
      </c>
      <c r="O570" s="20">
        <f t="shared" si="70"/>
        <v>1</v>
      </c>
      <c r="P570" s="22">
        <f t="shared" si="71"/>
        <v>230.17000000000002</v>
      </c>
      <c r="Q570" s="22">
        <f>G570*INDEX(Assumptions!$B$8:$B$16,MATCH(F570,Assumptions!$A$8:$A$16,0))</f>
        <v>154.97820000000002</v>
      </c>
      <c r="R570" s="22">
        <f>H570*Assumptions!$B$3</f>
        <v>12.443999999999999</v>
      </c>
      <c r="S570" s="22">
        <f t="shared" si="72"/>
        <v>42.007799999999989</v>
      </c>
      <c r="T570" s="20" t="str">
        <f t="shared" si="73"/>
        <v>8-14 days</v>
      </c>
    </row>
    <row r="571" spans="1:20" x14ac:dyDescent="0.3">
      <c r="A571" s="20" t="s">
        <v>637</v>
      </c>
      <c r="B571" s="20" t="s">
        <v>52</v>
      </c>
      <c r="C571" s="21">
        <v>45591</v>
      </c>
      <c r="D571" s="21">
        <v>45600</v>
      </c>
      <c r="E571" s="21">
        <v>45612</v>
      </c>
      <c r="F571" s="20" t="s">
        <v>64</v>
      </c>
      <c r="G571" s="22">
        <v>68.08</v>
      </c>
      <c r="H571" s="22">
        <v>18.579999999999998</v>
      </c>
      <c r="I571" s="20" t="s">
        <v>60</v>
      </c>
      <c r="J571" s="20">
        <v>4</v>
      </c>
      <c r="K571" s="20" t="s">
        <v>46</v>
      </c>
      <c r="L571" s="23">
        <f t="shared" si="67"/>
        <v>45566</v>
      </c>
      <c r="M571" s="20">
        <f t="shared" si="68"/>
        <v>9</v>
      </c>
      <c r="N571" s="20">
        <f t="shared" si="69"/>
        <v>0</v>
      </c>
      <c r="O571" s="20">
        <f t="shared" si="70"/>
        <v>1</v>
      </c>
      <c r="P571" s="22">
        <f t="shared" si="71"/>
        <v>86.66</v>
      </c>
      <c r="Q571" s="22">
        <f>G571*INDEX(Assumptions!$B$8:$B$16,MATCH(F571,Assumptions!$A$8:$A$16,0))</f>
        <v>44.9328</v>
      </c>
      <c r="R571" s="22">
        <f>H571*Assumptions!$B$3</f>
        <v>11.147999999999998</v>
      </c>
      <c r="S571" s="22">
        <f t="shared" si="72"/>
        <v>11.9992</v>
      </c>
      <c r="T571" s="20" t="str">
        <f t="shared" si="73"/>
        <v>8-14 days</v>
      </c>
    </row>
    <row r="572" spans="1:20" x14ac:dyDescent="0.3">
      <c r="A572" s="20" t="s">
        <v>638</v>
      </c>
      <c r="B572" s="20" t="s">
        <v>48</v>
      </c>
      <c r="C572" s="21">
        <v>45592</v>
      </c>
      <c r="D572" s="21">
        <v>45599</v>
      </c>
      <c r="E572" s="21">
        <v>45611</v>
      </c>
      <c r="F572" s="20" t="s">
        <v>79</v>
      </c>
      <c r="G572" s="22">
        <v>158.97999999999999</v>
      </c>
      <c r="H572" s="22">
        <v>30.51</v>
      </c>
      <c r="I572" s="20" t="s">
        <v>45</v>
      </c>
      <c r="J572" s="20">
        <v>5</v>
      </c>
      <c r="K572" s="20" t="s">
        <v>46</v>
      </c>
      <c r="L572" s="23">
        <f t="shared" si="67"/>
        <v>45566</v>
      </c>
      <c r="M572" s="20">
        <f t="shared" si="68"/>
        <v>7</v>
      </c>
      <c r="N572" s="20">
        <f t="shared" si="69"/>
        <v>0</v>
      </c>
      <c r="O572" s="20">
        <f t="shared" si="70"/>
        <v>1</v>
      </c>
      <c r="P572" s="22">
        <f t="shared" si="71"/>
        <v>189.48999999999998</v>
      </c>
      <c r="Q572" s="22">
        <f>G572*INDEX(Assumptions!$B$8:$B$16,MATCH(F572,Assumptions!$A$8:$A$16,0))</f>
        <v>111.28599999999999</v>
      </c>
      <c r="R572" s="22">
        <f>H572*Assumptions!$B$3</f>
        <v>18.306000000000001</v>
      </c>
      <c r="S572" s="22">
        <f t="shared" si="72"/>
        <v>29.388000000000002</v>
      </c>
      <c r="T572" s="20" t="str">
        <f t="shared" si="73"/>
        <v>0-7 days</v>
      </c>
    </row>
    <row r="573" spans="1:20" x14ac:dyDescent="0.3">
      <c r="A573" s="20" t="s">
        <v>639</v>
      </c>
      <c r="B573" s="20" t="s">
        <v>52</v>
      </c>
      <c r="C573" s="21">
        <v>45592</v>
      </c>
      <c r="D573" s="21">
        <v>45623</v>
      </c>
      <c r="E573" s="21">
        <v>45616</v>
      </c>
      <c r="F573" s="20" t="s">
        <v>49</v>
      </c>
      <c r="G573" s="22">
        <v>59.11</v>
      </c>
      <c r="H573" s="22">
        <v>21.17</v>
      </c>
      <c r="I573" s="20" t="s">
        <v>45</v>
      </c>
      <c r="J573" s="20">
        <v>3</v>
      </c>
      <c r="K573" s="20" t="s">
        <v>46</v>
      </c>
      <c r="L573" s="23">
        <f t="shared" si="67"/>
        <v>45566</v>
      </c>
      <c r="M573" s="20">
        <f t="shared" si="68"/>
        <v>31</v>
      </c>
      <c r="N573" s="20">
        <f t="shared" si="69"/>
        <v>7</v>
      </c>
      <c r="O573" s="20">
        <f t="shared" si="70"/>
        <v>0</v>
      </c>
      <c r="P573" s="22">
        <f t="shared" si="71"/>
        <v>80.28</v>
      </c>
      <c r="Q573" s="22">
        <f>G573*INDEX(Assumptions!$B$8:$B$16,MATCH(F573,Assumptions!$A$8:$A$16,0))</f>
        <v>34.283799999999999</v>
      </c>
      <c r="R573" s="22">
        <f>H573*Assumptions!$B$3</f>
        <v>12.702</v>
      </c>
      <c r="S573" s="22">
        <f t="shared" si="72"/>
        <v>12.1242</v>
      </c>
      <c r="T573" s="20" t="str">
        <f t="shared" si="73"/>
        <v>22+ days</v>
      </c>
    </row>
    <row r="574" spans="1:20" x14ac:dyDescent="0.3">
      <c r="A574" s="20" t="s">
        <v>640</v>
      </c>
      <c r="B574" s="20" t="s">
        <v>55</v>
      </c>
      <c r="C574" s="21">
        <v>45593</v>
      </c>
      <c r="D574" s="21">
        <v>45616</v>
      </c>
      <c r="E574" s="21">
        <v>45615</v>
      </c>
      <c r="F574" s="20" t="s">
        <v>59</v>
      </c>
      <c r="G574" s="22">
        <v>164.68</v>
      </c>
      <c r="H574" s="22">
        <v>21.64</v>
      </c>
      <c r="I574" s="20" t="s">
        <v>45</v>
      </c>
      <c r="J574" s="20">
        <v>3</v>
      </c>
      <c r="K574" s="20" t="s">
        <v>46</v>
      </c>
      <c r="L574" s="23">
        <f t="shared" si="67"/>
        <v>45566</v>
      </c>
      <c r="M574" s="20">
        <f t="shared" si="68"/>
        <v>23</v>
      </c>
      <c r="N574" s="20">
        <f t="shared" si="69"/>
        <v>1</v>
      </c>
      <c r="O574" s="20">
        <f t="shared" si="70"/>
        <v>0</v>
      </c>
      <c r="P574" s="22">
        <f t="shared" si="71"/>
        <v>186.32</v>
      </c>
      <c r="Q574" s="22">
        <f>G574*INDEX(Assumptions!$B$8:$B$16,MATCH(F574,Assumptions!$A$8:$A$16,0))</f>
        <v>105.3952</v>
      </c>
      <c r="R574" s="22">
        <f>H574*Assumptions!$B$3</f>
        <v>12.984</v>
      </c>
      <c r="S574" s="22">
        <f t="shared" si="72"/>
        <v>46.300800000000002</v>
      </c>
      <c r="T574" s="20" t="str">
        <f t="shared" si="73"/>
        <v>22+ days</v>
      </c>
    </row>
    <row r="575" spans="1:20" x14ac:dyDescent="0.3">
      <c r="A575" s="20" t="s">
        <v>641</v>
      </c>
      <c r="B575" s="20" t="s">
        <v>55</v>
      </c>
      <c r="C575" s="21">
        <v>45593</v>
      </c>
      <c r="D575" s="21">
        <v>45606</v>
      </c>
      <c r="E575" s="21">
        <v>45617</v>
      </c>
      <c r="F575" s="20" t="s">
        <v>67</v>
      </c>
      <c r="G575" s="22">
        <v>113.52</v>
      </c>
      <c r="H575" s="22">
        <v>17.09</v>
      </c>
      <c r="I575" s="20" t="s">
        <v>50</v>
      </c>
      <c r="J575" s="20">
        <v>5</v>
      </c>
      <c r="K575" s="20" t="s">
        <v>46</v>
      </c>
      <c r="L575" s="23">
        <f t="shared" si="67"/>
        <v>45566</v>
      </c>
      <c r="M575" s="20">
        <f t="shared" si="68"/>
        <v>13</v>
      </c>
      <c r="N575" s="20">
        <f t="shared" si="69"/>
        <v>0</v>
      </c>
      <c r="O575" s="20">
        <f t="shared" si="70"/>
        <v>1</v>
      </c>
      <c r="P575" s="22">
        <f t="shared" si="71"/>
        <v>130.60999999999999</v>
      </c>
      <c r="Q575" s="22">
        <f>G575*INDEX(Assumptions!$B$8:$B$16,MATCH(F575,Assumptions!$A$8:$A$16,0))</f>
        <v>70.382400000000004</v>
      </c>
      <c r="R575" s="22">
        <f>H575*Assumptions!$B$3</f>
        <v>10.254</v>
      </c>
      <c r="S575" s="22">
        <f t="shared" si="72"/>
        <v>32.883599999999994</v>
      </c>
      <c r="T575" s="20" t="str">
        <f t="shared" si="73"/>
        <v>8-14 days</v>
      </c>
    </row>
    <row r="576" spans="1:20" x14ac:dyDescent="0.3">
      <c r="A576" s="20" t="s">
        <v>642</v>
      </c>
      <c r="B576" s="20" t="s">
        <v>19</v>
      </c>
      <c r="C576" s="21">
        <v>45593</v>
      </c>
      <c r="D576" s="21">
        <v>45598</v>
      </c>
      <c r="E576" s="21">
        <v>45609</v>
      </c>
      <c r="F576" s="20" t="s">
        <v>53</v>
      </c>
      <c r="G576" s="22">
        <v>233.76</v>
      </c>
      <c r="H576" s="22">
        <v>21.23</v>
      </c>
      <c r="I576" s="20" t="s">
        <v>50</v>
      </c>
      <c r="J576" s="20">
        <v>5</v>
      </c>
      <c r="K576" s="20" t="s">
        <v>46</v>
      </c>
      <c r="L576" s="23">
        <f t="shared" si="67"/>
        <v>45566</v>
      </c>
      <c r="M576" s="20">
        <f t="shared" si="68"/>
        <v>5</v>
      </c>
      <c r="N576" s="20">
        <f t="shared" si="69"/>
        <v>0</v>
      </c>
      <c r="O576" s="20">
        <f t="shared" si="70"/>
        <v>1</v>
      </c>
      <c r="P576" s="22">
        <f t="shared" si="71"/>
        <v>254.98999999999998</v>
      </c>
      <c r="Q576" s="22">
        <f>G576*INDEX(Assumptions!$B$8:$B$16,MATCH(F576,Assumptions!$A$8:$A$16,0))</f>
        <v>172.98239999999998</v>
      </c>
      <c r="R576" s="22">
        <f>H576*Assumptions!$B$3</f>
        <v>12.738</v>
      </c>
      <c r="S576" s="22">
        <f t="shared" si="72"/>
        <v>48.039600000000007</v>
      </c>
      <c r="T576" s="20" t="str">
        <f t="shared" si="73"/>
        <v>0-7 days</v>
      </c>
    </row>
    <row r="577" spans="1:20" x14ac:dyDescent="0.3">
      <c r="A577" s="20" t="s">
        <v>643</v>
      </c>
      <c r="B577" s="20" t="s">
        <v>19</v>
      </c>
      <c r="C577" s="21">
        <v>45594</v>
      </c>
      <c r="D577" s="21">
        <v>45605</v>
      </c>
      <c r="E577" s="21">
        <v>45610</v>
      </c>
      <c r="F577" s="20" t="s">
        <v>64</v>
      </c>
      <c r="G577" s="22">
        <v>102.68</v>
      </c>
      <c r="H577" s="22">
        <v>17.91</v>
      </c>
      <c r="I577" s="20" t="s">
        <v>45</v>
      </c>
      <c r="J577" s="20">
        <v>5</v>
      </c>
      <c r="K577" s="20" t="s">
        <v>46</v>
      </c>
      <c r="L577" s="23">
        <f t="shared" si="67"/>
        <v>45566</v>
      </c>
      <c r="M577" s="20">
        <f t="shared" si="68"/>
        <v>11</v>
      </c>
      <c r="N577" s="20">
        <f t="shared" si="69"/>
        <v>0</v>
      </c>
      <c r="O577" s="20">
        <f t="shared" si="70"/>
        <v>1</v>
      </c>
      <c r="P577" s="22">
        <f t="shared" si="71"/>
        <v>120.59</v>
      </c>
      <c r="Q577" s="22">
        <f>G577*INDEX(Assumptions!$B$8:$B$16,MATCH(F577,Assumptions!$A$8:$A$16,0))</f>
        <v>67.768800000000013</v>
      </c>
      <c r="R577" s="22">
        <f>H577*Assumptions!$B$3</f>
        <v>10.746</v>
      </c>
      <c r="S577" s="22">
        <f t="shared" si="72"/>
        <v>24.165199999999992</v>
      </c>
      <c r="T577" s="20" t="str">
        <f t="shared" si="73"/>
        <v>8-14 days</v>
      </c>
    </row>
    <row r="578" spans="1:20" x14ac:dyDescent="0.3">
      <c r="A578" s="20" t="s">
        <v>644</v>
      </c>
      <c r="B578" s="20" t="s">
        <v>48</v>
      </c>
      <c r="C578" s="21">
        <v>45594</v>
      </c>
      <c r="D578" s="21">
        <v>45604</v>
      </c>
      <c r="E578" s="21">
        <v>45615</v>
      </c>
      <c r="F578" s="20" t="s">
        <v>79</v>
      </c>
      <c r="G578" s="22">
        <v>170.27</v>
      </c>
      <c r="H578" s="22">
        <v>17.47</v>
      </c>
      <c r="I578" s="20" t="s">
        <v>60</v>
      </c>
      <c r="J578" s="20">
        <v>5</v>
      </c>
      <c r="K578" s="20" t="s">
        <v>46</v>
      </c>
      <c r="L578" s="23">
        <f t="shared" ref="L578:L641" si="74">DATE(YEAR(C578),MONTH(C578),1)</f>
        <v>45566</v>
      </c>
      <c r="M578" s="20">
        <f t="shared" ref="M578:M641" si="75">D578-C578</f>
        <v>10</v>
      </c>
      <c r="N578" s="20">
        <f t="shared" ref="N578:N641" si="76">MAX(0,D578-E578)</f>
        <v>0</v>
      </c>
      <c r="O578" s="20">
        <f t="shared" ref="O578:O641" si="77">IF(D578&lt;=E578,1,0)</f>
        <v>1</v>
      </c>
      <c r="P578" s="22">
        <f t="shared" ref="P578:P641" si="78">G578+H578</f>
        <v>187.74</v>
      </c>
      <c r="Q578" s="22">
        <f>G578*INDEX(Assumptions!$B$8:$B$16,MATCH(F578,Assumptions!$A$8:$A$16,0))</f>
        <v>119.18899999999999</v>
      </c>
      <c r="R578" s="22">
        <f>H578*Assumptions!$B$3</f>
        <v>10.481999999999999</v>
      </c>
      <c r="S578" s="22">
        <f t="shared" ref="S578:S641" si="79">G578-Q578-R578</f>
        <v>40.599000000000018</v>
      </c>
      <c r="T578" s="20" t="str">
        <f t="shared" ref="T578:T641" si="80">IF(M578&lt;=7,"0-7 days",IF(M578&lt;=14,"8-14 days",IF(M578&lt;=21,"15-21 days","22+ days")))</f>
        <v>8-14 days</v>
      </c>
    </row>
    <row r="579" spans="1:20" x14ac:dyDescent="0.3">
      <c r="A579" s="20" t="s">
        <v>645</v>
      </c>
      <c r="B579" s="20" t="s">
        <v>62</v>
      </c>
      <c r="C579" s="21">
        <v>45594</v>
      </c>
      <c r="D579" s="21">
        <v>45608</v>
      </c>
      <c r="E579" s="21">
        <v>45614</v>
      </c>
      <c r="F579" s="20" t="s">
        <v>57</v>
      </c>
      <c r="G579" s="22">
        <v>126.29</v>
      </c>
      <c r="H579" s="22">
        <v>22.61</v>
      </c>
      <c r="I579" s="20" t="s">
        <v>50</v>
      </c>
      <c r="J579" s="20">
        <v>5</v>
      </c>
      <c r="K579" s="20" t="s">
        <v>46</v>
      </c>
      <c r="L579" s="23">
        <f t="shared" si="74"/>
        <v>45566</v>
      </c>
      <c r="M579" s="20">
        <f t="shared" si="75"/>
        <v>14</v>
      </c>
      <c r="N579" s="20">
        <f t="shared" si="76"/>
        <v>0</v>
      </c>
      <c r="O579" s="20">
        <f t="shared" si="77"/>
        <v>1</v>
      </c>
      <c r="P579" s="22">
        <f t="shared" si="78"/>
        <v>148.9</v>
      </c>
      <c r="Q579" s="22">
        <f>G579*INDEX(Assumptions!$B$8:$B$16,MATCH(F579,Assumptions!$A$8:$A$16,0))</f>
        <v>85.877200000000016</v>
      </c>
      <c r="R579" s="22">
        <f>H579*Assumptions!$B$3</f>
        <v>13.565999999999999</v>
      </c>
      <c r="S579" s="22">
        <f t="shared" si="79"/>
        <v>26.846799999999991</v>
      </c>
      <c r="T579" s="20" t="str">
        <f t="shared" si="80"/>
        <v>8-14 days</v>
      </c>
    </row>
    <row r="580" spans="1:20" x14ac:dyDescent="0.3">
      <c r="A580" s="20" t="s">
        <v>646</v>
      </c>
      <c r="B580" s="20" t="s">
        <v>156</v>
      </c>
      <c r="C580" s="21">
        <v>45594</v>
      </c>
      <c r="D580" s="21">
        <v>45599</v>
      </c>
      <c r="E580" s="21">
        <v>45616</v>
      </c>
      <c r="F580" s="20" t="s">
        <v>53</v>
      </c>
      <c r="G580" s="22">
        <v>279.63</v>
      </c>
      <c r="H580" s="22">
        <v>29.2</v>
      </c>
      <c r="I580" s="20" t="s">
        <v>45</v>
      </c>
      <c r="J580" s="20">
        <v>4</v>
      </c>
      <c r="K580" s="20" t="s">
        <v>46</v>
      </c>
      <c r="L580" s="23">
        <f t="shared" si="74"/>
        <v>45566</v>
      </c>
      <c r="M580" s="20">
        <f t="shared" si="75"/>
        <v>5</v>
      </c>
      <c r="N580" s="20">
        <f t="shared" si="76"/>
        <v>0</v>
      </c>
      <c r="O580" s="20">
        <f t="shared" si="77"/>
        <v>1</v>
      </c>
      <c r="P580" s="22">
        <f t="shared" si="78"/>
        <v>308.83</v>
      </c>
      <c r="Q580" s="22">
        <f>G580*INDEX(Assumptions!$B$8:$B$16,MATCH(F580,Assumptions!$A$8:$A$16,0))</f>
        <v>206.92619999999999</v>
      </c>
      <c r="R580" s="22">
        <f>H580*Assumptions!$B$3</f>
        <v>17.52</v>
      </c>
      <c r="S580" s="22">
        <f t="shared" si="79"/>
        <v>55.183800000000005</v>
      </c>
      <c r="T580" s="20" t="str">
        <f t="shared" si="80"/>
        <v>0-7 days</v>
      </c>
    </row>
    <row r="581" spans="1:20" x14ac:dyDescent="0.3">
      <c r="A581" s="20" t="s">
        <v>647</v>
      </c>
      <c r="B581" s="20" t="s">
        <v>201</v>
      </c>
      <c r="C581" s="21">
        <v>45595</v>
      </c>
      <c r="D581" s="21">
        <v>45611</v>
      </c>
      <c r="E581" s="21">
        <v>45627</v>
      </c>
      <c r="F581" s="20" t="s">
        <v>67</v>
      </c>
      <c r="G581" s="22">
        <v>88.57</v>
      </c>
      <c r="H581" s="22">
        <v>45.39</v>
      </c>
      <c r="I581" s="20" t="s">
        <v>60</v>
      </c>
      <c r="J581" s="20">
        <v>5</v>
      </c>
      <c r="K581" s="20" t="s">
        <v>46</v>
      </c>
      <c r="L581" s="23">
        <f t="shared" si="74"/>
        <v>45566</v>
      </c>
      <c r="M581" s="20">
        <f t="shared" si="75"/>
        <v>16</v>
      </c>
      <c r="N581" s="20">
        <f t="shared" si="76"/>
        <v>0</v>
      </c>
      <c r="O581" s="20">
        <f t="shared" si="77"/>
        <v>1</v>
      </c>
      <c r="P581" s="22">
        <f t="shared" si="78"/>
        <v>133.95999999999998</v>
      </c>
      <c r="Q581" s="22">
        <f>G581*INDEX(Assumptions!$B$8:$B$16,MATCH(F581,Assumptions!$A$8:$A$16,0))</f>
        <v>54.913399999999996</v>
      </c>
      <c r="R581" s="22">
        <f>H581*Assumptions!$B$3</f>
        <v>27.233999999999998</v>
      </c>
      <c r="S581" s="22">
        <f t="shared" si="79"/>
        <v>6.4225999999999992</v>
      </c>
      <c r="T581" s="20" t="str">
        <f t="shared" si="80"/>
        <v>15-21 days</v>
      </c>
    </row>
    <row r="582" spans="1:20" x14ac:dyDescent="0.3">
      <c r="A582" s="20" t="s">
        <v>648</v>
      </c>
      <c r="B582" s="20" t="s">
        <v>19</v>
      </c>
      <c r="C582" s="21">
        <v>45596</v>
      </c>
      <c r="D582" s="21">
        <v>45604</v>
      </c>
      <c r="E582" s="21">
        <v>45610</v>
      </c>
      <c r="F582" s="20" t="s">
        <v>49</v>
      </c>
      <c r="G582" s="22">
        <v>80.680000000000007</v>
      </c>
      <c r="H582" s="22">
        <v>21.07</v>
      </c>
      <c r="I582" s="20" t="s">
        <v>45</v>
      </c>
      <c r="J582" s="20">
        <v>4</v>
      </c>
      <c r="K582" s="20" t="s">
        <v>46</v>
      </c>
      <c r="L582" s="23">
        <f t="shared" si="74"/>
        <v>45566</v>
      </c>
      <c r="M582" s="20">
        <f t="shared" si="75"/>
        <v>8</v>
      </c>
      <c r="N582" s="20">
        <f t="shared" si="76"/>
        <v>0</v>
      </c>
      <c r="O582" s="20">
        <f t="shared" si="77"/>
        <v>1</v>
      </c>
      <c r="P582" s="22">
        <f t="shared" si="78"/>
        <v>101.75</v>
      </c>
      <c r="Q582" s="22">
        <f>G582*INDEX(Assumptions!$B$8:$B$16,MATCH(F582,Assumptions!$A$8:$A$16,0))</f>
        <v>46.794400000000003</v>
      </c>
      <c r="R582" s="22">
        <f>H582*Assumptions!$B$3</f>
        <v>12.641999999999999</v>
      </c>
      <c r="S582" s="22">
        <f t="shared" si="79"/>
        <v>21.243600000000004</v>
      </c>
      <c r="T582" s="20" t="str">
        <f t="shared" si="80"/>
        <v>8-14 days</v>
      </c>
    </row>
    <row r="583" spans="1:20" x14ac:dyDescent="0.3">
      <c r="A583" s="20" t="s">
        <v>649</v>
      </c>
      <c r="B583" s="20" t="s">
        <v>19</v>
      </c>
      <c r="C583" s="21">
        <v>45596</v>
      </c>
      <c r="D583" s="21">
        <v>45606</v>
      </c>
      <c r="E583" s="21">
        <v>45610</v>
      </c>
      <c r="F583" s="20" t="s">
        <v>59</v>
      </c>
      <c r="G583" s="22">
        <v>344.87</v>
      </c>
      <c r="H583" s="22">
        <v>27.6</v>
      </c>
      <c r="I583" s="20" t="s">
        <v>45</v>
      </c>
      <c r="J583" s="20">
        <v>3</v>
      </c>
      <c r="K583" s="20" t="s">
        <v>46</v>
      </c>
      <c r="L583" s="23">
        <f t="shared" si="74"/>
        <v>45566</v>
      </c>
      <c r="M583" s="20">
        <f t="shared" si="75"/>
        <v>10</v>
      </c>
      <c r="N583" s="20">
        <f t="shared" si="76"/>
        <v>0</v>
      </c>
      <c r="O583" s="20">
        <f t="shared" si="77"/>
        <v>1</v>
      </c>
      <c r="P583" s="22">
        <f t="shared" si="78"/>
        <v>372.47</v>
      </c>
      <c r="Q583" s="22">
        <f>G583*INDEX(Assumptions!$B$8:$B$16,MATCH(F583,Assumptions!$A$8:$A$16,0))</f>
        <v>220.71680000000001</v>
      </c>
      <c r="R583" s="22">
        <f>H583*Assumptions!$B$3</f>
        <v>16.559999999999999</v>
      </c>
      <c r="S583" s="22">
        <f t="shared" si="79"/>
        <v>107.5932</v>
      </c>
      <c r="T583" s="20" t="str">
        <f t="shared" si="80"/>
        <v>8-14 days</v>
      </c>
    </row>
    <row r="584" spans="1:20" x14ac:dyDescent="0.3">
      <c r="A584" s="20" t="s">
        <v>650</v>
      </c>
      <c r="B584" s="20" t="s">
        <v>19</v>
      </c>
      <c r="C584" s="21">
        <v>45596</v>
      </c>
      <c r="D584" s="21">
        <v>45601</v>
      </c>
      <c r="E584" s="21">
        <v>45610</v>
      </c>
      <c r="F584" s="20" t="s">
        <v>59</v>
      </c>
      <c r="G584" s="22">
        <v>75.150000000000006</v>
      </c>
      <c r="H584" s="22">
        <v>12.84</v>
      </c>
      <c r="I584" s="20" t="s">
        <v>45</v>
      </c>
      <c r="J584" s="20">
        <v>4</v>
      </c>
      <c r="K584" s="20" t="s">
        <v>46</v>
      </c>
      <c r="L584" s="23">
        <f t="shared" si="74"/>
        <v>45566</v>
      </c>
      <c r="M584" s="20">
        <f t="shared" si="75"/>
        <v>5</v>
      </c>
      <c r="N584" s="20">
        <f t="shared" si="76"/>
        <v>0</v>
      </c>
      <c r="O584" s="20">
        <f t="shared" si="77"/>
        <v>1</v>
      </c>
      <c r="P584" s="22">
        <f t="shared" si="78"/>
        <v>87.990000000000009</v>
      </c>
      <c r="Q584" s="22">
        <f>G584*INDEX(Assumptions!$B$8:$B$16,MATCH(F584,Assumptions!$A$8:$A$16,0))</f>
        <v>48.096000000000004</v>
      </c>
      <c r="R584" s="22">
        <f>H584*Assumptions!$B$3</f>
        <v>7.7039999999999997</v>
      </c>
      <c r="S584" s="22">
        <f t="shared" si="79"/>
        <v>19.350000000000001</v>
      </c>
      <c r="T584" s="20" t="str">
        <f t="shared" si="80"/>
        <v>0-7 days</v>
      </c>
    </row>
    <row r="585" spans="1:20" x14ac:dyDescent="0.3">
      <c r="A585" s="20" t="s">
        <v>651</v>
      </c>
      <c r="B585" s="20" t="s">
        <v>19</v>
      </c>
      <c r="C585" s="21">
        <v>45596</v>
      </c>
      <c r="D585" s="21">
        <v>45609</v>
      </c>
      <c r="E585" s="21">
        <v>45613</v>
      </c>
      <c r="F585" s="20" t="s">
        <v>59</v>
      </c>
      <c r="G585" s="22">
        <v>166.3</v>
      </c>
      <c r="H585" s="22">
        <v>24.09</v>
      </c>
      <c r="I585" s="20" t="s">
        <v>45</v>
      </c>
      <c r="J585" s="20">
        <v>3</v>
      </c>
      <c r="K585" s="20" t="s">
        <v>46</v>
      </c>
      <c r="L585" s="23">
        <f t="shared" si="74"/>
        <v>45566</v>
      </c>
      <c r="M585" s="20">
        <f t="shared" si="75"/>
        <v>13</v>
      </c>
      <c r="N585" s="20">
        <f t="shared" si="76"/>
        <v>0</v>
      </c>
      <c r="O585" s="20">
        <f t="shared" si="77"/>
        <v>1</v>
      </c>
      <c r="P585" s="22">
        <f t="shared" si="78"/>
        <v>190.39000000000001</v>
      </c>
      <c r="Q585" s="22">
        <f>G585*INDEX(Assumptions!$B$8:$B$16,MATCH(F585,Assumptions!$A$8:$A$16,0))</f>
        <v>106.43200000000002</v>
      </c>
      <c r="R585" s="22">
        <f>H585*Assumptions!$B$3</f>
        <v>14.453999999999999</v>
      </c>
      <c r="S585" s="22">
        <f t="shared" si="79"/>
        <v>45.413999999999994</v>
      </c>
      <c r="T585" s="20" t="str">
        <f t="shared" si="80"/>
        <v>8-14 days</v>
      </c>
    </row>
    <row r="586" spans="1:20" x14ac:dyDescent="0.3">
      <c r="A586" s="20" t="s">
        <v>652</v>
      </c>
      <c r="B586" s="20" t="s">
        <v>55</v>
      </c>
      <c r="C586" s="21">
        <v>45596</v>
      </c>
      <c r="D586" s="21">
        <v>45609</v>
      </c>
      <c r="E586" s="21">
        <v>45627</v>
      </c>
      <c r="F586" s="20" t="s">
        <v>64</v>
      </c>
      <c r="G586" s="22">
        <v>134.28</v>
      </c>
      <c r="H586" s="22">
        <v>23.2</v>
      </c>
      <c r="I586" s="20" t="s">
        <v>60</v>
      </c>
      <c r="J586" s="20">
        <v>3</v>
      </c>
      <c r="K586" s="20" t="s">
        <v>46</v>
      </c>
      <c r="L586" s="23">
        <f t="shared" si="74"/>
        <v>45566</v>
      </c>
      <c r="M586" s="20">
        <f t="shared" si="75"/>
        <v>13</v>
      </c>
      <c r="N586" s="20">
        <f t="shared" si="76"/>
        <v>0</v>
      </c>
      <c r="O586" s="20">
        <f t="shared" si="77"/>
        <v>1</v>
      </c>
      <c r="P586" s="22">
        <f t="shared" si="78"/>
        <v>157.47999999999999</v>
      </c>
      <c r="Q586" s="22">
        <f>G586*INDEX(Assumptions!$B$8:$B$16,MATCH(F586,Assumptions!$A$8:$A$16,0))</f>
        <v>88.624800000000008</v>
      </c>
      <c r="R586" s="22">
        <f>H586*Assumptions!$B$3</f>
        <v>13.92</v>
      </c>
      <c r="S586" s="22">
        <f t="shared" si="79"/>
        <v>31.735199999999992</v>
      </c>
      <c r="T586" s="20" t="str">
        <f t="shared" si="80"/>
        <v>8-14 days</v>
      </c>
    </row>
    <row r="587" spans="1:20" x14ac:dyDescent="0.3">
      <c r="A587" s="20" t="s">
        <v>653</v>
      </c>
      <c r="B587" s="20" t="s">
        <v>156</v>
      </c>
      <c r="C587" s="21">
        <v>45597</v>
      </c>
      <c r="D587" s="21">
        <v>45605</v>
      </c>
      <c r="E587" s="21">
        <v>45617</v>
      </c>
      <c r="F587" s="20" t="s">
        <v>111</v>
      </c>
      <c r="G587" s="22">
        <v>237.26</v>
      </c>
      <c r="H587" s="22">
        <v>28.2</v>
      </c>
      <c r="I587" s="20" t="s">
        <v>45</v>
      </c>
      <c r="J587" s="20">
        <v>5</v>
      </c>
      <c r="K587" s="20" t="s">
        <v>46</v>
      </c>
      <c r="L587" s="23">
        <f t="shared" si="74"/>
        <v>45597</v>
      </c>
      <c r="M587" s="20">
        <f t="shared" si="75"/>
        <v>8</v>
      </c>
      <c r="N587" s="20">
        <f t="shared" si="76"/>
        <v>0</v>
      </c>
      <c r="O587" s="20">
        <f t="shared" si="77"/>
        <v>1</v>
      </c>
      <c r="P587" s="22">
        <f t="shared" si="78"/>
        <v>265.45999999999998</v>
      </c>
      <c r="Q587" s="22">
        <f>G587*INDEX(Assumptions!$B$8:$B$16,MATCH(F587,Assumptions!$A$8:$A$16,0))</f>
        <v>149.47379999999998</v>
      </c>
      <c r="R587" s="22">
        <f>H587*Assumptions!$B$3</f>
        <v>16.919999999999998</v>
      </c>
      <c r="S587" s="22">
        <f t="shared" si="79"/>
        <v>70.866200000000006</v>
      </c>
      <c r="T587" s="20" t="str">
        <f t="shared" si="80"/>
        <v>8-14 days</v>
      </c>
    </row>
    <row r="588" spans="1:20" x14ac:dyDescent="0.3">
      <c r="A588" s="20" t="s">
        <v>654</v>
      </c>
      <c r="B588" s="20" t="s">
        <v>55</v>
      </c>
      <c r="C588" s="21">
        <v>45597</v>
      </c>
      <c r="D588" s="21">
        <v>45611</v>
      </c>
      <c r="E588" s="21">
        <v>45620</v>
      </c>
      <c r="F588" s="20" t="s">
        <v>44</v>
      </c>
      <c r="G588" s="22">
        <v>37.74</v>
      </c>
      <c r="H588" s="22">
        <v>25.23</v>
      </c>
      <c r="I588" s="20" t="s">
        <v>60</v>
      </c>
      <c r="J588" s="20">
        <v>5</v>
      </c>
      <c r="K588" s="20" t="s">
        <v>46</v>
      </c>
      <c r="L588" s="23">
        <f t="shared" si="74"/>
        <v>45597</v>
      </c>
      <c r="M588" s="20">
        <f t="shared" si="75"/>
        <v>14</v>
      </c>
      <c r="N588" s="20">
        <f t="shared" si="76"/>
        <v>0</v>
      </c>
      <c r="O588" s="20">
        <f t="shared" si="77"/>
        <v>1</v>
      </c>
      <c r="P588" s="22">
        <f t="shared" si="78"/>
        <v>62.97</v>
      </c>
      <c r="Q588" s="22">
        <f>G588*INDEX(Assumptions!$B$8:$B$16,MATCH(F588,Assumptions!$A$8:$A$16,0))</f>
        <v>22.644000000000002</v>
      </c>
      <c r="R588" s="22">
        <f>H588*Assumptions!$B$3</f>
        <v>15.138</v>
      </c>
      <c r="S588" s="22">
        <f t="shared" si="79"/>
        <v>-4.1999999999999815E-2</v>
      </c>
      <c r="T588" s="20" t="str">
        <f t="shared" si="80"/>
        <v>8-14 days</v>
      </c>
    </row>
    <row r="589" spans="1:20" x14ac:dyDescent="0.3">
      <c r="A589" s="20" t="s">
        <v>655</v>
      </c>
      <c r="B589" s="20" t="s">
        <v>19</v>
      </c>
      <c r="C589" s="21">
        <v>45597</v>
      </c>
      <c r="D589" s="21">
        <v>45606</v>
      </c>
      <c r="E589" s="21">
        <v>45614</v>
      </c>
      <c r="F589" s="20" t="s">
        <v>49</v>
      </c>
      <c r="G589" s="22">
        <v>50.06</v>
      </c>
      <c r="H589" s="22">
        <v>11.51</v>
      </c>
      <c r="I589" s="20" t="s">
        <v>45</v>
      </c>
      <c r="J589" s="20">
        <v>3</v>
      </c>
      <c r="K589" s="20" t="s">
        <v>46</v>
      </c>
      <c r="L589" s="23">
        <f t="shared" si="74"/>
        <v>45597</v>
      </c>
      <c r="M589" s="20">
        <f t="shared" si="75"/>
        <v>9</v>
      </c>
      <c r="N589" s="20">
        <f t="shared" si="76"/>
        <v>0</v>
      </c>
      <c r="O589" s="20">
        <f t="shared" si="77"/>
        <v>1</v>
      </c>
      <c r="P589" s="22">
        <f t="shared" si="78"/>
        <v>61.57</v>
      </c>
      <c r="Q589" s="22">
        <f>G589*INDEX(Assumptions!$B$8:$B$16,MATCH(F589,Assumptions!$A$8:$A$16,0))</f>
        <v>29.034800000000001</v>
      </c>
      <c r="R589" s="22">
        <f>H589*Assumptions!$B$3</f>
        <v>6.9059999999999997</v>
      </c>
      <c r="S589" s="22">
        <f t="shared" si="79"/>
        <v>14.119200000000003</v>
      </c>
      <c r="T589" s="20" t="str">
        <f t="shared" si="80"/>
        <v>8-14 days</v>
      </c>
    </row>
    <row r="590" spans="1:20" x14ac:dyDescent="0.3">
      <c r="A590" s="20" t="s">
        <v>656</v>
      </c>
      <c r="B590" s="20" t="s">
        <v>93</v>
      </c>
      <c r="C590" s="21">
        <v>45597</v>
      </c>
      <c r="D590" s="21">
        <v>45608</v>
      </c>
      <c r="E590" s="21">
        <v>45627</v>
      </c>
      <c r="F590" s="20" t="s">
        <v>49</v>
      </c>
      <c r="G590" s="22">
        <v>59.64</v>
      </c>
      <c r="H590" s="22">
        <v>28.49</v>
      </c>
      <c r="I590" s="20" t="s">
        <v>60</v>
      </c>
      <c r="J590" s="20">
        <v>4</v>
      </c>
      <c r="K590" s="20" t="s">
        <v>46</v>
      </c>
      <c r="L590" s="23">
        <f t="shared" si="74"/>
        <v>45597</v>
      </c>
      <c r="M590" s="20">
        <f t="shared" si="75"/>
        <v>11</v>
      </c>
      <c r="N590" s="20">
        <f t="shared" si="76"/>
        <v>0</v>
      </c>
      <c r="O590" s="20">
        <f t="shared" si="77"/>
        <v>1</v>
      </c>
      <c r="P590" s="22">
        <f t="shared" si="78"/>
        <v>88.13</v>
      </c>
      <c r="Q590" s="22">
        <f>G590*INDEX(Assumptions!$B$8:$B$16,MATCH(F590,Assumptions!$A$8:$A$16,0))</f>
        <v>34.591200000000001</v>
      </c>
      <c r="R590" s="22">
        <f>H590*Assumptions!$B$3</f>
        <v>17.093999999999998</v>
      </c>
      <c r="S590" s="22">
        <f t="shared" si="79"/>
        <v>7.9548000000000023</v>
      </c>
      <c r="T590" s="20" t="str">
        <f t="shared" si="80"/>
        <v>8-14 days</v>
      </c>
    </row>
    <row r="591" spans="1:20" x14ac:dyDescent="0.3">
      <c r="A591" s="20" t="s">
        <v>657</v>
      </c>
      <c r="B591" s="20" t="s">
        <v>52</v>
      </c>
      <c r="C591" s="21">
        <v>45597</v>
      </c>
      <c r="D591" s="21">
        <v>45615</v>
      </c>
      <c r="E591" s="21">
        <v>45620</v>
      </c>
      <c r="F591" s="20" t="s">
        <v>53</v>
      </c>
      <c r="G591" s="22">
        <v>140.66</v>
      </c>
      <c r="H591" s="22">
        <v>27.12</v>
      </c>
      <c r="I591" s="20" t="s">
        <v>60</v>
      </c>
      <c r="J591" s="20">
        <v>4</v>
      </c>
      <c r="K591" s="20" t="s">
        <v>46</v>
      </c>
      <c r="L591" s="23">
        <f t="shared" si="74"/>
        <v>45597</v>
      </c>
      <c r="M591" s="20">
        <f t="shared" si="75"/>
        <v>18</v>
      </c>
      <c r="N591" s="20">
        <f t="shared" si="76"/>
        <v>0</v>
      </c>
      <c r="O591" s="20">
        <f t="shared" si="77"/>
        <v>1</v>
      </c>
      <c r="P591" s="22">
        <f t="shared" si="78"/>
        <v>167.78</v>
      </c>
      <c r="Q591" s="22">
        <f>G591*INDEX(Assumptions!$B$8:$B$16,MATCH(F591,Assumptions!$A$8:$A$16,0))</f>
        <v>104.08839999999999</v>
      </c>
      <c r="R591" s="22">
        <f>H591*Assumptions!$B$3</f>
        <v>16.271999999999998</v>
      </c>
      <c r="S591" s="22">
        <f t="shared" si="79"/>
        <v>20.299600000000005</v>
      </c>
      <c r="T591" s="20" t="str">
        <f t="shared" si="80"/>
        <v>15-21 days</v>
      </c>
    </row>
    <row r="592" spans="1:20" x14ac:dyDescent="0.3">
      <c r="A592" s="20" t="s">
        <v>658</v>
      </c>
      <c r="B592" s="20" t="s">
        <v>19</v>
      </c>
      <c r="C592" s="21">
        <v>45597</v>
      </c>
      <c r="D592" s="21">
        <v>45604</v>
      </c>
      <c r="E592" s="21">
        <v>45615</v>
      </c>
      <c r="F592" s="20" t="s">
        <v>53</v>
      </c>
      <c r="G592" s="22">
        <v>101.14</v>
      </c>
      <c r="H592" s="22">
        <v>19.649999999999999</v>
      </c>
      <c r="I592" s="20" t="s">
        <v>50</v>
      </c>
      <c r="J592" s="20">
        <v>4</v>
      </c>
      <c r="K592" s="20" t="s">
        <v>46</v>
      </c>
      <c r="L592" s="23">
        <f t="shared" si="74"/>
        <v>45597</v>
      </c>
      <c r="M592" s="20">
        <f t="shared" si="75"/>
        <v>7</v>
      </c>
      <c r="N592" s="20">
        <f t="shared" si="76"/>
        <v>0</v>
      </c>
      <c r="O592" s="20">
        <f t="shared" si="77"/>
        <v>1</v>
      </c>
      <c r="P592" s="22">
        <f t="shared" si="78"/>
        <v>120.78999999999999</v>
      </c>
      <c r="Q592" s="22">
        <f>G592*INDEX(Assumptions!$B$8:$B$16,MATCH(F592,Assumptions!$A$8:$A$16,0))</f>
        <v>74.843599999999995</v>
      </c>
      <c r="R592" s="22">
        <f>H592*Assumptions!$B$3</f>
        <v>11.79</v>
      </c>
      <c r="S592" s="22">
        <f t="shared" si="79"/>
        <v>14.506400000000006</v>
      </c>
      <c r="T592" s="20" t="str">
        <f t="shared" si="80"/>
        <v>0-7 days</v>
      </c>
    </row>
    <row r="593" spans="1:20" x14ac:dyDescent="0.3">
      <c r="A593" s="20" t="s">
        <v>659</v>
      </c>
      <c r="B593" s="20" t="s">
        <v>19</v>
      </c>
      <c r="C593" s="21">
        <v>45597</v>
      </c>
      <c r="D593" s="21">
        <v>45600</v>
      </c>
      <c r="E593" s="21">
        <v>45611</v>
      </c>
      <c r="F593" s="20" t="s">
        <v>67</v>
      </c>
      <c r="G593" s="22">
        <v>85.13</v>
      </c>
      <c r="H593" s="22">
        <v>17.34</v>
      </c>
      <c r="I593" s="20" t="s">
        <v>45</v>
      </c>
      <c r="J593" s="20">
        <v>5</v>
      </c>
      <c r="K593" s="20" t="s">
        <v>46</v>
      </c>
      <c r="L593" s="23">
        <f t="shared" si="74"/>
        <v>45597</v>
      </c>
      <c r="M593" s="20">
        <f t="shared" si="75"/>
        <v>3</v>
      </c>
      <c r="N593" s="20">
        <f t="shared" si="76"/>
        <v>0</v>
      </c>
      <c r="O593" s="20">
        <f t="shared" si="77"/>
        <v>1</v>
      </c>
      <c r="P593" s="22">
        <f t="shared" si="78"/>
        <v>102.47</v>
      </c>
      <c r="Q593" s="22">
        <f>G593*INDEX(Assumptions!$B$8:$B$16,MATCH(F593,Assumptions!$A$8:$A$16,0))</f>
        <v>52.7806</v>
      </c>
      <c r="R593" s="22">
        <f>H593*Assumptions!$B$3</f>
        <v>10.404</v>
      </c>
      <c r="S593" s="22">
        <f t="shared" si="79"/>
        <v>21.945399999999996</v>
      </c>
      <c r="T593" s="20" t="str">
        <f t="shared" si="80"/>
        <v>0-7 days</v>
      </c>
    </row>
    <row r="594" spans="1:20" x14ac:dyDescent="0.3">
      <c r="A594" s="20" t="s">
        <v>660</v>
      </c>
      <c r="B594" s="20" t="s">
        <v>55</v>
      </c>
      <c r="C594" s="21">
        <v>45598</v>
      </c>
      <c r="D594" s="21">
        <v>45615</v>
      </c>
      <c r="E594" s="21">
        <v>45626</v>
      </c>
      <c r="F594" s="20" t="s">
        <v>49</v>
      </c>
      <c r="G594" s="22">
        <v>134.22999999999999</v>
      </c>
      <c r="H594" s="22">
        <v>23.72</v>
      </c>
      <c r="I594" s="20" t="s">
        <v>45</v>
      </c>
      <c r="J594" s="20">
        <v>5</v>
      </c>
      <c r="K594" s="20" t="s">
        <v>46</v>
      </c>
      <c r="L594" s="23">
        <f t="shared" si="74"/>
        <v>45597</v>
      </c>
      <c r="M594" s="20">
        <f t="shared" si="75"/>
        <v>17</v>
      </c>
      <c r="N594" s="20">
        <f t="shared" si="76"/>
        <v>0</v>
      </c>
      <c r="O594" s="20">
        <f t="shared" si="77"/>
        <v>1</v>
      </c>
      <c r="P594" s="22">
        <f t="shared" si="78"/>
        <v>157.94999999999999</v>
      </c>
      <c r="Q594" s="22">
        <f>G594*INDEX(Assumptions!$B$8:$B$16,MATCH(F594,Assumptions!$A$8:$A$16,0))</f>
        <v>77.853399999999993</v>
      </c>
      <c r="R594" s="22">
        <f>H594*Assumptions!$B$3</f>
        <v>14.231999999999999</v>
      </c>
      <c r="S594" s="22">
        <f t="shared" si="79"/>
        <v>42.144599999999997</v>
      </c>
      <c r="T594" s="20" t="str">
        <f t="shared" si="80"/>
        <v>15-21 days</v>
      </c>
    </row>
    <row r="595" spans="1:20" x14ac:dyDescent="0.3">
      <c r="A595" s="20" t="s">
        <v>661</v>
      </c>
      <c r="B595" s="20" t="s">
        <v>103</v>
      </c>
      <c r="C595" s="21">
        <v>45598</v>
      </c>
      <c r="D595" s="21">
        <v>45611</v>
      </c>
      <c r="E595" s="21">
        <v>45619</v>
      </c>
      <c r="F595" s="20" t="s">
        <v>67</v>
      </c>
      <c r="G595" s="22">
        <v>104.23</v>
      </c>
      <c r="H595" s="22">
        <v>23.58</v>
      </c>
      <c r="I595" s="20" t="s">
        <v>60</v>
      </c>
      <c r="J595" s="20">
        <v>5</v>
      </c>
      <c r="K595" s="20" t="s">
        <v>46</v>
      </c>
      <c r="L595" s="23">
        <f t="shared" si="74"/>
        <v>45597</v>
      </c>
      <c r="M595" s="20">
        <f t="shared" si="75"/>
        <v>13</v>
      </c>
      <c r="N595" s="20">
        <f t="shared" si="76"/>
        <v>0</v>
      </c>
      <c r="O595" s="20">
        <f t="shared" si="77"/>
        <v>1</v>
      </c>
      <c r="P595" s="22">
        <f t="shared" si="78"/>
        <v>127.81</v>
      </c>
      <c r="Q595" s="22">
        <f>G595*INDEX(Assumptions!$B$8:$B$16,MATCH(F595,Assumptions!$A$8:$A$16,0))</f>
        <v>64.622600000000006</v>
      </c>
      <c r="R595" s="22">
        <f>H595*Assumptions!$B$3</f>
        <v>14.147999999999998</v>
      </c>
      <c r="S595" s="22">
        <f t="shared" si="79"/>
        <v>25.459400000000002</v>
      </c>
      <c r="T595" s="20" t="str">
        <f t="shared" si="80"/>
        <v>8-14 days</v>
      </c>
    </row>
    <row r="596" spans="1:20" x14ac:dyDescent="0.3">
      <c r="A596" s="20" t="s">
        <v>662</v>
      </c>
      <c r="B596" s="20" t="s">
        <v>156</v>
      </c>
      <c r="C596" s="21">
        <v>45598</v>
      </c>
      <c r="D596" s="21">
        <v>45623</v>
      </c>
      <c r="E596" s="21">
        <v>45624</v>
      </c>
      <c r="F596" s="20" t="s">
        <v>44</v>
      </c>
      <c r="G596" s="22">
        <v>29.95</v>
      </c>
      <c r="H596" s="22">
        <v>28.35</v>
      </c>
      <c r="I596" s="20" t="s">
        <v>45</v>
      </c>
      <c r="J596" s="20">
        <v>3</v>
      </c>
      <c r="K596" s="20" t="s">
        <v>46</v>
      </c>
      <c r="L596" s="23">
        <f t="shared" si="74"/>
        <v>45597</v>
      </c>
      <c r="M596" s="20">
        <f t="shared" si="75"/>
        <v>25</v>
      </c>
      <c r="N596" s="20">
        <f t="shared" si="76"/>
        <v>0</v>
      </c>
      <c r="O596" s="20">
        <f t="shared" si="77"/>
        <v>1</v>
      </c>
      <c r="P596" s="22">
        <f t="shared" si="78"/>
        <v>58.3</v>
      </c>
      <c r="Q596" s="22">
        <f>G596*INDEX(Assumptions!$B$8:$B$16,MATCH(F596,Assumptions!$A$8:$A$16,0))</f>
        <v>17.97</v>
      </c>
      <c r="R596" s="22">
        <f>H596*Assumptions!$B$3</f>
        <v>17.010000000000002</v>
      </c>
      <c r="S596" s="22">
        <f t="shared" si="79"/>
        <v>-5.0300000000000011</v>
      </c>
      <c r="T596" s="20" t="str">
        <f t="shared" si="80"/>
        <v>22+ days</v>
      </c>
    </row>
    <row r="597" spans="1:20" x14ac:dyDescent="0.3">
      <c r="A597" s="20" t="s">
        <v>663</v>
      </c>
      <c r="B597" s="20" t="s">
        <v>19</v>
      </c>
      <c r="C597" s="21">
        <v>45599</v>
      </c>
      <c r="D597" s="21">
        <v>45606</v>
      </c>
      <c r="E597" s="21">
        <v>45615</v>
      </c>
      <c r="F597" s="20" t="s">
        <v>79</v>
      </c>
      <c r="G597" s="22">
        <v>108.55</v>
      </c>
      <c r="H597" s="22">
        <v>12.95</v>
      </c>
      <c r="I597" s="20" t="s">
        <v>45</v>
      </c>
      <c r="J597" s="20">
        <v>5</v>
      </c>
      <c r="K597" s="20" t="s">
        <v>46</v>
      </c>
      <c r="L597" s="23">
        <f t="shared" si="74"/>
        <v>45597</v>
      </c>
      <c r="M597" s="20">
        <f t="shared" si="75"/>
        <v>7</v>
      </c>
      <c r="N597" s="20">
        <f t="shared" si="76"/>
        <v>0</v>
      </c>
      <c r="O597" s="20">
        <f t="shared" si="77"/>
        <v>1</v>
      </c>
      <c r="P597" s="22">
        <f t="shared" si="78"/>
        <v>121.5</v>
      </c>
      <c r="Q597" s="22">
        <f>G597*INDEX(Assumptions!$B$8:$B$16,MATCH(F597,Assumptions!$A$8:$A$16,0))</f>
        <v>75.984999999999999</v>
      </c>
      <c r="R597" s="22">
        <f>H597*Assumptions!$B$3</f>
        <v>7.77</v>
      </c>
      <c r="S597" s="22">
        <f t="shared" si="79"/>
        <v>24.794999999999998</v>
      </c>
      <c r="T597" s="20" t="str">
        <f t="shared" si="80"/>
        <v>0-7 days</v>
      </c>
    </row>
    <row r="598" spans="1:20" x14ac:dyDescent="0.3">
      <c r="A598" s="20" t="s">
        <v>664</v>
      </c>
      <c r="B598" s="20" t="s">
        <v>19</v>
      </c>
      <c r="C598" s="21">
        <v>45599</v>
      </c>
      <c r="D598" s="21">
        <v>45603</v>
      </c>
      <c r="E598" s="21">
        <v>45615</v>
      </c>
      <c r="F598" s="20" t="s">
        <v>44</v>
      </c>
      <c r="G598" s="22">
        <v>99.38</v>
      </c>
      <c r="H598" s="22">
        <v>17.68</v>
      </c>
      <c r="I598" s="20" t="s">
        <v>45</v>
      </c>
      <c r="J598" s="20">
        <v>5</v>
      </c>
      <c r="K598" s="20" t="s">
        <v>46</v>
      </c>
      <c r="L598" s="23">
        <f t="shared" si="74"/>
        <v>45597</v>
      </c>
      <c r="M598" s="20">
        <f t="shared" si="75"/>
        <v>4</v>
      </c>
      <c r="N598" s="20">
        <f t="shared" si="76"/>
        <v>0</v>
      </c>
      <c r="O598" s="20">
        <f t="shared" si="77"/>
        <v>1</v>
      </c>
      <c r="P598" s="22">
        <f t="shared" si="78"/>
        <v>117.06</v>
      </c>
      <c r="Q598" s="22">
        <f>G598*INDEX(Assumptions!$B$8:$B$16,MATCH(F598,Assumptions!$A$8:$A$16,0))</f>
        <v>59.627999999999993</v>
      </c>
      <c r="R598" s="22">
        <f>H598*Assumptions!$B$3</f>
        <v>10.607999999999999</v>
      </c>
      <c r="S598" s="22">
        <f t="shared" si="79"/>
        <v>29.144000000000005</v>
      </c>
      <c r="T598" s="20" t="str">
        <f t="shared" si="80"/>
        <v>0-7 days</v>
      </c>
    </row>
    <row r="599" spans="1:20" x14ac:dyDescent="0.3">
      <c r="A599" s="20" t="s">
        <v>665</v>
      </c>
      <c r="B599" s="20" t="s">
        <v>19</v>
      </c>
      <c r="C599" s="21">
        <v>45599</v>
      </c>
      <c r="D599" s="21">
        <v>45604</v>
      </c>
      <c r="E599" s="21">
        <v>45618</v>
      </c>
      <c r="F599" s="20" t="s">
        <v>111</v>
      </c>
      <c r="G599" s="22">
        <v>102.09</v>
      </c>
      <c r="H599" s="22">
        <v>16.52</v>
      </c>
      <c r="I599" s="20" t="s">
        <v>45</v>
      </c>
      <c r="J599" s="20">
        <v>4</v>
      </c>
      <c r="K599" s="20" t="s">
        <v>46</v>
      </c>
      <c r="L599" s="23">
        <f t="shared" si="74"/>
        <v>45597</v>
      </c>
      <c r="M599" s="20">
        <f t="shared" si="75"/>
        <v>5</v>
      </c>
      <c r="N599" s="20">
        <f t="shared" si="76"/>
        <v>0</v>
      </c>
      <c r="O599" s="20">
        <f t="shared" si="77"/>
        <v>1</v>
      </c>
      <c r="P599" s="22">
        <f t="shared" si="78"/>
        <v>118.61</v>
      </c>
      <c r="Q599" s="22">
        <f>G599*INDEX(Assumptions!$B$8:$B$16,MATCH(F599,Assumptions!$A$8:$A$16,0))</f>
        <v>64.316699999999997</v>
      </c>
      <c r="R599" s="22">
        <f>H599*Assumptions!$B$3</f>
        <v>9.911999999999999</v>
      </c>
      <c r="S599" s="22">
        <f t="shared" si="79"/>
        <v>27.861300000000007</v>
      </c>
      <c r="T599" s="20" t="str">
        <f t="shared" si="80"/>
        <v>0-7 days</v>
      </c>
    </row>
    <row r="600" spans="1:20" x14ac:dyDescent="0.3">
      <c r="A600" s="20" t="s">
        <v>666</v>
      </c>
      <c r="B600" s="20" t="s">
        <v>19</v>
      </c>
      <c r="C600" s="21">
        <v>45599</v>
      </c>
      <c r="D600" s="21">
        <v>45612</v>
      </c>
      <c r="E600" s="21">
        <v>45618</v>
      </c>
      <c r="F600" s="20" t="s">
        <v>79</v>
      </c>
      <c r="G600" s="22">
        <v>102.38</v>
      </c>
      <c r="H600" s="22">
        <v>20.92</v>
      </c>
      <c r="I600" s="20" t="s">
        <v>60</v>
      </c>
      <c r="J600" s="20">
        <v>5</v>
      </c>
      <c r="K600" s="20" t="s">
        <v>46</v>
      </c>
      <c r="L600" s="23">
        <f t="shared" si="74"/>
        <v>45597</v>
      </c>
      <c r="M600" s="20">
        <f t="shared" si="75"/>
        <v>13</v>
      </c>
      <c r="N600" s="20">
        <f t="shared" si="76"/>
        <v>0</v>
      </c>
      <c r="O600" s="20">
        <f t="shared" si="77"/>
        <v>1</v>
      </c>
      <c r="P600" s="22">
        <f t="shared" si="78"/>
        <v>123.3</v>
      </c>
      <c r="Q600" s="22">
        <f>G600*INDEX(Assumptions!$B$8:$B$16,MATCH(F600,Assumptions!$A$8:$A$16,0))</f>
        <v>71.665999999999997</v>
      </c>
      <c r="R600" s="22">
        <f>H600*Assumptions!$B$3</f>
        <v>12.552000000000001</v>
      </c>
      <c r="S600" s="22">
        <f t="shared" si="79"/>
        <v>18.161999999999999</v>
      </c>
      <c r="T600" s="20" t="str">
        <f t="shared" si="80"/>
        <v>8-14 days</v>
      </c>
    </row>
    <row r="601" spans="1:20" x14ac:dyDescent="0.3">
      <c r="A601" s="20" t="s">
        <v>667</v>
      </c>
      <c r="B601" s="20" t="s">
        <v>52</v>
      </c>
      <c r="C601" s="21">
        <v>45599</v>
      </c>
      <c r="D601" s="21">
        <v>45609</v>
      </c>
      <c r="E601" s="21">
        <v>45622</v>
      </c>
      <c r="F601" s="20" t="s">
        <v>53</v>
      </c>
      <c r="G601" s="22">
        <v>109.57</v>
      </c>
      <c r="H601" s="22">
        <v>30.26</v>
      </c>
      <c r="I601" s="20" t="s">
        <v>50</v>
      </c>
      <c r="J601" s="20">
        <v>5</v>
      </c>
      <c r="K601" s="20" t="s">
        <v>46</v>
      </c>
      <c r="L601" s="23">
        <f t="shared" si="74"/>
        <v>45597</v>
      </c>
      <c r="M601" s="20">
        <f t="shared" si="75"/>
        <v>10</v>
      </c>
      <c r="N601" s="20">
        <f t="shared" si="76"/>
        <v>0</v>
      </c>
      <c r="O601" s="20">
        <f t="shared" si="77"/>
        <v>1</v>
      </c>
      <c r="P601" s="22">
        <f t="shared" si="78"/>
        <v>139.82999999999998</v>
      </c>
      <c r="Q601" s="22">
        <f>G601*INDEX(Assumptions!$B$8:$B$16,MATCH(F601,Assumptions!$A$8:$A$16,0))</f>
        <v>81.081799999999987</v>
      </c>
      <c r="R601" s="22">
        <f>H601*Assumptions!$B$3</f>
        <v>18.155999999999999</v>
      </c>
      <c r="S601" s="22">
        <f t="shared" si="79"/>
        <v>10.332200000000007</v>
      </c>
      <c r="T601" s="20" t="str">
        <f t="shared" si="80"/>
        <v>8-14 days</v>
      </c>
    </row>
    <row r="602" spans="1:20" x14ac:dyDescent="0.3">
      <c r="A602" s="20" t="s">
        <v>668</v>
      </c>
      <c r="B602" s="20" t="s">
        <v>156</v>
      </c>
      <c r="C602" s="21">
        <v>45599</v>
      </c>
      <c r="D602" s="21">
        <v>45615</v>
      </c>
      <c r="E602" s="21">
        <v>45625</v>
      </c>
      <c r="F602" s="20" t="s">
        <v>111</v>
      </c>
      <c r="G602" s="22">
        <v>106.87</v>
      </c>
      <c r="H602" s="22">
        <v>19.25</v>
      </c>
      <c r="I602" s="20" t="s">
        <v>60</v>
      </c>
      <c r="J602" s="20">
        <v>5</v>
      </c>
      <c r="K602" s="20" t="s">
        <v>46</v>
      </c>
      <c r="L602" s="23">
        <f t="shared" si="74"/>
        <v>45597</v>
      </c>
      <c r="M602" s="20">
        <f t="shared" si="75"/>
        <v>16</v>
      </c>
      <c r="N602" s="20">
        <f t="shared" si="76"/>
        <v>0</v>
      </c>
      <c r="O602" s="20">
        <f t="shared" si="77"/>
        <v>1</v>
      </c>
      <c r="P602" s="22">
        <f t="shared" si="78"/>
        <v>126.12</v>
      </c>
      <c r="Q602" s="22">
        <f>G602*INDEX(Assumptions!$B$8:$B$16,MATCH(F602,Assumptions!$A$8:$A$16,0))</f>
        <v>67.328100000000006</v>
      </c>
      <c r="R602" s="22">
        <f>H602*Assumptions!$B$3</f>
        <v>11.549999999999999</v>
      </c>
      <c r="S602" s="22">
        <f t="shared" si="79"/>
        <v>27.991900000000001</v>
      </c>
      <c r="T602" s="20" t="str">
        <f t="shared" si="80"/>
        <v>15-21 days</v>
      </c>
    </row>
    <row r="603" spans="1:20" x14ac:dyDescent="0.3">
      <c r="A603" s="20" t="s">
        <v>669</v>
      </c>
      <c r="B603" s="20" t="s">
        <v>19</v>
      </c>
      <c r="C603" s="21">
        <v>45599</v>
      </c>
      <c r="D603" s="21">
        <v>45612</v>
      </c>
      <c r="E603" s="21">
        <v>45612</v>
      </c>
      <c r="F603" s="20" t="s">
        <v>49</v>
      </c>
      <c r="G603" s="22">
        <v>87.88</v>
      </c>
      <c r="H603" s="22">
        <v>17.850000000000001</v>
      </c>
      <c r="I603" s="20" t="s">
        <v>45</v>
      </c>
      <c r="J603" s="20">
        <v>5</v>
      </c>
      <c r="K603" s="20" t="s">
        <v>46</v>
      </c>
      <c r="L603" s="23">
        <f t="shared" si="74"/>
        <v>45597</v>
      </c>
      <c r="M603" s="20">
        <f t="shared" si="75"/>
        <v>13</v>
      </c>
      <c r="N603" s="20">
        <f t="shared" si="76"/>
        <v>0</v>
      </c>
      <c r="O603" s="20">
        <f t="shared" si="77"/>
        <v>1</v>
      </c>
      <c r="P603" s="22">
        <f t="shared" si="78"/>
        <v>105.72999999999999</v>
      </c>
      <c r="Q603" s="22">
        <f>G603*INDEX(Assumptions!$B$8:$B$16,MATCH(F603,Assumptions!$A$8:$A$16,0))</f>
        <v>50.970399999999991</v>
      </c>
      <c r="R603" s="22">
        <f>H603*Assumptions!$B$3</f>
        <v>10.71</v>
      </c>
      <c r="S603" s="22">
        <f t="shared" si="79"/>
        <v>26.199600000000004</v>
      </c>
      <c r="T603" s="20" t="str">
        <f t="shared" si="80"/>
        <v>8-14 days</v>
      </c>
    </row>
    <row r="604" spans="1:20" x14ac:dyDescent="0.3">
      <c r="A604" s="20" t="s">
        <v>670</v>
      </c>
      <c r="B604" s="20" t="s">
        <v>62</v>
      </c>
      <c r="C604" s="21">
        <v>45599</v>
      </c>
      <c r="D604" s="21">
        <v>45613</v>
      </c>
      <c r="E604" s="21">
        <v>45622</v>
      </c>
      <c r="F604" s="20" t="s">
        <v>59</v>
      </c>
      <c r="G604" s="22">
        <v>44.46</v>
      </c>
      <c r="H604" s="22">
        <v>18.940000000000001</v>
      </c>
      <c r="I604" s="20" t="s">
        <v>50</v>
      </c>
      <c r="J604" s="20">
        <v>5</v>
      </c>
      <c r="K604" s="20" t="s">
        <v>46</v>
      </c>
      <c r="L604" s="23">
        <f t="shared" si="74"/>
        <v>45597</v>
      </c>
      <c r="M604" s="20">
        <f t="shared" si="75"/>
        <v>14</v>
      </c>
      <c r="N604" s="20">
        <f t="shared" si="76"/>
        <v>0</v>
      </c>
      <c r="O604" s="20">
        <f t="shared" si="77"/>
        <v>1</v>
      </c>
      <c r="P604" s="22">
        <f t="shared" si="78"/>
        <v>63.400000000000006</v>
      </c>
      <c r="Q604" s="22">
        <f>G604*INDEX(Assumptions!$B$8:$B$16,MATCH(F604,Assumptions!$A$8:$A$16,0))</f>
        <v>28.4544</v>
      </c>
      <c r="R604" s="22">
        <f>H604*Assumptions!$B$3</f>
        <v>11.364000000000001</v>
      </c>
      <c r="S604" s="22">
        <f t="shared" si="79"/>
        <v>4.6416000000000004</v>
      </c>
      <c r="T604" s="20" t="str">
        <f t="shared" si="80"/>
        <v>8-14 days</v>
      </c>
    </row>
    <row r="605" spans="1:20" x14ac:dyDescent="0.3">
      <c r="A605" s="20" t="s">
        <v>671</v>
      </c>
      <c r="B605" s="20" t="s">
        <v>52</v>
      </c>
      <c r="C605" s="21">
        <v>45600</v>
      </c>
      <c r="D605" s="21">
        <v>45612</v>
      </c>
      <c r="E605" s="21">
        <v>45623</v>
      </c>
      <c r="F605" s="20" t="s">
        <v>57</v>
      </c>
      <c r="G605" s="22">
        <v>71.16</v>
      </c>
      <c r="H605" s="22">
        <v>17.28</v>
      </c>
      <c r="I605" s="20" t="s">
        <v>45</v>
      </c>
      <c r="J605" s="20">
        <v>5</v>
      </c>
      <c r="K605" s="20" t="s">
        <v>46</v>
      </c>
      <c r="L605" s="23">
        <f t="shared" si="74"/>
        <v>45597</v>
      </c>
      <c r="M605" s="20">
        <f t="shared" si="75"/>
        <v>12</v>
      </c>
      <c r="N605" s="20">
        <f t="shared" si="76"/>
        <v>0</v>
      </c>
      <c r="O605" s="20">
        <f t="shared" si="77"/>
        <v>1</v>
      </c>
      <c r="P605" s="22">
        <f t="shared" si="78"/>
        <v>88.44</v>
      </c>
      <c r="Q605" s="22">
        <f>G605*INDEX(Assumptions!$B$8:$B$16,MATCH(F605,Assumptions!$A$8:$A$16,0))</f>
        <v>48.388800000000003</v>
      </c>
      <c r="R605" s="22">
        <f>H605*Assumptions!$B$3</f>
        <v>10.368</v>
      </c>
      <c r="S605" s="22">
        <f t="shared" si="79"/>
        <v>12.403199999999993</v>
      </c>
      <c r="T605" s="20" t="str">
        <f t="shared" si="80"/>
        <v>8-14 days</v>
      </c>
    </row>
    <row r="606" spans="1:20" x14ac:dyDescent="0.3">
      <c r="A606" s="20" t="s">
        <v>672</v>
      </c>
      <c r="B606" s="20" t="s">
        <v>19</v>
      </c>
      <c r="C606" s="21">
        <v>45600</v>
      </c>
      <c r="D606" s="21">
        <v>45610</v>
      </c>
      <c r="E606" s="21">
        <v>45617</v>
      </c>
      <c r="F606" s="20" t="s">
        <v>67</v>
      </c>
      <c r="G606" s="22">
        <v>78.400000000000006</v>
      </c>
      <c r="H606" s="22">
        <v>15.87</v>
      </c>
      <c r="I606" s="20" t="s">
        <v>60</v>
      </c>
      <c r="J606" s="20">
        <v>4</v>
      </c>
      <c r="K606" s="20" t="s">
        <v>46</v>
      </c>
      <c r="L606" s="23">
        <f t="shared" si="74"/>
        <v>45597</v>
      </c>
      <c r="M606" s="20">
        <f t="shared" si="75"/>
        <v>10</v>
      </c>
      <c r="N606" s="20">
        <f t="shared" si="76"/>
        <v>0</v>
      </c>
      <c r="O606" s="20">
        <f t="shared" si="77"/>
        <v>1</v>
      </c>
      <c r="P606" s="22">
        <f t="shared" si="78"/>
        <v>94.27000000000001</v>
      </c>
      <c r="Q606" s="22">
        <f>G606*INDEX(Assumptions!$B$8:$B$16,MATCH(F606,Assumptions!$A$8:$A$16,0))</f>
        <v>48.608000000000004</v>
      </c>
      <c r="R606" s="22">
        <f>H606*Assumptions!$B$3</f>
        <v>9.5219999999999985</v>
      </c>
      <c r="S606" s="22">
        <f t="shared" si="79"/>
        <v>20.270000000000003</v>
      </c>
      <c r="T606" s="20" t="str">
        <f t="shared" si="80"/>
        <v>8-14 days</v>
      </c>
    </row>
    <row r="607" spans="1:20" x14ac:dyDescent="0.3">
      <c r="A607" s="20" t="s">
        <v>673</v>
      </c>
      <c r="B607" s="20" t="s">
        <v>77</v>
      </c>
      <c r="C607" s="21">
        <v>45600</v>
      </c>
      <c r="D607" s="21">
        <v>45611</v>
      </c>
      <c r="E607" s="21">
        <v>45622</v>
      </c>
      <c r="F607" s="20" t="s">
        <v>49</v>
      </c>
      <c r="G607" s="22">
        <v>91.61</v>
      </c>
      <c r="H607" s="22">
        <v>26.76</v>
      </c>
      <c r="I607" s="20" t="s">
        <v>45</v>
      </c>
      <c r="J607" s="20">
        <v>4</v>
      </c>
      <c r="K607" s="20" t="s">
        <v>46</v>
      </c>
      <c r="L607" s="23">
        <f t="shared" si="74"/>
        <v>45597</v>
      </c>
      <c r="M607" s="20">
        <f t="shared" si="75"/>
        <v>11</v>
      </c>
      <c r="N607" s="20">
        <f t="shared" si="76"/>
        <v>0</v>
      </c>
      <c r="O607" s="20">
        <f t="shared" si="77"/>
        <v>1</v>
      </c>
      <c r="P607" s="22">
        <f t="shared" si="78"/>
        <v>118.37</v>
      </c>
      <c r="Q607" s="22">
        <f>G607*INDEX(Assumptions!$B$8:$B$16,MATCH(F607,Assumptions!$A$8:$A$16,0))</f>
        <v>53.133799999999994</v>
      </c>
      <c r="R607" s="22">
        <f>H607*Assumptions!$B$3</f>
        <v>16.056000000000001</v>
      </c>
      <c r="S607" s="22">
        <f t="shared" si="79"/>
        <v>22.420200000000005</v>
      </c>
      <c r="T607" s="20" t="str">
        <f t="shared" si="80"/>
        <v>8-14 days</v>
      </c>
    </row>
    <row r="608" spans="1:20" x14ac:dyDescent="0.3">
      <c r="A608" s="20" t="s">
        <v>674</v>
      </c>
      <c r="B608" s="20" t="s">
        <v>55</v>
      </c>
      <c r="C608" s="21">
        <v>45600</v>
      </c>
      <c r="D608" s="21">
        <v>45618</v>
      </c>
      <c r="E608" s="21">
        <v>45622</v>
      </c>
      <c r="F608" s="20" t="s">
        <v>49</v>
      </c>
      <c r="G608" s="22">
        <v>143.34</v>
      </c>
      <c r="H608" s="22">
        <v>19.68</v>
      </c>
      <c r="I608" s="20" t="s">
        <v>45</v>
      </c>
      <c r="J608" s="20">
        <v>4</v>
      </c>
      <c r="K608" s="20" t="s">
        <v>46</v>
      </c>
      <c r="L608" s="23">
        <f t="shared" si="74"/>
        <v>45597</v>
      </c>
      <c r="M608" s="20">
        <f t="shared" si="75"/>
        <v>18</v>
      </c>
      <c r="N608" s="20">
        <f t="shared" si="76"/>
        <v>0</v>
      </c>
      <c r="O608" s="20">
        <f t="shared" si="77"/>
        <v>1</v>
      </c>
      <c r="P608" s="22">
        <f t="shared" si="78"/>
        <v>163.02000000000001</v>
      </c>
      <c r="Q608" s="22">
        <f>G608*INDEX(Assumptions!$B$8:$B$16,MATCH(F608,Assumptions!$A$8:$A$16,0))</f>
        <v>83.137199999999993</v>
      </c>
      <c r="R608" s="22">
        <f>H608*Assumptions!$B$3</f>
        <v>11.808</v>
      </c>
      <c r="S608" s="22">
        <f t="shared" si="79"/>
        <v>48.394800000000011</v>
      </c>
      <c r="T608" s="20" t="str">
        <f t="shared" si="80"/>
        <v>15-21 days</v>
      </c>
    </row>
    <row r="609" spans="1:20" x14ac:dyDescent="0.3">
      <c r="A609" s="20" t="s">
        <v>675</v>
      </c>
      <c r="B609" s="20" t="s">
        <v>55</v>
      </c>
      <c r="C609" s="21">
        <v>45600</v>
      </c>
      <c r="D609" s="21">
        <v>45622</v>
      </c>
      <c r="E609" s="21">
        <v>45625</v>
      </c>
      <c r="F609" s="20" t="s">
        <v>49</v>
      </c>
      <c r="G609" s="22">
        <v>131.53</v>
      </c>
      <c r="H609" s="22">
        <v>26.93</v>
      </c>
      <c r="I609" s="20" t="s">
        <v>45</v>
      </c>
      <c r="J609" s="20">
        <v>5</v>
      </c>
      <c r="K609" s="20" t="s">
        <v>46</v>
      </c>
      <c r="L609" s="23">
        <f t="shared" si="74"/>
        <v>45597</v>
      </c>
      <c r="M609" s="20">
        <f t="shared" si="75"/>
        <v>22</v>
      </c>
      <c r="N609" s="20">
        <f t="shared" si="76"/>
        <v>0</v>
      </c>
      <c r="O609" s="20">
        <f t="shared" si="77"/>
        <v>1</v>
      </c>
      <c r="P609" s="22">
        <f t="shared" si="78"/>
        <v>158.46</v>
      </c>
      <c r="Q609" s="22">
        <f>G609*INDEX(Assumptions!$B$8:$B$16,MATCH(F609,Assumptions!$A$8:$A$16,0))</f>
        <v>76.287399999999991</v>
      </c>
      <c r="R609" s="22">
        <f>H609*Assumptions!$B$3</f>
        <v>16.157999999999998</v>
      </c>
      <c r="S609" s="22">
        <f t="shared" si="79"/>
        <v>39.084600000000009</v>
      </c>
      <c r="T609" s="20" t="str">
        <f t="shared" si="80"/>
        <v>22+ days</v>
      </c>
    </row>
    <row r="610" spans="1:20" x14ac:dyDescent="0.3">
      <c r="A610" s="20" t="s">
        <v>676</v>
      </c>
      <c r="B610" s="20" t="s">
        <v>19</v>
      </c>
      <c r="C610" s="21">
        <v>45600</v>
      </c>
      <c r="D610" s="21">
        <v>45616</v>
      </c>
      <c r="E610" s="21">
        <v>45612</v>
      </c>
      <c r="F610" s="20" t="s">
        <v>79</v>
      </c>
      <c r="G610" s="22">
        <v>220.42</v>
      </c>
      <c r="H610" s="22">
        <v>20.02</v>
      </c>
      <c r="I610" s="20" t="s">
        <v>60</v>
      </c>
      <c r="J610" s="20">
        <v>3</v>
      </c>
      <c r="K610" s="20" t="s">
        <v>46</v>
      </c>
      <c r="L610" s="23">
        <f t="shared" si="74"/>
        <v>45597</v>
      </c>
      <c r="M610" s="20">
        <f t="shared" si="75"/>
        <v>16</v>
      </c>
      <c r="N610" s="20">
        <f t="shared" si="76"/>
        <v>4</v>
      </c>
      <c r="O610" s="20">
        <f t="shared" si="77"/>
        <v>0</v>
      </c>
      <c r="P610" s="22">
        <f t="shared" si="78"/>
        <v>240.44</v>
      </c>
      <c r="Q610" s="22">
        <f>G610*INDEX(Assumptions!$B$8:$B$16,MATCH(F610,Assumptions!$A$8:$A$16,0))</f>
        <v>154.29399999999998</v>
      </c>
      <c r="R610" s="22">
        <f>H610*Assumptions!$B$3</f>
        <v>12.011999999999999</v>
      </c>
      <c r="S610" s="22">
        <f t="shared" si="79"/>
        <v>54.114000000000004</v>
      </c>
      <c r="T610" s="20" t="str">
        <f t="shared" si="80"/>
        <v>15-21 days</v>
      </c>
    </row>
    <row r="611" spans="1:20" x14ac:dyDescent="0.3">
      <c r="A611" s="20" t="s">
        <v>677</v>
      </c>
      <c r="B611" s="20" t="s">
        <v>19</v>
      </c>
      <c r="C611" s="21">
        <v>45601</v>
      </c>
      <c r="D611" s="21">
        <v>45605</v>
      </c>
      <c r="E611" s="21">
        <v>45614</v>
      </c>
      <c r="F611" s="20" t="s">
        <v>49</v>
      </c>
      <c r="G611" s="22">
        <v>90.9</v>
      </c>
      <c r="H611" s="22">
        <v>21.07</v>
      </c>
      <c r="I611" s="20" t="s">
        <v>60</v>
      </c>
      <c r="J611" s="20">
        <v>5</v>
      </c>
      <c r="K611" s="20" t="s">
        <v>46</v>
      </c>
      <c r="L611" s="23">
        <f t="shared" si="74"/>
        <v>45597</v>
      </c>
      <c r="M611" s="20">
        <f t="shared" si="75"/>
        <v>4</v>
      </c>
      <c r="N611" s="20">
        <f t="shared" si="76"/>
        <v>0</v>
      </c>
      <c r="O611" s="20">
        <f t="shared" si="77"/>
        <v>1</v>
      </c>
      <c r="P611" s="22">
        <f t="shared" si="78"/>
        <v>111.97</v>
      </c>
      <c r="Q611" s="22">
        <f>G611*INDEX(Assumptions!$B$8:$B$16,MATCH(F611,Assumptions!$A$8:$A$16,0))</f>
        <v>52.722000000000001</v>
      </c>
      <c r="R611" s="22">
        <f>H611*Assumptions!$B$3</f>
        <v>12.641999999999999</v>
      </c>
      <c r="S611" s="22">
        <f t="shared" si="79"/>
        <v>25.536000000000005</v>
      </c>
      <c r="T611" s="20" t="str">
        <f t="shared" si="80"/>
        <v>0-7 days</v>
      </c>
    </row>
    <row r="612" spans="1:20" x14ac:dyDescent="0.3">
      <c r="A612" s="20" t="s">
        <v>678</v>
      </c>
      <c r="B612" s="20" t="s">
        <v>19</v>
      </c>
      <c r="C612" s="21">
        <v>45601</v>
      </c>
      <c r="D612" s="21">
        <v>45607</v>
      </c>
      <c r="E612" s="21">
        <v>45616</v>
      </c>
      <c r="F612" s="20" t="s">
        <v>53</v>
      </c>
      <c r="G612" s="22">
        <v>82.36</v>
      </c>
      <c r="H612" s="22">
        <v>15.56</v>
      </c>
      <c r="I612" s="20" t="s">
        <v>60</v>
      </c>
      <c r="J612" s="20">
        <v>5</v>
      </c>
      <c r="K612" s="20" t="s">
        <v>46</v>
      </c>
      <c r="L612" s="23">
        <f t="shared" si="74"/>
        <v>45597</v>
      </c>
      <c r="M612" s="20">
        <f t="shared" si="75"/>
        <v>6</v>
      </c>
      <c r="N612" s="20">
        <f t="shared" si="76"/>
        <v>0</v>
      </c>
      <c r="O612" s="20">
        <f t="shared" si="77"/>
        <v>1</v>
      </c>
      <c r="P612" s="22">
        <f t="shared" si="78"/>
        <v>97.92</v>
      </c>
      <c r="Q612" s="22">
        <f>G612*INDEX(Assumptions!$B$8:$B$16,MATCH(F612,Assumptions!$A$8:$A$16,0))</f>
        <v>60.946399999999997</v>
      </c>
      <c r="R612" s="22">
        <f>H612*Assumptions!$B$3</f>
        <v>9.3360000000000003</v>
      </c>
      <c r="S612" s="22">
        <f t="shared" si="79"/>
        <v>12.077600000000002</v>
      </c>
      <c r="T612" s="20" t="str">
        <f t="shared" si="80"/>
        <v>0-7 days</v>
      </c>
    </row>
    <row r="613" spans="1:20" x14ac:dyDescent="0.3">
      <c r="A613" s="20" t="s">
        <v>679</v>
      </c>
      <c r="B613" s="20" t="s">
        <v>19</v>
      </c>
      <c r="C613" s="21">
        <v>45601</v>
      </c>
      <c r="D613" s="21">
        <v>45608</v>
      </c>
      <c r="E613" s="21">
        <v>45618</v>
      </c>
      <c r="F613" s="20" t="s">
        <v>67</v>
      </c>
      <c r="G613" s="22">
        <v>46.99</v>
      </c>
      <c r="H613" s="22">
        <v>13.1</v>
      </c>
      <c r="I613" s="20" t="s">
        <v>45</v>
      </c>
      <c r="J613" s="20">
        <v>5</v>
      </c>
      <c r="K613" s="20" t="s">
        <v>46</v>
      </c>
      <c r="L613" s="23">
        <f t="shared" si="74"/>
        <v>45597</v>
      </c>
      <c r="M613" s="20">
        <f t="shared" si="75"/>
        <v>7</v>
      </c>
      <c r="N613" s="20">
        <f t="shared" si="76"/>
        <v>0</v>
      </c>
      <c r="O613" s="20">
        <f t="shared" si="77"/>
        <v>1</v>
      </c>
      <c r="P613" s="22">
        <f t="shared" si="78"/>
        <v>60.09</v>
      </c>
      <c r="Q613" s="22">
        <f>G613*INDEX(Assumptions!$B$8:$B$16,MATCH(F613,Assumptions!$A$8:$A$16,0))</f>
        <v>29.133800000000001</v>
      </c>
      <c r="R613" s="22">
        <f>H613*Assumptions!$B$3</f>
        <v>7.8599999999999994</v>
      </c>
      <c r="S613" s="22">
        <f t="shared" si="79"/>
        <v>9.9962000000000018</v>
      </c>
      <c r="T613" s="20" t="str">
        <f t="shared" si="80"/>
        <v>0-7 days</v>
      </c>
    </row>
    <row r="614" spans="1:20" x14ac:dyDescent="0.3">
      <c r="A614" s="20" t="s">
        <v>680</v>
      </c>
      <c r="B614" s="20" t="s">
        <v>62</v>
      </c>
      <c r="C614" s="21">
        <v>45601</v>
      </c>
      <c r="D614" s="21">
        <v>45610</v>
      </c>
      <c r="E614" s="21">
        <v>45620</v>
      </c>
      <c r="F614" s="20" t="s">
        <v>44</v>
      </c>
      <c r="G614" s="22">
        <v>60.65</v>
      </c>
      <c r="H614" s="22">
        <v>16.3</v>
      </c>
      <c r="I614" s="20" t="s">
        <v>45</v>
      </c>
      <c r="J614" s="20">
        <v>5</v>
      </c>
      <c r="K614" s="20" t="s">
        <v>46</v>
      </c>
      <c r="L614" s="23">
        <f t="shared" si="74"/>
        <v>45597</v>
      </c>
      <c r="M614" s="20">
        <f t="shared" si="75"/>
        <v>9</v>
      </c>
      <c r="N614" s="20">
        <f t="shared" si="76"/>
        <v>0</v>
      </c>
      <c r="O614" s="20">
        <f t="shared" si="77"/>
        <v>1</v>
      </c>
      <c r="P614" s="22">
        <f t="shared" si="78"/>
        <v>76.95</v>
      </c>
      <c r="Q614" s="22">
        <f>G614*INDEX(Assumptions!$B$8:$B$16,MATCH(F614,Assumptions!$A$8:$A$16,0))</f>
        <v>36.39</v>
      </c>
      <c r="R614" s="22">
        <f>H614*Assumptions!$B$3</f>
        <v>9.7799999999999994</v>
      </c>
      <c r="S614" s="22">
        <f t="shared" si="79"/>
        <v>14.479999999999999</v>
      </c>
      <c r="T614" s="20" t="str">
        <f t="shared" si="80"/>
        <v>8-14 days</v>
      </c>
    </row>
    <row r="615" spans="1:20" x14ac:dyDescent="0.3">
      <c r="A615" s="20" t="s">
        <v>681</v>
      </c>
      <c r="B615" s="20" t="s">
        <v>19</v>
      </c>
      <c r="C615" s="21">
        <v>45601</v>
      </c>
      <c r="D615" s="21">
        <v>45606</v>
      </c>
      <c r="E615" s="21">
        <v>45618</v>
      </c>
      <c r="F615" s="20" t="s">
        <v>49</v>
      </c>
      <c r="G615" s="22">
        <v>136.87</v>
      </c>
      <c r="H615" s="22">
        <v>13.44</v>
      </c>
      <c r="I615" s="20" t="s">
        <v>60</v>
      </c>
      <c r="J615" s="20">
        <v>5</v>
      </c>
      <c r="K615" s="20" t="s">
        <v>46</v>
      </c>
      <c r="L615" s="23">
        <f t="shared" si="74"/>
        <v>45597</v>
      </c>
      <c r="M615" s="20">
        <f t="shared" si="75"/>
        <v>5</v>
      </c>
      <c r="N615" s="20">
        <f t="shared" si="76"/>
        <v>0</v>
      </c>
      <c r="O615" s="20">
        <f t="shared" si="77"/>
        <v>1</v>
      </c>
      <c r="P615" s="22">
        <f t="shared" si="78"/>
        <v>150.31</v>
      </c>
      <c r="Q615" s="22">
        <f>G615*INDEX(Assumptions!$B$8:$B$16,MATCH(F615,Assumptions!$A$8:$A$16,0))</f>
        <v>79.384599999999992</v>
      </c>
      <c r="R615" s="22">
        <f>H615*Assumptions!$B$3</f>
        <v>8.0640000000000001</v>
      </c>
      <c r="S615" s="22">
        <f t="shared" si="79"/>
        <v>49.421400000000013</v>
      </c>
      <c r="T615" s="20" t="str">
        <f t="shared" si="80"/>
        <v>0-7 days</v>
      </c>
    </row>
    <row r="616" spans="1:20" x14ac:dyDescent="0.3">
      <c r="A616" s="20" t="s">
        <v>682</v>
      </c>
      <c r="B616" s="20" t="s">
        <v>55</v>
      </c>
      <c r="C616" s="21">
        <v>45601</v>
      </c>
      <c r="D616" s="21">
        <v>45608</v>
      </c>
      <c r="E616" s="21">
        <v>45627</v>
      </c>
      <c r="F616" s="20" t="s">
        <v>67</v>
      </c>
      <c r="G616" s="22">
        <v>118.73</v>
      </c>
      <c r="H616" s="22">
        <v>26.42</v>
      </c>
      <c r="I616" s="20" t="s">
        <v>45</v>
      </c>
      <c r="J616" s="20">
        <v>5</v>
      </c>
      <c r="K616" s="20" t="s">
        <v>46</v>
      </c>
      <c r="L616" s="23">
        <f t="shared" si="74"/>
        <v>45597</v>
      </c>
      <c r="M616" s="20">
        <f t="shared" si="75"/>
        <v>7</v>
      </c>
      <c r="N616" s="20">
        <f t="shared" si="76"/>
        <v>0</v>
      </c>
      <c r="O616" s="20">
        <f t="shared" si="77"/>
        <v>1</v>
      </c>
      <c r="P616" s="22">
        <f t="shared" si="78"/>
        <v>145.15</v>
      </c>
      <c r="Q616" s="22">
        <f>G616*INDEX(Assumptions!$B$8:$B$16,MATCH(F616,Assumptions!$A$8:$A$16,0))</f>
        <v>73.6126</v>
      </c>
      <c r="R616" s="22">
        <f>H616*Assumptions!$B$3</f>
        <v>15.852</v>
      </c>
      <c r="S616" s="22">
        <f t="shared" si="79"/>
        <v>29.265400000000003</v>
      </c>
      <c r="T616" s="20" t="str">
        <f t="shared" si="80"/>
        <v>0-7 days</v>
      </c>
    </row>
    <row r="617" spans="1:20" x14ac:dyDescent="0.3">
      <c r="A617" s="20" t="s">
        <v>683</v>
      </c>
      <c r="B617" s="20" t="s">
        <v>156</v>
      </c>
      <c r="C617" s="21">
        <v>45601</v>
      </c>
      <c r="D617" s="21">
        <v>45619</v>
      </c>
      <c r="E617" s="21">
        <v>45625</v>
      </c>
      <c r="F617" s="20" t="s">
        <v>79</v>
      </c>
      <c r="G617" s="22">
        <v>42.43</v>
      </c>
      <c r="H617" s="22">
        <v>29.52</v>
      </c>
      <c r="I617" s="20" t="s">
        <v>60</v>
      </c>
      <c r="J617" s="20">
        <v>5</v>
      </c>
      <c r="K617" s="20" t="s">
        <v>46</v>
      </c>
      <c r="L617" s="23">
        <f t="shared" si="74"/>
        <v>45597</v>
      </c>
      <c r="M617" s="20">
        <f t="shared" si="75"/>
        <v>18</v>
      </c>
      <c r="N617" s="20">
        <f t="shared" si="76"/>
        <v>0</v>
      </c>
      <c r="O617" s="20">
        <f t="shared" si="77"/>
        <v>1</v>
      </c>
      <c r="P617" s="22">
        <f t="shared" si="78"/>
        <v>71.95</v>
      </c>
      <c r="Q617" s="22">
        <f>G617*INDEX(Assumptions!$B$8:$B$16,MATCH(F617,Assumptions!$A$8:$A$16,0))</f>
        <v>29.700999999999997</v>
      </c>
      <c r="R617" s="22">
        <f>H617*Assumptions!$B$3</f>
        <v>17.712</v>
      </c>
      <c r="S617" s="22">
        <f t="shared" si="79"/>
        <v>-4.982999999999997</v>
      </c>
      <c r="T617" s="20" t="str">
        <f t="shared" si="80"/>
        <v>15-21 days</v>
      </c>
    </row>
    <row r="618" spans="1:20" x14ac:dyDescent="0.3">
      <c r="A618" s="20" t="s">
        <v>684</v>
      </c>
      <c r="B618" s="20" t="s">
        <v>19</v>
      </c>
      <c r="C618" s="21">
        <v>45601</v>
      </c>
      <c r="D618" s="21">
        <v>45608</v>
      </c>
      <c r="E618" s="21">
        <v>45616</v>
      </c>
      <c r="F618" s="20" t="s">
        <v>53</v>
      </c>
      <c r="G618" s="22">
        <v>76.900000000000006</v>
      </c>
      <c r="H618" s="22">
        <v>22.52</v>
      </c>
      <c r="I618" s="20" t="s">
        <v>45</v>
      </c>
      <c r="J618" s="20">
        <v>4</v>
      </c>
      <c r="K618" s="20" t="s">
        <v>46</v>
      </c>
      <c r="L618" s="23">
        <f t="shared" si="74"/>
        <v>45597</v>
      </c>
      <c r="M618" s="20">
        <f t="shared" si="75"/>
        <v>7</v>
      </c>
      <c r="N618" s="20">
        <f t="shared" si="76"/>
        <v>0</v>
      </c>
      <c r="O618" s="20">
        <f t="shared" si="77"/>
        <v>1</v>
      </c>
      <c r="P618" s="22">
        <f t="shared" si="78"/>
        <v>99.42</v>
      </c>
      <c r="Q618" s="22">
        <f>G618*INDEX(Assumptions!$B$8:$B$16,MATCH(F618,Assumptions!$A$8:$A$16,0))</f>
        <v>56.906000000000006</v>
      </c>
      <c r="R618" s="22">
        <f>H618*Assumptions!$B$3</f>
        <v>13.511999999999999</v>
      </c>
      <c r="S618" s="22">
        <f t="shared" si="79"/>
        <v>6.4820000000000011</v>
      </c>
      <c r="T618" s="20" t="str">
        <f t="shared" si="80"/>
        <v>0-7 days</v>
      </c>
    </row>
    <row r="619" spans="1:20" x14ac:dyDescent="0.3">
      <c r="A619" s="20" t="s">
        <v>685</v>
      </c>
      <c r="B619" s="20" t="s">
        <v>55</v>
      </c>
      <c r="C619" s="21">
        <v>45602</v>
      </c>
      <c r="D619" s="21">
        <v>45616</v>
      </c>
      <c r="E619" s="21">
        <v>45624</v>
      </c>
      <c r="F619" s="20" t="s">
        <v>44</v>
      </c>
      <c r="G619" s="22">
        <v>178.61</v>
      </c>
      <c r="H619" s="22">
        <v>22.16</v>
      </c>
      <c r="I619" s="20" t="s">
        <v>45</v>
      </c>
      <c r="J619" s="20">
        <v>4</v>
      </c>
      <c r="K619" s="20" t="s">
        <v>46</v>
      </c>
      <c r="L619" s="23">
        <f t="shared" si="74"/>
        <v>45597</v>
      </c>
      <c r="M619" s="20">
        <f t="shared" si="75"/>
        <v>14</v>
      </c>
      <c r="N619" s="20">
        <f t="shared" si="76"/>
        <v>0</v>
      </c>
      <c r="O619" s="20">
        <f t="shared" si="77"/>
        <v>1</v>
      </c>
      <c r="P619" s="22">
        <f t="shared" si="78"/>
        <v>200.77</v>
      </c>
      <c r="Q619" s="22">
        <f>G619*INDEX(Assumptions!$B$8:$B$16,MATCH(F619,Assumptions!$A$8:$A$16,0))</f>
        <v>107.16600000000001</v>
      </c>
      <c r="R619" s="22">
        <f>H619*Assumptions!$B$3</f>
        <v>13.295999999999999</v>
      </c>
      <c r="S619" s="22">
        <f t="shared" si="79"/>
        <v>58.148000000000003</v>
      </c>
      <c r="T619" s="20" t="str">
        <f t="shared" si="80"/>
        <v>8-14 days</v>
      </c>
    </row>
    <row r="620" spans="1:20" x14ac:dyDescent="0.3">
      <c r="A620" s="20" t="s">
        <v>686</v>
      </c>
      <c r="B620" s="20" t="s">
        <v>19</v>
      </c>
      <c r="C620" s="21">
        <v>45602</v>
      </c>
      <c r="D620" s="21">
        <v>45609</v>
      </c>
      <c r="E620" s="21">
        <v>45615</v>
      </c>
      <c r="F620" s="20" t="s">
        <v>53</v>
      </c>
      <c r="G620" s="22">
        <v>95.44</v>
      </c>
      <c r="H620" s="22">
        <v>18.05</v>
      </c>
      <c r="I620" s="20" t="s">
        <v>45</v>
      </c>
      <c r="J620" s="20">
        <v>5</v>
      </c>
      <c r="K620" s="20" t="s">
        <v>46</v>
      </c>
      <c r="L620" s="23">
        <f t="shared" si="74"/>
        <v>45597</v>
      </c>
      <c r="M620" s="20">
        <f t="shared" si="75"/>
        <v>7</v>
      </c>
      <c r="N620" s="20">
        <f t="shared" si="76"/>
        <v>0</v>
      </c>
      <c r="O620" s="20">
        <f t="shared" si="77"/>
        <v>1</v>
      </c>
      <c r="P620" s="22">
        <f t="shared" si="78"/>
        <v>113.49</v>
      </c>
      <c r="Q620" s="22">
        <f>G620*INDEX(Assumptions!$B$8:$B$16,MATCH(F620,Assumptions!$A$8:$A$16,0))</f>
        <v>70.625599999999991</v>
      </c>
      <c r="R620" s="22">
        <f>H620*Assumptions!$B$3</f>
        <v>10.83</v>
      </c>
      <c r="S620" s="22">
        <f t="shared" si="79"/>
        <v>13.984400000000006</v>
      </c>
      <c r="T620" s="20" t="str">
        <f t="shared" si="80"/>
        <v>0-7 days</v>
      </c>
    </row>
    <row r="621" spans="1:20" x14ac:dyDescent="0.3">
      <c r="A621" s="20" t="s">
        <v>687</v>
      </c>
      <c r="B621" s="20" t="s">
        <v>19</v>
      </c>
      <c r="C621" s="21">
        <v>45602</v>
      </c>
      <c r="D621" s="21">
        <v>45608</v>
      </c>
      <c r="E621" s="21">
        <v>45619</v>
      </c>
      <c r="F621" s="20" t="s">
        <v>67</v>
      </c>
      <c r="G621" s="22">
        <v>178.56</v>
      </c>
      <c r="H621" s="22">
        <v>19.27</v>
      </c>
      <c r="I621" s="20" t="s">
        <v>60</v>
      </c>
      <c r="J621" s="20">
        <v>5</v>
      </c>
      <c r="K621" s="20" t="s">
        <v>46</v>
      </c>
      <c r="L621" s="23">
        <f t="shared" si="74"/>
        <v>45597</v>
      </c>
      <c r="M621" s="20">
        <f t="shared" si="75"/>
        <v>6</v>
      </c>
      <c r="N621" s="20">
        <f t="shared" si="76"/>
        <v>0</v>
      </c>
      <c r="O621" s="20">
        <f t="shared" si="77"/>
        <v>1</v>
      </c>
      <c r="P621" s="22">
        <f t="shared" si="78"/>
        <v>197.83</v>
      </c>
      <c r="Q621" s="22">
        <f>G621*INDEX(Assumptions!$B$8:$B$16,MATCH(F621,Assumptions!$A$8:$A$16,0))</f>
        <v>110.7072</v>
      </c>
      <c r="R621" s="22">
        <f>H621*Assumptions!$B$3</f>
        <v>11.561999999999999</v>
      </c>
      <c r="S621" s="22">
        <f t="shared" si="79"/>
        <v>56.290800000000004</v>
      </c>
      <c r="T621" s="20" t="str">
        <f t="shared" si="80"/>
        <v>0-7 days</v>
      </c>
    </row>
    <row r="622" spans="1:20" x14ac:dyDescent="0.3">
      <c r="A622" s="20" t="s">
        <v>688</v>
      </c>
      <c r="B622" s="20" t="s">
        <v>19</v>
      </c>
      <c r="C622" s="21">
        <v>45602</v>
      </c>
      <c r="D622" s="21">
        <v>45613</v>
      </c>
      <c r="E622" s="21">
        <v>45620</v>
      </c>
      <c r="F622" s="20" t="s">
        <v>67</v>
      </c>
      <c r="G622" s="22">
        <v>28.76</v>
      </c>
      <c r="H622" s="22">
        <v>21.13</v>
      </c>
      <c r="I622" s="20" t="s">
        <v>45</v>
      </c>
      <c r="J622" s="20">
        <v>5</v>
      </c>
      <c r="K622" s="20" t="s">
        <v>46</v>
      </c>
      <c r="L622" s="23">
        <f t="shared" si="74"/>
        <v>45597</v>
      </c>
      <c r="M622" s="20">
        <f t="shared" si="75"/>
        <v>11</v>
      </c>
      <c r="N622" s="20">
        <f t="shared" si="76"/>
        <v>0</v>
      </c>
      <c r="O622" s="20">
        <f t="shared" si="77"/>
        <v>1</v>
      </c>
      <c r="P622" s="22">
        <f t="shared" si="78"/>
        <v>49.89</v>
      </c>
      <c r="Q622" s="22">
        <f>G622*INDEX(Assumptions!$B$8:$B$16,MATCH(F622,Assumptions!$A$8:$A$16,0))</f>
        <v>17.831200000000003</v>
      </c>
      <c r="R622" s="22">
        <f>H622*Assumptions!$B$3</f>
        <v>12.677999999999999</v>
      </c>
      <c r="S622" s="22">
        <f t="shared" si="79"/>
        <v>-1.7492000000000001</v>
      </c>
      <c r="T622" s="20" t="str">
        <f t="shared" si="80"/>
        <v>8-14 days</v>
      </c>
    </row>
    <row r="623" spans="1:20" x14ac:dyDescent="0.3">
      <c r="A623" s="20" t="s">
        <v>689</v>
      </c>
      <c r="B623" s="20" t="s">
        <v>19</v>
      </c>
      <c r="C623" s="21">
        <v>45602</v>
      </c>
      <c r="D623" s="21">
        <v>45611</v>
      </c>
      <c r="E623" s="21">
        <v>45618</v>
      </c>
      <c r="F623" s="20" t="s">
        <v>67</v>
      </c>
      <c r="G623" s="22">
        <v>86.59</v>
      </c>
      <c r="H623" s="22">
        <v>17.010000000000002</v>
      </c>
      <c r="I623" s="20" t="s">
        <v>60</v>
      </c>
      <c r="J623" s="20">
        <v>5</v>
      </c>
      <c r="K623" s="20" t="s">
        <v>46</v>
      </c>
      <c r="L623" s="23">
        <f t="shared" si="74"/>
        <v>45597</v>
      </c>
      <c r="M623" s="20">
        <f t="shared" si="75"/>
        <v>9</v>
      </c>
      <c r="N623" s="20">
        <f t="shared" si="76"/>
        <v>0</v>
      </c>
      <c r="O623" s="20">
        <f t="shared" si="77"/>
        <v>1</v>
      </c>
      <c r="P623" s="22">
        <f t="shared" si="78"/>
        <v>103.60000000000001</v>
      </c>
      <c r="Q623" s="22">
        <f>G623*INDEX(Assumptions!$B$8:$B$16,MATCH(F623,Assumptions!$A$8:$A$16,0))</f>
        <v>53.6858</v>
      </c>
      <c r="R623" s="22">
        <f>H623*Assumptions!$B$3</f>
        <v>10.206000000000001</v>
      </c>
      <c r="S623" s="22">
        <f t="shared" si="79"/>
        <v>22.6982</v>
      </c>
      <c r="T623" s="20" t="str">
        <f t="shared" si="80"/>
        <v>8-14 days</v>
      </c>
    </row>
    <row r="624" spans="1:20" x14ac:dyDescent="0.3">
      <c r="A624" s="20" t="s">
        <v>690</v>
      </c>
      <c r="B624" s="20" t="s">
        <v>62</v>
      </c>
      <c r="C624" s="21">
        <v>45602</v>
      </c>
      <c r="D624" s="21">
        <v>45617</v>
      </c>
      <c r="E624" s="21">
        <v>45624</v>
      </c>
      <c r="F624" s="20" t="s">
        <v>53</v>
      </c>
      <c r="G624" s="22">
        <v>184.48</v>
      </c>
      <c r="H624" s="22">
        <v>28.3</v>
      </c>
      <c r="I624" s="20" t="s">
        <v>45</v>
      </c>
      <c r="J624" s="20">
        <v>5</v>
      </c>
      <c r="K624" s="20" t="s">
        <v>46</v>
      </c>
      <c r="L624" s="23">
        <f t="shared" si="74"/>
        <v>45597</v>
      </c>
      <c r="M624" s="20">
        <f t="shared" si="75"/>
        <v>15</v>
      </c>
      <c r="N624" s="20">
        <f t="shared" si="76"/>
        <v>0</v>
      </c>
      <c r="O624" s="20">
        <f t="shared" si="77"/>
        <v>1</v>
      </c>
      <c r="P624" s="22">
        <f t="shared" si="78"/>
        <v>212.78</v>
      </c>
      <c r="Q624" s="22">
        <f>G624*INDEX(Assumptions!$B$8:$B$16,MATCH(F624,Assumptions!$A$8:$A$16,0))</f>
        <v>136.51519999999999</v>
      </c>
      <c r="R624" s="22">
        <f>H624*Assumptions!$B$3</f>
        <v>16.98</v>
      </c>
      <c r="S624" s="22">
        <f t="shared" si="79"/>
        <v>30.984799999999996</v>
      </c>
      <c r="T624" s="20" t="str">
        <f t="shared" si="80"/>
        <v>15-21 days</v>
      </c>
    </row>
    <row r="625" spans="1:20" x14ac:dyDescent="0.3">
      <c r="A625" s="20" t="s">
        <v>691</v>
      </c>
      <c r="B625" s="20" t="s">
        <v>19</v>
      </c>
      <c r="C625" s="21">
        <v>45602</v>
      </c>
      <c r="D625" s="21">
        <v>45609</v>
      </c>
      <c r="E625" s="21">
        <v>45621</v>
      </c>
      <c r="F625" s="20" t="s">
        <v>67</v>
      </c>
      <c r="G625" s="22">
        <v>56.5</v>
      </c>
      <c r="H625" s="22">
        <v>11.98</v>
      </c>
      <c r="I625" s="20" t="s">
        <v>45</v>
      </c>
      <c r="J625" s="20">
        <v>4</v>
      </c>
      <c r="K625" s="20" t="s">
        <v>46</v>
      </c>
      <c r="L625" s="23">
        <f t="shared" si="74"/>
        <v>45597</v>
      </c>
      <c r="M625" s="20">
        <f t="shared" si="75"/>
        <v>7</v>
      </c>
      <c r="N625" s="20">
        <f t="shared" si="76"/>
        <v>0</v>
      </c>
      <c r="O625" s="20">
        <f t="shared" si="77"/>
        <v>1</v>
      </c>
      <c r="P625" s="22">
        <f t="shared" si="78"/>
        <v>68.48</v>
      </c>
      <c r="Q625" s="22">
        <f>G625*INDEX(Assumptions!$B$8:$B$16,MATCH(F625,Assumptions!$A$8:$A$16,0))</f>
        <v>35.03</v>
      </c>
      <c r="R625" s="22">
        <f>H625*Assumptions!$B$3</f>
        <v>7.1879999999999997</v>
      </c>
      <c r="S625" s="22">
        <f t="shared" si="79"/>
        <v>14.282</v>
      </c>
      <c r="T625" s="20" t="str">
        <f t="shared" si="80"/>
        <v>0-7 days</v>
      </c>
    </row>
    <row r="626" spans="1:20" x14ac:dyDescent="0.3">
      <c r="A626" s="20" t="s">
        <v>692</v>
      </c>
      <c r="B626" s="20" t="s">
        <v>134</v>
      </c>
      <c r="C626" s="21">
        <v>45602</v>
      </c>
      <c r="D626" s="21">
        <v>45611</v>
      </c>
      <c r="E626" s="21">
        <v>45630</v>
      </c>
      <c r="F626" s="20" t="s">
        <v>49</v>
      </c>
      <c r="G626" s="22">
        <v>113.89</v>
      </c>
      <c r="H626" s="22">
        <v>19.149999999999999</v>
      </c>
      <c r="I626" s="20" t="s">
        <v>45</v>
      </c>
      <c r="J626" s="20">
        <v>4</v>
      </c>
      <c r="K626" s="20" t="s">
        <v>46</v>
      </c>
      <c r="L626" s="23">
        <f t="shared" si="74"/>
        <v>45597</v>
      </c>
      <c r="M626" s="20">
        <f t="shared" si="75"/>
        <v>9</v>
      </c>
      <c r="N626" s="20">
        <f t="shared" si="76"/>
        <v>0</v>
      </c>
      <c r="O626" s="20">
        <f t="shared" si="77"/>
        <v>1</v>
      </c>
      <c r="P626" s="22">
        <f t="shared" si="78"/>
        <v>133.04</v>
      </c>
      <c r="Q626" s="22">
        <f>G626*INDEX(Assumptions!$B$8:$B$16,MATCH(F626,Assumptions!$A$8:$A$16,0))</f>
        <v>66.05619999999999</v>
      </c>
      <c r="R626" s="22">
        <f>H626*Assumptions!$B$3</f>
        <v>11.489999999999998</v>
      </c>
      <c r="S626" s="22">
        <f t="shared" si="79"/>
        <v>36.343800000000016</v>
      </c>
      <c r="T626" s="20" t="str">
        <f t="shared" si="80"/>
        <v>8-14 days</v>
      </c>
    </row>
    <row r="627" spans="1:20" x14ac:dyDescent="0.3">
      <c r="A627" s="20" t="s">
        <v>693</v>
      </c>
      <c r="B627" s="20" t="s">
        <v>19</v>
      </c>
      <c r="C627" s="21">
        <v>45603</v>
      </c>
      <c r="D627" s="21">
        <v>45612</v>
      </c>
      <c r="E627" s="21">
        <v>45616</v>
      </c>
      <c r="F627" s="20" t="s">
        <v>44</v>
      </c>
      <c r="G627" s="22">
        <v>145.53</v>
      </c>
      <c r="H627" s="22">
        <v>17.440000000000001</v>
      </c>
      <c r="I627" s="20" t="s">
        <v>45</v>
      </c>
      <c r="J627" s="20">
        <v>5</v>
      </c>
      <c r="K627" s="20" t="s">
        <v>46</v>
      </c>
      <c r="L627" s="23">
        <f t="shared" si="74"/>
        <v>45597</v>
      </c>
      <c r="M627" s="20">
        <f t="shared" si="75"/>
        <v>9</v>
      </c>
      <c r="N627" s="20">
        <f t="shared" si="76"/>
        <v>0</v>
      </c>
      <c r="O627" s="20">
        <f t="shared" si="77"/>
        <v>1</v>
      </c>
      <c r="P627" s="22">
        <f t="shared" si="78"/>
        <v>162.97</v>
      </c>
      <c r="Q627" s="22">
        <f>G627*INDEX(Assumptions!$B$8:$B$16,MATCH(F627,Assumptions!$A$8:$A$16,0))</f>
        <v>87.317999999999998</v>
      </c>
      <c r="R627" s="22">
        <f>H627*Assumptions!$B$3</f>
        <v>10.464</v>
      </c>
      <c r="S627" s="22">
        <f t="shared" si="79"/>
        <v>47.748000000000005</v>
      </c>
      <c r="T627" s="20" t="str">
        <f t="shared" si="80"/>
        <v>8-14 days</v>
      </c>
    </row>
    <row r="628" spans="1:20" x14ac:dyDescent="0.3">
      <c r="A628" s="20" t="s">
        <v>694</v>
      </c>
      <c r="B628" s="20" t="s">
        <v>52</v>
      </c>
      <c r="C628" s="21">
        <v>45603</v>
      </c>
      <c r="D628" s="21">
        <v>45618</v>
      </c>
      <c r="E628" s="21">
        <v>45627</v>
      </c>
      <c r="F628" s="20" t="s">
        <v>57</v>
      </c>
      <c r="G628" s="22">
        <v>136.38999999999999</v>
      </c>
      <c r="H628" s="22">
        <v>32.32</v>
      </c>
      <c r="I628" s="20" t="s">
        <v>45</v>
      </c>
      <c r="J628" s="20">
        <v>4</v>
      </c>
      <c r="K628" s="20" t="s">
        <v>46</v>
      </c>
      <c r="L628" s="23">
        <f t="shared" si="74"/>
        <v>45597</v>
      </c>
      <c r="M628" s="20">
        <f t="shared" si="75"/>
        <v>15</v>
      </c>
      <c r="N628" s="20">
        <f t="shared" si="76"/>
        <v>0</v>
      </c>
      <c r="O628" s="20">
        <f t="shared" si="77"/>
        <v>1</v>
      </c>
      <c r="P628" s="22">
        <f t="shared" si="78"/>
        <v>168.70999999999998</v>
      </c>
      <c r="Q628" s="22">
        <f>G628*INDEX(Assumptions!$B$8:$B$16,MATCH(F628,Assumptions!$A$8:$A$16,0))</f>
        <v>92.745199999999997</v>
      </c>
      <c r="R628" s="22">
        <f>H628*Assumptions!$B$3</f>
        <v>19.391999999999999</v>
      </c>
      <c r="S628" s="22">
        <f t="shared" si="79"/>
        <v>24.25279999999999</v>
      </c>
      <c r="T628" s="20" t="str">
        <f t="shared" si="80"/>
        <v>15-21 days</v>
      </c>
    </row>
    <row r="629" spans="1:20" x14ac:dyDescent="0.3">
      <c r="A629" s="20" t="s">
        <v>695</v>
      </c>
      <c r="B629" s="20" t="s">
        <v>19</v>
      </c>
      <c r="C629" s="21">
        <v>45603</v>
      </c>
      <c r="D629" s="21">
        <v>45614</v>
      </c>
      <c r="E629" s="21">
        <v>45621</v>
      </c>
      <c r="F629" s="20" t="s">
        <v>44</v>
      </c>
      <c r="G629" s="22">
        <v>81.349999999999994</v>
      </c>
      <c r="H629" s="22">
        <v>19.850000000000001</v>
      </c>
      <c r="I629" s="20" t="s">
        <v>45</v>
      </c>
      <c r="J629" s="20">
        <v>4</v>
      </c>
      <c r="K629" s="20" t="s">
        <v>46</v>
      </c>
      <c r="L629" s="23">
        <f t="shared" si="74"/>
        <v>45597</v>
      </c>
      <c r="M629" s="20">
        <f t="shared" si="75"/>
        <v>11</v>
      </c>
      <c r="N629" s="20">
        <f t="shared" si="76"/>
        <v>0</v>
      </c>
      <c r="O629" s="20">
        <f t="shared" si="77"/>
        <v>1</v>
      </c>
      <c r="P629" s="22">
        <f t="shared" si="78"/>
        <v>101.19999999999999</v>
      </c>
      <c r="Q629" s="22">
        <f>G629*INDEX(Assumptions!$B$8:$B$16,MATCH(F629,Assumptions!$A$8:$A$16,0))</f>
        <v>48.809999999999995</v>
      </c>
      <c r="R629" s="22">
        <f>H629*Assumptions!$B$3</f>
        <v>11.91</v>
      </c>
      <c r="S629" s="22">
        <f t="shared" si="79"/>
        <v>20.63</v>
      </c>
      <c r="T629" s="20" t="str">
        <f t="shared" si="80"/>
        <v>8-14 days</v>
      </c>
    </row>
    <row r="630" spans="1:20" x14ac:dyDescent="0.3">
      <c r="A630" s="20" t="s">
        <v>696</v>
      </c>
      <c r="B630" s="20" t="s">
        <v>19</v>
      </c>
      <c r="C630" s="21">
        <v>45603</v>
      </c>
      <c r="D630" s="21">
        <v>45609</v>
      </c>
      <c r="E630" s="21">
        <v>45620</v>
      </c>
      <c r="F630" s="20" t="s">
        <v>57</v>
      </c>
      <c r="G630" s="22">
        <v>93.33</v>
      </c>
      <c r="H630" s="22">
        <v>12.84</v>
      </c>
      <c r="I630" s="20" t="s">
        <v>45</v>
      </c>
      <c r="J630" s="20">
        <v>5</v>
      </c>
      <c r="K630" s="20" t="s">
        <v>46</v>
      </c>
      <c r="L630" s="23">
        <f t="shared" si="74"/>
        <v>45597</v>
      </c>
      <c r="M630" s="20">
        <f t="shared" si="75"/>
        <v>6</v>
      </c>
      <c r="N630" s="20">
        <f t="shared" si="76"/>
        <v>0</v>
      </c>
      <c r="O630" s="20">
        <f t="shared" si="77"/>
        <v>1</v>
      </c>
      <c r="P630" s="22">
        <f t="shared" si="78"/>
        <v>106.17</v>
      </c>
      <c r="Q630" s="22">
        <f>G630*INDEX(Assumptions!$B$8:$B$16,MATCH(F630,Assumptions!$A$8:$A$16,0))</f>
        <v>63.464400000000005</v>
      </c>
      <c r="R630" s="22">
        <f>H630*Assumptions!$B$3</f>
        <v>7.7039999999999997</v>
      </c>
      <c r="S630" s="22">
        <f t="shared" si="79"/>
        <v>22.161599999999993</v>
      </c>
      <c r="T630" s="20" t="str">
        <f t="shared" si="80"/>
        <v>0-7 days</v>
      </c>
    </row>
    <row r="631" spans="1:20" x14ac:dyDescent="0.3">
      <c r="A631" s="20" t="s">
        <v>697</v>
      </c>
      <c r="B631" s="20" t="s">
        <v>19</v>
      </c>
      <c r="C631" s="21">
        <v>45603</v>
      </c>
      <c r="D631" s="21">
        <v>45611</v>
      </c>
      <c r="E631" s="21">
        <v>45616</v>
      </c>
      <c r="F631" s="20" t="s">
        <v>79</v>
      </c>
      <c r="G631" s="22">
        <v>357.96</v>
      </c>
      <c r="H631" s="22">
        <v>24.1</v>
      </c>
      <c r="I631" s="20" t="s">
        <v>45</v>
      </c>
      <c r="J631" s="20">
        <v>5</v>
      </c>
      <c r="K631" s="20" t="s">
        <v>46</v>
      </c>
      <c r="L631" s="23">
        <f t="shared" si="74"/>
        <v>45597</v>
      </c>
      <c r="M631" s="20">
        <f t="shared" si="75"/>
        <v>8</v>
      </c>
      <c r="N631" s="20">
        <f t="shared" si="76"/>
        <v>0</v>
      </c>
      <c r="O631" s="20">
        <f t="shared" si="77"/>
        <v>1</v>
      </c>
      <c r="P631" s="22">
        <f t="shared" si="78"/>
        <v>382.06</v>
      </c>
      <c r="Q631" s="22">
        <f>G631*INDEX(Assumptions!$B$8:$B$16,MATCH(F631,Assumptions!$A$8:$A$16,0))</f>
        <v>250.57199999999997</v>
      </c>
      <c r="R631" s="22">
        <f>H631*Assumptions!$B$3</f>
        <v>14.46</v>
      </c>
      <c r="S631" s="22">
        <f t="shared" si="79"/>
        <v>92.927999999999997</v>
      </c>
      <c r="T631" s="20" t="str">
        <f t="shared" si="80"/>
        <v>8-14 days</v>
      </c>
    </row>
    <row r="632" spans="1:20" x14ac:dyDescent="0.3">
      <c r="A632" s="20" t="s">
        <v>698</v>
      </c>
      <c r="B632" s="20" t="s">
        <v>156</v>
      </c>
      <c r="C632" s="21">
        <v>45603</v>
      </c>
      <c r="D632" s="21">
        <v>45618</v>
      </c>
      <c r="E632" s="21">
        <v>45626</v>
      </c>
      <c r="F632" s="20" t="s">
        <v>64</v>
      </c>
      <c r="G632" s="22">
        <v>73.31</v>
      </c>
      <c r="H632" s="22">
        <v>31.15</v>
      </c>
      <c r="I632" s="20" t="s">
        <v>45</v>
      </c>
      <c r="J632" s="20">
        <v>4</v>
      </c>
      <c r="K632" s="20" t="s">
        <v>46</v>
      </c>
      <c r="L632" s="23">
        <f t="shared" si="74"/>
        <v>45597</v>
      </c>
      <c r="M632" s="20">
        <f t="shared" si="75"/>
        <v>15</v>
      </c>
      <c r="N632" s="20">
        <f t="shared" si="76"/>
        <v>0</v>
      </c>
      <c r="O632" s="20">
        <f t="shared" si="77"/>
        <v>1</v>
      </c>
      <c r="P632" s="22">
        <f t="shared" si="78"/>
        <v>104.46000000000001</v>
      </c>
      <c r="Q632" s="22">
        <f>G632*INDEX(Assumptions!$B$8:$B$16,MATCH(F632,Assumptions!$A$8:$A$16,0))</f>
        <v>48.384600000000006</v>
      </c>
      <c r="R632" s="22">
        <f>H632*Assumptions!$B$3</f>
        <v>18.689999999999998</v>
      </c>
      <c r="S632" s="22">
        <f t="shared" si="79"/>
        <v>6.2353999999999985</v>
      </c>
      <c r="T632" s="20" t="str">
        <f t="shared" si="80"/>
        <v>15-21 days</v>
      </c>
    </row>
    <row r="633" spans="1:20" x14ac:dyDescent="0.3">
      <c r="A633" s="20" t="s">
        <v>699</v>
      </c>
      <c r="B633" s="20" t="s">
        <v>62</v>
      </c>
      <c r="C633" s="21">
        <v>45603</v>
      </c>
      <c r="D633" s="21">
        <v>45621</v>
      </c>
      <c r="E633" s="21">
        <v>45626</v>
      </c>
      <c r="F633" s="20" t="s">
        <v>53</v>
      </c>
      <c r="G633" s="22">
        <v>154.84</v>
      </c>
      <c r="H633" s="22">
        <v>24.98</v>
      </c>
      <c r="I633" s="20" t="s">
        <v>60</v>
      </c>
      <c r="J633" s="20">
        <v>4</v>
      </c>
      <c r="K633" s="20" t="s">
        <v>46</v>
      </c>
      <c r="L633" s="23">
        <f t="shared" si="74"/>
        <v>45597</v>
      </c>
      <c r="M633" s="20">
        <f t="shared" si="75"/>
        <v>18</v>
      </c>
      <c r="N633" s="20">
        <f t="shared" si="76"/>
        <v>0</v>
      </c>
      <c r="O633" s="20">
        <f t="shared" si="77"/>
        <v>1</v>
      </c>
      <c r="P633" s="22">
        <f t="shared" si="78"/>
        <v>179.82</v>
      </c>
      <c r="Q633" s="22">
        <f>G633*INDEX(Assumptions!$B$8:$B$16,MATCH(F633,Assumptions!$A$8:$A$16,0))</f>
        <v>114.58159999999999</v>
      </c>
      <c r="R633" s="22">
        <f>H633*Assumptions!$B$3</f>
        <v>14.988</v>
      </c>
      <c r="S633" s="22">
        <f t="shared" si="79"/>
        <v>25.270400000000009</v>
      </c>
      <c r="T633" s="20" t="str">
        <f t="shared" si="80"/>
        <v>15-21 days</v>
      </c>
    </row>
    <row r="634" spans="1:20" x14ac:dyDescent="0.3">
      <c r="A634" s="20" t="s">
        <v>700</v>
      </c>
      <c r="B634" s="20" t="s">
        <v>19</v>
      </c>
      <c r="C634" s="21">
        <v>45603</v>
      </c>
      <c r="D634" s="21">
        <v>45613</v>
      </c>
      <c r="E634" s="21">
        <v>45615</v>
      </c>
      <c r="F634" s="20" t="s">
        <v>59</v>
      </c>
      <c r="G634" s="22">
        <v>109.16</v>
      </c>
      <c r="H634" s="22">
        <v>17.8</v>
      </c>
      <c r="I634" s="20" t="s">
        <v>60</v>
      </c>
      <c r="J634" s="20">
        <v>5</v>
      </c>
      <c r="K634" s="20" t="s">
        <v>46</v>
      </c>
      <c r="L634" s="23">
        <f t="shared" si="74"/>
        <v>45597</v>
      </c>
      <c r="M634" s="20">
        <f t="shared" si="75"/>
        <v>10</v>
      </c>
      <c r="N634" s="20">
        <f t="shared" si="76"/>
        <v>0</v>
      </c>
      <c r="O634" s="20">
        <f t="shared" si="77"/>
        <v>1</v>
      </c>
      <c r="P634" s="22">
        <f t="shared" si="78"/>
        <v>126.96</v>
      </c>
      <c r="Q634" s="22">
        <f>G634*INDEX(Assumptions!$B$8:$B$16,MATCH(F634,Assumptions!$A$8:$A$16,0))</f>
        <v>69.862399999999994</v>
      </c>
      <c r="R634" s="22">
        <f>H634*Assumptions!$B$3</f>
        <v>10.68</v>
      </c>
      <c r="S634" s="22">
        <f t="shared" si="79"/>
        <v>28.617600000000003</v>
      </c>
      <c r="T634" s="20" t="str">
        <f t="shared" si="80"/>
        <v>8-14 days</v>
      </c>
    </row>
    <row r="635" spans="1:20" x14ac:dyDescent="0.3">
      <c r="A635" s="20" t="s">
        <v>701</v>
      </c>
      <c r="B635" s="20" t="s">
        <v>62</v>
      </c>
      <c r="C635" s="21">
        <v>45604</v>
      </c>
      <c r="D635" s="21">
        <v>45616</v>
      </c>
      <c r="E635" s="21">
        <v>45625</v>
      </c>
      <c r="F635" s="20" t="s">
        <v>67</v>
      </c>
      <c r="G635" s="22">
        <v>36.78</v>
      </c>
      <c r="H635" s="22">
        <v>16.059999999999999</v>
      </c>
      <c r="I635" s="20" t="s">
        <v>45</v>
      </c>
      <c r="J635" s="20">
        <v>5</v>
      </c>
      <c r="K635" s="20" t="s">
        <v>46</v>
      </c>
      <c r="L635" s="23">
        <f t="shared" si="74"/>
        <v>45597</v>
      </c>
      <c r="M635" s="20">
        <f t="shared" si="75"/>
        <v>12</v>
      </c>
      <c r="N635" s="20">
        <f t="shared" si="76"/>
        <v>0</v>
      </c>
      <c r="O635" s="20">
        <f t="shared" si="77"/>
        <v>1</v>
      </c>
      <c r="P635" s="22">
        <f t="shared" si="78"/>
        <v>52.84</v>
      </c>
      <c r="Q635" s="22">
        <f>G635*INDEX(Assumptions!$B$8:$B$16,MATCH(F635,Assumptions!$A$8:$A$16,0))</f>
        <v>22.803599999999999</v>
      </c>
      <c r="R635" s="22">
        <f>H635*Assumptions!$B$3</f>
        <v>9.6359999999999992</v>
      </c>
      <c r="S635" s="22">
        <f t="shared" si="79"/>
        <v>4.3404000000000025</v>
      </c>
      <c r="T635" s="20" t="str">
        <f t="shared" si="80"/>
        <v>8-14 days</v>
      </c>
    </row>
    <row r="636" spans="1:20" x14ac:dyDescent="0.3">
      <c r="A636" s="20" t="s">
        <v>702</v>
      </c>
      <c r="B636" s="20" t="s">
        <v>19</v>
      </c>
      <c r="C636" s="21">
        <v>45604</v>
      </c>
      <c r="D636" s="21">
        <v>45608</v>
      </c>
      <c r="E636" s="21">
        <v>45622</v>
      </c>
      <c r="F636" s="20" t="s">
        <v>53</v>
      </c>
      <c r="G636" s="22">
        <v>127.33</v>
      </c>
      <c r="H636" s="22">
        <v>20.53</v>
      </c>
      <c r="I636" s="20" t="s">
        <v>45</v>
      </c>
      <c r="J636" s="20">
        <v>4</v>
      </c>
      <c r="K636" s="20" t="s">
        <v>46</v>
      </c>
      <c r="L636" s="23">
        <f t="shared" si="74"/>
        <v>45597</v>
      </c>
      <c r="M636" s="20">
        <f t="shared" si="75"/>
        <v>4</v>
      </c>
      <c r="N636" s="20">
        <f t="shared" si="76"/>
        <v>0</v>
      </c>
      <c r="O636" s="20">
        <f t="shared" si="77"/>
        <v>1</v>
      </c>
      <c r="P636" s="22">
        <f t="shared" si="78"/>
        <v>147.86000000000001</v>
      </c>
      <c r="Q636" s="22">
        <f>G636*INDEX(Assumptions!$B$8:$B$16,MATCH(F636,Assumptions!$A$8:$A$16,0))</f>
        <v>94.224199999999996</v>
      </c>
      <c r="R636" s="22">
        <f>H636*Assumptions!$B$3</f>
        <v>12.318</v>
      </c>
      <c r="S636" s="22">
        <f t="shared" si="79"/>
        <v>20.787800000000004</v>
      </c>
      <c r="T636" s="20" t="str">
        <f t="shared" si="80"/>
        <v>0-7 days</v>
      </c>
    </row>
    <row r="637" spans="1:20" x14ac:dyDescent="0.3">
      <c r="A637" s="20" t="s">
        <v>703</v>
      </c>
      <c r="B637" s="20" t="s">
        <v>19</v>
      </c>
      <c r="C637" s="21">
        <v>45604</v>
      </c>
      <c r="D637" s="21">
        <v>45609</v>
      </c>
      <c r="E637" s="21">
        <v>45620</v>
      </c>
      <c r="F637" s="20" t="s">
        <v>67</v>
      </c>
      <c r="G637" s="22">
        <v>198.07</v>
      </c>
      <c r="H637" s="22">
        <v>19.68</v>
      </c>
      <c r="I637" s="20" t="s">
        <v>45</v>
      </c>
      <c r="J637" s="20">
        <v>5</v>
      </c>
      <c r="K637" s="20" t="s">
        <v>46</v>
      </c>
      <c r="L637" s="23">
        <f t="shared" si="74"/>
        <v>45597</v>
      </c>
      <c r="M637" s="20">
        <f t="shared" si="75"/>
        <v>5</v>
      </c>
      <c r="N637" s="20">
        <f t="shared" si="76"/>
        <v>0</v>
      </c>
      <c r="O637" s="20">
        <f t="shared" si="77"/>
        <v>1</v>
      </c>
      <c r="P637" s="22">
        <f t="shared" si="78"/>
        <v>217.75</v>
      </c>
      <c r="Q637" s="22">
        <f>G637*INDEX(Assumptions!$B$8:$B$16,MATCH(F637,Assumptions!$A$8:$A$16,0))</f>
        <v>122.8034</v>
      </c>
      <c r="R637" s="22">
        <f>H637*Assumptions!$B$3</f>
        <v>11.808</v>
      </c>
      <c r="S637" s="22">
        <f t="shared" si="79"/>
        <v>63.458599999999997</v>
      </c>
      <c r="T637" s="20" t="str">
        <f t="shared" si="80"/>
        <v>0-7 days</v>
      </c>
    </row>
    <row r="638" spans="1:20" x14ac:dyDescent="0.3">
      <c r="A638" s="20" t="s">
        <v>704</v>
      </c>
      <c r="B638" s="20" t="s">
        <v>77</v>
      </c>
      <c r="C638" s="21">
        <v>45604</v>
      </c>
      <c r="D638" s="21">
        <v>45629</v>
      </c>
      <c r="E638" s="21">
        <v>45627</v>
      </c>
      <c r="F638" s="20" t="s">
        <v>49</v>
      </c>
      <c r="G638" s="22">
        <v>31.03</v>
      </c>
      <c r="H638" s="22">
        <v>21.71</v>
      </c>
      <c r="I638" s="20" t="s">
        <v>45</v>
      </c>
      <c r="J638" s="20">
        <v>2</v>
      </c>
      <c r="K638" s="20" t="s">
        <v>46</v>
      </c>
      <c r="L638" s="23">
        <f t="shared" si="74"/>
        <v>45597</v>
      </c>
      <c r="M638" s="20">
        <f t="shared" si="75"/>
        <v>25</v>
      </c>
      <c r="N638" s="20">
        <f t="shared" si="76"/>
        <v>2</v>
      </c>
      <c r="O638" s="20">
        <f t="shared" si="77"/>
        <v>0</v>
      </c>
      <c r="P638" s="22">
        <f t="shared" si="78"/>
        <v>52.74</v>
      </c>
      <c r="Q638" s="22">
        <f>G638*INDEX(Assumptions!$B$8:$B$16,MATCH(F638,Assumptions!$A$8:$A$16,0))</f>
        <v>17.997399999999999</v>
      </c>
      <c r="R638" s="22">
        <f>H638*Assumptions!$B$3</f>
        <v>13.026</v>
      </c>
      <c r="S638" s="22">
        <f t="shared" si="79"/>
        <v>6.6000000000023817E-3</v>
      </c>
      <c r="T638" s="20" t="str">
        <f t="shared" si="80"/>
        <v>22+ days</v>
      </c>
    </row>
    <row r="639" spans="1:20" x14ac:dyDescent="0.3">
      <c r="A639" s="20" t="s">
        <v>705</v>
      </c>
      <c r="B639" s="20" t="s">
        <v>55</v>
      </c>
      <c r="C639" s="21">
        <v>45604</v>
      </c>
      <c r="D639" s="21">
        <v>45615</v>
      </c>
      <c r="E639" s="21">
        <v>45631</v>
      </c>
      <c r="F639" s="20" t="s">
        <v>59</v>
      </c>
      <c r="G639" s="22">
        <v>40.6</v>
      </c>
      <c r="H639" s="22">
        <v>17.809999999999999</v>
      </c>
      <c r="I639" s="20" t="s">
        <v>50</v>
      </c>
      <c r="J639" s="20">
        <v>4</v>
      </c>
      <c r="K639" s="20" t="s">
        <v>46</v>
      </c>
      <c r="L639" s="23">
        <f t="shared" si="74"/>
        <v>45597</v>
      </c>
      <c r="M639" s="20">
        <f t="shared" si="75"/>
        <v>11</v>
      </c>
      <c r="N639" s="20">
        <f t="shared" si="76"/>
        <v>0</v>
      </c>
      <c r="O639" s="20">
        <f t="shared" si="77"/>
        <v>1</v>
      </c>
      <c r="P639" s="22">
        <f t="shared" si="78"/>
        <v>58.41</v>
      </c>
      <c r="Q639" s="22">
        <f>G639*INDEX(Assumptions!$B$8:$B$16,MATCH(F639,Assumptions!$A$8:$A$16,0))</f>
        <v>25.984000000000002</v>
      </c>
      <c r="R639" s="22">
        <f>H639*Assumptions!$B$3</f>
        <v>10.685999999999998</v>
      </c>
      <c r="S639" s="22">
        <f t="shared" si="79"/>
        <v>3.9300000000000015</v>
      </c>
      <c r="T639" s="20" t="str">
        <f t="shared" si="80"/>
        <v>8-14 days</v>
      </c>
    </row>
    <row r="640" spans="1:20" x14ac:dyDescent="0.3">
      <c r="A640" s="20" t="s">
        <v>706</v>
      </c>
      <c r="B640" s="20" t="s">
        <v>52</v>
      </c>
      <c r="C640" s="21">
        <v>45604</v>
      </c>
      <c r="D640" s="21">
        <v>45616</v>
      </c>
      <c r="E640" s="21">
        <v>45625</v>
      </c>
      <c r="F640" s="20" t="s">
        <v>111</v>
      </c>
      <c r="G640" s="22">
        <v>130.63999999999999</v>
      </c>
      <c r="H640" s="22">
        <v>29.62</v>
      </c>
      <c r="I640" s="20" t="s">
        <v>45</v>
      </c>
      <c r="J640" s="20">
        <v>4</v>
      </c>
      <c r="K640" s="20" t="s">
        <v>46</v>
      </c>
      <c r="L640" s="23">
        <f t="shared" si="74"/>
        <v>45597</v>
      </c>
      <c r="M640" s="20">
        <f t="shared" si="75"/>
        <v>12</v>
      </c>
      <c r="N640" s="20">
        <f t="shared" si="76"/>
        <v>0</v>
      </c>
      <c r="O640" s="20">
        <f t="shared" si="77"/>
        <v>1</v>
      </c>
      <c r="P640" s="22">
        <f t="shared" si="78"/>
        <v>160.26</v>
      </c>
      <c r="Q640" s="22">
        <f>G640*INDEX(Assumptions!$B$8:$B$16,MATCH(F640,Assumptions!$A$8:$A$16,0))</f>
        <v>82.30319999999999</v>
      </c>
      <c r="R640" s="22">
        <f>H640*Assumptions!$B$3</f>
        <v>17.771999999999998</v>
      </c>
      <c r="S640" s="22">
        <f t="shared" si="79"/>
        <v>30.564799999999998</v>
      </c>
      <c r="T640" s="20" t="str">
        <f t="shared" si="80"/>
        <v>8-14 days</v>
      </c>
    </row>
    <row r="641" spans="1:20" x14ac:dyDescent="0.3">
      <c r="A641" s="20" t="s">
        <v>707</v>
      </c>
      <c r="B641" s="20" t="s">
        <v>19</v>
      </c>
      <c r="C641" s="21">
        <v>45605</v>
      </c>
      <c r="D641" s="21">
        <v>45614</v>
      </c>
      <c r="E641" s="21">
        <v>45622</v>
      </c>
      <c r="F641" s="20" t="s">
        <v>53</v>
      </c>
      <c r="G641" s="22">
        <v>264.82</v>
      </c>
      <c r="H641" s="22">
        <v>25.25</v>
      </c>
      <c r="I641" s="20" t="s">
        <v>60</v>
      </c>
      <c r="J641" s="20">
        <v>4</v>
      </c>
      <c r="K641" s="20" t="s">
        <v>46</v>
      </c>
      <c r="L641" s="23">
        <f t="shared" si="74"/>
        <v>45597</v>
      </c>
      <c r="M641" s="20">
        <f t="shared" si="75"/>
        <v>9</v>
      </c>
      <c r="N641" s="20">
        <f t="shared" si="76"/>
        <v>0</v>
      </c>
      <c r="O641" s="20">
        <f t="shared" si="77"/>
        <v>1</v>
      </c>
      <c r="P641" s="22">
        <f t="shared" si="78"/>
        <v>290.07</v>
      </c>
      <c r="Q641" s="22">
        <f>G641*INDEX(Assumptions!$B$8:$B$16,MATCH(F641,Assumptions!$A$8:$A$16,0))</f>
        <v>195.96680000000001</v>
      </c>
      <c r="R641" s="22">
        <f>H641*Assumptions!$B$3</f>
        <v>15.149999999999999</v>
      </c>
      <c r="S641" s="22">
        <f t="shared" si="79"/>
        <v>53.703199999999988</v>
      </c>
      <c r="T641" s="20" t="str">
        <f t="shared" si="80"/>
        <v>8-14 days</v>
      </c>
    </row>
    <row r="642" spans="1:20" x14ac:dyDescent="0.3">
      <c r="A642" s="20" t="s">
        <v>708</v>
      </c>
      <c r="B642" s="20" t="s">
        <v>19</v>
      </c>
      <c r="C642" s="21">
        <v>45605</v>
      </c>
      <c r="D642" s="21">
        <v>45615</v>
      </c>
      <c r="E642" s="21">
        <v>45619</v>
      </c>
      <c r="F642" s="20" t="s">
        <v>79</v>
      </c>
      <c r="G642" s="22">
        <v>139.44</v>
      </c>
      <c r="H642" s="22">
        <v>19.190000000000001</v>
      </c>
      <c r="I642" s="20" t="s">
        <v>45</v>
      </c>
      <c r="J642" s="20">
        <v>4</v>
      </c>
      <c r="K642" s="20" t="s">
        <v>46</v>
      </c>
      <c r="L642" s="23">
        <f t="shared" ref="L642:L705" si="81">DATE(YEAR(C642),MONTH(C642),1)</f>
        <v>45597</v>
      </c>
      <c r="M642" s="20">
        <f t="shared" ref="M642:M705" si="82">D642-C642</f>
        <v>10</v>
      </c>
      <c r="N642" s="20">
        <f t="shared" ref="N642:N705" si="83">MAX(0,D642-E642)</f>
        <v>0</v>
      </c>
      <c r="O642" s="20">
        <f t="shared" ref="O642:O705" si="84">IF(D642&lt;=E642,1,0)</f>
        <v>1</v>
      </c>
      <c r="P642" s="22">
        <f t="shared" ref="P642:P705" si="85">G642+H642</f>
        <v>158.63</v>
      </c>
      <c r="Q642" s="22">
        <f>G642*INDEX(Assumptions!$B$8:$B$16,MATCH(F642,Assumptions!$A$8:$A$16,0))</f>
        <v>97.60799999999999</v>
      </c>
      <c r="R642" s="22">
        <f>H642*Assumptions!$B$3</f>
        <v>11.514000000000001</v>
      </c>
      <c r="S642" s="22">
        <f t="shared" ref="S642:S705" si="86">G642-Q642-R642</f>
        <v>30.318000000000005</v>
      </c>
      <c r="T642" s="20" t="str">
        <f t="shared" ref="T642:T705" si="87">IF(M642&lt;=7,"0-7 days",IF(M642&lt;=14,"8-14 days",IF(M642&lt;=21,"15-21 days","22+ days")))</f>
        <v>8-14 days</v>
      </c>
    </row>
    <row r="643" spans="1:20" x14ac:dyDescent="0.3">
      <c r="A643" s="20" t="s">
        <v>709</v>
      </c>
      <c r="B643" s="20" t="s">
        <v>19</v>
      </c>
      <c r="C643" s="21">
        <v>45605</v>
      </c>
      <c r="D643" s="21">
        <v>45614</v>
      </c>
      <c r="E643" s="21">
        <v>45623</v>
      </c>
      <c r="F643" s="20" t="s">
        <v>57</v>
      </c>
      <c r="G643" s="22">
        <v>162.1</v>
      </c>
      <c r="H643" s="22">
        <v>18.47</v>
      </c>
      <c r="I643" s="20" t="s">
        <v>45</v>
      </c>
      <c r="J643" s="20">
        <v>4</v>
      </c>
      <c r="K643" s="20" t="s">
        <v>46</v>
      </c>
      <c r="L643" s="23">
        <f t="shared" si="81"/>
        <v>45597</v>
      </c>
      <c r="M643" s="20">
        <f t="shared" si="82"/>
        <v>9</v>
      </c>
      <c r="N643" s="20">
        <f t="shared" si="83"/>
        <v>0</v>
      </c>
      <c r="O643" s="20">
        <f t="shared" si="84"/>
        <v>1</v>
      </c>
      <c r="P643" s="22">
        <f t="shared" si="85"/>
        <v>180.57</v>
      </c>
      <c r="Q643" s="22">
        <f>G643*INDEX(Assumptions!$B$8:$B$16,MATCH(F643,Assumptions!$A$8:$A$16,0))</f>
        <v>110.22800000000001</v>
      </c>
      <c r="R643" s="22">
        <f>H643*Assumptions!$B$3</f>
        <v>11.081999999999999</v>
      </c>
      <c r="S643" s="22">
        <f t="shared" si="86"/>
        <v>40.789999999999985</v>
      </c>
      <c r="T643" s="20" t="str">
        <f t="shared" si="87"/>
        <v>8-14 days</v>
      </c>
    </row>
    <row r="644" spans="1:20" x14ac:dyDescent="0.3">
      <c r="A644" s="20" t="s">
        <v>710</v>
      </c>
      <c r="B644" s="20" t="s">
        <v>19</v>
      </c>
      <c r="C644" s="21">
        <v>45605</v>
      </c>
      <c r="D644" s="21">
        <v>45619</v>
      </c>
      <c r="E644" s="21">
        <v>45621</v>
      </c>
      <c r="F644" s="20" t="s">
        <v>59</v>
      </c>
      <c r="G644" s="22">
        <v>101.26</v>
      </c>
      <c r="H644" s="22">
        <v>17.29</v>
      </c>
      <c r="I644" s="20" t="s">
        <v>45</v>
      </c>
      <c r="J644" s="20">
        <v>4</v>
      </c>
      <c r="K644" s="20" t="s">
        <v>46</v>
      </c>
      <c r="L644" s="23">
        <f t="shared" si="81"/>
        <v>45597</v>
      </c>
      <c r="M644" s="20">
        <f t="shared" si="82"/>
        <v>14</v>
      </c>
      <c r="N644" s="20">
        <f t="shared" si="83"/>
        <v>0</v>
      </c>
      <c r="O644" s="20">
        <f t="shared" si="84"/>
        <v>1</v>
      </c>
      <c r="P644" s="22">
        <f t="shared" si="85"/>
        <v>118.55000000000001</v>
      </c>
      <c r="Q644" s="22">
        <f>G644*INDEX(Assumptions!$B$8:$B$16,MATCH(F644,Assumptions!$A$8:$A$16,0))</f>
        <v>64.806400000000011</v>
      </c>
      <c r="R644" s="22">
        <f>H644*Assumptions!$B$3</f>
        <v>10.373999999999999</v>
      </c>
      <c r="S644" s="22">
        <f t="shared" si="86"/>
        <v>26.079599999999996</v>
      </c>
      <c r="T644" s="20" t="str">
        <f t="shared" si="87"/>
        <v>8-14 days</v>
      </c>
    </row>
    <row r="645" spans="1:20" x14ac:dyDescent="0.3">
      <c r="A645" s="20" t="s">
        <v>711</v>
      </c>
      <c r="B645" s="20" t="s">
        <v>19</v>
      </c>
      <c r="C645" s="21">
        <v>45606</v>
      </c>
      <c r="D645" s="21">
        <v>45612</v>
      </c>
      <c r="E645" s="21">
        <v>45620</v>
      </c>
      <c r="F645" s="20" t="s">
        <v>67</v>
      </c>
      <c r="G645" s="22">
        <v>139.09</v>
      </c>
      <c r="H645" s="22">
        <v>18.91</v>
      </c>
      <c r="I645" s="20" t="s">
        <v>45</v>
      </c>
      <c r="J645" s="20">
        <v>4</v>
      </c>
      <c r="K645" s="20" t="s">
        <v>46</v>
      </c>
      <c r="L645" s="23">
        <f t="shared" si="81"/>
        <v>45597</v>
      </c>
      <c r="M645" s="20">
        <f t="shared" si="82"/>
        <v>6</v>
      </c>
      <c r="N645" s="20">
        <f t="shared" si="83"/>
        <v>0</v>
      </c>
      <c r="O645" s="20">
        <f t="shared" si="84"/>
        <v>1</v>
      </c>
      <c r="P645" s="22">
        <f t="shared" si="85"/>
        <v>158</v>
      </c>
      <c r="Q645" s="22">
        <f>G645*INDEX(Assumptions!$B$8:$B$16,MATCH(F645,Assumptions!$A$8:$A$16,0))</f>
        <v>86.235799999999998</v>
      </c>
      <c r="R645" s="22">
        <f>H645*Assumptions!$B$3</f>
        <v>11.346</v>
      </c>
      <c r="S645" s="22">
        <f t="shared" si="86"/>
        <v>41.508200000000002</v>
      </c>
      <c r="T645" s="20" t="str">
        <f t="shared" si="87"/>
        <v>0-7 days</v>
      </c>
    </row>
    <row r="646" spans="1:20" x14ac:dyDescent="0.3">
      <c r="A646" s="20" t="s">
        <v>712</v>
      </c>
      <c r="B646" s="20" t="s">
        <v>201</v>
      </c>
      <c r="C646" s="21">
        <v>45606</v>
      </c>
      <c r="D646" s="21">
        <v>45624</v>
      </c>
      <c r="E646" s="21">
        <v>45639</v>
      </c>
      <c r="F646" s="20" t="s">
        <v>79</v>
      </c>
      <c r="G646" s="22">
        <v>84.51</v>
      </c>
      <c r="H646" s="22">
        <v>40.909999999999997</v>
      </c>
      <c r="I646" s="20" t="s">
        <v>45</v>
      </c>
      <c r="J646" s="20">
        <v>4</v>
      </c>
      <c r="K646" s="20" t="s">
        <v>46</v>
      </c>
      <c r="L646" s="23">
        <f t="shared" si="81"/>
        <v>45597</v>
      </c>
      <c r="M646" s="20">
        <f t="shared" si="82"/>
        <v>18</v>
      </c>
      <c r="N646" s="20">
        <f t="shared" si="83"/>
        <v>0</v>
      </c>
      <c r="O646" s="20">
        <f t="shared" si="84"/>
        <v>1</v>
      </c>
      <c r="P646" s="22">
        <f t="shared" si="85"/>
        <v>125.42</v>
      </c>
      <c r="Q646" s="22">
        <f>G646*INDEX(Assumptions!$B$8:$B$16,MATCH(F646,Assumptions!$A$8:$A$16,0))</f>
        <v>59.156999999999996</v>
      </c>
      <c r="R646" s="22">
        <f>H646*Assumptions!$B$3</f>
        <v>24.545999999999996</v>
      </c>
      <c r="S646" s="22">
        <f t="shared" si="86"/>
        <v>0.80700000000001282</v>
      </c>
      <c r="T646" s="20" t="str">
        <f t="shared" si="87"/>
        <v>15-21 days</v>
      </c>
    </row>
    <row r="647" spans="1:20" x14ac:dyDescent="0.3">
      <c r="A647" s="20" t="s">
        <v>713</v>
      </c>
      <c r="B647" s="20" t="s">
        <v>19</v>
      </c>
      <c r="C647" s="21">
        <v>45606</v>
      </c>
      <c r="D647" s="21">
        <v>45611</v>
      </c>
      <c r="E647" s="21">
        <v>45621</v>
      </c>
      <c r="F647" s="20" t="s">
        <v>49</v>
      </c>
      <c r="G647" s="22">
        <v>193.69</v>
      </c>
      <c r="H647" s="22">
        <v>24.6</v>
      </c>
      <c r="I647" s="20" t="s">
        <v>45</v>
      </c>
      <c r="J647" s="20">
        <v>5</v>
      </c>
      <c r="K647" s="20" t="s">
        <v>46</v>
      </c>
      <c r="L647" s="23">
        <f t="shared" si="81"/>
        <v>45597</v>
      </c>
      <c r="M647" s="20">
        <f t="shared" si="82"/>
        <v>5</v>
      </c>
      <c r="N647" s="20">
        <f t="shared" si="83"/>
        <v>0</v>
      </c>
      <c r="O647" s="20">
        <f t="shared" si="84"/>
        <v>1</v>
      </c>
      <c r="P647" s="22">
        <f t="shared" si="85"/>
        <v>218.29</v>
      </c>
      <c r="Q647" s="22">
        <f>G647*INDEX(Assumptions!$B$8:$B$16,MATCH(F647,Assumptions!$A$8:$A$16,0))</f>
        <v>112.3402</v>
      </c>
      <c r="R647" s="22">
        <f>H647*Assumptions!$B$3</f>
        <v>14.76</v>
      </c>
      <c r="S647" s="22">
        <f t="shared" si="86"/>
        <v>66.589799999999997</v>
      </c>
      <c r="T647" s="20" t="str">
        <f t="shared" si="87"/>
        <v>0-7 days</v>
      </c>
    </row>
    <row r="648" spans="1:20" x14ac:dyDescent="0.3">
      <c r="A648" s="20" t="s">
        <v>714</v>
      </c>
      <c r="B648" s="20" t="s">
        <v>174</v>
      </c>
      <c r="C648" s="21">
        <v>45606</v>
      </c>
      <c r="D648" s="21">
        <v>45630</v>
      </c>
      <c r="E648" s="21">
        <v>45637</v>
      </c>
      <c r="F648" s="20" t="s">
        <v>59</v>
      </c>
      <c r="G648" s="22">
        <v>48.47</v>
      </c>
      <c r="H648" s="22">
        <v>32.17</v>
      </c>
      <c r="I648" s="20" t="s">
        <v>60</v>
      </c>
      <c r="J648" s="20">
        <v>4</v>
      </c>
      <c r="K648" s="20" t="s">
        <v>46</v>
      </c>
      <c r="L648" s="23">
        <f t="shared" si="81"/>
        <v>45597</v>
      </c>
      <c r="M648" s="20">
        <f t="shared" si="82"/>
        <v>24</v>
      </c>
      <c r="N648" s="20">
        <f t="shared" si="83"/>
        <v>0</v>
      </c>
      <c r="O648" s="20">
        <f t="shared" si="84"/>
        <v>1</v>
      </c>
      <c r="P648" s="22">
        <f t="shared" si="85"/>
        <v>80.64</v>
      </c>
      <c r="Q648" s="22">
        <f>G648*INDEX(Assumptions!$B$8:$B$16,MATCH(F648,Assumptions!$A$8:$A$16,0))</f>
        <v>31.020800000000001</v>
      </c>
      <c r="R648" s="22">
        <f>H648*Assumptions!$B$3</f>
        <v>19.302</v>
      </c>
      <c r="S648" s="22">
        <f t="shared" si="86"/>
        <v>-1.852800000000002</v>
      </c>
      <c r="T648" s="20" t="str">
        <f t="shared" si="87"/>
        <v>22+ days</v>
      </c>
    </row>
    <row r="649" spans="1:20" x14ac:dyDescent="0.3">
      <c r="A649" s="20" t="s">
        <v>715</v>
      </c>
      <c r="B649" s="20" t="s">
        <v>62</v>
      </c>
      <c r="C649" s="21">
        <v>45606</v>
      </c>
      <c r="D649" s="21">
        <v>45617</v>
      </c>
      <c r="E649" s="21">
        <v>45626</v>
      </c>
      <c r="F649" s="20" t="s">
        <v>49</v>
      </c>
      <c r="G649" s="22">
        <v>108.09</v>
      </c>
      <c r="H649" s="22">
        <v>19.77</v>
      </c>
      <c r="I649" s="20" t="s">
        <v>45</v>
      </c>
      <c r="J649" s="20">
        <v>5</v>
      </c>
      <c r="K649" s="20" t="s">
        <v>46</v>
      </c>
      <c r="L649" s="23">
        <f t="shared" si="81"/>
        <v>45597</v>
      </c>
      <c r="M649" s="20">
        <f t="shared" si="82"/>
        <v>11</v>
      </c>
      <c r="N649" s="20">
        <f t="shared" si="83"/>
        <v>0</v>
      </c>
      <c r="O649" s="20">
        <f t="shared" si="84"/>
        <v>1</v>
      </c>
      <c r="P649" s="22">
        <f t="shared" si="85"/>
        <v>127.86</v>
      </c>
      <c r="Q649" s="22">
        <f>G649*INDEX(Assumptions!$B$8:$B$16,MATCH(F649,Assumptions!$A$8:$A$16,0))</f>
        <v>62.6922</v>
      </c>
      <c r="R649" s="22">
        <f>H649*Assumptions!$B$3</f>
        <v>11.862</v>
      </c>
      <c r="S649" s="22">
        <f t="shared" si="86"/>
        <v>33.535800000000002</v>
      </c>
      <c r="T649" s="20" t="str">
        <f t="shared" si="87"/>
        <v>8-14 days</v>
      </c>
    </row>
    <row r="650" spans="1:20" x14ac:dyDescent="0.3">
      <c r="A650" s="20" t="s">
        <v>716</v>
      </c>
      <c r="B650" s="20" t="s">
        <v>55</v>
      </c>
      <c r="C650" s="21">
        <v>45606</v>
      </c>
      <c r="D650" s="21">
        <v>45620</v>
      </c>
      <c r="E650" s="21">
        <v>45628</v>
      </c>
      <c r="F650" s="20" t="s">
        <v>111</v>
      </c>
      <c r="G650" s="22">
        <v>41.97</v>
      </c>
      <c r="H650" s="22">
        <v>18.27</v>
      </c>
      <c r="I650" s="20" t="s">
        <v>45</v>
      </c>
      <c r="J650" s="20">
        <v>3</v>
      </c>
      <c r="K650" s="20" t="s">
        <v>46</v>
      </c>
      <c r="L650" s="23">
        <f t="shared" si="81"/>
        <v>45597</v>
      </c>
      <c r="M650" s="20">
        <f t="shared" si="82"/>
        <v>14</v>
      </c>
      <c r="N650" s="20">
        <f t="shared" si="83"/>
        <v>0</v>
      </c>
      <c r="O650" s="20">
        <f t="shared" si="84"/>
        <v>1</v>
      </c>
      <c r="P650" s="22">
        <f t="shared" si="85"/>
        <v>60.239999999999995</v>
      </c>
      <c r="Q650" s="22">
        <f>G650*INDEX(Assumptions!$B$8:$B$16,MATCH(F650,Assumptions!$A$8:$A$16,0))</f>
        <v>26.441099999999999</v>
      </c>
      <c r="R650" s="22">
        <f>H650*Assumptions!$B$3</f>
        <v>10.962</v>
      </c>
      <c r="S650" s="22">
        <f t="shared" si="86"/>
        <v>4.5669000000000004</v>
      </c>
      <c r="T650" s="20" t="str">
        <f t="shared" si="87"/>
        <v>8-14 days</v>
      </c>
    </row>
    <row r="651" spans="1:20" x14ac:dyDescent="0.3">
      <c r="A651" s="20" t="s">
        <v>717</v>
      </c>
      <c r="B651" s="20" t="s">
        <v>19</v>
      </c>
      <c r="C651" s="21">
        <v>45606</v>
      </c>
      <c r="D651" s="21">
        <v>45612</v>
      </c>
      <c r="E651" s="21">
        <v>45619</v>
      </c>
      <c r="F651" s="20" t="s">
        <v>67</v>
      </c>
      <c r="G651" s="22">
        <v>52.97</v>
      </c>
      <c r="H651" s="22">
        <v>20.3</v>
      </c>
      <c r="I651" s="20" t="s">
        <v>50</v>
      </c>
      <c r="J651" s="20">
        <v>5</v>
      </c>
      <c r="K651" s="20" t="s">
        <v>46</v>
      </c>
      <c r="L651" s="23">
        <f t="shared" si="81"/>
        <v>45597</v>
      </c>
      <c r="M651" s="20">
        <f t="shared" si="82"/>
        <v>6</v>
      </c>
      <c r="N651" s="20">
        <f t="shared" si="83"/>
        <v>0</v>
      </c>
      <c r="O651" s="20">
        <f t="shared" si="84"/>
        <v>1</v>
      </c>
      <c r="P651" s="22">
        <f t="shared" si="85"/>
        <v>73.27</v>
      </c>
      <c r="Q651" s="22">
        <f>G651*INDEX(Assumptions!$B$8:$B$16,MATCH(F651,Assumptions!$A$8:$A$16,0))</f>
        <v>32.8414</v>
      </c>
      <c r="R651" s="22">
        <f>H651*Assumptions!$B$3</f>
        <v>12.18</v>
      </c>
      <c r="S651" s="22">
        <f t="shared" si="86"/>
        <v>7.948599999999999</v>
      </c>
      <c r="T651" s="20" t="str">
        <f t="shared" si="87"/>
        <v>0-7 days</v>
      </c>
    </row>
    <row r="652" spans="1:20" x14ac:dyDescent="0.3">
      <c r="A652" s="20" t="s">
        <v>718</v>
      </c>
      <c r="B652" s="20" t="s">
        <v>55</v>
      </c>
      <c r="C652" s="21">
        <v>45606</v>
      </c>
      <c r="D652" s="21">
        <v>45621</v>
      </c>
      <c r="E652" s="21">
        <v>45633</v>
      </c>
      <c r="F652" s="20" t="s">
        <v>64</v>
      </c>
      <c r="G652" s="22">
        <v>140.94</v>
      </c>
      <c r="H652" s="22">
        <v>21.64</v>
      </c>
      <c r="I652" s="20" t="s">
        <v>45</v>
      </c>
      <c r="J652" s="20">
        <v>5</v>
      </c>
      <c r="K652" s="20" t="s">
        <v>46</v>
      </c>
      <c r="L652" s="23">
        <f t="shared" si="81"/>
        <v>45597</v>
      </c>
      <c r="M652" s="20">
        <f t="shared" si="82"/>
        <v>15</v>
      </c>
      <c r="N652" s="20">
        <f t="shared" si="83"/>
        <v>0</v>
      </c>
      <c r="O652" s="20">
        <f t="shared" si="84"/>
        <v>1</v>
      </c>
      <c r="P652" s="22">
        <f t="shared" si="85"/>
        <v>162.57999999999998</v>
      </c>
      <c r="Q652" s="22">
        <f>G652*INDEX(Assumptions!$B$8:$B$16,MATCH(F652,Assumptions!$A$8:$A$16,0))</f>
        <v>93.020400000000009</v>
      </c>
      <c r="R652" s="22">
        <f>H652*Assumptions!$B$3</f>
        <v>12.984</v>
      </c>
      <c r="S652" s="22">
        <f t="shared" si="86"/>
        <v>34.935599999999987</v>
      </c>
      <c r="T652" s="20" t="str">
        <f t="shared" si="87"/>
        <v>15-21 days</v>
      </c>
    </row>
    <row r="653" spans="1:20" x14ac:dyDescent="0.3">
      <c r="A653" s="20" t="s">
        <v>719</v>
      </c>
      <c r="B653" s="20" t="s">
        <v>19</v>
      </c>
      <c r="C653" s="21">
        <v>45606</v>
      </c>
      <c r="D653" s="21">
        <v>45613</v>
      </c>
      <c r="E653" s="21">
        <v>45622</v>
      </c>
      <c r="F653" s="20" t="s">
        <v>64</v>
      </c>
      <c r="G653" s="22">
        <v>142.51</v>
      </c>
      <c r="H653" s="22">
        <v>19.89</v>
      </c>
      <c r="I653" s="20" t="s">
        <v>45</v>
      </c>
      <c r="J653" s="20">
        <v>5</v>
      </c>
      <c r="K653" s="20" t="s">
        <v>46</v>
      </c>
      <c r="L653" s="23">
        <f t="shared" si="81"/>
        <v>45597</v>
      </c>
      <c r="M653" s="20">
        <f t="shared" si="82"/>
        <v>7</v>
      </c>
      <c r="N653" s="20">
        <f t="shared" si="83"/>
        <v>0</v>
      </c>
      <c r="O653" s="20">
        <f t="shared" si="84"/>
        <v>1</v>
      </c>
      <c r="P653" s="22">
        <f t="shared" si="85"/>
        <v>162.39999999999998</v>
      </c>
      <c r="Q653" s="22">
        <f>G653*INDEX(Assumptions!$B$8:$B$16,MATCH(F653,Assumptions!$A$8:$A$16,0))</f>
        <v>94.056600000000003</v>
      </c>
      <c r="R653" s="22">
        <f>H653*Assumptions!$B$3</f>
        <v>11.933999999999999</v>
      </c>
      <c r="S653" s="22">
        <f t="shared" si="86"/>
        <v>36.51939999999999</v>
      </c>
      <c r="T653" s="20" t="str">
        <f t="shared" si="87"/>
        <v>0-7 days</v>
      </c>
    </row>
    <row r="654" spans="1:20" x14ac:dyDescent="0.3">
      <c r="A654" s="20" t="s">
        <v>720</v>
      </c>
      <c r="B654" s="20" t="s">
        <v>19</v>
      </c>
      <c r="C654" s="21">
        <v>45607</v>
      </c>
      <c r="D654" s="21">
        <v>45619</v>
      </c>
      <c r="E654" s="21">
        <v>45620</v>
      </c>
      <c r="F654" s="20" t="s">
        <v>59</v>
      </c>
      <c r="G654" s="22">
        <v>52.54</v>
      </c>
      <c r="H654" s="22">
        <v>15.49</v>
      </c>
      <c r="I654" s="20" t="s">
        <v>45</v>
      </c>
      <c r="J654" s="20">
        <v>3</v>
      </c>
      <c r="K654" s="20" t="s">
        <v>46</v>
      </c>
      <c r="L654" s="23">
        <f t="shared" si="81"/>
        <v>45597</v>
      </c>
      <c r="M654" s="20">
        <f t="shared" si="82"/>
        <v>12</v>
      </c>
      <c r="N654" s="20">
        <f t="shared" si="83"/>
        <v>0</v>
      </c>
      <c r="O654" s="20">
        <f t="shared" si="84"/>
        <v>1</v>
      </c>
      <c r="P654" s="22">
        <f t="shared" si="85"/>
        <v>68.03</v>
      </c>
      <c r="Q654" s="22">
        <f>G654*INDEX(Assumptions!$B$8:$B$16,MATCH(F654,Assumptions!$A$8:$A$16,0))</f>
        <v>33.625599999999999</v>
      </c>
      <c r="R654" s="22">
        <f>H654*Assumptions!$B$3</f>
        <v>9.2940000000000005</v>
      </c>
      <c r="S654" s="22">
        <f t="shared" si="86"/>
        <v>9.6204000000000001</v>
      </c>
      <c r="T654" s="20" t="str">
        <f t="shared" si="87"/>
        <v>8-14 days</v>
      </c>
    </row>
    <row r="655" spans="1:20" x14ac:dyDescent="0.3">
      <c r="A655" s="20" t="s">
        <v>721</v>
      </c>
      <c r="B655" s="20" t="s">
        <v>19</v>
      </c>
      <c r="C655" s="21">
        <v>45607</v>
      </c>
      <c r="D655" s="21">
        <v>45614</v>
      </c>
      <c r="E655" s="21">
        <v>45623</v>
      </c>
      <c r="F655" s="20" t="s">
        <v>79</v>
      </c>
      <c r="G655" s="22">
        <v>67.59</v>
      </c>
      <c r="H655" s="22">
        <v>19.670000000000002</v>
      </c>
      <c r="I655" s="20" t="s">
        <v>45</v>
      </c>
      <c r="J655" s="20">
        <v>5</v>
      </c>
      <c r="K655" s="20" t="s">
        <v>46</v>
      </c>
      <c r="L655" s="23">
        <f t="shared" si="81"/>
        <v>45597</v>
      </c>
      <c r="M655" s="20">
        <f t="shared" si="82"/>
        <v>7</v>
      </c>
      <c r="N655" s="20">
        <f t="shared" si="83"/>
        <v>0</v>
      </c>
      <c r="O655" s="20">
        <f t="shared" si="84"/>
        <v>1</v>
      </c>
      <c r="P655" s="22">
        <f t="shared" si="85"/>
        <v>87.26</v>
      </c>
      <c r="Q655" s="22">
        <f>G655*INDEX(Assumptions!$B$8:$B$16,MATCH(F655,Assumptions!$A$8:$A$16,0))</f>
        <v>47.313000000000002</v>
      </c>
      <c r="R655" s="22">
        <f>H655*Assumptions!$B$3</f>
        <v>11.802000000000001</v>
      </c>
      <c r="S655" s="22">
        <f t="shared" si="86"/>
        <v>8.4749999999999996</v>
      </c>
      <c r="T655" s="20" t="str">
        <f t="shared" si="87"/>
        <v>0-7 days</v>
      </c>
    </row>
    <row r="656" spans="1:20" x14ac:dyDescent="0.3">
      <c r="A656" s="20" t="s">
        <v>722</v>
      </c>
      <c r="B656" s="20" t="s">
        <v>62</v>
      </c>
      <c r="C656" s="21">
        <v>45607</v>
      </c>
      <c r="D656" s="21">
        <v>45620</v>
      </c>
      <c r="E656" s="21">
        <v>45622</v>
      </c>
      <c r="F656" s="20" t="s">
        <v>67</v>
      </c>
      <c r="G656" s="22">
        <v>123.62</v>
      </c>
      <c r="H656" s="22">
        <v>21.82</v>
      </c>
      <c r="I656" s="20" t="s">
        <v>50</v>
      </c>
      <c r="J656" s="20">
        <v>3</v>
      </c>
      <c r="K656" s="20" t="s">
        <v>46</v>
      </c>
      <c r="L656" s="23">
        <f t="shared" si="81"/>
        <v>45597</v>
      </c>
      <c r="M656" s="20">
        <f t="shared" si="82"/>
        <v>13</v>
      </c>
      <c r="N656" s="20">
        <f t="shared" si="83"/>
        <v>0</v>
      </c>
      <c r="O656" s="20">
        <f t="shared" si="84"/>
        <v>1</v>
      </c>
      <c r="P656" s="22">
        <f t="shared" si="85"/>
        <v>145.44</v>
      </c>
      <c r="Q656" s="22">
        <f>G656*INDEX(Assumptions!$B$8:$B$16,MATCH(F656,Assumptions!$A$8:$A$16,0))</f>
        <v>76.644400000000005</v>
      </c>
      <c r="R656" s="22">
        <f>H656*Assumptions!$B$3</f>
        <v>13.092000000000001</v>
      </c>
      <c r="S656" s="22">
        <f t="shared" si="86"/>
        <v>33.883600000000001</v>
      </c>
      <c r="T656" s="20" t="str">
        <f t="shared" si="87"/>
        <v>8-14 days</v>
      </c>
    </row>
    <row r="657" spans="1:20" x14ac:dyDescent="0.3">
      <c r="A657" s="20" t="s">
        <v>723</v>
      </c>
      <c r="B657" s="20" t="s">
        <v>62</v>
      </c>
      <c r="C657" s="21">
        <v>45607</v>
      </c>
      <c r="D657" s="21">
        <v>45626</v>
      </c>
      <c r="E657" s="21">
        <v>45630</v>
      </c>
      <c r="F657" s="20" t="s">
        <v>67</v>
      </c>
      <c r="G657" s="22">
        <v>55.87</v>
      </c>
      <c r="H657" s="22">
        <v>25.32</v>
      </c>
      <c r="I657" s="20" t="s">
        <v>45</v>
      </c>
      <c r="J657" s="20">
        <v>3</v>
      </c>
      <c r="K657" s="20" t="s">
        <v>46</v>
      </c>
      <c r="L657" s="23">
        <f t="shared" si="81"/>
        <v>45597</v>
      </c>
      <c r="M657" s="20">
        <f t="shared" si="82"/>
        <v>19</v>
      </c>
      <c r="N657" s="20">
        <f t="shared" si="83"/>
        <v>0</v>
      </c>
      <c r="O657" s="20">
        <f t="shared" si="84"/>
        <v>1</v>
      </c>
      <c r="P657" s="22">
        <f t="shared" si="85"/>
        <v>81.19</v>
      </c>
      <c r="Q657" s="22">
        <f>G657*INDEX(Assumptions!$B$8:$B$16,MATCH(F657,Assumptions!$A$8:$A$16,0))</f>
        <v>34.639399999999995</v>
      </c>
      <c r="R657" s="22">
        <f>H657*Assumptions!$B$3</f>
        <v>15.192</v>
      </c>
      <c r="S657" s="22">
        <f t="shared" si="86"/>
        <v>6.0386000000000024</v>
      </c>
      <c r="T657" s="20" t="str">
        <f t="shared" si="87"/>
        <v>15-21 days</v>
      </c>
    </row>
    <row r="658" spans="1:20" x14ac:dyDescent="0.3">
      <c r="A658" s="20" t="s">
        <v>724</v>
      </c>
      <c r="B658" s="20" t="s">
        <v>174</v>
      </c>
      <c r="C658" s="21">
        <v>45607</v>
      </c>
      <c r="D658" s="21">
        <v>45624</v>
      </c>
      <c r="E658" s="21">
        <v>45636</v>
      </c>
      <c r="F658" s="20" t="s">
        <v>64</v>
      </c>
      <c r="G658" s="22">
        <v>208.3</v>
      </c>
      <c r="H658" s="22">
        <v>29.67</v>
      </c>
      <c r="I658" s="20" t="s">
        <v>60</v>
      </c>
      <c r="J658" s="20">
        <v>3</v>
      </c>
      <c r="K658" s="20" t="s">
        <v>46</v>
      </c>
      <c r="L658" s="23">
        <f t="shared" si="81"/>
        <v>45597</v>
      </c>
      <c r="M658" s="20">
        <f t="shared" si="82"/>
        <v>17</v>
      </c>
      <c r="N658" s="20">
        <f t="shared" si="83"/>
        <v>0</v>
      </c>
      <c r="O658" s="20">
        <f t="shared" si="84"/>
        <v>1</v>
      </c>
      <c r="P658" s="22">
        <f t="shared" si="85"/>
        <v>237.97000000000003</v>
      </c>
      <c r="Q658" s="22">
        <f>G658*INDEX(Assumptions!$B$8:$B$16,MATCH(F658,Assumptions!$A$8:$A$16,0))</f>
        <v>137.47800000000001</v>
      </c>
      <c r="R658" s="22">
        <f>H658*Assumptions!$B$3</f>
        <v>17.802</v>
      </c>
      <c r="S658" s="22">
        <f t="shared" si="86"/>
        <v>53.02</v>
      </c>
      <c r="T658" s="20" t="str">
        <f t="shared" si="87"/>
        <v>15-21 days</v>
      </c>
    </row>
    <row r="659" spans="1:20" x14ac:dyDescent="0.3">
      <c r="A659" s="20" t="s">
        <v>725</v>
      </c>
      <c r="B659" s="20" t="s">
        <v>62</v>
      </c>
      <c r="C659" s="21">
        <v>45608</v>
      </c>
      <c r="D659" s="21">
        <v>45620</v>
      </c>
      <c r="E659" s="21">
        <v>45633</v>
      </c>
      <c r="F659" s="20" t="s">
        <v>79</v>
      </c>
      <c r="G659" s="22">
        <v>76.75</v>
      </c>
      <c r="H659" s="22">
        <v>23.41</v>
      </c>
      <c r="I659" s="20" t="s">
        <v>45</v>
      </c>
      <c r="J659" s="20">
        <v>5</v>
      </c>
      <c r="K659" s="20" t="s">
        <v>46</v>
      </c>
      <c r="L659" s="23">
        <f t="shared" si="81"/>
        <v>45597</v>
      </c>
      <c r="M659" s="20">
        <f t="shared" si="82"/>
        <v>12</v>
      </c>
      <c r="N659" s="20">
        <f t="shared" si="83"/>
        <v>0</v>
      </c>
      <c r="O659" s="20">
        <f t="shared" si="84"/>
        <v>1</v>
      </c>
      <c r="P659" s="22">
        <f t="shared" si="85"/>
        <v>100.16</v>
      </c>
      <c r="Q659" s="22">
        <f>G659*INDEX(Assumptions!$B$8:$B$16,MATCH(F659,Assumptions!$A$8:$A$16,0))</f>
        <v>53.724999999999994</v>
      </c>
      <c r="R659" s="22">
        <f>H659*Assumptions!$B$3</f>
        <v>14.045999999999999</v>
      </c>
      <c r="S659" s="22">
        <f t="shared" si="86"/>
        <v>8.9790000000000063</v>
      </c>
      <c r="T659" s="20" t="str">
        <f t="shared" si="87"/>
        <v>8-14 days</v>
      </c>
    </row>
    <row r="660" spans="1:20" x14ac:dyDescent="0.3">
      <c r="A660" s="20" t="s">
        <v>726</v>
      </c>
      <c r="B660" s="20" t="s">
        <v>62</v>
      </c>
      <c r="C660" s="21">
        <v>45608</v>
      </c>
      <c r="D660" s="21">
        <v>45620</v>
      </c>
      <c r="E660" s="21">
        <v>45630</v>
      </c>
      <c r="F660" s="20" t="s">
        <v>59</v>
      </c>
      <c r="G660" s="22">
        <v>93.67</v>
      </c>
      <c r="H660" s="22">
        <v>17.78</v>
      </c>
      <c r="I660" s="20" t="s">
        <v>45</v>
      </c>
      <c r="J660" s="20">
        <v>5</v>
      </c>
      <c r="K660" s="20" t="s">
        <v>46</v>
      </c>
      <c r="L660" s="23">
        <f t="shared" si="81"/>
        <v>45597</v>
      </c>
      <c r="M660" s="20">
        <f t="shared" si="82"/>
        <v>12</v>
      </c>
      <c r="N660" s="20">
        <f t="shared" si="83"/>
        <v>0</v>
      </c>
      <c r="O660" s="20">
        <f t="shared" si="84"/>
        <v>1</v>
      </c>
      <c r="P660" s="22">
        <f t="shared" si="85"/>
        <v>111.45</v>
      </c>
      <c r="Q660" s="22">
        <f>G660*INDEX(Assumptions!$B$8:$B$16,MATCH(F660,Assumptions!$A$8:$A$16,0))</f>
        <v>59.948800000000006</v>
      </c>
      <c r="R660" s="22">
        <f>H660*Assumptions!$B$3</f>
        <v>10.668000000000001</v>
      </c>
      <c r="S660" s="22">
        <f t="shared" si="86"/>
        <v>23.053199999999997</v>
      </c>
      <c r="T660" s="20" t="str">
        <f t="shared" si="87"/>
        <v>8-14 days</v>
      </c>
    </row>
    <row r="661" spans="1:20" x14ac:dyDescent="0.3">
      <c r="A661" s="20" t="s">
        <v>727</v>
      </c>
      <c r="B661" s="20" t="s">
        <v>62</v>
      </c>
      <c r="C661" s="21">
        <v>45608</v>
      </c>
      <c r="D661" s="21">
        <v>45622</v>
      </c>
      <c r="E661" s="21">
        <v>45629</v>
      </c>
      <c r="F661" s="20" t="s">
        <v>57</v>
      </c>
      <c r="G661" s="22">
        <v>165.79</v>
      </c>
      <c r="H661" s="22">
        <v>17.91</v>
      </c>
      <c r="I661" s="20" t="s">
        <v>45</v>
      </c>
      <c r="J661" s="20">
        <v>4</v>
      </c>
      <c r="K661" s="20" t="s">
        <v>46</v>
      </c>
      <c r="L661" s="23">
        <f t="shared" si="81"/>
        <v>45597</v>
      </c>
      <c r="M661" s="20">
        <f t="shared" si="82"/>
        <v>14</v>
      </c>
      <c r="N661" s="20">
        <f t="shared" si="83"/>
        <v>0</v>
      </c>
      <c r="O661" s="20">
        <f t="shared" si="84"/>
        <v>1</v>
      </c>
      <c r="P661" s="22">
        <f t="shared" si="85"/>
        <v>183.7</v>
      </c>
      <c r="Q661" s="22">
        <f>G661*INDEX(Assumptions!$B$8:$B$16,MATCH(F661,Assumptions!$A$8:$A$16,0))</f>
        <v>112.7372</v>
      </c>
      <c r="R661" s="22">
        <f>H661*Assumptions!$B$3</f>
        <v>10.746</v>
      </c>
      <c r="S661" s="22">
        <f t="shared" si="86"/>
        <v>42.306799999999988</v>
      </c>
      <c r="T661" s="20" t="str">
        <f t="shared" si="87"/>
        <v>8-14 days</v>
      </c>
    </row>
    <row r="662" spans="1:20" x14ac:dyDescent="0.3">
      <c r="A662" s="20" t="s">
        <v>728</v>
      </c>
      <c r="B662" s="20" t="s">
        <v>174</v>
      </c>
      <c r="C662" s="21">
        <v>45608</v>
      </c>
      <c r="D662" s="21">
        <v>45628</v>
      </c>
      <c r="E662" s="21">
        <v>45642</v>
      </c>
      <c r="F662" s="20" t="s">
        <v>59</v>
      </c>
      <c r="G662" s="22">
        <v>75.78</v>
      </c>
      <c r="H662" s="22">
        <v>35.89</v>
      </c>
      <c r="I662" s="20" t="s">
        <v>45</v>
      </c>
      <c r="J662" s="20">
        <v>4</v>
      </c>
      <c r="K662" s="20" t="s">
        <v>46</v>
      </c>
      <c r="L662" s="23">
        <f t="shared" si="81"/>
        <v>45597</v>
      </c>
      <c r="M662" s="20">
        <f t="shared" si="82"/>
        <v>20</v>
      </c>
      <c r="N662" s="20">
        <f t="shared" si="83"/>
        <v>0</v>
      </c>
      <c r="O662" s="20">
        <f t="shared" si="84"/>
        <v>1</v>
      </c>
      <c r="P662" s="22">
        <f t="shared" si="85"/>
        <v>111.67</v>
      </c>
      <c r="Q662" s="22">
        <f>G662*INDEX(Assumptions!$B$8:$B$16,MATCH(F662,Assumptions!$A$8:$A$16,0))</f>
        <v>48.499200000000002</v>
      </c>
      <c r="R662" s="22">
        <f>H662*Assumptions!$B$3</f>
        <v>21.533999999999999</v>
      </c>
      <c r="S662" s="22">
        <f t="shared" si="86"/>
        <v>5.7468000000000004</v>
      </c>
      <c r="T662" s="20" t="str">
        <f t="shared" si="87"/>
        <v>15-21 days</v>
      </c>
    </row>
    <row r="663" spans="1:20" x14ac:dyDescent="0.3">
      <c r="A663" s="20" t="s">
        <v>729</v>
      </c>
      <c r="B663" s="20" t="s">
        <v>55</v>
      </c>
      <c r="C663" s="21">
        <v>45608</v>
      </c>
      <c r="D663" s="21">
        <v>45621</v>
      </c>
      <c r="E663" s="21">
        <v>45634</v>
      </c>
      <c r="F663" s="20" t="s">
        <v>57</v>
      </c>
      <c r="G663" s="22">
        <v>56.21</v>
      </c>
      <c r="H663" s="22">
        <v>23.65</v>
      </c>
      <c r="I663" s="20" t="s">
        <v>60</v>
      </c>
      <c r="J663" s="20">
        <v>5</v>
      </c>
      <c r="K663" s="20" t="s">
        <v>46</v>
      </c>
      <c r="L663" s="23">
        <f t="shared" si="81"/>
        <v>45597</v>
      </c>
      <c r="M663" s="20">
        <f t="shared" si="82"/>
        <v>13</v>
      </c>
      <c r="N663" s="20">
        <f t="shared" si="83"/>
        <v>0</v>
      </c>
      <c r="O663" s="20">
        <f t="shared" si="84"/>
        <v>1</v>
      </c>
      <c r="P663" s="22">
        <f t="shared" si="85"/>
        <v>79.86</v>
      </c>
      <c r="Q663" s="22">
        <f>G663*INDEX(Assumptions!$B$8:$B$16,MATCH(F663,Assumptions!$A$8:$A$16,0))</f>
        <v>38.222800000000007</v>
      </c>
      <c r="R663" s="22">
        <f>H663*Assumptions!$B$3</f>
        <v>14.19</v>
      </c>
      <c r="S663" s="22">
        <f t="shared" si="86"/>
        <v>3.7971999999999948</v>
      </c>
      <c r="T663" s="20" t="str">
        <f t="shared" si="87"/>
        <v>8-14 days</v>
      </c>
    </row>
    <row r="664" spans="1:20" x14ac:dyDescent="0.3">
      <c r="A664" s="20" t="s">
        <v>730</v>
      </c>
      <c r="B664" s="20" t="s">
        <v>134</v>
      </c>
      <c r="C664" s="21">
        <v>45608</v>
      </c>
      <c r="D664" s="21">
        <v>45625</v>
      </c>
      <c r="E664" s="21">
        <v>45630</v>
      </c>
      <c r="F664" s="20" t="s">
        <v>44</v>
      </c>
      <c r="G664" s="22">
        <v>112.19</v>
      </c>
      <c r="H664" s="22">
        <v>24.02</v>
      </c>
      <c r="I664" s="20" t="s">
        <v>45</v>
      </c>
      <c r="J664" s="20">
        <v>3</v>
      </c>
      <c r="K664" s="20" t="s">
        <v>46</v>
      </c>
      <c r="L664" s="23">
        <f t="shared" si="81"/>
        <v>45597</v>
      </c>
      <c r="M664" s="20">
        <f t="shared" si="82"/>
        <v>17</v>
      </c>
      <c r="N664" s="20">
        <f t="shared" si="83"/>
        <v>0</v>
      </c>
      <c r="O664" s="20">
        <f t="shared" si="84"/>
        <v>1</v>
      </c>
      <c r="P664" s="22">
        <f t="shared" si="85"/>
        <v>136.21</v>
      </c>
      <c r="Q664" s="22">
        <f>G664*INDEX(Assumptions!$B$8:$B$16,MATCH(F664,Assumptions!$A$8:$A$16,0))</f>
        <v>67.313999999999993</v>
      </c>
      <c r="R664" s="22">
        <f>H664*Assumptions!$B$3</f>
        <v>14.411999999999999</v>
      </c>
      <c r="S664" s="22">
        <f t="shared" si="86"/>
        <v>30.464000000000006</v>
      </c>
      <c r="T664" s="20" t="str">
        <f t="shared" si="87"/>
        <v>15-21 days</v>
      </c>
    </row>
    <row r="665" spans="1:20" x14ac:dyDescent="0.3">
      <c r="A665" s="20" t="s">
        <v>731</v>
      </c>
      <c r="B665" s="20" t="s">
        <v>174</v>
      </c>
      <c r="C665" s="21">
        <v>45609</v>
      </c>
      <c r="D665" s="21">
        <v>45634</v>
      </c>
      <c r="E665" s="21">
        <v>45639</v>
      </c>
      <c r="F665" s="20" t="s">
        <v>53</v>
      </c>
      <c r="G665" s="22">
        <v>346.06</v>
      </c>
      <c r="H665" s="22">
        <v>36.89</v>
      </c>
      <c r="I665" s="20" t="s">
        <v>45</v>
      </c>
      <c r="J665" s="20">
        <v>5</v>
      </c>
      <c r="K665" s="20" t="s">
        <v>46</v>
      </c>
      <c r="L665" s="23">
        <f t="shared" si="81"/>
        <v>45597</v>
      </c>
      <c r="M665" s="20">
        <f t="shared" si="82"/>
        <v>25</v>
      </c>
      <c r="N665" s="20">
        <f t="shared" si="83"/>
        <v>0</v>
      </c>
      <c r="O665" s="20">
        <f t="shared" si="84"/>
        <v>1</v>
      </c>
      <c r="P665" s="22">
        <f t="shared" si="85"/>
        <v>382.95</v>
      </c>
      <c r="Q665" s="22">
        <f>G665*INDEX(Assumptions!$B$8:$B$16,MATCH(F665,Assumptions!$A$8:$A$16,0))</f>
        <v>256.08440000000002</v>
      </c>
      <c r="R665" s="22">
        <f>H665*Assumptions!$B$3</f>
        <v>22.134</v>
      </c>
      <c r="S665" s="22">
        <f t="shared" si="86"/>
        <v>67.841599999999985</v>
      </c>
      <c r="T665" s="20" t="str">
        <f t="shared" si="87"/>
        <v>22+ days</v>
      </c>
    </row>
    <row r="666" spans="1:20" x14ac:dyDescent="0.3">
      <c r="A666" s="20" t="s">
        <v>732</v>
      </c>
      <c r="B666" s="20" t="s">
        <v>134</v>
      </c>
      <c r="C666" s="21">
        <v>45609</v>
      </c>
      <c r="D666" s="21">
        <v>45633</v>
      </c>
      <c r="E666" s="21">
        <v>45630</v>
      </c>
      <c r="F666" s="20" t="s">
        <v>53</v>
      </c>
      <c r="G666" s="22">
        <v>160.43</v>
      </c>
      <c r="H666" s="22">
        <v>18.37</v>
      </c>
      <c r="I666" s="20" t="s">
        <v>45</v>
      </c>
      <c r="J666" s="20">
        <v>2</v>
      </c>
      <c r="K666" s="20" t="s">
        <v>46</v>
      </c>
      <c r="L666" s="23">
        <f t="shared" si="81"/>
        <v>45597</v>
      </c>
      <c r="M666" s="20">
        <f t="shared" si="82"/>
        <v>24</v>
      </c>
      <c r="N666" s="20">
        <f t="shared" si="83"/>
        <v>3</v>
      </c>
      <c r="O666" s="20">
        <f t="shared" si="84"/>
        <v>0</v>
      </c>
      <c r="P666" s="22">
        <f t="shared" si="85"/>
        <v>178.8</v>
      </c>
      <c r="Q666" s="22">
        <f>G666*INDEX(Assumptions!$B$8:$B$16,MATCH(F666,Assumptions!$A$8:$A$16,0))</f>
        <v>118.71820000000001</v>
      </c>
      <c r="R666" s="22">
        <f>H666*Assumptions!$B$3</f>
        <v>11.022</v>
      </c>
      <c r="S666" s="22">
        <f t="shared" si="86"/>
        <v>30.689799999999998</v>
      </c>
      <c r="T666" s="20" t="str">
        <f t="shared" si="87"/>
        <v>22+ days</v>
      </c>
    </row>
    <row r="667" spans="1:20" x14ac:dyDescent="0.3">
      <c r="A667" s="20" t="s">
        <v>733</v>
      </c>
      <c r="B667" s="20" t="s">
        <v>19</v>
      </c>
      <c r="C667" s="21">
        <v>45609</v>
      </c>
      <c r="D667" s="21">
        <v>45617</v>
      </c>
      <c r="E667" s="21">
        <v>45626</v>
      </c>
      <c r="F667" s="20" t="s">
        <v>111</v>
      </c>
      <c r="G667" s="22">
        <v>113.78</v>
      </c>
      <c r="H667" s="22">
        <v>17.3</v>
      </c>
      <c r="I667" s="20" t="s">
        <v>60</v>
      </c>
      <c r="J667" s="20">
        <v>5</v>
      </c>
      <c r="K667" s="20" t="s">
        <v>46</v>
      </c>
      <c r="L667" s="23">
        <f t="shared" si="81"/>
        <v>45597</v>
      </c>
      <c r="M667" s="20">
        <f t="shared" si="82"/>
        <v>8</v>
      </c>
      <c r="N667" s="20">
        <f t="shared" si="83"/>
        <v>0</v>
      </c>
      <c r="O667" s="20">
        <f t="shared" si="84"/>
        <v>1</v>
      </c>
      <c r="P667" s="22">
        <f t="shared" si="85"/>
        <v>131.08000000000001</v>
      </c>
      <c r="Q667" s="22">
        <f>G667*INDEX(Assumptions!$B$8:$B$16,MATCH(F667,Assumptions!$A$8:$A$16,0))</f>
        <v>71.681399999999996</v>
      </c>
      <c r="R667" s="22">
        <f>H667*Assumptions!$B$3</f>
        <v>10.38</v>
      </c>
      <c r="S667" s="22">
        <f t="shared" si="86"/>
        <v>31.718600000000002</v>
      </c>
      <c r="T667" s="20" t="str">
        <f t="shared" si="87"/>
        <v>8-14 days</v>
      </c>
    </row>
    <row r="668" spans="1:20" x14ac:dyDescent="0.3">
      <c r="A668" s="20" t="s">
        <v>734</v>
      </c>
      <c r="B668" s="20" t="s">
        <v>62</v>
      </c>
      <c r="C668" s="21">
        <v>45609</v>
      </c>
      <c r="D668" s="21">
        <v>45617</v>
      </c>
      <c r="E668" s="21">
        <v>45632</v>
      </c>
      <c r="F668" s="20" t="s">
        <v>79</v>
      </c>
      <c r="G668" s="22">
        <v>60.4</v>
      </c>
      <c r="H668" s="22">
        <v>18.86</v>
      </c>
      <c r="I668" s="20" t="s">
        <v>60</v>
      </c>
      <c r="J668" s="20">
        <v>4</v>
      </c>
      <c r="K668" s="20" t="s">
        <v>46</v>
      </c>
      <c r="L668" s="23">
        <f t="shared" si="81"/>
        <v>45597</v>
      </c>
      <c r="M668" s="20">
        <f t="shared" si="82"/>
        <v>8</v>
      </c>
      <c r="N668" s="20">
        <f t="shared" si="83"/>
        <v>0</v>
      </c>
      <c r="O668" s="20">
        <f t="shared" si="84"/>
        <v>1</v>
      </c>
      <c r="P668" s="22">
        <f t="shared" si="85"/>
        <v>79.259999999999991</v>
      </c>
      <c r="Q668" s="22">
        <f>G668*INDEX(Assumptions!$B$8:$B$16,MATCH(F668,Assumptions!$A$8:$A$16,0))</f>
        <v>42.279999999999994</v>
      </c>
      <c r="R668" s="22">
        <f>H668*Assumptions!$B$3</f>
        <v>11.315999999999999</v>
      </c>
      <c r="S668" s="22">
        <f t="shared" si="86"/>
        <v>6.8040000000000056</v>
      </c>
      <c r="T668" s="20" t="str">
        <f t="shared" si="87"/>
        <v>8-14 days</v>
      </c>
    </row>
    <row r="669" spans="1:20" x14ac:dyDescent="0.3">
      <c r="A669" s="20" t="s">
        <v>735</v>
      </c>
      <c r="B669" s="20" t="s">
        <v>19</v>
      </c>
      <c r="C669" s="21">
        <v>45609</v>
      </c>
      <c r="D669" s="21">
        <v>45616</v>
      </c>
      <c r="E669" s="21">
        <v>45623</v>
      </c>
      <c r="F669" s="20" t="s">
        <v>44</v>
      </c>
      <c r="G669" s="22">
        <v>111.47</v>
      </c>
      <c r="H669" s="22">
        <v>19.86</v>
      </c>
      <c r="I669" s="20" t="s">
        <v>45</v>
      </c>
      <c r="J669" s="20">
        <v>5</v>
      </c>
      <c r="K669" s="20" t="s">
        <v>46</v>
      </c>
      <c r="L669" s="23">
        <f t="shared" si="81"/>
        <v>45597</v>
      </c>
      <c r="M669" s="20">
        <f t="shared" si="82"/>
        <v>7</v>
      </c>
      <c r="N669" s="20">
        <f t="shared" si="83"/>
        <v>0</v>
      </c>
      <c r="O669" s="20">
        <f t="shared" si="84"/>
        <v>1</v>
      </c>
      <c r="P669" s="22">
        <f t="shared" si="85"/>
        <v>131.32999999999998</v>
      </c>
      <c r="Q669" s="22">
        <f>G669*INDEX(Assumptions!$B$8:$B$16,MATCH(F669,Assumptions!$A$8:$A$16,0))</f>
        <v>66.881999999999991</v>
      </c>
      <c r="R669" s="22">
        <f>H669*Assumptions!$B$3</f>
        <v>11.915999999999999</v>
      </c>
      <c r="S669" s="22">
        <f t="shared" si="86"/>
        <v>32.672000000000011</v>
      </c>
      <c r="T669" s="20" t="str">
        <f t="shared" si="87"/>
        <v>0-7 days</v>
      </c>
    </row>
    <row r="670" spans="1:20" x14ac:dyDescent="0.3">
      <c r="A670" s="20" t="s">
        <v>736</v>
      </c>
      <c r="B670" s="20" t="s">
        <v>62</v>
      </c>
      <c r="C670" s="21">
        <v>45609</v>
      </c>
      <c r="D670" s="21">
        <v>45619</v>
      </c>
      <c r="E670" s="21">
        <v>45627</v>
      </c>
      <c r="F670" s="20" t="s">
        <v>59</v>
      </c>
      <c r="G670" s="22">
        <v>114.48</v>
      </c>
      <c r="H670" s="22">
        <v>18.149999999999999</v>
      </c>
      <c r="I670" s="20" t="s">
        <v>45</v>
      </c>
      <c r="J670" s="20">
        <v>5</v>
      </c>
      <c r="K670" s="20" t="s">
        <v>46</v>
      </c>
      <c r="L670" s="23">
        <f t="shared" si="81"/>
        <v>45597</v>
      </c>
      <c r="M670" s="20">
        <f t="shared" si="82"/>
        <v>10</v>
      </c>
      <c r="N670" s="20">
        <f t="shared" si="83"/>
        <v>0</v>
      </c>
      <c r="O670" s="20">
        <f t="shared" si="84"/>
        <v>1</v>
      </c>
      <c r="P670" s="22">
        <f t="shared" si="85"/>
        <v>132.63</v>
      </c>
      <c r="Q670" s="22">
        <f>G670*INDEX(Assumptions!$B$8:$B$16,MATCH(F670,Assumptions!$A$8:$A$16,0))</f>
        <v>73.267200000000003</v>
      </c>
      <c r="R670" s="22">
        <f>H670*Assumptions!$B$3</f>
        <v>10.889999999999999</v>
      </c>
      <c r="S670" s="22">
        <f t="shared" si="86"/>
        <v>30.322800000000001</v>
      </c>
      <c r="T670" s="20" t="str">
        <f t="shared" si="87"/>
        <v>8-14 days</v>
      </c>
    </row>
    <row r="671" spans="1:20" x14ac:dyDescent="0.3">
      <c r="A671" s="20" t="s">
        <v>737</v>
      </c>
      <c r="B671" s="20" t="s">
        <v>174</v>
      </c>
      <c r="C671" s="21">
        <v>45609</v>
      </c>
      <c r="D671" s="21">
        <v>45630</v>
      </c>
      <c r="E671" s="21">
        <v>45644</v>
      </c>
      <c r="F671" s="20" t="s">
        <v>64</v>
      </c>
      <c r="G671" s="22">
        <v>89.51</v>
      </c>
      <c r="H671" s="22">
        <v>34.15</v>
      </c>
      <c r="I671" s="20" t="s">
        <v>45</v>
      </c>
      <c r="J671" s="20">
        <v>5</v>
      </c>
      <c r="K671" s="20" t="s">
        <v>46</v>
      </c>
      <c r="L671" s="23">
        <f t="shared" si="81"/>
        <v>45597</v>
      </c>
      <c r="M671" s="20">
        <f t="shared" si="82"/>
        <v>21</v>
      </c>
      <c r="N671" s="20">
        <f t="shared" si="83"/>
        <v>0</v>
      </c>
      <c r="O671" s="20">
        <f t="shared" si="84"/>
        <v>1</v>
      </c>
      <c r="P671" s="22">
        <f t="shared" si="85"/>
        <v>123.66</v>
      </c>
      <c r="Q671" s="22">
        <f>G671*INDEX(Assumptions!$B$8:$B$16,MATCH(F671,Assumptions!$A$8:$A$16,0))</f>
        <v>59.076600000000006</v>
      </c>
      <c r="R671" s="22">
        <f>H671*Assumptions!$B$3</f>
        <v>20.49</v>
      </c>
      <c r="S671" s="22">
        <f t="shared" si="86"/>
        <v>9.9434000000000005</v>
      </c>
      <c r="T671" s="20" t="str">
        <f t="shared" si="87"/>
        <v>15-21 days</v>
      </c>
    </row>
    <row r="672" spans="1:20" x14ac:dyDescent="0.3">
      <c r="A672" s="20" t="s">
        <v>738</v>
      </c>
      <c r="B672" s="20" t="s">
        <v>19</v>
      </c>
      <c r="C672" s="21">
        <v>45610</v>
      </c>
      <c r="D672" s="21">
        <v>45615</v>
      </c>
      <c r="E672" s="21">
        <v>45626</v>
      </c>
      <c r="F672" s="20" t="s">
        <v>111</v>
      </c>
      <c r="G672" s="22">
        <v>51.05</v>
      </c>
      <c r="H672" s="22">
        <v>14.64</v>
      </c>
      <c r="I672" s="20" t="s">
        <v>45</v>
      </c>
      <c r="J672" s="20">
        <v>5</v>
      </c>
      <c r="K672" s="20" t="s">
        <v>46</v>
      </c>
      <c r="L672" s="23">
        <f t="shared" si="81"/>
        <v>45597</v>
      </c>
      <c r="M672" s="20">
        <f t="shared" si="82"/>
        <v>5</v>
      </c>
      <c r="N672" s="20">
        <f t="shared" si="83"/>
        <v>0</v>
      </c>
      <c r="O672" s="20">
        <f t="shared" si="84"/>
        <v>1</v>
      </c>
      <c r="P672" s="22">
        <f t="shared" si="85"/>
        <v>65.69</v>
      </c>
      <c r="Q672" s="22">
        <f>G672*INDEX(Assumptions!$B$8:$B$16,MATCH(F672,Assumptions!$A$8:$A$16,0))</f>
        <v>32.161499999999997</v>
      </c>
      <c r="R672" s="22">
        <f>H672*Assumptions!$B$3</f>
        <v>8.7840000000000007</v>
      </c>
      <c r="S672" s="22">
        <f t="shared" si="86"/>
        <v>10.1045</v>
      </c>
      <c r="T672" s="20" t="str">
        <f t="shared" si="87"/>
        <v>0-7 days</v>
      </c>
    </row>
    <row r="673" spans="1:20" x14ac:dyDescent="0.3">
      <c r="A673" s="20" t="s">
        <v>739</v>
      </c>
      <c r="B673" s="20" t="s">
        <v>134</v>
      </c>
      <c r="C673" s="21">
        <v>45610</v>
      </c>
      <c r="D673" s="21">
        <v>45619</v>
      </c>
      <c r="E673" s="21">
        <v>45632</v>
      </c>
      <c r="F673" s="20" t="s">
        <v>67</v>
      </c>
      <c r="G673" s="22">
        <v>95.4</v>
      </c>
      <c r="H673" s="22">
        <v>20.99</v>
      </c>
      <c r="I673" s="20" t="s">
        <v>104</v>
      </c>
      <c r="J673" s="20">
        <v>4</v>
      </c>
      <c r="K673" s="20" t="s">
        <v>46</v>
      </c>
      <c r="L673" s="23">
        <f t="shared" si="81"/>
        <v>45597</v>
      </c>
      <c r="M673" s="20">
        <f t="shared" si="82"/>
        <v>9</v>
      </c>
      <c r="N673" s="20">
        <f t="shared" si="83"/>
        <v>0</v>
      </c>
      <c r="O673" s="20">
        <f t="shared" si="84"/>
        <v>1</v>
      </c>
      <c r="P673" s="22">
        <f t="shared" si="85"/>
        <v>116.39</v>
      </c>
      <c r="Q673" s="22">
        <f>G673*INDEX(Assumptions!$B$8:$B$16,MATCH(F673,Assumptions!$A$8:$A$16,0))</f>
        <v>59.148000000000003</v>
      </c>
      <c r="R673" s="22">
        <f>H673*Assumptions!$B$3</f>
        <v>12.593999999999999</v>
      </c>
      <c r="S673" s="22">
        <f t="shared" si="86"/>
        <v>23.658000000000001</v>
      </c>
      <c r="T673" s="20" t="str">
        <f t="shared" si="87"/>
        <v>8-14 days</v>
      </c>
    </row>
    <row r="674" spans="1:20" x14ac:dyDescent="0.3">
      <c r="A674" s="20" t="s">
        <v>740</v>
      </c>
      <c r="B674" s="20" t="s">
        <v>52</v>
      </c>
      <c r="C674" s="21">
        <v>45610</v>
      </c>
      <c r="D674" s="21">
        <v>45620</v>
      </c>
      <c r="E674" s="21">
        <v>45635</v>
      </c>
      <c r="F674" s="20" t="s">
        <v>67</v>
      </c>
      <c r="G674" s="22">
        <v>128.47</v>
      </c>
      <c r="H674" s="22">
        <v>19.22</v>
      </c>
      <c r="I674" s="20" t="s">
        <v>45</v>
      </c>
      <c r="J674" s="20">
        <v>4</v>
      </c>
      <c r="K674" s="20" t="s">
        <v>46</v>
      </c>
      <c r="L674" s="23">
        <f t="shared" si="81"/>
        <v>45597</v>
      </c>
      <c r="M674" s="20">
        <f t="shared" si="82"/>
        <v>10</v>
      </c>
      <c r="N674" s="20">
        <f t="shared" si="83"/>
        <v>0</v>
      </c>
      <c r="O674" s="20">
        <f t="shared" si="84"/>
        <v>1</v>
      </c>
      <c r="P674" s="22">
        <f t="shared" si="85"/>
        <v>147.69</v>
      </c>
      <c r="Q674" s="22">
        <f>G674*INDEX(Assumptions!$B$8:$B$16,MATCH(F674,Assumptions!$A$8:$A$16,0))</f>
        <v>79.651399999999995</v>
      </c>
      <c r="R674" s="22">
        <f>H674*Assumptions!$B$3</f>
        <v>11.531999999999998</v>
      </c>
      <c r="S674" s="22">
        <f t="shared" si="86"/>
        <v>37.286600000000007</v>
      </c>
      <c r="T674" s="20" t="str">
        <f t="shared" si="87"/>
        <v>8-14 days</v>
      </c>
    </row>
    <row r="675" spans="1:20" x14ac:dyDescent="0.3">
      <c r="A675" s="20" t="s">
        <v>741</v>
      </c>
      <c r="B675" s="20" t="s">
        <v>103</v>
      </c>
      <c r="C675" s="21">
        <v>45610</v>
      </c>
      <c r="D675" s="21">
        <v>45628</v>
      </c>
      <c r="E675" s="21">
        <v>45630</v>
      </c>
      <c r="F675" s="20" t="s">
        <v>57</v>
      </c>
      <c r="G675" s="22">
        <v>196.3</v>
      </c>
      <c r="H675" s="22">
        <v>21.42</v>
      </c>
      <c r="I675" s="20" t="s">
        <v>45</v>
      </c>
      <c r="J675" s="20">
        <v>5</v>
      </c>
      <c r="K675" s="20" t="s">
        <v>46</v>
      </c>
      <c r="L675" s="23">
        <f t="shared" si="81"/>
        <v>45597</v>
      </c>
      <c r="M675" s="20">
        <f t="shared" si="82"/>
        <v>18</v>
      </c>
      <c r="N675" s="20">
        <f t="shared" si="83"/>
        <v>0</v>
      </c>
      <c r="O675" s="20">
        <f t="shared" si="84"/>
        <v>1</v>
      </c>
      <c r="P675" s="22">
        <f t="shared" si="85"/>
        <v>217.72000000000003</v>
      </c>
      <c r="Q675" s="22">
        <f>G675*INDEX(Assumptions!$B$8:$B$16,MATCH(F675,Assumptions!$A$8:$A$16,0))</f>
        <v>133.48400000000001</v>
      </c>
      <c r="R675" s="22">
        <f>H675*Assumptions!$B$3</f>
        <v>12.852</v>
      </c>
      <c r="S675" s="22">
        <f t="shared" si="86"/>
        <v>49.963999999999999</v>
      </c>
      <c r="T675" s="20" t="str">
        <f t="shared" si="87"/>
        <v>15-21 days</v>
      </c>
    </row>
    <row r="676" spans="1:20" x14ac:dyDescent="0.3">
      <c r="A676" s="20" t="s">
        <v>742</v>
      </c>
      <c r="B676" s="20" t="s">
        <v>19</v>
      </c>
      <c r="C676" s="21">
        <v>45610</v>
      </c>
      <c r="D676" s="21">
        <v>45616</v>
      </c>
      <c r="E676" s="21">
        <v>45625</v>
      </c>
      <c r="F676" s="20" t="s">
        <v>111</v>
      </c>
      <c r="G676" s="22">
        <v>154.41</v>
      </c>
      <c r="H676" s="22">
        <v>19.23</v>
      </c>
      <c r="I676" s="20" t="s">
        <v>45</v>
      </c>
      <c r="J676" s="20">
        <v>4</v>
      </c>
      <c r="K676" s="20" t="s">
        <v>46</v>
      </c>
      <c r="L676" s="23">
        <f t="shared" si="81"/>
        <v>45597</v>
      </c>
      <c r="M676" s="20">
        <f t="shared" si="82"/>
        <v>6</v>
      </c>
      <c r="N676" s="20">
        <f t="shared" si="83"/>
        <v>0</v>
      </c>
      <c r="O676" s="20">
        <f t="shared" si="84"/>
        <v>1</v>
      </c>
      <c r="P676" s="22">
        <f t="shared" si="85"/>
        <v>173.64</v>
      </c>
      <c r="Q676" s="22">
        <f>G676*INDEX(Assumptions!$B$8:$B$16,MATCH(F676,Assumptions!$A$8:$A$16,0))</f>
        <v>97.278300000000002</v>
      </c>
      <c r="R676" s="22">
        <f>H676*Assumptions!$B$3</f>
        <v>11.538</v>
      </c>
      <c r="S676" s="22">
        <f t="shared" si="86"/>
        <v>45.593699999999998</v>
      </c>
      <c r="T676" s="20" t="str">
        <f t="shared" si="87"/>
        <v>0-7 days</v>
      </c>
    </row>
    <row r="677" spans="1:20" x14ac:dyDescent="0.3">
      <c r="A677" s="20" t="s">
        <v>743</v>
      </c>
      <c r="B677" s="20" t="s">
        <v>62</v>
      </c>
      <c r="C677" s="21">
        <v>45610</v>
      </c>
      <c r="D677" s="21">
        <v>45627</v>
      </c>
      <c r="E677" s="21">
        <v>45632</v>
      </c>
      <c r="F677" s="20" t="s">
        <v>67</v>
      </c>
      <c r="G677" s="22">
        <v>168.99</v>
      </c>
      <c r="H677" s="22">
        <v>22.49</v>
      </c>
      <c r="I677" s="20" t="s">
        <v>45</v>
      </c>
      <c r="J677" s="20">
        <v>5</v>
      </c>
      <c r="K677" s="20" t="s">
        <v>46</v>
      </c>
      <c r="L677" s="23">
        <f t="shared" si="81"/>
        <v>45597</v>
      </c>
      <c r="M677" s="20">
        <f t="shared" si="82"/>
        <v>17</v>
      </c>
      <c r="N677" s="20">
        <f t="shared" si="83"/>
        <v>0</v>
      </c>
      <c r="O677" s="20">
        <f t="shared" si="84"/>
        <v>1</v>
      </c>
      <c r="P677" s="22">
        <f t="shared" si="85"/>
        <v>191.48000000000002</v>
      </c>
      <c r="Q677" s="22">
        <f>G677*INDEX(Assumptions!$B$8:$B$16,MATCH(F677,Assumptions!$A$8:$A$16,0))</f>
        <v>104.77380000000001</v>
      </c>
      <c r="R677" s="22">
        <f>H677*Assumptions!$B$3</f>
        <v>13.493999999999998</v>
      </c>
      <c r="S677" s="22">
        <f t="shared" si="86"/>
        <v>50.722200000000001</v>
      </c>
      <c r="T677" s="20" t="str">
        <f t="shared" si="87"/>
        <v>15-21 days</v>
      </c>
    </row>
    <row r="678" spans="1:20" x14ac:dyDescent="0.3">
      <c r="A678" s="20" t="s">
        <v>744</v>
      </c>
      <c r="B678" s="20" t="s">
        <v>93</v>
      </c>
      <c r="C678" s="21">
        <v>45610</v>
      </c>
      <c r="D678" s="21">
        <v>45644</v>
      </c>
      <c r="E678" s="21">
        <v>45645</v>
      </c>
      <c r="F678" s="20" t="s">
        <v>49</v>
      </c>
      <c r="G678" s="22">
        <v>78.31</v>
      </c>
      <c r="H678" s="22">
        <v>35.68</v>
      </c>
      <c r="I678" s="20" t="s">
        <v>60</v>
      </c>
      <c r="J678" s="20">
        <v>3</v>
      </c>
      <c r="K678" s="20" t="s">
        <v>46</v>
      </c>
      <c r="L678" s="23">
        <f t="shared" si="81"/>
        <v>45597</v>
      </c>
      <c r="M678" s="20">
        <f t="shared" si="82"/>
        <v>34</v>
      </c>
      <c r="N678" s="20">
        <f t="shared" si="83"/>
        <v>0</v>
      </c>
      <c r="O678" s="20">
        <f t="shared" si="84"/>
        <v>1</v>
      </c>
      <c r="P678" s="22">
        <f t="shared" si="85"/>
        <v>113.99000000000001</v>
      </c>
      <c r="Q678" s="22">
        <f>G678*INDEX(Assumptions!$B$8:$B$16,MATCH(F678,Assumptions!$A$8:$A$16,0))</f>
        <v>45.419799999999995</v>
      </c>
      <c r="R678" s="22">
        <f>H678*Assumptions!$B$3</f>
        <v>21.407999999999998</v>
      </c>
      <c r="S678" s="22">
        <f t="shared" si="86"/>
        <v>11.48220000000001</v>
      </c>
      <c r="T678" s="20" t="str">
        <f t="shared" si="87"/>
        <v>22+ days</v>
      </c>
    </row>
    <row r="679" spans="1:20" x14ac:dyDescent="0.3">
      <c r="A679" s="20" t="s">
        <v>745</v>
      </c>
      <c r="B679" s="20" t="s">
        <v>19</v>
      </c>
      <c r="C679" s="21">
        <v>45610</v>
      </c>
      <c r="D679" s="21">
        <v>45614</v>
      </c>
      <c r="E679" s="21">
        <v>45624</v>
      </c>
      <c r="F679" s="20" t="s">
        <v>59</v>
      </c>
      <c r="G679" s="22">
        <v>127.02</v>
      </c>
      <c r="H679" s="22">
        <v>21.51</v>
      </c>
      <c r="I679" s="20" t="s">
        <v>45</v>
      </c>
      <c r="J679" s="20">
        <v>5</v>
      </c>
      <c r="K679" s="20" t="s">
        <v>46</v>
      </c>
      <c r="L679" s="23">
        <f t="shared" si="81"/>
        <v>45597</v>
      </c>
      <c r="M679" s="20">
        <f t="shared" si="82"/>
        <v>4</v>
      </c>
      <c r="N679" s="20">
        <f t="shared" si="83"/>
        <v>0</v>
      </c>
      <c r="O679" s="20">
        <f t="shared" si="84"/>
        <v>1</v>
      </c>
      <c r="P679" s="22">
        <f t="shared" si="85"/>
        <v>148.53</v>
      </c>
      <c r="Q679" s="22">
        <f>G679*INDEX(Assumptions!$B$8:$B$16,MATCH(F679,Assumptions!$A$8:$A$16,0))</f>
        <v>81.2928</v>
      </c>
      <c r="R679" s="22">
        <f>H679*Assumptions!$B$3</f>
        <v>12.906000000000001</v>
      </c>
      <c r="S679" s="22">
        <f t="shared" si="86"/>
        <v>32.821199999999997</v>
      </c>
      <c r="T679" s="20" t="str">
        <f t="shared" si="87"/>
        <v>0-7 days</v>
      </c>
    </row>
    <row r="680" spans="1:20" x14ac:dyDescent="0.3">
      <c r="A680" s="20" t="s">
        <v>746</v>
      </c>
      <c r="B680" s="20" t="s">
        <v>55</v>
      </c>
      <c r="C680" s="21">
        <v>45610</v>
      </c>
      <c r="D680" s="21">
        <v>45629</v>
      </c>
      <c r="E680" s="21">
        <v>45635</v>
      </c>
      <c r="F680" s="20" t="s">
        <v>53</v>
      </c>
      <c r="G680" s="22">
        <v>49.85</v>
      </c>
      <c r="H680" s="22">
        <v>29.65</v>
      </c>
      <c r="I680" s="20" t="s">
        <v>45</v>
      </c>
      <c r="J680" s="20">
        <v>4</v>
      </c>
      <c r="K680" s="20" t="s">
        <v>46</v>
      </c>
      <c r="L680" s="23">
        <f t="shared" si="81"/>
        <v>45597</v>
      </c>
      <c r="M680" s="20">
        <f t="shared" si="82"/>
        <v>19</v>
      </c>
      <c r="N680" s="20">
        <f t="shared" si="83"/>
        <v>0</v>
      </c>
      <c r="O680" s="20">
        <f t="shared" si="84"/>
        <v>1</v>
      </c>
      <c r="P680" s="22">
        <f t="shared" si="85"/>
        <v>79.5</v>
      </c>
      <c r="Q680" s="22">
        <f>G680*INDEX(Assumptions!$B$8:$B$16,MATCH(F680,Assumptions!$A$8:$A$16,0))</f>
        <v>36.889000000000003</v>
      </c>
      <c r="R680" s="22">
        <f>H680*Assumptions!$B$3</f>
        <v>17.79</v>
      </c>
      <c r="S680" s="22">
        <f t="shared" si="86"/>
        <v>-4.8290000000000006</v>
      </c>
      <c r="T680" s="20" t="str">
        <f t="shared" si="87"/>
        <v>15-21 days</v>
      </c>
    </row>
    <row r="681" spans="1:20" x14ac:dyDescent="0.3">
      <c r="A681" s="20" t="s">
        <v>747</v>
      </c>
      <c r="B681" s="20" t="s">
        <v>19</v>
      </c>
      <c r="C681" s="21">
        <v>45610</v>
      </c>
      <c r="D681" s="21">
        <v>45615</v>
      </c>
      <c r="E681" s="21">
        <v>45626</v>
      </c>
      <c r="F681" s="20" t="s">
        <v>59</v>
      </c>
      <c r="G681" s="22">
        <v>113.48</v>
      </c>
      <c r="H681" s="22">
        <v>17.89</v>
      </c>
      <c r="I681" s="20" t="s">
        <v>50</v>
      </c>
      <c r="J681" s="20">
        <v>5</v>
      </c>
      <c r="K681" s="20" t="s">
        <v>46</v>
      </c>
      <c r="L681" s="23">
        <f t="shared" si="81"/>
        <v>45597</v>
      </c>
      <c r="M681" s="20">
        <f t="shared" si="82"/>
        <v>5</v>
      </c>
      <c r="N681" s="20">
        <f t="shared" si="83"/>
        <v>0</v>
      </c>
      <c r="O681" s="20">
        <f t="shared" si="84"/>
        <v>1</v>
      </c>
      <c r="P681" s="22">
        <f t="shared" si="85"/>
        <v>131.37</v>
      </c>
      <c r="Q681" s="22">
        <f>G681*INDEX(Assumptions!$B$8:$B$16,MATCH(F681,Assumptions!$A$8:$A$16,0))</f>
        <v>72.627200000000002</v>
      </c>
      <c r="R681" s="22">
        <f>H681*Assumptions!$B$3</f>
        <v>10.734</v>
      </c>
      <c r="S681" s="22">
        <f t="shared" si="86"/>
        <v>30.1188</v>
      </c>
      <c r="T681" s="20" t="str">
        <f t="shared" si="87"/>
        <v>0-7 days</v>
      </c>
    </row>
    <row r="682" spans="1:20" x14ac:dyDescent="0.3">
      <c r="A682" s="20" t="s">
        <v>748</v>
      </c>
      <c r="B682" s="20" t="s">
        <v>19</v>
      </c>
      <c r="C682" s="21">
        <v>45610</v>
      </c>
      <c r="D682" s="21">
        <v>45617</v>
      </c>
      <c r="E682" s="21">
        <v>45627</v>
      </c>
      <c r="F682" s="20" t="s">
        <v>79</v>
      </c>
      <c r="G682" s="22">
        <v>57.81</v>
      </c>
      <c r="H682" s="22">
        <v>15.42</v>
      </c>
      <c r="I682" s="20" t="s">
        <v>45</v>
      </c>
      <c r="J682" s="20">
        <v>4</v>
      </c>
      <c r="K682" s="20" t="s">
        <v>46</v>
      </c>
      <c r="L682" s="23">
        <f t="shared" si="81"/>
        <v>45597</v>
      </c>
      <c r="M682" s="20">
        <f t="shared" si="82"/>
        <v>7</v>
      </c>
      <c r="N682" s="20">
        <f t="shared" si="83"/>
        <v>0</v>
      </c>
      <c r="O682" s="20">
        <f t="shared" si="84"/>
        <v>1</v>
      </c>
      <c r="P682" s="22">
        <f t="shared" si="85"/>
        <v>73.23</v>
      </c>
      <c r="Q682" s="22">
        <f>G682*INDEX(Assumptions!$B$8:$B$16,MATCH(F682,Assumptions!$A$8:$A$16,0))</f>
        <v>40.466999999999999</v>
      </c>
      <c r="R682" s="22">
        <f>H682*Assumptions!$B$3</f>
        <v>9.2519999999999989</v>
      </c>
      <c r="S682" s="22">
        <f t="shared" si="86"/>
        <v>8.0910000000000046</v>
      </c>
      <c r="T682" s="20" t="str">
        <f t="shared" si="87"/>
        <v>0-7 days</v>
      </c>
    </row>
    <row r="683" spans="1:20" x14ac:dyDescent="0.3">
      <c r="A683" s="20" t="s">
        <v>749</v>
      </c>
      <c r="B683" s="20" t="s">
        <v>62</v>
      </c>
      <c r="C683" s="21">
        <v>45611</v>
      </c>
      <c r="D683" s="21">
        <v>45622</v>
      </c>
      <c r="E683" s="21">
        <v>45627</v>
      </c>
      <c r="F683" s="20" t="s">
        <v>111</v>
      </c>
      <c r="G683" s="22">
        <v>72.849999999999994</v>
      </c>
      <c r="H683" s="22">
        <v>20.149999999999999</v>
      </c>
      <c r="I683" s="20" t="s">
        <v>45</v>
      </c>
      <c r="J683" s="20">
        <v>5</v>
      </c>
      <c r="K683" s="20" t="s">
        <v>46</v>
      </c>
      <c r="L683" s="23">
        <f t="shared" si="81"/>
        <v>45597</v>
      </c>
      <c r="M683" s="20">
        <f t="shared" si="82"/>
        <v>11</v>
      </c>
      <c r="N683" s="20">
        <f t="shared" si="83"/>
        <v>0</v>
      </c>
      <c r="O683" s="20">
        <f t="shared" si="84"/>
        <v>1</v>
      </c>
      <c r="P683" s="22">
        <f t="shared" si="85"/>
        <v>93</v>
      </c>
      <c r="Q683" s="22">
        <f>G683*INDEX(Assumptions!$B$8:$B$16,MATCH(F683,Assumptions!$A$8:$A$16,0))</f>
        <v>45.895499999999998</v>
      </c>
      <c r="R683" s="22">
        <f>H683*Assumptions!$B$3</f>
        <v>12.089999999999998</v>
      </c>
      <c r="S683" s="22">
        <f t="shared" si="86"/>
        <v>14.864499999999998</v>
      </c>
      <c r="T683" s="20" t="str">
        <f t="shared" si="87"/>
        <v>8-14 days</v>
      </c>
    </row>
    <row r="684" spans="1:20" x14ac:dyDescent="0.3">
      <c r="A684" s="20" t="s">
        <v>750</v>
      </c>
      <c r="B684" s="20" t="s">
        <v>19</v>
      </c>
      <c r="C684" s="21">
        <v>45611</v>
      </c>
      <c r="D684" s="21">
        <v>45619</v>
      </c>
      <c r="E684" s="21">
        <v>45627</v>
      </c>
      <c r="F684" s="20" t="s">
        <v>59</v>
      </c>
      <c r="G684" s="22">
        <v>100.27</v>
      </c>
      <c r="H684" s="22">
        <v>21.65</v>
      </c>
      <c r="I684" s="20" t="s">
        <v>45</v>
      </c>
      <c r="J684" s="20">
        <v>5</v>
      </c>
      <c r="K684" s="20" t="s">
        <v>46</v>
      </c>
      <c r="L684" s="23">
        <f t="shared" si="81"/>
        <v>45597</v>
      </c>
      <c r="M684" s="20">
        <f t="shared" si="82"/>
        <v>8</v>
      </c>
      <c r="N684" s="20">
        <f t="shared" si="83"/>
        <v>0</v>
      </c>
      <c r="O684" s="20">
        <f t="shared" si="84"/>
        <v>1</v>
      </c>
      <c r="P684" s="22">
        <f t="shared" si="85"/>
        <v>121.91999999999999</v>
      </c>
      <c r="Q684" s="22">
        <f>G684*INDEX(Assumptions!$B$8:$B$16,MATCH(F684,Assumptions!$A$8:$A$16,0))</f>
        <v>64.172799999999995</v>
      </c>
      <c r="R684" s="22">
        <f>H684*Assumptions!$B$3</f>
        <v>12.989999999999998</v>
      </c>
      <c r="S684" s="22">
        <f t="shared" si="86"/>
        <v>23.107200000000002</v>
      </c>
      <c r="T684" s="20" t="str">
        <f t="shared" si="87"/>
        <v>8-14 days</v>
      </c>
    </row>
    <row r="685" spans="1:20" x14ac:dyDescent="0.3">
      <c r="A685" s="20" t="s">
        <v>751</v>
      </c>
      <c r="B685" s="20" t="s">
        <v>134</v>
      </c>
      <c r="C685" s="21">
        <v>45611</v>
      </c>
      <c r="D685" s="21">
        <v>45624</v>
      </c>
      <c r="E685" s="21">
        <v>45635</v>
      </c>
      <c r="F685" s="20" t="s">
        <v>67</v>
      </c>
      <c r="G685" s="22">
        <v>198.91</v>
      </c>
      <c r="H685" s="22">
        <v>27.18</v>
      </c>
      <c r="I685" s="20" t="s">
        <v>45</v>
      </c>
      <c r="J685" s="20">
        <v>3</v>
      </c>
      <c r="K685" s="20" t="s">
        <v>46</v>
      </c>
      <c r="L685" s="23">
        <f t="shared" si="81"/>
        <v>45597</v>
      </c>
      <c r="M685" s="20">
        <f t="shared" si="82"/>
        <v>13</v>
      </c>
      <c r="N685" s="20">
        <f t="shared" si="83"/>
        <v>0</v>
      </c>
      <c r="O685" s="20">
        <f t="shared" si="84"/>
        <v>1</v>
      </c>
      <c r="P685" s="22">
        <f t="shared" si="85"/>
        <v>226.09</v>
      </c>
      <c r="Q685" s="22">
        <f>G685*INDEX(Assumptions!$B$8:$B$16,MATCH(F685,Assumptions!$A$8:$A$16,0))</f>
        <v>123.32419999999999</v>
      </c>
      <c r="R685" s="22">
        <f>H685*Assumptions!$B$3</f>
        <v>16.308</v>
      </c>
      <c r="S685" s="22">
        <f t="shared" si="86"/>
        <v>59.277800000000006</v>
      </c>
      <c r="T685" s="20" t="str">
        <f t="shared" si="87"/>
        <v>8-14 days</v>
      </c>
    </row>
    <row r="686" spans="1:20" x14ac:dyDescent="0.3">
      <c r="A686" s="20" t="s">
        <v>752</v>
      </c>
      <c r="B686" s="20" t="s">
        <v>19</v>
      </c>
      <c r="C686" s="21">
        <v>45611</v>
      </c>
      <c r="D686" s="21">
        <v>45624</v>
      </c>
      <c r="E686" s="21">
        <v>45628</v>
      </c>
      <c r="F686" s="20" t="s">
        <v>49</v>
      </c>
      <c r="G686" s="22">
        <v>59.13</v>
      </c>
      <c r="H686" s="22">
        <v>19.489999999999998</v>
      </c>
      <c r="I686" s="20" t="s">
        <v>50</v>
      </c>
      <c r="J686" s="20">
        <v>5</v>
      </c>
      <c r="K686" s="20" t="s">
        <v>46</v>
      </c>
      <c r="L686" s="23">
        <f t="shared" si="81"/>
        <v>45597</v>
      </c>
      <c r="M686" s="20">
        <f t="shared" si="82"/>
        <v>13</v>
      </c>
      <c r="N686" s="20">
        <f t="shared" si="83"/>
        <v>0</v>
      </c>
      <c r="O686" s="20">
        <f t="shared" si="84"/>
        <v>1</v>
      </c>
      <c r="P686" s="22">
        <f t="shared" si="85"/>
        <v>78.62</v>
      </c>
      <c r="Q686" s="22">
        <f>G686*INDEX(Assumptions!$B$8:$B$16,MATCH(F686,Assumptions!$A$8:$A$16,0))</f>
        <v>34.295400000000001</v>
      </c>
      <c r="R686" s="22">
        <f>H686*Assumptions!$B$3</f>
        <v>11.693999999999999</v>
      </c>
      <c r="S686" s="22">
        <f t="shared" si="86"/>
        <v>13.140600000000003</v>
      </c>
      <c r="T686" s="20" t="str">
        <f t="shared" si="87"/>
        <v>8-14 days</v>
      </c>
    </row>
    <row r="687" spans="1:20" x14ac:dyDescent="0.3">
      <c r="A687" s="20" t="s">
        <v>753</v>
      </c>
      <c r="B687" s="20" t="s">
        <v>19</v>
      </c>
      <c r="C687" s="21">
        <v>45612</v>
      </c>
      <c r="D687" s="21">
        <v>45617</v>
      </c>
      <c r="E687" s="21">
        <v>45629</v>
      </c>
      <c r="F687" s="20" t="s">
        <v>79</v>
      </c>
      <c r="G687" s="22">
        <v>62</v>
      </c>
      <c r="H687" s="22">
        <v>20.63</v>
      </c>
      <c r="I687" s="20" t="s">
        <v>60</v>
      </c>
      <c r="J687" s="20">
        <v>5</v>
      </c>
      <c r="K687" s="20" t="s">
        <v>46</v>
      </c>
      <c r="L687" s="23">
        <f t="shared" si="81"/>
        <v>45597</v>
      </c>
      <c r="M687" s="20">
        <f t="shared" si="82"/>
        <v>5</v>
      </c>
      <c r="N687" s="20">
        <f t="shared" si="83"/>
        <v>0</v>
      </c>
      <c r="O687" s="20">
        <f t="shared" si="84"/>
        <v>1</v>
      </c>
      <c r="P687" s="22">
        <f t="shared" si="85"/>
        <v>82.63</v>
      </c>
      <c r="Q687" s="22">
        <f>G687*INDEX(Assumptions!$B$8:$B$16,MATCH(F687,Assumptions!$A$8:$A$16,0))</f>
        <v>43.4</v>
      </c>
      <c r="R687" s="22">
        <f>H687*Assumptions!$B$3</f>
        <v>12.377999999999998</v>
      </c>
      <c r="S687" s="22">
        <f t="shared" si="86"/>
        <v>6.2220000000000031</v>
      </c>
      <c r="T687" s="20" t="str">
        <f t="shared" si="87"/>
        <v>0-7 days</v>
      </c>
    </row>
    <row r="688" spans="1:20" x14ac:dyDescent="0.3">
      <c r="A688" s="20" t="s">
        <v>754</v>
      </c>
      <c r="B688" s="20" t="s">
        <v>19</v>
      </c>
      <c r="C688" s="21">
        <v>45612</v>
      </c>
      <c r="D688" s="21">
        <v>45619</v>
      </c>
      <c r="E688" s="21">
        <v>45630</v>
      </c>
      <c r="F688" s="20" t="s">
        <v>67</v>
      </c>
      <c r="G688" s="22">
        <v>147.41999999999999</v>
      </c>
      <c r="H688" s="22">
        <v>13.45</v>
      </c>
      <c r="I688" s="20" t="s">
        <v>45</v>
      </c>
      <c r="J688" s="20">
        <v>5</v>
      </c>
      <c r="K688" s="20" t="s">
        <v>46</v>
      </c>
      <c r="L688" s="23">
        <f t="shared" si="81"/>
        <v>45597</v>
      </c>
      <c r="M688" s="20">
        <f t="shared" si="82"/>
        <v>7</v>
      </c>
      <c r="N688" s="20">
        <f t="shared" si="83"/>
        <v>0</v>
      </c>
      <c r="O688" s="20">
        <f t="shared" si="84"/>
        <v>1</v>
      </c>
      <c r="P688" s="22">
        <f t="shared" si="85"/>
        <v>160.86999999999998</v>
      </c>
      <c r="Q688" s="22">
        <f>G688*INDEX(Assumptions!$B$8:$B$16,MATCH(F688,Assumptions!$A$8:$A$16,0))</f>
        <v>91.400399999999991</v>
      </c>
      <c r="R688" s="22">
        <f>H688*Assumptions!$B$3</f>
        <v>8.0699999999999985</v>
      </c>
      <c r="S688" s="22">
        <f t="shared" si="86"/>
        <v>47.949599999999997</v>
      </c>
      <c r="T688" s="20" t="str">
        <f t="shared" si="87"/>
        <v>0-7 days</v>
      </c>
    </row>
    <row r="689" spans="1:20" x14ac:dyDescent="0.3">
      <c r="A689" s="20" t="s">
        <v>755</v>
      </c>
      <c r="B689" s="20" t="s">
        <v>19</v>
      </c>
      <c r="C689" s="21">
        <v>45612</v>
      </c>
      <c r="D689" s="21">
        <v>45628</v>
      </c>
      <c r="E689" s="21">
        <v>45627</v>
      </c>
      <c r="F689" s="20" t="s">
        <v>67</v>
      </c>
      <c r="G689" s="22">
        <v>80.14</v>
      </c>
      <c r="H689" s="22">
        <v>12.47</v>
      </c>
      <c r="I689" s="20" t="s">
        <v>45</v>
      </c>
      <c r="J689" s="20">
        <v>3</v>
      </c>
      <c r="K689" s="20" t="s">
        <v>46</v>
      </c>
      <c r="L689" s="23">
        <f t="shared" si="81"/>
        <v>45597</v>
      </c>
      <c r="M689" s="20">
        <f t="shared" si="82"/>
        <v>16</v>
      </c>
      <c r="N689" s="20">
        <f t="shared" si="83"/>
        <v>1</v>
      </c>
      <c r="O689" s="20">
        <f t="shared" si="84"/>
        <v>0</v>
      </c>
      <c r="P689" s="22">
        <f t="shared" si="85"/>
        <v>92.61</v>
      </c>
      <c r="Q689" s="22">
        <f>G689*INDEX(Assumptions!$B$8:$B$16,MATCH(F689,Assumptions!$A$8:$A$16,0))</f>
        <v>49.686799999999998</v>
      </c>
      <c r="R689" s="22">
        <f>H689*Assumptions!$B$3</f>
        <v>7.4820000000000002</v>
      </c>
      <c r="S689" s="22">
        <f t="shared" si="86"/>
        <v>22.971200000000003</v>
      </c>
      <c r="T689" s="20" t="str">
        <f t="shared" si="87"/>
        <v>15-21 days</v>
      </c>
    </row>
    <row r="690" spans="1:20" x14ac:dyDescent="0.3">
      <c r="A690" s="20" t="s">
        <v>756</v>
      </c>
      <c r="B690" s="20" t="s">
        <v>19</v>
      </c>
      <c r="C690" s="21">
        <v>45612</v>
      </c>
      <c r="D690" s="21">
        <v>45621</v>
      </c>
      <c r="E690" s="21">
        <v>45628</v>
      </c>
      <c r="F690" s="20" t="s">
        <v>49</v>
      </c>
      <c r="G690" s="22">
        <v>96.59</v>
      </c>
      <c r="H690" s="22">
        <v>15.96</v>
      </c>
      <c r="I690" s="20" t="s">
        <v>45</v>
      </c>
      <c r="J690" s="20">
        <v>3</v>
      </c>
      <c r="K690" s="20" t="s">
        <v>46</v>
      </c>
      <c r="L690" s="23">
        <f t="shared" si="81"/>
        <v>45597</v>
      </c>
      <c r="M690" s="20">
        <f t="shared" si="82"/>
        <v>9</v>
      </c>
      <c r="N690" s="20">
        <f t="shared" si="83"/>
        <v>0</v>
      </c>
      <c r="O690" s="20">
        <f t="shared" si="84"/>
        <v>1</v>
      </c>
      <c r="P690" s="22">
        <f t="shared" si="85"/>
        <v>112.55000000000001</v>
      </c>
      <c r="Q690" s="22">
        <f>G690*INDEX(Assumptions!$B$8:$B$16,MATCH(F690,Assumptions!$A$8:$A$16,0))</f>
        <v>56.022199999999998</v>
      </c>
      <c r="R690" s="22">
        <f>H690*Assumptions!$B$3</f>
        <v>9.5760000000000005</v>
      </c>
      <c r="S690" s="22">
        <f t="shared" si="86"/>
        <v>30.991800000000005</v>
      </c>
      <c r="T690" s="20" t="str">
        <f t="shared" si="87"/>
        <v>8-14 days</v>
      </c>
    </row>
    <row r="691" spans="1:20" x14ac:dyDescent="0.3">
      <c r="A691" s="20" t="s">
        <v>757</v>
      </c>
      <c r="B691" s="20" t="s">
        <v>62</v>
      </c>
      <c r="C691" s="21">
        <v>45612</v>
      </c>
      <c r="D691" s="21">
        <v>45622</v>
      </c>
      <c r="E691" s="21">
        <v>45628</v>
      </c>
      <c r="F691" s="20" t="s">
        <v>67</v>
      </c>
      <c r="G691" s="22">
        <v>16.66</v>
      </c>
      <c r="H691" s="22">
        <v>17.690000000000001</v>
      </c>
      <c r="I691" s="20" t="s">
        <v>45</v>
      </c>
      <c r="J691" s="20">
        <v>4</v>
      </c>
      <c r="K691" s="20" t="s">
        <v>46</v>
      </c>
      <c r="L691" s="23">
        <f t="shared" si="81"/>
        <v>45597</v>
      </c>
      <c r="M691" s="20">
        <f t="shared" si="82"/>
        <v>10</v>
      </c>
      <c r="N691" s="20">
        <f t="shared" si="83"/>
        <v>0</v>
      </c>
      <c r="O691" s="20">
        <f t="shared" si="84"/>
        <v>1</v>
      </c>
      <c r="P691" s="22">
        <f t="shared" si="85"/>
        <v>34.35</v>
      </c>
      <c r="Q691" s="22">
        <f>G691*INDEX(Assumptions!$B$8:$B$16,MATCH(F691,Assumptions!$A$8:$A$16,0))</f>
        <v>10.3292</v>
      </c>
      <c r="R691" s="22">
        <f>H691*Assumptions!$B$3</f>
        <v>10.614000000000001</v>
      </c>
      <c r="S691" s="22">
        <f t="shared" si="86"/>
        <v>-4.2832000000000008</v>
      </c>
      <c r="T691" s="20" t="str">
        <f t="shared" si="87"/>
        <v>8-14 days</v>
      </c>
    </row>
    <row r="692" spans="1:20" x14ac:dyDescent="0.3">
      <c r="A692" s="20" t="s">
        <v>758</v>
      </c>
      <c r="B692" s="20" t="s">
        <v>62</v>
      </c>
      <c r="C692" s="21">
        <v>45613</v>
      </c>
      <c r="D692" s="21">
        <v>45626</v>
      </c>
      <c r="E692" s="21">
        <v>45632</v>
      </c>
      <c r="F692" s="20" t="s">
        <v>111</v>
      </c>
      <c r="G692" s="22">
        <v>35.409999999999997</v>
      </c>
      <c r="H692" s="22">
        <v>23.11</v>
      </c>
      <c r="I692" s="20" t="s">
        <v>45</v>
      </c>
      <c r="J692" s="20">
        <v>5</v>
      </c>
      <c r="K692" s="20" t="s">
        <v>46</v>
      </c>
      <c r="L692" s="23">
        <f t="shared" si="81"/>
        <v>45597</v>
      </c>
      <c r="M692" s="20">
        <f t="shared" si="82"/>
        <v>13</v>
      </c>
      <c r="N692" s="20">
        <f t="shared" si="83"/>
        <v>0</v>
      </c>
      <c r="O692" s="20">
        <f t="shared" si="84"/>
        <v>1</v>
      </c>
      <c r="P692" s="22">
        <f t="shared" si="85"/>
        <v>58.519999999999996</v>
      </c>
      <c r="Q692" s="22">
        <f>G692*INDEX(Assumptions!$B$8:$B$16,MATCH(F692,Assumptions!$A$8:$A$16,0))</f>
        <v>22.308299999999999</v>
      </c>
      <c r="R692" s="22">
        <f>H692*Assumptions!$B$3</f>
        <v>13.866</v>
      </c>
      <c r="S692" s="22">
        <f t="shared" si="86"/>
        <v>-0.7643000000000022</v>
      </c>
      <c r="T692" s="20" t="str">
        <f t="shared" si="87"/>
        <v>8-14 days</v>
      </c>
    </row>
    <row r="693" spans="1:20" x14ac:dyDescent="0.3">
      <c r="A693" s="20" t="s">
        <v>759</v>
      </c>
      <c r="B693" s="20" t="s">
        <v>103</v>
      </c>
      <c r="C693" s="21">
        <v>45613</v>
      </c>
      <c r="D693" s="21">
        <v>45626</v>
      </c>
      <c r="E693" s="21">
        <v>45636</v>
      </c>
      <c r="F693" s="20" t="s">
        <v>67</v>
      </c>
      <c r="G693" s="22">
        <v>64.790000000000006</v>
      </c>
      <c r="H693" s="22">
        <v>20.84</v>
      </c>
      <c r="I693" s="20" t="s">
        <v>45</v>
      </c>
      <c r="J693" s="20">
        <v>3</v>
      </c>
      <c r="K693" s="20" t="s">
        <v>46</v>
      </c>
      <c r="L693" s="23">
        <f t="shared" si="81"/>
        <v>45597</v>
      </c>
      <c r="M693" s="20">
        <f t="shared" si="82"/>
        <v>13</v>
      </c>
      <c r="N693" s="20">
        <f t="shared" si="83"/>
        <v>0</v>
      </c>
      <c r="O693" s="20">
        <f t="shared" si="84"/>
        <v>1</v>
      </c>
      <c r="P693" s="22">
        <f t="shared" si="85"/>
        <v>85.63000000000001</v>
      </c>
      <c r="Q693" s="22">
        <f>G693*INDEX(Assumptions!$B$8:$B$16,MATCH(F693,Assumptions!$A$8:$A$16,0))</f>
        <v>40.169800000000002</v>
      </c>
      <c r="R693" s="22">
        <f>H693*Assumptions!$B$3</f>
        <v>12.504</v>
      </c>
      <c r="S693" s="22">
        <f t="shared" si="86"/>
        <v>12.116200000000005</v>
      </c>
      <c r="T693" s="20" t="str">
        <f t="shared" si="87"/>
        <v>8-14 days</v>
      </c>
    </row>
    <row r="694" spans="1:20" x14ac:dyDescent="0.3">
      <c r="A694" s="20" t="s">
        <v>760</v>
      </c>
      <c r="B694" s="20" t="s">
        <v>55</v>
      </c>
      <c r="C694" s="21">
        <v>45613</v>
      </c>
      <c r="D694" s="21">
        <v>45639</v>
      </c>
      <c r="E694" s="21">
        <v>45638</v>
      </c>
      <c r="F694" s="20" t="s">
        <v>53</v>
      </c>
      <c r="G694" s="22">
        <v>156.19</v>
      </c>
      <c r="H694" s="22">
        <v>17.96</v>
      </c>
      <c r="I694" s="20" t="s">
        <v>45</v>
      </c>
      <c r="J694" s="20">
        <v>3</v>
      </c>
      <c r="K694" s="20" t="s">
        <v>46</v>
      </c>
      <c r="L694" s="23">
        <f t="shared" si="81"/>
        <v>45597</v>
      </c>
      <c r="M694" s="20">
        <f t="shared" si="82"/>
        <v>26</v>
      </c>
      <c r="N694" s="20">
        <f t="shared" si="83"/>
        <v>1</v>
      </c>
      <c r="O694" s="20">
        <f t="shared" si="84"/>
        <v>0</v>
      </c>
      <c r="P694" s="22">
        <f t="shared" si="85"/>
        <v>174.15</v>
      </c>
      <c r="Q694" s="22">
        <f>G694*INDEX(Assumptions!$B$8:$B$16,MATCH(F694,Assumptions!$A$8:$A$16,0))</f>
        <v>115.5806</v>
      </c>
      <c r="R694" s="22">
        <f>H694*Assumptions!$B$3</f>
        <v>10.776</v>
      </c>
      <c r="S694" s="22">
        <f t="shared" si="86"/>
        <v>29.833399999999994</v>
      </c>
      <c r="T694" s="20" t="str">
        <f t="shared" si="87"/>
        <v>22+ days</v>
      </c>
    </row>
    <row r="695" spans="1:20" x14ac:dyDescent="0.3">
      <c r="A695" s="20" t="s">
        <v>761</v>
      </c>
      <c r="B695" s="20" t="s">
        <v>62</v>
      </c>
      <c r="C695" s="21">
        <v>45613</v>
      </c>
      <c r="D695" s="21">
        <v>45622</v>
      </c>
      <c r="E695" s="21">
        <v>45631</v>
      </c>
      <c r="F695" s="20" t="s">
        <v>79</v>
      </c>
      <c r="G695" s="22">
        <v>133.19999999999999</v>
      </c>
      <c r="H695" s="22">
        <v>26.71</v>
      </c>
      <c r="I695" s="20" t="s">
        <v>45</v>
      </c>
      <c r="J695" s="20">
        <v>5</v>
      </c>
      <c r="K695" s="20" t="s">
        <v>46</v>
      </c>
      <c r="L695" s="23">
        <f t="shared" si="81"/>
        <v>45597</v>
      </c>
      <c r="M695" s="20">
        <f t="shared" si="82"/>
        <v>9</v>
      </c>
      <c r="N695" s="20">
        <f t="shared" si="83"/>
        <v>0</v>
      </c>
      <c r="O695" s="20">
        <f t="shared" si="84"/>
        <v>1</v>
      </c>
      <c r="P695" s="22">
        <f t="shared" si="85"/>
        <v>159.91</v>
      </c>
      <c r="Q695" s="22">
        <f>G695*INDEX(Assumptions!$B$8:$B$16,MATCH(F695,Assumptions!$A$8:$A$16,0))</f>
        <v>93.239999999999981</v>
      </c>
      <c r="R695" s="22">
        <f>H695*Assumptions!$B$3</f>
        <v>16.026</v>
      </c>
      <c r="S695" s="22">
        <f t="shared" si="86"/>
        <v>23.934000000000008</v>
      </c>
      <c r="T695" s="20" t="str">
        <f t="shared" si="87"/>
        <v>8-14 days</v>
      </c>
    </row>
    <row r="696" spans="1:20" x14ac:dyDescent="0.3">
      <c r="A696" s="20" t="s">
        <v>762</v>
      </c>
      <c r="B696" s="20" t="s">
        <v>19</v>
      </c>
      <c r="C696" s="21">
        <v>45613</v>
      </c>
      <c r="D696" s="21">
        <v>45623</v>
      </c>
      <c r="E696" s="21">
        <v>45625</v>
      </c>
      <c r="F696" s="20" t="s">
        <v>67</v>
      </c>
      <c r="G696" s="22">
        <v>117.99</v>
      </c>
      <c r="H696" s="22">
        <v>18.32</v>
      </c>
      <c r="I696" s="20" t="s">
        <v>50</v>
      </c>
      <c r="J696" s="20">
        <v>5</v>
      </c>
      <c r="K696" s="20" t="s">
        <v>46</v>
      </c>
      <c r="L696" s="23">
        <f t="shared" si="81"/>
        <v>45597</v>
      </c>
      <c r="M696" s="20">
        <f t="shared" si="82"/>
        <v>10</v>
      </c>
      <c r="N696" s="20">
        <f t="shared" si="83"/>
        <v>0</v>
      </c>
      <c r="O696" s="20">
        <f t="shared" si="84"/>
        <v>1</v>
      </c>
      <c r="P696" s="22">
        <f t="shared" si="85"/>
        <v>136.31</v>
      </c>
      <c r="Q696" s="22">
        <f>G696*INDEX(Assumptions!$B$8:$B$16,MATCH(F696,Assumptions!$A$8:$A$16,0))</f>
        <v>73.15379999999999</v>
      </c>
      <c r="R696" s="22">
        <f>H696*Assumptions!$B$3</f>
        <v>10.991999999999999</v>
      </c>
      <c r="S696" s="22">
        <f t="shared" si="86"/>
        <v>33.844200000000008</v>
      </c>
      <c r="T696" s="20" t="str">
        <f t="shared" si="87"/>
        <v>8-14 days</v>
      </c>
    </row>
    <row r="697" spans="1:20" x14ac:dyDescent="0.3">
      <c r="A697" s="20" t="s">
        <v>763</v>
      </c>
      <c r="B697" s="20" t="s">
        <v>19</v>
      </c>
      <c r="C697" s="21">
        <v>45613</v>
      </c>
      <c r="D697" s="21">
        <v>45620</v>
      </c>
      <c r="E697" s="21">
        <v>45632</v>
      </c>
      <c r="F697" s="20" t="s">
        <v>64</v>
      </c>
      <c r="G697" s="22">
        <v>127.54</v>
      </c>
      <c r="H697" s="22">
        <v>16.5</v>
      </c>
      <c r="I697" s="20" t="s">
        <v>45</v>
      </c>
      <c r="J697" s="20">
        <v>5</v>
      </c>
      <c r="K697" s="20" t="s">
        <v>46</v>
      </c>
      <c r="L697" s="23">
        <f t="shared" si="81"/>
        <v>45597</v>
      </c>
      <c r="M697" s="20">
        <f t="shared" si="82"/>
        <v>7</v>
      </c>
      <c r="N697" s="20">
        <f t="shared" si="83"/>
        <v>0</v>
      </c>
      <c r="O697" s="20">
        <f t="shared" si="84"/>
        <v>1</v>
      </c>
      <c r="P697" s="22">
        <f t="shared" si="85"/>
        <v>144.04000000000002</v>
      </c>
      <c r="Q697" s="22">
        <f>G697*INDEX(Assumptions!$B$8:$B$16,MATCH(F697,Assumptions!$A$8:$A$16,0))</f>
        <v>84.176400000000001</v>
      </c>
      <c r="R697" s="22">
        <f>H697*Assumptions!$B$3</f>
        <v>9.9</v>
      </c>
      <c r="S697" s="22">
        <f t="shared" si="86"/>
        <v>33.463600000000007</v>
      </c>
      <c r="T697" s="20" t="str">
        <f t="shared" si="87"/>
        <v>0-7 days</v>
      </c>
    </row>
    <row r="698" spans="1:20" x14ac:dyDescent="0.3">
      <c r="A698" s="20" t="s">
        <v>764</v>
      </c>
      <c r="B698" s="20" t="s">
        <v>19</v>
      </c>
      <c r="C698" s="21">
        <v>45613</v>
      </c>
      <c r="D698" s="21">
        <v>45621</v>
      </c>
      <c r="E698" s="21">
        <v>45625</v>
      </c>
      <c r="F698" s="20" t="s">
        <v>111</v>
      </c>
      <c r="G698" s="22">
        <v>132.29</v>
      </c>
      <c r="H698" s="22">
        <v>20.95</v>
      </c>
      <c r="I698" s="20" t="s">
        <v>50</v>
      </c>
      <c r="J698" s="20">
        <v>4</v>
      </c>
      <c r="K698" s="20" t="s">
        <v>46</v>
      </c>
      <c r="L698" s="23">
        <f t="shared" si="81"/>
        <v>45597</v>
      </c>
      <c r="M698" s="20">
        <f t="shared" si="82"/>
        <v>8</v>
      </c>
      <c r="N698" s="20">
        <f t="shared" si="83"/>
        <v>0</v>
      </c>
      <c r="O698" s="20">
        <f t="shared" si="84"/>
        <v>1</v>
      </c>
      <c r="P698" s="22">
        <f t="shared" si="85"/>
        <v>153.23999999999998</v>
      </c>
      <c r="Q698" s="22">
        <f>G698*INDEX(Assumptions!$B$8:$B$16,MATCH(F698,Assumptions!$A$8:$A$16,0))</f>
        <v>83.342699999999994</v>
      </c>
      <c r="R698" s="22">
        <f>H698*Assumptions!$B$3</f>
        <v>12.569999999999999</v>
      </c>
      <c r="S698" s="22">
        <f t="shared" si="86"/>
        <v>36.377299999999998</v>
      </c>
      <c r="T698" s="20" t="str">
        <f t="shared" si="87"/>
        <v>8-14 days</v>
      </c>
    </row>
    <row r="699" spans="1:20" x14ac:dyDescent="0.3">
      <c r="A699" s="20" t="s">
        <v>765</v>
      </c>
      <c r="B699" s="20" t="s">
        <v>55</v>
      </c>
      <c r="C699" s="21">
        <v>45614</v>
      </c>
      <c r="D699" s="21">
        <v>45631</v>
      </c>
      <c r="E699" s="21">
        <v>45638</v>
      </c>
      <c r="F699" s="20" t="s">
        <v>67</v>
      </c>
      <c r="G699" s="22">
        <v>37.06</v>
      </c>
      <c r="H699" s="22">
        <v>24.16</v>
      </c>
      <c r="I699" s="20" t="s">
        <v>45</v>
      </c>
      <c r="J699" s="20">
        <v>5</v>
      </c>
      <c r="K699" s="20" t="s">
        <v>46</v>
      </c>
      <c r="L699" s="23">
        <f t="shared" si="81"/>
        <v>45597</v>
      </c>
      <c r="M699" s="20">
        <f t="shared" si="82"/>
        <v>17</v>
      </c>
      <c r="N699" s="20">
        <f t="shared" si="83"/>
        <v>0</v>
      </c>
      <c r="O699" s="20">
        <f t="shared" si="84"/>
        <v>1</v>
      </c>
      <c r="P699" s="22">
        <f t="shared" si="85"/>
        <v>61.22</v>
      </c>
      <c r="Q699" s="22">
        <f>G699*INDEX(Assumptions!$B$8:$B$16,MATCH(F699,Assumptions!$A$8:$A$16,0))</f>
        <v>22.9772</v>
      </c>
      <c r="R699" s="22">
        <f>H699*Assumptions!$B$3</f>
        <v>14.495999999999999</v>
      </c>
      <c r="S699" s="22">
        <f t="shared" si="86"/>
        <v>-0.41319999999999624</v>
      </c>
      <c r="T699" s="20" t="str">
        <f t="shared" si="87"/>
        <v>15-21 days</v>
      </c>
    </row>
    <row r="700" spans="1:20" x14ac:dyDescent="0.3">
      <c r="A700" s="20" t="s">
        <v>766</v>
      </c>
      <c r="B700" s="20" t="s">
        <v>134</v>
      </c>
      <c r="C700" s="21">
        <v>45614</v>
      </c>
      <c r="D700" s="21">
        <v>45622</v>
      </c>
      <c r="E700" s="21">
        <v>45640</v>
      </c>
      <c r="F700" s="20" t="s">
        <v>79</v>
      </c>
      <c r="G700" s="22">
        <v>151.72</v>
      </c>
      <c r="H700" s="22">
        <v>21.6</v>
      </c>
      <c r="I700" s="20" t="s">
        <v>45</v>
      </c>
      <c r="J700" s="20">
        <v>3</v>
      </c>
      <c r="K700" s="20" t="s">
        <v>46</v>
      </c>
      <c r="L700" s="23">
        <f t="shared" si="81"/>
        <v>45597</v>
      </c>
      <c r="M700" s="20">
        <f t="shared" si="82"/>
        <v>8</v>
      </c>
      <c r="N700" s="20">
        <f t="shared" si="83"/>
        <v>0</v>
      </c>
      <c r="O700" s="20">
        <f t="shared" si="84"/>
        <v>1</v>
      </c>
      <c r="P700" s="22">
        <f t="shared" si="85"/>
        <v>173.32</v>
      </c>
      <c r="Q700" s="22">
        <f>G700*INDEX(Assumptions!$B$8:$B$16,MATCH(F700,Assumptions!$A$8:$A$16,0))</f>
        <v>106.20399999999999</v>
      </c>
      <c r="R700" s="22">
        <f>H700*Assumptions!$B$3</f>
        <v>12.96</v>
      </c>
      <c r="S700" s="22">
        <f t="shared" si="86"/>
        <v>32.556000000000004</v>
      </c>
      <c r="T700" s="20" t="str">
        <f t="shared" si="87"/>
        <v>8-14 days</v>
      </c>
    </row>
    <row r="701" spans="1:20" x14ac:dyDescent="0.3">
      <c r="A701" s="20" t="s">
        <v>767</v>
      </c>
      <c r="B701" s="20" t="s">
        <v>19</v>
      </c>
      <c r="C701" s="21">
        <v>45615</v>
      </c>
      <c r="D701" s="21">
        <v>45620</v>
      </c>
      <c r="E701" s="21">
        <v>45628</v>
      </c>
      <c r="F701" s="20" t="s">
        <v>59</v>
      </c>
      <c r="G701" s="22">
        <v>112.12</v>
      </c>
      <c r="H701" s="22">
        <v>19.989999999999998</v>
      </c>
      <c r="I701" s="20" t="s">
        <v>60</v>
      </c>
      <c r="J701" s="20">
        <v>3</v>
      </c>
      <c r="K701" s="20" t="s">
        <v>46</v>
      </c>
      <c r="L701" s="23">
        <f t="shared" si="81"/>
        <v>45597</v>
      </c>
      <c r="M701" s="20">
        <f t="shared" si="82"/>
        <v>5</v>
      </c>
      <c r="N701" s="20">
        <f t="shared" si="83"/>
        <v>0</v>
      </c>
      <c r="O701" s="20">
        <f t="shared" si="84"/>
        <v>1</v>
      </c>
      <c r="P701" s="22">
        <f t="shared" si="85"/>
        <v>132.11000000000001</v>
      </c>
      <c r="Q701" s="22">
        <f>G701*INDEX(Assumptions!$B$8:$B$16,MATCH(F701,Assumptions!$A$8:$A$16,0))</f>
        <v>71.756799999999998</v>
      </c>
      <c r="R701" s="22">
        <f>H701*Assumptions!$B$3</f>
        <v>11.993999999999998</v>
      </c>
      <c r="S701" s="22">
        <f t="shared" si="86"/>
        <v>28.369200000000006</v>
      </c>
      <c r="T701" s="20" t="str">
        <f t="shared" si="87"/>
        <v>0-7 days</v>
      </c>
    </row>
    <row r="702" spans="1:20" x14ac:dyDescent="0.3">
      <c r="A702" s="20" t="s">
        <v>768</v>
      </c>
      <c r="B702" s="20" t="s">
        <v>19</v>
      </c>
      <c r="C702" s="21">
        <v>45615</v>
      </c>
      <c r="D702" s="21">
        <v>45624</v>
      </c>
      <c r="E702" s="21">
        <v>45632</v>
      </c>
      <c r="F702" s="20" t="s">
        <v>79</v>
      </c>
      <c r="G702" s="22">
        <v>51.07</v>
      </c>
      <c r="H702" s="22">
        <v>15.48</v>
      </c>
      <c r="I702" s="20" t="s">
        <v>104</v>
      </c>
      <c r="J702" s="20">
        <v>4</v>
      </c>
      <c r="K702" s="20" t="s">
        <v>46</v>
      </c>
      <c r="L702" s="23">
        <f t="shared" si="81"/>
        <v>45597</v>
      </c>
      <c r="M702" s="20">
        <f t="shared" si="82"/>
        <v>9</v>
      </c>
      <c r="N702" s="20">
        <f t="shared" si="83"/>
        <v>0</v>
      </c>
      <c r="O702" s="20">
        <f t="shared" si="84"/>
        <v>1</v>
      </c>
      <c r="P702" s="22">
        <f t="shared" si="85"/>
        <v>66.55</v>
      </c>
      <c r="Q702" s="22">
        <f>G702*INDEX(Assumptions!$B$8:$B$16,MATCH(F702,Assumptions!$A$8:$A$16,0))</f>
        <v>35.748999999999995</v>
      </c>
      <c r="R702" s="22">
        <f>H702*Assumptions!$B$3</f>
        <v>9.2880000000000003</v>
      </c>
      <c r="S702" s="22">
        <f t="shared" si="86"/>
        <v>6.0330000000000048</v>
      </c>
      <c r="T702" s="20" t="str">
        <f t="shared" si="87"/>
        <v>8-14 days</v>
      </c>
    </row>
    <row r="703" spans="1:20" x14ac:dyDescent="0.3">
      <c r="A703" s="20" t="s">
        <v>769</v>
      </c>
      <c r="B703" s="20" t="s">
        <v>55</v>
      </c>
      <c r="C703" s="21">
        <v>45615</v>
      </c>
      <c r="D703" s="21">
        <v>45624</v>
      </c>
      <c r="E703" s="21">
        <v>45638</v>
      </c>
      <c r="F703" s="20" t="s">
        <v>53</v>
      </c>
      <c r="G703" s="22">
        <v>388.47</v>
      </c>
      <c r="H703" s="22">
        <v>31.33</v>
      </c>
      <c r="I703" s="20" t="s">
        <v>45</v>
      </c>
      <c r="J703" s="20">
        <v>4</v>
      </c>
      <c r="K703" s="20" t="s">
        <v>46</v>
      </c>
      <c r="L703" s="23">
        <f t="shared" si="81"/>
        <v>45597</v>
      </c>
      <c r="M703" s="20">
        <f t="shared" si="82"/>
        <v>9</v>
      </c>
      <c r="N703" s="20">
        <f t="shared" si="83"/>
        <v>0</v>
      </c>
      <c r="O703" s="20">
        <f t="shared" si="84"/>
        <v>1</v>
      </c>
      <c r="P703" s="22">
        <f t="shared" si="85"/>
        <v>419.8</v>
      </c>
      <c r="Q703" s="22">
        <f>G703*INDEX(Assumptions!$B$8:$B$16,MATCH(F703,Assumptions!$A$8:$A$16,0))</f>
        <v>287.46780000000001</v>
      </c>
      <c r="R703" s="22">
        <f>H703*Assumptions!$B$3</f>
        <v>18.797999999999998</v>
      </c>
      <c r="S703" s="22">
        <f t="shared" si="86"/>
        <v>82.204200000000014</v>
      </c>
      <c r="T703" s="20" t="str">
        <f t="shared" si="87"/>
        <v>8-14 days</v>
      </c>
    </row>
    <row r="704" spans="1:20" x14ac:dyDescent="0.3">
      <c r="A704" s="20" t="s">
        <v>770</v>
      </c>
      <c r="B704" s="20" t="s">
        <v>55</v>
      </c>
      <c r="C704" s="21">
        <v>45615</v>
      </c>
      <c r="D704" s="21">
        <v>45641</v>
      </c>
      <c r="E704" s="21">
        <v>45640</v>
      </c>
      <c r="F704" s="20" t="s">
        <v>111</v>
      </c>
      <c r="G704" s="22">
        <v>313.51</v>
      </c>
      <c r="H704" s="22">
        <v>25.75</v>
      </c>
      <c r="I704" s="20" t="s">
        <v>60</v>
      </c>
      <c r="J704" s="20">
        <v>2</v>
      </c>
      <c r="K704" s="20" t="s">
        <v>46</v>
      </c>
      <c r="L704" s="23">
        <f t="shared" si="81"/>
        <v>45597</v>
      </c>
      <c r="M704" s="20">
        <f t="shared" si="82"/>
        <v>26</v>
      </c>
      <c r="N704" s="20">
        <f t="shared" si="83"/>
        <v>1</v>
      </c>
      <c r="O704" s="20">
        <f t="shared" si="84"/>
        <v>0</v>
      </c>
      <c r="P704" s="22">
        <f t="shared" si="85"/>
        <v>339.26</v>
      </c>
      <c r="Q704" s="22">
        <f>G704*INDEX(Assumptions!$B$8:$B$16,MATCH(F704,Assumptions!$A$8:$A$16,0))</f>
        <v>197.51130000000001</v>
      </c>
      <c r="R704" s="22">
        <f>H704*Assumptions!$B$3</f>
        <v>15.45</v>
      </c>
      <c r="S704" s="22">
        <f t="shared" si="86"/>
        <v>100.54869999999998</v>
      </c>
      <c r="T704" s="20" t="str">
        <f t="shared" si="87"/>
        <v>22+ days</v>
      </c>
    </row>
    <row r="705" spans="1:20" x14ac:dyDescent="0.3">
      <c r="A705" s="20" t="s">
        <v>771</v>
      </c>
      <c r="B705" s="20" t="s">
        <v>174</v>
      </c>
      <c r="C705" s="21">
        <v>45616</v>
      </c>
      <c r="D705" s="21">
        <v>45634</v>
      </c>
      <c r="E705" s="21">
        <v>45647</v>
      </c>
      <c r="F705" s="20" t="s">
        <v>67</v>
      </c>
      <c r="G705" s="22">
        <v>69.95</v>
      </c>
      <c r="H705" s="22">
        <v>45.88</v>
      </c>
      <c r="I705" s="20" t="s">
        <v>45</v>
      </c>
      <c r="J705" s="20">
        <v>4</v>
      </c>
      <c r="K705" s="20" t="s">
        <v>46</v>
      </c>
      <c r="L705" s="23">
        <f t="shared" si="81"/>
        <v>45597</v>
      </c>
      <c r="M705" s="20">
        <f t="shared" si="82"/>
        <v>18</v>
      </c>
      <c r="N705" s="20">
        <f t="shared" si="83"/>
        <v>0</v>
      </c>
      <c r="O705" s="20">
        <f t="shared" si="84"/>
        <v>1</v>
      </c>
      <c r="P705" s="22">
        <f t="shared" si="85"/>
        <v>115.83000000000001</v>
      </c>
      <c r="Q705" s="22">
        <f>G705*INDEX(Assumptions!$B$8:$B$16,MATCH(F705,Assumptions!$A$8:$A$16,0))</f>
        <v>43.369</v>
      </c>
      <c r="R705" s="22">
        <f>H705*Assumptions!$B$3</f>
        <v>27.528000000000002</v>
      </c>
      <c r="S705" s="22">
        <f t="shared" si="86"/>
        <v>-0.94699999999999918</v>
      </c>
      <c r="T705" s="20" t="str">
        <f t="shared" si="87"/>
        <v>15-21 days</v>
      </c>
    </row>
    <row r="706" spans="1:20" x14ac:dyDescent="0.3">
      <c r="A706" s="20" t="s">
        <v>772</v>
      </c>
      <c r="B706" s="20" t="s">
        <v>62</v>
      </c>
      <c r="C706" s="21">
        <v>45616</v>
      </c>
      <c r="D706" s="21">
        <v>45623</v>
      </c>
      <c r="E706" s="21">
        <v>45635</v>
      </c>
      <c r="F706" s="20" t="s">
        <v>59</v>
      </c>
      <c r="G706" s="22">
        <v>89.47</v>
      </c>
      <c r="H706" s="22">
        <v>23.51</v>
      </c>
      <c r="I706" s="20" t="s">
        <v>45</v>
      </c>
      <c r="J706" s="20">
        <v>4</v>
      </c>
      <c r="K706" s="20" t="s">
        <v>46</v>
      </c>
      <c r="L706" s="23">
        <f t="shared" ref="L706:L769" si="88">DATE(YEAR(C706),MONTH(C706),1)</f>
        <v>45597</v>
      </c>
      <c r="M706" s="20">
        <f t="shared" ref="M706:M769" si="89">D706-C706</f>
        <v>7</v>
      </c>
      <c r="N706" s="20">
        <f t="shared" ref="N706:N769" si="90">MAX(0,D706-E706)</f>
        <v>0</v>
      </c>
      <c r="O706" s="20">
        <f t="shared" ref="O706:O769" si="91">IF(D706&lt;=E706,1,0)</f>
        <v>1</v>
      </c>
      <c r="P706" s="22">
        <f t="shared" ref="P706:P769" si="92">G706+H706</f>
        <v>112.98</v>
      </c>
      <c r="Q706" s="22">
        <f>G706*INDEX(Assumptions!$B$8:$B$16,MATCH(F706,Assumptions!$A$8:$A$16,0))</f>
        <v>57.260800000000003</v>
      </c>
      <c r="R706" s="22">
        <f>H706*Assumptions!$B$3</f>
        <v>14.106</v>
      </c>
      <c r="S706" s="22">
        <f t="shared" ref="S706:S769" si="93">G706-Q706-R706</f>
        <v>18.103199999999994</v>
      </c>
      <c r="T706" s="20" t="str">
        <f t="shared" ref="T706:T769" si="94">IF(M706&lt;=7,"0-7 days",IF(M706&lt;=14,"8-14 days",IF(M706&lt;=21,"15-21 days","22+ days")))</f>
        <v>0-7 days</v>
      </c>
    </row>
    <row r="707" spans="1:20" x14ac:dyDescent="0.3">
      <c r="A707" s="20" t="s">
        <v>773</v>
      </c>
      <c r="B707" s="20" t="s">
        <v>62</v>
      </c>
      <c r="C707" s="21">
        <v>45616</v>
      </c>
      <c r="D707" s="21">
        <v>45636</v>
      </c>
      <c r="E707" s="21">
        <v>45639</v>
      </c>
      <c r="F707" s="20" t="s">
        <v>111</v>
      </c>
      <c r="G707" s="22">
        <v>54.91</v>
      </c>
      <c r="H707" s="22">
        <v>25.82</v>
      </c>
      <c r="I707" s="20" t="s">
        <v>45</v>
      </c>
      <c r="J707" s="20">
        <v>4</v>
      </c>
      <c r="K707" s="20" t="s">
        <v>46</v>
      </c>
      <c r="L707" s="23">
        <f t="shared" si="88"/>
        <v>45597</v>
      </c>
      <c r="M707" s="20">
        <f t="shared" si="89"/>
        <v>20</v>
      </c>
      <c r="N707" s="20">
        <f t="shared" si="90"/>
        <v>0</v>
      </c>
      <c r="O707" s="20">
        <f t="shared" si="91"/>
        <v>1</v>
      </c>
      <c r="P707" s="22">
        <f t="shared" si="92"/>
        <v>80.72999999999999</v>
      </c>
      <c r="Q707" s="22">
        <f>G707*INDEX(Assumptions!$B$8:$B$16,MATCH(F707,Assumptions!$A$8:$A$16,0))</f>
        <v>34.593299999999999</v>
      </c>
      <c r="R707" s="22">
        <f>H707*Assumptions!$B$3</f>
        <v>15.491999999999999</v>
      </c>
      <c r="S707" s="22">
        <f t="shared" si="93"/>
        <v>4.8246999999999982</v>
      </c>
      <c r="T707" s="20" t="str">
        <f t="shared" si="94"/>
        <v>15-21 days</v>
      </c>
    </row>
    <row r="708" spans="1:20" x14ac:dyDescent="0.3">
      <c r="A708" s="20" t="s">
        <v>774</v>
      </c>
      <c r="B708" s="20" t="s">
        <v>134</v>
      </c>
      <c r="C708" s="21">
        <v>45616</v>
      </c>
      <c r="D708" s="21">
        <v>45629</v>
      </c>
      <c r="E708" s="21">
        <v>45641</v>
      </c>
      <c r="F708" s="20" t="s">
        <v>67</v>
      </c>
      <c r="G708" s="22">
        <v>114.1</v>
      </c>
      <c r="H708" s="22">
        <v>21.71</v>
      </c>
      <c r="I708" s="20" t="s">
        <v>60</v>
      </c>
      <c r="J708" s="20">
        <v>4</v>
      </c>
      <c r="K708" s="20" t="s">
        <v>46</v>
      </c>
      <c r="L708" s="23">
        <f t="shared" si="88"/>
        <v>45597</v>
      </c>
      <c r="M708" s="20">
        <f t="shared" si="89"/>
        <v>13</v>
      </c>
      <c r="N708" s="20">
        <f t="shared" si="90"/>
        <v>0</v>
      </c>
      <c r="O708" s="20">
        <f t="shared" si="91"/>
        <v>1</v>
      </c>
      <c r="P708" s="22">
        <f t="shared" si="92"/>
        <v>135.81</v>
      </c>
      <c r="Q708" s="22">
        <f>G708*INDEX(Assumptions!$B$8:$B$16,MATCH(F708,Assumptions!$A$8:$A$16,0))</f>
        <v>70.74199999999999</v>
      </c>
      <c r="R708" s="22">
        <f>H708*Assumptions!$B$3</f>
        <v>13.026</v>
      </c>
      <c r="S708" s="22">
        <f t="shared" si="93"/>
        <v>30.332000000000004</v>
      </c>
      <c r="T708" s="20" t="str">
        <f t="shared" si="94"/>
        <v>8-14 days</v>
      </c>
    </row>
    <row r="709" spans="1:20" x14ac:dyDescent="0.3">
      <c r="A709" s="20" t="s">
        <v>775</v>
      </c>
      <c r="B709" s="20" t="s">
        <v>134</v>
      </c>
      <c r="C709" s="21">
        <v>45617</v>
      </c>
      <c r="D709" s="21">
        <v>45645</v>
      </c>
      <c r="E709" s="21">
        <v>45646</v>
      </c>
      <c r="F709" s="20" t="s">
        <v>49</v>
      </c>
      <c r="G709" s="22">
        <v>184.49</v>
      </c>
      <c r="H709" s="22">
        <v>19.739999999999998</v>
      </c>
      <c r="I709" s="20" t="s">
        <v>45</v>
      </c>
      <c r="J709" s="20">
        <v>5</v>
      </c>
      <c r="K709" s="20" t="s">
        <v>46</v>
      </c>
      <c r="L709" s="23">
        <f t="shared" si="88"/>
        <v>45597</v>
      </c>
      <c r="M709" s="20">
        <f t="shared" si="89"/>
        <v>28</v>
      </c>
      <c r="N709" s="20">
        <f t="shared" si="90"/>
        <v>0</v>
      </c>
      <c r="O709" s="20">
        <f t="shared" si="91"/>
        <v>1</v>
      </c>
      <c r="P709" s="22">
        <f t="shared" si="92"/>
        <v>204.23000000000002</v>
      </c>
      <c r="Q709" s="22">
        <f>G709*INDEX(Assumptions!$B$8:$B$16,MATCH(F709,Assumptions!$A$8:$A$16,0))</f>
        <v>107.0042</v>
      </c>
      <c r="R709" s="22">
        <f>H709*Assumptions!$B$3</f>
        <v>11.843999999999999</v>
      </c>
      <c r="S709" s="22">
        <f t="shared" si="93"/>
        <v>65.641800000000018</v>
      </c>
      <c r="T709" s="20" t="str">
        <f t="shared" si="94"/>
        <v>22+ days</v>
      </c>
    </row>
    <row r="710" spans="1:20" x14ac:dyDescent="0.3">
      <c r="A710" s="20" t="s">
        <v>776</v>
      </c>
      <c r="B710" s="20" t="s">
        <v>19</v>
      </c>
      <c r="C710" s="21">
        <v>45617</v>
      </c>
      <c r="D710" s="21">
        <v>45631</v>
      </c>
      <c r="E710" s="21">
        <v>45631</v>
      </c>
      <c r="F710" s="20" t="s">
        <v>79</v>
      </c>
      <c r="G710" s="22">
        <v>73.94</v>
      </c>
      <c r="H710" s="22">
        <v>12.53</v>
      </c>
      <c r="I710" s="20" t="s">
        <v>45</v>
      </c>
      <c r="J710" s="20">
        <v>4</v>
      </c>
      <c r="K710" s="20" t="s">
        <v>46</v>
      </c>
      <c r="L710" s="23">
        <f t="shared" si="88"/>
        <v>45597</v>
      </c>
      <c r="M710" s="20">
        <f t="shared" si="89"/>
        <v>14</v>
      </c>
      <c r="N710" s="20">
        <f t="shared" si="90"/>
        <v>0</v>
      </c>
      <c r="O710" s="20">
        <f t="shared" si="91"/>
        <v>1</v>
      </c>
      <c r="P710" s="22">
        <f t="shared" si="92"/>
        <v>86.47</v>
      </c>
      <c r="Q710" s="22">
        <f>G710*INDEX(Assumptions!$B$8:$B$16,MATCH(F710,Assumptions!$A$8:$A$16,0))</f>
        <v>51.757999999999996</v>
      </c>
      <c r="R710" s="22">
        <f>H710*Assumptions!$B$3</f>
        <v>7.5179999999999989</v>
      </c>
      <c r="S710" s="22">
        <f t="shared" si="93"/>
        <v>14.664000000000003</v>
      </c>
      <c r="T710" s="20" t="str">
        <f t="shared" si="94"/>
        <v>8-14 days</v>
      </c>
    </row>
    <row r="711" spans="1:20" x14ac:dyDescent="0.3">
      <c r="A711" s="20" t="s">
        <v>777</v>
      </c>
      <c r="B711" s="20" t="s">
        <v>55</v>
      </c>
      <c r="C711" s="21">
        <v>45617</v>
      </c>
      <c r="D711" s="21">
        <v>45631</v>
      </c>
      <c r="E711" s="21">
        <v>45643</v>
      </c>
      <c r="F711" s="20" t="s">
        <v>79</v>
      </c>
      <c r="G711" s="22">
        <v>71.819999999999993</v>
      </c>
      <c r="H711" s="22">
        <v>21.47</v>
      </c>
      <c r="I711" s="20" t="s">
        <v>45</v>
      </c>
      <c r="J711" s="20">
        <v>5</v>
      </c>
      <c r="K711" s="20" t="s">
        <v>46</v>
      </c>
      <c r="L711" s="23">
        <f t="shared" si="88"/>
        <v>45597</v>
      </c>
      <c r="M711" s="20">
        <f t="shared" si="89"/>
        <v>14</v>
      </c>
      <c r="N711" s="20">
        <f t="shared" si="90"/>
        <v>0</v>
      </c>
      <c r="O711" s="20">
        <f t="shared" si="91"/>
        <v>1</v>
      </c>
      <c r="P711" s="22">
        <f t="shared" si="92"/>
        <v>93.289999999999992</v>
      </c>
      <c r="Q711" s="22">
        <f>G711*INDEX(Assumptions!$B$8:$B$16,MATCH(F711,Assumptions!$A$8:$A$16,0))</f>
        <v>50.273999999999994</v>
      </c>
      <c r="R711" s="22">
        <f>H711*Assumptions!$B$3</f>
        <v>12.882</v>
      </c>
      <c r="S711" s="22">
        <f t="shared" si="93"/>
        <v>8.6639999999999997</v>
      </c>
      <c r="T711" s="20" t="str">
        <f t="shared" si="94"/>
        <v>8-14 days</v>
      </c>
    </row>
    <row r="712" spans="1:20" x14ac:dyDescent="0.3">
      <c r="A712" s="20" t="s">
        <v>778</v>
      </c>
      <c r="B712" s="20" t="s">
        <v>19</v>
      </c>
      <c r="C712" s="21">
        <v>45617</v>
      </c>
      <c r="D712" s="21">
        <v>45623</v>
      </c>
      <c r="E712" s="21">
        <v>45635</v>
      </c>
      <c r="F712" s="20" t="s">
        <v>79</v>
      </c>
      <c r="G712" s="22">
        <v>123.45</v>
      </c>
      <c r="H712" s="22">
        <v>14.28</v>
      </c>
      <c r="I712" s="20" t="s">
        <v>45</v>
      </c>
      <c r="J712" s="20">
        <v>5</v>
      </c>
      <c r="K712" s="20" t="s">
        <v>46</v>
      </c>
      <c r="L712" s="23">
        <f t="shared" si="88"/>
        <v>45597</v>
      </c>
      <c r="M712" s="20">
        <f t="shared" si="89"/>
        <v>6</v>
      </c>
      <c r="N712" s="20">
        <f t="shared" si="90"/>
        <v>0</v>
      </c>
      <c r="O712" s="20">
        <f t="shared" si="91"/>
        <v>1</v>
      </c>
      <c r="P712" s="22">
        <f t="shared" si="92"/>
        <v>137.72999999999999</v>
      </c>
      <c r="Q712" s="22">
        <f>G712*INDEX(Assumptions!$B$8:$B$16,MATCH(F712,Assumptions!$A$8:$A$16,0))</f>
        <v>86.414999999999992</v>
      </c>
      <c r="R712" s="22">
        <f>H712*Assumptions!$B$3</f>
        <v>8.5679999999999996</v>
      </c>
      <c r="S712" s="22">
        <f t="shared" si="93"/>
        <v>28.467000000000013</v>
      </c>
      <c r="T712" s="20" t="str">
        <f t="shared" si="94"/>
        <v>0-7 days</v>
      </c>
    </row>
    <row r="713" spans="1:20" x14ac:dyDescent="0.3">
      <c r="A713" s="20" t="s">
        <v>779</v>
      </c>
      <c r="B713" s="20" t="s">
        <v>19</v>
      </c>
      <c r="C713" s="21">
        <v>45618</v>
      </c>
      <c r="D713" s="21">
        <v>45625</v>
      </c>
      <c r="E713" s="21">
        <v>45630</v>
      </c>
      <c r="F713" s="20" t="s">
        <v>111</v>
      </c>
      <c r="G713" s="22">
        <v>42.58</v>
      </c>
      <c r="H713" s="22">
        <v>20.079999999999998</v>
      </c>
      <c r="I713" s="20" t="s">
        <v>104</v>
      </c>
      <c r="J713" s="20">
        <v>5</v>
      </c>
      <c r="K713" s="20" t="s">
        <v>46</v>
      </c>
      <c r="L713" s="23">
        <f t="shared" si="88"/>
        <v>45597</v>
      </c>
      <c r="M713" s="20">
        <f t="shared" si="89"/>
        <v>7</v>
      </c>
      <c r="N713" s="20">
        <f t="shared" si="90"/>
        <v>0</v>
      </c>
      <c r="O713" s="20">
        <f t="shared" si="91"/>
        <v>1</v>
      </c>
      <c r="P713" s="22">
        <f t="shared" si="92"/>
        <v>62.66</v>
      </c>
      <c r="Q713" s="22">
        <f>G713*INDEX(Assumptions!$B$8:$B$16,MATCH(F713,Assumptions!$A$8:$A$16,0))</f>
        <v>26.825399999999998</v>
      </c>
      <c r="R713" s="22">
        <f>H713*Assumptions!$B$3</f>
        <v>12.047999999999998</v>
      </c>
      <c r="S713" s="22">
        <f t="shared" si="93"/>
        <v>3.7066000000000017</v>
      </c>
      <c r="T713" s="20" t="str">
        <f t="shared" si="94"/>
        <v>0-7 days</v>
      </c>
    </row>
    <row r="714" spans="1:20" x14ac:dyDescent="0.3">
      <c r="A714" s="20" t="s">
        <v>780</v>
      </c>
      <c r="B714" s="20" t="s">
        <v>19</v>
      </c>
      <c r="C714" s="21">
        <v>45618</v>
      </c>
      <c r="D714" s="21">
        <v>45628</v>
      </c>
      <c r="E714" s="21">
        <v>45630</v>
      </c>
      <c r="F714" s="20" t="s">
        <v>64</v>
      </c>
      <c r="G714" s="22">
        <v>113.77</v>
      </c>
      <c r="H714" s="22">
        <v>18.7</v>
      </c>
      <c r="I714" s="20" t="s">
        <v>45</v>
      </c>
      <c r="J714" s="20">
        <v>5</v>
      </c>
      <c r="K714" s="20" t="s">
        <v>46</v>
      </c>
      <c r="L714" s="23">
        <f t="shared" si="88"/>
        <v>45597</v>
      </c>
      <c r="M714" s="20">
        <f t="shared" si="89"/>
        <v>10</v>
      </c>
      <c r="N714" s="20">
        <f t="shared" si="90"/>
        <v>0</v>
      </c>
      <c r="O714" s="20">
        <f t="shared" si="91"/>
        <v>1</v>
      </c>
      <c r="P714" s="22">
        <f t="shared" si="92"/>
        <v>132.47</v>
      </c>
      <c r="Q714" s="22">
        <f>G714*INDEX(Assumptions!$B$8:$B$16,MATCH(F714,Assumptions!$A$8:$A$16,0))</f>
        <v>75.088200000000001</v>
      </c>
      <c r="R714" s="22">
        <f>H714*Assumptions!$B$3</f>
        <v>11.219999999999999</v>
      </c>
      <c r="S714" s="22">
        <f t="shared" si="93"/>
        <v>27.461799999999997</v>
      </c>
      <c r="T714" s="20" t="str">
        <f t="shared" si="94"/>
        <v>8-14 days</v>
      </c>
    </row>
    <row r="715" spans="1:20" x14ac:dyDescent="0.3">
      <c r="A715" s="20" t="s">
        <v>781</v>
      </c>
      <c r="B715" s="20" t="s">
        <v>19</v>
      </c>
      <c r="C715" s="21">
        <v>45618</v>
      </c>
      <c r="D715" s="21">
        <v>45627</v>
      </c>
      <c r="E715" s="21">
        <v>45632</v>
      </c>
      <c r="F715" s="20" t="s">
        <v>44</v>
      </c>
      <c r="G715" s="22">
        <v>379.53</v>
      </c>
      <c r="H715" s="22">
        <v>19.97</v>
      </c>
      <c r="I715" s="20" t="s">
        <v>45</v>
      </c>
      <c r="J715" s="20">
        <v>4</v>
      </c>
      <c r="K715" s="20" t="s">
        <v>46</v>
      </c>
      <c r="L715" s="23">
        <f t="shared" si="88"/>
        <v>45597</v>
      </c>
      <c r="M715" s="20">
        <f t="shared" si="89"/>
        <v>9</v>
      </c>
      <c r="N715" s="20">
        <f t="shared" si="90"/>
        <v>0</v>
      </c>
      <c r="O715" s="20">
        <f t="shared" si="91"/>
        <v>1</v>
      </c>
      <c r="P715" s="22">
        <f t="shared" si="92"/>
        <v>399.5</v>
      </c>
      <c r="Q715" s="22">
        <f>G715*INDEX(Assumptions!$B$8:$B$16,MATCH(F715,Assumptions!$A$8:$A$16,0))</f>
        <v>227.71799999999999</v>
      </c>
      <c r="R715" s="22">
        <f>H715*Assumptions!$B$3</f>
        <v>11.981999999999999</v>
      </c>
      <c r="S715" s="22">
        <f t="shared" si="93"/>
        <v>139.82999999999998</v>
      </c>
      <c r="T715" s="20" t="str">
        <f t="shared" si="94"/>
        <v>8-14 days</v>
      </c>
    </row>
    <row r="716" spans="1:20" x14ac:dyDescent="0.3">
      <c r="A716" s="20" t="s">
        <v>782</v>
      </c>
      <c r="B716" s="20" t="s">
        <v>134</v>
      </c>
      <c r="C716" s="21">
        <v>45619</v>
      </c>
      <c r="D716" s="21">
        <v>45628</v>
      </c>
      <c r="E716" s="21">
        <v>45644</v>
      </c>
      <c r="F716" s="20" t="s">
        <v>59</v>
      </c>
      <c r="G716" s="22">
        <v>103.71</v>
      </c>
      <c r="H716" s="22">
        <v>20.52</v>
      </c>
      <c r="I716" s="20" t="s">
        <v>45</v>
      </c>
      <c r="J716" s="20">
        <v>5</v>
      </c>
      <c r="K716" s="20" t="s">
        <v>46</v>
      </c>
      <c r="L716" s="23">
        <f t="shared" si="88"/>
        <v>45597</v>
      </c>
      <c r="M716" s="20">
        <f t="shared" si="89"/>
        <v>9</v>
      </c>
      <c r="N716" s="20">
        <f t="shared" si="90"/>
        <v>0</v>
      </c>
      <c r="O716" s="20">
        <f t="shared" si="91"/>
        <v>1</v>
      </c>
      <c r="P716" s="22">
        <f t="shared" si="92"/>
        <v>124.22999999999999</v>
      </c>
      <c r="Q716" s="22">
        <f>G716*INDEX(Assumptions!$B$8:$B$16,MATCH(F716,Assumptions!$A$8:$A$16,0))</f>
        <v>66.374399999999994</v>
      </c>
      <c r="R716" s="22">
        <f>H716*Assumptions!$B$3</f>
        <v>12.311999999999999</v>
      </c>
      <c r="S716" s="22">
        <f t="shared" si="93"/>
        <v>25.023600000000002</v>
      </c>
      <c r="T716" s="20" t="str">
        <f t="shared" si="94"/>
        <v>8-14 days</v>
      </c>
    </row>
    <row r="717" spans="1:20" x14ac:dyDescent="0.3">
      <c r="A717" s="20" t="s">
        <v>783</v>
      </c>
      <c r="B717" s="20" t="s">
        <v>48</v>
      </c>
      <c r="C717" s="21">
        <v>45619</v>
      </c>
      <c r="D717" s="21">
        <v>45629</v>
      </c>
      <c r="E717" s="21">
        <v>45639</v>
      </c>
      <c r="F717" s="20" t="s">
        <v>53</v>
      </c>
      <c r="G717" s="22">
        <v>164.47</v>
      </c>
      <c r="H717" s="22">
        <v>21.33</v>
      </c>
      <c r="I717" s="20" t="s">
        <v>45</v>
      </c>
      <c r="J717" s="20">
        <v>4</v>
      </c>
      <c r="K717" s="20" t="s">
        <v>46</v>
      </c>
      <c r="L717" s="23">
        <f t="shared" si="88"/>
        <v>45597</v>
      </c>
      <c r="M717" s="20">
        <f t="shared" si="89"/>
        <v>10</v>
      </c>
      <c r="N717" s="20">
        <f t="shared" si="90"/>
        <v>0</v>
      </c>
      <c r="O717" s="20">
        <f t="shared" si="91"/>
        <v>1</v>
      </c>
      <c r="P717" s="22">
        <f t="shared" si="92"/>
        <v>185.8</v>
      </c>
      <c r="Q717" s="22">
        <f>G717*INDEX(Assumptions!$B$8:$B$16,MATCH(F717,Assumptions!$A$8:$A$16,0))</f>
        <v>121.70779999999999</v>
      </c>
      <c r="R717" s="22">
        <f>H717*Assumptions!$B$3</f>
        <v>12.797999999999998</v>
      </c>
      <c r="S717" s="22">
        <f t="shared" si="93"/>
        <v>29.964200000000009</v>
      </c>
      <c r="T717" s="20" t="str">
        <f t="shared" si="94"/>
        <v>8-14 days</v>
      </c>
    </row>
    <row r="718" spans="1:20" x14ac:dyDescent="0.3">
      <c r="A718" s="20" t="s">
        <v>784</v>
      </c>
      <c r="B718" s="20" t="s">
        <v>93</v>
      </c>
      <c r="C718" s="21">
        <v>45619</v>
      </c>
      <c r="D718" s="21">
        <v>45640</v>
      </c>
      <c r="E718" s="21">
        <v>45650</v>
      </c>
      <c r="F718" s="20" t="s">
        <v>67</v>
      </c>
      <c r="G718" s="22">
        <v>234.29</v>
      </c>
      <c r="H718" s="22">
        <v>27.79</v>
      </c>
      <c r="I718" s="20" t="s">
        <v>104</v>
      </c>
      <c r="J718" s="20">
        <v>5</v>
      </c>
      <c r="K718" s="20" t="s">
        <v>46</v>
      </c>
      <c r="L718" s="23">
        <f t="shared" si="88"/>
        <v>45597</v>
      </c>
      <c r="M718" s="20">
        <f t="shared" si="89"/>
        <v>21</v>
      </c>
      <c r="N718" s="20">
        <f t="shared" si="90"/>
        <v>0</v>
      </c>
      <c r="O718" s="20">
        <f t="shared" si="91"/>
        <v>1</v>
      </c>
      <c r="P718" s="22">
        <f t="shared" si="92"/>
        <v>262.08</v>
      </c>
      <c r="Q718" s="22">
        <f>G718*INDEX(Assumptions!$B$8:$B$16,MATCH(F718,Assumptions!$A$8:$A$16,0))</f>
        <v>145.25979999999998</v>
      </c>
      <c r="R718" s="22">
        <f>H718*Assumptions!$B$3</f>
        <v>16.673999999999999</v>
      </c>
      <c r="S718" s="22">
        <f t="shared" si="93"/>
        <v>72.356200000000001</v>
      </c>
      <c r="T718" s="20" t="str">
        <f t="shared" si="94"/>
        <v>15-21 days</v>
      </c>
    </row>
    <row r="719" spans="1:20" x14ac:dyDescent="0.3">
      <c r="A719" s="20" t="s">
        <v>785</v>
      </c>
      <c r="B719" s="20" t="s">
        <v>19</v>
      </c>
      <c r="C719" s="21">
        <v>45620</v>
      </c>
      <c r="D719" s="21">
        <v>45630</v>
      </c>
      <c r="E719" s="21">
        <v>45634</v>
      </c>
      <c r="F719" s="20" t="s">
        <v>59</v>
      </c>
      <c r="G719" s="22">
        <v>147.22</v>
      </c>
      <c r="H719" s="22">
        <v>14.64</v>
      </c>
      <c r="I719" s="20" t="s">
        <v>45</v>
      </c>
      <c r="J719" s="20">
        <v>4</v>
      </c>
      <c r="K719" s="20" t="s">
        <v>46</v>
      </c>
      <c r="L719" s="23">
        <f t="shared" si="88"/>
        <v>45597</v>
      </c>
      <c r="M719" s="20">
        <f t="shared" si="89"/>
        <v>10</v>
      </c>
      <c r="N719" s="20">
        <f t="shared" si="90"/>
        <v>0</v>
      </c>
      <c r="O719" s="20">
        <f t="shared" si="91"/>
        <v>1</v>
      </c>
      <c r="P719" s="22">
        <f t="shared" si="92"/>
        <v>161.86000000000001</v>
      </c>
      <c r="Q719" s="22">
        <f>G719*INDEX(Assumptions!$B$8:$B$16,MATCH(F719,Assumptions!$A$8:$A$16,0))</f>
        <v>94.220799999999997</v>
      </c>
      <c r="R719" s="22">
        <f>H719*Assumptions!$B$3</f>
        <v>8.7840000000000007</v>
      </c>
      <c r="S719" s="22">
        <f t="shared" si="93"/>
        <v>44.215200000000003</v>
      </c>
      <c r="T719" s="20" t="str">
        <f t="shared" si="94"/>
        <v>8-14 days</v>
      </c>
    </row>
    <row r="720" spans="1:20" x14ac:dyDescent="0.3">
      <c r="A720" s="20" t="s">
        <v>786</v>
      </c>
      <c r="B720" s="20" t="s">
        <v>62</v>
      </c>
      <c r="C720" s="21">
        <v>45620</v>
      </c>
      <c r="D720" s="21">
        <v>45633</v>
      </c>
      <c r="E720" s="21">
        <v>45641</v>
      </c>
      <c r="F720" s="20" t="s">
        <v>111</v>
      </c>
      <c r="G720" s="22">
        <v>46.48</v>
      </c>
      <c r="H720" s="22">
        <v>23.41</v>
      </c>
      <c r="I720" s="20" t="s">
        <v>45</v>
      </c>
      <c r="J720" s="20">
        <v>4</v>
      </c>
      <c r="K720" s="20" t="s">
        <v>46</v>
      </c>
      <c r="L720" s="23">
        <f t="shared" si="88"/>
        <v>45597</v>
      </c>
      <c r="M720" s="20">
        <f t="shared" si="89"/>
        <v>13</v>
      </c>
      <c r="N720" s="20">
        <f t="shared" si="90"/>
        <v>0</v>
      </c>
      <c r="O720" s="20">
        <f t="shared" si="91"/>
        <v>1</v>
      </c>
      <c r="P720" s="22">
        <f t="shared" si="92"/>
        <v>69.89</v>
      </c>
      <c r="Q720" s="22">
        <f>G720*INDEX(Assumptions!$B$8:$B$16,MATCH(F720,Assumptions!$A$8:$A$16,0))</f>
        <v>29.282399999999999</v>
      </c>
      <c r="R720" s="22">
        <f>H720*Assumptions!$B$3</f>
        <v>14.045999999999999</v>
      </c>
      <c r="S720" s="22">
        <f t="shared" si="93"/>
        <v>3.1515999999999984</v>
      </c>
      <c r="T720" s="20" t="str">
        <f t="shared" si="94"/>
        <v>8-14 days</v>
      </c>
    </row>
    <row r="721" spans="1:20" x14ac:dyDescent="0.3">
      <c r="A721" s="20" t="s">
        <v>787</v>
      </c>
      <c r="B721" s="20" t="s">
        <v>19</v>
      </c>
      <c r="C721" s="21">
        <v>45620</v>
      </c>
      <c r="D721" s="21">
        <v>45629</v>
      </c>
      <c r="E721" s="21">
        <v>45636</v>
      </c>
      <c r="F721" s="20" t="s">
        <v>53</v>
      </c>
      <c r="G721" s="22">
        <v>184.26</v>
      </c>
      <c r="H721" s="22">
        <v>19.899999999999999</v>
      </c>
      <c r="I721" s="20" t="s">
        <v>60</v>
      </c>
      <c r="J721" s="20">
        <v>5</v>
      </c>
      <c r="K721" s="20" t="s">
        <v>46</v>
      </c>
      <c r="L721" s="23">
        <f t="shared" si="88"/>
        <v>45597</v>
      </c>
      <c r="M721" s="20">
        <f t="shared" si="89"/>
        <v>9</v>
      </c>
      <c r="N721" s="20">
        <f t="shared" si="90"/>
        <v>0</v>
      </c>
      <c r="O721" s="20">
        <f t="shared" si="91"/>
        <v>1</v>
      </c>
      <c r="P721" s="22">
        <f t="shared" si="92"/>
        <v>204.16</v>
      </c>
      <c r="Q721" s="22">
        <f>G721*INDEX(Assumptions!$B$8:$B$16,MATCH(F721,Assumptions!$A$8:$A$16,0))</f>
        <v>136.35239999999999</v>
      </c>
      <c r="R721" s="22">
        <f>H721*Assumptions!$B$3</f>
        <v>11.94</v>
      </c>
      <c r="S721" s="22">
        <f t="shared" si="93"/>
        <v>35.967600000000004</v>
      </c>
      <c r="T721" s="20" t="str">
        <f t="shared" si="94"/>
        <v>8-14 days</v>
      </c>
    </row>
    <row r="722" spans="1:20" x14ac:dyDescent="0.3">
      <c r="A722" s="20" t="s">
        <v>788</v>
      </c>
      <c r="B722" s="20" t="s">
        <v>19</v>
      </c>
      <c r="C722" s="21">
        <v>45620</v>
      </c>
      <c r="D722" s="21">
        <v>45627</v>
      </c>
      <c r="E722" s="21">
        <v>45636</v>
      </c>
      <c r="F722" s="20" t="s">
        <v>53</v>
      </c>
      <c r="G722" s="22">
        <v>111.01</v>
      </c>
      <c r="H722" s="22">
        <v>15.45</v>
      </c>
      <c r="I722" s="20" t="s">
        <v>45</v>
      </c>
      <c r="J722" s="20">
        <v>5</v>
      </c>
      <c r="K722" s="20" t="s">
        <v>46</v>
      </c>
      <c r="L722" s="23">
        <f t="shared" si="88"/>
        <v>45597</v>
      </c>
      <c r="M722" s="20">
        <f t="shared" si="89"/>
        <v>7</v>
      </c>
      <c r="N722" s="20">
        <f t="shared" si="90"/>
        <v>0</v>
      </c>
      <c r="O722" s="20">
        <f t="shared" si="91"/>
        <v>1</v>
      </c>
      <c r="P722" s="22">
        <f t="shared" si="92"/>
        <v>126.46000000000001</v>
      </c>
      <c r="Q722" s="22">
        <f>G722*INDEX(Assumptions!$B$8:$B$16,MATCH(F722,Assumptions!$A$8:$A$16,0))</f>
        <v>82.147400000000005</v>
      </c>
      <c r="R722" s="22">
        <f>H722*Assumptions!$B$3</f>
        <v>9.27</v>
      </c>
      <c r="S722" s="22">
        <f t="shared" si="93"/>
        <v>19.592600000000001</v>
      </c>
      <c r="T722" s="20" t="str">
        <f t="shared" si="94"/>
        <v>0-7 days</v>
      </c>
    </row>
    <row r="723" spans="1:20" x14ac:dyDescent="0.3">
      <c r="A723" s="20" t="s">
        <v>789</v>
      </c>
      <c r="B723" s="20" t="s">
        <v>174</v>
      </c>
      <c r="C723" s="21">
        <v>45620</v>
      </c>
      <c r="D723" s="21">
        <v>45647</v>
      </c>
      <c r="E723" s="21">
        <v>45656</v>
      </c>
      <c r="F723" s="20" t="s">
        <v>59</v>
      </c>
      <c r="G723" s="22">
        <v>149.30000000000001</v>
      </c>
      <c r="H723" s="22">
        <v>43.25</v>
      </c>
      <c r="I723" s="20" t="s">
        <v>45</v>
      </c>
      <c r="J723" s="20">
        <v>4</v>
      </c>
      <c r="K723" s="20" t="s">
        <v>46</v>
      </c>
      <c r="L723" s="23">
        <f t="shared" si="88"/>
        <v>45597</v>
      </c>
      <c r="M723" s="20">
        <f t="shared" si="89"/>
        <v>27</v>
      </c>
      <c r="N723" s="20">
        <f t="shared" si="90"/>
        <v>0</v>
      </c>
      <c r="O723" s="20">
        <f t="shared" si="91"/>
        <v>1</v>
      </c>
      <c r="P723" s="22">
        <f t="shared" si="92"/>
        <v>192.55</v>
      </c>
      <c r="Q723" s="22">
        <f>G723*INDEX(Assumptions!$B$8:$B$16,MATCH(F723,Assumptions!$A$8:$A$16,0))</f>
        <v>95.552000000000007</v>
      </c>
      <c r="R723" s="22">
        <f>H723*Assumptions!$B$3</f>
        <v>25.95</v>
      </c>
      <c r="S723" s="22">
        <f t="shared" si="93"/>
        <v>27.798000000000005</v>
      </c>
      <c r="T723" s="20" t="str">
        <f t="shared" si="94"/>
        <v>22+ days</v>
      </c>
    </row>
    <row r="724" spans="1:20" x14ac:dyDescent="0.3">
      <c r="A724" s="20" t="s">
        <v>790</v>
      </c>
      <c r="B724" s="20" t="s">
        <v>19</v>
      </c>
      <c r="C724" s="21">
        <v>45620</v>
      </c>
      <c r="D724" s="21">
        <v>45636</v>
      </c>
      <c r="E724" s="21">
        <v>45638</v>
      </c>
      <c r="F724" s="20" t="s">
        <v>57</v>
      </c>
      <c r="G724" s="22">
        <v>231.35</v>
      </c>
      <c r="H724" s="22">
        <v>23.86</v>
      </c>
      <c r="I724" s="20" t="s">
        <v>60</v>
      </c>
      <c r="J724" s="20">
        <v>4</v>
      </c>
      <c r="K724" s="20" t="s">
        <v>46</v>
      </c>
      <c r="L724" s="23">
        <f t="shared" si="88"/>
        <v>45597</v>
      </c>
      <c r="M724" s="20">
        <f t="shared" si="89"/>
        <v>16</v>
      </c>
      <c r="N724" s="20">
        <f t="shared" si="90"/>
        <v>0</v>
      </c>
      <c r="O724" s="20">
        <f t="shared" si="91"/>
        <v>1</v>
      </c>
      <c r="P724" s="22">
        <f t="shared" si="92"/>
        <v>255.20999999999998</v>
      </c>
      <c r="Q724" s="22">
        <f>G724*INDEX(Assumptions!$B$8:$B$16,MATCH(F724,Assumptions!$A$8:$A$16,0))</f>
        <v>157.31800000000001</v>
      </c>
      <c r="R724" s="22">
        <f>H724*Assumptions!$B$3</f>
        <v>14.315999999999999</v>
      </c>
      <c r="S724" s="22">
        <f t="shared" si="93"/>
        <v>59.71599999999998</v>
      </c>
      <c r="T724" s="20" t="str">
        <f t="shared" si="94"/>
        <v>15-21 days</v>
      </c>
    </row>
    <row r="725" spans="1:20" x14ac:dyDescent="0.3">
      <c r="A725" s="20" t="s">
        <v>791</v>
      </c>
      <c r="B725" s="20" t="s">
        <v>19</v>
      </c>
      <c r="C725" s="21">
        <v>45621</v>
      </c>
      <c r="D725" s="21">
        <v>45633</v>
      </c>
      <c r="E725" s="21">
        <v>45638</v>
      </c>
      <c r="F725" s="20" t="s">
        <v>57</v>
      </c>
      <c r="G725" s="22">
        <v>98.82</v>
      </c>
      <c r="H725" s="22">
        <v>18.86</v>
      </c>
      <c r="I725" s="20" t="s">
        <v>45</v>
      </c>
      <c r="J725" s="20">
        <v>5</v>
      </c>
      <c r="K725" s="20" t="s">
        <v>46</v>
      </c>
      <c r="L725" s="23">
        <f t="shared" si="88"/>
        <v>45597</v>
      </c>
      <c r="M725" s="20">
        <f t="shared" si="89"/>
        <v>12</v>
      </c>
      <c r="N725" s="20">
        <f t="shared" si="90"/>
        <v>0</v>
      </c>
      <c r="O725" s="20">
        <f t="shared" si="91"/>
        <v>1</v>
      </c>
      <c r="P725" s="22">
        <f t="shared" si="92"/>
        <v>117.67999999999999</v>
      </c>
      <c r="Q725" s="22">
        <f>G725*INDEX(Assumptions!$B$8:$B$16,MATCH(F725,Assumptions!$A$8:$A$16,0))</f>
        <v>67.197599999999994</v>
      </c>
      <c r="R725" s="22">
        <f>H725*Assumptions!$B$3</f>
        <v>11.315999999999999</v>
      </c>
      <c r="S725" s="22">
        <f t="shared" si="93"/>
        <v>20.3064</v>
      </c>
      <c r="T725" s="20" t="str">
        <f t="shared" si="94"/>
        <v>8-14 days</v>
      </c>
    </row>
    <row r="726" spans="1:20" x14ac:dyDescent="0.3">
      <c r="A726" s="20" t="s">
        <v>792</v>
      </c>
      <c r="B726" s="20" t="s">
        <v>48</v>
      </c>
      <c r="C726" s="21">
        <v>45621</v>
      </c>
      <c r="D726" s="21">
        <v>45642</v>
      </c>
      <c r="E726" s="21">
        <v>45645</v>
      </c>
      <c r="F726" s="20" t="s">
        <v>53</v>
      </c>
      <c r="G726" s="22">
        <v>200.67</v>
      </c>
      <c r="H726" s="22">
        <v>18.05</v>
      </c>
      <c r="I726" s="20" t="s">
        <v>60</v>
      </c>
      <c r="J726" s="20">
        <v>4</v>
      </c>
      <c r="K726" s="20" t="s">
        <v>46</v>
      </c>
      <c r="L726" s="23">
        <f t="shared" si="88"/>
        <v>45597</v>
      </c>
      <c r="M726" s="20">
        <f t="shared" si="89"/>
        <v>21</v>
      </c>
      <c r="N726" s="20">
        <f t="shared" si="90"/>
        <v>0</v>
      </c>
      <c r="O726" s="20">
        <f t="shared" si="91"/>
        <v>1</v>
      </c>
      <c r="P726" s="22">
        <f t="shared" si="92"/>
        <v>218.72</v>
      </c>
      <c r="Q726" s="22">
        <f>G726*INDEX(Assumptions!$B$8:$B$16,MATCH(F726,Assumptions!$A$8:$A$16,0))</f>
        <v>148.4958</v>
      </c>
      <c r="R726" s="22">
        <f>H726*Assumptions!$B$3</f>
        <v>10.83</v>
      </c>
      <c r="S726" s="22">
        <f t="shared" si="93"/>
        <v>41.344199999999987</v>
      </c>
      <c r="T726" s="20" t="str">
        <f t="shared" si="94"/>
        <v>15-21 days</v>
      </c>
    </row>
    <row r="727" spans="1:20" x14ac:dyDescent="0.3">
      <c r="A727" s="20" t="s">
        <v>793</v>
      </c>
      <c r="B727" s="20" t="s">
        <v>62</v>
      </c>
      <c r="C727" s="21">
        <v>45621</v>
      </c>
      <c r="D727" s="21">
        <v>45627</v>
      </c>
      <c r="E727" s="21">
        <v>45639</v>
      </c>
      <c r="F727" s="20" t="s">
        <v>64</v>
      </c>
      <c r="G727" s="22">
        <v>445.8</v>
      </c>
      <c r="H727" s="22">
        <v>23.48</v>
      </c>
      <c r="I727" s="20" t="s">
        <v>45</v>
      </c>
      <c r="J727" s="20">
        <v>5</v>
      </c>
      <c r="K727" s="20" t="s">
        <v>46</v>
      </c>
      <c r="L727" s="23">
        <f t="shared" si="88"/>
        <v>45597</v>
      </c>
      <c r="M727" s="20">
        <f t="shared" si="89"/>
        <v>6</v>
      </c>
      <c r="N727" s="20">
        <f t="shared" si="90"/>
        <v>0</v>
      </c>
      <c r="O727" s="20">
        <f t="shared" si="91"/>
        <v>1</v>
      </c>
      <c r="P727" s="22">
        <f t="shared" si="92"/>
        <v>469.28000000000003</v>
      </c>
      <c r="Q727" s="22">
        <f>G727*INDEX(Assumptions!$B$8:$B$16,MATCH(F727,Assumptions!$A$8:$A$16,0))</f>
        <v>294.22800000000001</v>
      </c>
      <c r="R727" s="22">
        <f>H727*Assumptions!$B$3</f>
        <v>14.087999999999999</v>
      </c>
      <c r="S727" s="22">
        <f t="shared" si="93"/>
        <v>137.48400000000001</v>
      </c>
      <c r="T727" s="20" t="str">
        <f t="shared" si="94"/>
        <v>0-7 days</v>
      </c>
    </row>
    <row r="728" spans="1:20" x14ac:dyDescent="0.3">
      <c r="A728" s="20" t="s">
        <v>794</v>
      </c>
      <c r="B728" s="20" t="s">
        <v>93</v>
      </c>
      <c r="C728" s="21">
        <v>45621</v>
      </c>
      <c r="D728" s="21">
        <v>45636</v>
      </c>
      <c r="E728" s="21">
        <v>45651</v>
      </c>
      <c r="F728" s="20" t="s">
        <v>67</v>
      </c>
      <c r="G728" s="22">
        <v>27.92</v>
      </c>
      <c r="H728" s="22">
        <v>23.64</v>
      </c>
      <c r="I728" s="20" t="s">
        <v>45</v>
      </c>
      <c r="J728" s="20">
        <v>5</v>
      </c>
      <c r="K728" s="20" t="s">
        <v>46</v>
      </c>
      <c r="L728" s="23">
        <f t="shared" si="88"/>
        <v>45597</v>
      </c>
      <c r="M728" s="20">
        <f t="shared" si="89"/>
        <v>15</v>
      </c>
      <c r="N728" s="20">
        <f t="shared" si="90"/>
        <v>0</v>
      </c>
      <c r="O728" s="20">
        <f t="shared" si="91"/>
        <v>1</v>
      </c>
      <c r="P728" s="22">
        <f t="shared" si="92"/>
        <v>51.56</v>
      </c>
      <c r="Q728" s="22">
        <f>G728*INDEX(Assumptions!$B$8:$B$16,MATCH(F728,Assumptions!$A$8:$A$16,0))</f>
        <v>17.310400000000001</v>
      </c>
      <c r="R728" s="22">
        <f>H728*Assumptions!$B$3</f>
        <v>14.183999999999999</v>
      </c>
      <c r="S728" s="22">
        <f t="shared" si="93"/>
        <v>-3.5743999999999989</v>
      </c>
      <c r="T728" s="20" t="str">
        <f t="shared" si="94"/>
        <v>15-21 days</v>
      </c>
    </row>
    <row r="729" spans="1:20" x14ac:dyDescent="0.3">
      <c r="A729" s="20" t="s">
        <v>795</v>
      </c>
      <c r="B729" s="20" t="s">
        <v>55</v>
      </c>
      <c r="C729" s="21">
        <v>45622</v>
      </c>
      <c r="D729" s="21">
        <v>45630</v>
      </c>
      <c r="E729" s="21">
        <v>45645</v>
      </c>
      <c r="F729" s="20" t="s">
        <v>111</v>
      </c>
      <c r="G729" s="22">
        <v>114.95</v>
      </c>
      <c r="H729" s="22">
        <v>23.15</v>
      </c>
      <c r="I729" s="20" t="s">
        <v>45</v>
      </c>
      <c r="J729" s="20">
        <v>4</v>
      </c>
      <c r="K729" s="20" t="s">
        <v>46</v>
      </c>
      <c r="L729" s="23">
        <f t="shared" si="88"/>
        <v>45597</v>
      </c>
      <c r="M729" s="20">
        <f t="shared" si="89"/>
        <v>8</v>
      </c>
      <c r="N729" s="20">
        <f t="shared" si="90"/>
        <v>0</v>
      </c>
      <c r="O729" s="20">
        <f t="shared" si="91"/>
        <v>1</v>
      </c>
      <c r="P729" s="22">
        <f t="shared" si="92"/>
        <v>138.1</v>
      </c>
      <c r="Q729" s="22">
        <f>G729*INDEX(Assumptions!$B$8:$B$16,MATCH(F729,Assumptions!$A$8:$A$16,0))</f>
        <v>72.418500000000009</v>
      </c>
      <c r="R729" s="22">
        <f>H729*Assumptions!$B$3</f>
        <v>13.889999999999999</v>
      </c>
      <c r="S729" s="22">
        <f t="shared" si="93"/>
        <v>28.641499999999994</v>
      </c>
      <c r="T729" s="20" t="str">
        <f t="shared" si="94"/>
        <v>8-14 days</v>
      </c>
    </row>
    <row r="730" spans="1:20" x14ac:dyDescent="0.3">
      <c r="A730" s="20" t="s">
        <v>796</v>
      </c>
      <c r="B730" s="20" t="s">
        <v>48</v>
      </c>
      <c r="C730" s="21">
        <v>45622</v>
      </c>
      <c r="D730" s="21">
        <v>45645</v>
      </c>
      <c r="E730" s="21">
        <v>45642</v>
      </c>
      <c r="F730" s="20" t="s">
        <v>67</v>
      </c>
      <c r="G730" s="22">
        <v>80.260000000000005</v>
      </c>
      <c r="H730" s="22">
        <v>27.63</v>
      </c>
      <c r="I730" s="20" t="s">
        <v>45</v>
      </c>
      <c r="J730" s="20">
        <v>2</v>
      </c>
      <c r="K730" s="20" t="s">
        <v>46</v>
      </c>
      <c r="L730" s="23">
        <f t="shared" si="88"/>
        <v>45597</v>
      </c>
      <c r="M730" s="20">
        <f t="shared" si="89"/>
        <v>23</v>
      </c>
      <c r="N730" s="20">
        <f t="shared" si="90"/>
        <v>3</v>
      </c>
      <c r="O730" s="20">
        <f t="shared" si="91"/>
        <v>0</v>
      </c>
      <c r="P730" s="22">
        <f t="shared" si="92"/>
        <v>107.89</v>
      </c>
      <c r="Q730" s="22">
        <f>G730*INDEX(Assumptions!$B$8:$B$16,MATCH(F730,Assumptions!$A$8:$A$16,0))</f>
        <v>49.761200000000002</v>
      </c>
      <c r="R730" s="22">
        <f>H730*Assumptions!$B$3</f>
        <v>16.577999999999999</v>
      </c>
      <c r="S730" s="22">
        <f t="shared" si="93"/>
        <v>13.920800000000003</v>
      </c>
      <c r="T730" s="20" t="str">
        <f t="shared" si="94"/>
        <v>22+ days</v>
      </c>
    </row>
    <row r="731" spans="1:20" x14ac:dyDescent="0.3">
      <c r="A731" s="20" t="s">
        <v>797</v>
      </c>
      <c r="B731" s="20" t="s">
        <v>19</v>
      </c>
      <c r="C731" s="21">
        <v>45622</v>
      </c>
      <c r="D731" s="21">
        <v>45634</v>
      </c>
      <c r="E731" s="21">
        <v>45638</v>
      </c>
      <c r="F731" s="20" t="s">
        <v>67</v>
      </c>
      <c r="G731" s="22">
        <v>50.95</v>
      </c>
      <c r="H731" s="22">
        <v>14.72</v>
      </c>
      <c r="I731" s="20" t="s">
        <v>45</v>
      </c>
      <c r="J731" s="20">
        <v>5</v>
      </c>
      <c r="K731" s="20" t="s">
        <v>46</v>
      </c>
      <c r="L731" s="23">
        <f t="shared" si="88"/>
        <v>45597</v>
      </c>
      <c r="M731" s="20">
        <f t="shared" si="89"/>
        <v>12</v>
      </c>
      <c r="N731" s="20">
        <f t="shared" si="90"/>
        <v>0</v>
      </c>
      <c r="O731" s="20">
        <f t="shared" si="91"/>
        <v>1</v>
      </c>
      <c r="P731" s="22">
        <f t="shared" si="92"/>
        <v>65.67</v>
      </c>
      <c r="Q731" s="22">
        <f>G731*INDEX(Assumptions!$B$8:$B$16,MATCH(F731,Assumptions!$A$8:$A$16,0))</f>
        <v>31.589000000000002</v>
      </c>
      <c r="R731" s="22">
        <f>H731*Assumptions!$B$3</f>
        <v>8.8320000000000007</v>
      </c>
      <c r="S731" s="22">
        <f t="shared" si="93"/>
        <v>10.529</v>
      </c>
      <c r="T731" s="20" t="str">
        <f t="shared" si="94"/>
        <v>8-14 days</v>
      </c>
    </row>
    <row r="732" spans="1:20" x14ac:dyDescent="0.3">
      <c r="A732" s="20" t="s">
        <v>798</v>
      </c>
      <c r="B732" s="20" t="s">
        <v>19</v>
      </c>
      <c r="C732" s="21">
        <v>45622</v>
      </c>
      <c r="D732" s="21">
        <v>45628</v>
      </c>
      <c r="E732" s="21">
        <v>45636</v>
      </c>
      <c r="F732" s="20" t="s">
        <v>67</v>
      </c>
      <c r="G732" s="22">
        <v>109.73</v>
      </c>
      <c r="H732" s="22">
        <v>15.06</v>
      </c>
      <c r="I732" s="20" t="s">
        <v>50</v>
      </c>
      <c r="J732" s="20">
        <v>4</v>
      </c>
      <c r="K732" s="20" t="s">
        <v>46</v>
      </c>
      <c r="L732" s="23">
        <f t="shared" si="88"/>
        <v>45597</v>
      </c>
      <c r="M732" s="20">
        <f t="shared" si="89"/>
        <v>6</v>
      </c>
      <c r="N732" s="20">
        <f t="shared" si="90"/>
        <v>0</v>
      </c>
      <c r="O732" s="20">
        <f t="shared" si="91"/>
        <v>1</v>
      </c>
      <c r="P732" s="22">
        <f t="shared" si="92"/>
        <v>124.79</v>
      </c>
      <c r="Q732" s="22">
        <f>G732*INDEX(Assumptions!$B$8:$B$16,MATCH(F732,Assumptions!$A$8:$A$16,0))</f>
        <v>68.032600000000002</v>
      </c>
      <c r="R732" s="22">
        <f>H732*Assumptions!$B$3</f>
        <v>9.0359999999999996</v>
      </c>
      <c r="S732" s="22">
        <f t="shared" si="93"/>
        <v>32.6614</v>
      </c>
      <c r="T732" s="20" t="str">
        <f t="shared" si="94"/>
        <v>0-7 days</v>
      </c>
    </row>
    <row r="733" spans="1:20" x14ac:dyDescent="0.3">
      <c r="A733" s="20" t="s">
        <v>799</v>
      </c>
      <c r="B733" s="20" t="s">
        <v>103</v>
      </c>
      <c r="C733" s="21">
        <v>45622</v>
      </c>
      <c r="D733" s="21">
        <v>45633</v>
      </c>
      <c r="E733" s="21">
        <v>45644</v>
      </c>
      <c r="F733" s="20" t="s">
        <v>67</v>
      </c>
      <c r="G733" s="22">
        <v>157.47</v>
      </c>
      <c r="H733" s="22">
        <v>25.86</v>
      </c>
      <c r="I733" s="20" t="s">
        <v>45</v>
      </c>
      <c r="J733" s="20">
        <v>5</v>
      </c>
      <c r="K733" s="20" t="s">
        <v>46</v>
      </c>
      <c r="L733" s="23">
        <f t="shared" si="88"/>
        <v>45597</v>
      </c>
      <c r="M733" s="20">
        <f t="shared" si="89"/>
        <v>11</v>
      </c>
      <c r="N733" s="20">
        <f t="shared" si="90"/>
        <v>0</v>
      </c>
      <c r="O733" s="20">
        <f t="shared" si="91"/>
        <v>1</v>
      </c>
      <c r="P733" s="22">
        <f t="shared" si="92"/>
        <v>183.32999999999998</v>
      </c>
      <c r="Q733" s="22">
        <f>G733*INDEX(Assumptions!$B$8:$B$16,MATCH(F733,Assumptions!$A$8:$A$16,0))</f>
        <v>97.631399999999999</v>
      </c>
      <c r="R733" s="22">
        <f>H733*Assumptions!$B$3</f>
        <v>15.515999999999998</v>
      </c>
      <c r="S733" s="22">
        <f t="shared" si="93"/>
        <v>44.322600000000001</v>
      </c>
      <c r="T733" s="20" t="str">
        <f t="shared" si="94"/>
        <v>8-14 days</v>
      </c>
    </row>
    <row r="734" spans="1:20" x14ac:dyDescent="0.3">
      <c r="A734" s="20" t="s">
        <v>800</v>
      </c>
      <c r="B734" s="20" t="s">
        <v>55</v>
      </c>
      <c r="C734" s="21">
        <v>45622</v>
      </c>
      <c r="D734" s="21">
        <v>45633</v>
      </c>
      <c r="E734" s="21">
        <v>45645</v>
      </c>
      <c r="F734" s="20" t="s">
        <v>79</v>
      </c>
      <c r="G734" s="22">
        <v>102.84</v>
      </c>
      <c r="H734" s="22">
        <v>21.72</v>
      </c>
      <c r="I734" s="20" t="s">
        <v>45</v>
      </c>
      <c r="J734" s="20">
        <v>5</v>
      </c>
      <c r="K734" s="20" t="s">
        <v>46</v>
      </c>
      <c r="L734" s="23">
        <f t="shared" si="88"/>
        <v>45597</v>
      </c>
      <c r="M734" s="20">
        <f t="shared" si="89"/>
        <v>11</v>
      </c>
      <c r="N734" s="20">
        <f t="shared" si="90"/>
        <v>0</v>
      </c>
      <c r="O734" s="20">
        <f t="shared" si="91"/>
        <v>1</v>
      </c>
      <c r="P734" s="22">
        <f t="shared" si="92"/>
        <v>124.56</v>
      </c>
      <c r="Q734" s="22">
        <f>G734*INDEX(Assumptions!$B$8:$B$16,MATCH(F734,Assumptions!$A$8:$A$16,0))</f>
        <v>71.988</v>
      </c>
      <c r="R734" s="22">
        <f>H734*Assumptions!$B$3</f>
        <v>13.031999999999998</v>
      </c>
      <c r="S734" s="22">
        <f t="shared" si="93"/>
        <v>17.820000000000007</v>
      </c>
      <c r="T734" s="20" t="str">
        <f t="shared" si="94"/>
        <v>8-14 days</v>
      </c>
    </row>
    <row r="735" spans="1:20" x14ac:dyDescent="0.3">
      <c r="A735" s="20" t="s">
        <v>801</v>
      </c>
      <c r="B735" s="20" t="s">
        <v>201</v>
      </c>
      <c r="C735" s="21">
        <v>45623</v>
      </c>
      <c r="D735" s="21">
        <v>45645</v>
      </c>
      <c r="E735" s="21">
        <v>45654</v>
      </c>
      <c r="F735" s="20" t="s">
        <v>79</v>
      </c>
      <c r="G735" s="22">
        <v>43.2</v>
      </c>
      <c r="H735" s="22">
        <v>41.05</v>
      </c>
      <c r="I735" s="20" t="s">
        <v>45</v>
      </c>
      <c r="J735" s="20">
        <v>5</v>
      </c>
      <c r="K735" s="20" t="s">
        <v>46</v>
      </c>
      <c r="L735" s="23">
        <f t="shared" si="88"/>
        <v>45597</v>
      </c>
      <c r="M735" s="20">
        <f t="shared" si="89"/>
        <v>22</v>
      </c>
      <c r="N735" s="20">
        <f t="shared" si="90"/>
        <v>0</v>
      </c>
      <c r="O735" s="20">
        <f t="shared" si="91"/>
        <v>1</v>
      </c>
      <c r="P735" s="22">
        <f t="shared" si="92"/>
        <v>84.25</v>
      </c>
      <c r="Q735" s="22">
        <f>G735*INDEX(Assumptions!$B$8:$B$16,MATCH(F735,Assumptions!$A$8:$A$16,0))</f>
        <v>30.24</v>
      </c>
      <c r="R735" s="22">
        <f>H735*Assumptions!$B$3</f>
        <v>24.63</v>
      </c>
      <c r="S735" s="22">
        <f t="shared" si="93"/>
        <v>-11.669999999999995</v>
      </c>
      <c r="T735" s="20" t="str">
        <f t="shared" si="94"/>
        <v>22+ days</v>
      </c>
    </row>
    <row r="736" spans="1:20" x14ac:dyDescent="0.3">
      <c r="A736" s="20" t="s">
        <v>802</v>
      </c>
      <c r="B736" s="20" t="s">
        <v>134</v>
      </c>
      <c r="C736" s="21">
        <v>45623</v>
      </c>
      <c r="D736" s="21">
        <v>45643</v>
      </c>
      <c r="E736" s="21">
        <v>45645</v>
      </c>
      <c r="F736" s="20" t="s">
        <v>111</v>
      </c>
      <c r="G736" s="22">
        <v>88.15</v>
      </c>
      <c r="H736" s="22">
        <v>20.72</v>
      </c>
      <c r="I736" s="20" t="s">
        <v>45</v>
      </c>
      <c r="J736" s="20">
        <v>5</v>
      </c>
      <c r="K736" s="20" t="s">
        <v>46</v>
      </c>
      <c r="L736" s="23">
        <f t="shared" si="88"/>
        <v>45597</v>
      </c>
      <c r="M736" s="20">
        <f t="shared" si="89"/>
        <v>20</v>
      </c>
      <c r="N736" s="20">
        <f t="shared" si="90"/>
        <v>0</v>
      </c>
      <c r="O736" s="20">
        <f t="shared" si="91"/>
        <v>1</v>
      </c>
      <c r="P736" s="22">
        <f t="shared" si="92"/>
        <v>108.87</v>
      </c>
      <c r="Q736" s="22">
        <f>G736*INDEX(Assumptions!$B$8:$B$16,MATCH(F736,Assumptions!$A$8:$A$16,0))</f>
        <v>55.534500000000001</v>
      </c>
      <c r="R736" s="22">
        <f>H736*Assumptions!$B$3</f>
        <v>12.431999999999999</v>
      </c>
      <c r="S736" s="22">
        <f t="shared" si="93"/>
        <v>20.183500000000006</v>
      </c>
      <c r="T736" s="20" t="str">
        <f t="shared" si="94"/>
        <v>15-21 days</v>
      </c>
    </row>
    <row r="737" spans="1:20" x14ac:dyDescent="0.3">
      <c r="A737" s="20" t="s">
        <v>803</v>
      </c>
      <c r="B737" s="20" t="s">
        <v>156</v>
      </c>
      <c r="C737" s="21">
        <v>45623</v>
      </c>
      <c r="D737" s="21">
        <v>45660</v>
      </c>
      <c r="E737" s="21">
        <v>45648</v>
      </c>
      <c r="F737" s="20" t="s">
        <v>59</v>
      </c>
      <c r="G737" s="22">
        <v>81.47</v>
      </c>
      <c r="H737" s="22">
        <v>30.4</v>
      </c>
      <c r="I737" s="20" t="s">
        <v>45</v>
      </c>
      <c r="J737" s="20">
        <v>2</v>
      </c>
      <c r="K737" s="20" t="s">
        <v>46</v>
      </c>
      <c r="L737" s="23">
        <f t="shared" si="88"/>
        <v>45597</v>
      </c>
      <c r="M737" s="20">
        <f t="shared" si="89"/>
        <v>37</v>
      </c>
      <c r="N737" s="20">
        <f t="shared" si="90"/>
        <v>12</v>
      </c>
      <c r="O737" s="20">
        <f t="shared" si="91"/>
        <v>0</v>
      </c>
      <c r="P737" s="22">
        <f t="shared" si="92"/>
        <v>111.87</v>
      </c>
      <c r="Q737" s="22">
        <f>G737*INDEX(Assumptions!$B$8:$B$16,MATCH(F737,Assumptions!$A$8:$A$16,0))</f>
        <v>52.140799999999999</v>
      </c>
      <c r="R737" s="22">
        <f>H737*Assumptions!$B$3</f>
        <v>18.239999999999998</v>
      </c>
      <c r="S737" s="22">
        <f t="shared" si="93"/>
        <v>11.089200000000002</v>
      </c>
      <c r="T737" s="20" t="str">
        <f t="shared" si="94"/>
        <v>22+ days</v>
      </c>
    </row>
    <row r="738" spans="1:20" x14ac:dyDescent="0.3">
      <c r="A738" s="20" t="s">
        <v>804</v>
      </c>
      <c r="B738" s="20" t="s">
        <v>62</v>
      </c>
      <c r="C738" s="21">
        <v>45624</v>
      </c>
      <c r="D738" s="21">
        <v>45635</v>
      </c>
      <c r="E738" s="21">
        <v>45642</v>
      </c>
      <c r="F738" s="20" t="s">
        <v>111</v>
      </c>
      <c r="G738" s="22">
        <v>128.47999999999999</v>
      </c>
      <c r="H738" s="22">
        <v>30.2</v>
      </c>
      <c r="I738" s="20" t="s">
        <v>60</v>
      </c>
      <c r="J738" s="20">
        <v>5</v>
      </c>
      <c r="K738" s="20" t="s">
        <v>46</v>
      </c>
      <c r="L738" s="23">
        <f t="shared" si="88"/>
        <v>45597</v>
      </c>
      <c r="M738" s="20">
        <f t="shared" si="89"/>
        <v>11</v>
      </c>
      <c r="N738" s="20">
        <f t="shared" si="90"/>
        <v>0</v>
      </c>
      <c r="O738" s="20">
        <f t="shared" si="91"/>
        <v>1</v>
      </c>
      <c r="P738" s="22">
        <f t="shared" si="92"/>
        <v>158.67999999999998</v>
      </c>
      <c r="Q738" s="22">
        <f>G738*INDEX(Assumptions!$B$8:$B$16,MATCH(F738,Assumptions!$A$8:$A$16,0))</f>
        <v>80.942399999999992</v>
      </c>
      <c r="R738" s="22">
        <f>H738*Assumptions!$B$3</f>
        <v>18.119999999999997</v>
      </c>
      <c r="S738" s="22">
        <f t="shared" si="93"/>
        <v>29.4176</v>
      </c>
      <c r="T738" s="20" t="str">
        <f t="shared" si="94"/>
        <v>8-14 days</v>
      </c>
    </row>
    <row r="739" spans="1:20" x14ac:dyDescent="0.3">
      <c r="A739" s="20" t="s">
        <v>805</v>
      </c>
      <c r="B739" s="20" t="s">
        <v>134</v>
      </c>
      <c r="C739" s="21">
        <v>45624</v>
      </c>
      <c r="D739" s="21">
        <v>45637</v>
      </c>
      <c r="E739" s="21">
        <v>45645</v>
      </c>
      <c r="F739" s="20" t="s">
        <v>59</v>
      </c>
      <c r="G739" s="22">
        <v>91.63</v>
      </c>
      <c r="H739" s="22">
        <v>19.079999999999998</v>
      </c>
      <c r="I739" s="20" t="s">
        <v>60</v>
      </c>
      <c r="J739" s="20">
        <v>4</v>
      </c>
      <c r="K739" s="20" t="s">
        <v>46</v>
      </c>
      <c r="L739" s="23">
        <f t="shared" si="88"/>
        <v>45597</v>
      </c>
      <c r="M739" s="20">
        <f t="shared" si="89"/>
        <v>13</v>
      </c>
      <c r="N739" s="20">
        <f t="shared" si="90"/>
        <v>0</v>
      </c>
      <c r="O739" s="20">
        <f t="shared" si="91"/>
        <v>1</v>
      </c>
      <c r="P739" s="22">
        <f t="shared" si="92"/>
        <v>110.71</v>
      </c>
      <c r="Q739" s="22">
        <f>G739*INDEX(Assumptions!$B$8:$B$16,MATCH(F739,Assumptions!$A$8:$A$16,0))</f>
        <v>58.6432</v>
      </c>
      <c r="R739" s="22">
        <f>H739*Assumptions!$B$3</f>
        <v>11.447999999999999</v>
      </c>
      <c r="S739" s="22">
        <f t="shared" si="93"/>
        <v>21.538799999999995</v>
      </c>
      <c r="T739" s="20" t="str">
        <f t="shared" si="94"/>
        <v>8-14 days</v>
      </c>
    </row>
    <row r="740" spans="1:20" x14ac:dyDescent="0.3">
      <c r="A740" s="20" t="s">
        <v>806</v>
      </c>
      <c r="B740" s="20" t="s">
        <v>55</v>
      </c>
      <c r="C740" s="21">
        <v>45624</v>
      </c>
      <c r="D740" s="21">
        <v>45635</v>
      </c>
      <c r="E740" s="21">
        <v>45651</v>
      </c>
      <c r="F740" s="20" t="s">
        <v>57</v>
      </c>
      <c r="G740" s="22">
        <v>151.07</v>
      </c>
      <c r="H740" s="22">
        <v>23.55</v>
      </c>
      <c r="I740" s="20" t="s">
        <v>45</v>
      </c>
      <c r="J740" s="20">
        <v>4</v>
      </c>
      <c r="K740" s="20" t="s">
        <v>46</v>
      </c>
      <c r="L740" s="23">
        <f t="shared" si="88"/>
        <v>45597</v>
      </c>
      <c r="M740" s="20">
        <f t="shared" si="89"/>
        <v>11</v>
      </c>
      <c r="N740" s="20">
        <f t="shared" si="90"/>
        <v>0</v>
      </c>
      <c r="O740" s="20">
        <f t="shared" si="91"/>
        <v>1</v>
      </c>
      <c r="P740" s="22">
        <f t="shared" si="92"/>
        <v>174.62</v>
      </c>
      <c r="Q740" s="22">
        <f>G740*INDEX(Assumptions!$B$8:$B$16,MATCH(F740,Assumptions!$A$8:$A$16,0))</f>
        <v>102.72760000000001</v>
      </c>
      <c r="R740" s="22">
        <f>H740*Assumptions!$B$3</f>
        <v>14.13</v>
      </c>
      <c r="S740" s="22">
        <f t="shared" si="93"/>
        <v>34.212399999999981</v>
      </c>
      <c r="T740" s="20" t="str">
        <f t="shared" si="94"/>
        <v>8-14 days</v>
      </c>
    </row>
    <row r="741" spans="1:20" x14ac:dyDescent="0.3">
      <c r="A741" s="20" t="s">
        <v>807</v>
      </c>
      <c r="B741" s="20" t="s">
        <v>19</v>
      </c>
      <c r="C741" s="21">
        <v>45624</v>
      </c>
      <c r="D741" s="21">
        <v>45637</v>
      </c>
      <c r="E741" s="21">
        <v>45637</v>
      </c>
      <c r="F741" s="20" t="s">
        <v>64</v>
      </c>
      <c r="G741" s="22">
        <v>87.38</v>
      </c>
      <c r="H741" s="22">
        <v>14.42</v>
      </c>
      <c r="I741" s="20" t="s">
        <v>45</v>
      </c>
      <c r="J741" s="20">
        <v>4</v>
      </c>
      <c r="K741" s="20" t="s">
        <v>46</v>
      </c>
      <c r="L741" s="23">
        <f t="shared" si="88"/>
        <v>45597</v>
      </c>
      <c r="M741" s="20">
        <f t="shared" si="89"/>
        <v>13</v>
      </c>
      <c r="N741" s="20">
        <f t="shared" si="90"/>
        <v>0</v>
      </c>
      <c r="O741" s="20">
        <f t="shared" si="91"/>
        <v>1</v>
      </c>
      <c r="P741" s="22">
        <f t="shared" si="92"/>
        <v>101.8</v>
      </c>
      <c r="Q741" s="22">
        <f>G741*INDEX(Assumptions!$B$8:$B$16,MATCH(F741,Assumptions!$A$8:$A$16,0))</f>
        <v>57.6708</v>
      </c>
      <c r="R741" s="22">
        <f>H741*Assumptions!$B$3</f>
        <v>8.6519999999999992</v>
      </c>
      <c r="S741" s="22">
        <f t="shared" si="93"/>
        <v>21.057199999999995</v>
      </c>
      <c r="T741" s="20" t="str">
        <f t="shared" si="94"/>
        <v>8-14 days</v>
      </c>
    </row>
    <row r="742" spans="1:20" x14ac:dyDescent="0.3">
      <c r="A742" s="20" t="s">
        <v>808</v>
      </c>
      <c r="B742" s="20" t="s">
        <v>156</v>
      </c>
      <c r="C742" s="21">
        <v>45624</v>
      </c>
      <c r="D742" s="21">
        <v>45634</v>
      </c>
      <c r="E742" s="21">
        <v>45646</v>
      </c>
      <c r="F742" s="20" t="s">
        <v>53</v>
      </c>
      <c r="G742" s="22">
        <v>177.83</v>
      </c>
      <c r="H742" s="22">
        <v>24.79</v>
      </c>
      <c r="I742" s="20" t="s">
        <v>60</v>
      </c>
      <c r="J742" s="20">
        <v>5</v>
      </c>
      <c r="K742" s="20" t="s">
        <v>46</v>
      </c>
      <c r="L742" s="23">
        <f t="shared" si="88"/>
        <v>45597</v>
      </c>
      <c r="M742" s="20">
        <f t="shared" si="89"/>
        <v>10</v>
      </c>
      <c r="N742" s="20">
        <f t="shared" si="90"/>
        <v>0</v>
      </c>
      <c r="O742" s="20">
        <f t="shared" si="91"/>
        <v>1</v>
      </c>
      <c r="P742" s="22">
        <f t="shared" si="92"/>
        <v>202.62</v>
      </c>
      <c r="Q742" s="22">
        <f>G742*INDEX(Assumptions!$B$8:$B$16,MATCH(F742,Assumptions!$A$8:$A$16,0))</f>
        <v>131.5942</v>
      </c>
      <c r="R742" s="22">
        <f>H742*Assumptions!$B$3</f>
        <v>14.873999999999999</v>
      </c>
      <c r="S742" s="22">
        <f t="shared" si="93"/>
        <v>31.361800000000013</v>
      </c>
      <c r="T742" s="20" t="str">
        <f t="shared" si="94"/>
        <v>8-14 days</v>
      </c>
    </row>
    <row r="743" spans="1:20" x14ac:dyDescent="0.3">
      <c r="A743" s="20" t="s">
        <v>809</v>
      </c>
      <c r="B743" s="20" t="s">
        <v>62</v>
      </c>
      <c r="C743" s="21">
        <v>45624</v>
      </c>
      <c r="D743" s="21">
        <v>45633</v>
      </c>
      <c r="E743" s="21">
        <v>45646</v>
      </c>
      <c r="F743" s="20" t="s">
        <v>111</v>
      </c>
      <c r="G743" s="22">
        <v>34.020000000000003</v>
      </c>
      <c r="H743" s="22">
        <v>18.579999999999998</v>
      </c>
      <c r="I743" s="20" t="s">
        <v>60</v>
      </c>
      <c r="J743" s="20">
        <v>5</v>
      </c>
      <c r="K743" s="20" t="s">
        <v>46</v>
      </c>
      <c r="L743" s="23">
        <f t="shared" si="88"/>
        <v>45597</v>
      </c>
      <c r="M743" s="20">
        <f t="shared" si="89"/>
        <v>9</v>
      </c>
      <c r="N743" s="20">
        <f t="shared" si="90"/>
        <v>0</v>
      </c>
      <c r="O743" s="20">
        <f t="shared" si="91"/>
        <v>1</v>
      </c>
      <c r="P743" s="22">
        <f t="shared" si="92"/>
        <v>52.6</v>
      </c>
      <c r="Q743" s="22">
        <f>G743*INDEX(Assumptions!$B$8:$B$16,MATCH(F743,Assumptions!$A$8:$A$16,0))</f>
        <v>21.432600000000001</v>
      </c>
      <c r="R743" s="22">
        <f>H743*Assumptions!$B$3</f>
        <v>11.147999999999998</v>
      </c>
      <c r="S743" s="22">
        <f t="shared" si="93"/>
        <v>1.4394000000000045</v>
      </c>
      <c r="T743" s="20" t="str">
        <f t="shared" si="94"/>
        <v>8-14 days</v>
      </c>
    </row>
    <row r="744" spans="1:20" x14ac:dyDescent="0.3">
      <c r="A744" s="20" t="s">
        <v>810</v>
      </c>
      <c r="B744" s="20" t="s">
        <v>19</v>
      </c>
      <c r="C744" s="21">
        <v>45624</v>
      </c>
      <c r="D744" s="21">
        <v>45636</v>
      </c>
      <c r="E744" s="21">
        <v>45642</v>
      </c>
      <c r="F744" s="20" t="s">
        <v>67</v>
      </c>
      <c r="G744" s="22">
        <v>85.62</v>
      </c>
      <c r="H744" s="22">
        <v>19.55</v>
      </c>
      <c r="I744" s="20" t="s">
        <v>45</v>
      </c>
      <c r="J744" s="20">
        <v>3</v>
      </c>
      <c r="K744" s="20" t="s">
        <v>46</v>
      </c>
      <c r="L744" s="23">
        <f t="shared" si="88"/>
        <v>45597</v>
      </c>
      <c r="M744" s="20">
        <f t="shared" si="89"/>
        <v>12</v>
      </c>
      <c r="N744" s="20">
        <f t="shared" si="90"/>
        <v>0</v>
      </c>
      <c r="O744" s="20">
        <f t="shared" si="91"/>
        <v>1</v>
      </c>
      <c r="P744" s="22">
        <f t="shared" si="92"/>
        <v>105.17</v>
      </c>
      <c r="Q744" s="22">
        <f>G744*INDEX(Assumptions!$B$8:$B$16,MATCH(F744,Assumptions!$A$8:$A$16,0))</f>
        <v>53.084400000000002</v>
      </c>
      <c r="R744" s="22">
        <f>H744*Assumptions!$B$3</f>
        <v>11.73</v>
      </c>
      <c r="S744" s="22">
        <f t="shared" si="93"/>
        <v>20.805600000000002</v>
      </c>
      <c r="T744" s="20" t="str">
        <f t="shared" si="94"/>
        <v>8-14 days</v>
      </c>
    </row>
    <row r="745" spans="1:20" x14ac:dyDescent="0.3">
      <c r="A745" s="20" t="s">
        <v>811</v>
      </c>
      <c r="B745" s="20" t="s">
        <v>19</v>
      </c>
      <c r="C745" s="21">
        <v>45625</v>
      </c>
      <c r="D745" s="21">
        <v>45631</v>
      </c>
      <c r="E745" s="21">
        <v>45639</v>
      </c>
      <c r="F745" s="20" t="s">
        <v>111</v>
      </c>
      <c r="G745" s="22">
        <v>43.09</v>
      </c>
      <c r="H745" s="22">
        <v>17.809999999999999</v>
      </c>
      <c r="I745" s="20" t="s">
        <v>45</v>
      </c>
      <c r="J745" s="20">
        <v>5</v>
      </c>
      <c r="K745" s="20" t="s">
        <v>46</v>
      </c>
      <c r="L745" s="23">
        <f t="shared" si="88"/>
        <v>45597</v>
      </c>
      <c r="M745" s="20">
        <f t="shared" si="89"/>
        <v>6</v>
      </c>
      <c r="N745" s="20">
        <f t="shared" si="90"/>
        <v>0</v>
      </c>
      <c r="O745" s="20">
        <f t="shared" si="91"/>
        <v>1</v>
      </c>
      <c r="P745" s="22">
        <f t="shared" si="92"/>
        <v>60.900000000000006</v>
      </c>
      <c r="Q745" s="22">
        <f>G745*INDEX(Assumptions!$B$8:$B$16,MATCH(F745,Assumptions!$A$8:$A$16,0))</f>
        <v>27.146700000000003</v>
      </c>
      <c r="R745" s="22">
        <f>H745*Assumptions!$B$3</f>
        <v>10.685999999999998</v>
      </c>
      <c r="S745" s="22">
        <f t="shared" si="93"/>
        <v>5.2573000000000025</v>
      </c>
      <c r="T745" s="20" t="str">
        <f t="shared" si="94"/>
        <v>0-7 days</v>
      </c>
    </row>
    <row r="746" spans="1:20" x14ac:dyDescent="0.3">
      <c r="A746" s="20" t="s">
        <v>812</v>
      </c>
      <c r="B746" s="20" t="s">
        <v>103</v>
      </c>
      <c r="C746" s="21">
        <v>45625</v>
      </c>
      <c r="D746" s="21">
        <v>45638</v>
      </c>
      <c r="E746" s="21">
        <v>45647</v>
      </c>
      <c r="F746" s="20" t="s">
        <v>44</v>
      </c>
      <c r="G746" s="22">
        <v>79.23</v>
      </c>
      <c r="H746" s="22">
        <v>26.4</v>
      </c>
      <c r="I746" s="20" t="s">
        <v>45</v>
      </c>
      <c r="J746" s="20">
        <v>4</v>
      </c>
      <c r="K746" s="20" t="s">
        <v>46</v>
      </c>
      <c r="L746" s="23">
        <f t="shared" si="88"/>
        <v>45597</v>
      </c>
      <c r="M746" s="20">
        <f t="shared" si="89"/>
        <v>13</v>
      </c>
      <c r="N746" s="20">
        <f t="shared" si="90"/>
        <v>0</v>
      </c>
      <c r="O746" s="20">
        <f t="shared" si="91"/>
        <v>1</v>
      </c>
      <c r="P746" s="22">
        <f t="shared" si="92"/>
        <v>105.63</v>
      </c>
      <c r="Q746" s="22">
        <f>G746*INDEX(Assumptions!$B$8:$B$16,MATCH(F746,Assumptions!$A$8:$A$16,0))</f>
        <v>47.538000000000004</v>
      </c>
      <c r="R746" s="22">
        <f>H746*Assumptions!$B$3</f>
        <v>15.839999999999998</v>
      </c>
      <c r="S746" s="22">
        <f t="shared" si="93"/>
        <v>15.852000000000002</v>
      </c>
      <c r="T746" s="20" t="str">
        <f t="shared" si="94"/>
        <v>8-14 days</v>
      </c>
    </row>
    <row r="747" spans="1:20" x14ac:dyDescent="0.3">
      <c r="A747" s="20" t="s">
        <v>813</v>
      </c>
      <c r="B747" s="20" t="s">
        <v>62</v>
      </c>
      <c r="C747" s="21">
        <v>45626</v>
      </c>
      <c r="D747" s="21">
        <v>45640</v>
      </c>
      <c r="E747" s="21">
        <v>45647</v>
      </c>
      <c r="F747" s="20" t="s">
        <v>49</v>
      </c>
      <c r="G747" s="22">
        <v>43.71</v>
      </c>
      <c r="H747" s="22">
        <v>24.59</v>
      </c>
      <c r="I747" s="20" t="s">
        <v>60</v>
      </c>
      <c r="J747" s="20">
        <v>5</v>
      </c>
      <c r="K747" s="20" t="s">
        <v>46</v>
      </c>
      <c r="L747" s="23">
        <f t="shared" si="88"/>
        <v>45597</v>
      </c>
      <c r="M747" s="20">
        <f t="shared" si="89"/>
        <v>14</v>
      </c>
      <c r="N747" s="20">
        <f t="shared" si="90"/>
        <v>0</v>
      </c>
      <c r="O747" s="20">
        <f t="shared" si="91"/>
        <v>1</v>
      </c>
      <c r="P747" s="22">
        <f t="shared" si="92"/>
        <v>68.3</v>
      </c>
      <c r="Q747" s="22">
        <f>G747*INDEX(Assumptions!$B$8:$B$16,MATCH(F747,Assumptions!$A$8:$A$16,0))</f>
        <v>25.351799999999997</v>
      </c>
      <c r="R747" s="22">
        <f>H747*Assumptions!$B$3</f>
        <v>14.754</v>
      </c>
      <c r="S747" s="22">
        <f t="shared" si="93"/>
        <v>3.6042000000000041</v>
      </c>
      <c r="T747" s="20" t="str">
        <f t="shared" si="94"/>
        <v>8-14 days</v>
      </c>
    </row>
    <row r="748" spans="1:20" x14ac:dyDescent="0.3">
      <c r="A748" s="20" t="s">
        <v>814</v>
      </c>
      <c r="B748" s="20" t="s">
        <v>156</v>
      </c>
      <c r="C748" s="21">
        <v>45626</v>
      </c>
      <c r="D748" s="21">
        <v>45635</v>
      </c>
      <c r="E748" s="21">
        <v>45647</v>
      </c>
      <c r="F748" s="20" t="s">
        <v>53</v>
      </c>
      <c r="G748" s="22">
        <v>274.77999999999997</v>
      </c>
      <c r="H748" s="22">
        <v>26.6</v>
      </c>
      <c r="I748" s="20" t="s">
        <v>60</v>
      </c>
      <c r="J748" s="20">
        <v>5</v>
      </c>
      <c r="K748" s="20" t="s">
        <v>46</v>
      </c>
      <c r="L748" s="23">
        <f t="shared" si="88"/>
        <v>45597</v>
      </c>
      <c r="M748" s="20">
        <f t="shared" si="89"/>
        <v>9</v>
      </c>
      <c r="N748" s="20">
        <f t="shared" si="90"/>
        <v>0</v>
      </c>
      <c r="O748" s="20">
        <f t="shared" si="91"/>
        <v>1</v>
      </c>
      <c r="P748" s="22">
        <f t="shared" si="92"/>
        <v>301.38</v>
      </c>
      <c r="Q748" s="22">
        <f>G748*INDEX(Assumptions!$B$8:$B$16,MATCH(F748,Assumptions!$A$8:$A$16,0))</f>
        <v>203.33719999999997</v>
      </c>
      <c r="R748" s="22">
        <f>H748*Assumptions!$B$3</f>
        <v>15.96</v>
      </c>
      <c r="S748" s="22">
        <f t="shared" si="93"/>
        <v>55.482800000000005</v>
      </c>
      <c r="T748" s="20" t="str">
        <f t="shared" si="94"/>
        <v>8-14 days</v>
      </c>
    </row>
    <row r="749" spans="1:20" x14ac:dyDescent="0.3">
      <c r="A749" s="20" t="s">
        <v>815</v>
      </c>
      <c r="B749" s="20" t="s">
        <v>93</v>
      </c>
      <c r="C749" s="21">
        <v>45627</v>
      </c>
      <c r="D749" s="21">
        <v>45655</v>
      </c>
      <c r="E749" s="21">
        <v>45658</v>
      </c>
      <c r="F749" s="20" t="s">
        <v>49</v>
      </c>
      <c r="G749" s="22">
        <v>72.25</v>
      </c>
      <c r="H749" s="22">
        <v>27.94</v>
      </c>
      <c r="I749" s="20" t="s">
        <v>45</v>
      </c>
      <c r="J749" s="20">
        <v>4</v>
      </c>
      <c r="K749" s="20" t="s">
        <v>46</v>
      </c>
      <c r="L749" s="23">
        <f t="shared" si="88"/>
        <v>45627</v>
      </c>
      <c r="M749" s="20">
        <f t="shared" si="89"/>
        <v>28</v>
      </c>
      <c r="N749" s="20">
        <f t="shared" si="90"/>
        <v>0</v>
      </c>
      <c r="O749" s="20">
        <f t="shared" si="91"/>
        <v>1</v>
      </c>
      <c r="P749" s="22">
        <f t="shared" si="92"/>
        <v>100.19</v>
      </c>
      <c r="Q749" s="22">
        <f>G749*INDEX(Assumptions!$B$8:$B$16,MATCH(F749,Assumptions!$A$8:$A$16,0))</f>
        <v>41.904999999999994</v>
      </c>
      <c r="R749" s="22">
        <f>H749*Assumptions!$B$3</f>
        <v>16.763999999999999</v>
      </c>
      <c r="S749" s="22">
        <f t="shared" si="93"/>
        <v>13.581000000000007</v>
      </c>
      <c r="T749" s="20" t="str">
        <f t="shared" si="94"/>
        <v>22+ days</v>
      </c>
    </row>
    <row r="750" spans="1:20" x14ac:dyDescent="0.3">
      <c r="A750" s="20" t="s">
        <v>816</v>
      </c>
      <c r="B750" s="20" t="s">
        <v>93</v>
      </c>
      <c r="C750" s="21">
        <v>45627</v>
      </c>
      <c r="D750" s="21">
        <v>45647</v>
      </c>
      <c r="E750" s="21">
        <v>45656</v>
      </c>
      <c r="F750" s="20" t="s">
        <v>44</v>
      </c>
      <c r="G750" s="22">
        <v>56.34</v>
      </c>
      <c r="H750" s="22">
        <v>41.2</v>
      </c>
      <c r="I750" s="20" t="s">
        <v>45</v>
      </c>
      <c r="J750" s="20">
        <v>4</v>
      </c>
      <c r="K750" s="20" t="s">
        <v>46</v>
      </c>
      <c r="L750" s="23">
        <f t="shared" si="88"/>
        <v>45627</v>
      </c>
      <c r="M750" s="20">
        <f t="shared" si="89"/>
        <v>20</v>
      </c>
      <c r="N750" s="20">
        <f t="shared" si="90"/>
        <v>0</v>
      </c>
      <c r="O750" s="20">
        <f t="shared" si="91"/>
        <v>1</v>
      </c>
      <c r="P750" s="22">
        <f t="shared" si="92"/>
        <v>97.54</v>
      </c>
      <c r="Q750" s="22">
        <f>G750*INDEX(Assumptions!$B$8:$B$16,MATCH(F750,Assumptions!$A$8:$A$16,0))</f>
        <v>33.804000000000002</v>
      </c>
      <c r="R750" s="22">
        <f>H750*Assumptions!$B$3</f>
        <v>24.720000000000002</v>
      </c>
      <c r="S750" s="22">
        <f t="shared" si="93"/>
        <v>-2.1840000000000011</v>
      </c>
      <c r="T750" s="20" t="str">
        <f t="shared" si="94"/>
        <v>15-21 days</v>
      </c>
    </row>
    <row r="751" spans="1:20" x14ac:dyDescent="0.3">
      <c r="A751" s="20" t="s">
        <v>817</v>
      </c>
      <c r="B751" s="20" t="s">
        <v>19</v>
      </c>
      <c r="C751" s="21">
        <v>45627</v>
      </c>
      <c r="D751" s="21">
        <v>45636</v>
      </c>
      <c r="E751" s="21">
        <v>45644</v>
      </c>
      <c r="F751" s="20" t="s">
        <v>67</v>
      </c>
      <c r="G751" s="22">
        <v>134.53</v>
      </c>
      <c r="H751" s="22">
        <v>16.03</v>
      </c>
      <c r="I751" s="20" t="s">
        <v>45</v>
      </c>
      <c r="J751" s="20">
        <v>5</v>
      </c>
      <c r="K751" s="20" t="s">
        <v>46</v>
      </c>
      <c r="L751" s="23">
        <f t="shared" si="88"/>
        <v>45627</v>
      </c>
      <c r="M751" s="20">
        <f t="shared" si="89"/>
        <v>9</v>
      </c>
      <c r="N751" s="20">
        <f t="shared" si="90"/>
        <v>0</v>
      </c>
      <c r="O751" s="20">
        <f t="shared" si="91"/>
        <v>1</v>
      </c>
      <c r="P751" s="22">
        <f t="shared" si="92"/>
        <v>150.56</v>
      </c>
      <c r="Q751" s="22">
        <f>G751*INDEX(Assumptions!$B$8:$B$16,MATCH(F751,Assumptions!$A$8:$A$16,0))</f>
        <v>83.408600000000007</v>
      </c>
      <c r="R751" s="22">
        <f>H751*Assumptions!$B$3</f>
        <v>9.6180000000000003</v>
      </c>
      <c r="S751" s="22">
        <f t="shared" si="93"/>
        <v>41.503399999999992</v>
      </c>
      <c r="T751" s="20" t="str">
        <f t="shared" si="94"/>
        <v>8-14 days</v>
      </c>
    </row>
    <row r="752" spans="1:20" x14ac:dyDescent="0.3">
      <c r="A752" s="20" t="s">
        <v>818</v>
      </c>
      <c r="B752" s="20" t="s">
        <v>19</v>
      </c>
      <c r="C752" s="21">
        <v>45627</v>
      </c>
      <c r="D752" s="21">
        <v>45635</v>
      </c>
      <c r="E752" s="21">
        <v>45642</v>
      </c>
      <c r="F752" s="20" t="s">
        <v>79</v>
      </c>
      <c r="G752" s="22">
        <v>85.6</v>
      </c>
      <c r="H752" s="22">
        <v>19.55</v>
      </c>
      <c r="I752" s="20" t="s">
        <v>45</v>
      </c>
      <c r="J752" s="20">
        <v>3</v>
      </c>
      <c r="K752" s="20" t="s">
        <v>46</v>
      </c>
      <c r="L752" s="23">
        <f t="shared" si="88"/>
        <v>45627</v>
      </c>
      <c r="M752" s="20">
        <f t="shared" si="89"/>
        <v>8</v>
      </c>
      <c r="N752" s="20">
        <f t="shared" si="90"/>
        <v>0</v>
      </c>
      <c r="O752" s="20">
        <f t="shared" si="91"/>
        <v>1</v>
      </c>
      <c r="P752" s="22">
        <f t="shared" si="92"/>
        <v>105.14999999999999</v>
      </c>
      <c r="Q752" s="22">
        <f>G752*INDEX(Assumptions!$B$8:$B$16,MATCH(F752,Assumptions!$A$8:$A$16,0))</f>
        <v>59.919999999999995</v>
      </c>
      <c r="R752" s="22">
        <f>H752*Assumptions!$B$3</f>
        <v>11.73</v>
      </c>
      <c r="S752" s="22">
        <f t="shared" si="93"/>
        <v>13.95</v>
      </c>
      <c r="T752" s="20" t="str">
        <f t="shared" si="94"/>
        <v>8-14 days</v>
      </c>
    </row>
    <row r="753" spans="1:20" x14ac:dyDescent="0.3">
      <c r="A753" s="20" t="s">
        <v>819</v>
      </c>
      <c r="B753" s="20" t="s">
        <v>174</v>
      </c>
      <c r="C753" s="21">
        <v>45627</v>
      </c>
      <c r="D753" s="21">
        <v>45658</v>
      </c>
      <c r="E753" s="21">
        <v>45659</v>
      </c>
      <c r="F753" s="20" t="s">
        <v>111</v>
      </c>
      <c r="G753" s="22">
        <v>301.54000000000002</v>
      </c>
      <c r="H753" s="22">
        <v>44.31</v>
      </c>
      <c r="I753" s="20" t="s">
        <v>45</v>
      </c>
      <c r="J753" s="20">
        <v>3</v>
      </c>
      <c r="K753" s="20" t="s">
        <v>46</v>
      </c>
      <c r="L753" s="23">
        <f t="shared" si="88"/>
        <v>45627</v>
      </c>
      <c r="M753" s="20">
        <f t="shared" si="89"/>
        <v>31</v>
      </c>
      <c r="N753" s="20">
        <f t="shared" si="90"/>
        <v>0</v>
      </c>
      <c r="O753" s="20">
        <f t="shared" si="91"/>
        <v>1</v>
      </c>
      <c r="P753" s="22">
        <f t="shared" si="92"/>
        <v>345.85</v>
      </c>
      <c r="Q753" s="22">
        <f>G753*INDEX(Assumptions!$B$8:$B$16,MATCH(F753,Assumptions!$A$8:$A$16,0))</f>
        <v>189.97020000000001</v>
      </c>
      <c r="R753" s="22">
        <f>H753*Assumptions!$B$3</f>
        <v>26.586000000000002</v>
      </c>
      <c r="S753" s="22">
        <f t="shared" si="93"/>
        <v>84.983800000000016</v>
      </c>
      <c r="T753" s="20" t="str">
        <f t="shared" si="94"/>
        <v>22+ days</v>
      </c>
    </row>
    <row r="754" spans="1:20" x14ac:dyDescent="0.3">
      <c r="A754" s="20" t="s">
        <v>820</v>
      </c>
      <c r="B754" s="20" t="s">
        <v>62</v>
      </c>
      <c r="C754" s="21">
        <v>45628</v>
      </c>
      <c r="D754" s="21">
        <v>45639</v>
      </c>
      <c r="E754" s="21">
        <v>45648</v>
      </c>
      <c r="F754" s="20" t="s">
        <v>67</v>
      </c>
      <c r="G754" s="22">
        <v>73.06</v>
      </c>
      <c r="H754" s="22">
        <v>16.739999999999998</v>
      </c>
      <c r="I754" s="20" t="s">
        <v>45</v>
      </c>
      <c r="J754" s="20">
        <v>5</v>
      </c>
      <c r="K754" s="20" t="s">
        <v>46</v>
      </c>
      <c r="L754" s="23">
        <f t="shared" si="88"/>
        <v>45627</v>
      </c>
      <c r="M754" s="20">
        <f t="shared" si="89"/>
        <v>11</v>
      </c>
      <c r="N754" s="20">
        <f t="shared" si="90"/>
        <v>0</v>
      </c>
      <c r="O754" s="20">
        <f t="shared" si="91"/>
        <v>1</v>
      </c>
      <c r="P754" s="22">
        <f t="shared" si="92"/>
        <v>89.8</v>
      </c>
      <c r="Q754" s="22">
        <f>G754*INDEX(Assumptions!$B$8:$B$16,MATCH(F754,Assumptions!$A$8:$A$16,0))</f>
        <v>45.297200000000004</v>
      </c>
      <c r="R754" s="22">
        <f>H754*Assumptions!$B$3</f>
        <v>10.043999999999999</v>
      </c>
      <c r="S754" s="22">
        <f t="shared" si="93"/>
        <v>17.718800000000002</v>
      </c>
      <c r="T754" s="20" t="str">
        <f t="shared" si="94"/>
        <v>8-14 days</v>
      </c>
    </row>
    <row r="755" spans="1:20" x14ac:dyDescent="0.3">
      <c r="A755" s="20" t="s">
        <v>821</v>
      </c>
      <c r="B755" s="20" t="s">
        <v>201</v>
      </c>
      <c r="C755" s="21">
        <v>45628</v>
      </c>
      <c r="D755" s="21">
        <v>45650</v>
      </c>
      <c r="E755" s="21">
        <v>45660</v>
      </c>
      <c r="F755" s="20" t="s">
        <v>67</v>
      </c>
      <c r="G755" s="22">
        <v>125.12</v>
      </c>
      <c r="H755" s="22">
        <v>42.06</v>
      </c>
      <c r="I755" s="20" t="s">
        <v>45</v>
      </c>
      <c r="J755" s="20">
        <v>4</v>
      </c>
      <c r="K755" s="20" t="s">
        <v>46</v>
      </c>
      <c r="L755" s="23">
        <f t="shared" si="88"/>
        <v>45627</v>
      </c>
      <c r="M755" s="20">
        <f t="shared" si="89"/>
        <v>22</v>
      </c>
      <c r="N755" s="20">
        <f t="shared" si="90"/>
        <v>0</v>
      </c>
      <c r="O755" s="20">
        <f t="shared" si="91"/>
        <v>1</v>
      </c>
      <c r="P755" s="22">
        <f t="shared" si="92"/>
        <v>167.18</v>
      </c>
      <c r="Q755" s="22">
        <f>G755*INDEX(Assumptions!$B$8:$B$16,MATCH(F755,Assumptions!$A$8:$A$16,0))</f>
        <v>77.574399999999997</v>
      </c>
      <c r="R755" s="22">
        <f>H755*Assumptions!$B$3</f>
        <v>25.236000000000001</v>
      </c>
      <c r="S755" s="22">
        <f t="shared" si="93"/>
        <v>22.309600000000007</v>
      </c>
      <c r="T755" s="20" t="str">
        <f t="shared" si="94"/>
        <v>22+ days</v>
      </c>
    </row>
    <row r="756" spans="1:20" x14ac:dyDescent="0.3">
      <c r="A756" s="20" t="s">
        <v>822</v>
      </c>
      <c r="B756" s="20" t="s">
        <v>19</v>
      </c>
      <c r="C756" s="21">
        <v>45628</v>
      </c>
      <c r="D756" s="21">
        <v>45640</v>
      </c>
      <c r="E756" s="21">
        <v>45644</v>
      </c>
      <c r="F756" s="20" t="s">
        <v>79</v>
      </c>
      <c r="G756" s="22">
        <v>33.770000000000003</v>
      </c>
      <c r="H756" s="22">
        <v>11.44</v>
      </c>
      <c r="I756" s="20" t="s">
        <v>45</v>
      </c>
      <c r="J756" s="20">
        <v>5</v>
      </c>
      <c r="K756" s="20" t="s">
        <v>46</v>
      </c>
      <c r="L756" s="23">
        <f t="shared" si="88"/>
        <v>45627</v>
      </c>
      <c r="M756" s="20">
        <f t="shared" si="89"/>
        <v>12</v>
      </c>
      <c r="N756" s="20">
        <f t="shared" si="90"/>
        <v>0</v>
      </c>
      <c r="O756" s="20">
        <f t="shared" si="91"/>
        <v>1</v>
      </c>
      <c r="P756" s="22">
        <f t="shared" si="92"/>
        <v>45.21</v>
      </c>
      <c r="Q756" s="22">
        <f>G756*INDEX(Assumptions!$B$8:$B$16,MATCH(F756,Assumptions!$A$8:$A$16,0))</f>
        <v>23.638999999999999</v>
      </c>
      <c r="R756" s="22">
        <f>H756*Assumptions!$B$3</f>
        <v>6.8639999999999999</v>
      </c>
      <c r="S756" s="22">
        <f t="shared" si="93"/>
        <v>3.2670000000000039</v>
      </c>
      <c r="T756" s="20" t="str">
        <f t="shared" si="94"/>
        <v>8-14 days</v>
      </c>
    </row>
    <row r="757" spans="1:20" x14ac:dyDescent="0.3">
      <c r="A757" s="20" t="s">
        <v>823</v>
      </c>
      <c r="B757" s="20" t="s">
        <v>52</v>
      </c>
      <c r="C757" s="21">
        <v>45628</v>
      </c>
      <c r="D757" s="21">
        <v>45648</v>
      </c>
      <c r="E757" s="21">
        <v>45654</v>
      </c>
      <c r="F757" s="20" t="s">
        <v>59</v>
      </c>
      <c r="G757" s="22">
        <v>65.67</v>
      </c>
      <c r="H757" s="22">
        <v>17.899999999999999</v>
      </c>
      <c r="I757" s="20" t="s">
        <v>60</v>
      </c>
      <c r="J757" s="20">
        <v>3</v>
      </c>
      <c r="K757" s="20" t="s">
        <v>46</v>
      </c>
      <c r="L757" s="23">
        <f t="shared" si="88"/>
        <v>45627</v>
      </c>
      <c r="M757" s="20">
        <f t="shared" si="89"/>
        <v>20</v>
      </c>
      <c r="N757" s="20">
        <f t="shared" si="90"/>
        <v>0</v>
      </c>
      <c r="O757" s="20">
        <f t="shared" si="91"/>
        <v>1</v>
      </c>
      <c r="P757" s="22">
        <f t="shared" si="92"/>
        <v>83.57</v>
      </c>
      <c r="Q757" s="22">
        <f>G757*INDEX(Assumptions!$B$8:$B$16,MATCH(F757,Assumptions!$A$8:$A$16,0))</f>
        <v>42.028800000000004</v>
      </c>
      <c r="R757" s="22">
        <f>H757*Assumptions!$B$3</f>
        <v>10.739999999999998</v>
      </c>
      <c r="S757" s="22">
        <f t="shared" si="93"/>
        <v>12.901199999999999</v>
      </c>
      <c r="T757" s="20" t="str">
        <f t="shared" si="94"/>
        <v>15-21 days</v>
      </c>
    </row>
    <row r="758" spans="1:20" x14ac:dyDescent="0.3">
      <c r="A758" s="20" t="s">
        <v>824</v>
      </c>
      <c r="B758" s="20" t="s">
        <v>19</v>
      </c>
      <c r="C758" s="21">
        <v>45628</v>
      </c>
      <c r="D758" s="21">
        <v>45650</v>
      </c>
      <c r="E758" s="21">
        <v>45643</v>
      </c>
      <c r="F758" s="20" t="s">
        <v>57</v>
      </c>
      <c r="G758" s="22">
        <v>203.54</v>
      </c>
      <c r="H758" s="22">
        <v>22.48</v>
      </c>
      <c r="I758" s="20" t="s">
        <v>45</v>
      </c>
      <c r="J758" s="20">
        <v>3</v>
      </c>
      <c r="K758" s="20" t="s">
        <v>46</v>
      </c>
      <c r="L758" s="23">
        <f t="shared" si="88"/>
        <v>45627</v>
      </c>
      <c r="M758" s="20">
        <f t="shared" si="89"/>
        <v>22</v>
      </c>
      <c r="N758" s="20">
        <f t="shared" si="90"/>
        <v>7</v>
      </c>
      <c r="O758" s="20">
        <f t="shared" si="91"/>
        <v>0</v>
      </c>
      <c r="P758" s="22">
        <f t="shared" si="92"/>
        <v>226.01999999999998</v>
      </c>
      <c r="Q758" s="22">
        <f>G758*INDEX(Assumptions!$B$8:$B$16,MATCH(F758,Assumptions!$A$8:$A$16,0))</f>
        <v>138.40720000000002</v>
      </c>
      <c r="R758" s="22">
        <f>H758*Assumptions!$B$3</f>
        <v>13.488</v>
      </c>
      <c r="S758" s="22">
        <f t="shared" si="93"/>
        <v>51.644799999999975</v>
      </c>
      <c r="T758" s="20" t="str">
        <f t="shared" si="94"/>
        <v>22+ days</v>
      </c>
    </row>
    <row r="759" spans="1:20" x14ac:dyDescent="0.3">
      <c r="A759" s="20" t="s">
        <v>825</v>
      </c>
      <c r="B759" s="20" t="s">
        <v>55</v>
      </c>
      <c r="C759" s="21">
        <v>45628</v>
      </c>
      <c r="D759" s="21">
        <v>45644</v>
      </c>
      <c r="E759" s="21">
        <v>45652</v>
      </c>
      <c r="F759" s="20" t="s">
        <v>67</v>
      </c>
      <c r="G759" s="22">
        <v>23.15</v>
      </c>
      <c r="H759" s="22">
        <v>22.6</v>
      </c>
      <c r="I759" s="20" t="s">
        <v>45</v>
      </c>
      <c r="J759" s="20">
        <v>5</v>
      </c>
      <c r="K759" s="20" t="s">
        <v>46</v>
      </c>
      <c r="L759" s="23">
        <f t="shared" si="88"/>
        <v>45627</v>
      </c>
      <c r="M759" s="20">
        <f t="shared" si="89"/>
        <v>16</v>
      </c>
      <c r="N759" s="20">
        <f t="shared" si="90"/>
        <v>0</v>
      </c>
      <c r="O759" s="20">
        <f t="shared" si="91"/>
        <v>1</v>
      </c>
      <c r="P759" s="22">
        <f t="shared" si="92"/>
        <v>45.75</v>
      </c>
      <c r="Q759" s="22">
        <f>G759*INDEX(Assumptions!$B$8:$B$16,MATCH(F759,Assumptions!$A$8:$A$16,0))</f>
        <v>14.353</v>
      </c>
      <c r="R759" s="22">
        <f>H759*Assumptions!$B$3</f>
        <v>13.56</v>
      </c>
      <c r="S759" s="22">
        <f t="shared" si="93"/>
        <v>-4.7630000000000017</v>
      </c>
      <c r="T759" s="20" t="str">
        <f t="shared" si="94"/>
        <v>15-21 days</v>
      </c>
    </row>
    <row r="760" spans="1:20" x14ac:dyDescent="0.3">
      <c r="A760" s="20" t="s">
        <v>826</v>
      </c>
      <c r="B760" s="20" t="s">
        <v>134</v>
      </c>
      <c r="C760" s="21">
        <v>45628</v>
      </c>
      <c r="D760" s="21">
        <v>45639</v>
      </c>
      <c r="E760" s="21">
        <v>45652</v>
      </c>
      <c r="F760" s="20" t="s">
        <v>59</v>
      </c>
      <c r="G760" s="22">
        <v>163.07</v>
      </c>
      <c r="H760" s="22">
        <v>20.170000000000002</v>
      </c>
      <c r="I760" s="20" t="s">
        <v>60</v>
      </c>
      <c r="J760" s="20">
        <v>5</v>
      </c>
      <c r="K760" s="20" t="s">
        <v>46</v>
      </c>
      <c r="L760" s="23">
        <f t="shared" si="88"/>
        <v>45627</v>
      </c>
      <c r="M760" s="20">
        <f t="shared" si="89"/>
        <v>11</v>
      </c>
      <c r="N760" s="20">
        <f t="shared" si="90"/>
        <v>0</v>
      </c>
      <c r="O760" s="20">
        <f t="shared" si="91"/>
        <v>1</v>
      </c>
      <c r="P760" s="22">
        <f t="shared" si="92"/>
        <v>183.24</v>
      </c>
      <c r="Q760" s="22">
        <f>G760*INDEX(Assumptions!$B$8:$B$16,MATCH(F760,Assumptions!$A$8:$A$16,0))</f>
        <v>104.3648</v>
      </c>
      <c r="R760" s="22">
        <f>H760*Assumptions!$B$3</f>
        <v>12.102</v>
      </c>
      <c r="S760" s="22">
        <f t="shared" si="93"/>
        <v>46.603199999999987</v>
      </c>
      <c r="T760" s="20" t="str">
        <f t="shared" si="94"/>
        <v>8-14 days</v>
      </c>
    </row>
    <row r="761" spans="1:20" x14ac:dyDescent="0.3">
      <c r="A761" s="20" t="s">
        <v>827</v>
      </c>
      <c r="B761" s="20" t="s">
        <v>48</v>
      </c>
      <c r="C761" s="21">
        <v>45629</v>
      </c>
      <c r="D761" s="21">
        <v>45642</v>
      </c>
      <c r="E761" s="21">
        <v>45649</v>
      </c>
      <c r="F761" s="20" t="s">
        <v>79</v>
      </c>
      <c r="G761" s="22">
        <v>103.88</v>
      </c>
      <c r="H761" s="22">
        <v>24.56</v>
      </c>
      <c r="I761" s="20" t="s">
        <v>45</v>
      </c>
      <c r="J761" s="20">
        <v>4</v>
      </c>
      <c r="K761" s="20" t="s">
        <v>46</v>
      </c>
      <c r="L761" s="23">
        <f t="shared" si="88"/>
        <v>45627</v>
      </c>
      <c r="M761" s="20">
        <f t="shared" si="89"/>
        <v>13</v>
      </c>
      <c r="N761" s="20">
        <f t="shared" si="90"/>
        <v>0</v>
      </c>
      <c r="O761" s="20">
        <f t="shared" si="91"/>
        <v>1</v>
      </c>
      <c r="P761" s="22">
        <f t="shared" si="92"/>
        <v>128.44</v>
      </c>
      <c r="Q761" s="22">
        <f>G761*INDEX(Assumptions!$B$8:$B$16,MATCH(F761,Assumptions!$A$8:$A$16,0))</f>
        <v>72.715999999999994</v>
      </c>
      <c r="R761" s="22">
        <f>H761*Assumptions!$B$3</f>
        <v>14.735999999999999</v>
      </c>
      <c r="S761" s="22">
        <f t="shared" si="93"/>
        <v>16.428000000000004</v>
      </c>
      <c r="T761" s="20" t="str">
        <f t="shared" si="94"/>
        <v>8-14 days</v>
      </c>
    </row>
    <row r="762" spans="1:20" x14ac:dyDescent="0.3">
      <c r="A762" s="20" t="s">
        <v>828</v>
      </c>
      <c r="B762" s="20" t="s">
        <v>55</v>
      </c>
      <c r="C762" s="21">
        <v>45629</v>
      </c>
      <c r="D762" s="21">
        <v>45644</v>
      </c>
      <c r="E762" s="21">
        <v>45652</v>
      </c>
      <c r="F762" s="20" t="s">
        <v>67</v>
      </c>
      <c r="G762" s="22">
        <v>36.74</v>
      </c>
      <c r="H762" s="22">
        <v>24.85</v>
      </c>
      <c r="I762" s="20" t="s">
        <v>45</v>
      </c>
      <c r="J762" s="20">
        <v>4</v>
      </c>
      <c r="K762" s="20" t="s">
        <v>46</v>
      </c>
      <c r="L762" s="23">
        <f t="shared" si="88"/>
        <v>45627</v>
      </c>
      <c r="M762" s="20">
        <f t="shared" si="89"/>
        <v>15</v>
      </c>
      <c r="N762" s="20">
        <f t="shared" si="90"/>
        <v>0</v>
      </c>
      <c r="O762" s="20">
        <f t="shared" si="91"/>
        <v>1</v>
      </c>
      <c r="P762" s="22">
        <f t="shared" si="92"/>
        <v>61.59</v>
      </c>
      <c r="Q762" s="22">
        <f>G762*INDEX(Assumptions!$B$8:$B$16,MATCH(F762,Assumptions!$A$8:$A$16,0))</f>
        <v>22.7788</v>
      </c>
      <c r="R762" s="22">
        <f>H762*Assumptions!$B$3</f>
        <v>14.91</v>
      </c>
      <c r="S762" s="22">
        <f t="shared" si="93"/>
        <v>-0.94879999999999853</v>
      </c>
      <c r="T762" s="20" t="str">
        <f t="shared" si="94"/>
        <v>15-21 days</v>
      </c>
    </row>
    <row r="763" spans="1:20" x14ac:dyDescent="0.3">
      <c r="A763" s="20" t="s">
        <v>829</v>
      </c>
      <c r="B763" s="20" t="s">
        <v>134</v>
      </c>
      <c r="C763" s="21">
        <v>45629</v>
      </c>
      <c r="D763" s="21">
        <v>45646</v>
      </c>
      <c r="E763" s="21">
        <v>45653</v>
      </c>
      <c r="F763" s="20" t="s">
        <v>49</v>
      </c>
      <c r="G763" s="22">
        <v>133.91999999999999</v>
      </c>
      <c r="H763" s="22">
        <v>25.03</v>
      </c>
      <c r="I763" s="20" t="s">
        <v>50</v>
      </c>
      <c r="J763" s="20">
        <v>5</v>
      </c>
      <c r="K763" s="20" t="s">
        <v>46</v>
      </c>
      <c r="L763" s="23">
        <f t="shared" si="88"/>
        <v>45627</v>
      </c>
      <c r="M763" s="20">
        <f t="shared" si="89"/>
        <v>17</v>
      </c>
      <c r="N763" s="20">
        <f t="shared" si="90"/>
        <v>0</v>
      </c>
      <c r="O763" s="20">
        <f t="shared" si="91"/>
        <v>1</v>
      </c>
      <c r="P763" s="22">
        <f t="shared" si="92"/>
        <v>158.94999999999999</v>
      </c>
      <c r="Q763" s="22">
        <f>G763*INDEX(Assumptions!$B$8:$B$16,MATCH(F763,Assumptions!$A$8:$A$16,0))</f>
        <v>77.673599999999993</v>
      </c>
      <c r="R763" s="22">
        <f>H763*Assumptions!$B$3</f>
        <v>15.018000000000001</v>
      </c>
      <c r="S763" s="22">
        <f t="shared" si="93"/>
        <v>41.228399999999993</v>
      </c>
      <c r="T763" s="20" t="str">
        <f t="shared" si="94"/>
        <v>15-21 days</v>
      </c>
    </row>
    <row r="764" spans="1:20" x14ac:dyDescent="0.3">
      <c r="A764" s="20" t="s">
        <v>830</v>
      </c>
      <c r="B764" s="20" t="s">
        <v>156</v>
      </c>
      <c r="C764" s="21">
        <v>45629</v>
      </c>
      <c r="D764" s="21">
        <v>45641</v>
      </c>
      <c r="E764" s="21">
        <v>45656</v>
      </c>
      <c r="F764" s="20" t="s">
        <v>111</v>
      </c>
      <c r="G764" s="22">
        <v>108.96</v>
      </c>
      <c r="H764" s="22">
        <v>29.26</v>
      </c>
      <c r="I764" s="20" t="s">
        <v>104</v>
      </c>
      <c r="J764" s="20">
        <v>3</v>
      </c>
      <c r="K764" s="20" t="s">
        <v>46</v>
      </c>
      <c r="L764" s="23">
        <f t="shared" si="88"/>
        <v>45627</v>
      </c>
      <c r="M764" s="20">
        <f t="shared" si="89"/>
        <v>12</v>
      </c>
      <c r="N764" s="20">
        <f t="shared" si="90"/>
        <v>0</v>
      </c>
      <c r="O764" s="20">
        <f t="shared" si="91"/>
        <v>1</v>
      </c>
      <c r="P764" s="22">
        <f t="shared" si="92"/>
        <v>138.22</v>
      </c>
      <c r="Q764" s="22">
        <f>G764*INDEX(Assumptions!$B$8:$B$16,MATCH(F764,Assumptions!$A$8:$A$16,0))</f>
        <v>68.644800000000004</v>
      </c>
      <c r="R764" s="22">
        <f>H764*Assumptions!$B$3</f>
        <v>17.556000000000001</v>
      </c>
      <c r="S764" s="22">
        <f t="shared" si="93"/>
        <v>22.759199999999989</v>
      </c>
      <c r="T764" s="20" t="str">
        <f t="shared" si="94"/>
        <v>8-14 days</v>
      </c>
    </row>
    <row r="765" spans="1:20" x14ac:dyDescent="0.3">
      <c r="A765" s="20" t="s">
        <v>831</v>
      </c>
      <c r="B765" s="20" t="s">
        <v>19</v>
      </c>
      <c r="C765" s="21">
        <v>45629</v>
      </c>
      <c r="D765" s="21">
        <v>45635</v>
      </c>
      <c r="E765" s="21">
        <v>45644</v>
      </c>
      <c r="F765" s="20" t="s">
        <v>111</v>
      </c>
      <c r="G765" s="22">
        <v>73.819999999999993</v>
      </c>
      <c r="H765" s="22">
        <v>13.46</v>
      </c>
      <c r="I765" s="20" t="s">
        <v>45</v>
      </c>
      <c r="J765" s="20">
        <v>4</v>
      </c>
      <c r="K765" s="20" t="s">
        <v>46</v>
      </c>
      <c r="L765" s="23">
        <f t="shared" si="88"/>
        <v>45627</v>
      </c>
      <c r="M765" s="20">
        <f t="shared" si="89"/>
        <v>6</v>
      </c>
      <c r="N765" s="20">
        <f t="shared" si="90"/>
        <v>0</v>
      </c>
      <c r="O765" s="20">
        <f t="shared" si="91"/>
        <v>1</v>
      </c>
      <c r="P765" s="22">
        <f t="shared" si="92"/>
        <v>87.28</v>
      </c>
      <c r="Q765" s="22">
        <f>G765*INDEX(Assumptions!$B$8:$B$16,MATCH(F765,Assumptions!$A$8:$A$16,0))</f>
        <v>46.506599999999999</v>
      </c>
      <c r="R765" s="22">
        <f>H765*Assumptions!$B$3</f>
        <v>8.0760000000000005</v>
      </c>
      <c r="S765" s="22">
        <f t="shared" si="93"/>
        <v>19.237399999999994</v>
      </c>
      <c r="T765" s="20" t="str">
        <f t="shared" si="94"/>
        <v>0-7 days</v>
      </c>
    </row>
    <row r="766" spans="1:20" x14ac:dyDescent="0.3">
      <c r="A766" s="20" t="s">
        <v>832</v>
      </c>
      <c r="B766" s="20" t="s">
        <v>19</v>
      </c>
      <c r="C766" s="21">
        <v>45629</v>
      </c>
      <c r="D766" s="21">
        <v>45646</v>
      </c>
      <c r="E766" s="21">
        <v>45644</v>
      </c>
      <c r="F766" s="20" t="s">
        <v>44</v>
      </c>
      <c r="G766" s="22">
        <v>71.459999999999994</v>
      </c>
      <c r="H766" s="22">
        <v>12.91</v>
      </c>
      <c r="I766" s="20" t="s">
        <v>45</v>
      </c>
      <c r="J766" s="20">
        <v>2</v>
      </c>
      <c r="K766" s="20" t="s">
        <v>46</v>
      </c>
      <c r="L766" s="23">
        <f t="shared" si="88"/>
        <v>45627</v>
      </c>
      <c r="M766" s="20">
        <f t="shared" si="89"/>
        <v>17</v>
      </c>
      <c r="N766" s="20">
        <f t="shared" si="90"/>
        <v>2</v>
      </c>
      <c r="O766" s="20">
        <f t="shared" si="91"/>
        <v>0</v>
      </c>
      <c r="P766" s="22">
        <f t="shared" si="92"/>
        <v>84.36999999999999</v>
      </c>
      <c r="Q766" s="22">
        <f>G766*INDEX(Assumptions!$B$8:$B$16,MATCH(F766,Assumptions!$A$8:$A$16,0))</f>
        <v>42.875999999999998</v>
      </c>
      <c r="R766" s="22">
        <f>H766*Assumptions!$B$3</f>
        <v>7.7459999999999996</v>
      </c>
      <c r="S766" s="22">
        <f t="shared" si="93"/>
        <v>20.837999999999997</v>
      </c>
      <c r="T766" s="20" t="str">
        <f t="shared" si="94"/>
        <v>15-21 days</v>
      </c>
    </row>
    <row r="767" spans="1:20" x14ac:dyDescent="0.3">
      <c r="A767" s="20" t="s">
        <v>833</v>
      </c>
      <c r="B767" s="20" t="s">
        <v>134</v>
      </c>
      <c r="C767" s="21">
        <v>45630</v>
      </c>
      <c r="D767" s="21">
        <v>45640</v>
      </c>
      <c r="E767" s="21">
        <v>45656</v>
      </c>
      <c r="F767" s="20" t="s">
        <v>67</v>
      </c>
      <c r="G767" s="22">
        <v>139.91</v>
      </c>
      <c r="H767" s="22">
        <v>26.28</v>
      </c>
      <c r="I767" s="20" t="s">
        <v>45</v>
      </c>
      <c r="J767" s="20">
        <v>5</v>
      </c>
      <c r="K767" s="20" t="s">
        <v>46</v>
      </c>
      <c r="L767" s="23">
        <f t="shared" si="88"/>
        <v>45627</v>
      </c>
      <c r="M767" s="20">
        <f t="shared" si="89"/>
        <v>10</v>
      </c>
      <c r="N767" s="20">
        <f t="shared" si="90"/>
        <v>0</v>
      </c>
      <c r="O767" s="20">
        <f t="shared" si="91"/>
        <v>1</v>
      </c>
      <c r="P767" s="22">
        <f t="shared" si="92"/>
        <v>166.19</v>
      </c>
      <c r="Q767" s="22">
        <f>G767*INDEX(Assumptions!$B$8:$B$16,MATCH(F767,Assumptions!$A$8:$A$16,0))</f>
        <v>86.744199999999992</v>
      </c>
      <c r="R767" s="22">
        <f>H767*Assumptions!$B$3</f>
        <v>15.768000000000001</v>
      </c>
      <c r="S767" s="22">
        <f t="shared" si="93"/>
        <v>37.397800000000004</v>
      </c>
      <c r="T767" s="20" t="str">
        <f t="shared" si="94"/>
        <v>8-14 days</v>
      </c>
    </row>
    <row r="768" spans="1:20" x14ac:dyDescent="0.3">
      <c r="A768" s="20" t="s">
        <v>834</v>
      </c>
      <c r="B768" s="20" t="s">
        <v>19</v>
      </c>
      <c r="C768" s="21">
        <v>45630</v>
      </c>
      <c r="D768" s="21">
        <v>45636</v>
      </c>
      <c r="E768" s="21">
        <v>45648</v>
      </c>
      <c r="F768" s="20" t="s">
        <v>79</v>
      </c>
      <c r="G768" s="22">
        <v>185.3</v>
      </c>
      <c r="H768" s="22">
        <v>23.92</v>
      </c>
      <c r="I768" s="20" t="s">
        <v>45</v>
      </c>
      <c r="J768" s="20">
        <v>5</v>
      </c>
      <c r="K768" s="20" t="s">
        <v>46</v>
      </c>
      <c r="L768" s="23">
        <f t="shared" si="88"/>
        <v>45627</v>
      </c>
      <c r="M768" s="20">
        <f t="shared" si="89"/>
        <v>6</v>
      </c>
      <c r="N768" s="20">
        <f t="shared" si="90"/>
        <v>0</v>
      </c>
      <c r="O768" s="20">
        <f t="shared" si="91"/>
        <v>1</v>
      </c>
      <c r="P768" s="22">
        <f t="shared" si="92"/>
        <v>209.22000000000003</v>
      </c>
      <c r="Q768" s="22">
        <f>G768*INDEX(Assumptions!$B$8:$B$16,MATCH(F768,Assumptions!$A$8:$A$16,0))</f>
        <v>129.71</v>
      </c>
      <c r="R768" s="22">
        <f>H768*Assumptions!$B$3</f>
        <v>14.352</v>
      </c>
      <c r="S768" s="22">
        <f t="shared" si="93"/>
        <v>41.238</v>
      </c>
      <c r="T768" s="20" t="str">
        <f t="shared" si="94"/>
        <v>0-7 days</v>
      </c>
    </row>
    <row r="769" spans="1:20" x14ac:dyDescent="0.3">
      <c r="A769" s="20" t="s">
        <v>835</v>
      </c>
      <c r="B769" s="20" t="s">
        <v>62</v>
      </c>
      <c r="C769" s="21">
        <v>45630</v>
      </c>
      <c r="D769" s="21">
        <v>45638</v>
      </c>
      <c r="E769" s="21">
        <v>45651</v>
      </c>
      <c r="F769" s="20" t="s">
        <v>44</v>
      </c>
      <c r="G769" s="22">
        <v>24.36</v>
      </c>
      <c r="H769" s="22">
        <v>23.44</v>
      </c>
      <c r="I769" s="20" t="s">
        <v>60</v>
      </c>
      <c r="J769" s="20">
        <v>5</v>
      </c>
      <c r="K769" s="20" t="s">
        <v>46</v>
      </c>
      <c r="L769" s="23">
        <f t="shared" si="88"/>
        <v>45627</v>
      </c>
      <c r="M769" s="20">
        <f t="shared" si="89"/>
        <v>8</v>
      </c>
      <c r="N769" s="20">
        <f t="shared" si="90"/>
        <v>0</v>
      </c>
      <c r="O769" s="20">
        <f t="shared" si="91"/>
        <v>1</v>
      </c>
      <c r="P769" s="22">
        <f t="shared" si="92"/>
        <v>47.8</v>
      </c>
      <c r="Q769" s="22">
        <f>G769*INDEX(Assumptions!$B$8:$B$16,MATCH(F769,Assumptions!$A$8:$A$16,0))</f>
        <v>14.616</v>
      </c>
      <c r="R769" s="22">
        <f>H769*Assumptions!$B$3</f>
        <v>14.064</v>
      </c>
      <c r="S769" s="22">
        <f t="shared" si="93"/>
        <v>-4.32</v>
      </c>
      <c r="T769" s="20" t="str">
        <f t="shared" si="94"/>
        <v>8-14 days</v>
      </c>
    </row>
    <row r="770" spans="1:20" x14ac:dyDescent="0.3">
      <c r="A770" s="20" t="s">
        <v>836</v>
      </c>
      <c r="B770" s="20" t="s">
        <v>62</v>
      </c>
      <c r="C770" s="21">
        <v>45630</v>
      </c>
      <c r="D770" s="21">
        <v>45639</v>
      </c>
      <c r="E770" s="21">
        <v>45653</v>
      </c>
      <c r="F770" s="20" t="s">
        <v>49</v>
      </c>
      <c r="G770" s="22">
        <v>72.349999999999994</v>
      </c>
      <c r="H770" s="22">
        <v>20.7</v>
      </c>
      <c r="I770" s="20" t="s">
        <v>45</v>
      </c>
      <c r="J770" s="20">
        <v>4</v>
      </c>
      <c r="K770" s="20" t="s">
        <v>46</v>
      </c>
      <c r="L770" s="23">
        <f t="shared" ref="L770:L833" si="95">DATE(YEAR(C770),MONTH(C770),1)</f>
        <v>45627</v>
      </c>
      <c r="M770" s="20">
        <f t="shared" ref="M770:M833" si="96">D770-C770</f>
        <v>9</v>
      </c>
      <c r="N770" s="20">
        <f t="shared" ref="N770:N833" si="97">MAX(0,D770-E770)</f>
        <v>0</v>
      </c>
      <c r="O770" s="20">
        <f t="shared" ref="O770:O833" si="98">IF(D770&lt;=E770,1,0)</f>
        <v>1</v>
      </c>
      <c r="P770" s="22">
        <f t="shared" ref="P770:P833" si="99">G770+H770</f>
        <v>93.05</v>
      </c>
      <c r="Q770" s="22">
        <f>G770*INDEX(Assumptions!$B$8:$B$16,MATCH(F770,Assumptions!$A$8:$A$16,0))</f>
        <v>41.962999999999994</v>
      </c>
      <c r="R770" s="22">
        <f>H770*Assumptions!$B$3</f>
        <v>12.42</v>
      </c>
      <c r="S770" s="22">
        <f t="shared" ref="S770:S833" si="100">G770-Q770-R770</f>
        <v>17.966999999999999</v>
      </c>
      <c r="T770" s="20" t="str">
        <f t="shared" ref="T770:T833" si="101">IF(M770&lt;=7,"0-7 days",IF(M770&lt;=14,"8-14 days",IF(M770&lt;=21,"15-21 days","22+ days")))</f>
        <v>8-14 days</v>
      </c>
    </row>
    <row r="771" spans="1:20" x14ac:dyDescent="0.3">
      <c r="A771" s="20" t="s">
        <v>837</v>
      </c>
      <c r="B771" s="20" t="s">
        <v>19</v>
      </c>
      <c r="C771" s="21">
        <v>45630</v>
      </c>
      <c r="D771" s="21">
        <v>45634</v>
      </c>
      <c r="E771" s="21">
        <v>45644</v>
      </c>
      <c r="F771" s="20" t="s">
        <v>67</v>
      </c>
      <c r="G771" s="22">
        <v>67.069999999999993</v>
      </c>
      <c r="H771" s="22">
        <v>16.239999999999998</v>
      </c>
      <c r="I771" s="20" t="s">
        <v>45</v>
      </c>
      <c r="J771" s="20">
        <v>4</v>
      </c>
      <c r="K771" s="20" t="s">
        <v>46</v>
      </c>
      <c r="L771" s="23">
        <f t="shared" si="95"/>
        <v>45627</v>
      </c>
      <c r="M771" s="20">
        <f t="shared" si="96"/>
        <v>4</v>
      </c>
      <c r="N771" s="20">
        <f t="shared" si="97"/>
        <v>0</v>
      </c>
      <c r="O771" s="20">
        <f t="shared" si="98"/>
        <v>1</v>
      </c>
      <c r="P771" s="22">
        <f t="shared" si="99"/>
        <v>83.309999999999988</v>
      </c>
      <c r="Q771" s="22">
        <f>G771*INDEX(Assumptions!$B$8:$B$16,MATCH(F771,Assumptions!$A$8:$A$16,0))</f>
        <v>41.583399999999997</v>
      </c>
      <c r="R771" s="22">
        <f>H771*Assumptions!$B$3</f>
        <v>9.743999999999998</v>
      </c>
      <c r="S771" s="22">
        <f t="shared" si="100"/>
        <v>15.742599999999998</v>
      </c>
      <c r="T771" s="20" t="str">
        <f t="shared" si="101"/>
        <v>0-7 days</v>
      </c>
    </row>
    <row r="772" spans="1:20" x14ac:dyDescent="0.3">
      <c r="A772" s="20" t="s">
        <v>838</v>
      </c>
      <c r="B772" s="20" t="s">
        <v>19</v>
      </c>
      <c r="C772" s="21">
        <v>45631</v>
      </c>
      <c r="D772" s="21">
        <v>45650</v>
      </c>
      <c r="E772" s="21">
        <v>45645</v>
      </c>
      <c r="F772" s="20" t="s">
        <v>44</v>
      </c>
      <c r="G772" s="22">
        <v>57.47</v>
      </c>
      <c r="H772" s="22">
        <v>18.45</v>
      </c>
      <c r="I772" s="20" t="s">
        <v>45</v>
      </c>
      <c r="J772" s="20">
        <v>4</v>
      </c>
      <c r="K772" s="20" t="s">
        <v>46</v>
      </c>
      <c r="L772" s="23">
        <f t="shared" si="95"/>
        <v>45627</v>
      </c>
      <c r="M772" s="20">
        <f t="shared" si="96"/>
        <v>19</v>
      </c>
      <c r="N772" s="20">
        <f t="shared" si="97"/>
        <v>5</v>
      </c>
      <c r="O772" s="20">
        <f t="shared" si="98"/>
        <v>0</v>
      </c>
      <c r="P772" s="22">
        <f t="shared" si="99"/>
        <v>75.92</v>
      </c>
      <c r="Q772" s="22">
        <f>G772*INDEX(Assumptions!$B$8:$B$16,MATCH(F772,Assumptions!$A$8:$A$16,0))</f>
        <v>34.481999999999999</v>
      </c>
      <c r="R772" s="22">
        <f>H772*Assumptions!$B$3</f>
        <v>11.069999999999999</v>
      </c>
      <c r="S772" s="22">
        <f t="shared" si="100"/>
        <v>11.918000000000001</v>
      </c>
      <c r="T772" s="20" t="str">
        <f t="shared" si="101"/>
        <v>15-21 days</v>
      </c>
    </row>
    <row r="773" spans="1:20" x14ac:dyDescent="0.3">
      <c r="A773" s="20" t="s">
        <v>839</v>
      </c>
      <c r="B773" s="20" t="s">
        <v>103</v>
      </c>
      <c r="C773" s="21">
        <v>45631</v>
      </c>
      <c r="D773" s="21">
        <v>45642</v>
      </c>
      <c r="E773" s="21">
        <v>45653</v>
      </c>
      <c r="F773" s="20" t="s">
        <v>64</v>
      </c>
      <c r="G773" s="22">
        <v>152.34</v>
      </c>
      <c r="H773" s="22">
        <v>25.6</v>
      </c>
      <c r="I773" s="20" t="s">
        <v>50</v>
      </c>
      <c r="J773" s="20">
        <v>5</v>
      </c>
      <c r="K773" s="20" t="s">
        <v>46</v>
      </c>
      <c r="L773" s="23">
        <f t="shared" si="95"/>
        <v>45627</v>
      </c>
      <c r="M773" s="20">
        <f t="shared" si="96"/>
        <v>11</v>
      </c>
      <c r="N773" s="20">
        <f t="shared" si="97"/>
        <v>0</v>
      </c>
      <c r="O773" s="20">
        <f t="shared" si="98"/>
        <v>1</v>
      </c>
      <c r="P773" s="22">
        <f t="shared" si="99"/>
        <v>177.94</v>
      </c>
      <c r="Q773" s="22">
        <f>G773*INDEX(Assumptions!$B$8:$B$16,MATCH(F773,Assumptions!$A$8:$A$16,0))</f>
        <v>100.54440000000001</v>
      </c>
      <c r="R773" s="22">
        <f>H773*Assumptions!$B$3</f>
        <v>15.36</v>
      </c>
      <c r="S773" s="22">
        <f t="shared" si="100"/>
        <v>36.435599999999994</v>
      </c>
      <c r="T773" s="20" t="str">
        <f t="shared" si="101"/>
        <v>8-14 days</v>
      </c>
    </row>
    <row r="774" spans="1:20" x14ac:dyDescent="0.3">
      <c r="A774" s="20" t="s">
        <v>840</v>
      </c>
      <c r="B774" s="20" t="s">
        <v>19</v>
      </c>
      <c r="C774" s="21">
        <v>45632</v>
      </c>
      <c r="D774" s="21">
        <v>45641</v>
      </c>
      <c r="E774" s="21">
        <v>45644</v>
      </c>
      <c r="F774" s="20" t="s">
        <v>67</v>
      </c>
      <c r="G774" s="22">
        <v>28.83</v>
      </c>
      <c r="H774" s="22">
        <v>16.54</v>
      </c>
      <c r="I774" s="20" t="s">
        <v>60</v>
      </c>
      <c r="J774" s="20">
        <v>4</v>
      </c>
      <c r="K774" s="20" t="s">
        <v>46</v>
      </c>
      <c r="L774" s="23">
        <f t="shared" si="95"/>
        <v>45627</v>
      </c>
      <c r="M774" s="20">
        <f t="shared" si="96"/>
        <v>9</v>
      </c>
      <c r="N774" s="20">
        <f t="shared" si="97"/>
        <v>0</v>
      </c>
      <c r="O774" s="20">
        <f t="shared" si="98"/>
        <v>1</v>
      </c>
      <c r="P774" s="22">
        <f t="shared" si="99"/>
        <v>45.37</v>
      </c>
      <c r="Q774" s="22">
        <f>G774*INDEX(Assumptions!$B$8:$B$16,MATCH(F774,Assumptions!$A$8:$A$16,0))</f>
        <v>17.874599999999997</v>
      </c>
      <c r="R774" s="22">
        <f>H774*Assumptions!$B$3</f>
        <v>9.9239999999999995</v>
      </c>
      <c r="S774" s="22">
        <f t="shared" si="100"/>
        <v>1.0314000000000014</v>
      </c>
      <c r="T774" s="20" t="str">
        <f t="shared" si="101"/>
        <v>8-14 days</v>
      </c>
    </row>
    <row r="775" spans="1:20" x14ac:dyDescent="0.3">
      <c r="A775" s="20" t="s">
        <v>841</v>
      </c>
      <c r="B775" s="20" t="s">
        <v>55</v>
      </c>
      <c r="C775" s="21">
        <v>45633</v>
      </c>
      <c r="D775" s="21">
        <v>45654</v>
      </c>
      <c r="E775" s="21">
        <v>45658</v>
      </c>
      <c r="F775" s="20" t="s">
        <v>67</v>
      </c>
      <c r="G775" s="22">
        <v>158.08000000000001</v>
      </c>
      <c r="H775" s="22">
        <v>24.87</v>
      </c>
      <c r="I775" s="20" t="s">
        <v>45</v>
      </c>
      <c r="J775" s="20">
        <v>2</v>
      </c>
      <c r="K775" s="20" t="s">
        <v>46</v>
      </c>
      <c r="L775" s="23">
        <f t="shared" si="95"/>
        <v>45627</v>
      </c>
      <c r="M775" s="20">
        <f t="shared" si="96"/>
        <v>21</v>
      </c>
      <c r="N775" s="20">
        <f t="shared" si="97"/>
        <v>0</v>
      </c>
      <c r="O775" s="20">
        <f t="shared" si="98"/>
        <v>1</v>
      </c>
      <c r="P775" s="22">
        <f t="shared" si="99"/>
        <v>182.95000000000002</v>
      </c>
      <c r="Q775" s="22">
        <f>G775*INDEX(Assumptions!$B$8:$B$16,MATCH(F775,Assumptions!$A$8:$A$16,0))</f>
        <v>98.009600000000006</v>
      </c>
      <c r="R775" s="22">
        <f>H775*Assumptions!$B$3</f>
        <v>14.922000000000001</v>
      </c>
      <c r="S775" s="22">
        <f t="shared" si="100"/>
        <v>45.148400000000009</v>
      </c>
      <c r="T775" s="20" t="str">
        <f t="shared" si="101"/>
        <v>15-21 days</v>
      </c>
    </row>
    <row r="776" spans="1:20" x14ac:dyDescent="0.3">
      <c r="A776" s="20" t="s">
        <v>842</v>
      </c>
      <c r="B776" s="20" t="s">
        <v>48</v>
      </c>
      <c r="C776" s="21">
        <v>45633</v>
      </c>
      <c r="D776" s="21">
        <v>45657</v>
      </c>
      <c r="E776" s="21">
        <v>45655</v>
      </c>
      <c r="F776" s="20" t="s">
        <v>67</v>
      </c>
      <c r="G776" s="22">
        <v>118.78</v>
      </c>
      <c r="H776" s="22">
        <v>28.52</v>
      </c>
      <c r="I776" s="20" t="s">
        <v>45</v>
      </c>
      <c r="J776" s="20">
        <v>3</v>
      </c>
      <c r="K776" s="20" t="s">
        <v>46</v>
      </c>
      <c r="L776" s="23">
        <f t="shared" si="95"/>
        <v>45627</v>
      </c>
      <c r="M776" s="20">
        <f t="shared" si="96"/>
        <v>24</v>
      </c>
      <c r="N776" s="20">
        <f t="shared" si="97"/>
        <v>2</v>
      </c>
      <c r="O776" s="20">
        <f t="shared" si="98"/>
        <v>0</v>
      </c>
      <c r="P776" s="22">
        <f t="shared" si="99"/>
        <v>147.30000000000001</v>
      </c>
      <c r="Q776" s="22">
        <f>G776*INDEX(Assumptions!$B$8:$B$16,MATCH(F776,Assumptions!$A$8:$A$16,0))</f>
        <v>73.643600000000006</v>
      </c>
      <c r="R776" s="22">
        <f>H776*Assumptions!$B$3</f>
        <v>17.111999999999998</v>
      </c>
      <c r="S776" s="22">
        <f t="shared" si="100"/>
        <v>28.024399999999996</v>
      </c>
      <c r="T776" s="20" t="str">
        <f t="shared" si="101"/>
        <v>22+ days</v>
      </c>
    </row>
    <row r="777" spans="1:20" x14ac:dyDescent="0.3">
      <c r="A777" s="20" t="s">
        <v>843</v>
      </c>
      <c r="B777" s="20" t="s">
        <v>55</v>
      </c>
      <c r="C777" s="21">
        <v>45633</v>
      </c>
      <c r="D777" s="21">
        <v>45650</v>
      </c>
      <c r="E777" s="21">
        <v>45658</v>
      </c>
      <c r="F777" s="20" t="s">
        <v>44</v>
      </c>
      <c r="G777" s="22">
        <v>40.96</v>
      </c>
      <c r="H777" s="22">
        <v>17.940000000000001</v>
      </c>
      <c r="I777" s="20" t="s">
        <v>45</v>
      </c>
      <c r="J777" s="20">
        <v>4</v>
      </c>
      <c r="K777" s="20" t="s">
        <v>46</v>
      </c>
      <c r="L777" s="23">
        <f t="shared" si="95"/>
        <v>45627</v>
      </c>
      <c r="M777" s="20">
        <f t="shared" si="96"/>
        <v>17</v>
      </c>
      <c r="N777" s="20">
        <f t="shared" si="97"/>
        <v>0</v>
      </c>
      <c r="O777" s="20">
        <f t="shared" si="98"/>
        <v>1</v>
      </c>
      <c r="P777" s="22">
        <f t="shared" si="99"/>
        <v>58.900000000000006</v>
      </c>
      <c r="Q777" s="22">
        <f>G777*INDEX(Assumptions!$B$8:$B$16,MATCH(F777,Assumptions!$A$8:$A$16,0))</f>
        <v>24.576000000000001</v>
      </c>
      <c r="R777" s="22">
        <f>H777*Assumptions!$B$3</f>
        <v>10.764000000000001</v>
      </c>
      <c r="S777" s="22">
        <f t="shared" si="100"/>
        <v>5.6199999999999992</v>
      </c>
      <c r="T777" s="20" t="str">
        <f t="shared" si="101"/>
        <v>15-21 days</v>
      </c>
    </row>
    <row r="778" spans="1:20" x14ac:dyDescent="0.3">
      <c r="A778" s="20" t="s">
        <v>844</v>
      </c>
      <c r="B778" s="20" t="s">
        <v>52</v>
      </c>
      <c r="C778" s="21">
        <v>45633</v>
      </c>
      <c r="D778" s="21">
        <v>45642</v>
      </c>
      <c r="E778" s="21">
        <v>45654</v>
      </c>
      <c r="F778" s="20" t="s">
        <v>57</v>
      </c>
      <c r="G778" s="22">
        <v>88.71</v>
      </c>
      <c r="H778" s="22">
        <v>19.170000000000002</v>
      </c>
      <c r="I778" s="20" t="s">
        <v>45</v>
      </c>
      <c r="J778" s="20">
        <v>5</v>
      </c>
      <c r="K778" s="20" t="s">
        <v>46</v>
      </c>
      <c r="L778" s="23">
        <f t="shared" si="95"/>
        <v>45627</v>
      </c>
      <c r="M778" s="20">
        <f t="shared" si="96"/>
        <v>9</v>
      </c>
      <c r="N778" s="20">
        <f t="shared" si="97"/>
        <v>0</v>
      </c>
      <c r="O778" s="20">
        <f t="shared" si="98"/>
        <v>1</v>
      </c>
      <c r="P778" s="22">
        <f t="shared" si="99"/>
        <v>107.88</v>
      </c>
      <c r="Q778" s="22">
        <f>G778*INDEX(Assumptions!$B$8:$B$16,MATCH(F778,Assumptions!$A$8:$A$16,0))</f>
        <v>60.322800000000001</v>
      </c>
      <c r="R778" s="22">
        <f>H778*Assumptions!$B$3</f>
        <v>11.502000000000001</v>
      </c>
      <c r="S778" s="22">
        <f t="shared" si="100"/>
        <v>16.88519999999999</v>
      </c>
      <c r="T778" s="20" t="str">
        <f t="shared" si="101"/>
        <v>8-14 days</v>
      </c>
    </row>
    <row r="779" spans="1:20" x14ac:dyDescent="0.3">
      <c r="A779" s="20" t="s">
        <v>845</v>
      </c>
      <c r="B779" s="20" t="s">
        <v>62</v>
      </c>
      <c r="C779" s="21">
        <v>45633</v>
      </c>
      <c r="D779" s="21">
        <v>45651</v>
      </c>
      <c r="E779" s="21">
        <v>45658</v>
      </c>
      <c r="F779" s="20" t="s">
        <v>57</v>
      </c>
      <c r="G779" s="22">
        <v>112.64</v>
      </c>
      <c r="H779" s="22">
        <v>29.06</v>
      </c>
      <c r="I779" s="20" t="s">
        <v>45</v>
      </c>
      <c r="J779" s="20">
        <v>4</v>
      </c>
      <c r="K779" s="20" t="s">
        <v>46</v>
      </c>
      <c r="L779" s="23">
        <f t="shared" si="95"/>
        <v>45627</v>
      </c>
      <c r="M779" s="20">
        <f t="shared" si="96"/>
        <v>18</v>
      </c>
      <c r="N779" s="20">
        <f t="shared" si="97"/>
        <v>0</v>
      </c>
      <c r="O779" s="20">
        <f t="shared" si="98"/>
        <v>1</v>
      </c>
      <c r="P779" s="22">
        <f t="shared" si="99"/>
        <v>141.69999999999999</v>
      </c>
      <c r="Q779" s="22">
        <f>G779*INDEX(Assumptions!$B$8:$B$16,MATCH(F779,Assumptions!$A$8:$A$16,0))</f>
        <v>76.595200000000006</v>
      </c>
      <c r="R779" s="22">
        <f>H779*Assumptions!$B$3</f>
        <v>17.436</v>
      </c>
      <c r="S779" s="22">
        <f t="shared" si="100"/>
        <v>18.608799999999995</v>
      </c>
      <c r="T779" s="20" t="str">
        <f t="shared" si="101"/>
        <v>15-21 days</v>
      </c>
    </row>
    <row r="780" spans="1:20" x14ac:dyDescent="0.3">
      <c r="A780" s="20" t="s">
        <v>846</v>
      </c>
      <c r="B780" s="20" t="s">
        <v>103</v>
      </c>
      <c r="C780" s="21">
        <v>45634</v>
      </c>
      <c r="D780" s="21">
        <v>45647</v>
      </c>
      <c r="E780" s="21">
        <v>45657</v>
      </c>
      <c r="F780" s="20" t="s">
        <v>49</v>
      </c>
      <c r="G780" s="22">
        <v>155.26</v>
      </c>
      <c r="H780" s="22">
        <v>23.46</v>
      </c>
      <c r="I780" s="20" t="s">
        <v>45</v>
      </c>
      <c r="J780" s="20">
        <v>4</v>
      </c>
      <c r="K780" s="20" t="s">
        <v>46</v>
      </c>
      <c r="L780" s="23">
        <f t="shared" si="95"/>
        <v>45627</v>
      </c>
      <c r="M780" s="20">
        <f t="shared" si="96"/>
        <v>13</v>
      </c>
      <c r="N780" s="20">
        <f t="shared" si="97"/>
        <v>0</v>
      </c>
      <c r="O780" s="20">
        <f t="shared" si="98"/>
        <v>1</v>
      </c>
      <c r="P780" s="22">
        <f t="shared" si="99"/>
        <v>178.72</v>
      </c>
      <c r="Q780" s="22">
        <f>G780*INDEX(Assumptions!$B$8:$B$16,MATCH(F780,Assumptions!$A$8:$A$16,0))</f>
        <v>90.050799999999995</v>
      </c>
      <c r="R780" s="22">
        <f>H780*Assumptions!$B$3</f>
        <v>14.076000000000001</v>
      </c>
      <c r="S780" s="22">
        <f t="shared" si="100"/>
        <v>51.133199999999995</v>
      </c>
      <c r="T780" s="20" t="str">
        <f t="shared" si="101"/>
        <v>8-14 days</v>
      </c>
    </row>
    <row r="781" spans="1:20" x14ac:dyDescent="0.3">
      <c r="A781" s="20" t="s">
        <v>847</v>
      </c>
      <c r="B781" s="20" t="s">
        <v>48</v>
      </c>
      <c r="C781" s="21">
        <v>45634</v>
      </c>
      <c r="D781" s="21">
        <v>45647</v>
      </c>
      <c r="E781" s="21">
        <v>45654</v>
      </c>
      <c r="F781" s="20" t="s">
        <v>53</v>
      </c>
      <c r="G781" s="22">
        <v>106.13</v>
      </c>
      <c r="H781" s="22">
        <v>21.6</v>
      </c>
      <c r="I781" s="20" t="s">
        <v>45</v>
      </c>
      <c r="J781" s="20">
        <v>5</v>
      </c>
      <c r="K781" s="20" t="s">
        <v>46</v>
      </c>
      <c r="L781" s="23">
        <f t="shared" si="95"/>
        <v>45627</v>
      </c>
      <c r="M781" s="20">
        <f t="shared" si="96"/>
        <v>13</v>
      </c>
      <c r="N781" s="20">
        <f t="shared" si="97"/>
        <v>0</v>
      </c>
      <c r="O781" s="20">
        <f t="shared" si="98"/>
        <v>1</v>
      </c>
      <c r="P781" s="22">
        <f t="shared" si="99"/>
        <v>127.72999999999999</v>
      </c>
      <c r="Q781" s="22">
        <f>G781*INDEX(Assumptions!$B$8:$B$16,MATCH(F781,Assumptions!$A$8:$A$16,0))</f>
        <v>78.536199999999994</v>
      </c>
      <c r="R781" s="22">
        <f>H781*Assumptions!$B$3</f>
        <v>12.96</v>
      </c>
      <c r="S781" s="22">
        <f t="shared" si="100"/>
        <v>14.633800000000001</v>
      </c>
      <c r="T781" s="20" t="str">
        <f t="shared" si="101"/>
        <v>8-14 days</v>
      </c>
    </row>
    <row r="782" spans="1:20" x14ac:dyDescent="0.3">
      <c r="A782" s="20" t="s">
        <v>848</v>
      </c>
      <c r="B782" s="20" t="s">
        <v>19</v>
      </c>
      <c r="C782" s="21">
        <v>45634</v>
      </c>
      <c r="D782" s="21">
        <v>45639</v>
      </c>
      <c r="E782" s="21">
        <v>45649</v>
      </c>
      <c r="F782" s="20" t="s">
        <v>49</v>
      </c>
      <c r="G782" s="22">
        <v>34.32</v>
      </c>
      <c r="H782" s="22">
        <v>11.36</v>
      </c>
      <c r="I782" s="20" t="s">
        <v>60</v>
      </c>
      <c r="J782" s="20">
        <v>5</v>
      </c>
      <c r="K782" s="20" t="s">
        <v>46</v>
      </c>
      <c r="L782" s="23">
        <f t="shared" si="95"/>
        <v>45627</v>
      </c>
      <c r="M782" s="20">
        <f t="shared" si="96"/>
        <v>5</v>
      </c>
      <c r="N782" s="20">
        <f t="shared" si="97"/>
        <v>0</v>
      </c>
      <c r="O782" s="20">
        <f t="shared" si="98"/>
        <v>1</v>
      </c>
      <c r="P782" s="22">
        <f t="shared" si="99"/>
        <v>45.68</v>
      </c>
      <c r="Q782" s="22">
        <f>G782*INDEX(Assumptions!$B$8:$B$16,MATCH(F782,Assumptions!$A$8:$A$16,0))</f>
        <v>19.9056</v>
      </c>
      <c r="R782" s="22">
        <f>H782*Assumptions!$B$3</f>
        <v>6.8159999999999998</v>
      </c>
      <c r="S782" s="22">
        <f t="shared" si="100"/>
        <v>7.5984000000000007</v>
      </c>
      <c r="T782" s="20" t="str">
        <f t="shared" si="101"/>
        <v>0-7 days</v>
      </c>
    </row>
    <row r="783" spans="1:20" x14ac:dyDescent="0.3">
      <c r="A783" s="20" t="s">
        <v>849</v>
      </c>
      <c r="B783" s="20" t="s">
        <v>19</v>
      </c>
      <c r="C783" s="21">
        <v>45634</v>
      </c>
      <c r="D783" s="21">
        <v>45643</v>
      </c>
      <c r="E783" s="21">
        <v>45651</v>
      </c>
      <c r="F783" s="20" t="s">
        <v>64</v>
      </c>
      <c r="G783" s="22">
        <v>110.9</v>
      </c>
      <c r="H783" s="22">
        <v>20.239999999999998</v>
      </c>
      <c r="I783" s="20" t="s">
        <v>45</v>
      </c>
      <c r="J783" s="20">
        <v>4</v>
      </c>
      <c r="K783" s="20" t="s">
        <v>46</v>
      </c>
      <c r="L783" s="23">
        <f t="shared" si="95"/>
        <v>45627</v>
      </c>
      <c r="M783" s="20">
        <f t="shared" si="96"/>
        <v>9</v>
      </c>
      <c r="N783" s="20">
        <f t="shared" si="97"/>
        <v>0</v>
      </c>
      <c r="O783" s="20">
        <f t="shared" si="98"/>
        <v>1</v>
      </c>
      <c r="P783" s="22">
        <f t="shared" si="99"/>
        <v>131.14000000000001</v>
      </c>
      <c r="Q783" s="22">
        <f>G783*INDEX(Assumptions!$B$8:$B$16,MATCH(F783,Assumptions!$A$8:$A$16,0))</f>
        <v>73.194000000000003</v>
      </c>
      <c r="R783" s="22">
        <f>H783*Assumptions!$B$3</f>
        <v>12.143999999999998</v>
      </c>
      <c r="S783" s="22">
        <f t="shared" si="100"/>
        <v>25.562000000000005</v>
      </c>
      <c r="T783" s="20" t="str">
        <f t="shared" si="101"/>
        <v>8-14 days</v>
      </c>
    </row>
    <row r="784" spans="1:20" x14ac:dyDescent="0.3">
      <c r="A784" s="20" t="s">
        <v>850</v>
      </c>
      <c r="B784" s="20" t="s">
        <v>19</v>
      </c>
      <c r="C784" s="21">
        <v>45634</v>
      </c>
      <c r="D784" s="21">
        <v>45642</v>
      </c>
      <c r="E784" s="21">
        <v>45650</v>
      </c>
      <c r="F784" s="20" t="s">
        <v>57</v>
      </c>
      <c r="G784" s="22">
        <v>74.75</v>
      </c>
      <c r="H784" s="22">
        <v>18.34</v>
      </c>
      <c r="I784" s="20" t="s">
        <v>45</v>
      </c>
      <c r="J784" s="20">
        <v>5</v>
      </c>
      <c r="K784" s="20" t="s">
        <v>46</v>
      </c>
      <c r="L784" s="23">
        <f t="shared" si="95"/>
        <v>45627</v>
      </c>
      <c r="M784" s="20">
        <f t="shared" si="96"/>
        <v>8</v>
      </c>
      <c r="N784" s="20">
        <f t="shared" si="97"/>
        <v>0</v>
      </c>
      <c r="O784" s="20">
        <f t="shared" si="98"/>
        <v>1</v>
      </c>
      <c r="P784" s="22">
        <f t="shared" si="99"/>
        <v>93.09</v>
      </c>
      <c r="Q784" s="22">
        <f>G784*INDEX(Assumptions!$B$8:$B$16,MATCH(F784,Assumptions!$A$8:$A$16,0))</f>
        <v>50.830000000000005</v>
      </c>
      <c r="R784" s="22">
        <f>H784*Assumptions!$B$3</f>
        <v>11.004</v>
      </c>
      <c r="S784" s="22">
        <f t="shared" si="100"/>
        <v>12.915999999999995</v>
      </c>
      <c r="T784" s="20" t="str">
        <f t="shared" si="101"/>
        <v>8-14 days</v>
      </c>
    </row>
    <row r="785" spans="1:20" x14ac:dyDescent="0.3">
      <c r="A785" s="20" t="s">
        <v>851</v>
      </c>
      <c r="B785" s="20" t="s">
        <v>55</v>
      </c>
      <c r="C785" s="21">
        <v>45635</v>
      </c>
      <c r="D785" s="21">
        <v>45658</v>
      </c>
      <c r="E785" s="21">
        <v>45663</v>
      </c>
      <c r="F785" s="20" t="s">
        <v>59</v>
      </c>
      <c r="G785" s="22">
        <v>90.7</v>
      </c>
      <c r="H785" s="22">
        <v>21.66</v>
      </c>
      <c r="I785" s="20" t="s">
        <v>45</v>
      </c>
      <c r="J785" s="20">
        <v>3</v>
      </c>
      <c r="K785" s="20" t="s">
        <v>46</v>
      </c>
      <c r="L785" s="23">
        <f t="shared" si="95"/>
        <v>45627</v>
      </c>
      <c r="M785" s="20">
        <f t="shared" si="96"/>
        <v>23</v>
      </c>
      <c r="N785" s="20">
        <f t="shared" si="97"/>
        <v>0</v>
      </c>
      <c r="O785" s="20">
        <f t="shared" si="98"/>
        <v>1</v>
      </c>
      <c r="P785" s="22">
        <f t="shared" si="99"/>
        <v>112.36</v>
      </c>
      <c r="Q785" s="22">
        <f>G785*INDEX(Assumptions!$B$8:$B$16,MATCH(F785,Assumptions!$A$8:$A$16,0))</f>
        <v>58.048000000000002</v>
      </c>
      <c r="R785" s="22">
        <f>H785*Assumptions!$B$3</f>
        <v>12.996</v>
      </c>
      <c r="S785" s="22">
        <f t="shared" si="100"/>
        <v>19.655999999999999</v>
      </c>
      <c r="T785" s="20" t="str">
        <f t="shared" si="101"/>
        <v>22+ days</v>
      </c>
    </row>
    <row r="786" spans="1:20" x14ac:dyDescent="0.3">
      <c r="A786" s="20" t="s">
        <v>852</v>
      </c>
      <c r="B786" s="20" t="s">
        <v>19</v>
      </c>
      <c r="C786" s="21">
        <v>45635</v>
      </c>
      <c r="D786" s="21">
        <v>45639</v>
      </c>
      <c r="E786" s="21">
        <v>45647</v>
      </c>
      <c r="F786" s="20" t="s">
        <v>53</v>
      </c>
      <c r="G786" s="22">
        <v>141.36000000000001</v>
      </c>
      <c r="H786" s="22">
        <v>20.14</v>
      </c>
      <c r="I786" s="20" t="s">
        <v>45</v>
      </c>
      <c r="J786" s="20">
        <v>4</v>
      </c>
      <c r="K786" s="20" t="s">
        <v>46</v>
      </c>
      <c r="L786" s="23">
        <f t="shared" si="95"/>
        <v>45627</v>
      </c>
      <c r="M786" s="20">
        <f t="shared" si="96"/>
        <v>4</v>
      </c>
      <c r="N786" s="20">
        <f t="shared" si="97"/>
        <v>0</v>
      </c>
      <c r="O786" s="20">
        <f t="shared" si="98"/>
        <v>1</v>
      </c>
      <c r="P786" s="22">
        <f t="shared" si="99"/>
        <v>161.5</v>
      </c>
      <c r="Q786" s="22">
        <f>G786*INDEX(Assumptions!$B$8:$B$16,MATCH(F786,Assumptions!$A$8:$A$16,0))</f>
        <v>104.60640000000001</v>
      </c>
      <c r="R786" s="22">
        <f>H786*Assumptions!$B$3</f>
        <v>12.084</v>
      </c>
      <c r="S786" s="22">
        <f t="shared" si="100"/>
        <v>24.669600000000006</v>
      </c>
      <c r="T786" s="20" t="str">
        <f t="shared" si="101"/>
        <v>0-7 days</v>
      </c>
    </row>
    <row r="787" spans="1:20" x14ac:dyDescent="0.3">
      <c r="A787" s="20" t="s">
        <v>853</v>
      </c>
      <c r="B787" s="20" t="s">
        <v>48</v>
      </c>
      <c r="C787" s="21">
        <v>45635</v>
      </c>
      <c r="D787" s="21">
        <v>45648</v>
      </c>
      <c r="E787" s="21">
        <v>45660</v>
      </c>
      <c r="F787" s="20" t="s">
        <v>79</v>
      </c>
      <c r="G787" s="22">
        <v>112.87</v>
      </c>
      <c r="H787" s="22">
        <v>19.88</v>
      </c>
      <c r="I787" s="20" t="s">
        <v>45</v>
      </c>
      <c r="J787" s="20">
        <v>5</v>
      </c>
      <c r="K787" s="20" t="s">
        <v>46</v>
      </c>
      <c r="L787" s="23">
        <f t="shared" si="95"/>
        <v>45627</v>
      </c>
      <c r="M787" s="20">
        <f t="shared" si="96"/>
        <v>13</v>
      </c>
      <c r="N787" s="20">
        <f t="shared" si="97"/>
        <v>0</v>
      </c>
      <c r="O787" s="20">
        <f t="shared" si="98"/>
        <v>1</v>
      </c>
      <c r="P787" s="22">
        <f t="shared" si="99"/>
        <v>132.75</v>
      </c>
      <c r="Q787" s="22">
        <f>G787*INDEX(Assumptions!$B$8:$B$16,MATCH(F787,Assumptions!$A$8:$A$16,0))</f>
        <v>79.009</v>
      </c>
      <c r="R787" s="22">
        <f>H787*Assumptions!$B$3</f>
        <v>11.927999999999999</v>
      </c>
      <c r="S787" s="22">
        <f t="shared" si="100"/>
        <v>21.933000000000007</v>
      </c>
      <c r="T787" s="20" t="str">
        <f t="shared" si="101"/>
        <v>8-14 days</v>
      </c>
    </row>
    <row r="788" spans="1:20" x14ac:dyDescent="0.3">
      <c r="A788" s="20" t="s">
        <v>854</v>
      </c>
      <c r="B788" s="20" t="s">
        <v>19</v>
      </c>
      <c r="C788" s="21">
        <v>45635</v>
      </c>
      <c r="D788" s="21">
        <v>45646</v>
      </c>
      <c r="E788" s="21">
        <v>45651</v>
      </c>
      <c r="F788" s="20" t="s">
        <v>67</v>
      </c>
      <c r="G788" s="22">
        <v>89.08</v>
      </c>
      <c r="H788" s="22">
        <v>20.34</v>
      </c>
      <c r="I788" s="20" t="s">
        <v>45</v>
      </c>
      <c r="J788" s="20">
        <v>4</v>
      </c>
      <c r="K788" s="20" t="s">
        <v>46</v>
      </c>
      <c r="L788" s="23">
        <f t="shared" si="95"/>
        <v>45627</v>
      </c>
      <c r="M788" s="20">
        <f t="shared" si="96"/>
        <v>11</v>
      </c>
      <c r="N788" s="20">
        <f t="shared" si="97"/>
        <v>0</v>
      </c>
      <c r="O788" s="20">
        <f t="shared" si="98"/>
        <v>1</v>
      </c>
      <c r="P788" s="22">
        <f t="shared" si="99"/>
        <v>109.42</v>
      </c>
      <c r="Q788" s="22">
        <f>G788*INDEX(Assumptions!$B$8:$B$16,MATCH(F788,Assumptions!$A$8:$A$16,0))</f>
        <v>55.229599999999998</v>
      </c>
      <c r="R788" s="22">
        <f>H788*Assumptions!$B$3</f>
        <v>12.203999999999999</v>
      </c>
      <c r="S788" s="22">
        <f t="shared" si="100"/>
        <v>21.6464</v>
      </c>
      <c r="T788" s="20" t="str">
        <f t="shared" si="101"/>
        <v>8-14 days</v>
      </c>
    </row>
    <row r="789" spans="1:20" x14ac:dyDescent="0.3">
      <c r="A789" s="20" t="s">
        <v>855</v>
      </c>
      <c r="B789" s="20" t="s">
        <v>156</v>
      </c>
      <c r="C789" s="21">
        <v>45635</v>
      </c>
      <c r="D789" s="21">
        <v>45649</v>
      </c>
      <c r="E789" s="21">
        <v>45660</v>
      </c>
      <c r="F789" s="20" t="s">
        <v>53</v>
      </c>
      <c r="G789" s="22">
        <v>244.67</v>
      </c>
      <c r="H789" s="22">
        <v>33.229999999999997</v>
      </c>
      <c r="I789" s="20" t="s">
        <v>45</v>
      </c>
      <c r="J789" s="20">
        <v>4</v>
      </c>
      <c r="K789" s="20" t="s">
        <v>46</v>
      </c>
      <c r="L789" s="23">
        <f t="shared" si="95"/>
        <v>45627</v>
      </c>
      <c r="M789" s="20">
        <f t="shared" si="96"/>
        <v>14</v>
      </c>
      <c r="N789" s="20">
        <f t="shared" si="97"/>
        <v>0</v>
      </c>
      <c r="O789" s="20">
        <f t="shared" si="98"/>
        <v>1</v>
      </c>
      <c r="P789" s="22">
        <f t="shared" si="99"/>
        <v>277.89999999999998</v>
      </c>
      <c r="Q789" s="22">
        <f>G789*INDEX(Assumptions!$B$8:$B$16,MATCH(F789,Assumptions!$A$8:$A$16,0))</f>
        <v>181.05579999999998</v>
      </c>
      <c r="R789" s="22">
        <f>H789*Assumptions!$B$3</f>
        <v>19.937999999999999</v>
      </c>
      <c r="S789" s="22">
        <f t="shared" si="100"/>
        <v>43.676200000000009</v>
      </c>
      <c r="T789" s="20" t="str">
        <f t="shared" si="101"/>
        <v>8-14 days</v>
      </c>
    </row>
    <row r="790" spans="1:20" x14ac:dyDescent="0.3">
      <c r="A790" s="20" t="s">
        <v>856</v>
      </c>
      <c r="B790" s="20" t="s">
        <v>19</v>
      </c>
      <c r="C790" s="21">
        <v>45635</v>
      </c>
      <c r="D790" s="21">
        <v>45639</v>
      </c>
      <c r="E790" s="21">
        <v>45647</v>
      </c>
      <c r="F790" s="20" t="s">
        <v>67</v>
      </c>
      <c r="G790" s="22">
        <v>122.36</v>
      </c>
      <c r="H790" s="22">
        <v>13.76</v>
      </c>
      <c r="I790" s="20" t="s">
        <v>45</v>
      </c>
      <c r="J790" s="20">
        <v>4</v>
      </c>
      <c r="K790" s="20" t="s">
        <v>46</v>
      </c>
      <c r="L790" s="23">
        <f t="shared" si="95"/>
        <v>45627</v>
      </c>
      <c r="M790" s="20">
        <f t="shared" si="96"/>
        <v>4</v>
      </c>
      <c r="N790" s="20">
        <f t="shared" si="97"/>
        <v>0</v>
      </c>
      <c r="O790" s="20">
        <f t="shared" si="98"/>
        <v>1</v>
      </c>
      <c r="P790" s="22">
        <f t="shared" si="99"/>
        <v>136.12</v>
      </c>
      <c r="Q790" s="22">
        <f>G790*INDEX(Assumptions!$B$8:$B$16,MATCH(F790,Assumptions!$A$8:$A$16,0))</f>
        <v>75.863200000000006</v>
      </c>
      <c r="R790" s="22">
        <f>H790*Assumptions!$B$3</f>
        <v>8.2560000000000002</v>
      </c>
      <c r="S790" s="22">
        <f t="shared" si="100"/>
        <v>38.240799999999993</v>
      </c>
      <c r="T790" s="20" t="str">
        <f t="shared" si="101"/>
        <v>0-7 days</v>
      </c>
    </row>
    <row r="791" spans="1:20" x14ac:dyDescent="0.3">
      <c r="A791" s="20" t="s">
        <v>857</v>
      </c>
      <c r="B791" s="20" t="s">
        <v>62</v>
      </c>
      <c r="C791" s="21">
        <v>45635</v>
      </c>
      <c r="D791" s="21">
        <v>45651</v>
      </c>
      <c r="E791" s="21">
        <v>45654</v>
      </c>
      <c r="F791" s="20" t="s">
        <v>111</v>
      </c>
      <c r="G791" s="22">
        <v>92.31</v>
      </c>
      <c r="H791" s="22">
        <v>28.22</v>
      </c>
      <c r="I791" s="20" t="s">
        <v>60</v>
      </c>
      <c r="J791" s="20">
        <v>5</v>
      </c>
      <c r="K791" s="20" t="s">
        <v>46</v>
      </c>
      <c r="L791" s="23">
        <f t="shared" si="95"/>
        <v>45627</v>
      </c>
      <c r="M791" s="20">
        <f t="shared" si="96"/>
        <v>16</v>
      </c>
      <c r="N791" s="20">
        <f t="shared" si="97"/>
        <v>0</v>
      </c>
      <c r="O791" s="20">
        <f t="shared" si="98"/>
        <v>1</v>
      </c>
      <c r="P791" s="22">
        <f t="shared" si="99"/>
        <v>120.53</v>
      </c>
      <c r="Q791" s="22">
        <f>G791*INDEX(Assumptions!$B$8:$B$16,MATCH(F791,Assumptions!$A$8:$A$16,0))</f>
        <v>58.155300000000004</v>
      </c>
      <c r="R791" s="22">
        <f>H791*Assumptions!$B$3</f>
        <v>16.931999999999999</v>
      </c>
      <c r="S791" s="22">
        <f t="shared" si="100"/>
        <v>17.2227</v>
      </c>
      <c r="T791" s="20" t="str">
        <f t="shared" si="101"/>
        <v>15-21 days</v>
      </c>
    </row>
    <row r="792" spans="1:20" x14ac:dyDescent="0.3">
      <c r="A792" s="20" t="s">
        <v>858</v>
      </c>
      <c r="B792" s="20" t="s">
        <v>19</v>
      </c>
      <c r="C792" s="21">
        <v>45636</v>
      </c>
      <c r="D792" s="21">
        <v>45642</v>
      </c>
      <c r="E792" s="21">
        <v>45651</v>
      </c>
      <c r="F792" s="20" t="s">
        <v>57</v>
      </c>
      <c r="G792" s="22">
        <v>59.93</v>
      </c>
      <c r="H792" s="22">
        <v>18.89</v>
      </c>
      <c r="I792" s="20" t="s">
        <v>45</v>
      </c>
      <c r="J792" s="20">
        <v>4</v>
      </c>
      <c r="K792" s="20" t="s">
        <v>46</v>
      </c>
      <c r="L792" s="23">
        <f t="shared" si="95"/>
        <v>45627</v>
      </c>
      <c r="M792" s="20">
        <f t="shared" si="96"/>
        <v>6</v>
      </c>
      <c r="N792" s="20">
        <f t="shared" si="97"/>
        <v>0</v>
      </c>
      <c r="O792" s="20">
        <f t="shared" si="98"/>
        <v>1</v>
      </c>
      <c r="P792" s="22">
        <f t="shared" si="99"/>
        <v>78.819999999999993</v>
      </c>
      <c r="Q792" s="22">
        <f>G792*INDEX(Assumptions!$B$8:$B$16,MATCH(F792,Assumptions!$A$8:$A$16,0))</f>
        <v>40.752400000000002</v>
      </c>
      <c r="R792" s="22">
        <f>H792*Assumptions!$B$3</f>
        <v>11.334</v>
      </c>
      <c r="S792" s="22">
        <f t="shared" si="100"/>
        <v>7.8435999999999986</v>
      </c>
      <c r="T792" s="20" t="str">
        <f t="shared" si="101"/>
        <v>0-7 days</v>
      </c>
    </row>
    <row r="793" spans="1:20" x14ac:dyDescent="0.3">
      <c r="A793" s="20" t="s">
        <v>859</v>
      </c>
      <c r="B793" s="20" t="s">
        <v>62</v>
      </c>
      <c r="C793" s="21">
        <v>45636</v>
      </c>
      <c r="D793" s="21">
        <v>45654</v>
      </c>
      <c r="E793" s="21">
        <v>45655</v>
      </c>
      <c r="F793" s="20" t="s">
        <v>67</v>
      </c>
      <c r="G793" s="22">
        <v>85.11</v>
      </c>
      <c r="H793" s="22">
        <v>27.78</v>
      </c>
      <c r="I793" s="20" t="s">
        <v>45</v>
      </c>
      <c r="J793" s="20">
        <v>4</v>
      </c>
      <c r="K793" s="20" t="s">
        <v>46</v>
      </c>
      <c r="L793" s="23">
        <f t="shared" si="95"/>
        <v>45627</v>
      </c>
      <c r="M793" s="20">
        <f t="shared" si="96"/>
        <v>18</v>
      </c>
      <c r="N793" s="20">
        <f t="shared" si="97"/>
        <v>0</v>
      </c>
      <c r="O793" s="20">
        <f t="shared" si="98"/>
        <v>1</v>
      </c>
      <c r="P793" s="22">
        <f t="shared" si="99"/>
        <v>112.89</v>
      </c>
      <c r="Q793" s="22">
        <f>G793*INDEX(Assumptions!$B$8:$B$16,MATCH(F793,Assumptions!$A$8:$A$16,0))</f>
        <v>52.7682</v>
      </c>
      <c r="R793" s="22">
        <f>H793*Assumptions!$B$3</f>
        <v>16.667999999999999</v>
      </c>
      <c r="S793" s="22">
        <f t="shared" si="100"/>
        <v>15.6738</v>
      </c>
      <c r="T793" s="20" t="str">
        <f t="shared" si="101"/>
        <v>15-21 days</v>
      </c>
    </row>
    <row r="794" spans="1:20" x14ac:dyDescent="0.3">
      <c r="A794" s="20" t="s">
        <v>860</v>
      </c>
      <c r="B794" s="20" t="s">
        <v>19</v>
      </c>
      <c r="C794" s="21">
        <v>45636</v>
      </c>
      <c r="D794" s="21">
        <v>45644</v>
      </c>
      <c r="E794" s="21">
        <v>45652</v>
      </c>
      <c r="F794" s="20" t="s">
        <v>53</v>
      </c>
      <c r="G794" s="22">
        <v>95.02</v>
      </c>
      <c r="H794" s="22">
        <v>20.68</v>
      </c>
      <c r="I794" s="20" t="s">
        <v>45</v>
      </c>
      <c r="J794" s="20">
        <v>5</v>
      </c>
      <c r="K794" s="20" t="s">
        <v>46</v>
      </c>
      <c r="L794" s="23">
        <f t="shared" si="95"/>
        <v>45627</v>
      </c>
      <c r="M794" s="20">
        <f t="shared" si="96"/>
        <v>8</v>
      </c>
      <c r="N794" s="20">
        <f t="shared" si="97"/>
        <v>0</v>
      </c>
      <c r="O794" s="20">
        <f t="shared" si="98"/>
        <v>1</v>
      </c>
      <c r="P794" s="22">
        <f t="shared" si="99"/>
        <v>115.69999999999999</v>
      </c>
      <c r="Q794" s="22">
        <f>G794*INDEX(Assumptions!$B$8:$B$16,MATCH(F794,Assumptions!$A$8:$A$16,0))</f>
        <v>70.314799999999991</v>
      </c>
      <c r="R794" s="22">
        <f>H794*Assumptions!$B$3</f>
        <v>12.407999999999999</v>
      </c>
      <c r="S794" s="22">
        <f t="shared" si="100"/>
        <v>12.297200000000005</v>
      </c>
      <c r="T794" s="20" t="str">
        <f t="shared" si="101"/>
        <v>8-14 days</v>
      </c>
    </row>
    <row r="795" spans="1:20" x14ac:dyDescent="0.3">
      <c r="A795" s="20" t="s">
        <v>861</v>
      </c>
      <c r="B795" s="20" t="s">
        <v>55</v>
      </c>
      <c r="C795" s="21">
        <v>45636</v>
      </c>
      <c r="D795" s="21">
        <v>45648</v>
      </c>
      <c r="E795" s="21">
        <v>45662</v>
      </c>
      <c r="F795" s="20" t="s">
        <v>49</v>
      </c>
      <c r="G795" s="22">
        <v>39.97</v>
      </c>
      <c r="H795" s="22">
        <v>27.3</v>
      </c>
      <c r="I795" s="20" t="s">
        <v>45</v>
      </c>
      <c r="J795" s="20">
        <v>4</v>
      </c>
      <c r="K795" s="20" t="s">
        <v>46</v>
      </c>
      <c r="L795" s="23">
        <f t="shared" si="95"/>
        <v>45627</v>
      </c>
      <c r="M795" s="20">
        <f t="shared" si="96"/>
        <v>12</v>
      </c>
      <c r="N795" s="20">
        <f t="shared" si="97"/>
        <v>0</v>
      </c>
      <c r="O795" s="20">
        <f t="shared" si="98"/>
        <v>1</v>
      </c>
      <c r="P795" s="22">
        <f t="shared" si="99"/>
        <v>67.27</v>
      </c>
      <c r="Q795" s="22">
        <f>G795*INDEX(Assumptions!$B$8:$B$16,MATCH(F795,Assumptions!$A$8:$A$16,0))</f>
        <v>23.182599999999997</v>
      </c>
      <c r="R795" s="22">
        <f>H795*Assumptions!$B$3</f>
        <v>16.38</v>
      </c>
      <c r="S795" s="22">
        <f t="shared" si="100"/>
        <v>0.40740000000000265</v>
      </c>
      <c r="T795" s="20" t="str">
        <f t="shared" si="101"/>
        <v>8-14 days</v>
      </c>
    </row>
    <row r="796" spans="1:20" x14ac:dyDescent="0.3">
      <c r="A796" s="20" t="s">
        <v>862</v>
      </c>
      <c r="B796" s="20" t="s">
        <v>52</v>
      </c>
      <c r="C796" s="21">
        <v>45636</v>
      </c>
      <c r="D796" s="21">
        <v>45652</v>
      </c>
      <c r="E796" s="21">
        <v>45655</v>
      </c>
      <c r="F796" s="20" t="s">
        <v>67</v>
      </c>
      <c r="G796" s="22">
        <v>118.79</v>
      </c>
      <c r="H796" s="22">
        <v>21.14</v>
      </c>
      <c r="I796" s="20" t="s">
        <v>45</v>
      </c>
      <c r="J796" s="20">
        <v>5</v>
      </c>
      <c r="K796" s="20" t="s">
        <v>46</v>
      </c>
      <c r="L796" s="23">
        <f t="shared" si="95"/>
        <v>45627</v>
      </c>
      <c r="M796" s="20">
        <f t="shared" si="96"/>
        <v>16</v>
      </c>
      <c r="N796" s="20">
        <f t="shared" si="97"/>
        <v>0</v>
      </c>
      <c r="O796" s="20">
        <f t="shared" si="98"/>
        <v>1</v>
      </c>
      <c r="P796" s="22">
        <f t="shared" si="99"/>
        <v>139.93</v>
      </c>
      <c r="Q796" s="22">
        <f>G796*INDEX(Assumptions!$B$8:$B$16,MATCH(F796,Assumptions!$A$8:$A$16,0))</f>
        <v>73.649799999999999</v>
      </c>
      <c r="R796" s="22">
        <f>H796*Assumptions!$B$3</f>
        <v>12.683999999999999</v>
      </c>
      <c r="S796" s="22">
        <f t="shared" si="100"/>
        <v>32.45620000000001</v>
      </c>
      <c r="T796" s="20" t="str">
        <f t="shared" si="101"/>
        <v>15-21 days</v>
      </c>
    </row>
    <row r="797" spans="1:20" x14ac:dyDescent="0.3">
      <c r="A797" s="20" t="s">
        <v>863</v>
      </c>
      <c r="B797" s="20" t="s">
        <v>19</v>
      </c>
      <c r="C797" s="21">
        <v>45637</v>
      </c>
      <c r="D797" s="21">
        <v>45650</v>
      </c>
      <c r="E797" s="21">
        <v>45653</v>
      </c>
      <c r="F797" s="20" t="s">
        <v>64</v>
      </c>
      <c r="G797" s="22">
        <v>216.7</v>
      </c>
      <c r="H797" s="22">
        <v>16.02</v>
      </c>
      <c r="I797" s="20" t="s">
        <v>45</v>
      </c>
      <c r="J797" s="20">
        <v>4</v>
      </c>
      <c r="K797" s="20" t="s">
        <v>46</v>
      </c>
      <c r="L797" s="23">
        <f t="shared" si="95"/>
        <v>45627</v>
      </c>
      <c r="M797" s="20">
        <f t="shared" si="96"/>
        <v>13</v>
      </c>
      <c r="N797" s="20">
        <f t="shared" si="97"/>
        <v>0</v>
      </c>
      <c r="O797" s="20">
        <f t="shared" si="98"/>
        <v>1</v>
      </c>
      <c r="P797" s="22">
        <f t="shared" si="99"/>
        <v>232.72</v>
      </c>
      <c r="Q797" s="22">
        <f>G797*INDEX(Assumptions!$B$8:$B$16,MATCH(F797,Assumptions!$A$8:$A$16,0))</f>
        <v>143.02199999999999</v>
      </c>
      <c r="R797" s="22">
        <f>H797*Assumptions!$B$3</f>
        <v>9.6120000000000001</v>
      </c>
      <c r="S797" s="22">
        <f t="shared" si="100"/>
        <v>64.066000000000003</v>
      </c>
      <c r="T797" s="20" t="str">
        <f t="shared" si="101"/>
        <v>8-14 days</v>
      </c>
    </row>
    <row r="798" spans="1:20" x14ac:dyDescent="0.3">
      <c r="A798" s="20" t="s">
        <v>864</v>
      </c>
      <c r="B798" s="20" t="s">
        <v>52</v>
      </c>
      <c r="C798" s="21">
        <v>45637</v>
      </c>
      <c r="D798" s="21">
        <v>45642</v>
      </c>
      <c r="E798" s="21">
        <v>45659</v>
      </c>
      <c r="F798" s="20" t="s">
        <v>53</v>
      </c>
      <c r="G798" s="22">
        <v>147.76</v>
      </c>
      <c r="H798" s="22">
        <v>20.04</v>
      </c>
      <c r="I798" s="20" t="s">
        <v>60</v>
      </c>
      <c r="J798" s="20">
        <v>4</v>
      </c>
      <c r="K798" s="20" t="s">
        <v>46</v>
      </c>
      <c r="L798" s="23">
        <f t="shared" si="95"/>
        <v>45627</v>
      </c>
      <c r="M798" s="20">
        <f t="shared" si="96"/>
        <v>5</v>
      </c>
      <c r="N798" s="20">
        <f t="shared" si="97"/>
        <v>0</v>
      </c>
      <c r="O798" s="20">
        <f t="shared" si="98"/>
        <v>1</v>
      </c>
      <c r="P798" s="22">
        <f t="shared" si="99"/>
        <v>167.79999999999998</v>
      </c>
      <c r="Q798" s="22">
        <f>G798*INDEX(Assumptions!$B$8:$B$16,MATCH(F798,Assumptions!$A$8:$A$16,0))</f>
        <v>109.3424</v>
      </c>
      <c r="R798" s="22">
        <f>H798*Assumptions!$B$3</f>
        <v>12.023999999999999</v>
      </c>
      <c r="S798" s="22">
        <f t="shared" si="100"/>
        <v>26.393599999999992</v>
      </c>
      <c r="T798" s="20" t="str">
        <f t="shared" si="101"/>
        <v>0-7 days</v>
      </c>
    </row>
    <row r="799" spans="1:20" x14ac:dyDescent="0.3">
      <c r="A799" s="20" t="s">
        <v>865</v>
      </c>
      <c r="B799" s="20" t="s">
        <v>19</v>
      </c>
      <c r="C799" s="21">
        <v>45637</v>
      </c>
      <c r="D799" s="21">
        <v>45647</v>
      </c>
      <c r="E799" s="21">
        <v>45654</v>
      </c>
      <c r="F799" s="20" t="s">
        <v>49</v>
      </c>
      <c r="G799" s="22">
        <v>129</v>
      </c>
      <c r="H799" s="22">
        <v>14.17</v>
      </c>
      <c r="I799" s="20" t="s">
        <v>50</v>
      </c>
      <c r="J799" s="20">
        <v>5</v>
      </c>
      <c r="K799" s="20" t="s">
        <v>46</v>
      </c>
      <c r="L799" s="23">
        <f t="shared" si="95"/>
        <v>45627</v>
      </c>
      <c r="M799" s="20">
        <f t="shared" si="96"/>
        <v>10</v>
      </c>
      <c r="N799" s="20">
        <f t="shared" si="97"/>
        <v>0</v>
      </c>
      <c r="O799" s="20">
        <f t="shared" si="98"/>
        <v>1</v>
      </c>
      <c r="P799" s="22">
        <f t="shared" si="99"/>
        <v>143.16999999999999</v>
      </c>
      <c r="Q799" s="22">
        <f>G799*INDEX(Assumptions!$B$8:$B$16,MATCH(F799,Assumptions!$A$8:$A$16,0))</f>
        <v>74.819999999999993</v>
      </c>
      <c r="R799" s="22">
        <f>H799*Assumptions!$B$3</f>
        <v>8.5019999999999989</v>
      </c>
      <c r="S799" s="22">
        <f t="shared" si="100"/>
        <v>45.678000000000011</v>
      </c>
      <c r="T799" s="20" t="str">
        <f t="shared" si="101"/>
        <v>8-14 days</v>
      </c>
    </row>
    <row r="800" spans="1:20" x14ac:dyDescent="0.3">
      <c r="A800" s="20" t="s">
        <v>866</v>
      </c>
      <c r="B800" s="20" t="s">
        <v>134</v>
      </c>
      <c r="C800" s="21">
        <v>45637</v>
      </c>
      <c r="D800" s="21">
        <v>45647</v>
      </c>
      <c r="E800" s="21">
        <v>45661</v>
      </c>
      <c r="F800" s="20" t="s">
        <v>57</v>
      </c>
      <c r="G800" s="22">
        <v>99.93</v>
      </c>
      <c r="H800" s="22">
        <v>29.63</v>
      </c>
      <c r="I800" s="20" t="s">
        <v>45</v>
      </c>
      <c r="J800" s="20">
        <v>4</v>
      </c>
      <c r="K800" s="20" t="s">
        <v>46</v>
      </c>
      <c r="L800" s="23">
        <f t="shared" si="95"/>
        <v>45627</v>
      </c>
      <c r="M800" s="20">
        <f t="shared" si="96"/>
        <v>10</v>
      </c>
      <c r="N800" s="20">
        <f t="shared" si="97"/>
        <v>0</v>
      </c>
      <c r="O800" s="20">
        <f t="shared" si="98"/>
        <v>1</v>
      </c>
      <c r="P800" s="22">
        <f t="shared" si="99"/>
        <v>129.56</v>
      </c>
      <c r="Q800" s="22">
        <f>G800*INDEX(Assumptions!$B$8:$B$16,MATCH(F800,Assumptions!$A$8:$A$16,0))</f>
        <v>67.952400000000011</v>
      </c>
      <c r="R800" s="22">
        <f>H800*Assumptions!$B$3</f>
        <v>17.777999999999999</v>
      </c>
      <c r="S800" s="22">
        <f t="shared" si="100"/>
        <v>14.199599999999997</v>
      </c>
      <c r="T800" s="20" t="str">
        <f t="shared" si="101"/>
        <v>8-14 days</v>
      </c>
    </row>
    <row r="801" spans="1:20" x14ac:dyDescent="0.3">
      <c r="A801" s="20" t="s">
        <v>867</v>
      </c>
      <c r="B801" s="20" t="s">
        <v>156</v>
      </c>
      <c r="C801" s="21">
        <v>45637</v>
      </c>
      <c r="D801" s="21">
        <v>45656</v>
      </c>
      <c r="E801" s="21">
        <v>45661</v>
      </c>
      <c r="F801" s="20" t="s">
        <v>79</v>
      </c>
      <c r="G801" s="22">
        <v>189.4</v>
      </c>
      <c r="H801" s="22">
        <v>23.46</v>
      </c>
      <c r="I801" s="20" t="s">
        <v>45</v>
      </c>
      <c r="J801" s="20">
        <v>4</v>
      </c>
      <c r="K801" s="20" t="s">
        <v>46</v>
      </c>
      <c r="L801" s="23">
        <f t="shared" si="95"/>
        <v>45627</v>
      </c>
      <c r="M801" s="20">
        <f t="shared" si="96"/>
        <v>19</v>
      </c>
      <c r="N801" s="20">
        <f t="shared" si="97"/>
        <v>0</v>
      </c>
      <c r="O801" s="20">
        <f t="shared" si="98"/>
        <v>1</v>
      </c>
      <c r="P801" s="22">
        <f t="shared" si="99"/>
        <v>212.86</v>
      </c>
      <c r="Q801" s="22">
        <f>G801*INDEX(Assumptions!$B$8:$B$16,MATCH(F801,Assumptions!$A$8:$A$16,0))</f>
        <v>132.57999999999998</v>
      </c>
      <c r="R801" s="22">
        <f>H801*Assumptions!$B$3</f>
        <v>14.076000000000001</v>
      </c>
      <c r="S801" s="22">
        <f t="shared" si="100"/>
        <v>42.744000000000021</v>
      </c>
      <c r="T801" s="20" t="str">
        <f t="shared" si="101"/>
        <v>15-21 days</v>
      </c>
    </row>
    <row r="802" spans="1:20" x14ac:dyDescent="0.3">
      <c r="A802" s="20" t="s">
        <v>868</v>
      </c>
      <c r="B802" s="20" t="s">
        <v>62</v>
      </c>
      <c r="C802" s="21">
        <v>45637</v>
      </c>
      <c r="D802" s="21">
        <v>45653</v>
      </c>
      <c r="E802" s="21">
        <v>45657</v>
      </c>
      <c r="F802" s="20" t="s">
        <v>111</v>
      </c>
      <c r="G802" s="22">
        <v>28.75</v>
      </c>
      <c r="H802" s="22">
        <v>24.69</v>
      </c>
      <c r="I802" s="20" t="s">
        <v>60</v>
      </c>
      <c r="J802" s="20">
        <v>4</v>
      </c>
      <c r="K802" s="20" t="s">
        <v>46</v>
      </c>
      <c r="L802" s="23">
        <f t="shared" si="95"/>
        <v>45627</v>
      </c>
      <c r="M802" s="20">
        <f t="shared" si="96"/>
        <v>16</v>
      </c>
      <c r="N802" s="20">
        <f t="shared" si="97"/>
        <v>0</v>
      </c>
      <c r="O802" s="20">
        <f t="shared" si="98"/>
        <v>1</v>
      </c>
      <c r="P802" s="22">
        <f t="shared" si="99"/>
        <v>53.44</v>
      </c>
      <c r="Q802" s="22">
        <f>G802*INDEX(Assumptions!$B$8:$B$16,MATCH(F802,Assumptions!$A$8:$A$16,0))</f>
        <v>18.112500000000001</v>
      </c>
      <c r="R802" s="22">
        <f>H802*Assumptions!$B$3</f>
        <v>14.814</v>
      </c>
      <c r="S802" s="22">
        <f t="shared" si="100"/>
        <v>-4.1765000000000008</v>
      </c>
      <c r="T802" s="20" t="str">
        <f t="shared" si="101"/>
        <v>15-21 days</v>
      </c>
    </row>
    <row r="803" spans="1:20" x14ac:dyDescent="0.3">
      <c r="A803" s="20" t="s">
        <v>869</v>
      </c>
      <c r="B803" s="20" t="s">
        <v>19</v>
      </c>
      <c r="C803" s="21">
        <v>45637</v>
      </c>
      <c r="D803" s="21">
        <v>45642</v>
      </c>
      <c r="E803" s="21">
        <v>45653</v>
      </c>
      <c r="F803" s="20" t="s">
        <v>67</v>
      </c>
      <c r="G803" s="22">
        <v>126.3</v>
      </c>
      <c r="H803" s="22">
        <v>14.75</v>
      </c>
      <c r="I803" s="20" t="s">
        <v>45</v>
      </c>
      <c r="J803" s="20">
        <v>5</v>
      </c>
      <c r="K803" s="20" t="s">
        <v>46</v>
      </c>
      <c r="L803" s="23">
        <f t="shared" si="95"/>
        <v>45627</v>
      </c>
      <c r="M803" s="20">
        <f t="shared" si="96"/>
        <v>5</v>
      </c>
      <c r="N803" s="20">
        <f t="shared" si="97"/>
        <v>0</v>
      </c>
      <c r="O803" s="20">
        <f t="shared" si="98"/>
        <v>1</v>
      </c>
      <c r="P803" s="22">
        <f t="shared" si="99"/>
        <v>141.05000000000001</v>
      </c>
      <c r="Q803" s="22">
        <f>G803*INDEX(Assumptions!$B$8:$B$16,MATCH(F803,Assumptions!$A$8:$A$16,0))</f>
        <v>78.305999999999997</v>
      </c>
      <c r="R803" s="22">
        <f>H803*Assumptions!$B$3</f>
        <v>8.85</v>
      </c>
      <c r="S803" s="22">
        <f t="shared" si="100"/>
        <v>39.143999999999998</v>
      </c>
      <c r="T803" s="20" t="str">
        <f t="shared" si="101"/>
        <v>0-7 days</v>
      </c>
    </row>
    <row r="804" spans="1:20" x14ac:dyDescent="0.3">
      <c r="A804" s="20" t="s">
        <v>870</v>
      </c>
      <c r="B804" s="20" t="s">
        <v>19</v>
      </c>
      <c r="C804" s="21">
        <v>45637</v>
      </c>
      <c r="D804" s="21">
        <v>45644</v>
      </c>
      <c r="E804" s="21">
        <v>45653</v>
      </c>
      <c r="F804" s="20" t="s">
        <v>64</v>
      </c>
      <c r="G804" s="22">
        <v>213.04</v>
      </c>
      <c r="H804" s="22">
        <v>22.2</v>
      </c>
      <c r="I804" s="20" t="s">
        <v>50</v>
      </c>
      <c r="J804" s="20">
        <v>5</v>
      </c>
      <c r="K804" s="20" t="s">
        <v>46</v>
      </c>
      <c r="L804" s="23">
        <f t="shared" si="95"/>
        <v>45627</v>
      </c>
      <c r="M804" s="20">
        <f t="shared" si="96"/>
        <v>7</v>
      </c>
      <c r="N804" s="20">
        <f t="shared" si="97"/>
        <v>0</v>
      </c>
      <c r="O804" s="20">
        <f t="shared" si="98"/>
        <v>1</v>
      </c>
      <c r="P804" s="22">
        <f t="shared" si="99"/>
        <v>235.23999999999998</v>
      </c>
      <c r="Q804" s="22">
        <f>G804*INDEX(Assumptions!$B$8:$B$16,MATCH(F804,Assumptions!$A$8:$A$16,0))</f>
        <v>140.60640000000001</v>
      </c>
      <c r="R804" s="22">
        <f>H804*Assumptions!$B$3</f>
        <v>13.319999999999999</v>
      </c>
      <c r="S804" s="22">
        <f t="shared" si="100"/>
        <v>59.113599999999984</v>
      </c>
      <c r="T804" s="20" t="str">
        <f t="shared" si="101"/>
        <v>0-7 days</v>
      </c>
    </row>
    <row r="805" spans="1:20" x14ac:dyDescent="0.3">
      <c r="A805" s="20" t="s">
        <v>871</v>
      </c>
      <c r="B805" s="20" t="s">
        <v>103</v>
      </c>
      <c r="C805" s="21">
        <v>45638</v>
      </c>
      <c r="D805" s="21">
        <v>45649</v>
      </c>
      <c r="E805" s="21">
        <v>45659</v>
      </c>
      <c r="F805" s="20" t="s">
        <v>79</v>
      </c>
      <c r="G805" s="22">
        <v>80</v>
      </c>
      <c r="H805" s="22">
        <v>19.27</v>
      </c>
      <c r="I805" s="20" t="s">
        <v>45</v>
      </c>
      <c r="J805" s="20">
        <v>4</v>
      </c>
      <c r="K805" s="20" t="s">
        <v>46</v>
      </c>
      <c r="L805" s="23">
        <f t="shared" si="95"/>
        <v>45627</v>
      </c>
      <c r="M805" s="20">
        <f t="shared" si="96"/>
        <v>11</v>
      </c>
      <c r="N805" s="20">
        <f t="shared" si="97"/>
        <v>0</v>
      </c>
      <c r="O805" s="20">
        <f t="shared" si="98"/>
        <v>1</v>
      </c>
      <c r="P805" s="22">
        <f t="shared" si="99"/>
        <v>99.27</v>
      </c>
      <c r="Q805" s="22">
        <f>G805*INDEX(Assumptions!$B$8:$B$16,MATCH(F805,Assumptions!$A$8:$A$16,0))</f>
        <v>56</v>
      </c>
      <c r="R805" s="22">
        <f>H805*Assumptions!$B$3</f>
        <v>11.561999999999999</v>
      </c>
      <c r="S805" s="22">
        <f t="shared" si="100"/>
        <v>12.438000000000001</v>
      </c>
      <c r="T805" s="20" t="str">
        <f t="shared" si="101"/>
        <v>8-14 days</v>
      </c>
    </row>
    <row r="806" spans="1:20" x14ac:dyDescent="0.3">
      <c r="A806" s="20" t="s">
        <v>872</v>
      </c>
      <c r="B806" s="20" t="s">
        <v>19</v>
      </c>
      <c r="C806" s="21">
        <v>45638</v>
      </c>
      <c r="D806" s="21">
        <v>45651</v>
      </c>
      <c r="E806" s="21">
        <v>45652</v>
      </c>
      <c r="F806" s="20" t="s">
        <v>111</v>
      </c>
      <c r="G806" s="22">
        <v>118.57</v>
      </c>
      <c r="H806" s="22">
        <v>17.940000000000001</v>
      </c>
      <c r="I806" s="20" t="s">
        <v>45</v>
      </c>
      <c r="J806" s="20">
        <v>3</v>
      </c>
      <c r="K806" s="20" t="s">
        <v>46</v>
      </c>
      <c r="L806" s="23">
        <f t="shared" si="95"/>
        <v>45627</v>
      </c>
      <c r="M806" s="20">
        <f t="shared" si="96"/>
        <v>13</v>
      </c>
      <c r="N806" s="20">
        <f t="shared" si="97"/>
        <v>0</v>
      </c>
      <c r="O806" s="20">
        <f t="shared" si="98"/>
        <v>1</v>
      </c>
      <c r="P806" s="22">
        <f t="shared" si="99"/>
        <v>136.51</v>
      </c>
      <c r="Q806" s="22">
        <f>G806*INDEX(Assumptions!$B$8:$B$16,MATCH(F806,Assumptions!$A$8:$A$16,0))</f>
        <v>74.699100000000001</v>
      </c>
      <c r="R806" s="22">
        <f>H806*Assumptions!$B$3</f>
        <v>10.764000000000001</v>
      </c>
      <c r="S806" s="22">
        <f t="shared" si="100"/>
        <v>33.106899999999989</v>
      </c>
      <c r="T806" s="20" t="str">
        <f t="shared" si="101"/>
        <v>8-14 days</v>
      </c>
    </row>
    <row r="807" spans="1:20" x14ac:dyDescent="0.3">
      <c r="A807" s="20" t="s">
        <v>873</v>
      </c>
      <c r="B807" s="20" t="s">
        <v>19</v>
      </c>
      <c r="C807" s="21">
        <v>45638</v>
      </c>
      <c r="D807" s="21">
        <v>45649</v>
      </c>
      <c r="E807" s="21">
        <v>45652</v>
      </c>
      <c r="F807" s="20" t="s">
        <v>59</v>
      </c>
      <c r="G807" s="22">
        <v>45.29</v>
      </c>
      <c r="H807" s="22">
        <v>17.690000000000001</v>
      </c>
      <c r="I807" s="20" t="s">
        <v>45</v>
      </c>
      <c r="J807" s="20">
        <v>5</v>
      </c>
      <c r="K807" s="20" t="s">
        <v>46</v>
      </c>
      <c r="L807" s="23">
        <f t="shared" si="95"/>
        <v>45627</v>
      </c>
      <c r="M807" s="20">
        <f t="shared" si="96"/>
        <v>11</v>
      </c>
      <c r="N807" s="20">
        <f t="shared" si="97"/>
        <v>0</v>
      </c>
      <c r="O807" s="20">
        <f t="shared" si="98"/>
        <v>1</v>
      </c>
      <c r="P807" s="22">
        <f t="shared" si="99"/>
        <v>62.980000000000004</v>
      </c>
      <c r="Q807" s="22">
        <f>G807*INDEX(Assumptions!$B$8:$B$16,MATCH(F807,Assumptions!$A$8:$A$16,0))</f>
        <v>28.985600000000002</v>
      </c>
      <c r="R807" s="22">
        <f>H807*Assumptions!$B$3</f>
        <v>10.614000000000001</v>
      </c>
      <c r="S807" s="22">
        <f t="shared" si="100"/>
        <v>5.6903999999999968</v>
      </c>
      <c r="T807" s="20" t="str">
        <f t="shared" si="101"/>
        <v>8-14 days</v>
      </c>
    </row>
    <row r="808" spans="1:20" x14ac:dyDescent="0.3">
      <c r="A808" s="20" t="s">
        <v>874</v>
      </c>
      <c r="B808" s="20" t="s">
        <v>19</v>
      </c>
      <c r="C808" s="21">
        <v>45638</v>
      </c>
      <c r="D808" s="21">
        <v>45646</v>
      </c>
      <c r="E808" s="21">
        <v>45653</v>
      </c>
      <c r="F808" s="20" t="s">
        <v>49</v>
      </c>
      <c r="G808" s="22">
        <v>41.66</v>
      </c>
      <c r="H808" s="22">
        <v>14.56</v>
      </c>
      <c r="I808" s="20" t="s">
        <v>45</v>
      </c>
      <c r="J808" s="20">
        <v>5</v>
      </c>
      <c r="K808" s="20" t="s">
        <v>46</v>
      </c>
      <c r="L808" s="23">
        <f t="shared" si="95"/>
        <v>45627</v>
      </c>
      <c r="M808" s="20">
        <f t="shared" si="96"/>
        <v>8</v>
      </c>
      <c r="N808" s="20">
        <f t="shared" si="97"/>
        <v>0</v>
      </c>
      <c r="O808" s="20">
        <f t="shared" si="98"/>
        <v>1</v>
      </c>
      <c r="P808" s="22">
        <f t="shared" si="99"/>
        <v>56.22</v>
      </c>
      <c r="Q808" s="22">
        <f>G808*INDEX(Assumptions!$B$8:$B$16,MATCH(F808,Assumptions!$A$8:$A$16,0))</f>
        <v>24.162799999999997</v>
      </c>
      <c r="R808" s="22">
        <f>H808*Assumptions!$B$3</f>
        <v>8.7360000000000007</v>
      </c>
      <c r="S808" s="22">
        <f t="shared" si="100"/>
        <v>8.7611999999999988</v>
      </c>
      <c r="T808" s="20" t="str">
        <f t="shared" si="101"/>
        <v>8-14 days</v>
      </c>
    </row>
    <row r="809" spans="1:20" x14ac:dyDescent="0.3">
      <c r="A809" s="20" t="s">
        <v>875</v>
      </c>
      <c r="B809" s="20" t="s">
        <v>55</v>
      </c>
      <c r="C809" s="21">
        <v>45638</v>
      </c>
      <c r="D809" s="21">
        <v>45656</v>
      </c>
      <c r="E809" s="21">
        <v>45657</v>
      </c>
      <c r="F809" s="20" t="s">
        <v>53</v>
      </c>
      <c r="G809" s="22">
        <v>69.78</v>
      </c>
      <c r="H809" s="22">
        <v>20.73</v>
      </c>
      <c r="I809" s="20" t="s">
        <v>45</v>
      </c>
      <c r="J809" s="20">
        <v>4</v>
      </c>
      <c r="K809" s="20" t="s">
        <v>46</v>
      </c>
      <c r="L809" s="23">
        <f t="shared" si="95"/>
        <v>45627</v>
      </c>
      <c r="M809" s="20">
        <f t="shared" si="96"/>
        <v>18</v>
      </c>
      <c r="N809" s="20">
        <f t="shared" si="97"/>
        <v>0</v>
      </c>
      <c r="O809" s="20">
        <f t="shared" si="98"/>
        <v>1</v>
      </c>
      <c r="P809" s="22">
        <f t="shared" si="99"/>
        <v>90.51</v>
      </c>
      <c r="Q809" s="22">
        <f>G809*INDEX(Assumptions!$B$8:$B$16,MATCH(F809,Assumptions!$A$8:$A$16,0))</f>
        <v>51.6372</v>
      </c>
      <c r="R809" s="22">
        <f>H809*Assumptions!$B$3</f>
        <v>12.438000000000001</v>
      </c>
      <c r="S809" s="22">
        <f t="shared" si="100"/>
        <v>5.7048000000000005</v>
      </c>
      <c r="T809" s="20" t="str">
        <f t="shared" si="101"/>
        <v>15-21 days</v>
      </c>
    </row>
    <row r="810" spans="1:20" x14ac:dyDescent="0.3">
      <c r="A810" s="20" t="s">
        <v>876</v>
      </c>
      <c r="B810" s="20" t="s">
        <v>19</v>
      </c>
      <c r="C810" s="21">
        <v>45638</v>
      </c>
      <c r="D810" s="21">
        <v>45648</v>
      </c>
      <c r="E810" s="21">
        <v>45653</v>
      </c>
      <c r="F810" s="20" t="s">
        <v>79</v>
      </c>
      <c r="G810" s="22">
        <v>205.19</v>
      </c>
      <c r="H810" s="22">
        <v>16.05</v>
      </c>
      <c r="I810" s="20" t="s">
        <v>45</v>
      </c>
      <c r="J810" s="20">
        <v>5</v>
      </c>
      <c r="K810" s="20" t="s">
        <v>46</v>
      </c>
      <c r="L810" s="23">
        <f t="shared" si="95"/>
        <v>45627</v>
      </c>
      <c r="M810" s="20">
        <f t="shared" si="96"/>
        <v>10</v>
      </c>
      <c r="N810" s="20">
        <f t="shared" si="97"/>
        <v>0</v>
      </c>
      <c r="O810" s="20">
        <f t="shared" si="98"/>
        <v>1</v>
      </c>
      <c r="P810" s="22">
        <f t="shared" si="99"/>
        <v>221.24</v>
      </c>
      <c r="Q810" s="22">
        <f>G810*INDEX(Assumptions!$B$8:$B$16,MATCH(F810,Assumptions!$A$8:$A$16,0))</f>
        <v>143.63299999999998</v>
      </c>
      <c r="R810" s="22">
        <f>H810*Assumptions!$B$3</f>
        <v>9.6300000000000008</v>
      </c>
      <c r="S810" s="22">
        <f t="shared" si="100"/>
        <v>51.927000000000014</v>
      </c>
      <c r="T810" s="20" t="str">
        <f t="shared" si="101"/>
        <v>8-14 days</v>
      </c>
    </row>
    <row r="811" spans="1:20" x14ac:dyDescent="0.3">
      <c r="A811" s="20" t="s">
        <v>877</v>
      </c>
      <c r="B811" s="20" t="s">
        <v>19</v>
      </c>
      <c r="C811" s="21">
        <v>45639</v>
      </c>
      <c r="D811" s="21">
        <v>45658</v>
      </c>
      <c r="E811" s="21">
        <v>45656</v>
      </c>
      <c r="F811" s="20" t="s">
        <v>64</v>
      </c>
      <c r="G811" s="22">
        <v>88.08</v>
      </c>
      <c r="H811" s="22">
        <v>16.77</v>
      </c>
      <c r="I811" s="20" t="s">
        <v>45</v>
      </c>
      <c r="J811" s="20">
        <v>3</v>
      </c>
      <c r="K811" s="20" t="s">
        <v>46</v>
      </c>
      <c r="L811" s="23">
        <f t="shared" si="95"/>
        <v>45627</v>
      </c>
      <c r="M811" s="20">
        <f t="shared" si="96"/>
        <v>19</v>
      </c>
      <c r="N811" s="20">
        <f t="shared" si="97"/>
        <v>2</v>
      </c>
      <c r="O811" s="20">
        <f t="shared" si="98"/>
        <v>0</v>
      </c>
      <c r="P811" s="22">
        <f t="shared" si="99"/>
        <v>104.85</v>
      </c>
      <c r="Q811" s="22">
        <f>G811*INDEX(Assumptions!$B$8:$B$16,MATCH(F811,Assumptions!$A$8:$A$16,0))</f>
        <v>58.132800000000003</v>
      </c>
      <c r="R811" s="22">
        <f>H811*Assumptions!$B$3</f>
        <v>10.061999999999999</v>
      </c>
      <c r="S811" s="22">
        <f t="shared" si="100"/>
        <v>19.885199999999998</v>
      </c>
      <c r="T811" s="20" t="str">
        <f t="shared" si="101"/>
        <v>15-21 days</v>
      </c>
    </row>
    <row r="812" spans="1:20" x14ac:dyDescent="0.3">
      <c r="A812" s="20" t="s">
        <v>878</v>
      </c>
      <c r="B812" s="20" t="s">
        <v>62</v>
      </c>
      <c r="C812" s="21">
        <v>45639</v>
      </c>
      <c r="D812" s="21">
        <v>45646</v>
      </c>
      <c r="E812" s="21">
        <v>45658</v>
      </c>
      <c r="F812" s="20" t="s">
        <v>57</v>
      </c>
      <c r="G812" s="22">
        <v>288.14999999999998</v>
      </c>
      <c r="H812" s="22">
        <v>29.55</v>
      </c>
      <c r="I812" s="20" t="s">
        <v>50</v>
      </c>
      <c r="J812" s="20">
        <v>4</v>
      </c>
      <c r="K812" s="20" t="s">
        <v>46</v>
      </c>
      <c r="L812" s="23">
        <f t="shared" si="95"/>
        <v>45627</v>
      </c>
      <c r="M812" s="20">
        <f t="shared" si="96"/>
        <v>7</v>
      </c>
      <c r="N812" s="20">
        <f t="shared" si="97"/>
        <v>0</v>
      </c>
      <c r="O812" s="20">
        <f t="shared" si="98"/>
        <v>1</v>
      </c>
      <c r="P812" s="22">
        <f t="shared" si="99"/>
        <v>317.7</v>
      </c>
      <c r="Q812" s="22">
        <f>G812*INDEX(Assumptions!$B$8:$B$16,MATCH(F812,Assumptions!$A$8:$A$16,0))</f>
        <v>195.94200000000001</v>
      </c>
      <c r="R812" s="22">
        <f>H812*Assumptions!$B$3</f>
        <v>17.73</v>
      </c>
      <c r="S812" s="22">
        <f t="shared" si="100"/>
        <v>74.477999999999966</v>
      </c>
      <c r="T812" s="20" t="str">
        <f t="shared" si="101"/>
        <v>0-7 days</v>
      </c>
    </row>
    <row r="813" spans="1:20" x14ac:dyDescent="0.3">
      <c r="A813" s="20" t="s">
        <v>879</v>
      </c>
      <c r="B813" s="20" t="s">
        <v>62</v>
      </c>
      <c r="C813" s="21">
        <v>45639</v>
      </c>
      <c r="D813" s="21">
        <v>45651</v>
      </c>
      <c r="E813" s="21">
        <v>45660</v>
      </c>
      <c r="F813" s="20" t="s">
        <v>111</v>
      </c>
      <c r="G813" s="22">
        <v>62.39</v>
      </c>
      <c r="H813" s="22">
        <v>25.87</v>
      </c>
      <c r="I813" s="20" t="s">
        <v>45</v>
      </c>
      <c r="J813" s="20">
        <v>5</v>
      </c>
      <c r="K813" s="20" t="s">
        <v>46</v>
      </c>
      <c r="L813" s="23">
        <f t="shared" si="95"/>
        <v>45627</v>
      </c>
      <c r="M813" s="20">
        <f t="shared" si="96"/>
        <v>12</v>
      </c>
      <c r="N813" s="20">
        <f t="shared" si="97"/>
        <v>0</v>
      </c>
      <c r="O813" s="20">
        <f t="shared" si="98"/>
        <v>1</v>
      </c>
      <c r="P813" s="22">
        <f t="shared" si="99"/>
        <v>88.26</v>
      </c>
      <c r="Q813" s="22">
        <f>G813*INDEX(Assumptions!$B$8:$B$16,MATCH(F813,Assumptions!$A$8:$A$16,0))</f>
        <v>39.305700000000002</v>
      </c>
      <c r="R813" s="22">
        <f>H813*Assumptions!$B$3</f>
        <v>15.522</v>
      </c>
      <c r="S813" s="22">
        <f t="shared" si="100"/>
        <v>7.5622999999999987</v>
      </c>
      <c r="T813" s="20" t="str">
        <f t="shared" si="101"/>
        <v>8-14 days</v>
      </c>
    </row>
    <row r="814" spans="1:20" x14ac:dyDescent="0.3">
      <c r="A814" s="20" t="s">
        <v>880</v>
      </c>
      <c r="B814" s="20" t="s">
        <v>62</v>
      </c>
      <c r="C814" s="21">
        <v>45639</v>
      </c>
      <c r="D814" s="21">
        <v>45656</v>
      </c>
      <c r="E814" s="21">
        <v>45661</v>
      </c>
      <c r="F814" s="20" t="s">
        <v>79</v>
      </c>
      <c r="G814" s="22">
        <v>120.15</v>
      </c>
      <c r="H814" s="22">
        <v>16.43</v>
      </c>
      <c r="I814" s="20" t="s">
        <v>45</v>
      </c>
      <c r="J814" s="20">
        <v>5</v>
      </c>
      <c r="K814" s="20" t="s">
        <v>46</v>
      </c>
      <c r="L814" s="23">
        <f t="shared" si="95"/>
        <v>45627</v>
      </c>
      <c r="M814" s="20">
        <f t="shared" si="96"/>
        <v>17</v>
      </c>
      <c r="N814" s="20">
        <f t="shared" si="97"/>
        <v>0</v>
      </c>
      <c r="O814" s="20">
        <f t="shared" si="98"/>
        <v>1</v>
      </c>
      <c r="P814" s="22">
        <f t="shared" si="99"/>
        <v>136.58000000000001</v>
      </c>
      <c r="Q814" s="22">
        <f>G814*INDEX(Assumptions!$B$8:$B$16,MATCH(F814,Assumptions!$A$8:$A$16,0))</f>
        <v>84.105000000000004</v>
      </c>
      <c r="R814" s="22">
        <f>H814*Assumptions!$B$3</f>
        <v>9.8579999999999988</v>
      </c>
      <c r="S814" s="22">
        <f t="shared" si="100"/>
        <v>26.187000000000005</v>
      </c>
      <c r="T814" s="20" t="str">
        <f t="shared" si="101"/>
        <v>15-21 days</v>
      </c>
    </row>
    <row r="815" spans="1:20" x14ac:dyDescent="0.3">
      <c r="A815" s="20" t="s">
        <v>881</v>
      </c>
      <c r="B815" s="20" t="s">
        <v>19</v>
      </c>
      <c r="C815" s="21">
        <v>45639</v>
      </c>
      <c r="D815" s="21">
        <v>45653</v>
      </c>
      <c r="E815" s="21">
        <v>45655</v>
      </c>
      <c r="F815" s="20" t="s">
        <v>67</v>
      </c>
      <c r="G815" s="22">
        <v>73.03</v>
      </c>
      <c r="H815" s="22">
        <v>18.579999999999998</v>
      </c>
      <c r="I815" s="20" t="s">
        <v>45</v>
      </c>
      <c r="J815" s="20">
        <v>4</v>
      </c>
      <c r="K815" s="20" t="s">
        <v>46</v>
      </c>
      <c r="L815" s="23">
        <f t="shared" si="95"/>
        <v>45627</v>
      </c>
      <c r="M815" s="20">
        <f t="shared" si="96"/>
        <v>14</v>
      </c>
      <c r="N815" s="20">
        <f t="shared" si="97"/>
        <v>0</v>
      </c>
      <c r="O815" s="20">
        <f t="shared" si="98"/>
        <v>1</v>
      </c>
      <c r="P815" s="22">
        <f t="shared" si="99"/>
        <v>91.61</v>
      </c>
      <c r="Q815" s="22">
        <f>G815*INDEX(Assumptions!$B$8:$B$16,MATCH(F815,Assumptions!$A$8:$A$16,0))</f>
        <v>45.278599999999997</v>
      </c>
      <c r="R815" s="22">
        <f>H815*Assumptions!$B$3</f>
        <v>11.147999999999998</v>
      </c>
      <c r="S815" s="22">
        <f t="shared" si="100"/>
        <v>16.603400000000008</v>
      </c>
      <c r="T815" s="20" t="str">
        <f t="shared" si="101"/>
        <v>8-14 days</v>
      </c>
    </row>
    <row r="816" spans="1:20" x14ac:dyDescent="0.3">
      <c r="A816" s="20" t="s">
        <v>882</v>
      </c>
      <c r="B816" s="20" t="s">
        <v>55</v>
      </c>
      <c r="C816" s="21">
        <v>45640</v>
      </c>
      <c r="D816" s="21">
        <v>45659</v>
      </c>
      <c r="E816" s="21">
        <v>45667</v>
      </c>
      <c r="F816" s="20" t="s">
        <v>111</v>
      </c>
      <c r="G816" s="22">
        <v>63.23</v>
      </c>
      <c r="H816" s="22">
        <v>16.95</v>
      </c>
      <c r="I816" s="20" t="s">
        <v>45</v>
      </c>
      <c r="J816" s="20">
        <v>3</v>
      </c>
      <c r="K816" s="20" t="s">
        <v>46</v>
      </c>
      <c r="L816" s="23">
        <f t="shared" si="95"/>
        <v>45627</v>
      </c>
      <c r="M816" s="20">
        <f t="shared" si="96"/>
        <v>19</v>
      </c>
      <c r="N816" s="20">
        <f t="shared" si="97"/>
        <v>0</v>
      </c>
      <c r="O816" s="20">
        <f t="shared" si="98"/>
        <v>1</v>
      </c>
      <c r="P816" s="22">
        <f t="shared" si="99"/>
        <v>80.179999999999993</v>
      </c>
      <c r="Q816" s="22">
        <f>G816*INDEX(Assumptions!$B$8:$B$16,MATCH(F816,Assumptions!$A$8:$A$16,0))</f>
        <v>39.834899999999998</v>
      </c>
      <c r="R816" s="22">
        <f>H816*Assumptions!$B$3</f>
        <v>10.17</v>
      </c>
      <c r="S816" s="22">
        <f t="shared" si="100"/>
        <v>13.225099999999999</v>
      </c>
      <c r="T816" s="20" t="str">
        <f t="shared" si="101"/>
        <v>15-21 days</v>
      </c>
    </row>
    <row r="817" spans="1:20" x14ac:dyDescent="0.3">
      <c r="A817" s="20" t="s">
        <v>883</v>
      </c>
      <c r="B817" s="20" t="s">
        <v>19</v>
      </c>
      <c r="C817" s="21">
        <v>45640</v>
      </c>
      <c r="D817" s="21">
        <v>45649</v>
      </c>
      <c r="E817" s="21">
        <v>45657</v>
      </c>
      <c r="F817" s="20" t="s">
        <v>111</v>
      </c>
      <c r="G817" s="22">
        <v>55.57</v>
      </c>
      <c r="H817" s="22">
        <v>21.14</v>
      </c>
      <c r="I817" s="20" t="s">
        <v>45</v>
      </c>
      <c r="J817" s="20">
        <v>5</v>
      </c>
      <c r="K817" s="20" t="s">
        <v>46</v>
      </c>
      <c r="L817" s="23">
        <f t="shared" si="95"/>
        <v>45627</v>
      </c>
      <c r="M817" s="20">
        <f t="shared" si="96"/>
        <v>9</v>
      </c>
      <c r="N817" s="20">
        <f t="shared" si="97"/>
        <v>0</v>
      </c>
      <c r="O817" s="20">
        <f t="shared" si="98"/>
        <v>1</v>
      </c>
      <c r="P817" s="22">
        <f t="shared" si="99"/>
        <v>76.710000000000008</v>
      </c>
      <c r="Q817" s="22">
        <f>G817*INDEX(Assumptions!$B$8:$B$16,MATCH(F817,Assumptions!$A$8:$A$16,0))</f>
        <v>35.009100000000004</v>
      </c>
      <c r="R817" s="22">
        <f>H817*Assumptions!$B$3</f>
        <v>12.683999999999999</v>
      </c>
      <c r="S817" s="22">
        <f t="shared" si="100"/>
        <v>7.8768999999999973</v>
      </c>
      <c r="T817" s="20" t="str">
        <f t="shared" si="101"/>
        <v>8-14 days</v>
      </c>
    </row>
    <row r="818" spans="1:20" x14ac:dyDescent="0.3">
      <c r="A818" s="20" t="s">
        <v>884</v>
      </c>
      <c r="B818" s="20" t="s">
        <v>19</v>
      </c>
      <c r="C818" s="21">
        <v>45641</v>
      </c>
      <c r="D818" s="21">
        <v>45648</v>
      </c>
      <c r="E818" s="21">
        <v>45659</v>
      </c>
      <c r="F818" s="20" t="s">
        <v>53</v>
      </c>
      <c r="G818" s="22">
        <v>168.73</v>
      </c>
      <c r="H818" s="22">
        <v>23.28</v>
      </c>
      <c r="I818" s="20" t="s">
        <v>45</v>
      </c>
      <c r="J818" s="20">
        <v>4</v>
      </c>
      <c r="K818" s="20" t="s">
        <v>46</v>
      </c>
      <c r="L818" s="23">
        <f t="shared" si="95"/>
        <v>45627</v>
      </c>
      <c r="M818" s="20">
        <f t="shared" si="96"/>
        <v>7</v>
      </c>
      <c r="N818" s="20">
        <f t="shared" si="97"/>
        <v>0</v>
      </c>
      <c r="O818" s="20">
        <f t="shared" si="98"/>
        <v>1</v>
      </c>
      <c r="P818" s="22">
        <f t="shared" si="99"/>
        <v>192.01</v>
      </c>
      <c r="Q818" s="22">
        <f>G818*INDEX(Assumptions!$B$8:$B$16,MATCH(F818,Assumptions!$A$8:$A$16,0))</f>
        <v>124.86019999999999</v>
      </c>
      <c r="R818" s="22">
        <f>H818*Assumptions!$B$3</f>
        <v>13.968</v>
      </c>
      <c r="S818" s="22">
        <f t="shared" si="100"/>
        <v>29.901799999999998</v>
      </c>
      <c r="T818" s="20" t="str">
        <f t="shared" si="101"/>
        <v>0-7 days</v>
      </c>
    </row>
    <row r="819" spans="1:20" x14ac:dyDescent="0.3">
      <c r="A819" s="20" t="s">
        <v>885</v>
      </c>
      <c r="B819" s="20" t="s">
        <v>55</v>
      </c>
      <c r="C819" s="21">
        <v>45641</v>
      </c>
      <c r="D819" s="21">
        <v>45661</v>
      </c>
      <c r="E819" s="21">
        <v>45666</v>
      </c>
      <c r="F819" s="20" t="s">
        <v>64</v>
      </c>
      <c r="G819" s="22">
        <v>228.35</v>
      </c>
      <c r="H819" s="22">
        <v>31.32</v>
      </c>
      <c r="I819" s="20" t="s">
        <v>45</v>
      </c>
      <c r="J819" s="20">
        <v>3</v>
      </c>
      <c r="K819" s="20" t="s">
        <v>46</v>
      </c>
      <c r="L819" s="23">
        <f t="shared" si="95"/>
        <v>45627</v>
      </c>
      <c r="M819" s="20">
        <f t="shared" si="96"/>
        <v>20</v>
      </c>
      <c r="N819" s="20">
        <f t="shared" si="97"/>
        <v>0</v>
      </c>
      <c r="O819" s="20">
        <f t="shared" si="98"/>
        <v>1</v>
      </c>
      <c r="P819" s="22">
        <f t="shared" si="99"/>
        <v>259.67</v>
      </c>
      <c r="Q819" s="22">
        <f>G819*INDEX(Assumptions!$B$8:$B$16,MATCH(F819,Assumptions!$A$8:$A$16,0))</f>
        <v>150.71100000000001</v>
      </c>
      <c r="R819" s="22">
        <f>H819*Assumptions!$B$3</f>
        <v>18.791999999999998</v>
      </c>
      <c r="S819" s="22">
        <f t="shared" si="100"/>
        <v>58.84699999999998</v>
      </c>
      <c r="T819" s="20" t="str">
        <f t="shared" si="101"/>
        <v>15-21 days</v>
      </c>
    </row>
    <row r="820" spans="1:20" x14ac:dyDescent="0.3">
      <c r="A820" s="20" t="s">
        <v>886</v>
      </c>
      <c r="B820" s="20" t="s">
        <v>48</v>
      </c>
      <c r="C820" s="21">
        <v>45641</v>
      </c>
      <c r="D820" s="21">
        <v>45659</v>
      </c>
      <c r="E820" s="21">
        <v>45663</v>
      </c>
      <c r="F820" s="20" t="s">
        <v>49</v>
      </c>
      <c r="G820" s="22">
        <v>153.1</v>
      </c>
      <c r="H820" s="22">
        <v>25.95</v>
      </c>
      <c r="I820" s="20" t="s">
        <v>45</v>
      </c>
      <c r="J820" s="20">
        <v>4</v>
      </c>
      <c r="K820" s="20" t="s">
        <v>46</v>
      </c>
      <c r="L820" s="23">
        <f t="shared" si="95"/>
        <v>45627</v>
      </c>
      <c r="M820" s="20">
        <f t="shared" si="96"/>
        <v>18</v>
      </c>
      <c r="N820" s="20">
        <f t="shared" si="97"/>
        <v>0</v>
      </c>
      <c r="O820" s="20">
        <f t="shared" si="98"/>
        <v>1</v>
      </c>
      <c r="P820" s="22">
        <f t="shared" si="99"/>
        <v>179.04999999999998</v>
      </c>
      <c r="Q820" s="22">
        <f>G820*INDEX(Assumptions!$B$8:$B$16,MATCH(F820,Assumptions!$A$8:$A$16,0))</f>
        <v>88.797999999999988</v>
      </c>
      <c r="R820" s="22">
        <f>H820*Assumptions!$B$3</f>
        <v>15.569999999999999</v>
      </c>
      <c r="S820" s="22">
        <f t="shared" si="100"/>
        <v>48.732000000000006</v>
      </c>
      <c r="T820" s="20" t="str">
        <f t="shared" si="101"/>
        <v>15-21 days</v>
      </c>
    </row>
    <row r="821" spans="1:20" x14ac:dyDescent="0.3">
      <c r="A821" s="20" t="s">
        <v>887</v>
      </c>
      <c r="B821" s="20" t="s">
        <v>55</v>
      </c>
      <c r="C821" s="21">
        <v>45642</v>
      </c>
      <c r="D821" s="21">
        <v>45664</v>
      </c>
      <c r="E821" s="21">
        <v>45665</v>
      </c>
      <c r="F821" s="20" t="s">
        <v>79</v>
      </c>
      <c r="G821" s="22">
        <v>88.64</v>
      </c>
      <c r="H821" s="22">
        <v>25.46</v>
      </c>
      <c r="I821" s="20" t="s">
        <v>45</v>
      </c>
      <c r="J821" s="20">
        <v>4</v>
      </c>
      <c r="K821" s="20" t="s">
        <v>46</v>
      </c>
      <c r="L821" s="23">
        <f t="shared" si="95"/>
        <v>45627</v>
      </c>
      <c r="M821" s="20">
        <f t="shared" si="96"/>
        <v>22</v>
      </c>
      <c r="N821" s="20">
        <f t="shared" si="97"/>
        <v>0</v>
      </c>
      <c r="O821" s="20">
        <f t="shared" si="98"/>
        <v>1</v>
      </c>
      <c r="P821" s="22">
        <f t="shared" si="99"/>
        <v>114.1</v>
      </c>
      <c r="Q821" s="22">
        <f>G821*INDEX(Assumptions!$B$8:$B$16,MATCH(F821,Assumptions!$A$8:$A$16,0))</f>
        <v>62.047999999999995</v>
      </c>
      <c r="R821" s="22">
        <f>H821*Assumptions!$B$3</f>
        <v>15.276</v>
      </c>
      <c r="S821" s="22">
        <f t="shared" si="100"/>
        <v>11.316000000000006</v>
      </c>
      <c r="T821" s="20" t="str">
        <f t="shared" si="101"/>
        <v>22+ days</v>
      </c>
    </row>
    <row r="822" spans="1:20" x14ac:dyDescent="0.3">
      <c r="A822" s="20" t="s">
        <v>888</v>
      </c>
      <c r="B822" s="20" t="s">
        <v>55</v>
      </c>
      <c r="C822" s="21">
        <v>45642</v>
      </c>
      <c r="D822" s="21">
        <v>45669</v>
      </c>
      <c r="E822" s="21">
        <v>45664</v>
      </c>
      <c r="F822" s="20" t="s">
        <v>67</v>
      </c>
      <c r="G822" s="22">
        <v>107.71</v>
      </c>
      <c r="H822" s="22">
        <v>23.86</v>
      </c>
      <c r="I822" s="20" t="s">
        <v>45</v>
      </c>
      <c r="J822" s="20">
        <v>3</v>
      </c>
      <c r="K822" s="20" t="s">
        <v>46</v>
      </c>
      <c r="L822" s="23">
        <f t="shared" si="95"/>
        <v>45627</v>
      </c>
      <c r="M822" s="20">
        <f t="shared" si="96"/>
        <v>27</v>
      </c>
      <c r="N822" s="20">
        <f t="shared" si="97"/>
        <v>5</v>
      </c>
      <c r="O822" s="20">
        <f t="shared" si="98"/>
        <v>0</v>
      </c>
      <c r="P822" s="22">
        <f t="shared" si="99"/>
        <v>131.57</v>
      </c>
      <c r="Q822" s="22">
        <f>G822*INDEX(Assumptions!$B$8:$B$16,MATCH(F822,Assumptions!$A$8:$A$16,0))</f>
        <v>66.780199999999994</v>
      </c>
      <c r="R822" s="22">
        <f>H822*Assumptions!$B$3</f>
        <v>14.315999999999999</v>
      </c>
      <c r="S822" s="22">
        <f t="shared" si="100"/>
        <v>26.613800000000001</v>
      </c>
      <c r="T822" s="20" t="str">
        <f t="shared" si="101"/>
        <v>22+ days</v>
      </c>
    </row>
    <row r="823" spans="1:20" x14ac:dyDescent="0.3">
      <c r="A823" s="20" t="s">
        <v>889</v>
      </c>
      <c r="B823" s="20" t="s">
        <v>19</v>
      </c>
      <c r="C823" s="21">
        <v>45642</v>
      </c>
      <c r="D823" s="21">
        <v>45646</v>
      </c>
      <c r="E823" s="21">
        <v>45657</v>
      </c>
      <c r="F823" s="20" t="s">
        <v>53</v>
      </c>
      <c r="G823" s="22">
        <v>79.540000000000006</v>
      </c>
      <c r="H823" s="22">
        <v>18.75</v>
      </c>
      <c r="I823" s="20" t="s">
        <v>45</v>
      </c>
      <c r="J823" s="20">
        <v>5</v>
      </c>
      <c r="K823" s="20" t="s">
        <v>46</v>
      </c>
      <c r="L823" s="23">
        <f t="shared" si="95"/>
        <v>45627</v>
      </c>
      <c r="M823" s="20">
        <f t="shared" si="96"/>
        <v>4</v>
      </c>
      <c r="N823" s="20">
        <f t="shared" si="97"/>
        <v>0</v>
      </c>
      <c r="O823" s="20">
        <f t="shared" si="98"/>
        <v>1</v>
      </c>
      <c r="P823" s="22">
        <f t="shared" si="99"/>
        <v>98.29</v>
      </c>
      <c r="Q823" s="22">
        <f>G823*INDEX(Assumptions!$B$8:$B$16,MATCH(F823,Assumptions!$A$8:$A$16,0))</f>
        <v>58.859600000000007</v>
      </c>
      <c r="R823" s="22">
        <f>H823*Assumptions!$B$3</f>
        <v>11.25</v>
      </c>
      <c r="S823" s="22">
        <f t="shared" si="100"/>
        <v>9.4303999999999988</v>
      </c>
      <c r="T823" s="20" t="str">
        <f t="shared" si="101"/>
        <v>0-7 days</v>
      </c>
    </row>
    <row r="824" spans="1:20" x14ac:dyDescent="0.3">
      <c r="A824" s="20" t="s">
        <v>890</v>
      </c>
      <c r="B824" s="20" t="s">
        <v>52</v>
      </c>
      <c r="C824" s="21">
        <v>45642</v>
      </c>
      <c r="D824" s="21">
        <v>45657</v>
      </c>
      <c r="E824" s="21">
        <v>45664</v>
      </c>
      <c r="F824" s="20" t="s">
        <v>44</v>
      </c>
      <c r="G824" s="22">
        <v>42.06</v>
      </c>
      <c r="H824" s="22">
        <v>23.76</v>
      </c>
      <c r="I824" s="20" t="s">
        <v>45</v>
      </c>
      <c r="J824" s="20">
        <v>4</v>
      </c>
      <c r="K824" s="20" t="s">
        <v>46</v>
      </c>
      <c r="L824" s="23">
        <f t="shared" si="95"/>
        <v>45627</v>
      </c>
      <c r="M824" s="20">
        <f t="shared" si="96"/>
        <v>15</v>
      </c>
      <c r="N824" s="20">
        <f t="shared" si="97"/>
        <v>0</v>
      </c>
      <c r="O824" s="20">
        <f t="shared" si="98"/>
        <v>1</v>
      </c>
      <c r="P824" s="22">
        <f t="shared" si="99"/>
        <v>65.820000000000007</v>
      </c>
      <c r="Q824" s="22">
        <f>G824*INDEX(Assumptions!$B$8:$B$16,MATCH(F824,Assumptions!$A$8:$A$16,0))</f>
        <v>25.236000000000001</v>
      </c>
      <c r="R824" s="22">
        <f>H824*Assumptions!$B$3</f>
        <v>14.256</v>
      </c>
      <c r="S824" s="22">
        <f t="shared" si="100"/>
        <v>2.5680000000000014</v>
      </c>
      <c r="T824" s="20" t="str">
        <f t="shared" si="101"/>
        <v>15-21 days</v>
      </c>
    </row>
    <row r="825" spans="1:20" x14ac:dyDescent="0.3">
      <c r="A825" s="20" t="s">
        <v>891</v>
      </c>
      <c r="B825" s="20" t="s">
        <v>55</v>
      </c>
      <c r="C825" s="21">
        <v>45643</v>
      </c>
      <c r="D825" s="21">
        <v>45677</v>
      </c>
      <c r="E825" s="21">
        <v>45668</v>
      </c>
      <c r="F825" s="20" t="s">
        <v>79</v>
      </c>
      <c r="G825" s="22">
        <v>107.66</v>
      </c>
      <c r="H825" s="22">
        <v>24.97</v>
      </c>
      <c r="I825" s="20" t="s">
        <v>60</v>
      </c>
      <c r="J825" s="20">
        <v>1</v>
      </c>
      <c r="K825" s="20" t="s">
        <v>46</v>
      </c>
      <c r="L825" s="23">
        <f t="shared" si="95"/>
        <v>45627</v>
      </c>
      <c r="M825" s="20">
        <f t="shared" si="96"/>
        <v>34</v>
      </c>
      <c r="N825" s="20">
        <f t="shared" si="97"/>
        <v>9</v>
      </c>
      <c r="O825" s="20">
        <f t="shared" si="98"/>
        <v>0</v>
      </c>
      <c r="P825" s="22">
        <f t="shared" si="99"/>
        <v>132.63</v>
      </c>
      <c r="Q825" s="22">
        <f>G825*INDEX(Assumptions!$B$8:$B$16,MATCH(F825,Assumptions!$A$8:$A$16,0))</f>
        <v>75.361999999999995</v>
      </c>
      <c r="R825" s="22">
        <f>H825*Assumptions!$B$3</f>
        <v>14.981999999999999</v>
      </c>
      <c r="S825" s="22">
        <f t="shared" si="100"/>
        <v>17.316000000000003</v>
      </c>
      <c r="T825" s="20" t="str">
        <f t="shared" si="101"/>
        <v>22+ days</v>
      </c>
    </row>
    <row r="826" spans="1:20" x14ac:dyDescent="0.3">
      <c r="A826" s="20" t="s">
        <v>892</v>
      </c>
      <c r="B826" s="20" t="s">
        <v>62</v>
      </c>
      <c r="C826" s="21">
        <v>45643</v>
      </c>
      <c r="D826" s="21">
        <v>45661</v>
      </c>
      <c r="E826" s="21">
        <v>45664</v>
      </c>
      <c r="F826" s="20" t="s">
        <v>79</v>
      </c>
      <c r="G826" s="22">
        <v>102.3</v>
      </c>
      <c r="H826" s="22">
        <v>23.41</v>
      </c>
      <c r="I826" s="20" t="s">
        <v>45</v>
      </c>
      <c r="J826" s="20">
        <v>2</v>
      </c>
      <c r="K826" s="20" t="s">
        <v>46</v>
      </c>
      <c r="L826" s="23">
        <f t="shared" si="95"/>
        <v>45627</v>
      </c>
      <c r="M826" s="20">
        <f t="shared" si="96"/>
        <v>18</v>
      </c>
      <c r="N826" s="20">
        <f t="shared" si="97"/>
        <v>0</v>
      </c>
      <c r="O826" s="20">
        <f t="shared" si="98"/>
        <v>1</v>
      </c>
      <c r="P826" s="22">
        <f t="shared" si="99"/>
        <v>125.71</v>
      </c>
      <c r="Q826" s="22">
        <f>G826*INDEX(Assumptions!$B$8:$B$16,MATCH(F826,Assumptions!$A$8:$A$16,0))</f>
        <v>71.61</v>
      </c>
      <c r="R826" s="22">
        <f>H826*Assumptions!$B$3</f>
        <v>14.045999999999999</v>
      </c>
      <c r="S826" s="22">
        <f t="shared" si="100"/>
        <v>16.643999999999998</v>
      </c>
      <c r="T826" s="20" t="str">
        <f t="shared" si="101"/>
        <v>15-21 days</v>
      </c>
    </row>
    <row r="827" spans="1:20" x14ac:dyDescent="0.3">
      <c r="A827" s="20" t="s">
        <v>893</v>
      </c>
      <c r="B827" s="20" t="s">
        <v>19</v>
      </c>
      <c r="C827" s="21">
        <v>45643</v>
      </c>
      <c r="D827" s="21">
        <v>45647</v>
      </c>
      <c r="E827" s="21">
        <v>45660</v>
      </c>
      <c r="F827" s="20" t="s">
        <v>44</v>
      </c>
      <c r="G827" s="22">
        <v>150.91999999999999</v>
      </c>
      <c r="H827" s="22">
        <v>18.760000000000002</v>
      </c>
      <c r="I827" s="20" t="s">
        <v>60</v>
      </c>
      <c r="J827" s="20">
        <v>3</v>
      </c>
      <c r="K827" s="20" t="s">
        <v>46</v>
      </c>
      <c r="L827" s="23">
        <f t="shared" si="95"/>
        <v>45627</v>
      </c>
      <c r="M827" s="20">
        <f t="shared" si="96"/>
        <v>4</v>
      </c>
      <c r="N827" s="20">
        <f t="shared" si="97"/>
        <v>0</v>
      </c>
      <c r="O827" s="20">
        <f t="shared" si="98"/>
        <v>1</v>
      </c>
      <c r="P827" s="22">
        <f t="shared" si="99"/>
        <v>169.67999999999998</v>
      </c>
      <c r="Q827" s="22">
        <f>G827*INDEX(Assumptions!$B$8:$B$16,MATCH(F827,Assumptions!$A$8:$A$16,0))</f>
        <v>90.551999999999992</v>
      </c>
      <c r="R827" s="22">
        <f>H827*Assumptions!$B$3</f>
        <v>11.256</v>
      </c>
      <c r="S827" s="22">
        <f t="shared" si="100"/>
        <v>49.111999999999995</v>
      </c>
      <c r="T827" s="20" t="str">
        <f t="shared" si="101"/>
        <v>0-7 days</v>
      </c>
    </row>
    <row r="828" spans="1:20" x14ac:dyDescent="0.3">
      <c r="A828" s="20" t="s">
        <v>894</v>
      </c>
      <c r="B828" s="20" t="s">
        <v>19</v>
      </c>
      <c r="C828" s="21">
        <v>45644</v>
      </c>
      <c r="D828" s="21">
        <v>45654</v>
      </c>
      <c r="E828" s="21">
        <v>45658</v>
      </c>
      <c r="F828" s="20" t="s">
        <v>49</v>
      </c>
      <c r="G828" s="22">
        <v>119.39</v>
      </c>
      <c r="H828" s="22">
        <v>14.98</v>
      </c>
      <c r="I828" s="20" t="s">
        <v>45</v>
      </c>
      <c r="J828" s="20">
        <v>5</v>
      </c>
      <c r="K828" s="20" t="s">
        <v>46</v>
      </c>
      <c r="L828" s="23">
        <f t="shared" si="95"/>
        <v>45627</v>
      </c>
      <c r="M828" s="20">
        <f t="shared" si="96"/>
        <v>10</v>
      </c>
      <c r="N828" s="20">
        <f t="shared" si="97"/>
        <v>0</v>
      </c>
      <c r="O828" s="20">
        <f t="shared" si="98"/>
        <v>1</v>
      </c>
      <c r="P828" s="22">
        <f t="shared" si="99"/>
        <v>134.37</v>
      </c>
      <c r="Q828" s="22">
        <f>G828*INDEX(Assumptions!$B$8:$B$16,MATCH(F828,Assumptions!$A$8:$A$16,0))</f>
        <v>69.246200000000002</v>
      </c>
      <c r="R828" s="22">
        <f>H828*Assumptions!$B$3</f>
        <v>8.9879999999999995</v>
      </c>
      <c r="S828" s="22">
        <f t="shared" si="100"/>
        <v>41.155799999999999</v>
      </c>
      <c r="T828" s="20" t="str">
        <f t="shared" si="101"/>
        <v>8-14 days</v>
      </c>
    </row>
    <row r="829" spans="1:20" x14ac:dyDescent="0.3">
      <c r="A829" s="20" t="s">
        <v>895</v>
      </c>
      <c r="B829" s="20" t="s">
        <v>52</v>
      </c>
      <c r="C829" s="21">
        <v>45644</v>
      </c>
      <c r="D829" s="21">
        <v>45656</v>
      </c>
      <c r="E829" s="21">
        <v>45670</v>
      </c>
      <c r="F829" s="20" t="s">
        <v>67</v>
      </c>
      <c r="G829" s="22">
        <v>54.15</v>
      </c>
      <c r="H829" s="22">
        <v>27.18</v>
      </c>
      <c r="I829" s="20" t="s">
        <v>45</v>
      </c>
      <c r="J829" s="20">
        <v>4</v>
      </c>
      <c r="K829" s="20" t="s">
        <v>46</v>
      </c>
      <c r="L829" s="23">
        <f t="shared" si="95"/>
        <v>45627</v>
      </c>
      <c r="M829" s="20">
        <f t="shared" si="96"/>
        <v>12</v>
      </c>
      <c r="N829" s="20">
        <f t="shared" si="97"/>
        <v>0</v>
      </c>
      <c r="O829" s="20">
        <f t="shared" si="98"/>
        <v>1</v>
      </c>
      <c r="P829" s="22">
        <f t="shared" si="99"/>
        <v>81.33</v>
      </c>
      <c r="Q829" s="22">
        <f>G829*INDEX(Assumptions!$B$8:$B$16,MATCH(F829,Assumptions!$A$8:$A$16,0))</f>
        <v>33.573</v>
      </c>
      <c r="R829" s="22">
        <f>H829*Assumptions!$B$3</f>
        <v>16.308</v>
      </c>
      <c r="S829" s="22">
        <f t="shared" si="100"/>
        <v>4.2689999999999984</v>
      </c>
      <c r="T829" s="20" t="str">
        <f t="shared" si="101"/>
        <v>8-14 days</v>
      </c>
    </row>
    <row r="830" spans="1:20" x14ac:dyDescent="0.3">
      <c r="A830" s="20" t="s">
        <v>896</v>
      </c>
      <c r="B830" s="20" t="s">
        <v>55</v>
      </c>
      <c r="C830" s="21">
        <v>45644</v>
      </c>
      <c r="D830" s="21">
        <v>45660</v>
      </c>
      <c r="E830" s="21">
        <v>45669</v>
      </c>
      <c r="F830" s="20" t="s">
        <v>44</v>
      </c>
      <c r="G830" s="22">
        <v>45.9</v>
      </c>
      <c r="H830" s="22">
        <v>20.399999999999999</v>
      </c>
      <c r="I830" s="20" t="s">
        <v>45</v>
      </c>
      <c r="J830" s="20">
        <v>5</v>
      </c>
      <c r="K830" s="20" t="s">
        <v>46</v>
      </c>
      <c r="L830" s="23">
        <f t="shared" si="95"/>
        <v>45627</v>
      </c>
      <c r="M830" s="20">
        <f t="shared" si="96"/>
        <v>16</v>
      </c>
      <c r="N830" s="20">
        <f t="shared" si="97"/>
        <v>0</v>
      </c>
      <c r="O830" s="20">
        <f t="shared" si="98"/>
        <v>1</v>
      </c>
      <c r="P830" s="22">
        <f t="shared" si="99"/>
        <v>66.3</v>
      </c>
      <c r="Q830" s="22">
        <f>G830*INDEX(Assumptions!$B$8:$B$16,MATCH(F830,Assumptions!$A$8:$A$16,0))</f>
        <v>27.54</v>
      </c>
      <c r="R830" s="22">
        <f>H830*Assumptions!$B$3</f>
        <v>12.239999999999998</v>
      </c>
      <c r="S830" s="22">
        <f t="shared" si="100"/>
        <v>6.120000000000001</v>
      </c>
      <c r="T830" s="20" t="str">
        <f t="shared" si="101"/>
        <v>15-21 days</v>
      </c>
    </row>
    <row r="831" spans="1:20" x14ac:dyDescent="0.3">
      <c r="A831" s="20" t="s">
        <v>897</v>
      </c>
      <c r="B831" s="20" t="s">
        <v>134</v>
      </c>
      <c r="C831" s="21">
        <v>45644</v>
      </c>
      <c r="D831" s="21">
        <v>45660</v>
      </c>
      <c r="E831" s="21">
        <v>45668</v>
      </c>
      <c r="F831" s="20" t="s">
        <v>49</v>
      </c>
      <c r="G831" s="22">
        <v>84.25</v>
      </c>
      <c r="H831" s="22">
        <v>20.77</v>
      </c>
      <c r="I831" s="20" t="s">
        <v>45</v>
      </c>
      <c r="J831" s="20">
        <v>5</v>
      </c>
      <c r="K831" s="20" t="s">
        <v>46</v>
      </c>
      <c r="L831" s="23">
        <f t="shared" si="95"/>
        <v>45627</v>
      </c>
      <c r="M831" s="20">
        <f t="shared" si="96"/>
        <v>16</v>
      </c>
      <c r="N831" s="20">
        <f t="shared" si="97"/>
        <v>0</v>
      </c>
      <c r="O831" s="20">
        <f t="shared" si="98"/>
        <v>1</v>
      </c>
      <c r="P831" s="22">
        <f t="shared" si="99"/>
        <v>105.02</v>
      </c>
      <c r="Q831" s="22">
        <f>G831*INDEX(Assumptions!$B$8:$B$16,MATCH(F831,Assumptions!$A$8:$A$16,0))</f>
        <v>48.864999999999995</v>
      </c>
      <c r="R831" s="22">
        <f>H831*Assumptions!$B$3</f>
        <v>12.462</v>
      </c>
      <c r="S831" s="22">
        <f t="shared" si="100"/>
        <v>22.923000000000005</v>
      </c>
      <c r="T831" s="20" t="str">
        <f t="shared" si="101"/>
        <v>15-21 days</v>
      </c>
    </row>
    <row r="832" spans="1:20" x14ac:dyDescent="0.3">
      <c r="A832" s="20" t="s">
        <v>898</v>
      </c>
      <c r="B832" s="20" t="s">
        <v>174</v>
      </c>
      <c r="C832" s="21">
        <v>45644</v>
      </c>
      <c r="D832" s="21">
        <v>45670</v>
      </c>
      <c r="E832" s="21">
        <v>45680</v>
      </c>
      <c r="F832" s="20" t="s">
        <v>67</v>
      </c>
      <c r="G832" s="22">
        <v>56.8</v>
      </c>
      <c r="H832" s="22">
        <v>35.130000000000003</v>
      </c>
      <c r="I832" s="20" t="s">
        <v>45</v>
      </c>
      <c r="J832" s="20">
        <v>4</v>
      </c>
      <c r="K832" s="20" t="s">
        <v>46</v>
      </c>
      <c r="L832" s="23">
        <f t="shared" si="95"/>
        <v>45627</v>
      </c>
      <c r="M832" s="20">
        <f t="shared" si="96"/>
        <v>26</v>
      </c>
      <c r="N832" s="20">
        <f t="shared" si="97"/>
        <v>0</v>
      </c>
      <c r="O832" s="20">
        <f t="shared" si="98"/>
        <v>1</v>
      </c>
      <c r="P832" s="22">
        <f t="shared" si="99"/>
        <v>91.93</v>
      </c>
      <c r="Q832" s="22">
        <f>G832*INDEX(Assumptions!$B$8:$B$16,MATCH(F832,Assumptions!$A$8:$A$16,0))</f>
        <v>35.216000000000001</v>
      </c>
      <c r="R832" s="22">
        <f>H832*Assumptions!$B$3</f>
        <v>21.077999999999999</v>
      </c>
      <c r="S832" s="22">
        <f t="shared" si="100"/>
        <v>0.50599999999999667</v>
      </c>
      <c r="T832" s="20" t="str">
        <f t="shared" si="101"/>
        <v>22+ days</v>
      </c>
    </row>
    <row r="833" spans="1:20" x14ac:dyDescent="0.3">
      <c r="A833" s="20" t="s">
        <v>899</v>
      </c>
      <c r="B833" s="20" t="s">
        <v>19</v>
      </c>
      <c r="C833" s="21">
        <v>45645</v>
      </c>
      <c r="D833" s="21">
        <v>45650</v>
      </c>
      <c r="E833" s="21">
        <v>45659</v>
      </c>
      <c r="F833" s="20" t="s">
        <v>67</v>
      </c>
      <c r="G833" s="22">
        <v>35.06</v>
      </c>
      <c r="H833" s="22">
        <v>15.16</v>
      </c>
      <c r="I833" s="20" t="s">
        <v>45</v>
      </c>
      <c r="J833" s="20">
        <v>5</v>
      </c>
      <c r="K833" s="20" t="s">
        <v>46</v>
      </c>
      <c r="L833" s="23">
        <f t="shared" si="95"/>
        <v>45627</v>
      </c>
      <c r="M833" s="20">
        <f t="shared" si="96"/>
        <v>5</v>
      </c>
      <c r="N833" s="20">
        <f t="shared" si="97"/>
        <v>0</v>
      </c>
      <c r="O833" s="20">
        <f t="shared" si="98"/>
        <v>1</v>
      </c>
      <c r="P833" s="22">
        <f t="shared" si="99"/>
        <v>50.22</v>
      </c>
      <c r="Q833" s="22">
        <f>G833*INDEX(Assumptions!$B$8:$B$16,MATCH(F833,Assumptions!$A$8:$A$16,0))</f>
        <v>21.737200000000001</v>
      </c>
      <c r="R833" s="22">
        <f>H833*Assumptions!$B$3</f>
        <v>9.0960000000000001</v>
      </c>
      <c r="S833" s="22">
        <f t="shared" si="100"/>
        <v>4.2268000000000008</v>
      </c>
      <c r="T833" s="20" t="str">
        <f t="shared" si="101"/>
        <v>0-7 days</v>
      </c>
    </row>
    <row r="834" spans="1:20" x14ac:dyDescent="0.3">
      <c r="A834" s="20" t="s">
        <v>900</v>
      </c>
      <c r="B834" s="20" t="s">
        <v>55</v>
      </c>
      <c r="C834" s="21">
        <v>45646</v>
      </c>
      <c r="D834" s="21">
        <v>45672</v>
      </c>
      <c r="E834" s="21">
        <v>45672</v>
      </c>
      <c r="F834" s="20" t="s">
        <v>64</v>
      </c>
      <c r="G834" s="22">
        <v>190.75</v>
      </c>
      <c r="H834" s="22">
        <v>28.83</v>
      </c>
      <c r="I834" s="20" t="s">
        <v>50</v>
      </c>
      <c r="J834" s="20">
        <v>4</v>
      </c>
      <c r="K834" s="20" t="s">
        <v>46</v>
      </c>
      <c r="L834" s="23">
        <f t="shared" ref="L834:L897" si="102">DATE(YEAR(C834),MONTH(C834),1)</f>
        <v>45627</v>
      </c>
      <c r="M834" s="20">
        <f t="shared" ref="M834:M897" si="103">D834-C834</f>
        <v>26</v>
      </c>
      <c r="N834" s="20">
        <f t="shared" ref="N834:N897" si="104">MAX(0,D834-E834)</f>
        <v>0</v>
      </c>
      <c r="O834" s="20">
        <f t="shared" ref="O834:O897" si="105">IF(D834&lt;=E834,1,0)</f>
        <v>1</v>
      </c>
      <c r="P834" s="22">
        <f t="shared" ref="P834:P897" si="106">G834+H834</f>
        <v>219.57999999999998</v>
      </c>
      <c r="Q834" s="22">
        <f>G834*INDEX(Assumptions!$B$8:$B$16,MATCH(F834,Assumptions!$A$8:$A$16,0))</f>
        <v>125.89500000000001</v>
      </c>
      <c r="R834" s="22">
        <f>H834*Assumptions!$B$3</f>
        <v>17.297999999999998</v>
      </c>
      <c r="S834" s="22">
        <f t="shared" ref="S834:S897" si="107">G834-Q834-R834</f>
        <v>47.556999999999988</v>
      </c>
      <c r="T834" s="20" t="str">
        <f t="shared" ref="T834:T897" si="108">IF(M834&lt;=7,"0-7 days",IF(M834&lt;=14,"8-14 days",IF(M834&lt;=21,"15-21 days","22+ days")))</f>
        <v>22+ days</v>
      </c>
    </row>
    <row r="835" spans="1:20" x14ac:dyDescent="0.3">
      <c r="A835" s="20" t="s">
        <v>901</v>
      </c>
      <c r="B835" s="20" t="s">
        <v>62</v>
      </c>
      <c r="C835" s="21">
        <v>45646</v>
      </c>
      <c r="D835" s="21">
        <v>45662</v>
      </c>
      <c r="E835" s="21">
        <v>45671</v>
      </c>
      <c r="F835" s="20" t="s">
        <v>79</v>
      </c>
      <c r="G835" s="22">
        <v>155.38</v>
      </c>
      <c r="H835" s="22">
        <v>18.510000000000002</v>
      </c>
      <c r="I835" s="20" t="s">
        <v>45</v>
      </c>
      <c r="J835" s="20">
        <v>4</v>
      </c>
      <c r="K835" s="20" t="s">
        <v>46</v>
      </c>
      <c r="L835" s="23">
        <f t="shared" si="102"/>
        <v>45627</v>
      </c>
      <c r="M835" s="20">
        <f t="shared" si="103"/>
        <v>16</v>
      </c>
      <c r="N835" s="20">
        <f t="shared" si="104"/>
        <v>0</v>
      </c>
      <c r="O835" s="20">
        <f t="shared" si="105"/>
        <v>1</v>
      </c>
      <c r="P835" s="22">
        <f t="shared" si="106"/>
        <v>173.89</v>
      </c>
      <c r="Q835" s="22">
        <f>G835*INDEX(Assumptions!$B$8:$B$16,MATCH(F835,Assumptions!$A$8:$A$16,0))</f>
        <v>108.76599999999999</v>
      </c>
      <c r="R835" s="22">
        <f>H835*Assumptions!$B$3</f>
        <v>11.106</v>
      </c>
      <c r="S835" s="22">
        <f t="shared" si="107"/>
        <v>35.508000000000003</v>
      </c>
      <c r="T835" s="20" t="str">
        <f t="shared" si="108"/>
        <v>15-21 days</v>
      </c>
    </row>
    <row r="836" spans="1:20" x14ac:dyDescent="0.3">
      <c r="A836" s="20" t="s">
        <v>902</v>
      </c>
      <c r="B836" s="20" t="s">
        <v>19</v>
      </c>
      <c r="C836" s="21">
        <v>45646</v>
      </c>
      <c r="D836" s="21">
        <v>45651</v>
      </c>
      <c r="E836" s="21">
        <v>45661</v>
      </c>
      <c r="F836" s="20" t="s">
        <v>44</v>
      </c>
      <c r="G836" s="22">
        <v>118.79</v>
      </c>
      <c r="H836" s="22">
        <v>20.29</v>
      </c>
      <c r="I836" s="20" t="s">
        <v>45</v>
      </c>
      <c r="J836" s="20">
        <v>5</v>
      </c>
      <c r="K836" s="20" t="s">
        <v>46</v>
      </c>
      <c r="L836" s="23">
        <f t="shared" si="102"/>
        <v>45627</v>
      </c>
      <c r="M836" s="20">
        <f t="shared" si="103"/>
        <v>5</v>
      </c>
      <c r="N836" s="20">
        <f t="shared" si="104"/>
        <v>0</v>
      </c>
      <c r="O836" s="20">
        <f t="shared" si="105"/>
        <v>1</v>
      </c>
      <c r="P836" s="22">
        <f t="shared" si="106"/>
        <v>139.08000000000001</v>
      </c>
      <c r="Q836" s="22">
        <f>G836*INDEX(Assumptions!$B$8:$B$16,MATCH(F836,Assumptions!$A$8:$A$16,0))</f>
        <v>71.274000000000001</v>
      </c>
      <c r="R836" s="22">
        <f>H836*Assumptions!$B$3</f>
        <v>12.173999999999999</v>
      </c>
      <c r="S836" s="22">
        <f t="shared" si="107"/>
        <v>35.342000000000006</v>
      </c>
      <c r="T836" s="20" t="str">
        <f t="shared" si="108"/>
        <v>0-7 days</v>
      </c>
    </row>
    <row r="837" spans="1:20" x14ac:dyDescent="0.3">
      <c r="A837" s="20" t="s">
        <v>903</v>
      </c>
      <c r="B837" s="20" t="s">
        <v>134</v>
      </c>
      <c r="C837" s="21">
        <v>45646</v>
      </c>
      <c r="D837" s="21">
        <v>45662</v>
      </c>
      <c r="E837" s="21">
        <v>45667</v>
      </c>
      <c r="F837" s="20" t="s">
        <v>64</v>
      </c>
      <c r="G837" s="22">
        <v>165.91</v>
      </c>
      <c r="H837" s="22">
        <v>28.83</v>
      </c>
      <c r="I837" s="20" t="s">
        <v>45</v>
      </c>
      <c r="J837" s="20">
        <v>4</v>
      </c>
      <c r="K837" s="20" t="s">
        <v>46</v>
      </c>
      <c r="L837" s="23">
        <f t="shared" si="102"/>
        <v>45627</v>
      </c>
      <c r="M837" s="20">
        <f t="shared" si="103"/>
        <v>16</v>
      </c>
      <c r="N837" s="20">
        <f t="shared" si="104"/>
        <v>0</v>
      </c>
      <c r="O837" s="20">
        <f t="shared" si="105"/>
        <v>1</v>
      </c>
      <c r="P837" s="22">
        <f t="shared" si="106"/>
        <v>194.74</v>
      </c>
      <c r="Q837" s="22">
        <f>G837*INDEX(Assumptions!$B$8:$B$16,MATCH(F837,Assumptions!$A$8:$A$16,0))</f>
        <v>109.50060000000001</v>
      </c>
      <c r="R837" s="22">
        <f>H837*Assumptions!$B$3</f>
        <v>17.297999999999998</v>
      </c>
      <c r="S837" s="22">
        <f t="shared" si="107"/>
        <v>39.111399999999989</v>
      </c>
      <c r="T837" s="20" t="str">
        <f t="shared" si="108"/>
        <v>15-21 days</v>
      </c>
    </row>
    <row r="838" spans="1:20" x14ac:dyDescent="0.3">
      <c r="A838" s="20" t="s">
        <v>904</v>
      </c>
      <c r="B838" s="20" t="s">
        <v>19</v>
      </c>
      <c r="C838" s="21">
        <v>45646</v>
      </c>
      <c r="D838" s="21">
        <v>45658</v>
      </c>
      <c r="E838" s="21">
        <v>45662</v>
      </c>
      <c r="F838" s="20" t="s">
        <v>59</v>
      </c>
      <c r="G838" s="22">
        <v>148.30000000000001</v>
      </c>
      <c r="H838" s="22">
        <v>23.8</v>
      </c>
      <c r="I838" s="20" t="s">
        <v>45</v>
      </c>
      <c r="J838" s="20">
        <v>5</v>
      </c>
      <c r="K838" s="20" t="s">
        <v>46</v>
      </c>
      <c r="L838" s="23">
        <f t="shared" si="102"/>
        <v>45627</v>
      </c>
      <c r="M838" s="20">
        <f t="shared" si="103"/>
        <v>12</v>
      </c>
      <c r="N838" s="20">
        <f t="shared" si="104"/>
        <v>0</v>
      </c>
      <c r="O838" s="20">
        <f t="shared" si="105"/>
        <v>1</v>
      </c>
      <c r="P838" s="22">
        <f t="shared" si="106"/>
        <v>172.10000000000002</v>
      </c>
      <c r="Q838" s="22">
        <f>G838*INDEX(Assumptions!$B$8:$B$16,MATCH(F838,Assumptions!$A$8:$A$16,0))</f>
        <v>94.912000000000006</v>
      </c>
      <c r="R838" s="22">
        <f>H838*Assumptions!$B$3</f>
        <v>14.28</v>
      </c>
      <c r="S838" s="22">
        <f t="shared" si="107"/>
        <v>39.108000000000004</v>
      </c>
      <c r="T838" s="20" t="str">
        <f t="shared" si="108"/>
        <v>8-14 days</v>
      </c>
    </row>
    <row r="839" spans="1:20" x14ac:dyDescent="0.3">
      <c r="A839" s="20" t="s">
        <v>905</v>
      </c>
      <c r="B839" s="20" t="s">
        <v>55</v>
      </c>
      <c r="C839" s="21">
        <v>45647</v>
      </c>
      <c r="D839" s="21">
        <v>45682</v>
      </c>
      <c r="E839" s="21">
        <v>45673</v>
      </c>
      <c r="F839" s="20" t="s">
        <v>57</v>
      </c>
      <c r="G839" s="22">
        <v>106.2</v>
      </c>
      <c r="H839" s="22">
        <v>28.78</v>
      </c>
      <c r="I839" s="20" t="s">
        <v>45</v>
      </c>
      <c r="J839" s="20">
        <v>3</v>
      </c>
      <c r="K839" s="20" t="s">
        <v>46</v>
      </c>
      <c r="L839" s="23">
        <f t="shared" si="102"/>
        <v>45627</v>
      </c>
      <c r="M839" s="20">
        <f t="shared" si="103"/>
        <v>35</v>
      </c>
      <c r="N839" s="20">
        <f t="shared" si="104"/>
        <v>9</v>
      </c>
      <c r="O839" s="20">
        <f t="shared" si="105"/>
        <v>0</v>
      </c>
      <c r="P839" s="22">
        <f t="shared" si="106"/>
        <v>134.98000000000002</v>
      </c>
      <c r="Q839" s="22">
        <f>G839*INDEX(Assumptions!$B$8:$B$16,MATCH(F839,Assumptions!$A$8:$A$16,0))</f>
        <v>72.216000000000008</v>
      </c>
      <c r="R839" s="22">
        <f>H839*Assumptions!$B$3</f>
        <v>17.268000000000001</v>
      </c>
      <c r="S839" s="22">
        <f t="shared" si="107"/>
        <v>16.715999999999994</v>
      </c>
      <c r="T839" s="20" t="str">
        <f t="shared" si="108"/>
        <v>22+ days</v>
      </c>
    </row>
    <row r="840" spans="1:20" x14ac:dyDescent="0.3">
      <c r="A840" s="20" t="s">
        <v>906</v>
      </c>
      <c r="B840" s="20" t="s">
        <v>55</v>
      </c>
      <c r="C840" s="21">
        <v>45647</v>
      </c>
      <c r="D840" s="21">
        <v>45664</v>
      </c>
      <c r="E840" s="21">
        <v>45669</v>
      </c>
      <c r="F840" s="20" t="s">
        <v>67</v>
      </c>
      <c r="G840" s="22">
        <v>49.92</v>
      </c>
      <c r="H840" s="22">
        <v>29.66</v>
      </c>
      <c r="I840" s="20" t="s">
        <v>50</v>
      </c>
      <c r="J840" s="20">
        <v>5</v>
      </c>
      <c r="K840" s="20" t="s">
        <v>46</v>
      </c>
      <c r="L840" s="23">
        <f t="shared" si="102"/>
        <v>45627</v>
      </c>
      <c r="M840" s="20">
        <f t="shared" si="103"/>
        <v>17</v>
      </c>
      <c r="N840" s="20">
        <f t="shared" si="104"/>
        <v>0</v>
      </c>
      <c r="O840" s="20">
        <f t="shared" si="105"/>
        <v>1</v>
      </c>
      <c r="P840" s="22">
        <f t="shared" si="106"/>
        <v>79.58</v>
      </c>
      <c r="Q840" s="22">
        <f>G840*INDEX(Assumptions!$B$8:$B$16,MATCH(F840,Assumptions!$A$8:$A$16,0))</f>
        <v>30.950400000000002</v>
      </c>
      <c r="R840" s="22">
        <f>H840*Assumptions!$B$3</f>
        <v>17.795999999999999</v>
      </c>
      <c r="S840" s="22">
        <f t="shared" si="107"/>
        <v>1.1736000000000004</v>
      </c>
      <c r="T840" s="20" t="str">
        <f t="shared" si="108"/>
        <v>15-21 days</v>
      </c>
    </row>
    <row r="841" spans="1:20" x14ac:dyDescent="0.3">
      <c r="A841" s="20" t="s">
        <v>907</v>
      </c>
      <c r="B841" s="20" t="s">
        <v>52</v>
      </c>
      <c r="C841" s="21">
        <v>45647</v>
      </c>
      <c r="D841" s="21">
        <v>45659</v>
      </c>
      <c r="E841" s="21">
        <v>45676</v>
      </c>
      <c r="F841" s="20" t="s">
        <v>44</v>
      </c>
      <c r="G841" s="22">
        <v>299.79000000000002</v>
      </c>
      <c r="H841" s="22">
        <v>31.2</v>
      </c>
      <c r="I841" s="20" t="s">
        <v>60</v>
      </c>
      <c r="J841" s="20">
        <v>5</v>
      </c>
      <c r="K841" s="20" t="s">
        <v>46</v>
      </c>
      <c r="L841" s="23">
        <f t="shared" si="102"/>
        <v>45627</v>
      </c>
      <c r="M841" s="20">
        <f t="shared" si="103"/>
        <v>12</v>
      </c>
      <c r="N841" s="20">
        <f t="shared" si="104"/>
        <v>0</v>
      </c>
      <c r="O841" s="20">
        <f t="shared" si="105"/>
        <v>1</v>
      </c>
      <c r="P841" s="22">
        <f t="shared" si="106"/>
        <v>330.99</v>
      </c>
      <c r="Q841" s="22">
        <f>G841*INDEX(Assumptions!$B$8:$B$16,MATCH(F841,Assumptions!$A$8:$A$16,0))</f>
        <v>179.874</v>
      </c>
      <c r="R841" s="22">
        <f>H841*Assumptions!$B$3</f>
        <v>18.72</v>
      </c>
      <c r="S841" s="22">
        <f t="shared" si="107"/>
        <v>101.19600000000003</v>
      </c>
      <c r="T841" s="20" t="str">
        <f t="shared" si="108"/>
        <v>8-14 days</v>
      </c>
    </row>
    <row r="842" spans="1:20" x14ac:dyDescent="0.3">
      <c r="A842" s="20" t="s">
        <v>908</v>
      </c>
      <c r="B842" s="20" t="s">
        <v>19</v>
      </c>
      <c r="C842" s="21">
        <v>45648</v>
      </c>
      <c r="D842" s="21">
        <v>45655</v>
      </c>
      <c r="E842" s="21">
        <v>45660</v>
      </c>
      <c r="F842" s="20" t="s">
        <v>67</v>
      </c>
      <c r="G842" s="22">
        <v>42.93</v>
      </c>
      <c r="H842" s="22">
        <v>20.07</v>
      </c>
      <c r="I842" s="20" t="s">
        <v>50</v>
      </c>
      <c r="J842" s="20">
        <v>4</v>
      </c>
      <c r="K842" s="20" t="s">
        <v>46</v>
      </c>
      <c r="L842" s="23">
        <f t="shared" si="102"/>
        <v>45627</v>
      </c>
      <c r="M842" s="20">
        <f t="shared" si="103"/>
        <v>7</v>
      </c>
      <c r="N842" s="20">
        <f t="shared" si="104"/>
        <v>0</v>
      </c>
      <c r="O842" s="20">
        <f t="shared" si="105"/>
        <v>1</v>
      </c>
      <c r="P842" s="22">
        <f t="shared" si="106"/>
        <v>63</v>
      </c>
      <c r="Q842" s="22">
        <f>G842*INDEX(Assumptions!$B$8:$B$16,MATCH(F842,Assumptions!$A$8:$A$16,0))</f>
        <v>26.616599999999998</v>
      </c>
      <c r="R842" s="22">
        <f>H842*Assumptions!$B$3</f>
        <v>12.042</v>
      </c>
      <c r="S842" s="22">
        <f t="shared" si="107"/>
        <v>4.2714000000000016</v>
      </c>
      <c r="T842" s="20" t="str">
        <f t="shared" si="108"/>
        <v>0-7 days</v>
      </c>
    </row>
    <row r="843" spans="1:20" x14ac:dyDescent="0.3">
      <c r="A843" s="20" t="s">
        <v>909</v>
      </c>
      <c r="B843" s="20" t="s">
        <v>19</v>
      </c>
      <c r="C843" s="21">
        <v>45648</v>
      </c>
      <c r="D843" s="21">
        <v>45654</v>
      </c>
      <c r="E843" s="21">
        <v>45664</v>
      </c>
      <c r="F843" s="20" t="s">
        <v>79</v>
      </c>
      <c r="G843" s="22">
        <v>83.06</v>
      </c>
      <c r="H843" s="22">
        <v>18.940000000000001</v>
      </c>
      <c r="I843" s="20" t="s">
        <v>45</v>
      </c>
      <c r="J843" s="20">
        <v>4</v>
      </c>
      <c r="K843" s="20" t="s">
        <v>46</v>
      </c>
      <c r="L843" s="23">
        <f t="shared" si="102"/>
        <v>45627</v>
      </c>
      <c r="M843" s="20">
        <f t="shared" si="103"/>
        <v>6</v>
      </c>
      <c r="N843" s="20">
        <f t="shared" si="104"/>
        <v>0</v>
      </c>
      <c r="O843" s="20">
        <f t="shared" si="105"/>
        <v>1</v>
      </c>
      <c r="P843" s="22">
        <f t="shared" si="106"/>
        <v>102</v>
      </c>
      <c r="Q843" s="22">
        <f>G843*INDEX(Assumptions!$B$8:$B$16,MATCH(F843,Assumptions!$A$8:$A$16,0))</f>
        <v>58.141999999999996</v>
      </c>
      <c r="R843" s="22">
        <f>H843*Assumptions!$B$3</f>
        <v>11.364000000000001</v>
      </c>
      <c r="S843" s="22">
        <f t="shared" si="107"/>
        <v>13.554000000000006</v>
      </c>
      <c r="T843" s="20" t="str">
        <f t="shared" si="108"/>
        <v>0-7 days</v>
      </c>
    </row>
    <row r="844" spans="1:20" x14ac:dyDescent="0.3">
      <c r="A844" s="20" t="s">
        <v>910</v>
      </c>
      <c r="B844" s="20" t="s">
        <v>19</v>
      </c>
      <c r="C844" s="21">
        <v>45648</v>
      </c>
      <c r="D844" s="21">
        <v>45655</v>
      </c>
      <c r="E844" s="21">
        <v>45661</v>
      </c>
      <c r="F844" s="20" t="s">
        <v>64</v>
      </c>
      <c r="G844" s="22">
        <v>133.81</v>
      </c>
      <c r="H844" s="22">
        <v>15.72</v>
      </c>
      <c r="I844" s="20" t="s">
        <v>45</v>
      </c>
      <c r="J844" s="20">
        <v>4</v>
      </c>
      <c r="K844" s="20" t="s">
        <v>46</v>
      </c>
      <c r="L844" s="23">
        <f t="shared" si="102"/>
        <v>45627</v>
      </c>
      <c r="M844" s="20">
        <f t="shared" si="103"/>
        <v>7</v>
      </c>
      <c r="N844" s="20">
        <f t="shared" si="104"/>
        <v>0</v>
      </c>
      <c r="O844" s="20">
        <f t="shared" si="105"/>
        <v>1</v>
      </c>
      <c r="P844" s="22">
        <f t="shared" si="106"/>
        <v>149.53</v>
      </c>
      <c r="Q844" s="22">
        <f>G844*INDEX(Assumptions!$B$8:$B$16,MATCH(F844,Assumptions!$A$8:$A$16,0))</f>
        <v>88.314599999999999</v>
      </c>
      <c r="R844" s="22">
        <f>H844*Assumptions!$B$3</f>
        <v>9.4320000000000004</v>
      </c>
      <c r="S844" s="22">
        <f t="shared" si="107"/>
        <v>36.063400000000001</v>
      </c>
      <c r="T844" s="20" t="str">
        <f t="shared" si="108"/>
        <v>0-7 days</v>
      </c>
    </row>
    <row r="845" spans="1:20" x14ac:dyDescent="0.3">
      <c r="A845" s="20" t="s">
        <v>911</v>
      </c>
      <c r="B845" s="20" t="s">
        <v>19</v>
      </c>
      <c r="C845" s="21">
        <v>45648</v>
      </c>
      <c r="D845" s="21">
        <v>45658</v>
      </c>
      <c r="E845" s="21">
        <v>45666</v>
      </c>
      <c r="F845" s="20" t="s">
        <v>79</v>
      </c>
      <c r="G845" s="22">
        <v>44.93</v>
      </c>
      <c r="H845" s="22">
        <v>21.86</v>
      </c>
      <c r="I845" s="20" t="s">
        <v>45</v>
      </c>
      <c r="J845" s="20">
        <v>3</v>
      </c>
      <c r="K845" s="20" t="s">
        <v>46</v>
      </c>
      <c r="L845" s="23">
        <f t="shared" si="102"/>
        <v>45627</v>
      </c>
      <c r="M845" s="20">
        <f t="shared" si="103"/>
        <v>10</v>
      </c>
      <c r="N845" s="20">
        <f t="shared" si="104"/>
        <v>0</v>
      </c>
      <c r="O845" s="20">
        <f t="shared" si="105"/>
        <v>1</v>
      </c>
      <c r="P845" s="22">
        <f t="shared" si="106"/>
        <v>66.789999999999992</v>
      </c>
      <c r="Q845" s="22">
        <f>G845*INDEX(Assumptions!$B$8:$B$16,MATCH(F845,Assumptions!$A$8:$A$16,0))</f>
        <v>31.450999999999997</v>
      </c>
      <c r="R845" s="22">
        <f>H845*Assumptions!$B$3</f>
        <v>13.116</v>
      </c>
      <c r="S845" s="22">
        <f t="shared" si="107"/>
        <v>0.3630000000000031</v>
      </c>
      <c r="T845" s="20" t="str">
        <f t="shared" si="108"/>
        <v>8-14 days</v>
      </c>
    </row>
    <row r="846" spans="1:20" x14ac:dyDescent="0.3">
      <c r="A846" s="20" t="s">
        <v>912</v>
      </c>
      <c r="B846" s="20" t="s">
        <v>19</v>
      </c>
      <c r="C846" s="21">
        <v>45649</v>
      </c>
      <c r="D846" s="21">
        <v>45656</v>
      </c>
      <c r="E846" s="21">
        <v>45660</v>
      </c>
      <c r="F846" s="20" t="s">
        <v>79</v>
      </c>
      <c r="G846" s="22">
        <v>87.5</v>
      </c>
      <c r="H846" s="22">
        <v>15.6</v>
      </c>
      <c r="I846" s="20" t="s">
        <v>60</v>
      </c>
      <c r="J846" s="20">
        <v>5</v>
      </c>
      <c r="K846" s="20" t="s">
        <v>46</v>
      </c>
      <c r="L846" s="23">
        <f t="shared" si="102"/>
        <v>45627</v>
      </c>
      <c r="M846" s="20">
        <f t="shared" si="103"/>
        <v>7</v>
      </c>
      <c r="N846" s="20">
        <f t="shared" si="104"/>
        <v>0</v>
      </c>
      <c r="O846" s="20">
        <f t="shared" si="105"/>
        <v>1</v>
      </c>
      <c r="P846" s="22">
        <f t="shared" si="106"/>
        <v>103.1</v>
      </c>
      <c r="Q846" s="22">
        <f>G846*INDEX(Assumptions!$B$8:$B$16,MATCH(F846,Assumptions!$A$8:$A$16,0))</f>
        <v>61.249999999999993</v>
      </c>
      <c r="R846" s="22">
        <f>H846*Assumptions!$B$3</f>
        <v>9.36</v>
      </c>
      <c r="S846" s="22">
        <f t="shared" si="107"/>
        <v>16.890000000000008</v>
      </c>
      <c r="T846" s="20" t="str">
        <f t="shared" si="108"/>
        <v>0-7 days</v>
      </c>
    </row>
    <row r="847" spans="1:20" x14ac:dyDescent="0.3">
      <c r="A847" s="20" t="s">
        <v>913</v>
      </c>
      <c r="B847" s="20" t="s">
        <v>52</v>
      </c>
      <c r="C847" s="21">
        <v>45649</v>
      </c>
      <c r="D847" s="21">
        <v>45673</v>
      </c>
      <c r="E847" s="21">
        <v>45671</v>
      </c>
      <c r="F847" s="20" t="s">
        <v>57</v>
      </c>
      <c r="G847" s="22">
        <v>120.42</v>
      </c>
      <c r="H847" s="22">
        <v>23.66</v>
      </c>
      <c r="I847" s="20" t="s">
        <v>45</v>
      </c>
      <c r="J847" s="20">
        <v>2</v>
      </c>
      <c r="K847" s="20" t="s">
        <v>46</v>
      </c>
      <c r="L847" s="23">
        <f t="shared" si="102"/>
        <v>45627</v>
      </c>
      <c r="M847" s="20">
        <f t="shared" si="103"/>
        <v>24</v>
      </c>
      <c r="N847" s="20">
        <f t="shared" si="104"/>
        <v>2</v>
      </c>
      <c r="O847" s="20">
        <f t="shared" si="105"/>
        <v>0</v>
      </c>
      <c r="P847" s="22">
        <f t="shared" si="106"/>
        <v>144.08000000000001</v>
      </c>
      <c r="Q847" s="22">
        <f>G847*INDEX(Assumptions!$B$8:$B$16,MATCH(F847,Assumptions!$A$8:$A$16,0))</f>
        <v>81.885600000000011</v>
      </c>
      <c r="R847" s="22">
        <f>H847*Assumptions!$B$3</f>
        <v>14.196</v>
      </c>
      <c r="S847" s="22">
        <f t="shared" si="107"/>
        <v>24.338399999999993</v>
      </c>
      <c r="T847" s="20" t="str">
        <f t="shared" si="108"/>
        <v>22+ days</v>
      </c>
    </row>
    <row r="848" spans="1:20" x14ac:dyDescent="0.3">
      <c r="A848" s="20" t="s">
        <v>914</v>
      </c>
      <c r="B848" s="20" t="s">
        <v>174</v>
      </c>
      <c r="C848" s="21">
        <v>45649</v>
      </c>
      <c r="D848" s="21">
        <v>45668</v>
      </c>
      <c r="E848" s="21">
        <v>45683</v>
      </c>
      <c r="F848" s="20" t="s">
        <v>59</v>
      </c>
      <c r="G848" s="22">
        <v>93.92</v>
      </c>
      <c r="H848" s="22">
        <v>46.52</v>
      </c>
      <c r="I848" s="20" t="s">
        <v>45</v>
      </c>
      <c r="J848" s="20">
        <v>3</v>
      </c>
      <c r="K848" s="20" t="s">
        <v>46</v>
      </c>
      <c r="L848" s="23">
        <f t="shared" si="102"/>
        <v>45627</v>
      </c>
      <c r="M848" s="20">
        <f t="shared" si="103"/>
        <v>19</v>
      </c>
      <c r="N848" s="20">
        <f t="shared" si="104"/>
        <v>0</v>
      </c>
      <c r="O848" s="20">
        <f t="shared" si="105"/>
        <v>1</v>
      </c>
      <c r="P848" s="22">
        <f t="shared" si="106"/>
        <v>140.44</v>
      </c>
      <c r="Q848" s="22">
        <f>G848*INDEX(Assumptions!$B$8:$B$16,MATCH(F848,Assumptions!$A$8:$A$16,0))</f>
        <v>60.108800000000002</v>
      </c>
      <c r="R848" s="22">
        <f>H848*Assumptions!$B$3</f>
        <v>27.912000000000003</v>
      </c>
      <c r="S848" s="22">
        <f t="shared" si="107"/>
        <v>5.8991999999999969</v>
      </c>
      <c r="T848" s="20" t="str">
        <f t="shared" si="108"/>
        <v>15-21 days</v>
      </c>
    </row>
    <row r="849" spans="1:20" x14ac:dyDescent="0.3">
      <c r="A849" s="20" t="s">
        <v>915</v>
      </c>
      <c r="B849" s="20" t="s">
        <v>134</v>
      </c>
      <c r="C849" s="21">
        <v>45649</v>
      </c>
      <c r="D849" s="21">
        <v>45670</v>
      </c>
      <c r="E849" s="21">
        <v>45672</v>
      </c>
      <c r="F849" s="20" t="s">
        <v>44</v>
      </c>
      <c r="G849" s="22">
        <v>55.74</v>
      </c>
      <c r="H849" s="22">
        <v>28.38</v>
      </c>
      <c r="I849" s="20" t="s">
        <v>45</v>
      </c>
      <c r="J849" s="20">
        <v>4</v>
      </c>
      <c r="K849" s="20" t="s">
        <v>46</v>
      </c>
      <c r="L849" s="23">
        <f t="shared" si="102"/>
        <v>45627</v>
      </c>
      <c r="M849" s="20">
        <f t="shared" si="103"/>
        <v>21</v>
      </c>
      <c r="N849" s="20">
        <f t="shared" si="104"/>
        <v>0</v>
      </c>
      <c r="O849" s="20">
        <f t="shared" si="105"/>
        <v>1</v>
      </c>
      <c r="P849" s="22">
        <f t="shared" si="106"/>
        <v>84.12</v>
      </c>
      <c r="Q849" s="22">
        <f>G849*INDEX(Assumptions!$B$8:$B$16,MATCH(F849,Assumptions!$A$8:$A$16,0))</f>
        <v>33.444000000000003</v>
      </c>
      <c r="R849" s="22">
        <f>H849*Assumptions!$B$3</f>
        <v>17.027999999999999</v>
      </c>
      <c r="S849" s="22">
        <f t="shared" si="107"/>
        <v>5.2680000000000007</v>
      </c>
      <c r="T849" s="20" t="str">
        <f t="shared" si="108"/>
        <v>15-21 days</v>
      </c>
    </row>
    <row r="850" spans="1:20" x14ac:dyDescent="0.3">
      <c r="A850" s="20" t="s">
        <v>916</v>
      </c>
      <c r="B850" s="20" t="s">
        <v>19</v>
      </c>
      <c r="C850" s="21">
        <v>45650</v>
      </c>
      <c r="D850" s="21">
        <v>45659</v>
      </c>
      <c r="E850" s="21">
        <v>45667</v>
      </c>
      <c r="F850" s="20" t="s">
        <v>59</v>
      </c>
      <c r="G850" s="22">
        <v>206.77</v>
      </c>
      <c r="H850" s="22">
        <v>20.09</v>
      </c>
      <c r="I850" s="20" t="s">
        <v>45</v>
      </c>
      <c r="J850" s="20">
        <v>4</v>
      </c>
      <c r="K850" s="20" t="s">
        <v>46</v>
      </c>
      <c r="L850" s="23">
        <f t="shared" si="102"/>
        <v>45627</v>
      </c>
      <c r="M850" s="20">
        <f t="shared" si="103"/>
        <v>9</v>
      </c>
      <c r="N850" s="20">
        <f t="shared" si="104"/>
        <v>0</v>
      </c>
      <c r="O850" s="20">
        <f t="shared" si="105"/>
        <v>1</v>
      </c>
      <c r="P850" s="22">
        <f t="shared" si="106"/>
        <v>226.86</v>
      </c>
      <c r="Q850" s="22">
        <f>G850*INDEX(Assumptions!$B$8:$B$16,MATCH(F850,Assumptions!$A$8:$A$16,0))</f>
        <v>132.33280000000002</v>
      </c>
      <c r="R850" s="22">
        <f>H850*Assumptions!$B$3</f>
        <v>12.054</v>
      </c>
      <c r="S850" s="22">
        <f t="shared" si="107"/>
        <v>62.383199999999988</v>
      </c>
      <c r="T850" s="20" t="str">
        <f t="shared" si="108"/>
        <v>8-14 days</v>
      </c>
    </row>
    <row r="851" spans="1:20" x14ac:dyDescent="0.3">
      <c r="A851" s="20" t="s">
        <v>917</v>
      </c>
      <c r="B851" s="20" t="s">
        <v>19</v>
      </c>
      <c r="C851" s="21">
        <v>45650</v>
      </c>
      <c r="D851" s="21">
        <v>45660</v>
      </c>
      <c r="E851" s="21">
        <v>45666</v>
      </c>
      <c r="F851" s="20" t="s">
        <v>67</v>
      </c>
      <c r="G851" s="22">
        <v>166.72</v>
      </c>
      <c r="H851" s="22">
        <v>15.92</v>
      </c>
      <c r="I851" s="20" t="s">
        <v>60</v>
      </c>
      <c r="J851" s="20">
        <v>4</v>
      </c>
      <c r="K851" s="20" t="s">
        <v>46</v>
      </c>
      <c r="L851" s="23">
        <f t="shared" si="102"/>
        <v>45627</v>
      </c>
      <c r="M851" s="20">
        <f t="shared" si="103"/>
        <v>10</v>
      </c>
      <c r="N851" s="20">
        <f t="shared" si="104"/>
        <v>0</v>
      </c>
      <c r="O851" s="20">
        <f t="shared" si="105"/>
        <v>1</v>
      </c>
      <c r="P851" s="22">
        <f t="shared" si="106"/>
        <v>182.64</v>
      </c>
      <c r="Q851" s="22">
        <f>G851*INDEX(Assumptions!$B$8:$B$16,MATCH(F851,Assumptions!$A$8:$A$16,0))</f>
        <v>103.3664</v>
      </c>
      <c r="R851" s="22">
        <f>H851*Assumptions!$B$3</f>
        <v>9.5519999999999996</v>
      </c>
      <c r="S851" s="22">
        <f t="shared" si="107"/>
        <v>53.801600000000001</v>
      </c>
      <c r="T851" s="20" t="str">
        <f t="shared" si="108"/>
        <v>8-14 days</v>
      </c>
    </row>
    <row r="852" spans="1:20" x14ac:dyDescent="0.3">
      <c r="A852" s="20" t="s">
        <v>918</v>
      </c>
      <c r="B852" s="20" t="s">
        <v>48</v>
      </c>
      <c r="C852" s="21">
        <v>45651</v>
      </c>
      <c r="D852" s="21">
        <v>45661</v>
      </c>
      <c r="E852" s="21">
        <v>45670</v>
      </c>
      <c r="F852" s="20" t="s">
        <v>64</v>
      </c>
      <c r="G852" s="22">
        <v>264.63</v>
      </c>
      <c r="H852" s="22">
        <v>19.91</v>
      </c>
      <c r="I852" s="20" t="s">
        <v>60</v>
      </c>
      <c r="J852" s="20">
        <v>4</v>
      </c>
      <c r="K852" s="20" t="s">
        <v>46</v>
      </c>
      <c r="L852" s="23">
        <f t="shared" si="102"/>
        <v>45627</v>
      </c>
      <c r="M852" s="20">
        <f t="shared" si="103"/>
        <v>10</v>
      </c>
      <c r="N852" s="20">
        <f t="shared" si="104"/>
        <v>0</v>
      </c>
      <c r="O852" s="20">
        <f t="shared" si="105"/>
        <v>1</v>
      </c>
      <c r="P852" s="22">
        <f t="shared" si="106"/>
        <v>284.54000000000002</v>
      </c>
      <c r="Q852" s="22">
        <f>G852*INDEX(Assumptions!$B$8:$B$16,MATCH(F852,Assumptions!$A$8:$A$16,0))</f>
        <v>174.6558</v>
      </c>
      <c r="R852" s="22">
        <f>H852*Assumptions!$B$3</f>
        <v>11.946</v>
      </c>
      <c r="S852" s="22">
        <f t="shared" si="107"/>
        <v>78.028199999999998</v>
      </c>
      <c r="T852" s="20" t="str">
        <f t="shared" si="108"/>
        <v>8-14 days</v>
      </c>
    </row>
    <row r="853" spans="1:20" x14ac:dyDescent="0.3">
      <c r="A853" s="20" t="s">
        <v>919</v>
      </c>
      <c r="B853" s="20" t="s">
        <v>19</v>
      </c>
      <c r="C853" s="21">
        <v>45651</v>
      </c>
      <c r="D853" s="21">
        <v>45656</v>
      </c>
      <c r="E853" s="21">
        <v>45666</v>
      </c>
      <c r="F853" s="20" t="s">
        <v>67</v>
      </c>
      <c r="G853" s="22">
        <v>80.87</v>
      </c>
      <c r="H853" s="22">
        <v>13.17</v>
      </c>
      <c r="I853" s="20" t="s">
        <v>45</v>
      </c>
      <c r="J853" s="20">
        <v>5</v>
      </c>
      <c r="K853" s="20" t="s">
        <v>46</v>
      </c>
      <c r="L853" s="23">
        <f t="shared" si="102"/>
        <v>45627</v>
      </c>
      <c r="M853" s="20">
        <f t="shared" si="103"/>
        <v>5</v>
      </c>
      <c r="N853" s="20">
        <f t="shared" si="104"/>
        <v>0</v>
      </c>
      <c r="O853" s="20">
        <f t="shared" si="105"/>
        <v>1</v>
      </c>
      <c r="P853" s="22">
        <f t="shared" si="106"/>
        <v>94.04</v>
      </c>
      <c r="Q853" s="22">
        <f>G853*INDEX(Assumptions!$B$8:$B$16,MATCH(F853,Assumptions!$A$8:$A$16,0))</f>
        <v>50.139400000000002</v>
      </c>
      <c r="R853" s="22">
        <f>H853*Assumptions!$B$3</f>
        <v>7.9019999999999992</v>
      </c>
      <c r="S853" s="22">
        <f t="shared" si="107"/>
        <v>22.828600000000002</v>
      </c>
      <c r="T853" s="20" t="str">
        <f t="shared" si="108"/>
        <v>0-7 days</v>
      </c>
    </row>
    <row r="854" spans="1:20" x14ac:dyDescent="0.3">
      <c r="A854" s="20" t="s">
        <v>920</v>
      </c>
      <c r="B854" s="20" t="s">
        <v>134</v>
      </c>
      <c r="C854" s="21">
        <v>45651</v>
      </c>
      <c r="D854" s="21">
        <v>45657</v>
      </c>
      <c r="E854" s="21">
        <v>45674</v>
      </c>
      <c r="F854" s="20" t="s">
        <v>49</v>
      </c>
      <c r="G854" s="22">
        <v>78.989999999999995</v>
      </c>
      <c r="H854" s="22">
        <v>27.77</v>
      </c>
      <c r="I854" s="20" t="s">
        <v>45</v>
      </c>
      <c r="J854" s="20">
        <v>3</v>
      </c>
      <c r="K854" s="20" t="s">
        <v>46</v>
      </c>
      <c r="L854" s="23">
        <f t="shared" si="102"/>
        <v>45627</v>
      </c>
      <c r="M854" s="20">
        <f t="shared" si="103"/>
        <v>6</v>
      </c>
      <c r="N854" s="20">
        <f t="shared" si="104"/>
        <v>0</v>
      </c>
      <c r="O854" s="20">
        <f t="shared" si="105"/>
        <v>1</v>
      </c>
      <c r="P854" s="22">
        <f t="shared" si="106"/>
        <v>106.75999999999999</v>
      </c>
      <c r="Q854" s="22">
        <f>G854*INDEX(Assumptions!$B$8:$B$16,MATCH(F854,Assumptions!$A$8:$A$16,0))</f>
        <v>45.814199999999992</v>
      </c>
      <c r="R854" s="22">
        <f>H854*Assumptions!$B$3</f>
        <v>16.661999999999999</v>
      </c>
      <c r="S854" s="22">
        <f t="shared" si="107"/>
        <v>16.513800000000003</v>
      </c>
      <c r="T854" s="20" t="str">
        <f t="shared" si="108"/>
        <v>0-7 days</v>
      </c>
    </row>
    <row r="855" spans="1:20" x14ac:dyDescent="0.3">
      <c r="A855" s="20" t="s">
        <v>921</v>
      </c>
      <c r="B855" s="20" t="s">
        <v>19</v>
      </c>
      <c r="C855" s="21">
        <v>45651</v>
      </c>
      <c r="D855" s="21">
        <v>45657</v>
      </c>
      <c r="E855" s="21">
        <v>45667</v>
      </c>
      <c r="F855" s="20" t="s">
        <v>44</v>
      </c>
      <c r="G855" s="22">
        <v>90.56</v>
      </c>
      <c r="H855" s="22">
        <v>20.85</v>
      </c>
      <c r="I855" s="20" t="s">
        <v>45</v>
      </c>
      <c r="J855" s="20">
        <v>5</v>
      </c>
      <c r="K855" s="20" t="s">
        <v>46</v>
      </c>
      <c r="L855" s="23">
        <f t="shared" si="102"/>
        <v>45627</v>
      </c>
      <c r="M855" s="20">
        <f t="shared" si="103"/>
        <v>6</v>
      </c>
      <c r="N855" s="20">
        <f t="shared" si="104"/>
        <v>0</v>
      </c>
      <c r="O855" s="20">
        <f t="shared" si="105"/>
        <v>1</v>
      </c>
      <c r="P855" s="22">
        <f t="shared" si="106"/>
        <v>111.41</v>
      </c>
      <c r="Q855" s="22">
        <f>G855*INDEX(Assumptions!$B$8:$B$16,MATCH(F855,Assumptions!$A$8:$A$16,0))</f>
        <v>54.335999999999999</v>
      </c>
      <c r="R855" s="22">
        <f>H855*Assumptions!$B$3</f>
        <v>12.51</v>
      </c>
      <c r="S855" s="22">
        <f t="shared" si="107"/>
        <v>23.714000000000006</v>
      </c>
      <c r="T855" s="20" t="str">
        <f t="shared" si="108"/>
        <v>0-7 days</v>
      </c>
    </row>
    <row r="856" spans="1:20" x14ac:dyDescent="0.3">
      <c r="A856" s="20" t="s">
        <v>922</v>
      </c>
      <c r="B856" s="20" t="s">
        <v>55</v>
      </c>
      <c r="C856" s="21">
        <v>45651</v>
      </c>
      <c r="D856" s="21">
        <v>45661</v>
      </c>
      <c r="E856" s="21">
        <v>45674</v>
      </c>
      <c r="F856" s="20" t="s">
        <v>57</v>
      </c>
      <c r="G856" s="22">
        <v>143.35</v>
      </c>
      <c r="H856" s="22">
        <v>26.63</v>
      </c>
      <c r="I856" s="20" t="s">
        <v>45</v>
      </c>
      <c r="J856" s="20">
        <v>4</v>
      </c>
      <c r="K856" s="20" t="s">
        <v>46</v>
      </c>
      <c r="L856" s="23">
        <f t="shared" si="102"/>
        <v>45627</v>
      </c>
      <c r="M856" s="20">
        <f t="shared" si="103"/>
        <v>10</v>
      </c>
      <c r="N856" s="20">
        <f t="shared" si="104"/>
        <v>0</v>
      </c>
      <c r="O856" s="20">
        <f t="shared" si="105"/>
        <v>1</v>
      </c>
      <c r="P856" s="22">
        <f t="shared" si="106"/>
        <v>169.98</v>
      </c>
      <c r="Q856" s="22">
        <f>G856*INDEX(Assumptions!$B$8:$B$16,MATCH(F856,Assumptions!$A$8:$A$16,0))</f>
        <v>97.478000000000009</v>
      </c>
      <c r="R856" s="22">
        <f>H856*Assumptions!$B$3</f>
        <v>15.977999999999998</v>
      </c>
      <c r="S856" s="22">
        <f t="shared" si="107"/>
        <v>29.893999999999988</v>
      </c>
      <c r="T856" s="20" t="str">
        <f t="shared" si="108"/>
        <v>8-14 days</v>
      </c>
    </row>
    <row r="857" spans="1:20" x14ac:dyDescent="0.3">
      <c r="A857" s="20" t="s">
        <v>923</v>
      </c>
      <c r="B857" s="20" t="s">
        <v>62</v>
      </c>
      <c r="C857" s="21">
        <v>45651</v>
      </c>
      <c r="D857" s="21">
        <v>45662</v>
      </c>
      <c r="E857" s="21">
        <v>45671</v>
      </c>
      <c r="F857" s="20" t="s">
        <v>79</v>
      </c>
      <c r="G857" s="22">
        <v>75.03</v>
      </c>
      <c r="H857" s="22">
        <v>25.87</v>
      </c>
      <c r="I857" s="20" t="s">
        <v>45</v>
      </c>
      <c r="J857" s="20">
        <v>5</v>
      </c>
      <c r="K857" s="20" t="s">
        <v>46</v>
      </c>
      <c r="L857" s="23">
        <f t="shared" si="102"/>
        <v>45627</v>
      </c>
      <c r="M857" s="20">
        <f t="shared" si="103"/>
        <v>11</v>
      </c>
      <c r="N857" s="20">
        <f t="shared" si="104"/>
        <v>0</v>
      </c>
      <c r="O857" s="20">
        <f t="shared" si="105"/>
        <v>1</v>
      </c>
      <c r="P857" s="22">
        <f t="shared" si="106"/>
        <v>100.9</v>
      </c>
      <c r="Q857" s="22">
        <f>G857*INDEX(Assumptions!$B$8:$B$16,MATCH(F857,Assumptions!$A$8:$A$16,0))</f>
        <v>52.521000000000001</v>
      </c>
      <c r="R857" s="22">
        <f>H857*Assumptions!$B$3</f>
        <v>15.522</v>
      </c>
      <c r="S857" s="22">
        <f t="shared" si="107"/>
        <v>6.9870000000000001</v>
      </c>
      <c r="T857" s="20" t="str">
        <f t="shared" si="108"/>
        <v>8-14 days</v>
      </c>
    </row>
    <row r="858" spans="1:20" x14ac:dyDescent="0.3">
      <c r="A858" s="20" t="s">
        <v>924</v>
      </c>
      <c r="B858" s="20" t="s">
        <v>156</v>
      </c>
      <c r="C858" s="21">
        <v>45651</v>
      </c>
      <c r="D858" s="21">
        <v>45676</v>
      </c>
      <c r="E858" s="21">
        <v>45674</v>
      </c>
      <c r="F858" s="20" t="s">
        <v>67</v>
      </c>
      <c r="G858" s="22">
        <v>146.19999999999999</v>
      </c>
      <c r="H858" s="22">
        <v>22.4</v>
      </c>
      <c r="I858" s="20" t="s">
        <v>60</v>
      </c>
      <c r="J858" s="20">
        <v>3</v>
      </c>
      <c r="K858" s="20" t="s">
        <v>46</v>
      </c>
      <c r="L858" s="23">
        <f t="shared" si="102"/>
        <v>45627</v>
      </c>
      <c r="M858" s="20">
        <f t="shared" si="103"/>
        <v>25</v>
      </c>
      <c r="N858" s="20">
        <f t="shared" si="104"/>
        <v>2</v>
      </c>
      <c r="O858" s="20">
        <f t="shared" si="105"/>
        <v>0</v>
      </c>
      <c r="P858" s="22">
        <f t="shared" si="106"/>
        <v>168.6</v>
      </c>
      <c r="Q858" s="22">
        <f>G858*INDEX(Assumptions!$B$8:$B$16,MATCH(F858,Assumptions!$A$8:$A$16,0))</f>
        <v>90.643999999999991</v>
      </c>
      <c r="R858" s="22">
        <f>H858*Assumptions!$B$3</f>
        <v>13.44</v>
      </c>
      <c r="S858" s="22">
        <f t="shared" si="107"/>
        <v>42.116</v>
      </c>
      <c r="T858" s="20" t="str">
        <f t="shared" si="108"/>
        <v>22+ days</v>
      </c>
    </row>
    <row r="859" spans="1:20" x14ac:dyDescent="0.3">
      <c r="A859" s="20" t="s">
        <v>925</v>
      </c>
      <c r="B859" s="20" t="s">
        <v>77</v>
      </c>
      <c r="C859" s="21">
        <v>45651</v>
      </c>
      <c r="D859" s="21">
        <v>45670</v>
      </c>
      <c r="E859" s="21">
        <v>45673</v>
      </c>
      <c r="F859" s="20" t="s">
        <v>111</v>
      </c>
      <c r="G859" s="22">
        <v>53.62</v>
      </c>
      <c r="H859" s="22">
        <v>23.88</v>
      </c>
      <c r="I859" s="20" t="s">
        <v>45</v>
      </c>
      <c r="J859" s="20">
        <v>4</v>
      </c>
      <c r="K859" s="20" t="s">
        <v>46</v>
      </c>
      <c r="L859" s="23">
        <f t="shared" si="102"/>
        <v>45627</v>
      </c>
      <c r="M859" s="20">
        <f t="shared" si="103"/>
        <v>19</v>
      </c>
      <c r="N859" s="20">
        <f t="shared" si="104"/>
        <v>0</v>
      </c>
      <c r="O859" s="20">
        <f t="shared" si="105"/>
        <v>1</v>
      </c>
      <c r="P859" s="22">
        <f t="shared" si="106"/>
        <v>77.5</v>
      </c>
      <c r="Q859" s="22">
        <f>G859*INDEX(Assumptions!$B$8:$B$16,MATCH(F859,Assumptions!$A$8:$A$16,0))</f>
        <v>33.7806</v>
      </c>
      <c r="R859" s="22">
        <f>H859*Assumptions!$B$3</f>
        <v>14.327999999999999</v>
      </c>
      <c r="S859" s="22">
        <f t="shared" si="107"/>
        <v>5.5113999999999983</v>
      </c>
      <c r="T859" s="20" t="str">
        <f t="shared" si="108"/>
        <v>15-21 days</v>
      </c>
    </row>
    <row r="860" spans="1:20" x14ac:dyDescent="0.3">
      <c r="A860" s="20" t="s">
        <v>926</v>
      </c>
      <c r="B860" s="20" t="s">
        <v>174</v>
      </c>
      <c r="C860" s="21">
        <v>45651</v>
      </c>
      <c r="D860" s="21">
        <v>45666</v>
      </c>
      <c r="E860" s="21">
        <v>45687</v>
      </c>
      <c r="F860" s="20" t="s">
        <v>49</v>
      </c>
      <c r="G860" s="22">
        <v>281.66000000000003</v>
      </c>
      <c r="H860" s="22">
        <v>43.33</v>
      </c>
      <c r="I860" s="20" t="s">
        <v>60</v>
      </c>
      <c r="J860" s="20">
        <v>4</v>
      </c>
      <c r="K860" s="20" t="s">
        <v>46</v>
      </c>
      <c r="L860" s="23">
        <f t="shared" si="102"/>
        <v>45627</v>
      </c>
      <c r="M860" s="20">
        <f t="shared" si="103"/>
        <v>15</v>
      </c>
      <c r="N860" s="20">
        <f t="shared" si="104"/>
        <v>0</v>
      </c>
      <c r="O860" s="20">
        <f t="shared" si="105"/>
        <v>1</v>
      </c>
      <c r="P860" s="22">
        <f t="shared" si="106"/>
        <v>324.99</v>
      </c>
      <c r="Q860" s="22">
        <f>G860*INDEX(Assumptions!$B$8:$B$16,MATCH(F860,Assumptions!$A$8:$A$16,0))</f>
        <v>163.36279999999999</v>
      </c>
      <c r="R860" s="22">
        <f>H860*Assumptions!$B$3</f>
        <v>25.997999999999998</v>
      </c>
      <c r="S860" s="22">
        <f t="shared" si="107"/>
        <v>92.299200000000042</v>
      </c>
      <c r="T860" s="20" t="str">
        <f t="shared" si="108"/>
        <v>15-21 days</v>
      </c>
    </row>
    <row r="861" spans="1:20" x14ac:dyDescent="0.3">
      <c r="A861" s="20" t="s">
        <v>927</v>
      </c>
      <c r="B861" s="20" t="s">
        <v>19</v>
      </c>
      <c r="C861" s="21">
        <v>45652</v>
      </c>
      <c r="D861" s="21">
        <v>45657</v>
      </c>
      <c r="E861" s="21">
        <v>45668</v>
      </c>
      <c r="F861" s="20" t="s">
        <v>57</v>
      </c>
      <c r="G861" s="22">
        <v>102.02</v>
      </c>
      <c r="H861" s="22">
        <v>21.71</v>
      </c>
      <c r="I861" s="20" t="s">
        <v>45</v>
      </c>
      <c r="J861" s="20">
        <v>5</v>
      </c>
      <c r="K861" s="20" t="s">
        <v>46</v>
      </c>
      <c r="L861" s="23">
        <f t="shared" si="102"/>
        <v>45627</v>
      </c>
      <c r="M861" s="20">
        <f t="shared" si="103"/>
        <v>5</v>
      </c>
      <c r="N861" s="20">
        <f t="shared" si="104"/>
        <v>0</v>
      </c>
      <c r="O861" s="20">
        <f t="shared" si="105"/>
        <v>1</v>
      </c>
      <c r="P861" s="22">
        <f t="shared" si="106"/>
        <v>123.72999999999999</v>
      </c>
      <c r="Q861" s="22">
        <f>G861*INDEX(Assumptions!$B$8:$B$16,MATCH(F861,Assumptions!$A$8:$A$16,0))</f>
        <v>69.373599999999996</v>
      </c>
      <c r="R861" s="22">
        <f>H861*Assumptions!$B$3</f>
        <v>13.026</v>
      </c>
      <c r="S861" s="22">
        <f t="shared" si="107"/>
        <v>19.6204</v>
      </c>
      <c r="T861" s="20" t="str">
        <f t="shared" si="108"/>
        <v>0-7 days</v>
      </c>
    </row>
    <row r="862" spans="1:20" x14ac:dyDescent="0.3">
      <c r="A862" s="20" t="s">
        <v>928</v>
      </c>
      <c r="B862" s="20" t="s">
        <v>62</v>
      </c>
      <c r="C862" s="21">
        <v>45652</v>
      </c>
      <c r="D862" s="21">
        <v>45660</v>
      </c>
      <c r="E862" s="21">
        <v>45670</v>
      </c>
      <c r="F862" s="20" t="s">
        <v>49</v>
      </c>
      <c r="G862" s="22">
        <v>69.97</v>
      </c>
      <c r="H862" s="22">
        <v>25.78</v>
      </c>
      <c r="I862" s="20" t="s">
        <v>45</v>
      </c>
      <c r="J862" s="20">
        <v>5</v>
      </c>
      <c r="K862" s="20" t="s">
        <v>46</v>
      </c>
      <c r="L862" s="23">
        <f t="shared" si="102"/>
        <v>45627</v>
      </c>
      <c r="M862" s="20">
        <f t="shared" si="103"/>
        <v>8</v>
      </c>
      <c r="N862" s="20">
        <f t="shared" si="104"/>
        <v>0</v>
      </c>
      <c r="O862" s="20">
        <f t="shared" si="105"/>
        <v>1</v>
      </c>
      <c r="P862" s="22">
        <f t="shared" si="106"/>
        <v>95.75</v>
      </c>
      <c r="Q862" s="22">
        <f>G862*INDEX(Assumptions!$B$8:$B$16,MATCH(F862,Assumptions!$A$8:$A$16,0))</f>
        <v>40.582599999999999</v>
      </c>
      <c r="R862" s="22">
        <f>H862*Assumptions!$B$3</f>
        <v>15.468</v>
      </c>
      <c r="S862" s="22">
        <f t="shared" si="107"/>
        <v>13.9194</v>
      </c>
      <c r="T862" s="20" t="str">
        <f t="shared" si="108"/>
        <v>8-14 days</v>
      </c>
    </row>
    <row r="863" spans="1:20" x14ac:dyDescent="0.3">
      <c r="A863" s="20" t="s">
        <v>929</v>
      </c>
      <c r="B863" s="20" t="s">
        <v>156</v>
      </c>
      <c r="C863" s="21">
        <v>45653</v>
      </c>
      <c r="D863" s="21">
        <v>45671</v>
      </c>
      <c r="E863" s="21">
        <v>45676</v>
      </c>
      <c r="F863" s="20" t="s">
        <v>59</v>
      </c>
      <c r="G863" s="22">
        <v>183.68</v>
      </c>
      <c r="H863" s="22">
        <v>35.229999999999997</v>
      </c>
      <c r="I863" s="20" t="s">
        <v>60</v>
      </c>
      <c r="J863" s="20">
        <v>4</v>
      </c>
      <c r="K863" s="20" t="s">
        <v>46</v>
      </c>
      <c r="L863" s="23">
        <f t="shared" si="102"/>
        <v>45627</v>
      </c>
      <c r="M863" s="20">
        <f t="shared" si="103"/>
        <v>18</v>
      </c>
      <c r="N863" s="20">
        <f t="shared" si="104"/>
        <v>0</v>
      </c>
      <c r="O863" s="20">
        <f t="shared" si="105"/>
        <v>1</v>
      </c>
      <c r="P863" s="22">
        <f t="shared" si="106"/>
        <v>218.91</v>
      </c>
      <c r="Q863" s="22">
        <f>G863*INDEX(Assumptions!$B$8:$B$16,MATCH(F863,Assumptions!$A$8:$A$16,0))</f>
        <v>117.55520000000001</v>
      </c>
      <c r="R863" s="22">
        <f>H863*Assumptions!$B$3</f>
        <v>21.137999999999998</v>
      </c>
      <c r="S863" s="22">
        <f t="shared" si="107"/>
        <v>44.986799999999995</v>
      </c>
      <c r="T863" s="20" t="str">
        <f t="shared" si="108"/>
        <v>15-21 days</v>
      </c>
    </row>
    <row r="864" spans="1:20" x14ac:dyDescent="0.3">
      <c r="A864" s="20" t="s">
        <v>930</v>
      </c>
      <c r="B864" s="20" t="s">
        <v>55</v>
      </c>
      <c r="C864" s="21">
        <v>45653</v>
      </c>
      <c r="D864" s="21">
        <v>45665</v>
      </c>
      <c r="E864" s="21">
        <v>45681</v>
      </c>
      <c r="F864" s="20" t="s">
        <v>79</v>
      </c>
      <c r="G864" s="22">
        <v>101.55</v>
      </c>
      <c r="H864" s="22">
        <v>23.11</v>
      </c>
      <c r="I864" s="20" t="s">
        <v>60</v>
      </c>
      <c r="J864" s="20">
        <v>5</v>
      </c>
      <c r="K864" s="20" t="s">
        <v>46</v>
      </c>
      <c r="L864" s="23">
        <f t="shared" si="102"/>
        <v>45627</v>
      </c>
      <c r="M864" s="20">
        <f t="shared" si="103"/>
        <v>12</v>
      </c>
      <c r="N864" s="20">
        <f t="shared" si="104"/>
        <v>0</v>
      </c>
      <c r="O864" s="20">
        <f t="shared" si="105"/>
        <v>1</v>
      </c>
      <c r="P864" s="22">
        <f t="shared" si="106"/>
        <v>124.66</v>
      </c>
      <c r="Q864" s="22">
        <f>G864*INDEX(Assumptions!$B$8:$B$16,MATCH(F864,Assumptions!$A$8:$A$16,0))</f>
        <v>71.084999999999994</v>
      </c>
      <c r="R864" s="22">
        <f>H864*Assumptions!$B$3</f>
        <v>13.866</v>
      </c>
      <c r="S864" s="22">
        <f t="shared" si="107"/>
        <v>16.599000000000004</v>
      </c>
      <c r="T864" s="20" t="str">
        <f t="shared" si="108"/>
        <v>8-14 days</v>
      </c>
    </row>
    <row r="865" spans="1:20" x14ac:dyDescent="0.3">
      <c r="A865" s="20" t="s">
        <v>931</v>
      </c>
      <c r="B865" s="20" t="s">
        <v>19</v>
      </c>
      <c r="C865" s="21">
        <v>45653</v>
      </c>
      <c r="D865" s="21">
        <v>45658</v>
      </c>
      <c r="E865" s="21">
        <v>45667</v>
      </c>
      <c r="F865" s="20" t="s">
        <v>49</v>
      </c>
      <c r="G865" s="22">
        <v>49.26</v>
      </c>
      <c r="H865" s="22">
        <v>11.79</v>
      </c>
      <c r="I865" s="20" t="s">
        <v>45</v>
      </c>
      <c r="J865" s="20">
        <v>5</v>
      </c>
      <c r="K865" s="20" t="s">
        <v>46</v>
      </c>
      <c r="L865" s="23">
        <f t="shared" si="102"/>
        <v>45627</v>
      </c>
      <c r="M865" s="20">
        <f t="shared" si="103"/>
        <v>5</v>
      </c>
      <c r="N865" s="20">
        <f t="shared" si="104"/>
        <v>0</v>
      </c>
      <c r="O865" s="20">
        <f t="shared" si="105"/>
        <v>1</v>
      </c>
      <c r="P865" s="22">
        <f t="shared" si="106"/>
        <v>61.05</v>
      </c>
      <c r="Q865" s="22">
        <f>G865*INDEX(Assumptions!$B$8:$B$16,MATCH(F865,Assumptions!$A$8:$A$16,0))</f>
        <v>28.570799999999998</v>
      </c>
      <c r="R865" s="22">
        <f>H865*Assumptions!$B$3</f>
        <v>7.073999999999999</v>
      </c>
      <c r="S865" s="22">
        <f t="shared" si="107"/>
        <v>13.615200000000002</v>
      </c>
      <c r="T865" s="20" t="str">
        <f t="shared" si="108"/>
        <v>0-7 days</v>
      </c>
    </row>
    <row r="866" spans="1:20" x14ac:dyDescent="0.3">
      <c r="A866" s="20" t="s">
        <v>932</v>
      </c>
      <c r="B866" s="20" t="s">
        <v>19</v>
      </c>
      <c r="C866" s="21">
        <v>45653</v>
      </c>
      <c r="D866" s="21">
        <v>45659</v>
      </c>
      <c r="E866" s="21">
        <v>45664</v>
      </c>
      <c r="F866" s="20" t="s">
        <v>59</v>
      </c>
      <c r="G866" s="22">
        <v>89.15</v>
      </c>
      <c r="H866" s="22">
        <v>14.34</v>
      </c>
      <c r="I866" s="20" t="s">
        <v>60</v>
      </c>
      <c r="J866" s="20">
        <v>4</v>
      </c>
      <c r="K866" s="20" t="s">
        <v>46</v>
      </c>
      <c r="L866" s="23">
        <f t="shared" si="102"/>
        <v>45627</v>
      </c>
      <c r="M866" s="20">
        <f t="shared" si="103"/>
        <v>6</v>
      </c>
      <c r="N866" s="20">
        <f t="shared" si="104"/>
        <v>0</v>
      </c>
      <c r="O866" s="20">
        <f t="shared" si="105"/>
        <v>1</v>
      </c>
      <c r="P866" s="22">
        <f t="shared" si="106"/>
        <v>103.49000000000001</v>
      </c>
      <c r="Q866" s="22">
        <f>G866*INDEX(Assumptions!$B$8:$B$16,MATCH(F866,Assumptions!$A$8:$A$16,0))</f>
        <v>57.056000000000004</v>
      </c>
      <c r="R866" s="22">
        <f>H866*Assumptions!$B$3</f>
        <v>8.6039999999999992</v>
      </c>
      <c r="S866" s="22">
        <f t="shared" si="107"/>
        <v>23.490000000000002</v>
      </c>
      <c r="T866" s="20" t="str">
        <f t="shared" si="108"/>
        <v>0-7 days</v>
      </c>
    </row>
    <row r="867" spans="1:20" x14ac:dyDescent="0.3">
      <c r="A867" s="20" t="s">
        <v>933</v>
      </c>
      <c r="B867" s="20" t="s">
        <v>19</v>
      </c>
      <c r="C867" s="21">
        <v>45653</v>
      </c>
      <c r="D867" s="21">
        <v>45663</v>
      </c>
      <c r="E867" s="21">
        <v>45668</v>
      </c>
      <c r="F867" s="20" t="s">
        <v>49</v>
      </c>
      <c r="G867" s="22">
        <v>196.47</v>
      </c>
      <c r="H867" s="22">
        <v>16.920000000000002</v>
      </c>
      <c r="I867" s="20" t="s">
        <v>60</v>
      </c>
      <c r="J867" s="20">
        <v>5</v>
      </c>
      <c r="K867" s="20" t="s">
        <v>46</v>
      </c>
      <c r="L867" s="23">
        <f t="shared" si="102"/>
        <v>45627</v>
      </c>
      <c r="M867" s="20">
        <f t="shared" si="103"/>
        <v>10</v>
      </c>
      <c r="N867" s="20">
        <f t="shared" si="104"/>
        <v>0</v>
      </c>
      <c r="O867" s="20">
        <f t="shared" si="105"/>
        <v>1</v>
      </c>
      <c r="P867" s="22">
        <f t="shared" si="106"/>
        <v>213.39</v>
      </c>
      <c r="Q867" s="22">
        <f>G867*INDEX(Assumptions!$B$8:$B$16,MATCH(F867,Assumptions!$A$8:$A$16,0))</f>
        <v>113.95259999999999</v>
      </c>
      <c r="R867" s="22">
        <f>H867*Assumptions!$B$3</f>
        <v>10.152000000000001</v>
      </c>
      <c r="S867" s="22">
        <f t="shared" si="107"/>
        <v>72.365400000000008</v>
      </c>
      <c r="T867" s="20" t="str">
        <f t="shared" si="108"/>
        <v>8-14 days</v>
      </c>
    </row>
    <row r="868" spans="1:20" x14ac:dyDescent="0.3">
      <c r="A868" s="20" t="s">
        <v>934</v>
      </c>
      <c r="B868" s="20" t="s">
        <v>19</v>
      </c>
      <c r="C868" s="21">
        <v>45654</v>
      </c>
      <c r="D868" s="21">
        <v>45668</v>
      </c>
      <c r="E868" s="21">
        <v>45670</v>
      </c>
      <c r="F868" s="20" t="s">
        <v>64</v>
      </c>
      <c r="G868" s="22">
        <v>147.74</v>
      </c>
      <c r="H868" s="22">
        <v>18.73</v>
      </c>
      <c r="I868" s="20" t="s">
        <v>60</v>
      </c>
      <c r="J868" s="20">
        <v>4</v>
      </c>
      <c r="K868" s="20" t="s">
        <v>46</v>
      </c>
      <c r="L868" s="23">
        <f t="shared" si="102"/>
        <v>45627</v>
      </c>
      <c r="M868" s="20">
        <f t="shared" si="103"/>
        <v>14</v>
      </c>
      <c r="N868" s="20">
        <f t="shared" si="104"/>
        <v>0</v>
      </c>
      <c r="O868" s="20">
        <f t="shared" si="105"/>
        <v>1</v>
      </c>
      <c r="P868" s="22">
        <f t="shared" si="106"/>
        <v>166.47</v>
      </c>
      <c r="Q868" s="22">
        <f>G868*INDEX(Assumptions!$B$8:$B$16,MATCH(F868,Assumptions!$A$8:$A$16,0))</f>
        <v>97.508400000000009</v>
      </c>
      <c r="R868" s="22">
        <f>H868*Assumptions!$B$3</f>
        <v>11.238</v>
      </c>
      <c r="S868" s="22">
        <f t="shared" si="107"/>
        <v>38.993600000000001</v>
      </c>
      <c r="T868" s="20" t="str">
        <f t="shared" si="108"/>
        <v>8-14 days</v>
      </c>
    </row>
    <row r="869" spans="1:20" x14ac:dyDescent="0.3">
      <c r="A869" s="20" t="s">
        <v>935</v>
      </c>
      <c r="B869" s="20" t="s">
        <v>62</v>
      </c>
      <c r="C869" s="21">
        <v>45654</v>
      </c>
      <c r="D869" s="21">
        <v>45669</v>
      </c>
      <c r="E869" s="21">
        <v>45677</v>
      </c>
      <c r="F869" s="20" t="s">
        <v>111</v>
      </c>
      <c r="G869" s="22">
        <v>179.5</v>
      </c>
      <c r="H869" s="22">
        <v>22.34</v>
      </c>
      <c r="I869" s="20" t="s">
        <v>45</v>
      </c>
      <c r="J869" s="20">
        <v>4</v>
      </c>
      <c r="K869" s="20" t="s">
        <v>46</v>
      </c>
      <c r="L869" s="23">
        <f t="shared" si="102"/>
        <v>45627</v>
      </c>
      <c r="M869" s="20">
        <f t="shared" si="103"/>
        <v>15</v>
      </c>
      <c r="N869" s="20">
        <f t="shared" si="104"/>
        <v>0</v>
      </c>
      <c r="O869" s="20">
        <f t="shared" si="105"/>
        <v>1</v>
      </c>
      <c r="P869" s="22">
        <f t="shared" si="106"/>
        <v>201.84</v>
      </c>
      <c r="Q869" s="22">
        <f>G869*INDEX(Assumptions!$B$8:$B$16,MATCH(F869,Assumptions!$A$8:$A$16,0))</f>
        <v>113.08499999999999</v>
      </c>
      <c r="R869" s="22">
        <f>H869*Assumptions!$B$3</f>
        <v>13.404</v>
      </c>
      <c r="S869" s="22">
        <f t="shared" si="107"/>
        <v>53.01100000000001</v>
      </c>
      <c r="T869" s="20" t="str">
        <f t="shared" si="108"/>
        <v>15-21 days</v>
      </c>
    </row>
    <row r="870" spans="1:20" x14ac:dyDescent="0.3">
      <c r="A870" s="20" t="s">
        <v>936</v>
      </c>
      <c r="B870" s="20" t="s">
        <v>19</v>
      </c>
      <c r="C870" s="21">
        <v>45654</v>
      </c>
      <c r="D870" s="21">
        <v>45662</v>
      </c>
      <c r="E870" s="21">
        <v>45670</v>
      </c>
      <c r="F870" s="20" t="s">
        <v>49</v>
      </c>
      <c r="G870" s="22">
        <v>121.28</v>
      </c>
      <c r="H870" s="22">
        <v>15.58</v>
      </c>
      <c r="I870" s="20" t="s">
        <v>60</v>
      </c>
      <c r="J870" s="20">
        <v>5</v>
      </c>
      <c r="K870" s="20" t="s">
        <v>46</v>
      </c>
      <c r="L870" s="23">
        <f t="shared" si="102"/>
        <v>45627</v>
      </c>
      <c r="M870" s="20">
        <f t="shared" si="103"/>
        <v>8</v>
      </c>
      <c r="N870" s="20">
        <f t="shared" si="104"/>
        <v>0</v>
      </c>
      <c r="O870" s="20">
        <f t="shared" si="105"/>
        <v>1</v>
      </c>
      <c r="P870" s="22">
        <f t="shared" si="106"/>
        <v>136.86000000000001</v>
      </c>
      <c r="Q870" s="22">
        <f>G870*INDEX(Assumptions!$B$8:$B$16,MATCH(F870,Assumptions!$A$8:$A$16,0))</f>
        <v>70.342399999999998</v>
      </c>
      <c r="R870" s="22">
        <f>H870*Assumptions!$B$3</f>
        <v>9.347999999999999</v>
      </c>
      <c r="S870" s="22">
        <f t="shared" si="107"/>
        <v>41.589600000000004</v>
      </c>
      <c r="T870" s="20" t="str">
        <f t="shared" si="108"/>
        <v>8-14 days</v>
      </c>
    </row>
    <row r="871" spans="1:20" x14ac:dyDescent="0.3">
      <c r="A871" s="20" t="s">
        <v>937</v>
      </c>
      <c r="B871" s="20" t="s">
        <v>103</v>
      </c>
      <c r="C871" s="21">
        <v>45656</v>
      </c>
      <c r="D871" s="21">
        <v>45667</v>
      </c>
      <c r="E871" s="21">
        <v>45679</v>
      </c>
      <c r="F871" s="20" t="s">
        <v>49</v>
      </c>
      <c r="G871" s="22">
        <v>284.68</v>
      </c>
      <c r="H871" s="22">
        <v>31.66</v>
      </c>
      <c r="I871" s="20" t="s">
        <v>60</v>
      </c>
      <c r="J871" s="20">
        <v>4</v>
      </c>
      <c r="K871" s="20" t="s">
        <v>46</v>
      </c>
      <c r="L871" s="23">
        <f t="shared" si="102"/>
        <v>45627</v>
      </c>
      <c r="M871" s="20">
        <f t="shared" si="103"/>
        <v>11</v>
      </c>
      <c r="N871" s="20">
        <f t="shared" si="104"/>
        <v>0</v>
      </c>
      <c r="O871" s="20">
        <f t="shared" si="105"/>
        <v>1</v>
      </c>
      <c r="P871" s="22">
        <f t="shared" si="106"/>
        <v>316.34000000000003</v>
      </c>
      <c r="Q871" s="22">
        <f>G871*INDEX(Assumptions!$B$8:$B$16,MATCH(F871,Assumptions!$A$8:$A$16,0))</f>
        <v>165.11439999999999</v>
      </c>
      <c r="R871" s="22">
        <f>H871*Assumptions!$B$3</f>
        <v>18.995999999999999</v>
      </c>
      <c r="S871" s="22">
        <f t="shared" si="107"/>
        <v>100.56960000000002</v>
      </c>
      <c r="T871" s="20" t="str">
        <f t="shared" si="108"/>
        <v>8-14 days</v>
      </c>
    </row>
    <row r="872" spans="1:20" x14ac:dyDescent="0.3">
      <c r="A872" s="20" t="s">
        <v>938</v>
      </c>
      <c r="B872" s="20" t="s">
        <v>174</v>
      </c>
      <c r="C872" s="21">
        <v>45656</v>
      </c>
      <c r="D872" s="21">
        <v>45672</v>
      </c>
      <c r="E872" s="21">
        <v>45690</v>
      </c>
      <c r="F872" s="20" t="s">
        <v>111</v>
      </c>
      <c r="G872" s="22">
        <v>73.790000000000006</v>
      </c>
      <c r="H872" s="22">
        <v>38</v>
      </c>
      <c r="I872" s="20" t="s">
        <v>45</v>
      </c>
      <c r="J872" s="20">
        <v>5</v>
      </c>
      <c r="K872" s="20" t="s">
        <v>46</v>
      </c>
      <c r="L872" s="23">
        <f t="shared" si="102"/>
        <v>45627</v>
      </c>
      <c r="M872" s="20">
        <f t="shared" si="103"/>
        <v>16</v>
      </c>
      <c r="N872" s="20">
        <f t="shared" si="104"/>
        <v>0</v>
      </c>
      <c r="O872" s="20">
        <f t="shared" si="105"/>
        <v>1</v>
      </c>
      <c r="P872" s="22">
        <f t="shared" si="106"/>
        <v>111.79</v>
      </c>
      <c r="Q872" s="22">
        <f>G872*INDEX(Assumptions!$B$8:$B$16,MATCH(F872,Assumptions!$A$8:$A$16,0))</f>
        <v>46.487700000000004</v>
      </c>
      <c r="R872" s="22">
        <f>H872*Assumptions!$B$3</f>
        <v>22.8</v>
      </c>
      <c r="S872" s="22">
        <f t="shared" si="107"/>
        <v>4.5023000000000017</v>
      </c>
      <c r="T872" s="20" t="str">
        <f t="shared" si="108"/>
        <v>15-21 days</v>
      </c>
    </row>
    <row r="873" spans="1:20" x14ac:dyDescent="0.3">
      <c r="A873" s="20" t="s">
        <v>939</v>
      </c>
      <c r="B873" s="20" t="s">
        <v>19</v>
      </c>
      <c r="C873" s="21">
        <v>45656</v>
      </c>
      <c r="D873" s="21">
        <v>45662</v>
      </c>
      <c r="E873" s="21">
        <v>45673</v>
      </c>
      <c r="F873" s="20" t="s">
        <v>49</v>
      </c>
      <c r="G873" s="22">
        <v>68.61</v>
      </c>
      <c r="H873" s="22">
        <v>20.25</v>
      </c>
      <c r="I873" s="20" t="s">
        <v>45</v>
      </c>
      <c r="J873" s="20">
        <v>4</v>
      </c>
      <c r="K873" s="20" t="s">
        <v>46</v>
      </c>
      <c r="L873" s="23">
        <f t="shared" si="102"/>
        <v>45627</v>
      </c>
      <c r="M873" s="20">
        <f t="shared" si="103"/>
        <v>6</v>
      </c>
      <c r="N873" s="20">
        <f t="shared" si="104"/>
        <v>0</v>
      </c>
      <c r="O873" s="20">
        <f t="shared" si="105"/>
        <v>1</v>
      </c>
      <c r="P873" s="22">
        <f t="shared" si="106"/>
        <v>88.86</v>
      </c>
      <c r="Q873" s="22">
        <f>G873*INDEX(Assumptions!$B$8:$B$16,MATCH(F873,Assumptions!$A$8:$A$16,0))</f>
        <v>39.793799999999997</v>
      </c>
      <c r="R873" s="22">
        <f>H873*Assumptions!$B$3</f>
        <v>12.15</v>
      </c>
      <c r="S873" s="22">
        <f t="shared" si="107"/>
        <v>16.666200000000003</v>
      </c>
      <c r="T873" s="20" t="str">
        <f t="shared" si="108"/>
        <v>0-7 days</v>
      </c>
    </row>
    <row r="874" spans="1:20" x14ac:dyDescent="0.3">
      <c r="A874" s="20" t="s">
        <v>940</v>
      </c>
      <c r="B874" s="20" t="s">
        <v>62</v>
      </c>
      <c r="C874" s="21">
        <v>45656</v>
      </c>
      <c r="D874" s="21">
        <v>45672</v>
      </c>
      <c r="E874" s="21">
        <v>45676</v>
      </c>
      <c r="F874" s="20" t="s">
        <v>44</v>
      </c>
      <c r="G874" s="22">
        <v>179.12</v>
      </c>
      <c r="H874" s="22">
        <v>18.09</v>
      </c>
      <c r="I874" s="20" t="s">
        <v>45</v>
      </c>
      <c r="J874" s="20">
        <v>5</v>
      </c>
      <c r="K874" s="20" t="s">
        <v>46</v>
      </c>
      <c r="L874" s="23">
        <f t="shared" si="102"/>
        <v>45627</v>
      </c>
      <c r="M874" s="20">
        <f t="shared" si="103"/>
        <v>16</v>
      </c>
      <c r="N874" s="20">
        <f t="shared" si="104"/>
        <v>0</v>
      </c>
      <c r="O874" s="20">
        <f t="shared" si="105"/>
        <v>1</v>
      </c>
      <c r="P874" s="22">
        <f t="shared" si="106"/>
        <v>197.21</v>
      </c>
      <c r="Q874" s="22">
        <f>G874*INDEX(Assumptions!$B$8:$B$16,MATCH(F874,Assumptions!$A$8:$A$16,0))</f>
        <v>107.47199999999999</v>
      </c>
      <c r="R874" s="22">
        <f>H874*Assumptions!$B$3</f>
        <v>10.853999999999999</v>
      </c>
      <c r="S874" s="22">
        <f t="shared" si="107"/>
        <v>60.794000000000011</v>
      </c>
      <c r="T874" s="20" t="str">
        <f t="shared" si="108"/>
        <v>15-21 days</v>
      </c>
    </row>
    <row r="875" spans="1:20" x14ac:dyDescent="0.3">
      <c r="A875" s="20" t="s">
        <v>941</v>
      </c>
      <c r="B875" s="20" t="s">
        <v>93</v>
      </c>
      <c r="C875" s="21">
        <v>45657</v>
      </c>
      <c r="D875" s="21">
        <v>45682</v>
      </c>
      <c r="E875" s="21">
        <v>45685</v>
      </c>
      <c r="F875" s="20" t="s">
        <v>59</v>
      </c>
      <c r="G875" s="22">
        <v>140.26</v>
      </c>
      <c r="H875" s="22">
        <v>33.549999999999997</v>
      </c>
      <c r="I875" s="20" t="s">
        <v>45</v>
      </c>
      <c r="J875" s="20">
        <v>5</v>
      </c>
      <c r="K875" s="20" t="s">
        <v>46</v>
      </c>
      <c r="L875" s="23">
        <f t="shared" si="102"/>
        <v>45627</v>
      </c>
      <c r="M875" s="20">
        <f t="shared" si="103"/>
        <v>25</v>
      </c>
      <c r="N875" s="20">
        <f t="shared" si="104"/>
        <v>0</v>
      </c>
      <c r="O875" s="20">
        <f t="shared" si="105"/>
        <v>1</v>
      </c>
      <c r="P875" s="22">
        <f t="shared" si="106"/>
        <v>173.81</v>
      </c>
      <c r="Q875" s="22">
        <f>G875*INDEX(Assumptions!$B$8:$B$16,MATCH(F875,Assumptions!$A$8:$A$16,0))</f>
        <v>89.76639999999999</v>
      </c>
      <c r="R875" s="22">
        <f>H875*Assumptions!$B$3</f>
        <v>20.13</v>
      </c>
      <c r="S875" s="22">
        <f t="shared" si="107"/>
        <v>30.363600000000002</v>
      </c>
      <c r="T875" s="20" t="str">
        <f t="shared" si="108"/>
        <v>22+ days</v>
      </c>
    </row>
    <row r="876" spans="1:20" x14ac:dyDescent="0.3">
      <c r="A876" s="20" t="s">
        <v>942</v>
      </c>
      <c r="B876" s="20" t="s">
        <v>156</v>
      </c>
      <c r="C876" s="21">
        <v>45657</v>
      </c>
      <c r="D876" s="21">
        <v>45672</v>
      </c>
      <c r="E876" s="21">
        <v>45684</v>
      </c>
      <c r="F876" s="20" t="s">
        <v>79</v>
      </c>
      <c r="G876" s="22">
        <v>194.46</v>
      </c>
      <c r="H876" s="22">
        <v>33.56</v>
      </c>
      <c r="I876" s="20" t="s">
        <v>45</v>
      </c>
      <c r="J876" s="20">
        <v>5</v>
      </c>
      <c r="K876" s="20" t="s">
        <v>46</v>
      </c>
      <c r="L876" s="23">
        <f t="shared" si="102"/>
        <v>45627</v>
      </c>
      <c r="M876" s="20">
        <f t="shared" si="103"/>
        <v>15</v>
      </c>
      <c r="N876" s="20">
        <f t="shared" si="104"/>
        <v>0</v>
      </c>
      <c r="O876" s="20">
        <f t="shared" si="105"/>
        <v>1</v>
      </c>
      <c r="P876" s="22">
        <f t="shared" si="106"/>
        <v>228.02</v>
      </c>
      <c r="Q876" s="22">
        <f>G876*INDEX(Assumptions!$B$8:$B$16,MATCH(F876,Assumptions!$A$8:$A$16,0))</f>
        <v>136.12199999999999</v>
      </c>
      <c r="R876" s="22">
        <f>H876*Assumptions!$B$3</f>
        <v>20.135999999999999</v>
      </c>
      <c r="S876" s="22">
        <f t="shared" si="107"/>
        <v>38.202000000000027</v>
      </c>
      <c r="T876" s="20" t="str">
        <f t="shared" si="108"/>
        <v>15-21 days</v>
      </c>
    </row>
    <row r="877" spans="1:20" x14ac:dyDescent="0.3">
      <c r="A877" s="20" t="s">
        <v>943</v>
      </c>
      <c r="B877" s="20" t="s">
        <v>48</v>
      </c>
      <c r="C877" s="21">
        <v>45657</v>
      </c>
      <c r="D877" s="21">
        <v>45667</v>
      </c>
      <c r="E877" s="21">
        <v>45679</v>
      </c>
      <c r="F877" s="20" t="s">
        <v>49</v>
      </c>
      <c r="G877" s="22">
        <v>132.96</v>
      </c>
      <c r="H877" s="22">
        <v>25.93</v>
      </c>
      <c r="I877" s="20" t="s">
        <v>45</v>
      </c>
      <c r="J877" s="20">
        <v>5</v>
      </c>
      <c r="K877" s="20" t="s">
        <v>46</v>
      </c>
      <c r="L877" s="23">
        <f t="shared" si="102"/>
        <v>45627</v>
      </c>
      <c r="M877" s="20">
        <f t="shared" si="103"/>
        <v>10</v>
      </c>
      <c r="N877" s="20">
        <f t="shared" si="104"/>
        <v>0</v>
      </c>
      <c r="O877" s="20">
        <f t="shared" si="105"/>
        <v>1</v>
      </c>
      <c r="P877" s="22">
        <f t="shared" si="106"/>
        <v>158.89000000000001</v>
      </c>
      <c r="Q877" s="22">
        <f>G877*INDEX(Assumptions!$B$8:$B$16,MATCH(F877,Assumptions!$A$8:$A$16,0))</f>
        <v>77.116799999999998</v>
      </c>
      <c r="R877" s="22">
        <f>H877*Assumptions!$B$3</f>
        <v>15.558</v>
      </c>
      <c r="S877" s="22">
        <f t="shared" si="107"/>
        <v>40.28520000000001</v>
      </c>
      <c r="T877" s="20" t="str">
        <f t="shared" si="108"/>
        <v>8-14 days</v>
      </c>
    </row>
    <row r="878" spans="1:20" x14ac:dyDescent="0.3">
      <c r="A878" s="20" t="s">
        <v>944</v>
      </c>
      <c r="B878" s="20" t="s">
        <v>19</v>
      </c>
      <c r="C878" s="21">
        <v>45657</v>
      </c>
      <c r="D878" s="21">
        <v>45663</v>
      </c>
      <c r="E878" s="21">
        <v>45672</v>
      </c>
      <c r="F878" s="20" t="s">
        <v>53</v>
      </c>
      <c r="G878" s="22">
        <v>98.32</v>
      </c>
      <c r="H878" s="22">
        <v>21.65</v>
      </c>
      <c r="I878" s="20" t="s">
        <v>45</v>
      </c>
      <c r="J878" s="20">
        <v>5</v>
      </c>
      <c r="K878" s="20" t="s">
        <v>46</v>
      </c>
      <c r="L878" s="23">
        <f t="shared" si="102"/>
        <v>45627</v>
      </c>
      <c r="M878" s="20">
        <f t="shared" si="103"/>
        <v>6</v>
      </c>
      <c r="N878" s="20">
        <f t="shared" si="104"/>
        <v>0</v>
      </c>
      <c r="O878" s="20">
        <f t="shared" si="105"/>
        <v>1</v>
      </c>
      <c r="P878" s="22">
        <f t="shared" si="106"/>
        <v>119.97</v>
      </c>
      <c r="Q878" s="22">
        <f>G878*INDEX(Assumptions!$B$8:$B$16,MATCH(F878,Assumptions!$A$8:$A$16,0))</f>
        <v>72.756799999999998</v>
      </c>
      <c r="R878" s="22">
        <f>H878*Assumptions!$B$3</f>
        <v>12.989999999999998</v>
      </c>
      <c r="S878" s="22">
        <f t="shared" si="107"/>
        <v>12.573199999999996</v>
      </c>
      <c r="T878" s="20" t="str">
        <f t="shared" si="108"/>
        <v>0-7 days</v>
      </c>
    </row>
    <row r="879" spans="1:20" x14ac:dyDescent="0.3">
      <c r="A879" s="20" t="s">
        <v>945</v>
      </c>
      <c r="B879" s="20" t="s">
        <v>62</v>
      </c>
      <c r="C879" s="21">
        <v>45658</v>
      </c>
      <c r="D879" s="21">
        <v>45669</v>
      </c>
      <c r="E879" s="21">
        <v>45679</v>
      </c>
      <c r="F879" s="20" t="s">
        <v>49</v>
      </c>
      <c r="G879" s="22">
        <v>128.91</v>
      </c>
      <c r="H879" s="22">
        <v>29.4</v>
      </c>
      <c r="I879" s="20" t="s">
        <v>45</v>
      </c>
      <c r="J879" s="20">
        <v>5</v>
      </c>
      <c r="K879" s="20" t="s">
        <v>46</v>
      </c>
      <c r="L879" s="23">
        <f t="shared" si="102"/>
        <v>45658</v>
      </c>
      <c r="M879" s="20">
        <f t="shared" si="103"/>
        <v>11</v>
      </c>
      <c r="N879" s="20">
        <f t="shared" si="104"/>
        <v>0</v>
      </c>
      <c r="O879" s="20">
        <f t="shared" si="105"/>
        <v>1</v>
      </c>
      <c r="P879" s="22">
        <f t="shared" si="106"/>
        <v>158.31</v>
      </c>
      <c r="Q879" s="22">
        <f>G879*INDEX(Assumptions!$B$8:$B$16,MATCH(F879,Assumptions!$A$8:$A$16,0))</f>
        <v>74.767799999999994</v>
      </c>
      <c r="R879" s="22">
        <f>H879*Assumptions!$B$3</f>
        <v>17.639999999999997</v>
      </c>
      <c r="S879" s="22">
        <f t="shared" si="107"/>
        <v>36.502200000000002</v>
      </c>
      <c r="T879" s="20" t="str">
        <f t="shared" si="108"/>
        <v>8-14 days</v>
      </c>
    </row>
    <row r="880" spans="1:20" x14ac:dyDescent="0.3">
      <c r="A880" s="20" t="s">
        <v>946</v>
      </c>
      <c r="B880" s="20" t="s">
        <v>48</v>
      </c>
      <c r="C880" s="21">
        <v>45658</v>
      </c>
      <c r="D880" s="21">
        <v>45665</v>
      </c>
      <c r="E880" s="21">
        <v>45679</v>
      </c>
      <c r="F880" s="20" t="s">
        <v>79</v>
      </c>
      <c r="G880" s="22">
        <v>117.9</v>
      </c>
      <c r="H880" s="22">
        <v>21.94</v>
      </c>
      <c r="I880" s="20" t="s">
        <v>45</v>
      </c>
      <c r="J880" s="20">
        <v>3</v>
      </c>
      <c r="K880" s="20" t="s">
        <v>46</v>
      </c>
      <c r="L880" s="23">
        <f t="shared" si="102"/>
        <v>45658</v>
      </c>
      <c r="M880" s="20">
        <f t="shared" si="103"/>
        <v>7</v>
      </c>
      <c r="N880" s="20">
        <f t="shared" si="104"/>
        <v>0</v>
      </c>
      <c r="O880" s="20">
        <f t="shared" si="105"/>
        <v>1</v>
      </c>
      <c r="P880" s="22">
        <f t="shared" si="106"/>
        <v>139.84</v>
      </c>
      <c r="Q880" s="22">
        <f>G880*INDEX(Assumptions!$B$8:$B$16,MATCH(F880,Assumptions!$A$8:$A$16,0))</f>
        <v>82.53</v>
      </c>
      <c r="R880" s="22">
        <f>H880*Assumptions!$B$3</f>
        <v>13.164</v>
      </c>
      <c r="S880" s="22">
        <f t="shared" si="107"/>
        <v>22.206000000000003</v>
      </c>
      <c r="T880" s="20" t="str">
        <f t="shared" si="108"/>
        <v>0-7 days</v>
      </c>
    </row>
    <row r="881" spans="1:20" x14ac:dyDescent="0.3">
      <c r="A881" s="20" t="s">
        <v>947</v>
      </c>
      <c r="B881" s="20" t="s">
        <v>19</v>
      </c>
      <c r="C881" s="21">
        <v>45658</v>
      </c>
      <c r="D881" s="21">
        <v>45667</v>
      </c>
      <c r="E881" s="21">
        <v>45675</v>
      </c>
      <c r="F881" s="20" t="s">
        <v>67</v>
      </c>
      <c r="G881" s="22">
        <v>88.18</v>
      </c>
      <c r="H881" s="22">
        <v>13.03</v>
      </c>
      <c r="I881" s="20" t="s">
        <v>45</v>
      </c>
      <c r="J881" s="20">
        <v>4</v>
      </c>
      <c r="K881" s="20" t="s">
        <v>46</v>
      </c>
      <c r="L881" s="23">
        <f t="shared" si="102"/>
        <v>45658</v>
      </c>
      <c r="M881" s="20">
        <f t="shared" si="103"/>
        <v>9</v>
      </c>
      <c r="N881" s="20">
        <f t="shared" si="104"/>
        <v>0</v>
      </c>
      <c r="O881" s="20">
        <f t="shared" si="105"/>
        <v>1</v>
      </c>
      <c r="P881" s="22">
        <f t="shared" si="106"/>
        <v>101.21000000000001</v>
      </c>
      <c r="Q881" s="22">
        <f>G881*INDEX(Assumptions!$B$8:$B$16,MATCH(F881,Assumptions!$A$8:$A$16,0))</f>
        <v>54.671600000000005</v>
      </c>
      <c r="R881" s="22">
        <f>H881*Assumptions!$B$3</f>
        <v>7.8179999999999996</v>
      </c>
      <c r="S881" s="22">
        <f t="shared" si="107"/>
        <v>25.690400000000004</v>
      </c>
      <c r="T881" s="20" t="str">
        <f t="shared" si="108"/>
        <v>8-14 days</v>
      </c>
    </row>
    <row r="882" spans="1:20" x14ac:dyDescent="0.3">
      <c r="A882" s="20" t="s">
        <v>948</v>
      </c>
      <c r="B882" s="20" t="s">
        <v>134</v>
      </c>
      <c r="C882" s="21">
        <v>45658</v>
      </c>
      <c r="D882" s="21">
        <v>45691</v>
      </c>
      <c r="E882" s="21">
        <v>45682</v>
      </c>
      <c r="F882" s="20" t="s">
        <v>49</v>
      </c>
      <c r="G882" s="22">
        <v>140.94</v>
      </c>
      <c r="H882" s="22">
        <v>26.29</v>
      </c>
      <c r="I882" s="20" t="s">
        <v>45</v>
      </c>
      <c r="J882" s="20">
        <v>2</v>
      </c>
      <c r="K882" s="20" t="s">
        <v>46</v>
      </c>
      <c r="L882" s="23">
        <f t="shared" si="102"/>
        <v>45658</v>
      </c>
      <c r="M882" s="20">
        <f t="shared" si="103"/>
        <v>33</v>
      </c>
      <c r="N882" s="20">
        <f t="shared" si="104"/>
        <v>9</v>
      </c>
      <c r="O882" s="20">
        <f t="shared" si="105"/>
        <v>0</v>
      </c>
      <c r="P882" s="22">
        <f t="shared" si="106"/>
        <v>167.23</v>
      </c>
      <c r="Q882" s="22">
        <f>G882*INDEX(Assumptions!$B$8:$B$16,MATCH(F882,Assumptions!$A$8:$A$16,0))</f>
        <v>81.745199999999997</v>
      </c>
      <c r="R882" s="22">
        <f>H882*Assumptions!$B$3</f>
        <v>15.773999999999999</v>
      </c>
      <c r="S882" s="22">
        <f t="shared" si="107"/>
        <v>43.4208</v>
      </c>
      <c r="T882" s="20" t="str">
        <f t="shared" si="108"/>
        <v>22+ days</v>
      </c>
    </row>
    <row r="883" spans="1:20" x14ac:dyDescent="0.3">
      <c r="A883" s="20" t="s">
        <v>949</v>
      </c>
      <c r="B883" s="20" t="s">
        <v>55</v>
      </c>
      <c r="C883" s="21">
        <v>45658</v>
      </c>
      <c r="D883" s="21">
        <v>45675</v>
      </c>
      <c r="E883" s="21">
        <v>45680</v>
      </c>
      <c r="F883" s="20" t="s">
        <v>64</v>
      </c>
      <c r="G883" s="22">
        <v>244.51</v>
      </c>
      <c r="H883" s="22">
        <v>21.41</v>
      </c>
      <c r="I883" s="20" t="s">
        <v>45</v>
      </c>
      <c r="J883" s="20">
        <v>4</v>
      </c>
      <c r="K883" s="20" t="s">
        <v>46</v>
      </c>
      <c r="L883" s="23">
        <f t="shared" si="102"/>
        <v>45658</v>
      </c>
      <c r="M883" s="20">
        <f t="shared" si="103"/>
        <v>17</v>
      </c>
      <c r="N883" s="20">
        <f t="shared" si="104"/>
        <v>0</v>
      </c>
      <c r="O883" s="20">
        <f t="shared" si="105"/>
        <v>1</v>
      </c>
      <c r="P883" s="22">
        <f t="shared" si="106"/>
        <v>265.92</v>
      </c>
      <c r="Q883" s="22">
        <f>G883*INDEX(Assumptions!$B$8:$B$16,MATCH(F883,Assumptions!$A$8:$A$16,0))</f>
        <v>161.3766</v>
      </c>
      <c r="R883" s="22">
        <f>H883*Assumptions!$B$3</f>
        <v>12.846</v>
      </c>
      <c r="S883" s="22">
        <f t="shared" si="107"/>
        <v>70.287399999999991</v>
      </c>
      <c r="T883" s="20" t="str">
        <f t="shared" si="108"/>
        <v>15-21 days</v>
      </c>
    </row>
    <row r="884" spans="1:20" x14ac:dyDescent="0.3">
      <c r="A884" s="20" t="s">
        <v>950</v>
      </c>
      <c r="B884" s="20" t="s">
        <v>93</v>
      </c>
      <c r="C884" s="21">
        <v>45659</v>
      </c>
      <c r="D884" s="21">
        <v>45673</v>
      </c>
      <c r="E884" s="21">
        <v>45689</v>
      </c>
      <c r="F884" s="20" t="s">
        <v>111</v>
      </c>
      <c r="G884" s="22">
        <v>37.65</v>
      </c>
      <c r="H884" s="22">
        <v>39.880000000000003</v>
      </c>
      <c r="I884" s="20" t="s">
        <v>45</v>
      </c>
      <c r="J884" s="20">
        <v>3</v>
      </c>
      <c r="K884" s="20" t="s">
        <v>46</v>
      </c>
      <c r="L884" s="23">
        <f t="shared" si="102"/>
        <v>45658</v>
      </c>
      <c r="M884" s="20">
        <f t="shared" si="103"/>
        <v>14</v>
      </c>
      <c r="N884" s="20">
        <f t="shared" si="104"/>
        <v>0</v>
      </c>
      <c r="O884" s="20">
        <f t="shared" si="105"/>
        <v>1</v>
      </c>
      <c r="P884" s="22">
        <f t="shared" si="106"/>
        <v>77.53</v>
      </c>
      <c r="Q884" s="22">
        <f>G884*INDEX(Assumptions!$B$8:$B$16,MATCH(F884,Assumptions!$A$8:$A$16,0))</f>
        <v>23.7195</v>
      </c>
      <c r="R884" s="22">
        <f>H884*Assumptions!$B$3</f>
        <v>23.928000000000001</v>
      </c>
      <c r="S884" s="22">
        <f t="shared" si="107"/>
        <v>-9.9975000000000023</v>
      </c>
      <c r="T884" s="20" t="str">
        <f t="shared" si="108"/>
        <v>8-14 days</v>
      </c>
    </row>
    <row r="885" spans="1:20" x14ac:dyDescent="0.3">
      <c r="A885" s="20" t="s">
        <v>951</v>
      </c>
      <c r="B885" s="20" t="s">
        <v>19</v>
      </c>
      <c r="C885" s="21">
        <v>45659</v>
      </c>
      <c r="D885" s="21">
        <v>45666</v>
      </c>
      <c r="E885" s="21">
        <v>45677</v>
      </c>
      <c r="F885" s="20" t="s">
        <v>53</v>
      </c>
      <c r="G885" s="22">
        <v>31.52</v>
      </c>
      <c r="H885" s="22">
        <v>12.07</v>
      </c>
      <c r="I885" s="20" t="s">
        <v>45</v>
      </c>
      <c r="J885" s="20">
        <v>3</v>
      </c>
      <c r="K885" s="20" t="s">
        <v>46</v>
      </c>
      <c r="L885" s="23">
        <f t="shared" si="102"/>
        <v>45658</v>
      </c>
      <c r="M885" s="20">
        <f t="shared" si="103"/>
        <v>7</v>
      </c>
      <c r="N885" s="20">
        <f t="shared" si="104"/>
        <v>0</v>
      </c>
      <c r="O885" s="20">
        <f t="shared" si="105"/>
        <v>1</v>
      </c>
      <c r="P885" s="22">
        <f t="shared" si="106"/>
        <v>43.59</v>
      </c>
      <c r="Q885" s="22">
        <f>G885*INDEX(Assumptions!$B$8:$B$16,MATCH(F885,Assumptions!$A$8:$A$16,0))</f>
        <v>23.3248</v>
      </c>
      <c r="R885" s="22">
        <f>H885*Assumptions!$B$3</f>
        <v>7.242</v>
      </c>
      <c r="S885" s="22">
        <f t="shared" si="107"/>
        <v>0.95319999999999983</v>
      </c>
      <c r="T885" s="20" t="str">
        <f t="shared" si="108"/>
        <v>0-7 days</v>
      </c>
    </row>
    <row r="886" spans="1:20" x14ac:dyDescent="0.3">
      <c r="A886" s="20" t="s">
        <v>952</v>
      </c>
      <c r="B886" s="20" t="s">
        <v>19</v>
      </c>
      <c r="C886" s="21">
        <v>45660</v>
      </c>
      <c r="D886" s="21">
        <v>45664</v>
      </c>
      <c r="E886" s="21">
        <v>45675</v>
      </c>
      <c r="F886" s="20" t="s">
        <v>64</v>
      </c>
      <c r="G886" s="22">
        <v>106.76</v>
      </c>
      <c r="H886" s="22">
        <v>19.93</v>
      </c>
      <c r="I886" s="20" t="s">
        <v>45</v>
      </c>
      <c r="J886" s="20">
        <v>4</v>
      </c>
      <c r="K886" s="20" t="s">
        <v>46</v>
      </c>
      <c r="L886" s="23">
        <f t="shared" si="102"/>
        <v>45658</v>
      </c>
      <c r="M886" s="20">
        <f t="shared" si="103"/>
        <v>4</v>
      </c>
      <c r="N886" s="20">
        <f t="shared" si="104"/>
        <v>0</v>
      </c>
      <c r="O886" s="20">
        <f t="shared" si="105"/>
        <v>1</v>
      </c>
      <c r="P886" s="22">
        <f t="shared" si="106"/>
        <v>126.69</v>
      </c>
      <c r="Q886" s="22">
        <f>G886*INDEX(Assumptions!$B$8:$B$16,MATCH(F886,Assumptions!$A$8:$A$16,0))</f>
        <v>70.461600000000004</v>
      </c>
      <c r="R886" s="22">
        <f>H886*Assumptions!$B$3</f>
        <v>11.958</v>
      </c>
      <c r="S886" s="22">
        <f t="shared" si="107"/>
        <v>24.340400000000002</v>
      </c>
      <c r="T886" s="20" t="str">
        <f t="shared" si="108"/>
        <v>0-7 days</v>
      </c>
    </row>
    <row r="887" spans="1:20" x14ac:dyDescent="0.3">
      <c r="A887" s="20" t="s">
        <v>953</v>
      </c>
      <c r="B887" s="20" t="s">
        <v>48</v>
      </c>
      <c r="C887" s="21">
        <v>45661</v>
      </c>
      <c r="D887" s="21">
        <v>45675</v>
      </c>
      <c r="E887" s="21">
        <v>45681</v>
      </c>
      <c r="F887" s="20" t="s">
        <v>59</v>
      </c>
      <c r="G887" s="22">
        <v>63.88</v>
      </c>
      <c r="H887" s="22">
        <v>21.68</v>
      </c>
      <c r="I887" s="20" t="s">
        <v>45</v>
      </c>
      <c r="J887" s="20">
        <v>4</v>
      </c>
      <c r="K887" s="20" t="s">
        <v>46</v>
      </c>
      <c r="L887" s="23">
        <f t="shared" si="102"/>
        <v>45658</v>
      </c>
      <c r="M887" s="20">
        <f t="shared" si="103"/>
        <v>14</v>
      </c>
      <c r="N887" s="20">
        <f t="shared" si="104"/>
        <v>0</v>
      </c>
      <c r="O887" s="20">
        <f t="shared" si="105"/>
        <v>1</v>
      </c>
      <c r="P887" s="22">
        <f t="shared" si="106"/>
        <v>85.56</v>
      </c>
      <c r="Q887" s="22">
        <f>G887*INDEX(Assumptions!$B$8:$B$16,MATCH(F887,Assumptions!$A$8:$A$16,0))</f>
        <v>40.883200000000002</v>
      </c>
      <c r="R887" s="22">
        <f>H887*Assumptions!$B$3</f>
        <v>13.007999999999999</v>
      </c>
      <c r="S887" s="22">
        <f t="shared" si="107"/>
        <v>9.9888000000000012</v>
      </c>
      <c r="T887" s="20" t="str">
        <f t="shared" si="108"/>
        <v>8-14 days</v>
      </c>
    </row>
    <row r="888" spans="1:20" x14ac:dyDescent="0.3">
      <c r="A888" s="20" t="s">
        <v>954</v>
      </c>
      <c r="B888" s="20" t="s">
        <v>19</v>
      </c>
      <c r="C888" s="21">
        <v>45661</v>
      </c>
      <c r="D888" s="21">
        <v>45670</v>
      </c>
      <c r="E888" s="21">
        <v>45677</v>
      </c>
      <c r="F888" s="20" t="s">
        <v>67</v>
      </c>
      <c r="G888" s="22">
        <v>78.83</v>
      </c>
      <c r="H888" s="22">
        <v>17.95</v>
      </c>
      <c r="I888" s="20" t="s">
        <v>45</v>
      </c>
      <c r="J888" s="20">
        <v>4</v>
      </c>
      <c r="K888" s="20" t="s">
        <v>46</v>
      </c>
      <c r="L888" s="23">
        <f t="shared" si="102"/>
        <v>45658</v>
      </c>
      <c r="M888" s="20">
        <f t="shared" si="103"/>
        <v>9</v>
      </c>
      <c r="N888" s="20">
        <f t="shared" si="104"/>
        <v>0</v>
      </c>
      <c r="O888" s="20">
        <f t="shared" si="105"/>
        <v>1</v>
      </c>
      <c r="P888" s="22">
        <f t="shared" si="106"/>
        <v>96.78</v>
      </c>
      <c r="Q888" s="22">
        <f>G888*INDEX(Assumptions!$B$8:$B$16,MATCH(F888,Assumptions!$A$8:$A$16,0))</f>
        <v>48.874600000000001</v>
      </c>
      <c r="R888" s="22">
        <f>H888*Assumptions!$B$3</f>
        <v>10.77</v>
      </c>
      <c r="S888" s="22">
        <f t="shared" si="107"/>
        <v>19.185399999999998</v>
      </c>
      <c r="T888" s="20" t="str">
        <f t="shared" si="108"/>
        <v>8-14 days</v>
      </c>
    </row>
    <row r="889" spans="1:20" x14ac:dyDescent="0.3">
      <c r="A889" s="20" t="s">
        <v>955</v>
      </c>
      <c r="B889" s="20" t="s">
        <v>174</v>
      </c>
      <c r="C889" s="21">
        <v>45661</v>
      </c>
      <c r="D889" s="21">
        <v>45685</v>
      </c>
      <c r="E889" s="21">
        <v>45694</v>
      </c>
      <c r="F889" s="20" t="s">
        <v>53</v>
      </c>
      <c r="G889" s="22">
        <v>148.72</v>
      </c>
      <c r="H889" s="22">
        <v>44.14</v>
      </c>
      <c r="I889" s="20" t="s">
        <v>45</v>
      </c>
      <c r="J889" s="20">
        <v>4</v>
      </c>
      <c r="K889" s="20" t="s">
        <v>46</v>
      </c>
      <c r="L889" s="23">
        <f t="shared" si="102"/>
        <v>45658</v>
      </c>
      <c r="M889" s="20">
        <f t="shared" si="103"/>
        <v>24</v>
      </c>
      <c r="N889" s="20">
        <f t="shared" si="104"/>
        <v>0</v>
      </c>
      <c r="O889" s="20">
        <f t="shared" si="105"/>
        <v>1</v>
      </c>
      <c r="P889" s="22">
        <f t="shared" si="106"/>
        <v>192.86</v>
      </c>
      <c r="Q889" s="22">
        <f>G889*INDEX(Assumptions!$B$8:$B$16,MATCH(F889,Assumptions!$A$8:$A$16,0))</f>
        <v>110.0528</v>
      </c>
      <c r="R889" s="22">
        <f>H889*Assumptions!$B$3</f>
        <v>26.483999999999998</v>
      </c>
      <c r="S889" s="22">
        <f t="shared" si="107"/>
        <v>12.183199999999996</v>
      </c>
      <c r="T889" s="20" t="str">
        <f t="shared" si="108"/>
        <v>22+ days</v>
      </c>
    </row>
    <row r="890" spans="1:20" x14ac:dyDescent="0.3">
      <c r="A890" s="20" t="s">
        <v>956</v>
      </c>
      <c r="B890" s="20" t="s">
        <v>19</v>
      </c>
      <c r="C890" s="21">
        <v>45661</v>
      </c>
      <c r="D890" s="21">
        <v>45671</v>
      </c>
      <c r="E890" s="21">
        <v>45679</v>
      </c>
      <c r="F890" s="20" t="s">
        <v>53</v>
      </c>
      <c r="G890" s="22">
        <v>56.57</v>
      </c>
      <c r="H890" s="22">
        <v>20.23</v>
      </c>
      <c r="I890" s="20" t="s">
        <v>45</v>
      </c>
      <c r="J890" s="20">
        <v>3</v>
      </c>
      <c r="K890" s="20" t="s">
        <v>46</v>
      </c>
      <c r="L890" s="23">
        <f t="shared" si="102"/>
        <v>45658</v>
      </c>
      <c r="M890" s="20">
        <f t="shared" si="103"/>
        <v>10</v>
      </c>
      <c r="N890" s="20">
        <f t="shared" si="104"/>
        <v>0</v>
      </c>
      <c r="O890" s="20">
        <f t="shared" si="105"/>
        <v>1</v>
      </c>
      <c r="P890" s="22">
        <f t="shared" si="106"/>
        <v>76.8</v>
      </c>
      <c r="Q890" s="22">
        <f>G890*INDEX(Assumptions!$B$8:$B$16,MATCH(F890,Assumptions!$A$8:$A$16,0))</f>
        <v>41.861800000000002</v>
      </c>
      <c r="R890" s="22">
        <f>H890*Assumptions!$B$3</f>
        <v>12.138</v>
      </c>
      <c r="S890" s="22">
        <f t="shared" si="107"/>
        <v>2.570199999999998</v>
      </c>
      <c r="T890" s="20" t="str">
        <f t="shared" si="108"/>
        <v>8-14 days</v>
      </c>
    </row>
    <row r="891" spans="1:20" x14ac:dyDescent="0.3">
      <c r="A891" s="20" t="s">
        <v>957</v>
      </c>
      <c r="B891" s="20" t="s">
        <v>19</v>
      </c>
      <c r="C891" s="21">
        <v>45662</v>
      </c>
      <c r="D891" s="21">
        <v>45667</v>
      </c>
      <c r="E891" s="21">
        <v>45679</v>
      </c>
      <c r="F891" s="20" t="s">
        <v>64</v>
      </c>
      <c r="G891" s="22">
        <v>401.97</v>
      </c>
      <c r="H891" s="22">
        <v>25.79</v>
      </c>
      <c r="I891" s="20" t="s">
        <v>45</v>
      </c>
      <c r="J891" s="20">
        <v>5</v>
      </c>
      <c r="K891" s="20" t="s">
        <v>46</v>
      </c>
      <c r="L891" s="23">
        <f t="shared" si="102"/>
        <v>45658</v>
      </c>
      <c r="M891" s="20">
        <f t="shared" si="103"/>
        <v>5</v>
      </c>
      <c r="N891" s="20">
        <f t="shared" si="104"/>
        <v>0</v>
      </c>
      <c r="O891" s="20">
        <f t="shared" si="105"/>
        <v>1</v>
      </c>
      <c r="P891" s="22">
        <f t="shared" si="106"/>
        <v>427.76000000000005</v>
      </c>
      <c r="Q891" s="22">
        <f>G891*INDEX(Assumptions!$B$8:$B$16,MATCH(F891,Assumptions!$A$8:$A$16,0))</f>
        <v>265.30020000000002</v>
      </c>
      <c r="R891" s="22">
        <f>H891*Assumptions!$B$3</f>
        <v>15.473999999999998</v>
      </c>
      <c r="S891" s="22">
        <f t="shared" si="107"/>
        <v>121.19580000000001</v>
      </c>
      <c r="T891" s="20" t="str">
        <f t="shared" si="108"/>
        <v>0-7 days</v>
      </c>
    </row>
    <row r="892" spans="1:20" x14ac:dyDescent="0.3">
      <c r="A892" s="20" t="s">
        <v>958</v>
      </c>
      <c r="B892" s="20" t="s">
        <v>55</v>
      </c>
      <c r="C892" s="21">
        <v>45662</v>
      </c>
      <c r="D892" s="21">
        <v>45682</v>
      </c>
      <c r="E892" s="21">
        <v>45687</v>
      </c>
      <c r="F892" s="20" t="s">
        <v>67</v>
      </c>
      <c r="G892" s="22">
        <v>30.22</v>
      </c>
      <c r="H892" s="22">
        <v>27.79</v>
      </c>
      <c r="I892" s="20" t="s">
        <v>45</v>
      </c>
      <c r="J892" s="20">
        <v>5</v>
      </c>
      <c r="K892" s="20" t="s">
        <v>46</v>
      </c>
      <c r="L892" s="23">
        <f t="shared" si="102"/>
        <v>45658</v>
      </c>
      <c r="M892" s="20">
        <f t="shared" si="103"/>
        <v>20</v>
      </c>
      <c r="N892" s="20">
        <f t="shared" si="104"/>
        <v>0</v>
      </c>
      <c r="O892" s="20">
        <f t="shared" si="105"/>
        <v>1</v>
      </c>
      <c r="P892" s="22">
        <f t="shared" si="106"/>
        <v>58.01</v>
      </c>
      <c r="Q892" s="22">
        <f>G892*INDEX(Assumptions!$B$8:$B$16,MATCH(F892,Assumptions!$A$8:$A$16,0))</f>
        <v>18.7364</v>
      </c>
      <c r="R892" s="22">
        <f>H892*Assumptions!$B$3</f>
        <v>16.673999999999999</v>
      </c>
      <c r="S892" s="22">
        <f t="shared" si="107"/>
        <v>-5.1904000000000003</v>
      </c>
      <c r="T892" s="20" t="str">
        <f t="shared" si="108"/>
        <v>15-21 days</v>
      </c>
    </row>
    <row r="893" spans="1:20" x14ac:dyDescent="0.3">
      <c r="A893" s="20" t="s">
        <v>959</v>
      </c>
      <c r="B893" s="20" t="s">
        <v>19</v>
      </c>
      <c r="C893" s="21">
        <v>45662</v>
      </c>
      <c r="D893" s="21">
        <v>45666</v>
      </c>
      <c r="E893" s="21">
        <v>45680</v>
      </c>
      <c r="F893" s="20" t="s">
        <v>49</v>
      </c>
      <c r="G893" s="22">
        <v>19.86</v>
      </c>
      <c r="H893" s="22">
        <v>11.48</v>
      </c>
      <c r="I893" s="20" t="s">
        <v>45</v>
      </c>
      <c r="J893" s="20">
        <v>4</v>
      </c>
      <c r="K893" s="20" t="s">
        <v>46</v>
      </c>
      <c r="L893" s="23">
        <f t="shared" si="102"/>
        <v>45658</v>
      </c>
      <c r="M893" s="20">
        <f t="shared" si="103"/>
        <v>4</v>
      </c>
      <c r="N893" s="20">
        <f t="shared" si="104"/>
        <v>0</v>
      </c>
      <c r="O893" s="20">
        <f t="shared" si="105"/>
        <v>1</v>
      </c>
      <c r="P893" s="22">
        <f t="shared" si="106"/>
        <v>31.34</v>
      </c>
      <c r="Q893" s="22">
        <f>G893*INDEX(Assumptions!$B$8:$B$16,MATCH(F893,Assumptions!$A$8:$A$16,0))</f>
        <v>11.518799999999999</v>
      </c>
      <c r="R893" s="22">
        <f>H893*Assumptions!$B$3</f>
        <v>6.8879999999999999</v>
      </c>
      <c r="S893" s="22">
        <f t="shared" si="107"/>
        <v>1.4532000000000007</v>
      </c>
      <c r="T893" s="20" t="str">
        <f t="shared" si="108"/>
        <v>0-7 days</v>
      </c>
    </row>
    <row r="894" spans="1:20" x14ac:dyDescent="0.3">
      <c r="A894" s="20" t="s">
        <v>960</v>
      </c>
      <c r="B894" s="20" t="s">
        <v>19</v>
      </c>
      <c r="C894" s="21">
        <v>45662</v>
      </c>
      <c r="D894" s="21">
        <v>45668</v>
      </c>
      <c r="E894" s="21">
        <v>45676</v>
      </c>
      <c r="F894" s="20" t="s">
        <v>59</v>
      </c>
      <c r="G894" s="22">
        <v>80.27</v>
      </c>
      <c r="H894" s="22">
        <v>13.81</v>
      </c>
      <c r="I894" s="20" t="s">
        <v>45</v>
      </c>
      <c r="J894" s="20">
        <v>5</v>
      </c>
      <c r="K894" s="20" t="s">
        <v>46</v>
      </c>
      <c r="L894" s="23">
        <f t="shared" si="102"/>
        <v>45658</v>
      </c>
      <c r="M894" s="20">
        <f t="shared" si="103"/>
        <v>6</v>
      </c>
      <c r="N894" s="20">
        <f t="shared" si="104"/>
        <v>0</v>
      </c>
      <c r="O894" s="20">
        <f t="shared" si="105"/>
        <v>1</v>
      </c>
      <c r="P894" s="22">
        <f t="shared" si="106"/>
        <v>94.08</v>
      </c>
      <c r="Q894" s="22">
        <f>G894*INDEX(Assumptions!$B$8:$B$16,MATCH(F894,Assumptions!$A$8:$A$16,0))</f>
        <v>51.372799999999998</v>
      </c>
      <c r="R894" s="22">
        <f>H894*Assumptions!$B$3</f>
        <v>8.2859999999999996</v>
      </c>
      <c r="S894" s="22">
        <f t="shared" si="107"/>
        <v>20.611199999999997</v>
      </c>
      <c r="T894" s="20" t="str">
        <f t="shared" si="108"/>
        <v>0-7 days</v>
      </c>
    </row>
    <row r="895" spans="1:20" x14ac:dyDescent="0.3">
      <c r="A895" s="20" t="s">
        <v>961</v>
      </c>
      <c r="B895" s="20" t="s">
        <v>19</v>
      </c>
      <c r="C895" s="21">
        <v>45663</v>
      </c>
      <c r="D895" s="21">
        <v>45673</v>
      </c>
      <c r="E895" s="21">
        <v>45683</v>
      </c>
      <c r="F895" s="20" t="s">
        <v>67</v>
      </c>
      <c r="G895" s="22">
        <v>46.28</v>
      </c>
      <c r="H895" s="22">
        <v>16.52</v>
      </c>
      <c r="I895" s="20" t="s">
        <v>60</v>
      </c>
      <c r="J895" s="20">
        <v>4</v>
      </c>
      <c r="K895" s="20" t="s">
        <v>46</v>
      </c>
      <c r="L895" s="23">
        <f t="shared" si="102"/>
        <v>45658</v>
      </c>
      <c r="M895" s="20">
        <f t="shared" si="103"/>
        <v>10</v>
      </c>
      <c r="N895" s="20">
        <f t="shared" si="104"/>
        <v>0</v>
      </c>
      <c r="O895" s="20">
        <f t="shared" si="105"/>
        <v>1</v>
      </c>
      <c r="P895" s="22">
        <f t="shared" si="106"/>
        <v>62.8</v>
      </c>
      <c r="Q895" s="22">
        <f>G895*INDEX(Assumptions!$B$8:$B$16,MATCH(F895,Assumptions!$A$8:$A$16,0))</f>
        <v>28.6936</v>
      </c>
      <c r="R895" s="22">
        <f>H895*Assumptions!$B$3</f>
        <v>9.911999999999999</v>
      </c>
      <c r="S895" s="22">
        <f t="shared" si="107"/>
        <v>7.6744000000000021</v>
      </c>
      <c r="T895" s="20" t="str">
        <f t="shared" si="108"/>
        <v>8-14 days</v>
      </c>
    </row>
    <row r="896" spans="1:20" x14ac:dyDescent="0.3">
      <c r="A896" s="20" t="s">
        <v>962</v>
      </c>
      <c r="B896" s="20" t="s">
        <v>48</v>
      </c>
      <c r="C896" s="21">
        <v>45663</v>
      </c>
      <c r="D896" s="21">
        <v>45669</v>
      </c>
      <c r="E896" s="21">
        <v>45687</v>
      </c>
      <c r="F896" s="20" t="s">
        <v>49</v>
      </c>
      <c r="G896" s="22">
        <v>130.46</v>
      </c>
      <c r="H896" s="22">
        <v>25.27</v>
      </c>
      <c r="I896" s="20" t="s">
        <v>60</v>
      </c>
      <c r="J896" s="20">
        <v>5</v>
      </c>
      <c r="K896" s="20" t="s">
        <v>46</v>
      </c>
      <c r="L896" s="23">
        <f t="shared" si="102"/>
        <v>45658</v>
      </c>
      <c r="M896" s="20">
        <f t="shared" si="103"/>
        <v>6</v>
      </c>
      <c r="N896" s="20">
        <f t="shared" si="104"/>
        <v>0</v>
      </c>
      <c r="O896" s="20">
        <f t="shared" si="105"/>
        <v>1</v>
      </c>
      <c r="P896" s="22">
        <f t="shared" si="106"/>
        <v>155.73000000000002</v>
      </c>
      <c r="Q896" s="22">
        <f>G896*INDEX(Assumptions!$B$8:$B$16,MATCH(F896,Assumptions!$A$8:$A$16,0))</f>
        <v>75.666799999999995</v>
      </c>
      <c r="R896" s="22">
        <f>H896*Assumptions!$B$3</f>
        <v>15.161999999999999</v>
      </c>
      <c r="S896" s="22">
        <f t="shared" si="107"/>
        <v>39.631200000000014</v>
      </c>
      <c r="T896" s="20" t="str">
        <f t="shared" si="108"/>
        <v>0-7 days</v>
      </c>
    </row>
    <row r="897" spans="1:20" x14ac:dyDescent="0.3">
      <c r="A897" s="20" t="s">
        <v>963</v>
      </c>
      <c r="B897" s="20" t="s">
        <v>62</v>
      </c>
      <c r="C897" s="21">
        <v>45664</v>
      </c>
      <c r="D897" s="21">
        <v>45676</v>
      </c>
      <c r="E897" s="21">
        <v>45685</v>
      </c>
      <c r="F897" s="20" t="s">
        <v>64</v>
      </c>
      <c r="G897" s="22">
        <v>196.79</v>
      </c>
      <c r="H897" s="22">
        <v>22.97</v>
      </c>
      <c r="I897" s="20" t="s">
        <v>45</v>
      </c>
      <c r="J897" s="20">
        <v>4</v>
      </c>
      <c r="K897" s="20" t="s">
        <v>46</v>
      </c>
      <c r="L897" s="23">
        <f t="shared" si="102"/>
        <v>45658</v>
      </c>
      <c r="M897" s="20">
        <f t="shared" si="103"/>
        <v>12</v>
      </c>
      <c r="N897" s="20">
        <f t="shared" si="104"/>
        <v>0</v>
      </c>
      <c r="O897" s="20">
        <f t="shared" si="105"/>
        <v>1</v>
      </c>
      <c r="P897" s="22">
        <f t="shared" si="106"/>
        <v>219.76</v>
      </c>
      <c r="Q897" s="22">
        <f>G897*INDEX(Assumptions!$B$8:$B$16,MATCH(F897,Assumptions!$A$8:$A$16,0))</f>
        <v>129.88140000000001</v>
      </c>
      <c r="R897" s="22">
        <f>H897*Assumptions!$B$3</f>
        <v>13.781999999999998</v>
      </c>
      <c r="S897" s="22">
        <f t="shared" si="107"/>
        <v>53.126599999999982</v>
      </c>
      <c r="T897" s="20" t="str">
        <f t="shared" si="108"/>
        <v>8-14 days</v>
      </c>
    </row>
    <row r="898" spans="1:20" x14ac:dyDescent="0.3">
      <c r="A898" s="20" t="s">
        <v>964</v>
      </c>
      <c r="B898" s="20" t="s">
        <v>19</v>
      </c>
      <c r="C898" s="21">
        <v>45664</v>
      </c>
      <c r="D898" s="21">
        <v>45669</v>
      </c>
      <c r="E898" s="21">
        <v>45678</v>
      </c>
      <c r="F898" s="20" t="s">
        <v>67</v>
      </c>
      <c r="G898" s="22">
        <v>56.36</v>
      </c>
      <c r="H898" s="22">
        <v>18.11</v>
      </c>
      <c r="I898" s="20" t="s">
        <v>45</v>
      </c>
      <c r="J898" s="20">
        <v>5</v>
      </c>
      <c r="K898" s="20" t="s">
        <v>46</v>
      </c>
      <c r="L898" s="23">
        <f t="shared" ref="L898:L961" si="109">DATE(YEAR(C898),MONTH(C898),1)</f>
        <v>45658</v>
      </c>
      <c r="M898" s="20">
        <f t="shared" ref="M898:M961" si="110">D898-C898</f>
        <v>5</v>
      </c>
      <c r="N898" s="20">
        <f t="shared" ref="N898:N961" si="111">MAX(0,D898-E898)</f>
        <v>0</v>
      </c>
      <c r="O898" s="20">
        <f t="shared" ref="O898:O961" si="112">IF(D898&lt;=E898,1,0)</f>
        <v>1</v>
      </c>
      <c r="P898" s="22">
        <f t="shared" ref="P898:P961" si="113">G898+H898</f>
        <v>74.47</v>
      </c>
      <c r="Q898" s="22">
        <f>G898*INDEX(Assumptions!$B$8:$B$16,MATCH(F898,Assumptions!$A$8:$A$16,0))</f>
        <v>34.943199999999997</v>
      </c>
      <c r="R898" s="22">
        <f>H898*Assumptions!$B$3</f>
        <v>10.866</v>
      </c>
      <c r="S898" s="22">
        <f t="shared" ref="S898:S961" si="114">G898-Q898-R898</f>
        <v>10.550800000000002</v>
      </c>
      <c r="T898" s="20" t="str">
        <f t="shared" ref="T898:T961" si="115">IF(M898&lt;=7,"0-7 days",IF(M898&lt;=14,"8-14 days",IF(M898&lt;=21,"15-21 days","22+ days")))</f>
        <v>0-7 days</v>
      </c>
    </row>
    <row r="899" spans="1:20" x14ac:dyDescent="0.3">
      <c r="A899" s="20" t="s">
        <v>965</v>
      </c>
      <c r="B899" s="20" t="s">
        <v>19</v>
      </c>
      <c r="C899" s="21">
        <v>45664</v>
      </c>
      <c r="D899" s="21">
        <v>45669</v>
      </c>
      <c r="E899" s="21">
        <v>45678</v>
      </c>
      <c r="F899" s="20" t="s">
        <v>59</v>
      </c>
      <c r="G899" s="22">
        <v>118.45</v>
      </c>
      <c r="H899" s="22">
        <v>21.31</v>
      </c>
      <c r="I899" s="20" t="s">
        <v>45</v>
      </c>
      <c r="J899" s="20">
        <v>5</v>
      </c>
      <c r="K899" s="20" t="s">
        <v>46</v>
      </c>
      <c r="L899" s="23">
        <f t="shared" si="109"/>
        <v>45658</v>
      </c>
      <c r="M899" s="20">
        <f t="shared" si="110"/>
        <v>5</v>
      </c>
      <c r="N899" s="20">
        <f t="shared" si="111"/>
        <v>0</v>
      </c>
      <c r="O899" s="20">
        <f t="shared" si="112"/>
        <v>1</v>
      </c>
      <c r="P899" s="22">
        <f t="shared" si="113"/>
        <v>139.76</v>
      </c>
      <c r="Q899" s="22">
        <f>G899*INDEX(Assumptions!$B$8:$B$16,MATCH(F899,Assumptions!$A$8:$A$16,0))</f>
        <v>75.808000000000007</v>
      </c>
      <c r="R899" s="22">
        <f>H899*Assumptions!$B$3</f>
        <v>12.786</v>
      </c>
      <c r="S899" s="22">
        <f t="shared" si="114"/>
        <v>29.855999999999995</v>
      </c>
      <c r="T899" s="20" t="str">
        <f t="shared" si="115"/>
        <v>0-7 days</v>
      </c>
    </row>
    <row r="900" spans="1:20" x14ac:dyDescent="0.3">
      <c r="A900" s="20" t="s">
        <v>966</v>
      </c>
      <c r="B900" s="20" t="s">
        <v>62</v>
      </c>
      <c r="C900" s="21">
        <v>45664</v>
      </c>
      <c r="D900" s="21">
        <v>45671</v>
      </c>
      <c r="E900" s="21">
        <v>45684</v>
      </c>
      <c r="F900" s="20" t="s">
        <v>59</v>
      </c>
      <c r="G900" s="22">
        <v>76.73</v>
      </c>
      <c r="H900" s="22">
        <v>24.91</v>
      </c>
      <c r="I900" s="20" t="s">
        <v>45</v>
      </c>
      <c r="J900" s="20">
        <v>4</v>
      </c>
      <c r="K900" s="20" t="s">
        <v>46</v>
      </c>
      <c r="L900" s="23">
        <f t="shared" si="109"/>
        <v>45658</v>
      </c>
      <c r="M900" s="20">
        <f t="shared" si="110"/>
        <v>7</v>
      </c>
      <c r="N900" s="20">
        <f t="shared" si="111"/>
        <v>0</v>
      </c>
      <c r="O900" s="20">
        <f t="shared" si="112"/>
        <v>1</v>
      </c>
      <c r="P900" s="22">
        <f t="shared" si="113"/>
        <v>101.64</v>
      </c>
      <c r="Q900" s="22">
        <f>G900*INDEX(Assumptions!$B$8:$B$16,MATCH(F900,Assumptions!$A$8:$A$16,0))</f>
        <v>49.107200000000006</v>
      </c>
      <c r="R900" s="22">
        <f>H900*Assumptions!$B$3</f>
        <v>14.946</v>
      </c>
      <c r="S900" s="22">
        <f t="shared" si="114"/>
        <v>12.676799999999998</v>
      </c>
      <c r="T900" s="20" t="str">
        <f t="shared" si="115"/>
        <v>0-7 days</v>
      </c>
    </row>
    <row r="901" spans="1:20" x14ac:dyDescent="0.3">
      <c r="A901" s="20" t="s">
        <v>967</v>
      </c>
      <c r="B901" s="20" t="s">
        <v>19</v>
      </c>
      <c r="C901" s="21">
        <v>45664</v>
      </c>
      <c r="D901" s="21">
        <v>45673</v>
      </c>
      <c r="E901" s="21">
        <v>45679</v>
      </c>
      <c r="F901" s="20" t="s">
        <v>67</v>
      </c>
      <c r="G901" s="22">
        <v>118.94</v>
      </c>
      <c r="H901" s="22">
        <v>15.8</v>
      </c>
      <c r="I901" s="20" t="s">
        <v>45</v>
      </c>
      <c r="J901" s="20">
        <v>4</v>
      </c>
      <c r="K901" s="20" t="s">
        <v>46</v>
      </c>
      <c r="L901" s="23">
        <f t="shared" si="109"/>
        <v>45658</v>
      </c>
      <c r="M901" s="20">
        <f t="shared" si="110"/>
        <v>9</v>
      </c>
      <c r="N901" s="20">
        <f t="shared" si="111"/>
        <v>0</v>
      </c>
      <c r="O901" s="20">
        <f t="shared" si="112"/>
        <v>1</v>
      </c>
      <c r="P901" s="22">
        <f t="shared" si="113"/>
        <v>134.74</v>
      </c>
      <c r="Q901" s="22">
        <f>G901*INDEX(Assumptions!$B$8:$B$16,MATCH(F901,Assumptions!$A$8:$A$16,0))</f>
        <v>73.742800000000003</v>
      </c>
      <c r="R901" s="22">
        <f>H901*Assumptions!$B$3</f>
        <v>9.48</v>
      </c>
      <c r="S901" s="22">
        <f t="shared" si="114"/>
        <v>35.717199999999991</v>
      </c>
      <c r="T901" s="20" t="str">
        <f t="shared" si="115"/>
        <v>8-14 days</v>
      </c>
    </row>
    <row r="902" spans="1:20" x14ac:dyDescent="0.3">
      <c r="A902" s="20" t="s">
        <v>968</v>
      </c>
      <c r="B902" s="20" t="s">
        <v>19</v>
      </c>
      <c r="C902" s="21">
        <v>45665</v>
      </c>
      <c r="D902" s="21">
        <v>45671</v>
      </c>
      <c r="E902" s="21">
        <v>45681</v>
      </c>
      <c r="F902" s="20" t="s">
        <v>67</v>
      </c>
      <c r="G902" s="22">
        <v>40.729999999999997</v>
      </c>
      <c r="H902" s="22">
        <v>15.58</v>
      </c>
      <c r="I902" s="20" t="s">
        <v>45</v>
      </c>
      <c r="J902" s="20">
        <v>4</v>
      </c>
      <c r="K902" s="20" t="s">
        <v>46</v>
      </c>
      <c r="L902" s="23">
        <f t="shared" si="109"/>
        <v>45658</v>
      </c>
      <c r="M902" s="20">
        <f t="shared" si="110"/>
        <v>6</v>
      </c>
      <c r="N902" s="20">
        <f t="shared" si="111"/>
        <v>0</v>
      </c>
      <c r="O902" s="20">
        <f t="shared" si="112"/>
        <v>1</v>
      </c>
      <c r="P902" s="22">
        <f t="shared" si="113"/>
        <v>56.309999999999995</v>
      </c>
      <c r="Q902" s="22">
        <f>G902*INDEX(Assumptions!$B$8:$B$16,MATCH(F902,Assumptions!$A$8:$A$16,0))</f>
        <v>25.252599999999997</v>
      </c>
      <c r="R902" s="22">
        <f>H902*Assumptions!$B$3</f>
        <v>9.347999999999999</v>
      </c>
      <c r="S902" s="22">
        <f t="shared" si="114"/>
        <v>6.1294000000000004</v>
      </c>
      <c r="T902" s="20" t="str">
        <f t="shared" si="115"/>
        <v>0-7 days</v>
      </c>
    </row>
    <row r="903" spans="1:20" x14ac:dyDescent="0.3">
      <c r="A903" s="20" t="s">
        <v>969</v>
      </c>
      <c r="B903" s="20" t="s">
        <v>19</v>
      </c>
      <c r="C903" s="21">
        <v>45665</v>
      </c>
      <c r="D903" s="21">
        <v>45676</v>
      </c>
      <c r="E903" s="21">
        <v>45683</v>
      </c>
      <c r="F903" s="20" t="s">
        <v>64</v>
      </c>
      <c r="G903" s="22">
        <v>70.94</v>
      </c>
      <c r="H903" s="22">
        <v>12.75</v>
      </c>
      <c r="I903" s="20" t="s">
        <v>104</v>
      </c>
      <c r="J903" s="20">
        <v>4</v>
      </c>
      <c r="K903" s="20" t="s">
        <v>46</v>
      </c>
      <c r="L903" s="23">
        <f t="shared" si="109"/>
        <v>45658</v>
      </c>
      <c r="M903" s="20">
        <f t="shared" si="110"/>
        <v>11</v>
      </c>
      <c r="N903" s="20">
        <f t="shared" si="111"/>
        <v>0</v>
      </c>
      <c r="O903" s="20">
        <f t="shared" si="112"/>
        <v>1</v>
      </c>
      <c r="P903" s="22">
        <f t="shared" si="113"/>
        <v>83.69</v>
      </c>
      <c r="Q903" s="22">
        <f>G903*INDEX(Assumptions!$B$8:$B$16,MATCH(F903,Assumptions!$A$8:$A$16,0))</f>
        <v>46.820399999999999</v>
      </c>
      <c r="R903" s="22">
        <f>H903*Assumptions!$B$3</f>
        <v>7.6499999999999995</v>
      </c>
      <c r="S903" s="22">
        <f t="shared" si="114"/>
        <v>16.4696</v>
      </c>
      <c r="T903" s="20" t="str">
        <f t="shared" si="115"/>
        <v>8-14 days</v>
      </c>
    </row>
    <row r="904" spans="1:20" x14ac:dyDescent="0.3">
      <c r="A904" s="20" t="s">
        <v>970</v>
      </c>
      <c r="B904" s="20" t="s">
        <v>19</v>
      </c>
      <c r="C904" s="21">
        <v>45665</v>
      </c>
      <c r="D904" s="21">
        <v>45676</v>
      </c>
      <c r="E904" s="21">
        <v>45686</v>
      </c>
      <c r="F904" s="20" t="s">
        <v>111</v>
      </c>
      <c r="G904" s="22">
        <v>48.08</v>
      </c>
      <c r="H904" s="22">
        <v>20.27</v>
      </c>
      <c r="I904" s="20" t="s">
        <v>60</v>
      </c>
      <c r="J904" s="20">
        <v>3</v>
      </c>
      <c r="K904" s="20" t="s">
        <v>46</v>
      </c>
      <c r="L904" s="23">
        <f t="shared" si="109"/>
        <v>45658</v>
      </c>
      <c r="M904" s="20">
        <f t="shared" si="110"/>
        <v>11</v>
      </c>
      <c r="N904" s="20">
        <f t="shared" si="111"/>
        <v>0</v>
      </c>
      <c r="O904" s="20">
        <f t="shared" si="112"/>
        <v>1</v>
      </c>
      <c r="P904" s="22">
        <f t="shared" si="113"/>
        <v>68.349999999999994</v>
      </c>
      <c r="Q904" s="22">
        <f>G904*INDEX(Assumptions!$B$8:$B$16,MATCH(F904,Assumptions!$A$8:$A$16,0))</f>
        <v>30.290399999999998</v>
      </c>
      <c r="R904" s="22">
        <f>H904*Assumptions!$B$3</f>
        <v>12.161999999999999</v>
      </c>
      <c r="S904" s="22">
        <f t="shared" si="114"/>
        <v>5.627600000000001</v>
      </c>
      <c r="T904" s="20" t="str">
        <f t="shared" si="115"/>
        <v>8-14 days</v>
      </c>
    </row>
    <row r="905" spans="1:20" x14ac:dyDescent="0.3">
      <c r="A905" s="20" t="s">
        <v>971</v>
      </c>
      <c r="B905" s="20" t="s">
        <v>62</v>
      </c>
      <c r="C905" s="21">
        <v>45665</v>
      </c>
      <c r="D905" s="21">
        <v>45677</v>
      </c>
      <c r="E905" s="21">
        <v>45684</v>
      </c>
      <c r="F905" s="20" t="s">
        <v>44</v>
      </c>
      <c r="G905" s="22">
        <v>42.56</v>
      </c>
      <c r="H905" s="22">
        <v>28.33</v>
      </c>
      <c r="I905" s="20" t="s">
        <v>45</v>
      </c>
      <c r="J905" s="20">
        <v>4</v>
      </c>
      <c r="K905" s="20" t="s">
        <v>46</v>
      </c>
      <c r="L905" s="23">
        <f t="shared" si="109"/>
        <v>45658</v>
      </c>
      <c r="M905" s="20">
        <f t="shared" si="110"/>
        <v>12</v>
      </c>
      <c r="N905" s="20">
        <f t="shared" si="111"/>
        <v>0</v>
      </c>
      <c r="O905" s="20">
        <f t="shared" si="112"/>
        <v>1</v>
      </c>
      <c r="P905" s="22">
        <f t="shared" si="113"/>
        <v>70.89</v>
      </c>
      <c r="Q905" s="22">
        <f>G905*INDEX(Assumptions!$B$8:$B$16,MATCH(F905,Assumptions!$A$8:$A$16,0))</f>
        <v>25.536000000000001</v>
      </c>
      <c r="R905" s="22">
        <f>H905*Assumptions!$B$3</f>
        <v>16.997999999999998</v>
      </c>
      <c r="S905" s="22">
        <f t="shared" si="114"/>
        <v>2.6000000000003354E-2</v>
      </c>
      <c r="T905" s="20" t="str">
        <f t="shared" si="115"/>
        <v>8-14 days</v>
      </c>
    </row>
    <row r="906" spans="1:20" x14ac:dyDescent="0.3">
      <c r="A906" s="20" t="s">
        <v>972</v>
      </c>
      <c r="B906" s="20" t="s">
        <v>19</v>
      </c>
      <c r="C906" s="21">
        <v>45665</v>
      </c>
      <c r="D906" s="21">
        <v>45671</v>
      </c>
      <c r="E906" s="21">
        <v>45681</v>
      </c>
      <c r="F906" s="20" t="s">
        <v>59</v>
      </c>
      <c r="G906" s="22">
        <v>79.3</v>
      </c>
      <c r="H906" s="22">
        <v>12.95</v>
      </c>
      <c r="I906" s="20" t="s">
        <v>45</v>
      </c>
      <c r="J906" s="20">
        <v>5</v>
      </c>
      <c r="K906" s="20" t="s">
        <v>46</v>
      </c>
      <c r="L906" s="23">
        <f t="shared" si="109"/>
        <v>45658</v>
      </c>
      <c r="M906" s="20">
        <f t="shared" si="110"/>
        <v>6</v>
      </c>
      <c r="N906" s="20">
        <f t="shared" si="111"/>
        <v>0</v>
      </c>
      <c r="O906" s="20">
        <f t="shared" si="112"/>
        <v>1</v>
      </c>
      <c r="P906" s="22">
        <f t="shared" si="113"/>
        <v>92.25</v>
      </c>
      <c r="Q906" s="22">
        <f>G906*INDEX(Assumptions!$B$8:$B$16,MATCH(F906,Assumptions!$A$8:$A$16,0))</f>
        <v>50.752000000000002</v>
      </c>
      <c r="R906" s="22">
        <f>H906*Assumptions!$B$3</f>
        <v>7.77</v>
      </c>
      <c r="S906" s="22">
        <f t="shared" si="114"/>
        <v>20.777999999999995</v>
      </c>
      <c r="T906" s="20" t="str">
        <f t="shared" si="115"/>
        <v>0-7 days</v>
      </c>
    </row>
    <row r="907" spans="1:20" x14ac:dyDescent="0.3">
      <c r="A907" s="20" t="s">
        <v>973</v>
      </c>
      <c r="B907" s="20" t="s">
        <v>62</v>
      </c>
      <c r="C907" s="21">
        <v>45665</v>
      </c>
      <c r="D907" s="21">
        <v>45672</v>
      </c>
      <c r="E907" s="21">
        <v>45683</v>
      </c>
      <c r="F907" s="20" t="s">
        <v>64</v>
      </c>
      <c r="G907" s="22">
        <v>122.35</v>
      </c>
      <c r="H907" s="22">
        <v>24.39</v>
      </c>
      <c r="I907" s="20" t="s">
        <v>45</v>
      </c>
      <c r="J907" s="20">
        <v>4</v>
      </c>
      <c r="K907" s="20" t="s">
        <v>46</v>
      </c>
      <c r="L907" s="23">
        <f t="shared" si="109"/>
        <v>45658</v>
      </c>
      <c r="M907" s="20">
        <f t="shared" si="110"/>
        <v>7</v>
      </c>
      <c r="N907" s="20">
        <f t="shared" si="111"/>
        <v>0</v>
      </c>
      <c r="O907" s="20">
        <f t="shared" si="112"/>
        <v>1</v>
      </c>
      <c r="P907" s="22">
        <f t="shared" si="113"/>
        <v>146.74</v>
      </c>
      <c r="Q907" s="22">
        <f>G907*INDEX(Assumptions!$B$8:$B$16,MATCH(F907,Assumptions!$A$8:$A$16,0))</f>
        <v>80.751000000000005</v>
      </c>
      <c r="R907" s="22">
        <f>H907*Assumptions!$B$3</f>
        <v>14.634</v>
      </c>
      <c r="S907" s="22">
        <f t="shared" si="114"/>
        <v>26.964999999999989</v>
      </c>
      <c r="T907" s="20" t="str">
        <f t="shared" si="115"/>
        <v>0-7 days</v>
      </c>
    </row>
    <row r="908" spans="1:20" x14ac:dyDescent="0.3">
      <c r="A908" s="20" t="s">
        <v>974</v>
      </c>
      <c r="B908" s="20" t="s">
        <v>93</v>
      </c>
      <c r="C908" s="21">
        <v>45665</v>
      </c>
      <c r="D908" s="21">
        <v>45677</v>
      </c>
      <c r="E908" s="21">
        <v>45695</v>
      </c>
      <c r="F908" s="20" t="s">
        <v>67</v>
      </c>
      <c r="G908" s="22">
        <v>39.549999999999997</v>
      </c>
      <c r="H908" s="22">
        <v>34.130000000000003</v>
      </c>
      <c r="I908" s="20" t="s">
        <v>50</v>
      </c>
      <c r="J908" s="20">
        <v>4</v>
      </c>
      <c r="K908" s="20" t="s">
        <v>46</v>
      </c>
      <c r="L908" s="23">
        <f t="shared" si="109"/>
        <v>45658</v>
      </c>
      <c r="M908" s="20">
        <f t="shared" si="110"/>
        <v>12</v>
      </c>
      <c r="N908" s="20">
        <f t="shared" si="111"/>
        <v>0</v>
      </c>
      <c r="O908" s="20">
        <f t="shared" si="112"/>
        <v>1</v>
      </c>
      <c r="P908" s="22">
        <f t="shared" si="113"/>
        <v>73.680000000000007</v>
      </c>
      <c r="Q908" s="22">
        <f>G908*INDEX(Assumptions!$B$8:$B$16,MATCH(F908,Assumptions!$A$8:$A$16,0))</f>
        <v>24.520999999999997</v>
      </c>
      <c r="R908" s="22">
        <f>H908*Assumptions!$B$3</f>
        <v>20.478000000000002</v>
      </c>
      <c r="S908" s="22">
        <f t="shared" si="114"/>
        <v>-5.4490000000000016</v>
      </c>
      <c r="T908" s="20" t="str">
        <f t="shared" si="115"/>
        <v>8-14 days</v>
      </c>
    </row>
    <row r="909" spans="1:20" x14ac:dyDescent="0.3">
      <c r="A909" s="20" t="s">
        <v>975</v>
      </c>
      <c r="B909" s="20" t="s">
        <v>19</v>
      </c>
      <c r="C909" s="21">
        <v>45666</v>
      </c>
      <c r="D909" s="21">
        <v>45675</v>
      </c>
      <c r="E909" s="21">
        <v>45682</v>
      </c>
      <c r="F909" s="20" t="s">
        <v>49</v>
      </c>
      <c r="G909" s="22">
        <v>130.85</v>
      </c>
      <c r="H909" s="22">
        <v>20.46</v>
      </c>
      <c r="I909" s="20" t="s">
        <v>45</v>
      </c>
      <c r="J909" s="20">
        <v>4</v>
      </c>
      <c r="K909" s="20" t="s">
        <v>46</v>
      </c>
      <c r="L909" s="23">
        <f t="shared" si="109"/>
        <v>45658</v>
      </c>
      <c r="M909" s="20">
        <f t="shared" si="110"/>
        <v>9</v>
      </c>
      <c r="N909" s="20">
        <f t="shared" si="111"/>
        <v>0</v>
      </c>
      <c r="O909" s="20">
        <f t="shared" si="112"/>
        <v>1</v>
      </c>
      <c r="P909" s="22">
        <f t="shared" si="113"/>
        <v>151.31</v>
      </c>
      <c r="Q909" s="22">
        <f>G909*INDEX(Assumptions!$B$8:$B$16,MATCH(F909,Assumptions!$A$8:$A$16,0))</f>
        <v>75.892999999999986</v>
      </c>
      <c r="R909" s="22">
        <f>H909*Assumptions!$B$3</f>
        <v>12.276</v>
      </c>
      <c r="S909" s="22">
        <f t="shared" si="114"/>
        <v>42.681000000000012</v>
      </c>
      <c r="T909" s="20" t="str">
        <f t="shared" si="115"/>
        <v>8-14 days</v>
      </c>
    </row>
    <row r="910" spans="1:20" x14ac:dyDescent="0.3">
      <c r="A910" s="20" t="s">
        <v>976</v>
      </c>
      <c r="B910" s="20" t="s">
        <v>48</v>
      </c>
      <c r="C910" s="21">
        <v>45666</v>
      </c>
      <c r="D910" s="21">
        <v>45694</v>
      </c>
      <c r="E910" s="21">
        <v>45684</v>
      </c>
      <c r="F910" s="20" t="s">
        <v>49</v>
      </c>
      <c r="G910" s="22">
        <v>72.790000000000006</v>
      </c>
      <c r="H910" s="22">
        <v>18.05</v>
      </c>
      <c r="I910" s="20" t="s">
        <v>60</v>
      </c>
      <c r="J910" s="20">
        <v>3</v>
      </c>
      <c r="K910" s="20" t="s">
        <v>46</v>
      </c>
      <c r="L910" s="23">
        <f t="shared" si="109"/>
        <v>45658</v>
      </c>
      <c r="M910" s="20">
        <f t="shared" si="110"/>
        <v>28</v>
      </c>
      <c r="N910" s="20">
        <f t="shared" si="111"/>
        <v>10</v>
      </c>
      <c r="O910" s="20">
        <f t="shared" si="112"/>
        <v>0</v>
      </c>
      <c r="P910" s="22">
        <f t="shared" si="113"/>
        <v>90.84</v>
      </c>
      <c r="Q910" s="22">
        <f>G910*INDEX(Assumptions!$B$8:$B$16,MATCH(F910,Assumptions!$A$8:$A$16,0))</f>
        <v>42.218200000000003</v>
      </c>
      <c r="R910" s="22">
        <f>H910*Assumptions!$B$3</f>
        <v>10.83</v>
      </c>
      <c r="S910" s="22">
        <f t="shared" si="114"/>
        <v>19.741800000000005</v>
      </c>
      <c r="T910" s="20" t="str">
        <f t="shared" si="115"/>
        <v>22+ days</v>
      </c>
    </row>
    <row r="911" spans="1:20" x14ac:dyDescent="0.3">
      <c r="A911" s="20" t="s">
        <v>977</v>
      </c>
      <c r="B911" s="20" t="s">
        <v>174</v>
      </c>
      <c r="C911" s="21">
        <v>45667</v>
      </c>
      <c r="D911" s="21">
        <v>45681</v>
      </c>
      <c r="E911" s="21">
        <v>45697</v>
      </c>
      <c r="F911" s="20" t="s">
        <v>53</v>
      </c>
      <c r="G911" s="22">
        <v>397.71</v>
      </c>
      <c r="H911" s="22">
        <v>51.49</v>
      </c>
      <c r="I911" s="20" t="s">
        <v>45</v>
      </c>
      <c r="J911" s="20">
        <v>5</v>
      </c>
      <c r="K911" s="20" t="s">
        <v>46</v>
      </c>
      <c r="L911" s="23">
        <f t="shared" si="109"/>
        <v>45658</v>
      </c>
      <c r="M911" s="20">
        <f t="shared" si="110"/>
        <v>14</v>
      </c>
      <c r="N911" s="20">
        <f t="shared" si="111"/>
        <v>0</v>
      </c>
      <c r="O911" s="20">
        <f t="shared" si="112"/>
        <v>1</v>
      </c>
      <c r="P911" s="22">
        <f t="shared" si="113"/>
        <v>449.2</v>
      </c>
      <c r="Q911" s="22">
        <f>G911*INDEX(Assumptions!$B$8:$B$16,MATCH(F911,Assumptions!$A$8:$A$16,0))</f>
        <v>294.30539999999996</v>
      </c>
      <c r="R911" s="22">
        <f>H911*Assumptions!$B$3</f>
        <v>30.893999999999998</v>
      </c>
      <c r="S911" s="22">
        <f t="shared" si="114"/>
        <v>72.510600000000011</v>
      </c>
      <c r="T911" s="20" t="str">
        <f t="shared" si="115"/>
        <v>8-14 days</v>
      </c>
    </row>
    <row r="912" spans="1:20" x14ac:dyDescent="0.3">
      <c r="A912" s="20" t="s">
        <v>978</v>
      </c>
      <c r="B912" s="20" t="s">
        <v>19</v>
      </c>
      <c r="C912" s="21">
        <v>45667</v>
      </c>
      <c r="D912" s="21">
        <v>45680</v>
      </c>
      <c r="E912" s="21">
        <v>45681</v>
      </c>
      <c r="F912" s="20" t="s">
        <v>64</v>
      </c>
      <c r="G912" s="22">
        <v>159.76</v>
      </c>
      <c r="H912" s="22">
        <v>24.17</v>
      </c>
      <c r="I912" s="20" t="s">
        <v>45</v>
      </c>
      <c r="J912" s="20">
        <v>4</v>
      </c>
      <c r="K912" s="20" t="s">
        <v>46</v>
      </c>
      <c r="L912" s="23">
        <f t="shared" si="109"/>
        <v>45658</v>
      </c>
      <c r="M912" s="20">
        <f t="shared" si="110"/>
        <v>13</v>
      </c>
      <c r="N912" s="20">
        <f t="shared" si="111"/>
        <v>0</v>
      </c>
      <c r="O912" s="20">
        <f t="shared" si="112"/>
        <v>1</v>
      </c>
      <c r="P912" s="22">
        <f t="shared" si="113"/>
        <v>183.93</v>
      </c>
      <c r="Q912" s="22">
        <f>G912*INDEX(Assumptions!$B$8:$B$16,MATCH(F912,Assumptions!$A$8:$A$16,0))</f>
        <v>105.44159999999999</v>
      </c>
      <c r="R912" s="22">
        <f>H912*Assumptions!$B$3</f>
        <v>14.502000000000001</v>
      </c>
      <c r="S912" s="22">
        <f t="shared" si="114"/>
        <v>39.816399999999994</v>
      </c>
      <c r="T912" s="20" t="str">
        <f t="shared" si="115"/>
        <v>8-14 days</v>
      </c>
    </row>
    <row r="913" spans="1:20" x14ac:dyDescent="0.3">
      <c r="A913" s="20" t="s">
        <v>979</v>
      </c>
      <c r="B913" s="20" t="s">
        <v>201</v>
      </c>
      <c r="C913" s="21">
        <v>45667</v>
      </c>
      <c r="D913" s="21">
        <v>45700</v>
      </c>
      <c r="E913" s="21">
        <v>45701</v>
      </c>
      <c r="F913" s="20" t="s">
        <v>49</v>
      </c>
      <c r="G913" s="22">
        <v>257.93</v>
      </c>
      <c r="H913" s="22">
        <v>50.41</v>
      </c>
      <c r="I913" s="20" t="s">
        <v>45</v>
      </c>
      <c r="J913" s="20">
        <v>4</v>
      </c>
      <c r="K913" s="20" t="s">
        <v>46</v>
      </c>
      <c r="L913" s="23">
        <f t="shared" si="109"/>
        <v>45658</v>
      </c>
      <c r="M913" s="20">
        <f t="shared" si="110"/>
        <v>33</v>
      </c>
      <c r="N913" s="20">
        <f t="shared" si="111"/>
        <v>0</v>
      </c>
      <c r="O913" s="20">
        <f t="shared" si="112"/>
        <v>1</v>
      </c>
      <c r="P913" s="22">
        <f t="shared" si="113"/>
        <v>308.34000000000003</v>
      </c>
      <c r="Q913" s="22">
        <f>G913*INDEX(Assumptions!$B$8:$B$16,MATCH(F913,Assumptions!$A$8:$A$16,0))</f>
        <v>149.5994</v>
      </c>
      <c r="R913" s="22">
        <f>H913*Assumptions!$B$3</f>
        <v>30.245999999999995</v>
      </c>
      <c r="S913" s="22">
        <f t="shared" si="114"/>
        <v>78.084600000000009</v>
      </c>
      <c r="T913" s="20" t="str">
        <f t="shared" si="115"/>
        <v>22+ days</v>
      </c>
    </row>
    <row r="914" spans="1:20" x14ac:dyDescent="0.3">
      <c r="A914" s="20" t="s">
        <v>980</v>
      </c>
      <c r="B914" s="20" t="s">
        <v>62</v>
      </c>
      <c r="C914" s="21">
        <v>45668</v>
      </c>
      <c r="D914" s="21">
        <v>45672</v>
      </c>
      <c r="E914" s="21">
        <v>45689</v>
      </c>
      <c r="F914" s="20" t="s">
        <v>59</v>
      </c>
      <c r="G914" s="22">
        <v>99.17</v>
      </c>
      <c r="H914" s="22">
        <v>24.74</v>
      </c>
      <c r="I914" s="20" t="s">
        <v>45</v>
      </c>
      <c r="J914" s="20">
        <v>4</v>
      </c>
      <c r="K914" s="20" t="s">
        <v>46</v>
      </c>
      <c r="L914" s="23">
        <f t="shared" si="109"/>
        <v>45658</v>
      </c>
      <c r="M914" s="20">
        <f t="shared" si="110"/>
        <v>4</v>
      </c>
      <c r="N914" s="20">
        <f t="shared" si="111"/>
        <v>0</v>
      </c>
      <c r="O914" s="20">
        <f t="shared" si="112"/>
        <v>1</v>
      </c>
      <c r="P914" s="22">
        <f t="shared" si="113"/>
        <v>123.91</v>
      </c>
      <c r="Q914" s="22">
        <f>G914*INDEX(Assumptions!$B$8:$B$16,MATCH(F914,Assumptions!$A$8:$A$16,0))</f>
        <v>63.468800000000002</v>
      </c>
      <c r="R914" s="22">
        <f>H914*Assumptions!$B$3</f>
        <v>14.843999999999998</v>
      </c>
      <c r="S914" s="22">
        <f t="shared" si="114"/>
        <v>20.857200000000002</v>
      </c>
      <c r="T914" s="20" t="str">
        <f t="shared" si="115"/>
        <v>0-7 days</v>
      </c>
    </row>
    <row r="915" spans="1:20" x14ac:dyDescent="0.3">
      <c r="A915" s="20" t="s">
        <v>981</v>
      </c>
      <c r="B915" s="20" t="s">
        <v>19</v>
      </c>
      <c r="C915" s="21">
        <v>45668</v>
      </c>
      <c r="D915" s="21">
        <v>45682</v>
      </c>
      <c r="E915" s="21">
        <v>45683</v>
      </c>
      <c r="F915" s="20" t="s">
        <v>49</v>
      </c>
      <c r="G915" s="22">
        <v>102.6</v>
      </c>
      <c r="H915" s="22">
        <v>15.06</v>
      </c>
      <c r="I915" s="20" t="s">
        <v>60</v>
      </c>
      <c r="J915" s="20">
        <v>5</v>
      </c>
      <c r="K915" s="20" t="s">
        <v>46</v>
      </c>
      <c r="L915" s="23">
        <f t="shared" si="109"/>
        <v>45658</v>
      </c>
      <c r="M915" s="20">
        <f t="shared" si="110"/>
        <v>14</v>
      </c>
      <c r="N915" s="20">
        <f t="shared" si="111"/>
        <v>0</v>
      </c>
      <c r="O915" s="20">
        <f t="shared" si="112"/>
        <v>1</v>
      </c>
      <c r="P915" s="22">
        <f t="shared" si="113"/>
        <v>117.66</v>
      </c>
      <c r="Q915" s="22">
        <f>G915*INDEX(Assumptions!$B$8:$B$16,MATCH(F915,Assumptions!$A$8:$A$16,0))</f>
        <v>59.507999999999996</v>
      </c>
      <c r="R915" s="22">
        <f>H915*Assumptions!$B$3</f>
        <v>9.0359999999999996</v>
      </c>
      <c r="S915" s="22">
        <f t="shared" si="114"/>
        <v>34.055999999999997</v>
      </c>
      <c r="T915" s="20" t="str">
        <f t="shared" si="115"/>
        <v>8-14 days</v>
      </c>
    </row>
    <row r="916" spans="1:20" x14ac:dyDescent="0.3">
      <c r="A916" s="20" t="s">
        <v>982</v>
      </c>
      <c r="B916" s="20" t="s">
        <v>77</v>
      </c>
      <c r="C916" s="21">
        <v>45668</v>
      </c>
      <c r="D916" s="21">
        <v>45680</v>
      </c>
      <c r="E916" s="21">
        <v>45692</v>
      </c>
      <c r="F916" s="20" t="s">
        <v>49</v>
      </c>
      <c r="G916" s="22">
        <v>59.55</v>
      </c>
      <c r="H916" s="22">
        <v>30.04</v>
      </c>
      <c r="I916" s="20" t="s">
        <v>60</v>
      </c>
      <c r="J916" s="20">
        <v>4</v>
      </c>
      <c r="K916" s="20" t="s">
        <v>46</v>
      </c>
      <c r="L916" s="23">
        <f t="shared" si="109"/>
        <v>45658</v>
      </c>
      <c r="M916" s="20">
        <f t="shared" si="110"/>
        <v>12</v>
      </c>
      <c r="N916" s="20">
        <f t="shared" si="111"/>
        <v>0</v>
      </c>
      <c r="O916" s="20">
        <f t="shared" si="112"/>
        <v>1</v>
      </c>
      <c r="P916" s="22">
        <f t="shared" si="113"/>
        <v>89.59</v>
      </c>
      <c r="Q916" s="22">
        <f>G916*INDEX(Assumptions!$B$8:$B$16,MATCH(F916,Assumptions!$A$8:$A$16,0))</f>
        <v>34.538999999999994</v>
      </c>
      <c r="R916" s="22">
        <f>H916*Assumptions!$B$3</f>
        <v>18.023999999999997</v>
      </c>
      <c r="S916" s="22">
        <f t="shared" si="114"/>
        <v>6.9870000000000054</v>
      </c>
      <c r="T916" s="20" t="str">
        <f t="shared" si="115"/>
        <v>8-14 days</v>
      </c>
    </row>
    <row r="917" spans="1:20" x14ac:dyDescent="0.3">
      <c r="A917" s="20" t="s">
        <v>983</v>
      </c>
      <c r="B917" s="20" t="s">
        <v>156</v>
      </c>
      <c r="C917" s="21">
        <v>45668</v>
      </c>
      <c r="D917" s="21">
        <v>45676</v>
      </c>
      <c r="E917" s="21">
        <v>45692</v>
      </c>
      <c r="F917" s="20" t="s">
        <v>111</v>
      </c>
      <c r="G917" s="22">
        <v>169.97</v>
      </c>
      <c r="H917" s="22">
        <v>35.450000000000003</v>
      </c>
      <c r="I917" s="20" t="s">
        <v>45</v>
      </c>
      <c r="J917" s="20">
        <v>5</v>
      </c>
      <c r="K917" s="20" t="s">
        <v>46</v>
      </c>
      <c r="L917" s="23">
        <f t="shared" si="109"/>
        <v>45658</v>
      </c>
      <c r="M917" s="20">
        <f t="shared" si="110"/>
        <v>8</v>
      </c>
      <c r="N917" s="20">
        <f t="shared" si="111"/>
        <v>0</v>
      </c>
      <c r="O917" s="20">
        <f t="shared" si="112"/>
        <v>1</v>
      </c>
      <c r="P917" s="22">
        <f t="shared" si="113"/>
        <v>205.42000000000002</v>
      </c>
      <c r="Q917" s="22">
        <f>G917*INDEX(Assumptions!$B$8:$B$16,MATCH(F917,Assumptions!$A$8:$A$16,0))</f>
        <v>107.08110000000001</v>
      </c>
      <c r="R917" s="22">
        <f>H917*Assumptions!$B$3</f>
        <v>21.27</v>
      </c>
      <c r="S917" s="22">
        <f t="shared" si="114"/>
        <v>41.618899999999996</v>
      </c>
      <c r="T917" s="20" t="str">
        <f t="shared" si="115"/>
        <v>8-14 days</v>
      </c>
    </row>
    <row r="918" spans="1:20" x14ac:dyDescent="0.3">
      <c r="A918" s="20" t="s">
        <v>984</v>
      </c>
      <c r="B918" s="20" t="s">
        <v>19</v>
      </c>
      <c r="C918" s="21">
        <v>45669</v>
      </c>
      <c r="D918" s="21">
        <v>45674</v>
      </c>
      <c r="E918" s="21">
        <v>45684</v>
      </c>
      <c r="F918" s="20" t="s">
        <v>64</v>
      </c>
      <c r="G918" s="22">
        <v>242.68</v>
      </c>
      <c r="H918" s="22">
        <v>16.18</v>
      </c>
      <c r="I918" s="20" t="s">
        <v>45</v>
      </c>
      <c r="J918" s="20">
        <v>4</v>
      </c>
      <c r="K918" s="20" t="s">
        <v>46</v>
      </c>
      <c r="L918" s="23">
        <f t="shared" si="109"/>
        <v>45658</v>
      </c>
      <c r="M918" s="20">
        <f t="shared" si="110"/>
        <v>5</v>
      </c>
      <c r="N918" s="20">
        <f t="shared" si="111"/>
        <v>0</v>
      </c>
      <c r="O918" s="20">
        <f t="shared" si="112"/>
        <v>1</v>
      </c>
      <c r="P918" s="22">
        <f t="shared" si="113"/>
        <v>258.86</v>
      </c>
      <c r="Q918" s="22">
        <f>G918*INDEX(Assumptions!$B$8:$B$16,MATCH(F918,Assumptions!$A$8:$A$16,0))</f>
        <v>160.1688</v>
      </c>
      <c r="R918" s="22">
        <f>H918*Assumptions!$B$3</f>
        <v>9.7080000000000002</v>
      </c>
      <c r="S918" s="22">
        <f t="shared" si="114"/>
        <v>72.803200000000004</v>
      </c>
      <c r="T918" s="20" t="str">
        <f t="shared" si="115"/>
        <v>0-7 days</v>
      </c>
    </row>
    <row r="919" spans="1:20" x14ac:dyDescent="0.3">
      <c r="A919" s="20" t="s">
        <v>985</v>
      </c>
      <c r="B919" s="20" t="s">
        <v>19</v>
      </c>
      <c r="C919" s="21">
        <v>45669</v>
      </c>
      <c r="D919" s="21">
        <v>45677</v>
      </c>
      <c r="E919" s="21">
        <v>45682</v>
      </c>
      <c r="F919" s="20" t="s">
        <v>59</v>
      </c>
      <c r="G919" s="22">
        <v>89.73</v>
      </c>
      <c r="H919" s="22">
        <v>12.55</v>
      </c>
      <c r="I919" s="20" t="s">
        <v>45</v>
      </c>
      <c r="J919" s="20">
        <v>5</v>
      </c>
      <c r="K919" s="20" t="s">
        <v>46</v>
      </c>
      <c r="L919" s="23">
        <f t="shared" si="109"/>
        <v>45658</v>
      </c>
      <c r="M919" s="20">
        <f t="shared" si="110"/>
        <v>8</v>
      </c>
      <c r="N919" s="20">
        <f t="shared" si="111"/>
        <v>0</v>
      </c>
      <c r="O919" s="20">
        <f t="shared" si="112"/>
        <v>1</v>
      </c>
      <c r="P919" s="22">
        <f t="shared" si="113"/>
        <v>102.28</v>
      </c>
      <c r="Q919" s="22">
        <f>G919*INDEX(Assumptions!$B$8:$B$16,MATCH(F919,Assumptions!$A$8:$A$16,0))</f>
        <v>57.427200000000006</v>
      </c>
      <c r="R919" s="22">
        <f>H919*Assumptions!$B$3</f>
        <v>7.53</v>
      </c>
      <c r="S919" s="22">
        <f t="shared" si="114"/>
        <v>24.772799999999997</v>
      </c>
      <c r="T919" s="20" t="str">
        <f t="shared" si="115"/>
        <v>8-14 days</v>
      </c>
    </row>
    <row r="920" spans="1:20" x14ac:dyDescent="0.3">
      <c r="A920" s="20" t="s">
        <v>986</v>
      </c>
      <c r="B920" s="20" t="s">
        <v>52</v>
      </c>
      <c r="C920" s="21">
        <v>45669</v>
      </c>
      <c r="D920" s="21">
        <v>45691</v>
      </c>
      <c r="E920" s="21">
        <v>45691</v>
      </c>
      <c r="F920" s="20" t="s">
        <v>79</v>
      </c>
      <c r="G920" s="22">
        <v>413.16</v>
      </c>
      <c r="H920" s="22">
        <v>26.54</v>
      </c>
      <c r="I920" s="20" t="s">
        <v>45</v>
      </c>
      <c r="J920" s="20">
        <v>4</v>
      </c>
      <c r="K920" s="20" t="s">
        <v>46</v>
      </c>
      <c r="L920" s="23">
        <f t="shared" si="109"/>
        <v>45658</v>
      </c>
      <c r="M920" s="20">
        <f t="shared" si="110"/>
        <v>22</v>
      </c>
      <c r="N920" s="20">
        <f t="shared" si="111"/>
        <v>0</v>
      </c>
      <c r="O920" s="20">
        <f t="shared" si="112"/>
        <v>1</v>
      </c>
      <c r="P920" s="22">
        <f t="shared" si="113"/>
        <v>439.70000000000005</v>
      </c>
      <c r="Q920" s="22">
        <f>G920*INDEX(Assumptions!$B$8:$B$16,MATCH(F920,Assumptions!$A$8:$A$16,0))</f>
        <v>289.21199999999999</v>
      </c>
      <c r="R920" s="22">
        <f>H920*Assumptions!$B$3</f>
        <v>15.923999999999999</v>
      </c>
      <c r="S920" s="22">
        <f t="shared" si="114"/>
        <v>108.02400000000003</v>
      </c>
      <c r="T920" s="20" t="str">
        <f t="shared" si="115"/>
        <v>22+ days</v>
      </c>
    </row>
    <row r="921" spans="1:20" x14ac:dyDescent="0.3">
      <c r="A921" s="20" t="s">
        <v>987</v>
      </c>
      <c r="B921" s="20" t="s">
        <v>134</v>
      </c>
      <c r="C921" s="21">
        <v>45669</v>
      </c>
      <c r="D921" s="21">
        <v>45682</v>
      </c>
      <c r="E921" s="21">
        <v>45692</v>
      </c>
      <c r="F921" s="20" t="s">
        <v>59</v>
      </c>
      <c r="G921" s="22">
        <v>76.89</v>
      </c>
      <c r="H921" s="22">
        <v>18.8</v>
      </c>
      <c r="I921" s="20" t="s">
        <v>45</v>
      </c>
      <c r="J921" s="20">
        <v>5</v>
      </c>
      <c r="K921" s="20" t="s">
        <v>46</v>
      </c>
      <c r="L921" s="23">
        <f t="shared" si="109"/>
        <v>45658</v>
      </c>
      <c r="M921" s="20">
        <f t="shared" si="110"/>
        <v>13</v>
      </c>
      <c r="N921" s="20">
        <f t="shared" si="111"/>
        <v>0</v>
      </c>
      <c r="O921" s="20">
        <f t="shared" si="112"/>
        <v>1</v>
      </c>
      <c r="P921" s="22">
        <f t="shared" si="113"/>
        <v>95.69</v>
      </c>
      <c r="Q921" s="22">
        <f>G921*INDEX(Assumptions!$B$8:$B$16,MATCH(F921,Assumptions!$A$8:$A$16,0))</f>
        <v>49.209600000000002</v>
      </c>
      <c r="R921" s="22">
        <f>H921*Assumptions!$B$3</f>
        <v>11.28</v>
      </c>
      <c r="S921" s="22">
        <f t="shared" si="114"/>
        <v>16.400399999999998</v>
      </c>
      <c r="T921" s="20" t="str">
        <f t="shared" si="115"/>
        <v>8-14 days</v>
      </c>
    </row>
    <row r="922" spans="1:20" x14ac:dyDescent="0.3">
      <c r="A922" s="20" t="s">
        <v>988</v>
      </c>
      <c r="B922" s="20" t="s">
        <v>19</v>
      </c>
      <c r="C922" s="21">
        <v>45669</v>
      </c>
      <c r="D922" s="21">
        <v>45679</v>
      </c>
      <c r="E922" s="21">
        <v>45680</v>
      </c>
      <c r="F922" s="20" t="s">
        <v>67</v>
      </c>
      <c r="G922" s="22">
        <v>62.18</v>
      </c>
      <c r="H922" s="22">
        <v>20.53</v>
      </c>
      <c r="I922" s="20" t="s">
        <v>45</v>
      </c>
      <c r="J922" s="20">
        <v>3</v>
      </c>
      <c r="K922" s="20" t="s">
        <v>46</v>
      </c>
      <c r="L922" s="23">
        <f t="shared" si="109"/>
        <v>45658</v>
      </c>
      <c r="M922" s="20">
        <f t="shared" si="110"/>
        <v>10</v>
      </c>
      <c r="N922" s="20">
        <f t="shared" si="111"/>
        <v>0</v>
      </c>
      <c r="O922" s="20">
        <f t="shared" si="112"/>
        <v>1</v>
      </c>
      <c r="P922" s="22">
        <f t="shared" si="113"/>
        <v>82.710000000000008</v>
      </c>
      <c r="Q922" s="22">
        <f>G922*INDEX(Assumptions!$B$8:$B$16,MATCH(F922,Assumptions!$A$8:$A$16,0))</f>
        <v>38.551600000000001</v>
      </c>
      <c r="R922" s="22">
        <f>H922*Assumptions!$B$3</f>
        <v>12.318</v>
      </c>
      <c r="S922" s="22">
        <f t="shared" si="114"/>
        <v>11.3104</v>
      </c>
      <c r="T922" s="20" t="str">
        <f t="shared" si="115"/>
        <v>8-14 days</v>
      </c>
    </row>
    <row r="923" spans="1:20" x14ac:dyDescent="0.3">
      <c r="A923" s="20" t="s">
        <v>989</v>
      </c>
      <c r="B923" s="20" t="s">
        <v>62</v>
      </c>
      <c r="C923" s="21">
        <v>45669</v>
      </c>
      <c r="D923" s="21">
        <v>45679</v>
      </c>
      <c r="E923" s="21">
        <v>45689</v>
      </c>
      <c r="F923" s="20" t="s">
        <v>111</v>
      </c>
      <c r="G923" s="22">
        <v>73.13</v>
      </c>
      <c r="H923" s="22">
        <v>16.52</v>
      </c>
      <c r="I923" s="20" t="s">
        <v>45</v>
      </c>
      <c r="J923" s="20">
        <v>4</v>
      </c>
      <c r="K923" s="20" t="s">
        <v>46</v>
      </c>
      <c r="L923" s="23">
        <f t="shared" si="109"/>
        <v>45658</v>
      </c>
      <c r="M923" s="20">
        <f t="shared" si="110"/>
        <v>10</v>
      </c>
      <c r="N923" s="20">
        <f t="shared" si="111"/>
        <v>0</v>
      </c>
      <c r="O923" s="20">
        <f t="shared" si="112"/>
        <v>1</v>
      </c>
      <c r="P923" s="22">
        <f t="shared" si="113"/>
        <v>89.649999999999991</v>
      </c>
      <c r="Q923" s="22">
        <f>G923*INDEX(Assumptions!$B$8:$B$16,MATCH(F923,Assumptions!$A$8:$A$16,0))</f>
        <v>46.071899999999999</v>
      </c>
      <c r="R923" s="22">
        <f>H923*Assumptions!$B$3</f>
        <v>9.911999999999999</v>
      </c>
      <c r="S923" s="22">
        <f t="shared" si="114"/>
        <v>17.146099999999997</v>
      </c>
      <c r="T923" s="20" t="str">
        <f t="shared" si="115"/>
        <v>8-14 days</v>
      </c>
    </row>
    <row r="924" spans="1:20" x14ac:dyDescent="0.3">
      <c r="A924" s="20" t="s">
        <v>990</v>
      </c>
      <c r="B924" s="20" t="s">
        <v>19</v>
      </c>
      <c r="C924" s="21">
        <v>45671</v>
      </c>
      <c r="D924" s="21">
        <v>45676</v>
      </c>
      <c r="E924" s="21">
        <v>45687</v>
      </c>
      <c r="F924" s="20" t="s">
        <v>67</v>
      </c>
      <c r="G924" s="22">
        <v>107.6</v>
      </c>
      <c r="H924" s="22">
        <v>18.43</v>
      </c>
      <c r="I924" s="20" t="s">
        <v>45</v>
      </c>
      <c r="J924" s="20">
        <v>5</v>
      </c>
      <c r="K924" s="20" t="s">
        <v>46</v>
      </c>
      <c r="L924" s="23">
        <f t="shared" si="109"/>
        <v>45658</v>
      </c>
      <c r="M924" s="20">
        <f t="shared" si="110"/>
        <v>5</v>
      </c>
      <c r="N924" s="20">
        <f t="shared" si="111"/>
        <v>0</v>
      </c>
      <c r="O924" s="20">
        <f t="shared" si="112"/>
        <v>1</v>
      </c>
      <c r="P924" s="22">
        <f t="shared" si="113"/>
        <v>126.03</v>
      </c>
      <c r="Q924" s="22">
        <f>G924*INDEX(Assumptions!$B$8:$B$16,MATCH(F924,Assumptions!$A$8:$A$16,0))</f>
        <v>66.711999999999989</v>
      </c>
      <c r="R924" s="22">
        <f>H924*Assumptions!$B$3</f>
        <v>11.058</v>
      </c>
      <c r="S924" s="22">
        <f t="shared" si="114"/>
        <v>29.830000000000005</v>
      </c>
      <c r="T924" s="20" t="str">
        <f t="shared" si="115"/>
        <v>0-7 days</v>
      </c>
    </row>
    <row r="925" spans="1:20" x14ac:dyDescent="0.3">
      <c r="A925" s="20" t="s">
        <v>991</v>
      </c>
      <c r="B925" s="20" t="s">
        <v>19</v>
      </c>
      <c r="C925" s="21">
        <v>45671</v>
      </c>
      <c r="D925" s="21">
        <v>45692</v>
      </c>
      <c r="E925" s="21">
        <v>45683</v>
      </c>
      <c r="F925" s="20" t="s">
        <v>53</v>
      </c>
      <c r="G925" s="22">
        <v>139.5</v>
      </c>
      <c r="H925" s="22">
        <v>21.74</v>
      </c>
      <c r="I925" s="20" t="s">
        <v>45</v>
      </c>
      <c r="J925" s="20">
        <v>1</v>
      </c>
      <c r="K925" s="20" t="s">
        <v>46</v>
      </c>
      <c r="L925" s="23">
        <f t="shared" si="109"/>
        <v>45658</v>
      </c>
      <c r="M925" s="20">
        <f t="shared" si="110"/>
        <v>21</v>
      </c>
      <c r="N925" s="20">
        <f t="shared" si="111"/>
        <v>9</v>
      </c>
      <c r="O925" s="20">
        <f t="shared" si="112"/>
        <v>0</v>
      </c>
      <c r="P925" s="22">
        <f t="shared" si="113"/>
        <v>161.24</v>
      </c>
      <c r="Q925" s="22">
        <f>G925*INDEX(Assumptions!$B$8:$B$16,MATCH(F925,Assumptions!$A$8:$A$16,0))</f>
        <v>103.23</v>
      </c>
      <c r="R925" s="22">
        <f>H925*Assumptions!$B$3</f>
        <v>13.043999999999999</v>
      </c>
      <c r="S925" s="22">
        <f t="shared" si="114"/>
        <v>23.225999999999999</v>
      </c>
      <c r="T925" s="20" t="str">
        <f t="shared" si="115"/>
        <v>15-21 days</v>
      </c>
    </row>
    <row r="926" spans="1:20" x14ac:dyDescent="0.3">
      <c r="A926" s="20" t="s">
        <v>992</v>
      </c>
      <c r="B926" s="20" t="s">
        <v>55</v>
      </c>
      <c r="C926" s="21">
        <v>45671</v>
      </c>
      <c r="D926" s="21">
        <v>45682</v>
      </c>
      <c r="E926" s="21">
        <v>45694</v>
      </c>
      <c r="F926" s="20" t="s">
        <v>53</v>
      </c>
      <c r="G926" s="22">
        <v>52.04</v>
      </c>
      <c r="H926" s="22">
        <v>29.85</v>
      </c>
      <c r="I926" s="20" t="s">
        <v>60</v>
      </c>
      <c r="J926" s="20">
        <v>4</v>
      </c>
      <c r="K926" s="20" t="s">
        <v>46</v>
      </c>
      <c r="L926" s="23">
        <f t="shared" si="109"/>
        <v>45658</v>
      </c>
      <c r="M926" s="20">
        <f t="shared" si="110"/>
        <v>11</v>
      </c>
      <c r="N926" s="20">
        <f t="shared" si="111"/>
        <v>0</v>
      </c>
      <c r="O926" s="20">
        <f t="shared" si="112"/>
        <v>1</v>
      </c>
      <c r="P926" s="22">
        <f t="shared" si="113"/>
        <v>81.89</v>
      </c>
      <c r="Q926" s="22">
        <f>G926*INDEX(Assumptions!$B$8:$B$16,MATCH(F926,Assumptions!$A$8:$A$16,0))</f>
        <v>38.509599999999999</v>
      </c>
      <c r="R926" s="22">
        <f>H926*Assumptions!$B$3</f>
        <v>17.91</v>
      </c>
      <c r="S926" s="22">
        <f t="shared" si="114"/>
        <v>-4.3795999999999999</v>
      </c>
      <c r="T926" s="20" t="str">
        <f t="shared" si="115"/>
        <v>8-14 days</v>
      </c>
    </row>
    <row r="927" spans="1:20" x14ac:dyDescent="0.3">
      <c r="A927" s="20" t="s">
        <v>993</v>
      </c>
      <c r="B927" s="20" t="s">
        <v>52</v>
      </c>
      <c r="C927" s="21">
        <v>45672</v>
      </c>
      <c r="D927" s="21">
        <v>45684</v>
      </c>
      <c r="E927" s="21">
        <v>45698</v>
      </c>
      <c r="F927" s="20" t="s">
        <v>53</v>
      </c>
      <c r="G927" s="22">
        <v>310.22000000000003</v>
      </c>
      <c r="H927" s="22">
        <v>23.62</v>
      </c>
      <c r="I927" s="20" t="s">
        <v>50</v>
      </c>
      <c r="J927" s="20">
        <v>4</v>
      </c>
      <c r="K927" s="20" t="s">
        <v>46</v>
      </c>
      <c r="L927" s="23">
        <f t="shared" si="109"/>
        <v>45658</v>
      </c>
      <c r="M927" s="20">
        <f t="shared" si="110"/>
        <v>12</v>
      </c>
      <c r="N927" s="20">
        <f t="shared" si="111"/>
        <v>0</v>
      </c>
      <c r="O927" s="20">
        <f t="shared" si="112"/>
        <v>1</v>
      </c>
      <c r="P927" s="22">
        <f t="shared" si="113"/>
        <v>333.84000000000003</v>
      </c>
      <c r="Q927" s="22">
        <f>G927*INDEX(Assumptions!$B$8:$B$16,MATCH(F927,Assumptions!$A$8:$A$16,0))</f>
        <v>229.56280000000001</v>
      </c>
      <c r="R927" s="22">
        <f>H927*Assumptions!$B$3</f>
        <v>14.172000000000001</v>
      </c>
      <c r="S927" s="22">
        <f t="shared" si="114"/>
        <v>66.48520000000002</v>
      </c>
      <c r="T927" s="20" t="str">
        <f t="shared" si="115"/>
        <v>8-14 days</v>
      </c>
    </row>
    <row r="928" spans="1:20" x14ac:dyDescent="0.3">
      <c r="A928" s="20" t="s">
        <v>994</v>
      </c>
      <c r="B928" s="20" t="s">
        <v>19</v>
      </c>
      <c r="C928" s="21">
        <v>45672</v>
      </c>
      <c r="D928" s="21">
        <v>45679</v>
      </c>
      <c r="E928" s="21">
        <v>45683</v>
      </c>
      <c r="F928" s="20" t="s">
        <v>79</v>
      </c>
      <c r="G928" s="22">
        <v>139.94999999999999</v>
      </c>
      <c r="H928" s="22">
        <v>21.81</v>
      </c>
      <c r="I928" s="20" t="s">
        <v>45</v>
      </c>
      <c r="J928" s="20">
        <v>5</v>
      </c>
      <c r="K928" s="20" t="s">
        <v>46</v>
      </c>
      <c r="L928" s="23">
        <f t="shared" si="109"/>
        <v>45658</v>
      </c>
      <c r="M928" s="20">
        <f t="shared" si="110"/>
        <v>7</v>
      </c>
      <c r="N928" s="20">
        <f t="shared" si="111"/>
        <v>0</v>
      </c>
      <c r="O928" s="20">
        <f t="shared" si="112"/>
        <v>1</v>
      </c>
      <c r="P928" s="22">
        <f t="shared" si="113"/>
        <v>161.76</v>
      </c>
      <c r="Q928" s="22">
        <f>G928*INDEX(Assumptions!$B$8:$B$16,MATCH(F928,Assumptions!$A$8:$A$16,0))</f>
        <v>97.964999999999989</v>
      </c>
      <c r="R928" s="22">
        <f>H928*Assumptions!$B$3</f>
        <v>13.085999999999999</v>
      </c>
      <c r="S928" s="22">
        <f t="shared" si="114"/>
        <v>28.899000000000001</v>
      </c>
      <c r="T928" s="20" t="str">
        <f t="shared" si="115"/>
        <v>0-7 days</v>
      </c>
    </row>
    <row r="929" spans="1:20" x14ac:dyDescent="0.3">
      <c r="A929" s="20" t="s">
        <v>995</v>
      </c>
      <c r="B929" s="20" t="s">
        <v>19</v>
      </c>
      <c r="C929" s="21">
        <v>45672</v>
      </c>
      <c r="D929" s="21">
        <v>45688</v>
      </c>
      <c r="E929" s="21">
        <v>45690</v>
      </c>
      <c r="F929" s="20" t="s">
        <v>49</v>
      </c>
      <c r="G929" s="22">
        <v>106.39</v>
      </c>
      <c r="H929" s="22">
        <v>22.62</v>
      </c>
      <c r="I929" s="20" t="s">
        <v>60</v>
      </c>
      <c r="J929" s="20">
        <v>5</v>
      </c>
      <c r="K929" s="20" t="s">
        <v>46</v>
      </c>
      <c r="L929" s="23">
        <f t="shared" si="109"/>
        <v>45658</v>
      </c>
      <c r="M929" s="20">
        <f t="shared" si="110"/>
        <v>16</v>
      </c>
      <c r="N929" s="20">
        <f t="shared" si="111"/>
        <v>0</v>
      </c>
      <c r="O929" s="20">
        <f t="shared" si="112"/>
        <v>1</v>
      </c>
      <c r="P929" s="22">
        <f t="shared" si="113"/>
        <v>129.01</v>
      </c>
      <c r="Q929" s="22">
        <f>G929*INDEX(Assumptions!$B$8:$B$16,MATCH(F929,Assumptions!$A$8:$A$16,0))</f>
        <v>61.706199999999995</v>
      </c>
      <c r="R929" s="22">
        <f>H929*Assumptions!$B$3</f>
        <v>13.572000000000001</v>
      </c>
      <c r="S929" s="22">
        <f t="shared" si="114"/>
        <v>31.111800000000002</v>
      </c>
      <c r="T929" s="20" t="str">
        <f t="shared" si="115"/>
        <v>15-21 days</v>
      </c>
    </row>
    <row r="930" spans="1:20" x14ac:dyDescent="0.3">
      <c r="A930" s="20" t="s">
        <v>996</v>
      </c>
      <c r="B930" s="20" t="s">
        <v>62</v>
      </c>
      <c r="C930" s="21">
        <v>45673</v>
      </c>
      <c r="D930" s="21">
        <v>45688</v>
      </c>
      <c r="E930" s="21">
        <v>45694</v>
      </c>
      <c r="F930" s="20" t="s">
        <v>67</v>
      </c>
      <c r="G930" s="22">
        <v>85.29</v>
      </c>
      <c r="H930" s="22">
        <v>26.81</v>
      </c>
      <c r="I930" s="20" t="s">
        <v>60</v>
      </c>
      <c r="J930" s="20">
        <v>4</v>
      </c>
      <c r="K930" s="20" t="s">
        <v>46</v>
      </c>
      <c r="L930" s="23">
        <f t="shared" si="109"/>
        <v>45658</v>
      </c>
      <c r="M930" s="20">
        <f t="shared" si="110"/>
        <v>15</v>
      </c>
      <c r="N930" s="20">
        <f t="shared" si="111"/>
        <v>0</v>
      </c>
      <c r="O930" s="20">
        <f t="shared" si="112"/>
        <v>1</v>
      </c>
      <c r="P930" s="22">
        <f t="shared" si="113"/>
        <v>112.10000000000001</v>
      </c>
      <c r="Q930" s="22">
        <f>G930*INDEX(Assumptions!$B$8:$B$16,MATCH(F930,Assumptions!$A$8:$A$16,0))</f>
        <v>52.879800000000003</v>
      </c>
      <c r="R930" s="22">
        <f>H930*Assumptions!$B$3</f>
        <v>16.085999999999999</v>
      </c>
      <c r="S930" s="22">
        <f t="shared" si="114"/>
        <v>16.324200000000005</v>
      </c>
      <c r="T930" s="20" t="str">
        <f t="shared" si="115"/>
        <v>15-21 days</v>
      </c>
    </row>
    <row r="931" spans="1:20" x14ac:dyDescent="0.3">
      <c r="A931" s="20" t="s">
        <v>997</v>
      </c>
      <c r="B931" s="20" t="s">
        <v>62</v>
      </c>
      <c r="C931" s="21">
        <v>45673</v>
      </c>
      <c r="D931" s="21">
        <v>45683</v>
      </c>
      <c r="E931" s="21">
        <v>45693</v>
      </c>
      <c r="F931" s="20" t="s">
        <v>64</v>
      </c>
      <c r="G931" s="22">
        <v>376.19</v>
      </c>
      <c r="H931" s="22">
        <v>33.21</v>
      </c>
      <c r="I931" s="20" t="s">
        <v>60</v>
      </c>
      <c r="J931" s="20">
        <v>5</v>
      </c>
      <c r="K931" s="20" t="s">
        <v>46</v>
      </c>
      <c r="L931" s="23">
        <f t="shared" si="109"/>
        <v>45658</v>
      </c>
      <c r="M931" s="20">
        <f t="shared" si="110"/>
        <v>10</v>
      </c>
      <c r="N931" s="20">
        <f t="shared" si="111"/>
        <v>0</v>
      </c>
      <c r="O931" s="20">
        <f t="shared" si="112"/>
        <v>1</v>
      </c>
      <c r="P931" s="22">
        <f t="shared" si="113"/>
        <v>409.4</v>
      </c>
      <c r="Q931" s="22">
        <f>G931*INDEX(Assumptions!$B$8:$B$16,MATCH(F931,Assumptions!$A$8:$A$16,0))</f>
        <v>248.28540000000001</v>
      </c>
      <c r="R931" s="22">
        <f>H931*Assumptions!$B$3</f>
        <v>19.925999999999998</v>
      </c>
      <c r="S931" s="22">
        <f t="shared" si="114"/>
        <v>107.97859999999999</v>
      </c>
      <c r="T931" s="20" t="str">
        <f t="shared" si="115"/>
        <v>8-14 days</v>
      </c>
    </row>
    <row r="932" spans="1:20" x14ac:dyDescent="0.3">
      <c r="A932" s="20" t="s">
        <v>998</v>
      </c>
      <c r="B932" s="20" t="s">
        <v>62</v>
      </c>
      <c r="C932" s="21">
        <v>45674</v>
      </c>
      <c r="D932" s="21">
        <v>45687</v>
      </c>
      <c r="E932" s="21">
        <v>45693</v>
      </c>
      <c r="F932" s="20" t="s">
        <v>49</v>
      </c>
      <c r="G932" s="22">
        <v>104.98</v>
      </c>
      <c r="H932" s="22">
        <v>26.5</v>
      </c>
      <c r="I932" s="20" t="s">
        <v>45</v>
      </c>
      <c r="J932" s="20">
        <v>5</v>
      </c>
      <c r="K932" s="20" t="s">
        <v>46</v>
      </c>
      <c r="L932" s="23">
        <f t="shared" si="109"/>
        <v>45658</v>
      </c>
      <c r="M932" s="20">
        <f t="shared" si="110"/>
        <v>13</v>
      </c>
      <c r="N932" s="20">
        <f t="shared" si="111"/>
        <v>0</v>
      </c>
      <c r="O932" s="20">
        <f t="shared" si="112"/>
        <v>1</v>
      </c>
      <c r="P932" s="22">
        <f t="shared" si="113"/>
        <v>131.48000000000002</v>
      </c>
      <c r="Q932" s="22">
        <f>G932*INDEX(Assumptions!$B$8:$B$16,MATCH(F932,Assumptions!$A$8:$A$16,0))</f>
        <v>60.888399999999997</v>
      </c>
      <c r="R932" s="22">
        <f>H932*Assumptions!$B$3</f>
        <v>15.899999999999999</v>
      </c>
      <c r="S932" s="22">
        <f t="shared" si="114"/>
        <v>28.191600000000008</v>
      </c>
      <c r="T932" s="20" t="str">
        <f t="shared" si="115"/>
        <v>8-14 days</v>
      </c>
    </row>
    <row r="933" spans="1:20" x14ac:dyDescent="0.3">
      <c r="A933" s="20" t="s">
        <v>999</v>
      </c>
      <c r="B933" s="20" t="s">
        <v>19</v>
      </c>
      <c r="C933" s="21">
        <v>45675</v>
      </c>
      <c r="D933" s="21">
        <v>45686</v>
      </c>
      <c r="E933" s="21">
        <v>45692</v>
      </c>
      <c r="F933" s="20" t="s">
        <v>79</v>
      </c>
      <c r="G933" s="22">
        <v>108.85</v>
      </c>
      <c r="H933" s="22">
        <v>14.86</v>
      </c>
      <c r="I933" s="20" t="s">
        <v>104</v>
      </c>
      <c r="J933" s="20">
        <v>2</v>
      </c>
      <c r="K933" s="20" t="s">
        <v>46</v>
      </c>
      <c r="L933" s="23">
        <f t="shared" si="109"/>
        <v>45658</v>
      </c>
      <c r="M933" s="20">
        <f t="shared" si="110"/>
        <v>11</v>
      </c>
      <c r="N933" s="20">
        <f t="shared" si="111"/>
        <v>0</v>
      </c>
      <c r="O933" s="20">
        <f t="shared" si="112"/>
        <v>1</v>
      </c>
      <c r="P933" s="22">
        <f t="shared" si="113"/>
        <v>123.71</v>
      </c>
      <c r="Q933" s="22">
        <f>G933*INDEX(Assumptions!$B$8:$B$16,MATCH(F933,Assumptions!$A$8:$A$16,0))</f>
        <v>76.194999999999993</v>
      </c>
      <c r="R933" s="22">
        <f>H933*Assumptions!$B$3</f>
        <v>8.9159999999999986</v>
      </c>
      <c r="S933" s="22">
        <f t="shared" si="114"/>
        <v>23.739000000000004</v>
      </c>
      <c r="T933" s="20" t="str">
        <f t="shared" si="115"/>
        <v>8-14 days</v>
      </c>
    </row>
    <row r="934" spans="1:20" x14ac:dyDescent="0.3">
      <c r="A934" s="20" t="s">
        <v>1000</v>
      </c>
      <c r="B934" s="20" t="s">
        <v>62</v>
      </c>
      <c r="C934" s="21">
        <v>45675</v>
      </c>
      <c r="D934" s="21">
        <v>45684</v>
      </c>
      <c r="E934" s="21">
        <v>45699</v>
      </c>
      <c r="F934" s="20" t="s">
        <v>59</v>
      </c>
      <c r="G934" s="22">
        <v>31.55</v>
      </c>
      <c r="H934" s="22">
        <v>18.739999999999998</v>
      </c>
      <c r="I934" s="20" t="s">
        <v>45</v>
      </c>
      <c r="J934" s="20">
        <v>5</v>
      </c>
      <c r="K934" s="20" t="s">
        <v>46</v>
      </c>
      <c r="L934" s="23">
        <f t="shared" si="109"/>
        <v>45658</v>
      </c>
      <c r="M934" s="20">
        <f t="shared" si="110"/>
        <v>9</v>
      </c>
      <c r="N934" s="20">
        <f t="shared" si="111"/>
        <v>0</v>
      </c>
      <c r="O934" s="20">
        <f t="shared" si="112"/>
        <v>1</v>
      </c>
      <c r="P934" s="22">
        <f t="shared" si="113"/>
        <v>50.29</v>
      </c>
      <c r="Q934" s="22">
        <f>G934*INDEX(Assumptions!$B$8:$B$16,MATCH(F934,Assumptions!$A$8:$A$16,0))</f>
        <v>20.192</v>
      </c>
      <c r="R934" s="22">
        <f>H934*Assumptions!$B$3</f>
        <v>11.243999999999998</v>
      </c>
      <c r="S934" s="22">
        <f t="shared" si="114"/>
        <v>0.11400000000000254</v>
      </c>
      <c r="T934" s="20" t="str">
        <f t="shared" si="115"/>
        <v>8-14 days</v>
      </c>
    </row>
    <row r="935" spans="1:20" x14ac:dyDescent="0.3">
      <c r="A935" s="20" t="s">
        <v>1001</v>
      </c>
      <c r="B935" s="20" t="s">
        <v>19</v>
      </c>
      <c r="C935" s="21">
        <v>45675</v>
      </c>
      <c r="D935" s="21">
        <v>45686</v>
      </c>
      <c r="E935" s="21">
        <v>45689</v>
      </c>
      <c r="F935" s="20" t="s">
        <v>64</v>
      </c>
      <c r="G935" s="22">
        <v>41.77</v>
      </c>
      <c r="H935" s="22">
        <v>17.64</v>
      </c>
      <c r="I935" s="20" t="s">
        <v>45</v>
      </c>
      <c r="J935" s="20">
        <v>5</v>
      </c>
      <c r="K935" s="20" t="s">
        <v>46</v>
      </c>
      <c r="L935" s="23">
        <f t="shared" si="109"/>
        <v>45658</v>
      </c>
      <c r="M935" s="20">
        <f t="shared" si="110"/>
        <v>11</v>
      </c>
      <c r="N935" s="20">
        <f t="shared" si="111"/>
        <v>0</v>
      </c>
      <c r="O935" s="20">
        <f t="shared" si="112"/>
        <v>1</v>
      </c>
      <c r="P935" s="22">
        <f t="shared" si="113"/>
        <v>59.410000000000004</v>
      </c>
      <c r="Q935" s="22">
        <f>G935*INDEX(Assumptions!$B$8:$B$16,MATCH(F935,Assumptions!$A$8:$A$16,0))</f>
        <v>27.568200000000004</v>
      </c>
      <c r="R935" s="22">
        <f>H935*Assumptions!$B$3</f>
        <v>10.584</v>
      </c>
      <c r="S935" s="22">
        <f t="shared" si="114"/>
        <v>3.617799999999999</v>
      </c>
      <c r="T935" s="20" t="str">
        <f t="shared" si="115"/>
        <v>8-14 days</v>
      </c>
    </row>
    <row r="936" spans="1:20" x14ac:dyDescent="0.3">
      <c r="A936" s="20" t="s">
        <v>1002</v>
      </c>
      <c r="B936" s="20" t="s">
        <v>55</v>
      </c>
      <c r="C936" s="21">
        <v>45675</v>
      </c>
      <c r="D936" s="21">
        <v>45690</v>
      </c>
      <c r="E936" s="21">
        <v>45700</v>
      </c>
      <c r="F936" s="20" t="s">
        <v>44</v>
      </c>
      <c r="G936" s="22">
        <v>66.78</v>
      </c>
      <c r="H936" s="22">
        <v>20.57</v>
      </c>
      <c r="I936" s="20" t="s">
        <v>45</v>
      </c>
      <c r="J936" s="20">
        <v>4</v>
      </c>
      <c r="K936" s="20" t="s">
        <v>46</v>
      </c>
      <c r="L936" s="23">
        <f t="shared" si="109"/>
        <v>45658</v>
      </c>
      <c r="M936" s="20">
        <f t="shared" si="110"/>
        <v>15</v>
      </c>
      <c r="N936" s="20">
        <f t="shared" si="111"/>
        <v>0</v>
      </c>
      <c r="O936" s="20">
        <f t="shared" si="112"/>
        <v>1</v>
      </c>
      <c r="P936" s="22">
        <f t="shared" si="113"/>
        <v>87.35</v>
      </c>
      <c r="Q936" s="22">
        <f>G936*INDEX(Assumptions!$B$8:$B$16,MATCH(F936,Assumptions!$A$8:$A$16,0))</f>
        <v>40.067999999999998</v>
      </c>
      <c r="R936" s="22">
        <f>H936*Assumptions!$B$3</f>
        <v>12.342000000000001</v>
      </c>
      <c r="S936" s="22">
        <f t="shared" si="114"/>
        <v>14.370000000000003</v>
      </c>
      <c r="T936" s="20" t="str">
        <f t="shared" si="115"/>
        <v>15-21 days</v>
      </c>
    </row>
    <row r="937" spans="1:20" x14ac:dyDescent="0.3">
      <c r="A937" s="20" t="s">
        <v>1003</v>
      </c>
      <c r="B937" s="20" t="s">
        <v>19</v>
      </c>
      <c r="C937" s="21">
        <v>45676</v>
      </c>
      <c r="D937" s="21">
        <v>45683</v>
      </c>
      <c r="E937" s="21">
        <v>45693</v>
      </c>
      <c r="F937" s="20" t="s">
        <v>111</v>
      </c>
      <c r="G937" s="22">
        <v>58.66</v>
      </c>
      <c r="H937" s="22">
        <v>18.32</v>
      </c>
      <c r="I937" s="20" t="s">
        <v>60</v>
      </c>
      <c r="J937" s="20">
        <v>4</v>
      </c>
      <c r="K937" s="20" t="s">
        <v>46</v>
      </c>
      <c r="L937" s="23">
        <f t="shared" si="109"/>
        <v>45658</v>
      </c>
      <c r="M937" s="20">
        <f t="shared" si="110"/>
        <v>7</v>
      </c>
      <c r="N937" s="20">
        <f t="shared" si="111"/>
        <v>0</v>
      </c>
      <c r="O937" s="20">
        <f t="shared" si="112"/>
        <v>1</v>
      </c>
      <c r="P937" s="22">
        <f t="shared" si="113"/>
        <v>76.97999999999999</v>
      </c>
      <c r="Q937" s="22">
        <f>G937*INDEX(Assumptions!$B$8:$B$16,MATCH(F937,Assumptions!$A$8:$A$16,0))</f>
        <v>36.955799999999996</v>
      </c>
      <c r="R937" s="22">
        <f>H937*Assumptions!$B$3</f>
        <v>10.991999999999999</v>
      </c>
      <c r="S937" s="22">
        <f t="shared" si="114"/>
        <v>10.712200000000001</v>
      </c>
      <c r="T937" s="20" t="str">
        <f t="shared" si="115"/>
        <v>0-7 days</v>
      </c>
    </row>
    <row r="938" spans="1:20" x14ac:dyDescent="0.3">
      <c r="A938" s="20" t="s">
        <v>1004</v>
      </c>
      <c r="B938" s="20" t="s">
        <v>19</v>
      </c>
      <c r="C938" s="21">
        <v>45676</v>
      </c>
      <c r="D938" s="21">
        <v>45682</v>
      </c>
      <c r="E938" s="21">
        <v>45693</v>
      </c>
      <c r="F938" s="20" t="s">
        <v>53</v>
      </c>
      <c r="G938" s="22">
        <v>66.28</v>
      </c>
      <c r="H938" s="22">
        <v>15.48</v>
      </c>
      <c r="I938" s="20" t="s">
        <v>45</v>
      </c>
      <c r="J938" s="20">
        <v>4</v>
      </c>
      <c r="K938" s="20" t="s">
        <v>46</v>
      </c>
      <c r="L938" s="23">
        <f t="shared" si="109"/>
        <v>45658</v>
      </c>
      <c r="M938" s="20">
        <f t="shared" si="110"/>
        <v>6</v>
      </c>
      <c r="N938" s="20">
        <f t="shared" si="111"/>
        <v>0</v>
      </c>
      <c r="O938" s="20">
        <f t="shared" si="112"/>
        <v>1</v>
      </c>
      <c r="P938" s="22">
        <f t="shared" si="113"/>
        <v>81.760000000000005</v>
      </c>
      <c r="Q938" s="22">
        <f>G938*INDEX(Assumptions!$B$8:$B$16,MATCH(F938,Assumptions!$A$8:$A$16,0))</f>
        <v>49.047200000000004</v>
      </c>
      <c r="R938" s="22">
        <f>H938*Assumptions!$B$3</f>
        <v>9.2880000000000003</v>
      </c>
      <c r="S938" s="22">
        <f t="shared" si="114"/>
        <v>7.9447999999999972</v>
      </c>
      <c r="T938" s="20" t="str">
        <f t="shared" si="115"/>
        <v>0-7 days</v>
      </c>
    </row>
    <row r="939" spans="1:20" x14ac:dyDescent="0.3">
      <c r="A939" s="20" t="s">
        <v>1005</v>
      </c>
      <c r="B939" s="20" t="s">
        <v>19</v>
      </c>
      <c r="C939" s="21">
        <v>45677</v>
      </c>
      <c r="D939" s="21">
        <v>45686</v>
      </c>
      <c r="E939" s="21">
        <v>45691</v>
      </c>
      <c r="F939" s="20" t="s">
        <v>79</v>
      </c>
      <c r="G939" s="22">
        <v>82.71</v>
      </c>
      <c r="H939" s="22">
        <v>15.09</v>
      </c>
      <c r="I939" s="20" t="s">
        <v>45</v>
      </c>
      <c r="J939" s="20">
        <v>5</v>
      </c>
      <c r="K939" s="20" t="s">
        <v>46</v>
      </c>
      <c r="L939" s="23">
        <f t="shared" si="109"/>
        <v>45658</v>
      </c>
      <c r="M939" s="20">
        <f t="shared" si="110"/>
        <v>9</v>
      </c>
      <c r="N939" s="20">
        <f t="shared" si="111"/>
        <v>0</v>
      </c>
      <c r="O939" s="20">
        <f t="shared" si="112"/>
        <v>1</v>
      </c>
      <c r="P939" s="22">
        <f t="shared" si="113"/>
        <v>97.8</v>
      </c>
      <c r="Q939" s="22">
        <f>G939*INDEX(Assumptions!$B$8:$B$16,MATCH(F939,Assumptions!$A$8:$A$16,0))</f>
        <v>57.896999999999991</v>
      </c>
      <c r="R939" s="22">
        <f>H939*Assumptions!$B$3</f>
        <v>9.0540000000000003</v>
      </c>
      <c r="S939" s="22">
        <f t="shared" si="114"/>
        <v>15.759000000000002</v>
      </c>
      <c r="T939" s="20" t="str">
        <f t="shared" si="115"/>
        <v>8-14 days</v>
      </c>
    </row>
    <row r="940" spans="1:20" x14ac:dyDescent="0.3">
      <c r="A940" s="20" t="s">
        <v>1006</v>
      </c>
      <c r="B940" s="20" t="s">
        <v>19</v>
      </c>
      <c r="C940" s="21">
        <v>45677</v>
      </c>
      <c r="D940" s="21">
        <v>45685</v>
      </c>
      <c r="E940" s="21">
        <v>45692</v>
      </c>
      <c r="F940" s="20" t="s">
        <v>44</v>
      </c>
      <c r="G940" s="22">
        <v>48.05</v>
      </c>
      <c r="H940" s="22">
        <v>14.24</v>
      </c>
      <c r="I940" s="20" t="s">
        <v>60</v>
      </c>
      <c r="J940" s="20">
        <v>5</v>
      </c>
      <c r="K940" s="20" t="s">
        <v>46</v>
      </c>
      <c r="L940" s="23">
        <f t="shared" si="109"/>
        <v>45658</v>
      </c>
      <c r="M940" s="20">
        <f t="shared" si="110"/>
        <v>8</v>
      </c>
      <c r="N940" s="20">
        <f t="shared" si="111"/>
        <v>0</v>
      </c>
      <c r="O940" s="20">
        <f t="shared" si="112"/>
        <v>1</v>
      </c>
      <c r="P940" s="22">
        <f t="shared" si="113"/>
        <v>62.29</v>
      </c>
      <c r="Q940" s="22">
        <f>G940*INDEX(Assumptions!$B$8:$B$16,MATCH(F940,Assumptions!$A$8:$A$16,0))</f>
        <v>28.83</v>
      </c>
      <c r="R940" s="22">
        <f>H940*Assumptions!$B$3</f>
        <v>8.5440000000000005</v>
      </c>
      <c r="S940" s="22">
        <f t="shared" si="114"/>
        <v>10.675999999999998</v>
      </c>
      <c r="T940" s="20" t="str">
        <f t="shared" si="115"/>
        <v>8-14 days</v>
      </c>
    </row>
    <row r="941" spans="1:20" x14ac:dyDescent="0.3">
      <c r="A941" s="20" t="s">
        <v>1007</v>
      </c>
      <c r="B941" s="20" t="s">
        <v>55</v>
      </c>
      <c r="C941" s="21">
        <v>45677</v>
      </c>
      <c r="D941" s="21">
        <v>45693</v>
      </c>
      <c r="E941" s="21">
        <v>45699</v>
      </c>
      <c r="F941" s="20" t="s">
        <v>53</v>
      </c>
      <c r="G941" s="22">
        <v>38.840000000000003</v>
      </c>
      <c r="H941" s="22">
        <v>16.02</v>
      </c>
      <c r="I941" s="20" t="s">
        <v>60</v>
      </c>
      <c r="J941" s="20">
        <v>4</v>
      </c>
      <c r="K941" s="20" t="s">
        <v>46</v>
      </c>
      <c r="L941" s="23">
        <f t="shared" si="109"/>
        <v>45658</v>
      </c>
      <c r="M941" s="20">
        <f t="shared" si="110"/>
        <v>16</v>
      </c>
      <c r="N941" s="20">
        <f t="shared" si="111"/>
        <v>0</v>
      </c>
      <c r="O941" s="20">
        <f t="shared" si="112"/>
        <v>1</v>
      </c>
      <c r="P941" s="22">
        <f t="shared" si="113"/>
        <v>54.86</v>
      </c>
      <c r="Q941" s="22">
        <f>G941*INDEX(Assumptions!$B$8:$B$16,MATCH(F941,Assumptions!$A$8:$A$16,0))</f>
        <v>28.741600000000002</v>
      </c>
      <c r="R941" s="22">
        <f>H941*Assumptions!$B$3</f>
        <v>9.6120000000000001</v>
      </c>
      <c r="S941" s="22">
        <f t="shared" si="114"/>
        <v>0.4864000000000015</v>
      </c>
      <c r="T941" s="20" t="str">
        <f t="shared" si="115"/>
        <v>15-21 days</v>
      </c>
    </row>
    <row r="942" spans="1:20" x14ac:dyDescent="0.3">
      <c r="A942" s="20" t="s">
        <v>1008</v>
      </c>
      <c r="B942" s="20" t="s">
        <v>19</v>
      </c>
      <c r="C942" s="21">
        <v>45677</v>
      </c>
      <c r="D942" s="21">
        <v>45684</v>
      </c>
      <c r="E942" s="21">
        <v>45691</v>
      </c>
      <c r="F942" s="20" t="s">
        <v>53</v>
      </c>
      <c r="G942" s="22">
        <v>189.19</v>
      </c>
      <c r="H942" s="22">
        <v>23.12</v>
      </c>
      <c r="I942" s="20" t="s">
        <v>60</v>
      </c>
      <c r="J942" s="20">
        <v>4</v>
      </c>
      <c r="K942" s="20" t="s">
        <v>46</v>
      </c>
      <c r="L942" s="23">
        <f t="shared" si="109"/>
        <v>45658</v>
      </c>
      <c r="M942" s="20">
        <f t="shared" si="110"/>
        <v>7</v>
      </c>
      <c r="N942" s="20">
        <f t="shared" si="111"/>
        <v>0</v>
      </c>
      <c r="O942" s="20">
        <f t="shared" si="112"/>
        <v>1</v>
      </c>
      <c r="P942" s="22">
        <f t="shared" si="113"/>
        <v>212.31</v>
      </c>
      <c r="Q942" s="22">
        <f>G942*INDEX(Assumptions!$B$8:$B$16,MATCH(F942,Assumptions!$A$8:$A$16,0))</f>
        <v>140.00059999999999</v>
      </c>
      <c r="R942" s="22">
        <f>H942*Assumptions!$B$3</f>
        <v>13.872</v>
      </c>
      <c r="S942" s="22">
        <f t="shared" si="114"/>
        <v>35.317400000000006</v>
      </c>
      <c r="T942" s="20" t="str">
        <f t="shared" si="115"/>
        <v>0-7 days</v>
      </c>
    </row>
    <row r="943" spans="1:20" x14ac:dyDescent="0.3">
      <c r="A943" s="20" t="s">
        <v>1009</v>
      </c>
      <c r="B943" s="20" t="s">
        <v>52</v>
      </c>
      <c r="C943" s="21">
        <v>45677</v>
      </c>
      <c r="D943" s="21">
        <v>45691</v>
      </c>
      <c r="E943" s="21">
        <v>45700</v>
      </c>
      <c r="F943" s="20" t="s">
        <v>111</v>
      </c>
      <c r="G943" s="22">
        <v>55.86</v>
      </c>
      <c r="H943" s="22">
        <v>21.72</v>
      </c>
      <c r="I943" s="20" t="s">
        <v>50</v>
      </c>
      <c r="J943" s="20">
        <v>5</v>
      </c>
      <c r="K943" s="20" t="s">
        <v>46</v>
      </c>
      <c r="L943" s="23">
        <f t="shared" si="109"/>
        <v>45658</v>
      </c>
      <c r="M943" s="20">
        <f t="shared" si="110"/>
        <v>14</v>
      </c>
      <c r="N943" s="20">
        <f t="shared" si="111"/>
        <v>0</v>
      </c>
      <c r="O943" s="20">
        <f t="shared" si="112"/>
        <v>1</v>
      </c>
      <c r="P943" s="22">
        <f t="shared" si="113"/>
        <v>77.58</v>
      </c>
      <c r="Q943" s="22">
        <f>G943*INDEX(Assumptions!$B$8:$B$16,MATCH(F943,Assumptions!$A$8:$A$16,0))</f>
        <v>35.191800000000001</v>
      </c>
      <c r="R943" s="22">
        <f>H943*Assumptions!$B$3</f>
        <v>13.031999999999998</v>
      </c>
      <c r="S943" s="22">
        <f t="shared" si="114"/>
        <v>7.6362000000000005</v>
      </c>
      <c r="T943" s="20" t="str">
        <f t="shared" si="115"/>
        <v>8-14 days</v>
      </c>
    </row>
    <row r="944" spans="1:20" x14ac:dyDescent="0.3">
      <c r="A944" s="20" t="s">
        <v>1010</v>
      </c>
      <c r="B944" s="20" t="s">
        <v>19</v>
      </c>
      <c r="C944" s="21">
        <v>45678</v>
      </c>
      <c r="D944" s="21">
        <v>45696</v>
      </c>
      <c r="E944" s="21">
        <v>45691</v>
      </c>
      <c r="F944" s="20" t="s">
        <v>64</v>
      </c>
      <c r="G944" s="22">
        <v>285.11</v>
      </c>
      <c r="H944" s="22">
        <v>21.33</v>
      </c>
      <c r="I944" s="20" t="s">
        <v>60</v>
      </c>
      <c r="J944" s="20">
        <v>4</v>
      </c>
      <c r="K944" s="20" t="s">
        <v>46</v>
      </c>
      <c r="L944" s="23">
        <f t="shared" si="109"/>
        <v>45658</v>
      </c>
      <c r="M944" s="20">
        <f t="shared" si="110"/>
        <v>18</v>
      </c>
      <c r="N944" s="20">
        <f t="shared" si="111"/>
        <v>5</v>
      </c>
      <c r="O944" s="20">
        <f t="shared" si="112"/>
        <v>0</v>
      </c>
      <c r="P944" s="22">
        <f t="shared" si="113"/>
        <v>306.44</v>
      </c>
      <c r="Q944" s="22">
        <f>G944*INDEX(Assumptions!$B$8:$B$16,MATCH(F944,Assumptions!$A$8:$A$16,0))</f>
        <v>188.17260000000002</v>
      </c>
      <c r="R944" s="22">
        <f>H944*Assumptions!$B$3</f>
        <v>12.797999999999998</v>
      </c>
      <c r="S944" s="22">
        <f t="shared" si="114"/>
        <v>84.139399999999995</v>
      </c>
      <c r="T944" s="20" t="str">
        <f t="shared" si="115"/>
        <v>15-21 days</v>
      </c>
    </row>
    <row r="945" spans="1:20" x14ac:dyDescent="0.3">
      <c r="A945" s="20" t="s">
        <v>1011</v>
      </c>
      <c r="B945" s="20" t="s">
        <v>19</v>
      </c>
      <c r="C945" s="21">
        <v>45678</v>
      </c>
      <c r="D945" s="21">
        <v>45684</v>
      </c>
      <c r="E945" s="21">
        <v>45692</v>
      </c>
      <c r="F945" s="20" t="s">
        <v>79</v>
      </c>
      <c r="G945" s="22">
        <v>82.54</v>
      </c>
      <c r="H945" s="22">
        <v>16.7</v>
      </c>
      <c r="I945" s="20" t="s">
        <v>45</v>
      </c>
      <c r="J945" s="20">
        <v>5</v>
      </c>
      <c r="K945" s="20" t="s">
        <v>46</v>
      </c>
      <c r="L945" s="23">
        <f t="shared" si="109"/>
        <v>45658</v>
      </c>
      <c r="M945" s="20">
        <f t="shared" si="110"/>
        <v>6</v>
      </c>
      <c r="N945" s="20">
        <f t="shared" si="111"/>
        <v>0</v>
      </c>
      <c r="O945" s="20">
        <f t="shared" si="112"/>
        <v>1</v>
      </c>
      <c r="P945" s="22">
        <f t="shared" si="113"/>
        <v>99.240000000000009</v>
      </c>
      <c r="Q945" s="22">
        <f>G945*INDEX(Assumptions!$B$8:$B$16,MATCH(F945,Assumptions!$A$8:$A$16,0))</f>
        <v>57.777999999999999</v>
      </c>
      <c r="R945" s="22">
        <f>H945*Assumptions!$B$3</f>
        <v>10.02</v>
      </c>
      <c r="S945" s="22">
        <f t="shared" si="114"/>
        <v>14.742000000000008</v>
      </c>
      <c r="T945" s="20" t="str">
        <f t="shared" si="115"/>
        <v>0-7 days</v>
      </c>
    </row>
    <row r="946" spans="1:20" x14ac:dyDescent="0.3">
      <c r="A946" s="20" t="s">
        <v>1012</v>
      </c>
      <c r="B946" s="20" t="s">
        <v>52</v>
      </c>
      <c r="C946" s="21">
        <v>45678</v>
      </c>
      <c r="D946" s="21">
        <v>45695</v>
      </c>
      <c r="E946" s="21">
        <v>45706</v>
      </c>
      <c r="F946" s="20" t="s">
        <v>53</v>
      </c>
      <c r="G946" s="22">
        <v>119.92</v>
      </c>
      <c r="H946" s="22">
        <v>25.61</v>
      </c>
      <c r="I946" s="20" t="s">
        <v>45</v>
      </c>
      <c r="J946" s="20">
        <v>4</v>
      </c>
      <c r="K946" s="20" t="s">
        <v>46</v>
      </c>
      <c r="L946" s="23">
        <f t="shared" si="109"/>
        <v>45658</v>
      </c>
      <c r="M946" s="20">
        <f t="shared" si="110"/>
        <v>17</v>
      </c>
      <c r="N946" s="20">
        <f t="shared" si="111"/>
        <v>0</v>
      </c>
      <c r="O946" s="20">
        <f t="shared" si="112"/>
        <v>1</v>
      </c>
      <c r="P946" s="22">
        <f t="shared" si="113"/>
        <v>145.53</v>
      </c>
      <c r="Q946" s="22">
        <f>G946*INDEX(Assumptions!$B$8:$B$16,MATCH(F946,Assumptions!$A$8:$A$16,0))</f>
        <v>88.740800000000007</v>
      </c>
      <c r="R946" s="22">
        <f>H946*Assumptions!$B$3</f>
        <v>15.366</v>
      </c>
      <c r="S946" s="22">
        <f t="shared" si="114"/>
        <v>15.813199999999995</v>
      </c>
      <c r="T946" s="20" t="str">
        <f t="shared" si="115"/>
        <v>15-21 days</v>
      </c>
    </row>
    <row r="947" spans="1:20" x14ac:dyDescent="0.3">
      <c r="A947" s="20" t="s">
        <v>1013</v>
      </c>
      <c r="B947" s="20" t="s">
        <v>52</v>
      </c>
      <c r="C947" s="21">
        <v>45678</v>
      </c>
      <c r="D947" s="21">
        <v>45691</v>
      </c>
      <c r="E947" s="21">
        <v>45704</v>
      </c>
      <c r="F947" s="20" t="s">
        <v>59</v>
      </c>
      <c r="G947" s="22">
        <v>40.909999999999997</v>
      </c>
      <c r="H947" s="22">
        <v>25.25</v>
      </c>
      <c r="I947" s="20" t="s">
        <v>45</v>
      </c>
      <c r="J947" s="20">
        <v>4</v>
      </c>
      <c r="K947" s="20" t="s">
        <v>46</v>
      </c>
      <c r="L947" s="23">
        <f t="shared" si="109"/>
        <v>45658</v>
      </c>
      <c r="M947" s="20">
        <f t="shared" si="110"/>
        <v>13</v>
      </c>
      <c r="N947" s="20">
        <f t="shared" si="111"/>
        <v>0</v>
      </c>
      <c r="O947" s="20">
        <f t="shared" si="112"/>
        <v>1</v>
      </c>
      <c r="P947" s="22">
        <f t="shared" si="113"/>
        <v>66.16</v>
      </c>
      <c r="Q947" s="22">
        <f>G947*INDEX(Assumptions!$B$8:$B$16,MATCH(F947,Assumptions!$A$8:$A$16,0))</f>
        <v>26.182399999999998</v>
      </c>
      <c r="R947" s="22">
        <f>H947*Assumptions!$B$3</f>
        <v>15.149999999999999</v>
      </c>
      <c r="S947" s="22">
        <f t="shared" si="114"/>
        <v>-0.42239999999999966</v>
      </c>
      <c r="T947" s="20" t="str">
        <f t="shared" si="115"/>
        <v>8-14 days</v>
      </c>
    </row>
    <row r="948" spans="1:20" x14ac:dyDescent="0.3">
      <c r="A948" s="20" t="s">
        <v>1014</v>
      </c>
      <c r="B948" s="20" t="s">
        <v>62</v>
      </c>
      <c r="C948" s="21">
        <v>45679</v>
      </c>
      <c r="D948" s="21">
        <v>45691</v>
      </c>
      <c r="E948" s="21">
        <v>45701</v>
      </c>
      <c r="F948" s="20" t="s">
        <v>53</v>
      </c>
      <c r="G948" s="22">
        <v>139.6</v>
      </c>
      <c r="H948" s="22">
        <v>23.83</v>
      </c>
      <c r="I948" s="20" t="s">
        <v>45</v>
      </c>
      <c r="J948" s="20">
        <v>4</v>
      </c>
      <c r="K948" s="20" t="s">
        <v>46</v>
      </c>
      <c r="L948" s="23">
        <f t="shared" si="109"/>
        <v>45658</v>
      </c>
      <c r="M948" s="20">
        <f t="shared" si="110"/>
        <v>12</v>
      </c>
      <c r="N948" s="20">
        <f t="shared" si="111"/>
        <v>0</v>
      </c>
      <c r="O948" s="20">
        <f t="shared" si="112"/>
        <v>1</v>
      </c>
      <c r="P948" s="22">
        <f t="shared" si="113"/>
        <v>163.43</v>
      </c>
      <c r="Q948" s="22">
        <f>G948*INDEX(Assumptions!$B$8:$B$16,MATCH(F948,Assumptions!$A$8:$A$16,0))</f>
        <v>103.30399999999999</v>
      </c>
      <c r="R948" s="22">
        <f>H948*Assumptions!$B$3</f>
        <v>14.297999999999998</v>
      </c>
      <c r="S948" s="22">
        <f t="shared" si="114"/>
        <v>21.998000000000008</v>
      </c>
      <c r="T948" s="20" t="str">
        <f t="shared" si="115"/>
        <v>8-14 days</v>
      </c>
    </row>
    <row r="949" spans="1:20" x14ac:dyDescent="0.3">
      <c r="A949" s="20" t="s">
        <v>1015</v>
      </c>
      <c r="B949" s="20" t="s">
        <v>48</v>
      </c>
      <c r="C949" s="21">
        <v>45679</v>
      </c>
      <c r="D949" s="21">
        <v>45693</v>
      </c>
      <c r="E949" s="21">
        <v>45698</v>
      </c>
      <c r="F949" s="20" t="s">
        <v>53</v>
      </c>
      <c r="G949" s="22">
        <v>111.84</v>
      </c>
      <c r="H949" s="22">
        <v>23.36</v>
      </c>
      <c r="I949" s="20" t="s">
        <v>60</v>
      </c>
      <c r="J949" s="20">
        <v>5</v>
      </c>
      <c r="K949" s="20" t="s">
        <v>46</v>
      </c>
      <c r="L949" s="23">
        <f t="shared" si="109"/>
        <v>45658</v>
      </c>
      <c r="M949" s="20">
        <f t="shared" si="110"/>
        <v>14</v>
      </c>
      <c r="N949" s="20">
        <f t="shared" si="111"/>
        <v>0</v>
      </c>
      <c r="O949" s="20">
        <f t="shared" si="112"/>
        <v>1</v>
      </c>
      <c r="P949" s="22">
        <f t="shared" si="113"/>
        <v>135.19999999999999</v>
      </c>
      <c r="Q949" s="22">
        <f>G949*INDEX(Assumptions!$B$8:$B$16,MATCH(F949,Assumptions!$A$8:$A$16,0))</f>
        <v>82.761600000000001</v>
      </c>
      <c r="R949" s="22">
        <f>H949*Assumptions!$B$3</f>
        <v>14.016</v>
      </c>
      <c r="S949" s="22">
        <f t="shared" si="114"/>
        <v>15.062400000000002</v>
      </c>
      <c r="T949" s="20" t="str">
        <f t="shared" si="115"/>
        <v>8-14 days</v>
      </c>
    </row>
    <row r="950" spans="1:20" x14ac:dyDescent="0.3">
      <c r="A950" s="20" t="s">
        <v>1016</v>
      </c>
      <c r="B950" s="20" t="s">
        <v>62</v>
      </c>
      <c r="C950" s="21">
        <v>45679</v>
      </c>
      <c r="D950" s="21">
        <v>45696</v>
      </c>
      <c r="E950" s="21">
        <v>45697</v>
      </c>
      <c r="F950" s="20" t="s">
        <v>59</v>
      </c>
      <c r="G950" s="22">
        <v>46.53</v>
      </c>
      <c r="H950" s="22">
        <v>21.16</v>
      </c>
      <c r="I950" s="20" t="s">
        <v>45</v>
      </c>
      <c r="J950" s="20">
        <v>4</v>
      </c>
      <c r="K950" s="20" t="s">
        <v>46</v>
      </c>
      <c r="L950" s="23">
        <f t="shared" si="109"/>
        <v>45658</v>
      </c>
      <c r="M950" s="20">
        <f t="shared" si="110"/>
        <v>17</v>
      </c>
      <c r="N950" s="20">
        <f t="shared" si="111"/>
        <v>0</v>
      </c>
      <c r="O950" s="20">
        <f t="shared" si="112"/>
        <v>1</v>
      </c>
      <c r="P950" s="22">
        <f t="shared" si="113"/>
        <v>67.69</v>
      </c>
      <c r="Q950" s="22">
        <f>G950*INDEX(Assumptions!$B$8:$B$16,MATCH(F950,Assumptions!$A$8:$A$16,0))</f>
        <v>29.779200000000003</v>
      </c>
      <c r="R950" s="22">
        <f>H950*Assumptions!$B$3</f>
        <v>12.696</v>
      </c>
      <c r="S950" s="22">
        <f t="shared" si="114"/>
        <v>4.0547999999999984</v>
      </c>
      <c r="T950" s="20" t="str">
        <f t="shared" si="115"/>
        <v>15-21 days</v>
      </c>
    </row>
    <row r="951" spans="1:20" x14ac:dyDescent="0.3">
      <c r="A951" s="20" t="s">
        <v>1017</v>
      </c>
      <c r="B951" s="20" t="s">
        <v>19</v>
      </c>
      <c r="C951" s="21">
        <v>45679</v>
      </c>
      <c r="D951" s="21">
        <v>45684</v>
      </c>
      <c r="E951" s="21">
        <v>45697</v>
      </c>
      <c r="F951" s="20" t="s">
        <v>44</v>
      </c>
      <c r="G951" s="22">
        <v>105.29</v>
      </c>
      <c r="H951" s="22">
        <v>13.28</v>
      </c>
      <c r="I951" s="20" t="s">
        <v>60</v>
      </c>
      <c r="J951" s="20">
        <v>4</v>
      </c>
      <c r="K951" s="20" t="s">
        <v>46</v>
      </c>
      <c r="L951" s="23">
        <f t="shared" si="109"/>
        <v>45658</v>
      </c>
      <c r="M951" s="20">
        <f t="shared" si="110"/>
        <v>5</v>
      </c>
      <c r="N951" s="20">
        <f t="shared" si="111"/>
        <v>0</v>
      </c>
      <c r="O951" s="20">
        <f t="shared" si="112"/>
        <v>1</v>
      </c>
      <c r="P951" s="22">
        <f t="shared" si="113"/>
        <v>118.57000000000001</v>
      </c>
      <c r="Q951" s="22">
        <f>G951*INDEX(Assumptions!$B$8:$B$16,MATCH(F951,Assumptions!$A$8:$A$16,0))</f>
        <v>63.173999999999999</v>
      </c>
      <c r="R951" s="22">
        <f>H951*Assumptions!$B$3</f>
        <v>7.9679999999999991</v>
      </c>
      <c r="S951" s="22">
        <f t="shared" si="114"/>
        <v>34.14800000000001</v>
      </c>
      <c r="T951" s="20" t="str">
        <f t="shared" si="115"/>
        <v>0-7 days</v>
      </c>
    </row>
    <row r="952" spans="1:20" x14ac:dyDescent="0.3">
      <c r="A952" s="20" t="s">
        <v>1018</v>
      </c>
      <c r="B952" s="20" t="s">
        <v>48</v>
      </c>
      <c r="C952" s="21">
        <v>45680</v>
      </c>
      <c r="D952" s="21">
        <v>45692</v>
      </c>
      <c r="E952" s="21">
        <v>45703</v>
      </c>
      <c r="F952" s="20" t="s">
        <v>57</v>
      </c>
      <c r="G952" s="22">
        <v>86.59</v>
      </c>
      <c r="H952" s="22">
        <v>21.31</v>
      </c>
      <c r="I952" s="20" t="s">
        <v>45</v>
      </c>
      <c r="J952" s="20">
        <v>5</v>
      </c>
      <c r="K952" s="20" t="s">
        <v>46</v>
      </c>
      <c r="L952" s="23">
        <f t="shared" si="109"/>
        <v>45658</v>
      </c>
      <c r="M952" s="20">
        <f t="shared" si="110"/>
        <v>12</v>
      </c>
      <c r="N952" s="20">
        <f t="shared" si="111"/>
        <v>0</v>
      </c>
      <c r="O952" s="20">
        <f t="shared" si="112"/>
        <v>1</v>
      </c>
      <c r="P952" s="22">
        <f t="shared" si="113"/>
        <v>107.9</v>
      </c>
      <c r="Q952" s="22">
        <f>G952*INDEX(Assumptions!$B$8:$B$16,MATCH(F952,Assumptions!$A$8:$A$16,0))</f>
        <v>58.881200000000007</v>
      </c>
      <c r="R952" s="22">
        <f>H952*Assumptions!$B$3</f>
        <v>12.786</v>
      </c>
      <c r="S952" s="22">
        <f t="shared" si="114"/>
        <v>14.922799999999997</v>
      </c>
      <c r="T952" s="20" t="str">
        <f t="shared" si="115"/>
        <v>8-14 days</v>
      </c>
    </row>
    <row r="953" spans="1:20" x14ac:dyDescent="0.3">
      <c r="A953" s="20" t="s">
        <v>1019</v>
      </c>
      <c r="B953" s="20" t="s">
        <v>19</v>
      </c>
      <c r="C953" s="21">
        <v>45680</v>
      </c>
      <c r="D953" s="21">
        <v>45688</v>
      </c>
      <c r="E953" s="21">
        <v>45697</v>
      </c>
      <c r="F953" s="20" t="s">
        <v>57</v>
      </c>
      <c r="G953" s="22">
        <v>307.23</v>
      </c>
      <c r="H953" s="22">
        <v>20.76</v>
      </c>
      <c r="I953" s="20" t="s">
        <v>60</v>
      </c>
      <c r="J953" s="20">
        <v>4</v>
      </c>
      <c r="K953" s="20" t="s">
        <v>46</v>
      </c>
      <c r="L953" s="23">
        <f t="shared" si="109"/>
        <v>45658</v>
      </c>
      <c r="M953" s="20">
        <f t="shared" si="110"/>
        <v>8</v>
      </c>
      <c r="N953" s="20">
        <f t="shared" si="111"/>
        <v>0</v>
      </c>
      <c r="O953" s="20">
        <f t="shared" si="112"/>
        <v>1</v>
      </c>
      <c r="P953" s="22">
        <f t="shared" si="113"/>
        <v>327.99</v>
      </c>
      <c r="Q953" s="22">
        <f>G953*INDEX(Assumptions!$B$8:$B$16,MATCH(F953,Assumptions!$A$8:$A$16,0))</f>
        <v>208.91640000000004</v>
      </c>
      <c r="R953" s="22">
        <f>H953*Assumptions!$B$3</f>
        <v>12.456000000000001</v>
      </c>
      <c r="S953" s="22">
        <f t="shared" si="114"/>
        <v>85.857599999999977</v>
      </c>
      <c r="T953" s="20" t="str">
        <f t="shared" si="115"/>
        <v>8-14 days</v>
      </c>
    </row>
    <row r="954" spans="1:20" x14ac:dyDescent="0.3">
      <c r="A954" s="20" t="s">
        <v>1020</v>
      </c>
      <c r="B954" s="20" t="s">
        <v>19</v>
      </c>
      <c r="C954" s="21">
        <v>45680</v>
      </c>
      <c r="D954" s="21">
        <v>45687</v>
      </c>
      <c r="E954" s="21">
        <v>45693</v>
      </c>
      <c r="F954" s="20" t="s">
        <v>53</v>
      </c>
      <c r="G954" s="22">
        <v>250.69</v>
      </c>
      <c r="H954" s="22">
        <v>21.66</v>
      </c>
      <c r="I954" s="20" t="s">
        <v>45</v>
      </c>
      <c r="J954" s="20">
        <v>4</v>
      </c>
      <c r="K954" s="20" t="s">
        <v>46</v>
      </c>
      <c r="L954" s="23">
        <f t="shared" si="109"/>
        <v>45658</v>
      </c>
      <c r="M954" s="20">
        <f t="shared" si="110"/>
        <v>7</v>
      </c>
      <c r="N954" s="20">
        <f t="shared" si="111"/>
        <v>0</v>
      </c>
      <c r="O954" s="20">
        <f t="shared" si="112"/>
        <v>1</v>
      </c>
      <c r="P954" s="22">
        <f t="shared" si="113"/>
        <v>272.35000000000002</v>
      </c>
      <c r="Q954" s="22">
        <f>G954*INDEX(Assumptions!$B$8:$B$16,MATCH(F954,Assumptions!$A$8:$A$16,0))</f>
        <v>185.51059999999998</v>
      </c>
      <c r="R954" s="22">
        <f>H954*Assumptions!$B$3</f>
        <v>12.996</v>
      </c>
      <c r="S954" s="22">
        <f t="shared" si="114"/>
        <v>52.183400000000013</v>
      </c>
      <c r="T954" s="20" t="str">
        <f t="shared" si="115"/>
        <v>0-7 days</v>
      </c>
    </row>
    <row r="955" spans="1:20" x14ac:dyDescent="0.3">
      <c r="A955" s="20" t="s">
        <v>1021</v>
      </c>
      <c r="B955" s="20" t="s">
        <v>19</v>
      </c>
      <c r="C955" s="21">
        <v>45680</v>
      </c>
      <c r="D955" s="21">
        <v>45691</v>
      </c>
      <c r="E955" s="21">
        <v>45699</v>
      </c>
      <c r="F955" s="20" t="s">
        <v>67</v>
      </c>
      <c r="G955" s="22">
        <v>91.09</v>
      </c>
      <c r="H955" s="22">
        <v>14.45</v>
      </c>
      <c r="I955" s="20" t="s">
        <v>50</v>
      </c>
      <c r="J955" s="20">
        <v>4</v>
      </c>
      <c r="K955" s="20" t="s">
        <v>46</v>
      </c>
      <c r="L955" s="23">
        <f t="shared" si="109"/>
        <v>45658</v>
      </c>
      <c r="M955" s="20">
        <f t="shared" si="110"/>
        <v>11</v>
      </c>
      <c r="N955" s="20">
        <f t="shared" si="111"/>
        <v>0</v>
      </c>
      <c r="O955" s="20">
        <f t="shared" si="112"/>
        <v>1</v>
      </c>
      <c r="P955" s="22">
        <f t="shared" si="113"/>
        <v>105.54</v>
      </c>
      <c r="Q955" s="22">
        <f>G955*INDEX(Assumptions!$B$8:$B$16,MATCH(F955,Assumptions!$A$8:$A$16,0))</f>
        <v>56.4758</v>
      </c>
      <c r="R955" s="22">
        <f>H955*Assumptions!$B$3</f>
        <v>8.67</v>
      </c>
      <c r="S955" s="22">
        <f t="shared" si="114"/>
        <v>25.944200000000002</v>
      </c>
      <c r="T955" s="20" t="str">
        <f t="shared" si="115"/>
        <v>8-14 days</v>
      </c>
    </row>
    <row r="956" spans="1:20" x14ac:dyDescent="0.3">
      <c r="A956" s="20" t="s">
        <v>1022</v>
      </c>
      <c r="B956" s="20" t="s">
        <v>55</v>
      </c>
      <c r="C956" s="21">
        <v>45681</v>
      </c>
      <c r="D956" s="21">
        <v>45703</v>
      </c>
      <c r="E956" s="21">
        <v>45707</v>
      </c>
      <c r="F956" s="20" t="s">
        <v>57</v>
      </c>
      <c r="G956" s="22">
        <v>112.21</v>
      </c>
      <c r="H956" s="22">
        <v>28.72</v>
      </c>
      <c r="I956" s="20" t="s">
        <v>45</v>
      </c>
      <c r="J956" s="20">
        <v>4</v>
      </c>
      <c r="K956" s="20" t="s">
        <v>46</v>
      </c>
      <c r="L956" s="23">
        <f t="shared" si="109"/>
        <v>45658</v>
      </c>
      <c r="M956" s="20">
        <f t="shared" si="110"/>
        <v>22</v>
      </c>
      <c r="N956" s="20">
        <f t="shared" si="111"/>
        <v>0</v>
      </c>
      <c r="O956" s="20">
        <f t="shared" si="112"/>
        <v>1</v>
      </c>
      <c r="P956" s="22">
        <f t="shared" si="113"/>
        <v>140.93</v>
      </c>
      <c r="Q956" s="22">
        <f>G956*INDEX(Assumptions!$B$8:$B$16,MATCH(F956,Assumptions!$A$8:$A$16,0))</f>
        <v>76.302800000000005</v>
      </c>
      <c r="R956" s="22">
        <f>H956*Assumptions!$B$3</f>
        <v>17.231999999999999</v>
      </c>
      <c r="S956" s="22">
        <f t="shared" si="114"/>
        <v>18.67519999999999</v>
      </c>
      <c r="T956" s="20" t="str">
        <f t="shared" si="115"/>
        <v>22+ days</v>
      </c>
    </row>
    <row r="957" spans="1:20" x14ac:dyDescent="0.3">
      <c r="A957" s="20" t="s">
        <v>1023</v>
      </c>
      <c r="B957" s="20" t="s">
        <v>52</v>
      </c>
      <c r="C957" s="21">
        <v>45681</v>
      </c>
      <c r="D957" s="21">
        <v>45700</v>
      </c>
      <c r="E957" s="21">
        <v>45705</v>
      </c>
      <c r="F957" s="20" t="s">
        <v>44</v>
      </c>
      <c r="G957" s="22">
        <v>100.11</v>
      </c>
      <c r="H957" s="22">
        <v>18.309999999999999</v>
      </c>
      <c r="I957" s="20" t="s">
        <v>50</v>
      </c>
      <c r="J957" s="20">
        <v>3</v>
      </c>
      <c r="K957" s="20" t="s">
        <v>46</v>
      </c>
      <c r="L957" s="23">
        <f t="shared" si="109"/>
        <v>45658</v>
      </c>
      <c r="M957" s="20">
        <f t="shared" si="110"/>
        <v>19</v>
      </c>
      <c r="N957" s="20">
        <f t="shared" si="111"/>
        <v>0</v>
      </c>
      <c r="O957" s="20">
        <f t="shared" si="112"/>
        <v>1</v>
      </c>
      <c r="P957" s="22">
        <f t="shared" si="113"/>
        <v>118.42</v>
      </c>
      <c r="Q957" s="22">
        <f>G957*INDEX(Assumptions!$B$8:$B$16,MATCH(F957,Assumptions!$A$8:$A$16,0))</f>
        <v>60.065999999999995</v>
      </c>
      <c r="R957" s="22">
        <f>H957*Assumptions!$B$3</f>
        <v>10.985999999999999</v>
      </c>
      <c r="S957" s="22">
        <f t="shared" si="114"/>
        <v>29.058000000000007</v>
      </c>
      <c r="T957" s="20" t="str">
        <f t="shared" si="115"/>
        <v>15-21 days</v>
      </c>
    </row>
    <row r="958" spans="1:20" x14ac:dyDescent="0.3">
      <c r="A958" s="20" t="s">
        <v>1024</v>
      </c>
      <c r="B958" s="20" t="s">
        <v>19</v>
      </c>
      <c r="C958" s="21">
        <v>45681</v>
      </c>
      <c r="D958" s="21">
        <v>45688</v>
      </c>
      <c r="E958" s="21">
        <v>45697</v>
      </c>
      <c r="F958" s="20" t="s">
        <v>67</v>
      </c>
      <c r="G958" s="22">
        <v>58.77</v>
      </c>
      <c r="H958" s="22">
        <v>15.83</v>
      </c>
      <c r="I958" s="20" t="s">
        <v>60</v>
      </c>
      <c r="J958" s="20">
        <v>4</v>
      </c>
      <c r="K958" s="20" t="s">
        <v>46</v>
      </c>
      <c r="L958" s="23">
        <f t="shared" si="109"/>
        <v>45658</v>
      </c>
      <c r="M958" s="20">
        <f t="shared" si="110"/>
        <v>7</v>
      </c>
      <c r="N958" s="20">
        <f t="shared" si="111"/>
        <v>0</v>
      </c>
      <c r="O958" s="20">
        <f t="shared" si="112"/>
        <v>1</v>
      </c>
      <c r="P958" s="22">
        <f t="shared" si="113"/>
        <v>74.600000000000009</v>
      </c>
      <c r="Q958" s="22">
        <f>G958*INDEX(Assumptions!$B$8:$B$16,MATCH(F958,Assumptions!$A$8:$A$16,0))</f>
        <v>36.437400000000004</v>
      </c>
      <c r="R958" s="22">
        <f>H958*Assumptions!$B$3</f>
        <v>9.4979999999999993</v>
      </c>
      <c r="S958" s="22">
        <f t="shared" si="114"/>
        <v>12.8346</v>
      </c>
      <c r="T958" s="20" t="str">
        <f t="shared" si="115"/>
        <v>0-7 days</v>
      </c>
    </row>
    <row r="959" spans="1:20" x14ac:dyDescent="0.3">
      <c r="A959" s="20" t="s">
        <v>1025</v>
      </c>
      <c r="B959" s="20" t="s">
        <v>55</v>
      </c>
      <c r="C959" s="21">
        <v>45681</v>
      </c>
      <c r="D959" s="21">
        <v>45706</v>
      </c>
      <c r="E959" s="21">
        <v>45706</v>
      </c>
      <c r="F959" s="20" t="s">
        <v>64</v>
      </c>
      <c r="G959" s="22">
        <v>37.409999999999997</v>
      </c>
      <c r="H959" s="22">
        <v>16.350000000000001</v>
      </c>
      <c r="I959" s="20" t="s">
        <v>45</v>
      </c>
      <c r="J959" s="20">
        <v>4</v>
      </c>
      <c r="K959" s="20" t="s">
        <v>46</v>
      </c>
      <c r="L959" s="23">
        <f t="shared" si="109"/>
        <v>45658</v>
      </c>
      <c r="M959" s="20">
        <f t="shared" si="110"/>
        <v>25</v>
      </c>
      <c r="N959" s="20">
        <f t="shared" si="111"/>
        <v>0</v>
      </c>
      <c r="O959" s="20">
        <f t="shared" si="112"/>
        <v>1</v>
      </c>
      <c r="P959" s="22">
        <f t="shared" si="113"/>
        <v>53.76</v>
      </c>
      <c r="Q959" s="22">
        <f>G959*INDEX(Assumptions!$B$8:$B$16,MATCH(F959,Assumptions!$A$8:$A$16,0))</f>
        <v>24.6906</v>
      </c>
      <c r="R959" s="22">
        <f>H959*Assumptions!$B$3</f>
        <v>9.81</v>
      </c>
      <c r="S959" s="22">
        <f t="shared" si="114"/>
        <v>2.9093999999999962</v>
      </c>
      <c r="T959" s="20" t="str">
        <f t="shared" si="115"/>
        <v>22+ days</v>
      </c>
    </row>
    <row r="960" spans="1:20" x14ac:dyDescent="0.3">
      <c r="A960" s="20" t="s">
        <v>1026</v>
      </c>
      <c r="B960" s="20" t="s">
        <v>19</v>
      </c>
      <c r="C960" s="21">
        <v>45682</v>
      </c>
      <c r="D960" s="21">
        <v>45687</v>
      </c>
      <c r="E960" s="21">
        <v>45700</v>
      </c>
      <c r="F960" s="20" t="s">
        <v>57</v>
      </c>
      <c r="G960" s="22">
        <v>95.77</v>
      </c>
      <c r="H960" s="22">
        <v>16.920000000000002</v>
      </c>
      <c r="I960" s="20" t="s">
        <v>104</v>
      </c>
      <c r="J960" s="20">
        <v>5</v>
      </c>
      <c r="K960" s="20" t="s">
        <v>46</v>
      </c>
      <c r="L960" s="23">
        <f t="shared" si="109"/>
        <v>45658</v>
      </c>
      <c r="M960" s="20">
        <f t="shared" si="110"/>
        <v>5</v>
      </c>
      <c r="N960" s="20">
        <f t="shared" si="111"/>
        <v>0</v>
      </c>
      <c r="O960" s="20">
        <f t="shared" si="112"/>
        <v>1</v>
      </c>
      <c r="P960" s="22">
        <f t="shared" si="113"/>
        <v>112.69</v>
      </c>
      <c r="Q960" s="22">
        <f>G960*INDEX(Assumptions!$B$8:$B$16,MATCH(F960,Assumptions!$A$8:$A$16,0))</f>
        <v>65.123599999999996</v>
      </c>
      <c r="R960" s="22">
        <f>H960*Assumptions!$B$3</f>
        <v>10.152000000000001</v>
      </c>
      <c r="S960" s="22">
        <f t="shared" si="114"/>
        <v>20.494399999999999</v>
      </c>
      <c r="T960" s="20" t="str">
        <f t="shared" si="115"/>
        <v>0-7 days</v>
      </c>
    </row>
    <row r="961" spans="1:20" x14ac:dyDescent="0.3">
      <c r="A961" s="20" t="s">
        <v>1027</v>
      </c>
      <c r="B961" s="20" t="s">
        <v>19</v>
      </c>
      <c r="C961" s="21">
        <v>45682</v>
      </c>
      <c r="D961" s="21">
        <v>45692</v>
      </c>
      <c r="E961" s="21">
        <v>45697</v>
      </c>
      <c r="F961" s="20" t="s">
        <v>53</v>
      </c>
      <c r="G961" s="22">
        <v>71.010000000000005</v>
      </c>
      <c r="H961" s="22">
        <v>14.6</v>
      </c>
      <c r="I961" s="20" t="s">
        <v>45</v>
      </c>
      <c r="J961" s="20">
        <v>5</v>
      </c>
      <c r="K961" s="20" t="s">
        <v>46</v>
      </c>
      <c r="L961" s="23">
        <f t="shared" si="109"/>
        <v>45658</v>
      </c>
      <c r="M961" s="20">
        <f t="shared" si="110"/>
        <v>10</v>
      </c>
      <c r="N961" s="20">
        <f t="shared" si="111"/>
        <v>0</v>
      </c>
      <c r="O961" s="20">
        <f t="shared" si="112"/>
        <v>1</v>
      </c>
      <c r="P961" s="22">
        <f t="shared" si="113"/>
        <v>85.61</v>
      </c>
      <c r="Q961" s="22">
        <f>G961*INDEX(Assumptions!$B$8:$B$16,MATCH(F961,Assumptions!$A$8:$A$16,0))</f>
        <v>52.547400000000003</v>
      </c>
      <c r="R961" s="22">
        <f>H961*Assumptions!$B$3</f>
        <v>8.76</v>
      </c>
      <c r="S961" s="22">
        <f t="shared" si="114"/>
        <v>9.7026000000000021</v>
      </c>
      <c r="T961" s="20" t="str">
        <f t="shared" si="115"/>
        <v>8-14 days</v>
      </c>
    </row>
    <row r="962" spans="1:20" x14ac:dyDescent="0.3">
      <c r="A962" s="20" t="s">
        <v>1028</v>
      </c>
      <c r="B962" s="20" t="s">
        <v>19</v>
      </c>
      <c r="C962" s="21">
        <v>45682</v>
      </c>
      <c r="D962" s="21">
        <v>45696</v>
      </c>
      <c r="E962" s="21">
        <v>45700</v>
      </c>
      <c r="F962" s="20" t="s">
        <v>53</v>
      </c>
      <c r="G962" s="22">
        <v>71.84</v>
      </c>
      <c r="H962" s="22">
        <v>21.76</v>
      </c>
      <c r="I962" s="20" t="s">
        <v>45</v>
      </c>
      <c r="J962" s="20">
        <v>5</v>
      </c>
      <c r="K962" s="20" t="s">
        <v>46</v>
      </c>
      <c r="L962" s="23">
        <f t="shared" ref="L962:L1025" si="116">DATE(YEAR(C962),MONTH(C962),1)</f>
        <v>45658</v>
      </c>
      <c r="M962" s="20">
        <f t="shared" ref="M962:M1025" si="117">D962-C962</f>
        <v>14</v>
      </c>
      <c r="N962" s="20">
        <f t="shared" ref="N962:N1025" si="118">MAX(0,D962-E962)</f>
        <v>0</v>
      </c>
      <c r="O962" s="20">
        <f t="shared" ref="O962:O1025" si="119">IF(D962&lt;=E962,1,0)</f>
        <v>1</v>
      </c>
      <c r="P962" s="22">
        <f t="shared" ref="P962:P1025" si="120">G962+H962</f>
        <v>93.600000000000009</v>
      </c>
      <c r="Q962" s="22">
        <f>G962*INDEX(Assumptions!$B$8:$B$16,MATCH(F962,Assumptions!$A$8:$A$16,0))</f>
        <v>53.1616</v>
      </c>
      <c r="R962" s="22">
        <f>H962*Assumptions!$B$3</f>
        <v>13.056000000000001</v>
      </c>
      <c r="S962" s="22">
        <f t="shared" ref="S962:S1025" si="121">G962-Q962-R962</f>
        <v>5.6224000000000025</v>
      </c>
      <c r="T962" s="20" t="str">
        <f t="shared" ref="T962:T1025" si="122">IF(M962&lt;=7,"0-7 days",IF(M962&lt;=14,"8-14 days",IF(M962&lt;=21,"15-21 days","22+ days")))</f>
        <v>8-14 days</v>
      </c>
    </row>
    <row r="963" spans="1:20" x14ac:dyDescent="0.3">
      <c r="A963" s="20" t="s">
        <v>1029</v>
      </c>
      <c r="B963" s="20" t="s">
        <v>103</v>
      </c>
      <c r="C963" s="21">
        <v>45683</v>
      </c>
      <c r="D963" s="21">
        <v>45697</v>
      </c>
      <c r="E963" s="21">
        <v>45703</v>
      </c>
      <c r="F963" s="20" t="s">
        <v>57</v>
      </c>
      <c r="G963" s="22">
        <v>97.14</v>
      </c>
      <c r="H963" s="22">
        <v>28.95</v>
      </c>
      <c r="I963" s="20" t="s">
        <v>45</v>
      </c>
      <c r="J963" s="20">
        <v>4</v>
      </c>
      <c r="K963" s="20" t="s">
        <v>46</v>
      </c>
      <c r="L963" s="23">
        <f t="shared" si="116"/>
        <v>45658</v>
      </c>
      <c r="M963" s="20">
        <f t="shared" si="117"/>
        <v>14</v>
      </c>
      <c r="N963" s="20">
        <f t="shared" si="118"/>
        <v>0</v>
      </c>
      <c r="O963" s="20">
        <f t="shared" si="119"/>
        <v>1</v>
      </c>
      <c r="P963" s="22">
        <f t="shared" si="120"/>
        <v>126.09</v>
      </c>
      <c r="Q963" s="22">
        <f>G963*INDEX(Assumptions!$B$8:$B$16,MATCH(F963,Assumptions!$A$8:$A$16,0))</f>
        <v>66.055199999999999</v>
      </c>
      <c r="R963" s="22">
        <f>H963*Assumptions!$B$3</f>
        <v>17.369999999999997</v>
      </c>
      <c r="S963" s="22">
        <f t="shared" si="121"/>
        <v>13.714800000000004</v>
      </c>
      <c r="T963" s="20" t="str">
        <f t="shared" si="122"/>
        <v>8-14 days</v>
      </c>
    </row>
    <row r="964" spans="1:20" x14ac:dyDescent="0.3">
      <c r="A964" s="20" t="s">
        <v>1030</v>
      </c>
      <c r="B964" s="20" t="s">
        <v>19</v>
      </c>
      <c r="C964" s="21">
        <v>45683</v>
      </c>
      <c r="D964" s="21">
        <v>45689</v>
      </c>
      <c r="E964" s="21">
        <v>45702</v>
      </c>
      <c r="F964" s="20" t="s">
        <v>111</v>
      </c>
      <c r="G964" s="22">
        <v>75.510000000000005</v>
      </c>
      <c r="H964" s="22">
        <v>12.78</v>
      </c>
      <c r="I964" s="20" t="s">
        <v>45</v>
      </c>
      <c r="J964" s="20">
        <v>4</v>
      </c>
      <c r="K964" s="20" t="s">
        <v>46</v>
      </c>
      <c r="L964" s="23">
        <f t="shared" si="116"/>
        <v>45658</v>
      </c>
      <c r="M964" s="20">
        <f t="shared" si="117"/>
        <v>6</v>
      </c>
      <c r="N964" s="20">
        <f t="shared" si="118"/>
        <v>0</v>
      </c>
      <c r="O964" s="20">
        <f t="shared" si="119"/>
        <v>1</v>
      </c>
      <c r="P964" s="22">
        <f t="shared" si="120"/>
        <v>88.29</v>
      </c>
      <c r="Q964" s="22">
        <f>G964*INDEX(Assumptions!$B$8:$B$16,MATCH(F964,Assumptions!$A$8:$A$16,0))</f>
        <v>47.571300000000001</v>
      </c>
      <c r="R964" s="22">
        <f>H964*Assumptions!$B$3</f>
        <v>7.6679999999999993</v>
      </c>
      <c r="S964" s="22">
        <f t="shared" si="121"/>
        <v>20.270700000000005</v>
      </c>
      <c r="T964" s="20" t="str">
        <f t="shared" si="122"/>
        <v>0-7 days</v>
      </c>
    </row>
    <row r="965" spans="1:20" x14ac:dyDescent="0.3">
      <c r="A965" s="20" t="s">
        <v>1031</v>
      </c>
      <c r="B965" s="20" t="s">
        <v>19</v>
      </c>
      <c r="C965" s="21">
        <v>45683</v>
      </c>
      <c r="D965" s="21">
        <v>45690</v>
      </c>
      <c r="E965" s="21">
        <v>45701</v>
      </c>
      <c r="F965" s="20" t="s">
        <v>53</v>
      </c>
      <c r="G965" s="22">
        <v>108.92</v>
      </c>
      <c r="H965" s="22">
        <v>13.08</v>
      </c>
      <c r="I965" s="20" t="s">
        <v>45</v>
      </c>
      <c r="J965" s="20">
        <v>5</v>
      </c>
      <c r="K965" s="20" t="s">
        <v>46</v>
      </c>
      <c r="L965" s="23">
        <f t="shared" si="116"/>
        <v>45658</v>
      </c>
      <c r="M965" s="20">
        <f t="shared" si="117"/>
        <v>7</v>
      </c>
      <c r="N965" s="20">
        <f t="shared" si="118"/>
        <v>0</v>
      </c>
      <c r="O965" s="20">
        <f t="shared" si="119"/>
        <v>1</v>
      </c>
      <c r="P965" s="22">
        <f t="shared" si="120"/>
        <v>122</v>
      </c>
      <c r="Q965" s="22">
        <f>G965*INDEX(Assumptions!$B$8:$B$16,MATCH(F965,Assumptions!$A$8:$A$16,0))</f>
        <v>80.600800000000007</v>
      </c>
      <c r="R965" s="22">
        <f>H965*Assumptions!$B$3</f>
        <v>7.8479999999999999</v>
      </c>
      <c r="S965" s="22">
        <f t="shared" si="121"/>
        <v>20.471199999999996</v>
      </c>
      <c r="T965" s="20" t="str">
        <f t="shared" si="122"/>
        <v>0-7 days</v>
      </c>
    </row>
    <row r="966" spans="1:20" x14ac:dyDescent="0.3">
      <c r="A966" s="20" t="s">
        <v>1032</v>
      </c>
      <c r="B966" s="20" t="s">
        <v>134</v>
      </c>
      <c r="C966" s="21">
        <v>45683</v>
      </c>
      <c r="D966" s="21">
        <v>45701</v>
      </c>
      <c r="E966" s="21">
        <v>45703</v>
      </c>
      <c r="F966" s="20" t="s">
        <v>59</v>
      </c>
      <c r="G966" s="22">
        <v>208.75</v>
      </c>
      <c r="H966" s="22">
        <v>24.23</v>
      </c>
      <c r="I966" s="20" t="s">
        <v>45</v>
      </c>
      <c r="J966" s="20">
        <v>3</v>
      </c>
      <c r="K966" s="20" t="s">
        <v>46</v>
      </c>
      <c r="L966" s="23">
        <f t="shared" si="116"/>
        <v>45658</v>
      </c>
      <c r="M966" s="20">
        <f t="shared" si="117"/>
        <v>18</v>
      </c>
      <c r="N966" s="20">
        <f t="shared" si="118"/>
        <v>0</v>
      </c>
      <c r="O966" s="20">
        <f t="shared" si="119"/>
        <v>1</v>
      </c>
      <c r="P966" s="22">
        <f t="shared" si="120"/>
        <v>232.98</v>
      </c>
      <c r="Q966" s="22">
        <f>G966*INDEX(Assumptions!$B$8:$B$16,MATCH(F966,Assumptions!$A$8:$A$16,0))</f>
        <v>133.6</v>
      </c>
      <c r="R966" s="22">
        <f>H966*Assumptions!$B$3</f>
        <v>14.538</v>
      </c>
      <c r="S966" s="22">
        <f t="shared" si="121"/>
        <v>60.612000000000009</v>
      </c>
      <c r="T966" s="20" t="str">
        <f t="shared" si="122"/>
        <v>15-21 days</v>
      </c>
    </row>
    <row r="967" spans="1:20" x14ac:dyDescent="0.3">
      <c r="A967" s="20" t="s">
        <v>1033</v>
      </c>
      <c r="B967" s="20" t="s">
        <v>52</v>
      </c>
      <c r="C967" s="21">
        <v>45683</v>
      </c>
      <c r="D967" s="21">
        <v>45705</v>
      </c>
      <c r="E967" s="21">
        <v>45711</v>
      </c>
      <c r="F967" s="20" t="s">
        <v>111</v>
      </c>
      <c r="G967" s="22">
        <v>127.57</v>
      </c>
      <c r="H967" s="22">
        <v>31.65</v>
      </c>
      <c r="I967" s="20" t="s">
        <v>45</v>
      </c>
      <c r="J967" s="20">
        <v>4</v>
      </c>
      <c r="K967" s="20" t="s">
        <v>46</v>
      </c>
      <c r="L967" s="23">
        <f t="shared" si="116"/>
        <v>45658</v>
      </c>
      <c r="M967" s="20">
        <f t="shared" si="117"/>
        <v>22</v>
      </c>
      <c r="N967" s="20">
        <f t="shared" si="118"/>
        <v>0</v>
      </c>
      <c r="O967" s="20">
        <f t="shared" si="119"/>
        <v>1</v>
      </c>
      <c r="P967" s="22">
        <f t="shared" si="120"/>
        <v>159.22</v>
      </c>
      <c r="Q967" s="22">
        <f>G967*INDEX(Assumptions!$B$8:$B$16,MATCH(F967,Assumptions!$A$8:$A$16,0))</f>
        <v>80.369100000000003</v>
      </c>
      <c r="R967" s="22">
        <f>H967*Assumptions!$B$3</f>
        <v>18.989999999999998</v>
      </c>
      <c r="S967" s="22">
        <f t="shared" si="121"/>
        <v>28.210899999999992</v>
      </c>
      <c r="T967" s="20" t="str">
        <f t="shared" si="122"/>
        <v>22+ days</v>
      </c>
    </row>
    <row r="968" spans="1:20" x14ac:dyDescent="0.3">
      <c r="A968" s="20" t="s">
        <v>1034</v>
      </c>
      <c r="B968" s="20" t="s">
        <v>19</v>
      </c>
      <c r="C968" s="21">
        <v>45684</v>
      </c>
      <c r="D968" s="21">
        <v>45692</v>
      </c>
      <c r="E968" s="21">
        <v>45701</v>
      </c>
      <c r="F968" s="20" t="s">
        <v>79</v>
      </c>
      <c r="G968" s="22">
        <v>67.38</v>
      </c>
      <c r="H968" s="22">
        <v>20.75</v>
      </c>
      <c r="I968" s="20" t="s">
        <v>45</v>
      </c>
      <c r="J968" s="20">
        <v>4</v>
      </c>
      <c r="K968" s="20" t="s">
        <v>46</v>
      </c>
      <c r="L968" s="23">
        <f t="shared" si="116"/>
        <v>45658</v>
      </c>
      <c r="M968" s="20">
        <f t="shared" si="117"/>
        <v>8</v>
      </c>
      <c r="N968" s="20">
        <f t="shared" si="118"/>
        <v>0</v>
      </c>
      <c r="O968" s="20">
        <f t="shared" si="119"/>
        <v>1</v>
      </c>
      <c r="P968" s="22">
        <f t="shared" si="120"/>
        <v>88.13</v>
      </c>
      <c r="Q968" s="22">
        <f>G968*INDEX(Assumptions!$B$8:$B$16,MATCH(F968,Assumptions!$A$8:$A$16,0))</f>
        <v>47.165999999999997</v>
      </c>
      <c r="R968" s="22">
        <f>H968*Assumptions!$B$3</f>
        <v>12.45</v>
      </c>
      <c r="S968" s="22">
        <f t="shared" si="121"/>
        <v>7.7639999999999993</v>
      </c>
      <c r="T968" s="20" t="str">
        <f t="shared" si="122"/>
        <v>8-14 days</v>
      </c>
    </row>
    <row r="969" spans="1:20" x14ac:dyDescent="0.3">
      <c r="A969" s="20" t="s">
        <v>1035</v>
      </c>
      <c r="B969" s="20" t="s">
        <v>19</v>
      </c>
      <c r="C969" s="21">
        <v>45684</v>
      </c>
      <c r="D969" s="21">
        <v>45693</v>
      </c>
      <c r="E969" s="21">
        <v>45702</v>
      </c>
      <c r="F969" s="20" t="s">
        <v>44</v>
      </c>
      <c r="G969" s="22">
        <v>20.04</v>
      </c>
      <c r="H969" s="22">
        <v>15.74</v>
      </c>
      <c r="I969" s="20" t="s">
        <v>45</v>
      </c>
      <c r="J969" s="20">
        <v>4</v>
      </c>
      <c r="K969" s="20" t="s">
        <v>46</v>
      </c>
      <c r="L969" s="23">
        <f t="shared" si="116"/>
        <v>45658</v>
      </c>
      <c r="M969" s="20">
        <f t="shared" si="117"/>
        <v>9</v>
      </c>
      <c r="N969" s="20">
        <f t="shared" si="118"/>
        <v>0</v>
      </c>
      <c r="O969" s="20">
        <f t="shared" si="119"/>
        <v>1</v>
      </c>
      <c r="P969" s="22">
        <f t="shared" si="120"/>
        <v>35.78</v>
      </c>
      <c r="Q969" s="22">
        <f>G969*INDEX(Assumptions!$B$8:$B$16,MATCH(F969,Assumptions!$A$8:$A$16,0))</f>
        <v>12.023999999999999</v>
      </c>
      <c r="R969" s="22">
        <f>H969*Assumptions!$B$3</f>
        <v>9.4439999999999991</v>
      </c>
      <c r="S969" s="22">
        <f t="shared" si="121"/>
        <v>-1.427999999999999</v>
      </c>
      <c r="T969" s="20" t="str">
        <f t="shared" si="122"/>
        <v>8-14 days</v>
      </c>
    </row>
    <row r="970" spans="1:20" x14ac:dyDescent="0.3">
      <c r="A970" s="20" t="s">
        <v>1036</v>
      </c>
      <c r="B970" s="20" t="s">
        <v>201</v>
      </c>
      <c r="C970" s="21">
        <v>45684</v>
      </c>
      <c r="D970" s="21">
        <v>45716</v>
      </c>
      <c r="E970" s="21">
        <v>45718</v>
      </c>
      <c r="F970" s="20" t="s">
        <v>111</v>
      </c>
      <c r="G970" s="22">
        <v>69.88</v>
      </c>
      <c r="H970" s="22">
        <v>37.76</v>
      </c>
      <c r="I970" s="20" t="s">
        <v>60</v>
      </c>
      <c r="J970" s="20">
        <v>4</v>
      </c>
      <c r="K970" s="20" t="s">
        <v>46</v>
      </c>
      <c r="L970" s="23">
        <f t="shared" si="116"/>
        <v>45658</v>
      </c>
      <c r="M970" s="20">
        <f t="shared" si="117"/>
        <v>32</v>
      </c>
      <c r="N970" s="20">
        <f t="shared" si="118"/>
        <v>0</v>
      </c>
      <c r="O970" s="20">
        <f t="shared" si="119"/>
        <v>1</v>
      </c>
      <c r="P970" s="22">
        <f t="shared" si="120"/>
        <v>107.63999999999999</v>
      </c>
      <c r="Q970" s="22">
        <f>G970*INDEX(Assumptions!$B$8:$B$16,MATCH(F970,Assumptions!$A$8:$A$16,0))</f>
        <v>44.0244</v>
      </c>
      <c r="R970" s="22">
        <f>H970*Assumptions!$B$3</f>
        <v>22.655999999999999</v>
      </c>
      <c r="S970" s="22">
        <f t="shared" si="121"/>
        <v>3.1995999999999967</v>
      </c>
      <c r="T970" s="20" t="str">
        <f t="shared" si="122"/>
        <v>22+ days</v>
      </c>
    </row>
    <row r="971" spans="1:20" x14ac:dyDescent="0.3">
      <c r="A971" s="20" t="s">
        <v>1037</v>
      </c>
      <c r="B971" s="20" t="s">
        <v>93</v>
      </c>
      <c r="C971" s="21">
        <v>45685</v>
      </c>
      <c r="D971" s="21">
        <v>45705</v>
      </c>
      <c r="E971" s="21">
        <v>45710</v>
      </c>
      <c r="F971" s="20" t="s">
        <v>64</v>
      </c>
      <c r="G971" s="22">
        <v>66.12</v>
      </c>
      <c r="H971" s="22">
        <v>34.43</v>
      </c>
      <c r="I971" s="20" t="s">
        <v>45</v>
      </c>
      <c r="J971" s="20">
        <v>5</v>
      </c>
      <c r="K971" s="20" t="s">
        <v>46</v>
      </c>
      <c r="L971" s="23">
        <f t="shared" si="116"/>
        <v>45658</v>
      </c>
      <c r="M971" s="20">
        <f t="shared" si="117"/>
        <v>20</v>
      </c>
      <c r="N971" s="20">
        <f t="shared" si="118"/>
        <v>0</v>
      </c>
      <c r="O971" s="20">
        <f t="shared" si="119"/>
        <v>1</v>
      </c>
      <c r="P971" s="22">
        <f t="shared" si="120"/>
        <v>100.55000000000001</v>
      </c>
      <c r="Q971" s="22">
        <f>G971*INDEX(Assumptions!$B$8:$B$16,MATCH(F971,Assumptions!$A$8:$A$16,0))</f>
        <v>43.639200000000002</v>
      </c>
      <c r="R971" s="22">
        <f>H971*Assumptions!$B$3</f>
        <v>20.657999999999998</v>
      </c>
      <c r="S971" s="22">
        <f t="shared" si="121"/>
        <v>1.8228000000000044</v>
      </c>
      <c r="T971" s="20" t="str">
        <f t="shared" si="122"/>
        <v>15-21 days</v>
      </c>
    </row>
    <row r="972" spans="1:20" x14ac:dyDescent="0.3">
      <c r="A972" s="20" t="s">
        <v>1038</v>
      </c>
      <c r="B972" s="20" t="s">
        <v>19</v>
      </c>
      <c r="C972" s="21">
        <v>45685</v>
      </c>
      <c r="D972" s="21">
        <v>45694</v>
      </c>
      <c r="E972" s="21">
        <v>45701</v>
      </c>
      <c r="F972" s="20" t="s">
        <v>67</v>
      </c>
      <c r="G972" s="22">
        <v>91.2</v>
      </c>
      <c r="H972" s="22">
        <v>15.46</v>
      </c>
      <c r="I972" s="20" t="s">
        <v>45</v>
      </c>
      <c r="J972" s="20">
        <v>5</v>
      </c>
      <c r="K972" s="20" t="s">
        <v>46</v>
      </c>
      <c r="L972" s="23">
        <f t="shared" si="116"/>
        <v>45658</v>
      </c>
      <c r="M972" s="20">
        <f t="shared" si="117"/>
        <v>9</v>
      </c>
      <c r="N972" s="20">
        <f t="shared" si="118"/>
        <v>0</v>
      </c>
      <c r="O972" s="20">
        <f t="shared" si="119"/>
        <v>1</v>
      </c>
      <c r="P972" s="22">
        <f t="shared" si="120"/>
        <v>106.66</v>
      </c>
      <c r="Q972" s="22">
        <f>G972*INDEX(Assumptions!$B$8:$B$16,MATCH(F972,Assumptions!$A$8:$A$16,0))</f>
        <v>56.544000000000004</v>
      </c>
      <c r="R972" s="22">
        <f>H972*Assumptions!$B$3</f>
        <v>9.2759999999999998</v>
      </c>
      <c r="S972" s="22">
        <f t="shared" si="121"/>
        <v>25.38</v>
      </c>
      <c r="T972" s="20" t="str">
        <f t="shared" si="122"/>
        <v>8-14 days</v>
      </c>
    </row>
    <row r="973" spans="1:20" x14ac:dyDescent="0.3">
      <c r="A973" s="20" t="s">
        <v>1039</v>
      </c>
      <c r="B973" s="20" t="s">
        <v>93</v>
      </c>
      <c r="C973" s="21">
        <v>45686</v>
      </c>
      <c r="D973" s="21">
        <v>45701</v>
      </c>
      <c r="E973" s="21">
        <v>45713</v>
      </c>
      <c r="F973" s="20" t="s">
        <v>67</v>
      </c>
      <c r="G973" s="22">
        <v>80.459999999999994</v>
      </c>
      <c r="H973" s="22">
        <v>33.51</v>
      </c>
      <c r="I973" s="20" t="s">
        <v>50</v>
      </c>
      <c r="J973" s="20">
        <v>5</v>
      </c>
      <c r="K973" s="20" t="s">
        <v>46</v>
      </c>
      <c r="L973" s="23">
        <f t="shared" si="116"/>
        <v>45658</v>
      </c>
      <c r="M973" s="20">
        <f t="shared" si="117"/>
        <v>15</v>
      </c>
      <c r="N973" s="20">
        <f t="shared" si="118"/>
        <v>0</v>
      </c>
      <c r="O973" s="20">
        <f t="shared" si="119"/>
        <v>1</v>
      </c>
      <c r="P973" s="22">
        <f t="shared" si="120"/>
        <v>113.97</v>
      </c>
      <c r="Q973" s="22">
        <f>G973*INDEX(Assumptions!$B$8:$B$16,MATCH(F973,Assumptions!$A$8:$A$16,0))</f>
        <v>49.885199999999998</v>
      </c>
      <c r="R973" s="22">
        <f>H973*Assumptions!$B$3</f>
        <v>20.105999999999998</v>
      </c>
      <c r="S973" s="22">
        <f t="shared" si="121"/>
        <v>10.468799999999998</v>
      </c>
      <c r="T973" s="20" t="str">
        <f t="shared" si="122"/>
        <v>15-21 days</v>
      </c>
    </row>
    <row r="974" spans="1:20" x14ac:dyDescent="0.3">
      <c r="A974" s="20" t="s">
        <v>1040</v>
      </c>
      <c r="B974" s="20" t="s">
        <v>19</v>
      </c>
      <c r="C974" s="21">
        <v>45686</v>
      </c>
      <c r="D974" s="21">
        <v>45703</v>
      </c>
      <c r="E974" s="21">
        <v>45699</v>
      </c>
      <c r="F974" s="20" t="s">
        <v>111</v>
      </c>
      <c r="G974" s="22">
        <v>19.170000000000002</v>
      </c>
      <c r="H974" s="22">
        <v>10.97</v>
      </c>
      <c r="I974" s="20" t="s">
        <v>45</v>
      </c>
      <c r="J974" s="20">
        <v>2</v>
      </c>
      <c r="K974" s="20" t="s">
        <v>46</v>
      </c>
      <c r="L974" s="23">
        <f t="shared" si="116"/>
        <v>45658</v>
      </c>
      <c r="M974" s="20">
        <f t="shared" si="117"/>
        <v>17</v>
      </c>
      <c r="N974" s="20">
        <f t="shared" si="118"/>
        <v>4</v>
      </c>
      <c r="O974" s="20">
        <f t="shared" si="119"/>
        <v>0</v>
      </c>
      <c r="P974" s="22">
        <f t="shared" si="120"/>
        <v>30.14</v>
      </c>
      <c r="Q974" s="22">
        <f>G974*INDEX(Assumptions!$B$8:$B$16,MATCH(F974,Assumptions!$A$8:$A$16,0))</f>
        <v>12.077100000000002</v>
      </c>
      <c r="R974" s="22">
        <f>H974*Assumptions!$B$3</f>
        <v>6.5819999999999999</v>
      </c>
      <c r="S974" s="22">
        <f t="shared" si="121"/>
        <v>0.51090000000000035</v>
      </c>
      <c r="T974" s="20" t="str">
        <f t="shared" si="122"/>
        <v>15-21 days</v>
      </c>
    </row>
    <row r="975" spans="1:20" x14ac:dyDescent="0.3">
      <c r="A975" s="20" t="s">
        <v>1041</v>
      </c>
      <c r="B975" s="20" t="s">
        <v>62</v>
      </c>
      <c r="C975" s="21">
        <v>45686</v>
      </c>
      <c r="D975" s="21">
        <v>45695</v>
      </c>
      <c r="E975" s="21">
        <v>45703</v>
      </c>
      <c r="F975" s="20" t="s">
        <v>64</v>
      </c>
      <c r="G975" s="22">
        <v>64.48</v>
      </c>
      <c r="H975" s="22">
        <v>23.05</v>
      </c>
      <c r="I975" s="20" t="s">
        <v>45</v>
      </c>
      <c r="J975" s="20">
        <v>4</v>
      </c>
      <c r="K975" s="20" t="s">
        <v>46</v>
      </c>
      <c r="L975" s="23">
        <f t="shared" si="116"/>
        <v>45658</v>
      </c>
      <c r="M975" s="20">
        <f t="shared" si="117"/>
        <v>9</v>
      </c>
      <c r="N975" s="20">
        <f t="shared" si="118"/>
        <v>0</v>
      </c>
      <c r="O975" s="20">
        <f t="shared" si="119"/>
        <v>1</v>
      </c>
      <c r="P975" s="22">
        <f t="shared" si="120"/>
        <v>87.53</v>
      </c>
      <c r="Q975" s="22">
        <f>G975*INDEX(Assumptions!$B$8:$B$16,MATCH(F975,Assumptions!$A$8:$A$16,0))</f>
        <v>42.556800000000003</v>
      </c>
      <c r="R975" s="22">
        <f>H975*Assumptions!$B$3</f>
        <v>13.83</v>
      </c>
      <c r="S975" s="22">
        <f t="shared" si="121"/>
        <v>8.0932000000000013</v>
      </c>
      <c r="T975" s="20" t="str">
        <f t="shared" si="122"/>
        <v>8-14 days</v>
      </c>
    </row>
    <row r="976" spans="1:20" x14ac:dyDescent="0.3">
      <c r="A976" s="20" t="s">
        <v>1042</v>
      </c>
      <c r="B976" s="20" t="s">
        <v>19</v>
      </c>
      <c r="C976" s="21">
        <v>45686</v>
      </c>
      <c r="D976" s="21">
        <v>45696</v>
      </c>
      <c r="E976" s="21">
        <v>45703</v>
      </c>
      <c r="F976" s="20" t="s">
        <v>111</v>
      </c>
      <c r="G976" s="22">
        <v>235.96</v>
      </c>
      <c r="H976" s="22">
        <v>25.1</v>
      </c>
      <c r="I976" s="20" t="s">
        <v>45</v>
      </c>
      <c r="J976" s="20">
        <v>4</v>
      </c>
      <c r="K976" s="20" t="s">
        <v>46</v>
      </c>
      <c r="L976" s="23">
        <f t="shared" si="116"/>
        <v>45658</v>
      </c>
      <c r="M976" s="20">
        <f t="shared" si="117"/>
        <v>10</v>
      </c>
      <c r="N976" s="20">
        <f t="shared" si="118"/>
        <v>0</v>
      </c>
      <c r="O976" s="20">
        <f t="shared" si="119"/>
        <v>1</v>
      </c>
      <c r="P976" s="22">
        <f t="shared" si="120"/>
        <v>261.06</v>
      </c>
      <c r="Q976" s="22">
        <f>G976*INDEX(Assumptions!$B$8:$B$16,MATCH(F976,Assumptions!$A$8:$A$16,0))</f>
        <v>148.65479999999999</v>
      </c>
      <c r="R976" s="22">
        <f>H976*Assumptions!$B$3</f>
        <v>15.06</v>
      </c>
      <c r="S976" s="22">
        <f t="shared" si="121"/>
        <v>72.245200000000011</v>
      </c>
      <c r="T976" s="20" t="str">
        <f t="shared" si="122"/>
        <v>8-14 days</v>
      </c>
    </row>
    <row r="977" spans="1:20" x14ac:dyDescent="0.3">
      <c r="A977" s="20" t="s">
        <v>1043</v>
      </c>
      <c r="B977" s="20" t="s">
        <v>48</v>
      </c>
      <c r="C977" s="21">
        <v>45687</v>
      </c>
      <c r="D977" s="21">
        <v>45711</v>
      </c>
      <c r="E977" s="21">
        <v>45709</v>
      </c>
      <c r="F977" s="20" t="s">
        <v>57</v>
      </c>
      <c r="G977" s="22">
        <v>81.75</v>
      </c>
      <c r="H977" s="22">
        <v>22.2</v>
      </c>
      <c r="I977" s="20" t="s">
        <v>45</v>
      </c>
      <c r="J977" s="20">
        <v>3</v>
      </c>
      <c r="K977" s="20" t="s">
        <v>46</v>
      </c>
      <c r="L977" s="23">
        <f t="shared" si="116"/>
        <v>45658</v>
      </c>
      <c r="M977" s="20">
        <f t="shared" si="117"/>
        <v>24</v>
      </c>
      <c r="N977" s="20">
        <f t="shared" si="118"/>
        <v>2</v>
      </c>
      <c r="O977" s="20">
        <f t="shared" si="119"/>
        <v>0</v>
      </c>
      <c r="P977" s="22">
        <f t="shared" si="120"/>
        <v>103.95</v>
      </c>
      <c r="Q977" s="22">
        <f>G977*INDEX(Assumptions!$B$8:$B$16,MATCH(F977,Assumptions!$A$8:$A$16,0))</f>
        <v>55.59</v>
      </c>
      <c r="R977" s="22">
        <f>H977*Assumptions!$B$3</f>
        <v>13.319999999999999</v>
      </c>
      <c r="S977" s="22">
        <f t="shared" si="121"/>
        <v>12.839999999999998</v>
      </c>
      <c r="T977" s="20" t="str">
        <f t="shared" si="122"/>
        <v>22+ days</v>
      </c>
    </row>
    <row r="978" spans="1:20" x14ac:dyDescent="0.3">
      <c r="A978" s="20" t="s">
        <v>1044</v>
      </c>
      <c r="B978" s="20" t="s">
        <v>19</v>
      </c>
      <c r="C978" s="21">
        <v>45687</v>
      </c>
      <c r="D978" s="21">
        <v>45701</v>
      </c>
      <c r="E978" s="21">
        <v>45702</v>
      </c>
      <c r="F978" s="20" t="s">
        <v>49</v>
      </c>
      <c r="G978" s="22">
        <v>105.32</v>
      </c>
      <c r="H978" s="22">
        <v>18.87</v>
      </c>
      <c r="I978" s="20" t="s">
        <v>45</v>
      </c>
      <c r="J978" s="20">
        <v>4</v>
      </c>
      <c r="K978" s="20" t="s">
        <v>46</v>
      </c>
      <c r="L978" s="23">
        <f t="shared" si="116"/>
        <v>45658</v>
      </c>
      <c r="M978" s="20">
        <f t="shared" si="117"/>
        <v>14</v>
      </c>
      <c r="N978" s="20">
        <f t="shared" si="118"/>
        <v>0</v>
      </c>
      <c r="O978" s="20">
        <f t="shared" si="119"/>
        <v>1</v>
      </c>
      <c r="P978" s="22">
        <f t="shared" si="120"/>
        <v>124.19</v>
      </c>
      <c r="Q978" s="22">
        <f>G978*INDEX(Assumptions!$B$8:$B$16,MATCH(F978,Assumptions!$A$8:$A$16,0))</f>
        <v>61.085599999999992</v>
      </c>
      <c r="R978" s="22">
        <f>H978*Assumptions!$B$3</f>
        <v>11.322000000000001</v>
      </c>
      <c r="S978" s="22">
        <f t="shared" si="121"/>
        <v>32.912399999999998</v>
      </c>
      <c r="T978" s="20" t="str">
        <f t="shared" si="122"/>
        <v>8-14 days</v>
      </c>
    </row>
    <row r="979" spans="1:20" x14ac:dyDescent="0.3">
      <c r="A979" s="20" t="s">
        <v>1045</v>
      </c>
      <c r="B979" s="20" t="s">
        <v>156</v>
      </c>
      <c r="C979" s="21">
        <v>45687</v>
      </c>
      <c r="D979" s="21">
        <v>45700</v>
      </c>
      <c r="E979" s="21">
        <v>45717</v>
      </c>
      <c r="F979" s="20" t="s">
        <v>59</v>
      </c>
      <c r="G979" s="22">
        <v>60.19</v>
      </c>
      <c r="H979" s="22">
        <v>23.25</v>
      </c>
      <c r="I979" s="20" t="s">
        <v>45</v>
      </c>
      <c r="J979" s="20">
        <v>5</v>
      </c>
      <c r="K979" s="20" t="s">
        <v>46</v>
      </c>
      <c r="L979" s="23">
        <f t="shared" si="116"/>
        <v>45658</v>
      </c>
      <c r="M979" s="20">
        <f t="shared" si="117"/>
        <v>13</v>
      </c>
      <c r="N979" s="20">
        <f t="shared" si="118"/>
        <v>0</v>
      </c>
      <c r="O979" s="20">
        <f t="shared" si="119"/>
        <v>1</v>
      </c>
      <c r="P979" s="22">
        <f t="shared" si="120"/>
        <v>83.44</v>
      </c>
      <c r="Q979" s="22">
        <f>G979*INDEX(Assumptions!$B$8:$B$16,MATCH(F979,Assumptions!$A$8:$A$16,0))</f>
        <v>38.521599999999999</v>
      </c>
      <c r="R979" s="22">
        <f>H979*Assumptions!$B$3</f>
        <v>13.95</v>
      </c>
      <c r="S979" s="22">
        <f t="shared" si="121"/>
        <v>7.718399999999999</v>
      </c>
      <c r="T979" s="20" t="str">
        <f t="shared" si="122"/>
        <v>8-14 days</v>
      </c>
    </row>
    <row r="980" spans="1:20" x14ac:dyDescent="0.3">
      <c r="A980" s="20" t="s">
        <v>1046</v>
      </c>
      <c r="B980" s="20" t="s">
        <v>62</v>
      </c>
      <c r="C980" s="21">
        <v>45687</v>
      </c>
      <c r="D980" s="21">
        <v>45698</v>
      </c>
      <c r="E980" s="21">
        <v>45707</v>
      </c>
      <c r="F980" s="20" t="s">
        <v>59</v>
      </c>
      <c r="G980" s="22">
        <v>168.1</v>
      </c>
      <c r="H980" s="22">
        <v>22.25</v>
      </c>
      <c r="I980" s="20" t="s">
        <v>45</v>
      </c>
      <c r="J980" s="20">
        <v>5</v>
      </c>
      <c r="K980" s="20" t="s">
        <v>46</v>
      </c>
      <c r="L980" s="23">
        <f t="shared" si="116"/>
        <v>45658</v>
      </c>
      <c r="M980" s="20">
        <f t="shared" si="117"/>
        <v>11</v>
      </c>
      <c r="N980" s="20">
        <f t="shared" si="118"/>
        <v>0</v>
      </c>
      <c r="O980" s="20">
        <f t="shared" si="119"/>
        <v>1</v>
      </c>
      <c r="P980" s="22">
        <f t="shared" si="120"/>
        <v>190.35</v>
      </c>
      <c r="Q980" s="22">
        <f>G980*INDEX(Assumptions!$B$8:$B$16,MATCH(F980,Assumptions!$A$8:$A$16,0))</f>
        <v>107.584</v>
      </c>
      <c r="R980" s="22">
        <f>H980*Assumptions!$B$3</f>
        <v>13.35</v>
      </c>
      <c r="S980" s="22">
        <f t="shared" si="121"/>
        <v>47.16599999999999</v>
      </c>
      <c r="T980" s="20" t="str">
        <f t="shared" si="122"/>
        <v>8-14 days</v>
      </c>
    </row>
    <row r="981" spans="1:20" x14ac:dyDescent="0.3">
      <c r="A981" s="20" t="s">
        <v>1047</v>
      </c>
      <c r="B981" s="20" t="s">
        <v>52</v>
      </c>
      <c r="C981" s="21">
        <v>45687</v>
      </c>
      <c r="D981" s="21">
        <v>45718</v>
      </c>
      <c r="E981" s="21">
        <v>45712</v>
      </c>
      <c r="F981" s="20" t="s">
        <v>111</v>
      </c>
      <c r="G981" s="22">
        <v>52.84</v>
      </c>
      <c r="H981" s="22">
        <v>17.190000000000001</v>
      </c>
      <c r="I981" s="20" t="s">
        <v>45</v>
      </c>
      <c r="J981" s="20">
        <v>2</v>
      </c>
      <c r="K981" s="20" t="s">
        <v>46</v>
      </c>
      <c r="L981" s="23">
        <f t="shared" si="116"/>
        <v>45658</v>
      </c>
      <c r="M981" s="20">
        <f t="shared" si="117"/>
        <v>31</v>
      </c>
      <c r="N981" s="20">
        <f t="shared" si="118"/>
        <v>6</v>
      </c>
      <c r="O981" s="20">
        <f t="shared" si="119"/>
        <v>0</v>
      </c>
      <c r="P981" s="22">
        <f t="shared" si="120"/>
        <v>70.03</v>
      </c>
      <c r="Q981" s="22">
        <f>G981*INDEX(Assumptions!$B$8:$B$16,MATCH(F981,Assumptions!$A$8:$A$16,0))</f>
        <v>33.289200000000001</v>
      </c>
      <c r="R981" s="22">
        <f>H981*Assumptions!$B$3</f>
        <v>10.314</v>
      </c>
      <c r="S981" s="22">
        <f t="shared" si="121"/>
        <v>9.2368000000000023</v>
      </c>
      <c r="T981" s="20" t="str">
        <f t="shared" si="122"/>
        <v>22+ days</v>
      </c>
    </row>
    <row r="982" spans="1:20" x14ac:dyDescent="0.3">
      <c r="A982" s="20" t="s">
        <v>1048</v>
      </c>
      <c r="B982" s="20" t="s">
        <v>19</v>
      </c>
      <c r="C982" s="21">
        <v>45687</v>
      </c>
      <c r="D982" s="21">
        <v>45700</v>
      </c>
      <c r="E982" s="21">
        <v>45707</v>
      </c>
      <c r="F982" s="20" t="s">
        <v>79</v>
      </c>
      <c r="G982" s="22">
        <v>117.93</v>
      </c>
      <c r="H982" s="22">
        <v>15.69</v>
      </c>
      <c r="I982" s="20" t="s">
        <v>45</v>
      </c>
      <c r="J982" s="20">
        <v>5</v>
      </c>
      <c r="K982" s="20" t="s">
        <v>46</v>
      </c>
      <c r="L982" s="23">
        <f t="shared" si="116"/>
        <v>45658</v>
      </c>
      <c r="M982" s="20">
        <f t="shared" si="117"/>
        <v>13</v>
      </c>
      <c r="N982" s="20">
        <f t="shared" si="118"/>
        <v>0</v>
      </c>
      <c r="O982" s="20">
        <f t="shared" si="119"/>
        <v>1</v>
      </c>
      <c r="P982" s="22">
        <f t="shared" si="120"/>
        <v>133.62</v>
      </c>
      <c r="Q982" s="22">
        <f>G982*INDEX(Assumptions!$B$8:$B$16,MATCH(F982,Assumptions!$A$8:$A$16,0))</f>
        <v>82.551000000000002</v>
      </c>
      <c r="R982" s="22">
        <f>H982*Assumptions!$B$3</f>
        <v>9.4139999999999997</v>
      </c>
      <c r="S982" s="22">
        <f t="shared" si="121"/>
        <v>25.965000000000003</v>
      </c>
      <c r="T982" s="20" t="str">
        <f t="shared" si="122"/>
        <v>8-14 days</v>
      </c>
    </row>
    <row r="983" spans="1:20" x14ac:dyDescent="0.3">
      <c r="A983" s="20" t="s">
        <v>1049</v>
      </c>
      <c r="B983" s="20" t="s">
        <v>62</v>
      </c>
      <c r="C983" s="21">
        <v>45687</v>
      </c>
      <c r="D983" s="21">
        <v>45699</v>
      </c>
      <c r="E983" s="21">
        <v>45706</v>
      </c>
      <c r="F983" s="20" t="s">
        <v>59</v>
      </c>
      <c r="G983" s="22">
        <v>56.76</v>
      </c>
      <c r="H983" s="22">
        <v>23.52</v>
      </c>
      <c r="I983" s="20" t="s">
        <v>60</v>
      </c>
      <c r="J983" s="20">
        <v>3</v>
      </c>
      <c r="K983" s="20" t="s">
        <v>46</v>
      </c>
      <c r="L983" s="23">
        <f t="shared" si="116"/>
        <v>45658</v>
      </c>
      <c r="M983" s="20">
        <f t="shared" si="117"/>
        <v>12</v>
      </c>
      <c r="N983" s="20">
        <f t="shared" si="118"/>
        <v>0</v>
      </c>
      <c r="O983" s="20">
        <f t="shared" si="119"/>
        <v>1</v>
      </c>
      <c r="P983" s="22">
        <f t="shared" si="120"/>
        <v>80.28</v>
      </c>
      <c r="Q983" s="22">
        <f>G983*INDEX(Assumptions!$B$8:$B$16,MATCH(F983,Assumptions!$A$8:$A$16,0))</f>
        <v>36.3264</v>
      </c>
      <c r="R983" s="22">
        <f>H983*Assumptions!$B$3</f>
        <v>14.112</v>
      </c>
      <c r="S983" s="22">
        <f t="shared" si="121"/>
        <v>6.3215999999999983</v>
      </c>
      <c r="T983" s="20" t="str">
        <f t="shared" si="122"/>
        <v>8-14 days</v>
      </c>
    </row>
    <row r="984" spans="1:20" x14ac:dyDescent="0.3">
      <c r="A984" s="20" t="s">
        <v>1050</v>
      </c>
      <c r="B984" s="20" t="s">
        <v>19</v>
      </c>
      <c r="C984" s="21">
        <v>45687</v>
      </c>
      <c r="D984" s="21">
        <v>45697</v>
      </c>
      <c r="E984" s="21">
        <v>45698</v>
      </c>
      <c r="F984" s="20" t="s">
        <v>49</v>
      </c>
      <c r="G984" s="22">
        <v>82.63</v>
      </c>
      <c r="H984" s="22">
        <v>21.62</v>
      </c>
      <c r="I984" s="20" t="s">
        <v>45</v>
      </c>
      <c r="J984" s="20">
        <v>4</v>
      </c>
      <c r="K984" s="20" t="s">
        <v>46</v>
      </c>
      <c r="L984" s="23">
        <f t="shared" si="116"/>
        <v>45658</v>
      </c>
      <c r="M984" s="20">
        <f t="shared" si="117"/>
        <v>10</v>
      </c>
      <c r="N984" s="20">
        <f t="shared" si="118"/>
        <v>0</v>
      </c>
      <c r="O984" s="20">
        <f t="shared" si="119"/>
        <v>1</v>
      </c>
      <c r="P984" s="22">
        <f t="shared" si="120"/>
        <v>104.25</v>
      </c>
      <c r="Q984" s="22">
        <f>G984*INDEX(Assumptions!$B$8:$B$16,MATCH(F984,Assumptions!$A$8:$A$16,0))</f>
        <v>47.925399999999996</v>
      </c>
      <c r="R984" s="22">
        <f>H984*Assumptions!$B$3</f>
        <v>12.972</v>
      </c>
      <c r="S984" s="22">
        <f t="shared" si="121"/>
        <v>21.732599999999998</v>
      </c>
      <c r="T984" s="20" t="str">
        <f t="shared" si="122"/>
        <v>8-14 days</v>
      </c>
    </row>
    <row r="985" spans="1:20" x14ac:dyDescent="0.3">
      <c r="A985" s="20" t="s">
        <v>1051</v>
      </c>
      <c r="B985" s="20" t="s">
        <v>55</v>
      </c>
      <c r="C985" s="21">
        <v>45687</v>
      </c>
      <c r="D985" s="21">
        <v>45697</v>
      </c>
      <c r="E985" s="21">
        <v>45712</v>
      </c>
      <c r="F985" s="20" t="s">
        <v>49</v>
      </c>
      <c r="G985" s="22">
        <v>35.630000000000003</v>
      </c>
      <c r="H985" s="22">
        <v>26.32</v>
      </c>
      <c r="I985" s="20" t="s">
        <v>45</v>
      </c>
      <c r="J985" s="20">
        <v>4</v>
      </c>
      <c r="K985" s="20" t="s">
        <v>46</v>
      </c>
      <c r="L985" s="23">
        <f t="shared" si="116"/>
        <v>45658</v>
      </c>
      <c r="M985" s="20">
        <f t="shared" si="117"/>
        <v>10</v>
      </c>
      <c r="N985" s="20">
        <f t="shared" si="118"/>
        <v>0</v>
      </c>
      <c r="O985" s="20">
        <f t="shared" si="119"/>
        <v>1</v>
      </c>
      <c r="P985" s="22">
        <f t="shared" si="120"/>
        <v>61.95</v>
      </c>
      <c r="Q985" s="22">
        <f>G985*INDEX(Assumptions!$B$8:$B$16,MATCH(F985,Assumptions!$A$8:$A$16,0))</f>
        <v>20.665400000000002</v>
      </c>
      <c r="R985" s="22">
        <f>H985*Assumptions!$B$3</f>
        <v>15.792</v>
      </c>
      <c r="S985" s="22">
        <f t="shared" si="121"/>
        <v>-0.82739999999999903</v>
      </c>
      <c r="T985" s="20" t="str">
        <f t="shared" si="122"/>
        <v>8-14 days</v>
      </c>
    </row>
    <row r="986" spans="1:20" x14ac:dyDescent="0.3">
      <c r="A986" s="20" t="s">
        <v>1052</v>
      </c>
      <c r="B986" s="20" t="s">
        <v>19</v>
      </c>
      <c r="C986" s="21">
        <v>45687</v>
      </c>
      <c r="D986" s="21">
        <v>45696</v>
      </c>
      <c r="E986" s="21">
        <v>45704</v>
      </c>
      <c r="F986" s="20" t="s">
        <v>49</v>
      </c>
      <c r="G986" s="22">
        <v>47.1</v>
      </c>
      <c r="H986" s="22">
        <v>21.78</v>
      </c>
      <c r="I986" s="20" t="s">
        <v>45</v>
      </c>
      <c r="J986" s="20">
        <v>4</v>
      </c>
      <c r="K986" s="20" t="s">
        <v>46</v>
      </c>
      <c r="L986" s="23">
        <f t="shared" si="116"/>
        <v>45658</v>
      </c>
      <c r="M986" s="20">
        <f t="shared" si="117"/>
        <v>9</v>
      </c>
      <c r="N986" s="20">
        <f t="shared" si="118"/>
        <v>0</v>
      </c>
      <c r="O986" s="20">
        <f t="shared" si="119"/>
        <v>1</v>
      </c>
      <c r="P986" s="22">
        <f t="shared" si="120"/>
        <v>68.88</v>
      </c>
      <c r="Q986" s="22">
        <f>G986*INDEX(Assumptions!$B$8:$B$16,MATCH(F986,Assumptions!$A$8:$A$16,0))</f>
        <v>27.317999999999998</v>
      </c>
      <c r="R986" s="22">
        <f>H986*Assumptions!$B$3</f>
        <v>13.068</v>
      </c>
      <c r="S986" s="22">
        <f t="shared" si="121"/>
        <v>6.714000000000004</v>
      </c>
      <c r="T986" s="20" t="str">
        <f t="shared" si="122"/>
        <v>8-14 days</v>
      </c>
    </row>
    <row r="987" spans="1:20" x14ac:dyDescent="0.3">
      <c r="A987" s="20" t="s">
        <v>1053</v>
      </c>
      <c r="B987" s="20" t="s">
        <v>19</v>
      </c>
      <c r="C987" s="21">
        <v>45688</v>
      </c>
      <c r="D987" s="21">
        <v>45695</v>
      </c>
      <c r="E987" s="21">
        <v>45704</v>
      </c>
      <c r="F987" s="20" t="s">
        <v>79</v>
      </c>
      <c r="G987" s="22">
        <v>154.06</v>
      </c>
      <c r="H987" s="22">
        <v>18.04</v>
      </c>
      <c r="I987" s="20" t="s">
        <v>45</v>
      </c>
      <c r="J987" s="20">
        <v>4</v>
      </c>
      <c r="K987" s="20" t="s">
        <v>46</v>
      </c>
      <c r="L987" s="23">
        <f t="shared" si="116"/>
        <v>45658</v>
      </c>
      <c r="M987" s="20">
        <f t="shared" si="117"/>
        <v>7</v>
      </c>
      <c r="N987" s="20">
        <f t="shared" si="118"/>
        <v>0</v>
      </c>
      <c r="O987" s="20">
        <f t="shared" si="119"/>
        <v>1</v>
      </c>
      <c r="P987" s="22">
        <f t="shared" si="120"/>
        <v>172.1</v>
      </c>
      <c r="Q987" s="22">
        <f>G987*INDEX(Assumptions!$B$8:$B$16,MATCH(F987,Assumptions!$A$8:$A$16,0))</f>
        <v>107.842</v>
      </c>
      <c r="R987" s="22">
        <f>H987*Assumptions!$B$3</f>
        <v>10.824</v>
      </c>
      <c r="S987" s="22">
        <f t="shared" si="121"/>
        <v>35.394000000000005</v>
      </c>
      <c r="T987" s="20" t="str">
        <f t="shared" si="122"/>
        <v>0-7 days</v>
      </c>
    </row>
    <row r="988" spans="1:20" x14ac:dyDescent="0.3">
      <c r="A988" s="20" t="s">
        <v>1054</v>
      </c>
      <c r="B988" s="20" t="s">
        <v>19</v>
      </c>
      <c r="C988" s="21">
        <v>45688</v>
      </c>
      <c r="D988" s="21">
        <v>45692</v>
      </c>
      <c r="E988" s="21">
        <v>45705</v>
      </c>
      <c r="F988" s="20" t="s">
        <v>49</v>
      </c>
      <c r="G988" s="22">
        <v>74</v>
      </c>
      <c r="H988" s="22">
        <v>15.33</v>
      </c>
      <c r="I988" s="20" t="s">
        <v>45</v>
      </c>
      <c r="J988" s="20">
        <v>4</v>
      </c>
      <c r="K988" s="20" t="s">
        <v>46</v>
      </c>
      <c r="L988" s="23">
        <f t="shared" si="116"/>
        <v>45658</v>
      </c>
      <c r="M988" s="20">
        <f t="shared" si="117"/>
        <v>4</v>
      </c>
      <c r="N988" s="20">
        <f t="shared" si="118"/>
        <v>0</v>
      </c>
      <c r="O988" s="20">
        <f t="shared" si="119"/>
        <v>1</v>
      </c>
      <c r="P988" s="22">
        <f t="shared" si="120"/>
        <v>89.33</v>
      </c>
      <c r="Q988" s="22">
        <f>G988*INDEX(Assumptions!$B$8:$B$16,MATCH(F988,Assumptions!$A$8:$A$16,0))</f>
        <v>42.919999999999995</v>
      </c>
      <c r="R988" s="22">
        <f>H988*Assumptions!$B$3</f>
        <v>9.1980000000000004</v>
      </c>
      <c r="S988" s="22">
        <f t="shared" si="121"/>
        <v>21.882000000000005</v>
      </c>
      <c r="T988" s="20" t="str">
        <f t="shared" si="122"/>
        <v>0-7 days</v>
      </c>
    </row>
    <row r="989" spans="1:20" x14ac:dyDescent="0.3">
      <c r="A989" s="20" t="s">
        <v>1055</v>
      </c>
      <c r="B989" s="20" t="s">
        <v>48</v>
      </c>
      <c r="C989" s="21">
        <v>45689</v>
      </c>
      <c r="D989" s="21">
        <v>45705</v>
      </c>
      <c r="E989" s="21">
        <v>45710</v>
      </c>
      <c r="F989" s="20" t="s">
        <v>59</v>
      </c>
      <c r="G989" s="22">
        <v>57.13</v>
      </c>
      <c r="H989" s="22">
        <v>23.38</v>
      </c>
      <c r="I989" s="20" t="s">
        <v>45</v>
      </c>
      <c r="J989" s="20">
        <v>5</v>
      </c>
      <c r="K989" s="20" t="s">
        <v>46</v>
      </c>
      <c r="L989" s="23">
        <f t="shared" si="116"/>
        <v>45689</v>
      </c>
      <c r="M989" s="20">
        <f t="shared" si="117"/>
        <v>16</v>
      </c>
      <c r="N989" s="20">
        <f t="shared" si="118"/>
        <v>0</v>
      </c>
      <c r="O989" s="20">
        <f t="shared" si="119"/>
        <v>1</v>
      </c>
      <c r="P989" s="22">
        <f t="shared" si="120"/>
        <v>80.510000000000005</v>
      </c>
      <c r="Q989" s="22">
        <f>G989*INDEX(Assumptions!$B$8:$B$16,MATCH(F989,Assumptions!$A$8:$A$16,0))</f>
        <v>36.563200000000002</v>
      </c>
      <c r="R989" s="22">
        <f>H989*Assumptions!$B$3</f>
        <v>14.027999999999999</v>
      </c>
      <c r="S989" s="22">
        <f t="shared" si="121"/>
        <v>6.5388000000000019</v>
      </c>
      <c r="T989" s="20" t="str">
        <f t="shared" si="122"/>
        <v>15-21 days</v>
      </c>
    </row>
    <row r="990" spans="1:20" x14ac:dyDescent="0.3">
      <c r="A990" s="20" t="s">
        <v>1056</v>
      </c>
      <c r="B990" s="20" t="s">
        <v>134</v>
      </c>
      <c r="C990" s="21">
        <v>45689</v>
      </c>
      <c r="D990" s="21">
        <v>45716</v>
      </c>
      <c r="E990" s="21">
        <v>45710</v>
      </c>
      <c r="F990" s="20" t="s">
        <v>79</v>
      </c>
      <c r="G990" s="22">
        <v>90.27</v>
      </c>
      <c r="H990" s="22">
        <v>17.41</v>
      </c>
      <c r="I990" s="20" t="s">
        <v>45</v>
      </c>
      <c r="J990" s="20">
        <v>3</v>
      </c>
      <c r="K990" s="20" t="s">
        <v>46</v>
      </c>
      <c r="L990" s="23">
        <f t="shared" si="116"/>
        <v>45689</v>
      </c>
      <c r="M990" s="20">
        <f t="shared" si="117"/>
        <v>27</v>
      </c>
      <c r="N990" s="20">
        <f t="shared" si="118"/>
        <v>6</v>
      </c>
      <c r="O990" s="20">
        <f t="shared" si="119"/>
        <v>0</v>
      </c>
      <c r="P990" s="22">
        <f t="shared" si="120"/>
        <v>107.67999999999999</v>
      </c>
      <c r="Q990" s="22">
        <f>G990*INDEX(Assumptions!$B$8:$B$16,MATCH(F990,Assumptions!$A$8:$A$16,0))</f>
        <v>63.188999999999993</v>
      </c>
      <c r="R990" s="22">
        <f>H990*Assumptions!$B$3</f>
        <v>10.446</v>
      </c>
      <c r="S990" s="22">
        <f t="shared" si="121"/>
        <v>16.635000000000005</v>
      </c>
      <c r="T990" s="20" t="str">
        <f t="shared" si="122"/>
        <v>22+ days</v>
      </c>
    </row>
    <row r="991" spans="1:20" x14ac:dyDescent="0.3">
      <c r="A991" s="20" t="s">
        <v>1057</v>
      </c>
      <c r="B991" s="20" t="s">
        <v>19</v>
      </c>
      <c r="C991" s="21">
        <v>45689</v>
      </c>
      <c r="D991" s="21">
        <v>45698</v>
      </c>
      <c r="E991" s="21">
        <v>45707</v>
      </c>
      <c r="F991" s="20" t="s">
        <v>44</v>
      </c>
      <c r="G991" s="22">
        <v>85.44</v>
      </c>
      <c r="H991" s="22">
        <v>16.75</v>
      </c>
      <c r="I991" s="20" t="s">
        <v>60</v>
      </c>
      <c r="J991" s="20">
        <v>5</v>
      </c>
      <c r="K991" s="20" t="s">
        <v>46</v>
      </c>
      <c r="L991" s="23">
        <f t="shared" si="116"/>
        <v>45689</v>
      </c>
      <c r="M991" s="20">
        <f t="shared" si="117"/>
        <v>9</v>
      </c>
      <c r="N991" s="20">
        <f t="shared" si="118"/>
        <v>0</v>
      </c>
      <c r="O991" s="20">
        <f t="shared" si="119"/>
        <v>1</v>
      </c>
      <c r="P991" s="22">
        <f t="shared" si="120"/>
        <v>102.19</v>
      </c>
      <c r="Q991" s="22">
        <f>G991*INDEX(Assumptions!$B$8:$B$16,MATCH(F991,Assumptions!$A$8:$A$16,0))</f>
        <v>51.263999999999996</v>
      </c>
      <c r="R991" s="22">
        <f>H991*Assumptions!$B$3</f>
        <v>10.049999999999999</v>
      </c>
      <c r="S991" s="22">
        <f t="shared" si="121"/>
        <v>24.126000000000005</v>
      </c>
      <c r="T991" s="20" t="str">
        <f t="shared" si="122"/>
        <v>8-14 days</v>
      </c>
    </row>
    <row r="992" spans="1:20" x14ac:dyDescent="0.3">
      <c r="A992" s="20" t="s">
        <v>1058</v>
      </c>
      <c r="B992" s="20" t="s">
        <v>19</v>
      </c>
      <c r="C992" s="21">
        <v>45690</v>
      </c>
      <c r="D992" s="21">
        <v>45694</v>
      </c>
      <c r="E992" s="21">
        <v>45705</v>
      </c>
      <c r="F992" s="20" t="s">
        <v>57</v>
      </c>
      <c r="G992" s="22">
        <v>83</v>
      </c>
      <c r="H992" s="22">
        <v>19.329999999999998</v>
      </c>
      <c r="I992" s="20" t="s">
        <v>45</v>
      </c>
      <c r="J992" s="20">
        <v>3</v>
      </c>
      <c r="K992" s="20" t="s">
        <v>46</v>
      </c>
      <c r="L992" s="23">
        <f t="shared" si="116"/>
        <v>45689</v>
      </c>
      <c r="M992" s="20">
        <f t="shared" si="117"/>
        <v>4</v>
      </c>
      <c r="N992" s="20">
        <f t="shared" si="118"/>
        <v>0</v>
      </c>
      <c r="O992" s="20">
        <f t="shared" si="119"/>
        <v>1</v>
      </c>
      <c r="P992" s="22">
        <f t="shared" si="120"/>
        <v>102.33</v>
      </c>
      <c r="Q992" s="22">
        <f>G992*INDEX(Assumptions!$B$8:$B$16,MATCH(F992,Assumptions!$A$8:$A$16,0))</f>
        <v>56.440000000000005</v>
      </c>
      <c r="R992" s="22">
        <f>H992*Assumptions!$B$3</f>
        <v>11.597999999999999</v>
      </c>
      <c r="S992" s="22">
        <f t="shared" si="121"/>
        <v>14.961999999999996</v>
      </c>
      <c r="T992" s="20" t="str">
        <f t="shared" si="122"/>
        <v>0-7 days</v>
      </c>
    </row>
    <row r="993" spans="1:20" x14ac:dyDescent="0.3">
      <c r="A993" s="20" t="s">
        <v>1059</v>
      </c>
      <c r="B993" s="20" t="s">
        <v>19</v>
      </c>
      <c r="C993" s="21">
        <v>45691</v>
      </c>
      <c r="D993" s="21">
        <v>45697</v>
      </c>
      <c r="E993" s="21">
        <v>45709</v>
      </c>
      <c r="F993" s="20" t="s">
        <v>59</v>
      </c>
      <c r="G993" s="22">
        <v>87.77</v>
      </c>
      <c r="H993" s="22">
        <v>18.45</v>
      </c>
      <c r="I993" s="20" t="s">
        <v>45</v>
      </c>
      <c r="J993" s="20">
        <v>5</v>
      </c>
      <c r="K993" s="20" t="s">
        <v>46</v>
      </c>
      <c r="L993" s="23">
        <f t="shared" si="116"/>
        <v>45689</v>
      </c>
      <c r="M993" s="20">
        <f t="shared" si="117"/>
        <v>6</v>
      </c>
      <c r="N993" s="20">
        <f t="shared" si="118"/>
        <v>0</v>
      </c>
      <c r="O993" s="20">
        <f t="shared" si="119"/>
        <v>1</v>
      </c>
      <c r="P993" s="22">
        <f t="shared" si="120"/>
        <v>106.22</v>
      </c>
      <c r="Q993" s="22">
        <f>G993*INDEX(Assumptions!$B$8:$B$16,MATCH(F993,Assumptions!$A$8:$A$16,0))</f>
        <v>56.172799999999995</v>
      </c>
      <c r="R993" s="22">
        <f>H993*Assumptions!$B$3</f>
        <v>11.069999999999999</v>
      </c>
      <c r="S993" s="22">
        <f t="shared" si="121"/>
        <v>20.527200000000001</v>
      </c>
      <c r="T993" s="20" t="str">
        <f t="shared" si="122"/>
        <v>0-7 days</v>
      </c>
    </row>
    <row r="994" spans="1:20" x14ac:dyDescent="0.3">
      <c r="A994" s="20" t="s">
        <v>1060</v>
      </c>
      <c r="B994" s="20" t="s">
        <v>19</v>
      </c>
      <c r="C994" s="21">
        <v>45691</v>
      </c>
      <c r="D994" s="21">
        <v>45703</v>
      </c>
      <c r="E994" s="21">
        <v>45706</v>
      </c>
      <c r="F994" s="20" t="s">
        <v>49</v>
      </c>
      <c r="G994" s="22">
        <v>37.78</v>
      </c>
      <c r="H994" s="22">
        <v>12.26</v>
      </c>
      <c r="I994" s="20" t="s">
        <v>45</v>
      </c>
      <c r="J994" s="20">
        <v>5</v>
      </c>
      <c r="K994" s="20" t="s">
        <v>46</v>
      </c>
      <c r="L994" s="23">
        <f t="shared" si="116"/>
        <v>45689</v>
      </c>
      <c r="M994" s="20">
        <f t="shared" si="117"/>
        <v>12</v>
      </c>
      <c r="N994" s="20">
        <f t="shared" si="118"/>
        <v>0</v>
      </c>
      <c r="O994" s="20">
        <f t="shared" si="119"/>
        <v>1</v>
      </c>
      <c r="P994" s="22">
        <f t="shared" si="120"/>
        <v>50.04</v>
      </c>
      <c r="Q994" s="22">
        <f>G994*INDEX(Assumptions!$B$8:$B$16,MATCH(F994,Assumptions!$A$8:$A$16,0))</f>
        <v>21.912399999999998</v>
      </c>
      <c r="R994" s="22">
        <f>H994*Assumptions!$B$3</f>
        <v>7.3559999999999999</v>
      </c>
      <c r="S994" s="22">
        <f t="shared" si="121"/>
        <v>8.5116000000000032</v>
      </c>
      <c r="T994" s="20" t="str">
        <f t="shared" si="122"/>
        <v>8-14 days</v>
      </c>
    </row>
    <row r="995" spans="1:20" x14ac:dyDescent="0.3">
      <c r="A995" s="20" t="s">
        <v>1061</v>
      </c>
      <c r="B995" s="20" t="s">
        <v>19</v>
      </c>
      <c r="C995" s="21">
        <v>45691</v>
      </c>
      <c r="D995" s="21">
        <v>45696</v>
      </c>
      <c r="E995" s="21">
        <v>45704</v>
      </c>
      <c r="F995" s="20" t="s">
        <v>49</v>
      </c>
      <c r="G995" s="22">
        <v>135.36000000000001</v>
      </c>
      <c r="H995" s="22">
        <v>21.47</v>
      </c>
      <c r="I995" s="20" t="s">
        <v>60</v>
      </c>
      <c r="J995" s="20">
        <v>5</v>
      </c>
      <c r="K995" s="20" t="s">
        <v>46</v>
      </c>
      <c r="L995" s="23">
        <f t="shared" si="116"/>
        <v>45689</v>
      </c>
      <c r="M995" s="20">
        <f t="shared" si="117"/>
        <v>5</v>
      </c>
      <c r="N995" s="20">
        <f t="shared" si="118"/>
        <v>0</v>
      </c>
      <c r="O995" s="20">
        <f t="shared" si="119"/>
        <v>1</v>
      </c>
      <c r="P995" s="22">
        <f t="shared" si="120"/>
        <v>156.83000000000001</v>
      </c>
      <c r="Q995" s="22">
        <f>G995*INDEX(Assumptions!$B$8:$B$16,MATCH(F995,Assumptions!$A$8:$A$16,0))</f>
        <v>78.508800000000008</v>
      </c>
      <c r="R995" s="22">
        <f>H995*Assumptions!$B$3</f>
        <v>12.882</v>
      </c>
      <c r="S995" s="22">
        <f t="shared" si="121"/>
        <v>43.969200000000008</v>
      </c>
      <c r="T995" s="20" t="str">
        <f t="shared" si="122"/>
        <v>0-7 days</v>
      </c>
    </row>
    <row r="996" spans="1:20" x14ac:dyDescent="0.3">
      <c r="A996" s="20" t="s">
        <v>1062</v>
      </c>
      <c r="B996" s="20" t="s">
        <v>19</v>
      </c>
      <c r="C996" s="21">
        <v>45691</v>
      </c>
      <c r="D996" s="21">
        <v>45701</v>
      </c>
      <c r="E996" s="21">
        <v>45703</v>
      </c>
      <c r="F996" s="20" t="s">
        <v>67</v>
      </c>
      <c r="G996" s="22">
        <v>103.45</v>
      </c>
      <c r="H996" s="22">
        <v>17.510000000000002</v>
      </c>
      <c r="I996" s="20" t="s">
        <v>60</v>
      </c>
      <c r="J996" s="20">
        <v>5</v>
      </c>
      <c r="K996" s="20" t="s">
        <v>46</v>
      </c>
      <c r="L996" s="23">
        <f t="shared" si="116"/>
        <v>45689</v>
      </c>
      <c r="M996" s="20">
        <f t="shared" si="117"/>
        <v>10</v>
      </c>
      <c r="N996" s="20">
        <f t="shared" si="118"/>
        <v>0</v>
      </c>
      <c r="O996" s="20">
        <f t="shared" si="119"/>
        <v>1</v>
      </c>
      <c r="P996" s="22">
        <f t="shared" si="120"/>
        <v>120.96000000000001</v>
      </c>
      <c r="Q996" s="22">
        <f>G996*INDEX(Assumptions!$B$8:$B$16,MATCH(F996,Assumptions!$A$8:$A$16,0))</f>
        <v>64.138999999999996</v>
      </c>
      <c r="R996" s="22">
        <f>H996*Assumptions!$B$3</f>
        <v>10.506</v>
      </c>
      <c r="S996" s="22">
        <f t="shared" si="121"/>
        <v>28.805000000000007</v>
      </c>
      <c r="T996" s="20" t="str">
        <f t="shared" si="122"/>
        <v>8-14 days</v>
      </c>
    </row>
    <row r="997" spans="1:20" x14ac:dyDescent="0.3">
      <c r="A997" s="20" t="s">
        <v>1063</v>
      </c>
      <c r="B997" s="20" t="s">
        <v>55</v>
      </c>
      <c r="C997" s="21">
        <v>45691</v>
      </c>
      <c r="D997" s="21">
        <v>45712</v>
      </c>
      <c r="E997" s="21">
        <v>45716</v>
      </c>
      <c r="F997" s="20" t="s">
        <v>44</v>
      </c>
      <c r="G997" s="22">
        <v>134.12</v>
      </c>
      <c r="H997" s="22">
        <v>23.67</v>
      </c>
      <c r="I997" s="20" t="s">
        <v>45</v>
      </c>
      <c r="J997" s="20">
        <v>5</v>
      </c>
      <c r="K997" s="20" t="s">
        <v>46</v>
      </c>
      <c r="L997" s="23">
        <f t="shared" si="116"/>
        <v>45689</v>
      </c>
      <c r="M997" s="20">
        <f t="shared" si="117"/>
        <v>21</v>
      </c>
      <c r="N997" s="20">
        <f t="shared" si="118"/>
        <v>0</v>
      </c>
      <c r="O997" s="20">
        <f t="shared" si="119"/>
        <v>1</v>
      </c>
      <c r="P997" s="22">
        <f t="shared" si="120"/>
        <v>157.79000000000002</v>
      </c>
      <c r="Q997" s="22">
        <f>G997*INDEX(Assumptions!$B$8:$B$16,MATCH(F997,Assumptions!$A$8:$A$16,0))</f>
        <v>80.471999999999994</v>
      </c>
      <c r="R997" s="22">
        <f>H997*Assumptions!$B$3</f>
        <v>14.202</v>
      </c>
      <c r="S997" s="22">
        <f t="shared" si="121"/>
        <v>39.446000000000012</v>
      </c>
      <c r="T997" s="20" t="str">
        <f t="shared" si="122"/>
        <v>15-21 days</v>
      </c>
    </row>
    <row r="998" spans="1:20" x14ac:dyDescent="0.3">
      <c r="A998" s="20" t="s">
        <v>1064</v>
      </c>
      <c r="B998" s="20" t="s">
        <v>19</v>
      </c>
      <c r="C998" s="21">
        <v>45691</v>
      </c>
      <c r="D998" s="21">
        <v>45702</v>
      </c>
      <c r="E998" s="21">
        <v>45706</v>
      </c>
      <c r="F998" s="20" t="s">
        <v>49</v>
      </c>
      <c r="G998" s="22">
        <v>102.24</v>
      </c>
      <c r="H998" s="22">
        <v>19.34</v>
      </c>
      <c r="I998" s="20" t="s">
        <v>45</v>
      </c>
      <c r="J998" s="20">
        <v>4</v>
      </c>
      <c r="K998" s="20" t="s">
        <v>46</v>
      </c>
      <c r="L998" s="23">
        <f t="shared" si="116"/>
        <v>45689</v>
      </c>
      <c r="M998" s="20">
        <f t="shared" si="117"/>
        <v>11</v>
      </c>
      <c r="N998" s="20">
        <f t="shared" si="118"/>
        <v>0</v>
      </c>
      <c r="O998" s="20">
        <f t="shared" si="119"/>
        <v>1</v>
      </c>
      <c r="P998" s="22">
        <f t="shared" si="120"/>
        <v>121.58</v>
      </c>
      <c r="Q998" s="22">
        <f>G998*INDEX(Assumptions!$B$8:$B$16,MATCH(F998,Assumptions!$A$8:$A$16,0))</f>
        <v>59.299199999999992</v>
      </c>
      <c r="R998" s="22">
        <f>H998*Assumptions!$B$3</f>
        <v>11.603999999999999</v>
      </c>
      <c r="S998" s="22">
        <f t="shared" si="121"/>
        <v>31.336800000000004</v>
      </c>
      <c r="T998" s="20" t="str">
        <f t="shared" si="122"/>
        <v>8-14 days</v>
      </c>
    </row>
    <row r="999" spans="1:20" x14ac:dyDescent="0.3">
      <c r="A999" s="20" t="s">
        <v>1065</v>
      </c>
      <c r="B999" s="20" t="s">
        <v>19</v>
      </c>
      <c r="C999" s="21">
        <v>45691</v>
      </c>
      <c r="D999" s="21">
        <v>45698</v>
      </c>
      <c r="E999" s="21">
        <v>45706</v>
      </c>
      <c r="F999" s="20" t="s">
        <v>67</v>
      </c>
      <c r="G999" s="22">
        <v>112.79</v>
      </c>
      <c r="H999" s="22">
        <v>16.29</v>
      </c>
      <c r="I999" s="20" t="s">
        <v>45</v>
      </c>
      <c r="J999" s="20">
        <v>5</v>
      </c>
      <c r="K999" s="20" t="s">
        <v>46</v>
      </c>
      <c r="L999" s="23">
        <f t="shared" si="116"/>
        <v>45689</v>
      </c>
      <c r="M999" s="20">
        <f t="shared" si="117"/>
        <v>7</v>
      </c>
      <c r="N999" s="20">
        <f t="shared" si="118"/>
        <v>0</v>
      </c>
      <c r="O999" s="20">
        <f t="shared" si="119"/>
        <v>1</v>
      </c>
      <c r="P999" s="22">
        <f t="shared" si="120"/>
        <v>129.08000000000001</v>
      </c>
      <c r="Q999" s="22">
        <f>G999*INDEX(Assumptions!$B$8:$B$16,MATCH(F999,Assumptions!$A$8:$A$16,0))</f>
        <v>69.9298</v>
      </c>
      <c r="R999" s="22">
        <f>H999*Assumptions!$B$3</f>
        <v>9.7739999999999991</v>
      </c>
      <c r="S999" s="22">
        <f t="shared" si="121"/>
        <v>33.086200000000005</v>
      </c>
      <c r="T999" s="20" t="str">
        <f t="shared" si="122"/>
        <v>0-7 days</v>
      </c>
    </row>
    <row r="1000" spans="1:20" x14ac:dyDescent="0.3">
      <c r="A1000" s="20" t="s">
        <v>1066</v>
      </c>
      <c r="B1000" s="20" t="s">
        <v>103</v>
      </c>
      <c r="C1000" s="21">
        <v>45692</v>
      </c>
      <c r="D1000" s="21">
        <v>45707</v>
      </c>
      <c r="E1000" s="21">
        <v>45713</v>
      </c>
      <c r="F1000" s="20" t="s">
        <v>53</v>
      </c>
      <c r="G1000" s="22">
        <v>104.37</v>
      </c>
      <c r="H1000" s="22">
        <v>24.18</v>
      </c>
      <c r="I1000" s="20" t="s">
        <v>45</v>
      </c>
      <c r="J1000" s="20">
        <v>3</v>
      </c>
      <c r="K1000" s="20" t="s">
        <v>46</v>
      </c>
      <c r="L1000" s="23">
        <f t="shared" si="116"/>
        <v>45689</v>
      </c>
      <c r="M1000" s="20">
        <f t="shared" si="117"/>
        <v>15</v>
      </c>
      <c r="N1000" s="20">
        <f t="shared" si="118"/>
        <v>0</v>
      </c>
      <c r="O1000" s="20">
        <f t="shared" si="119"/>
        <v>1</v>
      </c>
      <c r="P1000" s="22">
        <f t="shared" si="120"/>
        <v>128.55000000000001</v>
      </c>
      <c r="Q1000" s="22">
        <f>G1000*INDEX(Assumptions!$B$8:$B$16,MATCH(F1000,Assumptions!$A$8:$A$16,0))</f>
        <v>77.233800000000002</v>
      </c>
      <c r="R1000" s="22">
        <f>H1000*Assumptions!$B$3</f>
        <v>14.507999999999999</v>
      </c>
      <c r="S1000" s="22">
        <f t="shared" si="121"/>
        <v>12.628200000000003</v>
      </c>
      <c r="T1000" s="20" t="str">
        <f t="shared" si="122"/>
        <v>15-21 days</v>
      </c>
    </row>
    <row r="1001" spans="1:20" x14ac:dyDescent="0.3">
      <c r="A1001" s="20" t="s">
        <v>1067</v>
      </c>
      <c r="B1001" s="20" t="s">
        <v>19</v>
      </c>
      <c r="C1001" s="21">
        <v>45692</v>
      </c>
      <c r="D1001" s="21">
        <v>45712</v>
      </c>
      <c r="E1001" s="21">
        <v>45708</v>
      </c>
      <c r="F1001" s="20" t="s">
        <v>67</v>
      </c>
      <c r="G1001" s="22">
        <v>63.35</v>
      </c>
      <c r="H1001" s="22">
        <v>20.64</v>
      </c>
      <c r="I1001" s="20" t="s">
        <v>60</v>
      </c>
      <c r="J1001" s="20">
        <v>2</v>
      </c>
      <c r="K1001" s="20" t="s">
        <v>46</v>
      </c>
      <c r="L1001" s="23">
        <f t="shared" si="116"/>
        <v>45689</v>
      </c>
      <c r="M1001" s="20">
        <f t="shared" si="117"/>
        <v>20</v>
      </c>
      <c r="N1001" s="20">
        <f t="shared" si="118"/>
        <v>4</v>
      </c>
      <c r="O1001" s="20">
        <f t="shared" si="119"/>
        <v>0</v>
      </c>
      <c r="P1001" s="22">
        <f t="shared" si="120"/>
        <v>83.990000000000009</v>
      </c>
      <c r="Q1001" s="22">
        <f>G1001*INDEX(Assumptions!$B$8:$B$16,MATCH(F1001,Assumptions!$A$8:$A$16,0))</f>
        <v>39.277000000000001</v>
      </c>
      <c r="R1001" s="22">
        <f>H1001*Assumptions!$B$3</f>
        <v>12.384</v>
      </c>
      <c r="S1001" s="22">
        <f t="shared" si="121"/>
        <v>11.689</v>
      </c>
      <c r="T1001" s="20" t="str">
        <f t="shared" si="122"/>
        <v>15-21 days</v>
      </c>
    </row>
    <row r="1002" spans="1:20" x14ac:dyDescent="0.3">
      <c r="A1002" s="20" t="s">
        <v>1068</v>
      </c>
      <c r="B1002" s="20" t="s">
        <v>62</v>
      </c>
      <c r="C1002" s="21">
        <v>45692</v>
      </c>
      <c r="D1002" s="21">
        <v>45706</v>
      </c>
      <c r="E1002" s="21">
        <v>45711</v>
      </c>
      <c r="F1002" s="20" t="s">
        <v>49</v>
      </c>
      <c r="G1002" s="22">
        <v>228.83</v>
      </c>
      <c r="H1002" s="22">
        <v>31.54</v>
      </c>
      <c r="I1002" s="20" t="s">
        <v>45</v>
      </c>
      <c r="J1002" s="20">
        <v>3</v>
      </c>
      <c r="K1002" s="20" t="s">
        <v>46</v>
      </c>
      <c r="L1002" s="23">
        <f t="shared" si="116"/>
        <v>45689</v>
      </c>
      <c r="M1002" s="20">
        <f t="shared" si="117"/>
        <v>14</v>
      </c>
      <c r="N1002" s="20">
        <f t="shared" si="118"/>
        <v>0</v>
      </c>
      <c r="O1002" s="20">
        <f t="shared" si="119"/>
        <v>1</v>
      </c>
      <c r="P1002" s="22">
        <f t="shared" si="120"/>
        <v>260.37</v>
      </c>
      <c r="Q1002" s="22">
        <f>G1002*INDEX(Assumptions!$B$8:$B$16,MATCH(F1002,Assumptions!$A$8:$A$16,0))</f>
        <v>132.72139999999999</v>
      </c>
      <c r="R1002" s="22">
        <f>H1002*Assumptions!$B$3</f>
        <v>18.923999999999999</v>
      </c>
      <c r="S1002" s="22">
        <f t="shared" si="121"/>
        <v>77.184600000000017</v>
      </c>
      <c r="T1002" s="20" t="str">
        <f t="shared" si="122"/>
        <v>8-14 days</v>
      </c>
    </row>
    <row r="1003" spans="1:20" x14ac:dyDescent="0.3">
      <c r="A1003" s="20" t="s">
        <v>1069</v>
      </c>
      <c r="B1003" s="20" t="s">
        <v>19</v>
      </c>
      <c r="C1003" s="21">
        <v>45693</v>
      </c>
      <c r="D1003" s="21">
        <v>45700</v>
      </c>
      <c r="E1003" s="21">
        <v>45708</v>
      </c>
      <c r="F1003" s="20" t="s">
        <v>79</v>
      </c>
      <c r="G1003" s="22">
        <v>212.34</v>
      </c>
      <c r="H1003" s="22">
        <v>15.28</v>
      </c>
      <c r="I1003" s="20" t="s">
        <v>50</v>
      </c>
      <c r="J1003" s="20">
        <v>5</v>
      </c>
      <c r="K1003" s="20" t="s">
        <v>46</v>
      </c>
      <c r="L1003" s="23">
        <f t="shared" si="116"/>
        <v>45689</v>
      </c>
      <c r="M1003" s="20">
        <f t="shared" si="117"/>
        <v>7</v>
      </c>
      <c r="N1003" s="20">
        <f t="shared" si="118"/>
        <v>0</v>
      </c>
      <c r="O1003" s="20">
        <f t="shared" si="119"/>
        <v>1</v>
      </c>
      <c r="P1003" s="22">
        <f t="shared" si="120"/>
        <v>227.62</v>
      </c>
      <c r="Q1003" s="22">
        <f>G1003*INDEX(Assumptions!$B$8:$B$16,MATCH(F1003,Assumptions!$A$8:$A$16,0))</f>
        <v>148.63800000000001</v>
      </c>
      <c r="R1003" s="22">
        <f>H1003*Assumptions!$B$3</f>
        <v>9.1679999999999993</v>
      </c>
      <c r="S1003" s="22">
        <f t="shared" si="121"/>
        <v>54.533999999999999</v>
      </c>
      <c r="T1003" s="20" t="str">
        <f t="shared" si="122"/>
        <v>0-7 days</v>
      </c>
    </row>
    <row r="1004" spans="1:20" x14ac:dyDescent="0.3">
      <c r="A1004" s="20" t="s">
        <v>1070</v>
      </c>
      <c r="B1004" s="20" t="s">
        <v>62</v>
      </c>
      <c r="C1004" s="21">
        <v>45693</v>
      </c>
      <c r="D1004" s="21">
        <v>45711</v>
      </c>
      <c r="E1004" s="21">
        <v>45714</v>
      </c>
      <c r="F1004" s="20" t="s">
        <v>49</v>
      </c>
      <c r="G1004" s="22">
        <v>73.44</v>
      </c>
      <c r="H1004" s="22">
        <v>18.079999999999998</v>
      </c>
      <c r="I1004" s="20" t="s">
        <v>45</v>
      </c>
      <c r="J1004" s="20">
        <v>5</v>
      </c>
      <c r="K1004" s="20" t="s">
        <v>46</v>
      </c>
      <c r="L1004" s="23">
        <f t="shared" si="116"/>
        <v>45689</v>
      </c>
      <c r="M1004" s="20">
        <f t="shared" si="117"/>
        <v>18</v>
      </c>
      <c r="N1004" s="20">
        <f t="shared" si="118"/>
        <v>0</v>
      </c>
      <c r="O1004" s="20">
        <f t="shared" si="119"/>
        <v>1</v>
      </c>
      <c r="P1004" s="22">
        <f t="shared" si="120"/>
        <v>91.52</v>
      </c>
      <c r="Q1004" s="22">
        <f>G1004*INDEX(Assumptions!$B$8:$B$16,MATCH(F1004,Assumptions!$A$8:$A$16,0))</f>
        <v>42.595199999999998</v>
      </c>
      <c r="R1004" s="22">
        <f>H1004*Assumptions!$B$3</f>
        <v>10.847999999999999</v>
      </c>
      <c r="S1004" s="22">
        <f t="shared" si="121"/>
        <v>19.9968</v>
      </c>
      <c r="T1004" s="20" t="str">
        <f t="shared" si="122"/>
        <v>15-21 days</v>
      </c>
    </row>
    <row r="1005" spans="1:20" x14ac:dyDescent="0.3">
      <c r="A1005" s="20" t="s">
        <v>1071</v>
      </c>
      <c r="B1005" s="20" t="s">
        <v>19</v>
      </c>
      <c r="C1005" s="21">
        <v>45693</v>
      </c>
      <c r="D1005" s="21">
        <v>45711</v>
      </c>
      <c r="E1005" s="21">
        <v>45709</v>
      </c>
      <c r="F1005" s="20" t="s">
        <v>111</v>
      </c>
      <c r="G1005" s="22">
        <v>25.29</v>
      </c>
      <c r="H1005" s="22">
        <v>15.87</v>
      </c>
      <c r="I1005" s="20" t="s">
        <v>60</v>
      </c>
      <c r="J1005" s="20">
        <v>3</v>
      </c>
      <c r="K1005" s="20" t="s">
        <v>46</v>
      </c>
      <c r="L1005" s="23">
        <f t="shared" si="116"/>
        <v>45689</v>
      </c>
      <c r="M1005" s="20">
        <f t="shared" si="117"/>
        <v>18</v>
      </c>
      <c r="N1005" s="20">
        <f t="shared" si="118"/>
        <v>2</v>
      </c>
      <c r="O1005" s="20">
        <f t="shared" si="119"/>
        <v>0</v>
      </c>
      <c r="P1005" s="22">
        <f t="shared" si="120"/>
        <v>41.16</v>
      </c>
      <c r="Q1005" s="22">
        <f>G1005*INDEX(Assumptions!$B$8:$B$16,MATCH(F1005,Assumptions!$A$8:$A$16,0))</f>
        <v>15.932699999999999</v>
      </c>
      <c r="R1005" s="22">
        <f>H1005*Assumptions!$B$3</f>
        <v>9.5219999999999985</v>
      </c>
      <c r="S1005" s="22">
        <f t="shared" si="121"/>
        <v>-0.16469999999999807</v>
      </c>
      <c r="T1005" s="20" t="str">
        <f t="shared" si="122"/>
        <v>15-21 days</v>
      </c>
    </row>
    <row r="1006" spans="1:20" x14ac:dyDescent="0.3">
      <c r="A1006" s="20" t="s">
        <v>1072</v>
      </c>
      <c r="B1006" s="20" t="s">
        <v>19</v>
      </c>
      <c r="C1006" s="21">
        <v>45693</v>
      </c>
      <c r="D1006" s="21">
        <v>45702</v>
      </c>
      <c r="E1006" s="21">
        <v>45710</v>
      </c>
      <c r="F1006" s="20" t="s">
        <v>67</v>
      </c>
      <c r="G1006" s="22">
        <v>49.01</v>
      </c>
      <c r="H1006" s="22">
        <v>14.39</v>
      </c>
      <c r="I1006" s="20" t="s">
        <v>45</v>
      </c>
      <c r="J1006" s="20">
        <v>4</v>
      </c>
      <c r="K1006" s="20" t="s">
        <v>46</v>
      </c>
      <c r="L1006" s="23">
        <f t="shared" si="116"/>
        <v>45689</v>
      </c>
      <c r="M1006" s="20">
        <f t="shared" si="117"/>
        <v>9</v>
      </c>
      <c r="N1006" s="20">
        <f t="shared" si="118"/>
        <v>0</v>
      </c>
      <c r="O1006" s="20">
        <f t="shared" si="119"/>
        <v>1</v>
      </c>
      <c r="P1006" s="22">
        <f t="shared" si="120"/>
        <v>63.4</v>
      </c>
      <c r="Q1006" s="22">
        <f>G1006*INDEX(Assumptions!$B$8:$B$16,MATCH(F1006,Assumptions!$A$8:$A$16,0))</f>
        <v>30.386199999999999</v>
      </c>
      <c r="R1006" s="22">
        <f>H1006*Assumptions!$B$3</f>
        <v>8.6340000000000003</v>
      </c>
      <c r="S1006" s="22">
        <f t="shared" si="121"/>
        <v>9.9897999999999989</v>
      </c>
      <c r="T1006" s="20" t="str">
        <f t="shared" si="122"/>
        <v>8-14 days</v>
      </c>
    </row>
    <row r="1007" spans="1:20" x14ac:dyDescent="0.3">
      <c r="A1007" s="20" t="s">
        <v>1073</v>
      </c>
      <c r="B1007" s="20" t="s">
        <v>52</v>
      </c>
      <c r="C1007" s="21">
        <v>45693</v>
      </c>
      <c r="D1007" s="21">
        <v>45706</v>
      </c>
      <c r="E1007" s="21">
        <v>45717</v>
      </c>
      <c r="F1007" s="20" t="s">
        <v>44</v>
      </c>
      <c r="G1007" s="22">
        <v>150.12</v>
      </c>
      <c r="H1007" s="22">
        <v>20</v>
      </c>
      <c r="I1007" s="20" t="s">
        <v>45</v>
      </c>
      <c r="J1007" s="20">
        <v>5</v>
      </c>
      <c r="K1007" s="20" t="s">
        <v>46</v>
      </c>
      <c r="L1007" s="23">
        <f t="shared" si="116"/>
        <v>45689</v>
      </c>
      <c r="M1007" s="20">
        <f t="shared" si="117"/>
        <v>13</v>
      </c>
      <c r="N1007" s="20">
        <f t="shared" si="118"/>
        <v>0</v>
      </c>
      <c r="O1007" s="20">
        <f t="shared" si="119"/>
        <v>1</v>
      </c>
      <c r="P1007" s="22">
        <f t="shared" si="120"/>
        <v>170.12</v>
      </c>
      <c r="Q1007" s="22">
        <f>G1007*INDEX(Assumptions!$B$8:$B$16,MATCH(F1007,Assumptions!$A$8:$A$16,0))</f>
        <v>90.072000000000003</v>
      </c>
      <c r="R1007" s="22">
        <f>H1007*Assumptions!$B$3</f>
        <v>12</v>
      </c>
      <c r="S1007" s="22">
        <f t="shared" si="121"/>
        <v>48.048000000000002</v>
      </c>
      <c r="T1007" s="20" t="str">
        <f t="shared" si="122"/>
        <v>8-14 days</v>
      </c>
    </row>
    <row r="1008" spans="1:20" x14ac:dyDescent="0.3">
      <c r="A1008" s="20" t="s">
        <v>1074</v>
      </c>
      <c r="B1008" s="20" t="s">
        <v>19</v>
      </c>
      <c r="C1008" s="21">
        <v>45693</v>
      </c>
      <c r="D1008" s="21">
        <v>45704</v>
      </c>
      <c r="E1008" s="21">
        <v>45707</v>
      </c>
      <c r="F1008" s="20" t="s">
        <v>67</v>
      </c>
      <c r="G1008" s="22">
        <v>66.349999999999994</v>
      </c>
      <c r="H1008" s="22">
        <v>11.93</v>
      </c>
      <c r="I1008" s="20" t="s">
        <v>45</v>
      </c>
      <c r="J1008" s="20">
        <v>4</v>
      </c>
      <c r="K1008" s="20" t="s">
        <v>46</v>
      </c>
      <c r="L1008" s="23">
        <f t="shared" si="116"/>
        <v>45689</v>
      </c>
      <c r="M1008" s="20">
        <f t="shared" si="117"/>
        <v>11</v>
      </c>
      <c r="N1008" s="20">
        <f t="shared" si="118"/>
        <v>0</v>
      </c>
      <c r="O1008" s="20">
        <f t="shared" si="119"/>
        <v>1</v>
      </c>
      <c r="P1008" s="22">
        <f t="shared" si="120"/>
        <v>78.28</v>
      </c>
      <c r="Q1008" s="22">
        <f>G1008*INDEX(Assumptions!$B$8:$B$16,MATCH(F1008,Assumptions!$A$8:$A$16,0))</f>
        <v>41.136999999999993</v>
      </c>
      <c r="R1008" s="22">
        <f>H1008*Assumptions!$B$3</f>
        <v>7.1579999999999995</v>
      </c>
      <c r="S1008" s="22">
        <f t="shared" si="121"/>
        <v>18.055</v>
      </c>
      <c r="T1008" s="20" t="str">
        <f t="shared" si="122"/>
        <v>8-14 days</v>
      </c>
    </row>
    <row r="1009" spans="1:20" x14ac:dyDescent="0.3">
      <c r="A1009" s="20" t="s">
        <v>1075</v>
      </c>
      <c r="B1009" s="20" t="s">
        <v>62</v>
      </c>
      <c r="C1009" s="21">
        <v>45693</v>
      </c>
      <c r="D1009" s="21">
        <v>45706</v>
      </c>
      <c r="E1009" s="21">
        <v>45714</v>
      </c>
      <c r="F1009" s="20" t="s">
        <v>59</v>
      </c>
      <c r="G1009" s="22">
        <v>140.72</v>
      </c>
      <c r="H1009" s="22">
        <v>26.43</v>
      </c>
      <c r="I1009" s="20" t="s">
        <v>45</v>
      </c>
      <c r="J1009" s="20">
        <v>3</v>
      </c>
      <c r="K1009" s="20" t="s">
        <v>46</v>
      </c>
      <c r="L1009" s="23">
        <f t="shared" si="116"/>
        <v>45689</v>
      </c>
      <c r="M1009" s="20">
        <f t="shared" si="117"/>
        <v>13</v>
      </c>
      <c r="N1009" s="20">
        <f t="shared" si="118"/>
        <v>0</v>
      </c>
      <c r="O1009" s="20">
        <f t="shared" si="119"/>
        <v>1</v>
      </c>
      <c r="P1009" s="22">
        <f t="shared" si="120"/>
        <v>167.15</v>
      </c>
      <c r="Q1009" s="22">
        <f>G1009*INDEX(Assumptions!$B$8:$B$16,MATCH(F1009,Assumptions!$A$8:$A$16,0))</f>
        <v>90.0608</v>
      </c>
      <c r="R1009" s="22">
        <f>H1009*Assumptions!$B$3</f>
        <v>15.857999999999999</v>
      </c>
      <c r="S1009" s="22">
        <f t="shared" si="121"/>
        <v>34.801200000000001</v>
      </c>
      <c r="T1009" s="20" t="str">
        <f t="shared" si="122"/>
        <v>8-14 days</v>
      </c>
    </row>
    <row r="1010" spans="1:20" x14ac:dyDescent="0.3">
      <c r="A1010" s="20" t="s">
        <v>1076</v>
      </c>
      <c r="B1010" s="20" t="s">
        <v>134</v>
      </c>
      <c r="C1010" s="21">
        <v>45694</v>
      </c>
      <c r="D1010" s="21">
        <v>45705</v>
      </c>
      <c r="E1010" s="21">
        <v>45715</v>
      </c>
      <c r="F1010" s="20" t="s">
        <v>49</v>
      </c>
      <c r="G1010" s="22">
        <v>139.52000000000001</v>
      </c>
      <c r="H1010" s="22">
        <v>18.34</v>
      </c>
      <c r="I1010" s="20" t="s">
        <v>45</v>
      </c>
      <c r="J1010" s="20">
        <v>4</v>
      </c>
      <c r="K1010" s="20" t="s">
        <v>46</v>
      </c>
      <c r="L1010" s="23">
        <f t="shared" si="116"/>
        <v>45689</v>
      </c>
      <c r="M1010" s="20">
        <f t="shared" si="117"/>
        <v>11</v>
      </c>
      <c r="N1010" s="20">
        <f t="shared" si="118"/>
        <v>0</v>
      </c>
      <c r="O1010" s="20">
        <f t="shared" si="119"/>
        <v>1</v>
      </c>
      <c r="P1010" s="22">
        <f t="shared" si="120"/>
        <v>157.86000000000001</v>
      </c>
      <c r="Q1010" s="22">
        <f>G1010*INDEX(Assumptions!$B$8:$B$16,MATCH(F1010,Assumptions!$A$8:$A$16,0))</f>
        <v>80.921599999999998</v>
      </c>
      <c r="R1010" s="22">
        <f>H1010*Assumptions!$B$3</f>
        <v>11.004</v>
      </c>
      <c r="S1010" s="22">
        <f t="shared" si="121"/>
        <v>47.594400000000014</v>
      </c>
      <c r="T1010" s="20" t="str">
        <f t="shared" si="122"/>
        <v>8-14 days</v>
      </c>
    </row>
    <row r="1011" spans="1:20" x14ac:dyDescent="0.3">
      <c r="A1011" s="20" t="s">
        <v>1077</v>
      </c>
      <c r="B1011" s="20" t="s">
        <v>19</v>
      </c>
      <c r="C1011" s="21">
        <v>45694</v>
      </c>
      <c r="D1011" s="21">
        <v>45698</v>
      </c>
      <c r="E1011" s="21">
        <v>45706</v>
      </c>
      <c r="F1011" s="20" t="s">
        <v>67</v>
      </c>
      <c r="G1011" s="22">
        <v>62.72</v>
      </c>
      <c r="H1011" s="22">
        <v>17.23</v>
      </c>
      <c r="I1011" s="20" t="s">
        <v>45</v>
      </c>
      <c r="J1011" s="20">
        <v>5</v>
      </c>
      <c r="K1011" s="20" t="s">
        <v>46</v>
      </c>
      <c r="L1011" s="23">
        <f t="shared" si="116"/>
        <v>45689</v>
      </c>
      <c r="M1011" s="20">
        <f t="shared" si="117"/>
        <v>4</v>
      </c>
      <c r="N1011" s="20">
        <f t="shared" si="118"/>
        <v>0</v>
      </c>
      <c r="O1011" s="20">
        <f t="shared" si="119"/>
        <v>1</v>
      </c>
      <c r="P1011" s="22">
        <f t="shared" si="120"/>
        <v>79.95</v>
      </c>
      <c r="Q1011" s="22">
        <f>G1011*INDEX(Assumptions!$B$8:$B$16,MATCH(F1011,Assumptions!$A$8:$A$16,0))</f>
        <v>38.886400000000002</v>
      </c>
      <c r="R1011" s="22">
        <f>H1011*Assumptions!$B$3</f>
        <v>10.337999999999999</v>
      </c>
      <c r="S1011" s="22">
        <f t="shared" si="121"/>
        <v>13.495599999999998</v>
      </c>
      <c r="T1011" s="20" t="str">
        <f t="shared" si="122"/>
        <v>0-7 days</v>
      </c>
    </row>
    <row r="1012" spans="1:20" x14ac:dyDescent="0.3">
      <c r="A1012" s="20" t="s">
        <v>1078</v>
      </c>
      <c r="B1012" s="20" t="s">
        <v>62</v>
      </c>
      <c r="C1012" s="21">
        <v>45694</v>
      </c>
      <c r="D1012" s="21">
        <v>45706</v>
      </c>
      <c r="E1012" s="21">
        <v>45717</v>
      </c>
      <c r="F1012" s="20" t="s">
        <v>79</v>
      </c>
      <c r="G1012" s="22">
        <v>101.47</v>
      </c>
      <c r="H1012" s="22">
        <v>19.059999999999999</v>
      </c>
      <c r="I1012" s="20" t="s">
        <v>45</v>
      </c>
      <c r="J1012" s="20">
        <v>5</v>
      </c>
      <c r="K1012" s="20" t="s">
        <v>46</v>
      </c>
      <c r="L1012" s="23">
        <f t="shared" si="116"/>
        <v>45689</v>
      </c>
      <c r="M1012" s="20">
        <f t="shared" si="117"/>
        <v>12</v>
      </c>
      <c r="N1012" s="20">
        <f t="shared" si="118"/>
        <v>0</v>
      </c>
      <c r="O1012" s="20">
        <f t="shared" si="119"/>
        <v>1</v>
      </c>
      <c r="P1012" s="22">
        <f t="shared" si="120"/>
        <v>120.53</v>
      </c>
      <c r="Q1012" s="22">
        <f>G1012*INDEX(Assumptions!$B$8:$B$16,MATCH(F1012,Assumptions!$A$8:$A$16,0))</f>
        <v>71.028999999999996</v>
      </c>
      <c r="R1012" s="22">
        <f>H1012*Assumptions!$B$3</f>
        <v>11.435999999999998</v>
      </c>
      <c r="S1012" s="22">
        <f t="shared" si="121"/>
        <v>19.005000000000003</v>
      </c>
      <c r="T1012" s="20" t="str">
        <f t="shared" si="122"/>
        <v>8-14 days</v>
      </c>
    </row>
    <row r="1013" spans="1:20" x14ac:dyDescent="0.3">
      <c r="A1013" s="20" t="s">
        <v>1079</v>
      </c>
      <c r="B1013" s="20" t="s">
        <v>103</v>
      </c>
      <c r="C1013" s="21">
        <v>45694</v>
      </c>
      <c r="D1013" s="21">
        <v>45703</v>
      </c>
      <c r="E1013" s="21">
        <v>45715</v>
      </c>
      <c r="F1013" s="20" t="s">
        <v>79</v>
      </c>
      <c r="G1013" s="22">
        <v>195.47</v>
      </c>
      <c r="H1013" s="22">
        <v>19.79</v>
      </c>
      <c r="I1013" s="20" t="s">
        <v>50</v>
      </c>
      <c r="J1013" s="20">
        <v>5</v>
      </c>
      <c r="K1013" s="20" t="s">
        <v>46</v>
      </c>
      <c r="L1013" s="23">
        <f t="shared" si="116"/>
        <v>45689</v>
      </c>
      <c r="M1013" s="20">
        <f t="shared" si="117"/>
        <v>9</v>
      </c>
      <c r="N1013" s="20">
        <f t="shared" si="118"/>
        <v>0</v>
      </c>
      <c r="O1013" s="20">
        <f t="shared" si="119"/>
        <v>1</v>
      </c>
      <c r="P1013" s="22">
        <f t="shared" si="120"/>
        <v>215.26</v>
      </c>
      <c r="Q1013" s="22">
        <f>G1013*INDEX(Assumptions!$B$8:$B$16,MATCH(F1013,Assumptions!$A$8:$A$16,0))</f>
        <v>136.82899999999998</v>
      </c>
      <c r="R1013" s="22">
        <f>H1013*Assumptions!$B$3</f>
        <v>11.873999999999999</v>
      </c>
      <c r="S1013" s="22">
        <f t="shared" si="121"/>
        <v>46.767000000000024</v>
      </c>
      <c r="T1013" s="20" t="str">
        <f t="shared" si="122"/>
        <v>8-14 days</v>
      </c>
    </row>
    <row r="1014" spans="1:20" x14ac:dyDescent="0.3">
      <c r="A1014" s="20" t="s">
        <v>1080</v>
      </c>
      <c r="B1014" s="20" t="s">
        <v>19</v>
      </c>
      <c r="C1014" s="21">
        <v>45694</v>
      </c>
      <c r="D1014" s="21">
        <v>45703</v>
      </c>
      <c r="E1014" s="21">
        <v>45712</v>
      </c>
      <c r="F1014" s="20" t="s">
        <v>67</v>
      </c>
      <c r="G1014" s="22">
        <v>81.069999999999993</v>
      </c>
      <c r="H1014" s="22">
        <v>20.440000000000001</v>
      </c>
      <c r="I1014" s="20" t="s">
        <v>45</v>
      </c>
      <c r="J1014" s="20">
        <v>5</v>
      </c>
      <c r="K1014" s="20" t="s">
        <v>46</v>
      </c>
      <c r="L1014" s="23">
        <f t="shared" si="116"/>
        <v>45689</v>
      </c>
      <c r="M1014" s="20">
        <f t="shared" si="117"/>
        <v>9</v>
      </c>
      <c r="N1014" s="20">
        <f t="shared" si="118"/>
        <v>0</v>
      </c>
      <c r="O1014" s="20">
        <f t="shared" si="119"/>
        <v>1</v>
      </c>
      <c r="P1014" s="22">
        <f t="shared" si="120"/>
        <v>101.50999999999999</v>
      </c>
      <c r="Q1014" s="22">
        <f>G1014*INDEX(Assumptions!$B$8:$B$16,MATCH(F1014,Assumptions!$A$8:$A$16,0))</f>
        <v>50.263399999999997</v>
      </c>
      <c r="R1014" s="22">
        <f>H1014*Assumptions!$B$3</f>
        <v>12.264000000000001</v>
      </c>
      <c r="S1014" s="22">
        <f t="shared" si="121"/>
        <v>18.542599999999993</v>
      </c>
      <c r="T1014" s="20" t="str">
        <f t="shared" si="122"/>
        <v>8-14 days</v>
      </c>
    </row>
    <row r="1015" spans="1:20" x14ac:dyDescent="0.3">
      <c r="A1015" s="20" t="s">
        <v>1081</v>
      </c>
      <c r="B1015" s="20" t="s">
        <v>52</v>
      </c>
      <c r="C1015" s="21">
        <v>45695</v>
      </c>
      <c r="D1015" s="21">
        <v>45706</v>
      </c>
      <c r="E1015" s="21">
        <v>45721</v>
      </c>
      <c r="F1015" s="20" t="s">
        <v>57</v>
      </c>
      <c r="G1015" s="22">
        <v>126.8</v>
      </c>
      <c r="H1015" s="22">
        <v>32.51</v>
      </c>
      <c r="I1015" s="20" t="s">
        <v>60</v>
      </c>
      <c r="J1015" s="20">
        <v>5</v>
      </c>
      <c r="K1015" s="20" t="s">
        <v>46</v>
      </c>
      <c r="L1015" s="23">
        <f t="shared" si="116"/>
        <v>45689</v>
      </c>
      <c r="M1015" s="20">
        <f t="shared" si="117"/>
        <v>11</v>
      </c>
      <c r="N1015" s="20">
        <f t="shared" si="118"/>
        <v>0</v>
      </c>
      <c r="O1015" s="20">
        <f t="shared" si="119"/>
        <v>1</v>
      </c>
      <c r="P1015" s="22">
        <f t="shared" si="120"/>
        <v>159.31</v>
      </c>
      <c r="Q1015" s="22">
        <f>G1015*INDEX(Assumptions!$B$8:$B$16,MATCH(F1015,Assumptions!$A$8:$A$16,0))</f>
        <v>86.224000000000004</v>
      </c>
      <c r="R1015" s="22">
        <f>H1015*Assumptions!$B$3</f>
        <v>19.505999999999997</v>
      </c>
      <c r="S1015" s="22">
        <f t="shared" si="121"/>
        <v>21.069999999999997</v>
      </c>
      <c r="T1015" s="20" t="str">
        <f t="shared" si="122"/>
        <v>8-14 days</v>
      </c>
    </row>
    <row r="1016" spans="1:20" x14ac:dyDescent="0.3">
      <c r="A1016" s="20" t="s">
        <v>1082</v>
      </c>
      <c r="B1016" s="20" t="s">
        <v>77</v>
      </c>
      <c r="C1016" s="21">
        <v>45696</v>
      </c>
      <c r="D1016" s="21">
        <v>45707</v>
      </c>
      <c r="E1016" s="21">
        <v>45723</v>
      </c>
      <c r="F1016" s="20" t="s">
        <v>44</v>
      </c>
      <c r="G1016" s="22">
        <v>112.59</v>
      </c>
      <c r="H1016" s="22">
        <v>25.92</v>
      </c>
      <c r="I1016" s="20" t="s">
        <v>60</v>
      </c>
      <c r="J1016" s="20">
        <v>5</v>
      </c>
      <c r="K1016" s="20" t="s">
        <v>46</v>
      </c>
      <c r="L1016" s="23">
        <f t="shared" si="116"/>
        <v>45689</v>
      </c>
      <c r="M1016" s="20">
        <f t="shared" si="117"/>
        <v>11</v>
      </c>
      <c r="N1016" s="20">
        <f t="shared" si="118"/>
        <v>0</v>
      </c>
      <c r="O1016" s="20">
        <f t="shared" si="119"/>
        <v>1</v>
      </c>
      <c r="P1016" s="22">
        <f t="shared" si="120"/>
        <v>138.51</v>
      </c>
      <c r="Q1016" s="22">
        <f>G1016*INDEX(Assumptions!$B$8:$B$16,MATCH(F1016,Assumptions!$A$8:$A$16,0))</f>
        <v>67.554000000000002</v>
      </c>
      <c r="R1016" s="22">
        <f>H1016*Assumptions!$B$3</f>
        <v>15.552</v>
      </c>
      <c r="S1016" s="22">
        <f t="shared" si="121"/>
        <v>29.484000000000002</v>
      </c>
      <c r="T1016" s="20" t="str">
        <f t="shared" si="122"/>
        <v>8-14 days</v>
      </c>
    </row>
    <row r="1017" spans="1:20" x14ac:dyDescent="0.3">
      <c r="A1017" s="20" t="s">
        <v>1083</v>
      </c>
      <c r="B1017" s="20" t="s">
        <v>55</v>
      </c>
      <c r="C1017" s="21">
        <v>45696</v>
      </c>
      <c r="D1017" s="21">
        <v>45713</v>
      </c>
      <c r="E1017" s="21">
        <v>45722</v>
      </c>
      <c r="F1017" s="20" t="s">
        <v>64</v>
      </c>
      <c r="G1017" s="22">
        <v>215.54</v>
      </c>
      <c r="H1017" s="22">
        <v>26.49</v>
      </c>
      <c r="I1017" s="20" t="s">
        <v>45</v>
      </c>
      <c r="J1017" s="20">
        <v>3</v>
      </c>
      <c r="K1017" s="20" t="s">
        <v>46</v>
      </c>
      <c r="L1017" s="23">
        <f t="shared" si="116"/>
        <v>45689</v>
      </c>
      <c r="M1017" s="20">
        <f t="shared" si="117"/>
        <v>17</v>
      </c>
      <c r="N1017" s="20">
        <f t="shared" si="118"/>
        <v>0</v>
      </c>
      <c r="O1017" s="20">
        <f t="shared" si="119"/>
        <v>1</v>
      </c>
      <c r="P1017" s="22">
        <f t="shared" si="120"/>
        <v>242.03</v>
      </c>
      <c r="Q1017" s="22">
        <f>G1017*INDEX(Assumptions!$B$8:$B$16,MATCH(F1017,Assumptions!$A$8:$A$16,0))</f>
        <v>142.25640000000001</v>
      </c>
      <c r="R1017" s="22">
        <f>H1017*Assumptions!$B$3</f>
        <v>15.893999999999998</v>
      </c>
      <c r="S1017" s="22">
        <f t="shared" si="121"/>
        <v>57.38959999999998</v>
      </c>
      <c r="T1017" s="20" t="str">
        <f t="shared" si="122"/>
        <v>15-21 days</v>
      </c>
    </row>
    <row r="1018" spans="1:20" x14ac:dyDescent="0.3">
      <c r="A1018" s="20" t="s">
        <v>1084</v>
      </c>
      <c r="B1018" s="20" t="s">
        <v>55</v>
      </c>
      <c r="C1018" s="21">
        <v>45696</v>
      </c>
      <c r="D1018" s="21">
        <v>45709</v>
      </c>
      <c r="E1018" s="21">
        <v>45720</v>
      </c>
      <c r="F1018" s="20" t="s">
        <v>67</v>
      </c>
      <c r="G1018" s="22">
        <v>62.92</v>
      </c>
      <c r="H1018" s="22">
        <v>27.19</v>
      </c>
      <c r="I1018" s="20" t="s">
        <v>50</v>
      </c>
      <c r="J1018" s="20">
        <v>3</v>
      </c>
      <c r="K1018" s="20" t="s">
        <v>46</v>
      </c>
      <c r="L1018" s="23">
        <f t="shared" si="116"/>
        <v>45689</v>
      </c>
      <c r="M1018" s="20">
        <f t="shared" si="117"/>
        <v>13</v>
      </c>
      <c r="N1018" s="20">
        <f t="shared" si="118"/>
        <v>0</v>
      </c>
      <c r="O1018" s="20">
        <f t="shared" si="119"/>
        <v>1</v>
      </c>
      <c r="P1018" s="22">
        <f t="shared" si="120"/>
        <v>90.11</v>
      </c>
      <c r="Q1018" s="22">
        <f>G1018*INDEX(Assumptions!$B$8:$B$16,MATCH(F1018,Assumptions!$A$8:$A$16,0))</f>
        <v>39.010400000000004</v>
      </c>
      <c r="R1018" s="22">
        <f>H1018*Assumptions!$B$3</f>
        <v>16.314</v>
      </c>
      <c r="S1018" s="22">
        <f t="shared" si="121"/>
        <v>7.5955999999999975</v>
      </c>
      <c r="T1018" s="20" t="str">
        <f t="shared" si="122"/>
        <v>8-14 days</v>
      </c>
    </row>
    <row r="1019" spans="1:20" x14ac:dyDescent="0.3">
      <c r="A1019" s="20" t="s">
        <v>1085</v>
      </c>
      <c r="B1019" s="20" t="s">
        <v>55</v>
      </c>
      <c r="C1019" s="21">
        <v>45696</v>
      </c>
      <c r="D1019" s="21">
        <v>45706</v>
      </c>
      <c r="E1019" s="21">
        <v>45717</v>
      </c>
      <c r="F1019" s="20" t="s">
        <v>67</v>
      </c>
      <c r="G1019" s="22">
        <v>71.28</v>
      </c>
      <c r="H1019" s="22">
        <v>18.8</v>
      </c>
      <c r="I1019" s="20" t="s">
        <v>45</v>
      </c>
      <c r="J1019" s="20">
        <v>5</v>
      </c>
      <c r="K1019" s="20" t="s">
        <v>46</v>
      </c>
      <c r="L1019" s="23">
        <f t="shared" si="116"/>
        <v>45689</v>
      </c>
      <c r="M1019" s="20">
        <f t="shared" si="117"/>
        <v>10</v>
      </c>
      <c r="N1019" s="20">
        <f t="shared" si="118"/>
        <v>0</v>
      </c>
      <c r="O1019" s="20">
        <f t="shared" si="119"/>
        <v>1</v>
      </c>
      <c r="P1019" s="22">
        <f t="shared" si="120"/>
        <v>90.08</v>
      </c>
      <c r="Q1019" s="22">
        <f>G1019*INDEX(Assumptions!$B$8:$B$16,MATCH(F1019,Assumptions!$A$8:$A$16,0))</f>
        <v>44.193600000000004</v>
      </c>
      <c r="R1019" s="22">
        <f>H1019*Assumptions!$B$3</f>
        <v>11.28</v>
      </c>
      <c r="S1019" s="22">
        <f t="shared" si="121"/>
        <v>15.806399999999998</v>
      </c>
      <c r="T1019" s="20" t="str">
        <f t="shared" si="122"/>
        <v>8-14 days</v>
      </c>
    </row>
    <row r="1020" spans="1:20" x14ac:dyDescent="0.3">
      <c r="A1020" s="20" t="s">
        <v>1086</v>
      </c>
      <c r="B1020" s="20" t="s">
        <v>62</v>
      </c>
      <c r="C1020" s="21">
        <v>45696</v>
      </c>
      <c r="D1020" s="21">
        <v>45714</v>
      </c>
      <c r="E1020" s="21">
        <v>45716</v>
      </c>
      <c r="F1020" s="20" t="s">
        <v>57</v>
      </c>
      <c r="G1020" s="22">
        <v>98.85</v>
      </c>
      <c r="H1020" s="22">
        <v>24.55</v>
      </c>
      <c r="I1020" s="20" t="s">
        <v>60</v>
      </c>
      <c r="J1020" s="20">
        <v>4</v>
      </c>
      <c r="K1020" s="20" t="s">
        <v>46</v>
      </c>
      <c r="L1020" s="23">
        <f t="shared" si="116"/>
        <v>45689</v>
      </c>
      <c r="M1020" s="20">
        <f t="shared" si="117"/>
        <v>18</v>
      </c>
      <c r="N1020" s="20">
        <f t="shared" si="118"/>
        <v>0</v>
      </c>
      <c r="O1020" s="20">
        <f t="shared" si="119"/>
        <v>1</v>
      </c>
      <c r="P1020" s="22">
        <f t="shared" si="120"/>
        <v>123.39999999999999</v>
      </c>
      <c r="Q1020" s="22">
        <f>G1020*INDEX(Assumptions!$B$8:$B$16,MATCH(F1020,Assumptions!$A$8:$A$16,0))</f>
        <v>67.218000000000004</v>
      </c>
      <c r="R1020" s="22">
        <f>H1020*Assumptions!$B$3</f>
        <v>14.73</v>
      </c>
      <c r="S1020" s="22">
        <f t="shared" si="121"/>
        <v>16.90199999999999</v>
      </c>
      <c r="T1020" s="20" t="str">
        <f t="shared" si="122"/>
        <v>15-21 days</v>
      </c>
    </row>
    <row r="1021" spans="1:20" x14ac:dyDescent="0.3">
      <c r="A1021" s="20" t="s">
        <v>1087</v>
      </c>
      <c r="B1021" s="20" t="s">
        <v>134</v>
      </c>
      <c r="C1021" s="21">
        <v>45697</v>
      </c>
      <c r="D1021" s="21">
        <v>45706</v>
      </c>
      <c r="E1021" s="21">
        <v>45720</v>
      </c>
      <c r="F1021" s="20" t="s">
        <v>111</v>
      </c>
      <c r="G1021" s="22">
        <v>96.6</v>
      </c>
      <c r="H1021" s="22">
        <v>27.53</v>
      </c>
      <c r="I1021" s="20" t="s">
        <v>45</v>
      </c>
      <c r="J1021" s="20">
        <v>5</v>
      </c>
      <c r="K1021" s="20" t="s">
        <v>46</v>
      </c>
      <c r="L1021" s="23">
        <f t="shared" si="116"/>
        <v>45689</v>
      </c>
      <c r="M1021" s="20">
        <f t="shared" si="117"/>
        <v>9</v>
      </c>
      <c r="N1021" s="20">
        <f t="shared" si="118"/>
        <v>0</v>
      </c>
      <c r="O1021" s="20">
        <f t="shared" si="119"/>
        <v>1</v>
      </c>
      <c r="P1021" s="22">
        <f t="shared" si="120"/>
        <v>124.13</v>
      </c>
      <c r="Q1021" s="22">
        <f>G1021*INDEX(Assumptions!$B$8:$B$16,MATCH(F1021,Assumptions!$A$8:$A$16,0))</f>
        <v>60.857999999999997</v>
      </c>
      <c r="R1021" s="22">
        <f>H1021*Assumptions!$B$3</f>
        <v>16.518000000000001</v>
      </c>
      <c r="S1021" s="22">
        <f t="shared" si="121"/>
        <v>19.223999999999997</v>
      </c>
      <c r="T1021" s="20" t="str">
        <f t="shared" si="122"/>
        <v>8-14 days</v>
      </c>
    </row>
    <row r="1022" spans="1:20" x14ac:dyDescent="0.3">
      <c r="A1022" s="20" t="s">
        <v>1088</v>
      </c>
      <c r="B1022" s="20" t="s">
        <v>19</v>
      </c>
      <c r="C1022" s="21">
        <v>45697</v>
      </c>
      <c r="D1022" s="21">
        <v>45704</v>
      </c>
      <c r="E1022" s="21">
        <v>45712</v>
      </c>
      <c r="F1022" s="20" t="s">
        <v>64</v>
      </c>
      <c r="G1022" s="22">
        <v>152.13999999999999</v>
      </c>
      <c r="H1022" s="22">
        <v>19.399999999999999</v>
      </c>
      <c r="I1022" s="20" t="s">
        <v>50</v>
      </c>
      <c r="J1022" s="20">
        <v>4</v>
      </c>
      <c r="K1022" s="20" t="s">
        <v>46</v>
      </c>
      <c r="L1022" s="23">
        <f t="shared" si="116"/>
        <v>45689</v>
      </c>
      <c r="M1022" s="20">
        <f t="shared" si="117"/>
        <v>7</v>
      </c>
      <c r="N1022" s="20">
        <f t="shared" si="118"/>
        <v>0</v>
      </c>
      <c r="O1022" s="20">
        <f t="shared" si="119"/>
        <v>1</v>
      </c>
      <c r="P1022" s="22">
        <f t="shared" si="120"/>
        <v>171.54</v>
      </c>
      <c r="Q1022" s="22">
        <f>G1022*INDEX(Assumptions!$B$8:$B$16,MATCH(F1022,Assumptions!$A$8:$A$16,0))</f>
        <v>100.41239999999999</v>
      </c>
      <c r="R1022" s="22">
        <f>H1022*Assumptions!$B$3</f>
        <v>11.639999999999999</v>
      </c>
      <c r="S1022" s="22">
        <f t="shared" si="121"/>
        <v>40.087599999999995</v>
      </c>
      <c r="T1022" s="20" t="str">
        <f t="shared" si="122"/>
        <v>0-7 days</v>
      </c>
    </row>
    <row r="1023" spans="1:20" x14ac:dyDescent="0.3">
      <c r="A1023" s="20" t="s">
        <v>1089</v>
      </c>
      <c r="B1023" s="20" t="s">
        <v>19</v>
      </c>
      <c r="C1023" s="21">
        <v>45697</v>
      </c>
      <c r="D1023" s="21">
        <v>45703</v>
      </c>
      <c r="E1023" s="21">
        <v>45714</v>
      </c>
      <c r="F1023" s="20" t="s">
        <v>59</v>
      </c>
      <c r="G1023" s="22">
        <v>35.71</v>
      </c>
      <c r="H1023" s="22">
        <v>13.04</v>
      </c>
      <c r="I1023" s="20" t="s">
        <v>60</v>
      </c>
      <c r="J1023" s="20">
        <v>5</v>
      </c>
      <c r="K1023" s="20" t="s">
        <v>46</v>
      </c>
      <c r="L1023" s="23">
        <f t="shared" si="116"/>
        <v>45689</v>
      </c>
      <c r="M1023" s="20">
        <f t="shared" si="117"/>
        <v>6</v>
      </c>
      <c r="N1023" s="20">
        <f t="shared" si="118"/>
        <v>0</v>
      </c>
      <c r="O1023" s="20">
        <f t="shared" si="119"/>
        <v>1</v>
      </c>
      <c r="P1023" s="22">
        <f t="shared" si="120"/>
        <v>48.75</v>
      </c>
      <c r="Q1023" s="22">
        <f>G1023*INDEX(Assumptions!$B$8:$B$16,MATCH(F1023,Assumptions!$A$8:$A$16,0))</f>
        <v>22.854400000000002</v>
      </c>
      <c r="R1023" s="22">
        <f>H1023*Assumptions!$B$3</f>
        <v>7.823999999999999</v>
      </c>
      <c r="S1023" s="22">
        <f t="shared" si="121"/>
        <v>5.0316000000000001</v>
      </c>
      <c r="T1023" s="20" t="str">
        <f t="shared" si="122"/>
        <v>0-7 days</v>
      </c>
    </row>
    <row r="1024" spans="1:20" x14ac:dyDescent="0.3">
      <c r="A1024" s="20" t="s">
        <v>1090</v>
      </c>
      <c r="B1024" s="20" t="s">
        <v>201</v>
      </c>
      <c r="C1024" s="21">
        <v>45697</v>
      </c>
      <c r="D1024" s="21">
        <v>45723</v>
      </c>
      <c r="E1024" s="21">
        <v>45730</v>
      </c>
      <c r="F1024" s="20" t="s">
        <v>64</v>
      </c>
      <c r="G1024" s="22">
        <v>354.71</v>
      </c>
      <c r="H1024" s="22">
        <v>50.46</v>
      </c>
      <c r="I1024" s="20" t="s">
        <v>45</v>
      </c>
      <c r="J1024" s="20">
        <v>2</v>
      </c>
      <c r="K1024" s="20" t="s">
        <v>46</v>
      </c>
      <c r="L1024" s="23">
        <f t="shared" si="116"/>
        <v>45689</v>
      </c>
      <c r="M1024" s="20">
        <f t="shared" si="117"/>
        <v>26</v>
      </c>
      <c r="N1024" s="20">
        <f t="shared" si="118"/>
        <v>0</v>
      </c>
      <c r="O1024" s="20">
        <f t="shared" si="119"/>
        <v>1</v>
      </c>
      <c r="P1024" s="22">
        <f t="shared" si="120"/>
        <v>405.16999999999996</v>
      </c>
      <c r="Q1024" s="22">
        <f>G1024*INDEX(Assumptions!$B$8:$B$16,MATCH(F1024,Assumptions!$A$8:$A$16,0))</f>
        <v>234.1086</v>
      </c>
      <c r="R1024" s="22">
        <f>H1024*Assumptions!$B$3</f>
        <v>30.276</v>
      </c>
      <c r="S1024" s="22">
        <f t="shared" si="121"/>
        <v>90.325399999999988</v>
      </c>
      <c r="T1024" s="20" t="str">
        <f t="shared" si="122"/>
        <v>22+ days</v>
      </c>
    </row>
    <row r="1025" spans="1:20" x14ac:dyDescent="0.3">
      <c r="A1025" s="20" t="s">
        <v>1091</v>
      </c>
      <c r="B1025" s="20" t="s">
        <v>48</v>
      </c>
      <c r="C1025" s="21">
        <v>45697</v>
      </c>
      <c r="D1025" s="21">
        <v>45704</v>
      </c>
      <c r="E1025" s="21">
        <v>45720</v>
      </c>
      <c r="F1025" s="20" t="s">
        <v>49</v>
      </c>
      <c r="G1025" s="22">
        <v>93.64</v>
      </c>
      <c r="H1025" s="22">
        <v>20.399999999999999</v>
      </c>
      <c r="I1025" s="20" t="s">
        <v>45</v>
      </c>
      <c r="J1025" s="20">
        <v>5</v>
      </c>
      <c r="K1025" s="20" t="s">
        <v>46</v>
      </c>
      <c r="L1025" s="23">
        <f t="shared" si="116"/>
        <v>45689</v>
      </c>
      <c r="M1025" s="20">
        <f t="shared" si="117"/>
        <v>7</v>
      </c>
      <c r="N1025" s="20">
        <f t="shared" si="118"/>
        <v>0</v>
      </c>
      <c r="O1025" s="20">
        <f t="shared" si="119"/>
        <v>1</v>
      </c>
      <c r="P1025" s="22">
        <f t="shared" si="120"/>
        <v>114.03999999999999</v>
      </c>
      <c r="Q1025" s="22">
        <f>G1025*INDEX(Assumptions!$B$8:$B$16,MATCH(F1025,Assumptions!$A$8:$A$16,0))</f>
        <v>54.311199999999999</v>
      </c>
      <c r="R1025" s="22">
        <f>H1025*Assumptions!$B$3</f>
        <v>12.239999999999998</v>
      </c>
      <c r="S1025" s="22">
        <f t="shared" si="121"/>
        <v>27.088800000000003</v>
      </c>
      <c r="T1025" s="20" t="str">
        <f t="shared" si="122"/>
        <v>0-7 days</v>
      </c>
    </row>
    <row r="1026" spans="1:20" x14ac:dyDescent="0.3">
      <c r="A1026" s="20" t="s">
        <v>1092</v>
      </c>
      <c r="B1026" s="20" t="s">
        <v>19</v>
      </c>
      <c r="C1026" s="21">
        <v>45698</v>
      </c>
      <c r="D1026" s="21">
        <v>45707</v>
      </c>
      <c r="E1026" s="21">
        <v>45713</v>
      </c>
      <c r="F1026" s="20" t="s">
        <v>57</v>
      </c>
      <c r="G1026" s="22">
        <v>175.11</v>
      </c>
      <c r="H1026" s="22">
        <v>22.39</v>
      </c>
      <c r="I1026" s="20" t="s">
        <v>60</v>
      </c>
      <c r="J1026" s="20">
        <v>4</v>
      </c>
      <c r="K1026" s="20" t="s">
        <v>46</v>
      </c>
      <c r="L1026" s="23">
        <f t="shared" ref="L1026:L1089" si="123">DATE(YEAR(C1026),MONTH(C1026),1)</f>
        <v>45689</v>
      </c>
      <c r="M1026" s="20">
        <f t="shared" ref="M1026:M1089" si="124">D1026-C1026</f>
        <v>9</v>
      </c>
      <c r="N1026" s="20">
        <f t="shared" ref="N1026:N1089" si="125">MAX(0,D1026-E1026)</f>
        <v>0</v>
      </c>
      <c r="O1026" s="20">
        <f t="shared" ref="O1026:O1089" si="126">IF(D1026&lt;=E1026,1,0)</f>
        <v>1</v>
      </c>
      <c r="P1026" s="22">
        <f t="shared" ref="P1026:P1089" si="127">G1026+H1026</f>
        <v>197.5</v>
      </c>
      <c r="Q1026" s="22">
        <f>G1026*INDEX(Assumptions!$B$8:$B$16,MATCH(F1026,Assumptions!$A$8:$A$16,0))</f>
        <v>119.07480000000002</v>
      </c>
      <c r="R1026" s="22">
        <f>H1026*Assumptions!$B$3</f>
        <v>13.433999999999999</v>
      </c>
      <c r="S1026" s="22">
        <f t="shared" ref="S1026:S1089" si="128">G1026-Q1026-R1026</f>
        <v>42.601199999999992</v>
      </c>
      <c r="T1026" s="20" t="str">
        <f t="shared" ref="T1026:T1089" si="129">IF(M1026&lt;=7,"0-7 days",IF(M1026&lt;=14,"8-14 days",IF(M1026&lt;=21,"15-21 days","22+ days")))</f>
        <v>8-14 days</v>
      </c>
    </row>
    <row r="1027" spans="1:20" x14ac:dyDescent="0.3">
      <c r="A1027" s="20" t="s">
        <v>1093</v>
      </c>
      <c r="B1027" s="20" t="s">
        <v>62</v>
      </c>
      <c r="C1027" s="21">
        <v>45698</v>
      </c>
      <c r="D1027" s="21">
        <v>45715</v>
      </c>
      <c r="E1027" s="21">
        <v>45718</v>
      </c>
      <c r="F1027" s="20" t="s">
        <v>67</v>
      </c>
      <c r="G1027" s="22">
        <v>27.89</v>
      </c>
      <c r="H1027" s="22">
        <v>16.05</v>
      </c>
      <c r="I1027" s="20" t="s">
        <v>45</v>
      </c>
      <c r="J1027" s="20">
        <v>5</v>
      </c>
      <c r="K1027" s="20" t="s">
        <v>46</v>
      </c>
      <c r="L1027" s="23">
        <f t="shared" si="123"/>
        <v>45689</v>
      </c>
      <c r="M1027" s="20">
        <f t="shared" si="124"/>
        <v>17</v>
      </c>
      <c r="N1027" s="20">
        <f t="shared" si="125"/>
        <v>0</v>
      </c>
      <c r="O1027" s="20">
        <f t="shared" si="126"/>
        <v>1</v>
      </c>
      <c r="P1027" s="22">
        <f t="shared" si="127"/>
        <v>43.94</v>
      </c>
      <c r="Q1027" s="22">
        <f>G1027*INDEX(Assumptions!$B$8:$B$16,MATCH(F1027,Assumptions!$A$8:$A$16,0))</f>
        <v>17.291799999999999</v>
      </c>
      <c r="R1027" s="22">
        <f>H1027*Assumptions!$B$3</f>
        <v>9.6300000000000008</v>
      </c>
      <c r="S1027" s="22">
        <f t="shared" si="128"/>
        <v>0.96820000000000128</v>
      </c>
      <c r="T1027" s="20" t="str">
        <f t="shared" si="129"/>
        <v>15-21 days</v>
      </c>
    </row>
    <row r="1028" spans="1:20" x14ac:dyDescent="0.3">
      <c r="A1028" s="20" t="s">
        <v>1094</v>
      </c>
      <c r="B1028" s="20" t="s">
        <v>55</v>
      </c>
      <c r="C1028" s="21">
        <v>45698</v>
      </c>
      <c r="D1028" s="21">
        <v>45715</v>
      </c>
      <c r="E1028" s="21">
        <v>45722</v>
      </c>
      <c r="F1028" s="20" t="s">
        <v>44</v>
      </c>
      <c r="G1028" s="22">
        <v>237.43</v>
      </c>
      <c r="H1028" s="22">
        <v>24</v>
      </c>
      <c r="I1028" s="20" t="s">
        <v>45</v>
      </c>
      <c r="J1028" s="20">
        <v>5</v>
      </c>
      <c r="K1028" s="20" t="s">
        <v>46</v>
      </c>
      <c r="L1028" s="23">
        <f t="shared" si="123"/>
        <v>45689</v>
      </c>
      <c r="M1028" s="20">
        <f t="shared" si="124"/>
        <v>17</v>
      </c>
      <c r="N1028" s="20">
        <f t="shared" si="125"/>
        <v>0</v>
      </c>
      <c r="O1028" s="20">
        <f t="shared" si="126"/>
        <v>1</v>
      </c>
      <c r="P1028" s="22">
        <f t="shared" si="127"/>
        <v>261.43</v>
      </c>
      <c r="Q1028" s="22">
        <f>G1028*INDEX(Assumptions!$B$8:$B$16,MATCH(F1028,Assumptions!$A$8:$A$16,0))</f>
        <v>142.458</v>
      </c>
      <c r="R1028" s="22">
        <f>H1028*Assumptions!$B$3</f>
        <v>14.399999999999999</v>
      </c>
      <c r="S1028" s="22">
        <f t="shared" si="128"/>
        <v>80.572000000000003</v>
      </c>
      <c r="T1028" s="20" t="str">
        <f t="shared" si="129"/>
        <v>15-21 days</v>
      </c>
    </row>
    <row r="1029" spans="1:20" x14ac:dyDescent="0.3">
      <c r="A1029" s="20" t="s">
        <v>1095</v>
      </c>
      <c r="B1029" s="20" t="s">
        <v>19</v>
      </c>
      <c r="C1029" s="21">
        <v>45699</v>
      </c>
      <c r="D1029" s="21">
        <v>45710</v>
      </c>
      <c r="E1029" s="21">
        <v>45713</v>
      </c>
      <c r="F1029" s="20" t="s">
        <v>67</v>
      </c>
      <c r="G1029" s="22">
        <v>257.93</v>
      </c>
      <c r="H1029" s="22">
        <v>25.38</v>
      </c>
      <c r="I1029" s="20" t="s">
        <v>45</v>
      </c>
      <c r="J1029" s="20">
        <v>5</v>
      </c>
      <c r="K1029" s="20" t="s">
        <v>46</v>
      </c>
      <c r="L1029" s="23">
        <f t="shared" si="123"/>
        <v>45689</v>
      </c>
      <c r="M1029" s="20">
        <f t="shared" si="124"/>
        <v>11</v>
      </c>
      <c r="N1029" s="20">
        <f t="shared" si="125"/>
        <v>0</v>
      </c>
      <c r="O1029" s="20">
        <f t="shared" si="126"/>
        <v>1</v>
      </c>
      <c r="P1029" s="22">
        <f t="shared" si="127"/>
        <v>283.31</v>
      </c>
      <c r="Q1029" s="22">
        <f>G1029*INDEX(Assumptions!$B$8:$B$16,MATCH(F1029,Assumptions!$A$8:$A$16,0))</f>
        <v>159.91660000000002</v>
      </c>
      <c r="R1029" s="22">
        <f>H1029*Assumptions!$B$3</f>
        <v>15.227999999999998</v>
      </c>
      <c r="S1029" s="22">
        <f t="shared" si="128"/>
        <v>82.785399999999996</v>
      </c>
      <c r="T1029" s="20" t="str">
        <f t="shared" si="129"/>
        <v>8-14 days</v>
      </c>
    </row>
    <row r="1030" spans="1:20" x14ac:dyDescent="0.3">
      <c r="A1030" s="20" t="s">
        <v>1096</v>
      </c>
      <c r="B1030" s="20" t="s">
        <v>156</v>
      </c>
      <c r="C1030" s="21">
        <v>45699</v>
      </c>
      <c r="D1030" s="21">
        <v>45707</v>
      </c>
      <c r="E1030" s="21">
        <v>45727</v>
      </c>
      <c r="F1030" s="20" t="s">
        <v>57</v>
      </c>
      <c r="G1030" s="22">
        <v>101.26</v>
      </c>
      <c r="H1030" s="22">
        <v>22.15</v>
      </c>
      <c r="I1030" s="20" t="s">
        <v>45</v>
      </c>
      <c r="J1030" s="20">
        <v>5</v>
      </c>
      <c r="K1030" s="20" t="s">
        <v>46</v>
      </c>
      <c r="L1030" s="23">
        <f t="shared" si="123"/>
        <v>45689</v>
      </c>
      <c r="M1030" s="20">
        <f t="shared" si="124"/>
        <v>8</v>
      </c>
      <c r="N1030" s="20">
        <f t="shared" si="125"/>
        <v>0</v>
      </c>
      <c r="O1030" s="20">
        <f t="shared" si="126"/>
        <v>1</v>
      </c>
      <c r="P1030" s="22">
        <f t="shared" si="127"/>
        <v>123.41</v>
      </c>
      <c r="Q1030" s="22">
        <f>G1030*INDEX(Assumptions!$B$8:$B$16,MATCH(F1030,Assumptions!$A$8:$A$16,0))</f>
        <v>68.856800000000007</v>
      </c>
      <c r="R1030" s="22">
        <f>H1030*Assumptions!$B$3</f>
        <v>13.29</v>
      </c>
      <c r="S1030" s="22">
        <f t="shared" si="128"/>
        <v>19.113199999999999</v>
      </c>
      <c r="T1030" s="20" t="str">
        <f t="shared" si="129"/>
        <v>8-14 days</v>
      </c>
    </row>
    <row r="1031" spans="1:20" x14ac:dyDescent="0.3">
      <c r="A1031" s="20" t="s">
        <v>1097</v>
      </c>
      <c r="B1031" s="20" t="s">
        <v>19</v>
      </c>
      <c r="C1031" s="21">
        <v>45699</v>
      </c>
      <c r="D1031" s="21">
        <v>45704</v>
      </c>
      <c r="E1031" s="21">
        <v>45711</v>
      </c>
      <c r="F1031" s="20" t="s">
        <v>111</v>
      </c>
      <c r="G1031" s="22">
        <v>53.24</v>
      </c>
      <c r="H1031" s="22">
        <v>13.18</v>
      </c>
      <c r="I1031" s="20" t="s">
        <v>45</v>
      </c>
      <c r="J1031" s="20">
        <v>4</v>
      </c>
      <c r="K1031" s="20" t="s">
        <v>46</v>
      </c>
      <c r="L1031" s="23">
        <f t="shared" si="123"/>
        <v>45689</v>
      </c>
      <c r="M1031" s="20">
        <f t="shared" si="124"/>
        <v>5</v>
      </c>
      <c r="N1031" s="20">
        <f t="shared" si="125"/>
        <v>0</v>
      </c>
      <c r="O1031" s="20">
        <f t="shared" si="126"/>
        <v>1</v>
      </c>
      <c r="P1031" s="22">
        <f t="shared" si="127"/>
        <v>66.42</v>
      </c>
      <c r="Q1031" s="22">
        <f>G1031*INDEX(Assumptions!$B$8:$B$16,MATCH(F1031,Assumptions!$A$8:$A$16,0))</f>
        <v>33.541200000000003</v>
      </c>
      <c r="R1031" s="22">
        <f>H1031*Assumptions!$B$3</f>
        <v>7.9079999999999995</v>
      </c>
      <c r="S1031" s="22">
        <f t="shared" si="128"/>
        <v>11.790799999999999</v>
      </c>
      <c r="T1031" s="20" t="str">
        <f t="shared" si="129"/>
        <v>0-7 days</v>
      </c>
    </row>
    <row r="1032" spans="1:20" x14ac:dyDescent="0.3">
      <c r="A1032" s="20" t="s">
        <v>1098</v>
      </c>
      <c r="B1032" s="20" t="s">
        <v>19</v>
      </c>
      <c r="C1032" s="21">
        <v>45699</v>
      </c>
      <c r="D1032" s="21">
        <v>45709</v>
      </c>
      <c r="E1032" s="21">
        <v>45715</v>
      </c>
      <c r="F1032" s="20" t="s">
        <v>111</v>
      </c>
      <c r="G1032" s="22">
        <v>62.66</v>
      </c>
      <c r="H1032" s="22">
        <v>11.84</v>
      </c>
      <c r="I1032" s="20" t="s">
        <v>45</v>
      </c>
      <c r="J1032" s="20">
        <v>4</v>
      </c>
      <c r="K1032" s="20" t="s">
        <v>46</v>
      </c>
      <c r="L1032" s="23">
        <f t="shared" si="123"/>
        <v>45689</v>
      </c>
      <c r="M1032" s="20">
        <f t="shared" si="124"/>
        <v>10</v>
      </c>
      <c r="N1032" s="20">
        <f t="shared" si="125"/>
        <v>0</v>
      </c>
      <c r="O1032" s="20">
        <f t="shared" si="126"/>
        <v>1</v>
      </c>
      <c r="P1032" s="22">
        <f t="shared" si="127"/>
        <v>74.5</v>
      </c>
      <c r="Q1032" s="22">
        <f>G1032*INDEX(Assumptions!$B$8:$B$16,MATCH(F1032,Assumptions!$A$8:$A$16,0))</f>
        <v>39.4758</v>
      </c>
      <c r="R1032" s="22">
        <f>H1032*Assumptions!$B$3</f>
        <v>7.1040000000000001</v>
      </c>
      <c r="S1032" s="22">
        <f t="shared" si="128"/>
        <v>16.080199999999998</v>
      </c>
      <c r="T1032" s="20" t="str">
        <f t="shared" si="129"/>
        <v>8-14 days</v>
      </c>
    </row>
    <row r="1033" spans="1:20" x14ac:dyDescent="0.3">
      <c r="A1033" s="20" t="s">
        <v>1099</v>
      </c>
      <c r="B1033" s="20" t="s">
        <v>52</v>
      </c>
      <c r="C1033" s="21">
        <v>45699</v>
      </c>
      <c r="D1033" s="21">
        <v>45706</v>
      </c>
      <c r="E1033" s="21">
        <v>45723</v>
      </c>
      <c r="F1033" s="20" t="s">
        <v>53</v>
      </c>
      <c r="G1033" s="22">
        <v>210.08</v>
      </c>
      <c r="H1033" s="22">
        <v>19.82</v>
      </c>
      <c r="I1033" s="20" t="s">
        <v>60</v>
      </c>
      <c r="J1033" s="20">
        <v>4</v>
      </c>
      <c r="K1033" s="20" t="s">
        <v>46</v>
      </c>
      <c r="L1033" s="23">
        <f t="shared" si="123"/>
        <v>45689</v>
      </c>
      <c r="M1033" s="20">
        <f t="shared" si="124"/>
        <v>7</v>
      </c>
      <c r="N1033" s="20">
        <f t="shared" si="125"/>
        <v>0</v>
      </c>
      <c r="O1033" s="20">
        <f t="shared" si="126"/>
        <v>1</v>
      </c>
      <c r="P1033" s="22">
        <f t="shared" si="127"/>
        <v>229.9</v>
      </c>
      <c r="Q1033" s="22">
        <f>G1033*INDEX(Assumptions!$B$8:$B$16,MATCH(F1033,Assumptions!$A$8:$A$16,0))</f>
        <v>155.45920000000001</v>
      </c>
      <c r="R1033" s="22">
        <f>H1033*Assumptions!$B$3</f>
        <v>11.891999999999999</v>
      </c>
      <c r="S1033" s="22">
        <f t="shared" si="128"/>
        <v>42.728800000000007</v>
      </c>
      <c r="T1033" s="20" t="str">
        <f t="shared" si="129"/>
        <v>0-7 days</v>
      </c>
    </row>
    <row r="1034" spans="1:20" x14ac:dyDescent="0.3">
      <c r="A1034" s="20" t="s">
        <v>1100</v>
      </c>
      <c r="B1034" s="20" t="s">
        <v>55</v>
      </c>
      <c r="C1034" s="21">
        <v>45699</v>
      </c>
      <c r="D1034" s="21">
        <v>45717</v>
      </c>
      <c r="E1034" s="21">
        <v>45724</v>
      </c>
      <c r="F1034" s="20" t="s">
        <v>67</v>
      </c>
      <c r="G1034" s="22">
        <v>62.11</v>
      </c>
      <c r="H1034" s="22">
        <v>23.91</v>
      </c>
      <c r="I1034" s="20" t="s">
        <v>45</v>
      </c>
      <c r="J1034" s="20">
        <v>5</v>
      </c>
      <c r="K1034" s="20" t="s">
        <v>46</v>
      </c>
      <c r="L1034" s="23">
        <f t="shared" si="123"/>
        <v>45689</v>
      </c>
      <c r="M1034" s="20">
        <f t="shared" si="124"/>
        <v>18</v>
      </c>
      <c r="N1034" s="20">
        <f t="shared" si="125"/>
        <v>0</v>
      </c>
      <c r="O1034" s="20">
        <f t="shared" si="126"/>
        <v>1</v>
      </c>
      <c r="P1034" s="22">
        <f t="shared" si="127"/>
        <v>86.02</v>
      </c>
      <c r="Q1034" s="22">
        <f>G1034*INDEX(Assumptions!$B$8:$B$16,MATCH(F1034,Assumptions!$A$8:$A$16,0))</f>
        <v>38.508200000000002</v>
      </c>
      <c r="R1034" s="22">
        <f>H1034*Assumptions!$B$3</f>
        <v>14.346</v>
      </c>
      <c r="S1034" s="22">
        <f t="shared" si="128"/>
        <v>9.2557999999999971</v>
      </c>
      <c r="T1034" s="20" t="str">
        <f t="shared" si="129"/>
        <v>15-21 days</v>
      </c>
    </row>
    <row r="1035" spans="1:20" x14ac:dyDescent="0.3">
      <c r="A1035" s="20" t="s">
        <v>1101</v>
      </c>
      <c r="B1035" s="20" t="s">
        <v>19</v>
      </c>
      <c r="C1035" s="21">
        <v>45699</v>
      </c>
      <c r="D1035" s="21">
        <v>45706</v>
      </c>
      <c r="E1035" s="21">
        <v>45714</v>
      </c>
      <c r="F1035" s="20" t="s">
        <v>49</v>
      </c>
      <c r="G1035" s="22">
        <v>81.040000000000006</v>
      </c>
      <c r="H1035" s="22">
        <v>12.28</v>
      </c>
      <c r="I1035" s="20" t="s">
        <v>45</v>
      </c>
      <c r="J1035" s="20">
        <v>5</v>
      </c>
      <c r="K1035" s="20" t="s">
        <v>46</v>
      </c>
      <c r="L1035" s="23">
        <f t="shared" si="123"/>
        <v>45689</v>
      </c>
      <c r="M1035" s="20">
        <f t="shared" si="124"/>
        <v>7</v>
      </c>
      <c r="N1035" s="20">
        <f t="shared" si="125"/>
        <v>0</v>
      </c>
      <c r="O1035" s="20">
        <f t="shared" si="126"/>
        <v>1</v>
      </c>
      <c r="P1035" s="22">
        <f t="shared" si="127"/>
        <v>93.320000000000007</v>
      </c>
      <c r="Q1035" s="22">
        <f>G1035*INDEX(Assumptions!$B$8:$B$16,MATCH(F1035,Assumptions!$A$8:$A$16,0))</f>
        <v>47.0032</v>
      </c>
      <c r="R1035" s="22">
        <f>H1035*Assumptions!$B$3</f>
        <v>7.3679999999999994</v>
      </c>
      <c r="S1035" s="22">
        <f t="shared" si="128"/>
        <v>26.668800000000008</v>
      </c>
      <c r="T1035" s="20" t="str">
        <f t="shared" si="129"/>
        <v>0-7 days</v>
      </c>
    </row>
    <row r="1036" spans="1:20" x14ac:dyDescent="0.3">
      <c r="A1036" s="20" t="s">
        <v>1102</v>
      </c>
      <c r="B1036" s="20" t="s">
        <v>19</v>
      </c>
      <c r="C1036" s="21">
        <v>45699</v>
      </c>
      <c r="D1036" s="21">
        <v>45709</v>
      </c>
      <c r="E1036" s="21">
        <v>45714</v>
      </c>
      <c r="F1036" s="20" t="s">
        <v>111</v>
      </c>
      <c r="G1036" s="22">
        <v>103.21</v>
      </c>
      <c r="H1036" s="22">
        <v>19.54</v>
      </c>
      <c r="I1036" s="20" t="s">
        <v>45</v>
      </c>
      <c r="J1036" s="20">
        <v>4</v>
      </c>
      <c r="K1036" s="20" t="s">
        <v>46</v>
      </c>
      <c r="L1036" s="23">
        <f t="shared" si="123"/>
        <v>45689</v>
      </c>
      <c r="M1036" s="20">
        <f t="shared" si="124"/>
        <v>10</v>
      </c>
      <c r="N1036" s="20">
        <f t="shared" si="125"/>
        <v>0</v>
      </c>
      <c r="O1036" s="20">
        <f t="shared" si="126"/>
        <v>1</v>
      </c>
      <c r="P1036" s="22">
        <f t="shared" si="127"/>
        <v>122.75</v>
      </c>
      <c r="Q1036" s="22">
        <f>G1036*INDEX(Assumptions!$B$8:$B$16,MATCH(F1036,Assumptions!$A$8:$A$16,0))</f>
        <v>65.022300000000001</v>
      </c>
      <c r="R1036" s="22">
        <f>H1036*Assumptions!$B$3</f>
        <v>11.723999999999998</v>
      </c>
      <c r="S1036" s="22">
        <f t="shared" si="128"/>
        <v>26.463699999999996</v>
      </c>
      <c r="T1036" s="20" t="str">
        <f t="shared" si="129"/>
        <v>8-14 days</v>
      </c>
    </row>
    <row r="1037" spans="1:20" x14ac:dyDescent="0.3">
      <c r="A1037" s="20" t="s">
        <v>1103</v>
      </c>
      <c r="B1037" s="20" t="s">
        <v>19</v>
      </c>
      <c r="C1037" s="21">
        <v>45699</v>
      </c>
      <c r="D1037" s="21">
        <v>45707</v>
      </c>
      <c r="E1037" s="21">
        <v>45715</v>
      </c>
      <c r="F1037" s="20" t="s">
        <v>64</v>
      </c>
      <c r="G1037" s="22">
        <v>267.94</v>
      </c>
      <c r="H1037" s="22">
        <v>22.32</v>
      </c>
      <c r="I1037" s="20" t="s">
        <v>45</v>
      </c>
      <c r="J1037" s="20">
        <v>4</v>
      </c>
      <c r="K1037" s="20" t="s">
        <v>46</v>
      </c>
      <c r="L1037" s="23">
        <f t="shared" si="123"/>
        <v>45689</v>
      </c>
      <c r="M1037" s="20">
        <f t="shared" si="124"/>
        <v>8</v>
      </c>
      <c r="N1037" s="20">
        <f t="shared" si="125"/>
        <v>0</v>
      </c>
      <c r="O1037" s="20">
        <f t="shared" si="126"/>
        <v>1</v>
      </c>
      <c r="P1037" s="22">
        <f t="shared" si="127"/>
        <v>290.26</v>
      </c>
      <c r="Q1037" s="22">
        <f>G1037*INDEX(Assumptions!$B$8:$B$16,MATCH(F1037,Assumptions!$A$8:$A$16,0))</f>
        <v>176.84040000000002</v>
      </c>
      <c r="R1037" s="22">
        <f>H1037*Assumptions!$B$3</f>
        <v>13.391999999999999</v>
      </c>
      <c r="S1037" s="22">
        <f t="shared" si="128"/>
        <v>77.707599999999985</v>
      </c>
      <c r="T1037" s="20" t="str">
        <f t="shared" si="129"/>
        <v>8-14 days</v>
      </c>
    </row>
    <row r="1038" spans="1:20" x14ac:dyDescent="0.3">
      <c r="A1038" s="20" t="s">
        <v>1104</v>
      </c>
      <c r="B1038" s="20" t="s">
        <v>19</v>
      </c>
      <c r="C1038" s="21">
        <v>45700</v>
      </c>
      <c r="D1038" s="21">
        <v>45709</v>
      </c>
      <c r="E1038" s="21">
        <v>45716</v>
      </c>
      <c r="F1038" s="20" t="s">
        <v>49</v>
      </c>
      <c r="G1038" s="22">
        <v>62.33</v>
      </c>
      <c r="H1038" s="22">
        <v>18.61</v>
      </c>
      <c r="I1038" s="20" t="s">
        <v>45</v>
      </c>
      <c r="J1038" s="20">
        <v>4</v>
      </c>
      <c r="K1038" s="20" t="s">
        <v>46</v>
      </c>
      <c r="L1038" s="23">
        <f t="shared" si="123"/>
        <v>45689</v>
      </c>
      <c r="M1038" s="20">
        <f t="shared" si="124"/>
        <v>9</v>
      </c>
      <c r="N1038" s="20">
        <f t="shared" si="125"/>
        <v>0</v>
      </c>
      <c r="O1038" s="20">
        <f t="shared" si="126"/>
        <v>1</v>
      </c>
      <c r="P1038" s="22">
        <f t="shared" si="127"/>
        <v>80.94</v>
      </c>
      <c r="Q1038" s="22">
        <f>G1038*INDEX(Assumptions!$B$8:$B$16,MATCH(F1038,Assumptions!$A$8:$A$16,0))</f>
        <v>36.151399999999995</v>
      </c>
      <c r="R1038" s="22">
        <f>H1038*Assumptions!$B$3</f>
        <v>11.165999999999999</v>
      </c>
      <c r="S1038" s="22">
        <f t="shared" si="128"/>
        <v>15.012600000000004</v>
      </c>
      <c r="T1038" s="20" t="str">
        <f t="shared" si="129"/>
        <v>8-14 days</v>
      </c>
    </row>
    <row r="1039" spans="1:20" x14ac:dyDescent="0.3">
      <c r="A1039" s="20" t="s">
        <v>1105</v>
      </c>
      <c r="B1039" s="20" t="s">
        <v>52</v>
      </c>
      <c r="C1039" s="21">
        <v>45700</v>
      </c>
      <c r="D1039" s="21">
        <v>45717</v>
      </c>
      <c r="E1039" s="21">
        <v>45723</v>
      </c>
      <c r="F1039" s="20" t="s">
        <v>67</v>
      </c>
      <c r="G1039" s="22">
        <v>124.39</v>
      </c>
      <c r="H1039" s="22">
        <v>19.95</v>
      </c>
      <c r="I1039" s="20" t="s">
        <v>45</v>
      </c>
      <c r="J1039" s="20">
        <v>3</v>
      </c>
      <c r="K1039" s="20" t="s">
        <v>46</v>
      </c>
      <c r="L1039" s="23">
        <f t="shared" si="123"/>
        <v>45689</v>
      </c>
      <c r="M1039" s="20">
        <f t="shared" si="124"/>
        <v>17</v>
      </c>
      <c r="N1039" s="20">
        <f t="shared" si="125"/>
        <v>0</v>
      </c>
      <c r="O1039" s="20">
        <f t="shared" si="126"/>
        <v>1</v>
      </c>
      <c r="P1039" s="22">
        <f t="shared" si="127"/>
        <v>144.34</v>
      </c>
      <c r="Q1039" s="22">
        <f>G1039*INDEX(Assumptions!$B$8:$B$16,MATCH(F1039,Assumptions!$A$8:$A$16,0))</f>
        <v>77.121799999999993</v>
      </c>
      <c r="R1039" s="22">
        <f>H1039*Assumptions!$B$3</f>
        <v>11.969999999999999</v>
      </c>
      <c r="S1039" s="22">
        <f t="shared" si="128"/>
        <v>35.298200000000008</v>
      </c>
      <c r="T1039" s="20" t="str">
        <f t="shared" si="129"/>
        <v>15-21 days</v>
      </c>
    </row>
    <row r="1040" spans="1:20" x14ac:dyDescent="0.3">
      <c r="A1040" s="20" t="s">
        <v>1106</v>
      </c>
      <c r="B1040" s="20" t="s">
        <v>134</v>
      </c>
      <c r="C1040" s="21">
        <v>45700</v>
      </c>
      <c r="D1040" s="21">
        <v>45717</v>
      </c>
      <c r="E1040" s="21">
        <v>45722</v>
      </c>
      <c r="F1040" s="20" t="s">
        <v>64</v>
      </c>
      <c r="G1040" s="22">
        <v>137.04</v>
      </c>
      <c r="H1040" s="22">
        <v>23.35</v>
      </c>
      <c r="I1040" s="20" t="s">
        <v>45</v>
      </c>
      <c r="J1040" s="20">
        <v>4</v>
      </c>
      <c r="K1040" s="20" t="s">
        <v>46</v>
      </c>
      <c r="L1040" s="23">
        <f t="shared" si="123"/>
        <v>45689</v>
      </c>
      <c r="M1040" s="20">
        <f t="shared" si="124"/>
        <v>17</v>
      </c>
      <c r="N1040" s="20">
        <f t="shared" si="125"/>
        <v>0</v>
      </c>
      <c r="O1040" s="20">
        <f t="shared" si="126"/>
        <v>1</v>
      </c>
      <c r="P1040" s="22">
        <f t="shared" si="127"/>
        <v>160.38999999999999</v>
      </c>
      <c r="Q1040" s="22">
        <f>G1040*INDEX(Assumptions!$B$8:$B$16,MATCH(F1040,Assumptions!$A$8:$A$16,0))</f>
        <v>90.446399999999997</v>
      </c>
      <c r="R1040" s="22">
        <f>H1040*Assumptions!$B$3</f>
        <v>14.01</v>
      </c>
      <c r="S1040" s="22">
        <f t="shared" si="128"/>
        <v>32.583599999999997</v>
      </c>
      <c r="T1040" s="20" t="str">
        <f t="shared" si="129"/>
        <v>15-21 days</v>
      </c>
    </row>
    <row r="1041" spans="1:20" x14ac:dyDescent="0.3">
      <c r="A1041" s="20" t="s">
        <v>1107</v>
      </c>
      <c r="B1041" s="20" t="s">
        <v>55</v>
      </c>
      <c r="C1041" s="21">
        <v>45700</v>
      </c>
      <c r="D1041" s="21">
        <v>45713</v>
      </c>
      <c r="E1041" s="21">
        <v>45723</v>
      </c>
      <c r="F1041" s="20" t="s">
        <v>49</v>
      </c>
      <c r="G1041" s="22">
        <v>81.73</v>
      </c>
      <c r="H1041" s="22">
        <v>31.03</v>
      </c>
      <c r="I1041" s="20" t="s">
        <v>45</v>
      </c>
      <c r="J1041" s="20">
        <v>4</v>
      </c>
      <c r="K1041" s="20" t="s">
        <v>46</v>
      </c>
      <c r="L1041" s="23">
        <f t="shared" si="123"/>
        <v>45689</v>
      </c>
      <c r="M1041" s="20">
        <f t="shared" si="124"/>
        <v>13</v>
      </c>
      <c r="N1041" s="20">
        <f t="shared" si="125"/>
        <v>0</v>
      </c>
      <c r="O1041" s="20">
        <f t="shared" si="126"/>
        <v>1</v>
      </c>
      <c r="P1041" s="22">
        <f t="shared" si="127"/>
        <v>112.76</v>
      </c>
      <c r="Q1041" s="22">
        <f>G1041*INDEX(Assumptions!$B$8:$B$16,MATCH(F1041,Assumptions!$A$8:$A$16,0))</f>
        <v>47.403399999999998</v>
      </c>
      <c r="R1041" s="22">
        <f>H1041*Assumptions!$B$3</f>
        <v>18.617999999999999</v>
      </c>
      <c r="S1041" s="22">
        <f t="shared" si="128"/>
        <v>15.708600000000008</v>
      </c>
      <c r="T1041" s="20" t="str">
        <f t="shared" si="129"/>
        <v>8-14 days</v>
      </c>
    </row>
    <row r="1042" spans="1:20" x14ac:dyDescent="0.3">
      <c r="A1042" s="20" t="s">
        <v>1108</v>
      </c>
      <c r="B1042" s="20" t="s">
        <v>19</v>
      </c>
      <c r="C1042" s="21">
        <v>45701</v>
      </c>
      <c r="D1042" s="21">
        <v>45715</v>
      </c>
      <c r="E1042" s="21">
        <v>45714</v>
      </c>
      <c r="F1042" s="20" t="s">
        <v>53</v>
      </c>
      <c r="G1042" s="22">
        <v>148.65</v>
      </c>
      <c r="H1042" s="22">
        <v>21.75</v>
      </c>
      <c r="I1042" s="20" t="s">
        <v>45</v>
      </c>
      <c r="J1042" s="20">
        <v>4</v>
      </c>
      <c r="K1042" s="20" t="s">
        <v>46</v>
      </c>
      <c r="L1042" s="23">
        <f t="shared" si="123"/>
        <v>45689</v>
      </c>
      <c r="M1042" s="20">
        <f t="shared" si="124"/>
        <v>14</v>
      </c>
      <c r="N1042" s="20">
        <f t="shared" si="125"/>
        <v>1</v>
      </c>
      <c r="O1042" s="20">
        <f t="shared" si="126"/>
        <v>0</v>
      </c>
      <c r="P1042" s="22">
        <f t="shared" si="127"/>
        <v>170.4</v>
      </c>
      <c r="Q1042" s="22">
        <f>G1042*INDEX(Assumptions!$B$8:$B$16,MATCH(F1042,Assumptions!$A$8:$A$16,0))</f>
        <v>110.001</v>
      </c>
      <c r="R1042" s="22">
        <f>H1042*Assumptions!$B$3</f>
        <v>13.049999999999999</v>
      </c>
      <c r="S1042" s="22">
        <f t="shared" si="128"/>
        <v>25.599000000000004</v>
      </c>
      <c r="T1042" s="20" t="str">
        <f t="shared" si="129"/>
        <v>8-14 days</v>
      </c>
    </row>
    <row r="1043" spans="1:20" x14ac:dyDescent="0.3">
      <c r="A1043" s="20" t="s">
        <v>1109</v>
      </c>
      <c r="B1043" s="20" t="s">
        <v>19</v>
      </c>
      <c r="C1043" s="21">
        <v>45701</v>
      </c>
      <c r="D1043" s="21">
        <v>45709</v>
      </c>
      <c r="E1043" s="21">
        <v>45717</v>
      </c>
      <c r="F1043" s="20" t="s">
        <v>44</v>
      </c>
      <c r="G1043" s="22">
        <v>209.2</v>
      </c>
      <c r="H1043" s="22">
        <v>18.03</v>
      </c>
      <c r="I1043" s="20" t="s">
        <v>45</v>
      </c>
      <c r="J1043" s="20">
        <v>4</v>
      </c>
      <c r="K1043" s="20" t="s">
        <v>46</v>
      </c>
      <c r="L1043" s="23">
        <f t="shared" si="123"/>
        <v>45689</v>
      </c>
      <c r="M1043" s="20">
        <f t="shared" si="124"/>
        <v>8</v>
      </c>
      <c r="N1043" s="20">
        <f t="shared" si="125"/>
        <v>0</v>
      </c>
      <c r="O1043" s="20">
        <f t="shared" si="126"/>
        <v>1</v>
      </c>
      <c r="P1043" s="22">
        <f t="shared" si="127"/>
        <v>227.23</v>
      </c>
      <c r="Q1043" s="22">
        <f>G1043*INDEX(Assumptions!$B$8:$B$16,MATCH(F1043,Assumptions!$A$8:$A$16,0))</f>
        <v>125.51999999999998</v>
      </c>
      <c r="R1043" s="22">
        <f>H1043*Assumptions!$B$3</f>
        <v>10.818</v>
      </c>
      <c r="S1043" s="22">
        <f t="shared" si="128"/>
        <v>72.862000000000009</v>
      </c>
      <c r="T1043" s="20" t="str">
        <f t="shared" si="129"/>
        <v>8-14 days</v>
      </c>
    </row>
    <row r="1044" spans="1:20" x14ac:dyDescent="0.3">
      <c r="A1044" s="20" t="s">
        <v>1110</v>
      </c>
      <c r="B1044" s="20" t="s">
        <v>55</v>
      </c>
      <c r="C1044" s="21">
        <v>45701</v>
      </c>
      <c r="D1044" s="21">
        <v>45715</v>
      </c>
      <c r="E1044" s="21">
        <v>45727</v>
      </c>
      <c r="F1044" s="20" t="s">
        <v>79</v>
      </c>
      <c r="G1044" s="22">
        <v>73.430000000000007</v>
      </c>
      <c r="H1044" s="22">
        <v>22.57</v>
      </c>
      <c r="I1044" s="20" t="s">
        <v>45</v>
      </c>
      <c r="J1044" s="20">
        <v>4</v>
      </c>
      <c r="K1044" s="20" t="s">
        <v>46</v>
      </c>
      <c r="L1044" s="23">
        <f t="shared" si="123"/>
        <v>45689</v>
      </c>
      <c r="M1044" s="20">
        <f t="shared" si="124"/>
        <v>14</v>
      </c>
      <c r="N1044" s="20">
        <f t="shared" si="125"/>
        <v>0</v>
      </c>
      <c r="O1044" s="20">
        <f t="shared" si="126"/>
        <v>1</v>
      </c>
      <c r="P1044" s="22">
        <f t="shared" si="127"/>
        <v>96</v>
      </c>
      <c r="Q1044" s="22">
        <f>G1044*INDEX(Assumptions!$B$8:$B$16,MATCH(F1044,Assumptions!$A$8:$A$16,0))</f>
        <v>51.401000000000003</v>
      </c>
      <c r="R1044" s="22">
        <f>H1044*Assumptions!$B$3</f>
        <v>13.542</v>
      </c>
      <c r="S1044" s="22">
        <f t="shared" si="128"/>
        <v>8.4870000000000037</v>
      </c>
      <c r="T1044" s="20" t="str">
        <f t="shared" si="129"/>
        <v>8-14 days</v>
      </c>
    </row>
    <row r="1045" spans="1:20" x14ac:dyDescent="0.3">
      <c r="A1045" s="20" t="s">
        <v>1111</v>
      </c>
      <c r="B1045" s="20" t="s">
        <v>19</v>
      </c>
      <c r="C1045" s="21">
        <v>45701</v>
      </c>
      <c r="D1045" s="21">
        <v>45707</v>
      </c>
      <c r="E1045" s="21">
        <v>45718</v>
      </c>
      <c r="F1045" s="20" t="s">
        <v>67</v>
      </c>
      <c r="G1045" s="22">
        <v>180.51</v>
      </c>
      <c r="H1045" s="22">
        <v>17.57</v>
      </c>
      <c r="I1045" s="20" t="s">
        <v>104</v>
      </c>
      <c r="J1045" s="20">
        <v>4</v>
      </c>
      <c r="K1045" s="20" t="s">
        <v>46</v>
      </c>
      <c r="L1045" s="23">
        <f t="shared" si="123"/>
        <v>45689</v>
      </c>
      <c r="M1045" s="20">
        <f t="shared" si="124"/>
        <v>6</v>
      </c>
      <c r="N1045" s="20">
        <f t="shared" si="125"/>
        <v>0</v>
      </c>
      <c r="O1045" s="20">
        <f t="shared" si="126"/>
        <v>1</v>
      </c>
      <c r="P1045" s="22">
        <f t="shared" si="127"/>
        <v>198.07999999999998</v>
      </c>
      <c r="Q1045" s="22">
        <f>G1045*INDEX(Assumptions!$B$8:$B$16,MATCH(F1045,Assumptions!$A$8:$A$16,0))</f>
        <v>111.91619999999999</v>
      </c>
      <c r="R1045" s="22">
        <f>H1045*Assumptions!$B$3</f>
        <v>10.542</v>
      </c>
      <c r="S1045" s="22">
        <f t="shared" si="128"/>
        <v>58.0518</v>
      </c>
      <c r="T1045" s="20" t="str">
        <f t="shared" si="129"/>
        <v>0-7 days</v>
      </c>
    </row>
    <row r="1046" spans="1:20" x14ac:dyDescent="0.3">
      <c r="A1046" s="20" t="s">
        <v>1112</v>
      </c>
      <c r="B1046" s="20" t="s">
        <v>19</v>
      </c>
      <c r="C1046" s="21">
        <v>45702</v>
      </c>
      <c r="D1046" s="21">
        <v>45716</v>
      </c>
      <c r="E1046" s="21">
        <v>45718</v>
      </c>
      <c r="F1046" s="20" t="s">
        <v>67</v>
      </c>
      <c r="G1046" s="22">
        <v>48.91</v>
      </c>
      <c r="H1046" s="22">
        <v>17.010000000000002</v>
      </c>
      <c r="I1046" s="20" t="s">
        <v>45</v>
      </c>
      <c r="J1046" s="20">
        <v>4</v>
      </c>
      <c r="K1046" s="20" t="s">
        <v>46</v>
      </c>
      <c r="L1046" s="23">
        <f t="shared" si="123"/>
        <v>45689</v>
      </c>
      <c r="M1046" s="20">
        <f t="shared" si="124"/>
        <v>14</v>
      </c>
      <c r="N1046" s="20">
        <f t="shared" si="125"/>
        <v>0</v>
      </c>
      <c r="O1046" s="20">
        <f t="shared" si="126"/>
        <v>1</v>
      </c>
      <c r="P1046" s="22">
        <f t="shared" si="127"/>
        <v>65.92</v>
      </c>
      <c r="Q1046" s="22">
        <f>G1046*INDEX(Assumptions!$B$8:$B$16,MATCH(F1046,Assumptions!$A$8:$A$16,0))</f>
        <v>30.324199999999998</v>
      </c>
      <c r="R1046" s="22">
        <f>H1046*Assumptions!$B$3</f>
        <v>10.206000000000001</v>
      </c>
      <c r="S1046" s="22">
        <f t="shared" si="128"/>
        <v>8.3797999999999977</v>
      </c>
      <c r="T1046" s="20" t="str">
        <f t="shared" si="129"/>
        <v>8-14 days</v>
      </c>
    </row>
    <row r="1047" spans="1:20" x14ac:dyDescent="0.3">
      <c r="A1047" s="20" t="s">
        <v>1113</v>
      </c>
      <c r="B1047" s="20" t="s">
        <v>52</v>
      </c>
      <c r="C1047" s="21">
        <v>45702</v>
      </c>
      <c r="D1047" s="21">
        <v>45719</v>
      </c>
      <c r="E1047" s="21">
        <v>45726</v>
      </c>
      <c r="F1047" s="20" t="s">
        <v>44</v>
      </c>
      <c r="G1047" s="22">
        <v>34.380000000000003</v>
      </c>
      <c r="H1047" s="22">
        <v>26.04</v>
      </c>
      <c r="I1047" s="20" t="s">
        <v>45</v>
      </c>
      <c r="J1047" s="20">
        <v>5</v>
      </c>
      <c r="K1047" s="20" t="s">
        <v>46</v>
      </c>
      <c r="L1047" s="23">
        <f t="shared" si="123"/>
        <v>45689</v>
      </c>
      <c r="M1047" s="20">
        <f t="shared" si="124"/>
        <v>17</v>
      </c>
      <c r="N1047" s="20">
        <f t="shared" si="125"/>
        <v>0</v>
      </c>
      <c r="O1047" s="20">
        <f t="shared" si="126"/>
        <v>1</v>
      </c>
      <c r="P1047" s="22">
        <f t="shared" si="127"/>
        <v>60.42</v>
      </c>
      <c r="Q1047" s="22">
        <f>G1047*INDEX(Assumptions!$B$8:$B$16,MATCH(F1047,Assumptions!$A$8:$A$16,0))</f>
        <v>20.628</v>
      </c>
      <c r="R1047" s="22">
        <f>H1047*Assumptions!$B$3</f>
        <v>15.623999999999999</v>
      </c>
      <c r="S1047" s="22">
        <f t="shared" si="128"/>
        <v>-1.8719999999999963</v>
      </c>
      <c r="T1047" s="20" t="str">
        <f t="shared" si="129"/>
        <v>15-21 days</v>
      </c>
    </row>
    <row r="1048" spans="1:20" x14ac:dyDescent="0.3">
      <c r="A1048" s="20" t="s">
        <v>1114</v>
      </c>
      <c r="B1048" s="20" t="s">
        <v>48</v>
      </c>
      <c r="C1048" s="21">
        <v>45702</v>
      </c>
      <c r="D1048" s="21">
        <v>45726</v>
      </c>
      <c r="E1048" s="21">
        <v>45726</v>
      </c>
      <c r="F1048" s="20" t="s">
        <v>57</v>
      </c>
      <c r="G1048" s="22">
        <v>154.72999999999999</v>
      </c>
      <c r="H1048" s="22">
        <v>19.440000000000001</v>
      </c>
      <c r="I1048" s="20" t="s">
        <v>45</v>
      </c>
      <c r="J1048" s="20">
        <v>4</v>
      </c>
      <c r="K1048" s="20" t="s">
        <v>46</v>
      </c>
      <c r="L1048" s="23">
        <f t="shared" si="123"/>
        <v>45689</v>
      </c>
      <c r="M1048" s="20">
        <f t="shared" si="124"/>
        <v>24</v>
      </c>
      <c r="N1048" s="20">
        <f t="shared" si="125"/>
        <v>0</v>
      </c>
      <c r="O1048" s="20">
        <f t="shared" si="126"/>
        <v>1</v>
      </c>
      <c r="P1048" s="22">
        <f t="shared" si="127"/>
        <v>174.17</v>
      </c>
      <c r="Q1048" s="22">
        <f>G1048*INDEX(Assumptions!$B$8:$B$16,MATCH(F1048,Assumptions!$A$8:$A$16,0))</f>
        <v>105.21640000000001</v>
      </c>
      <c r="R1048" s="22">
        <f>H1048*Assumptions!$B$3</f>
        <v>11.664</v>
      </c>
      <c r="S1048" s="22">
        <f t="shared" si="128"/>
        <v>37.849599999999981</v>
      </c>
      <c r="T1048" s="20" t="str">
        <f t="shared" si="129"/>
        <v>22+ days</v>
      </c>
    </row>
    <row r="1049" spans="1:20" x14ac:dyDescent="0.3">
      <c r="A1049" s="20" t="s">
        <v>1115</v>
      </c>
      <c r="B1049" s="20" t="s">
        <v>103</v>
      </c>
      <c r="C1049" s="21">
        <v>45702</v>
      </c>
      <c r="D1049" s="21">
        <v>45710</v>
      </c>
      <c r="E1049" s="21">
        <v>45728</v>
      </c>
      <c r="F1049" s="20" t="s">
        <v>79</v>
      </c>
      <c r="G1049" s="22">
        <v>83.33</v>
      </c>
      <c r="H1049" s="22">
        <v>16.71</v>
      </c>
      <c r="I1049" s="20" t="s">
        <v>45</v>
      </c>
      <c r="J1049" s="20">
        <v>5</v>
      </c>
      <c r="K1049" s="20" t="s">
        <v>46</v>
      </c>
      <c r="L1049" s="23">
        <f t="shared" si="123"/>
        <v>45689</v>
      </c>
      <c r="M1049" s="20">
        <f t="shared" si="124"/>
        <v>8</v>
      </c>
      <c r="N1049" s="20">
        <f t="shared" si="125"/>
        <v>0</v>
      </c>
      <c r="O1049" s="20">
        <f t="shared" si="126"/>
        <v>1</v>
      </c>
      <c r="P1049" s="22">
        <f t="shared" si="127"/>
        <v>100.03999999999999</v>
      </c>
      <c r="Q1049" s="22">
        <f>G1049*INDEX(Assumptions!$B$8:$B$16,MATCH(F1049,Assumptions!$A$8:$A$16,0))</f>
        <v>58.330999999999996</v>
      </c>
      <c r="R1049" s="22">
        <f>H1049*Assumptions!$B$3</f>
        <v>10.026</v>
      </c>
      <c r="S1049" s="22">
        <f t="shared" si="128"/>
        <v>14.973000000000003</v>
      </c>
      <c r="T1049" s="20" t="str">
        <f t="shared" si="129"/>
        <v>8-14 days</v>
      </c>
    </row>
    <row r="1050" spans="1:20" x14ac:dyDescent="0.3">
      <c r="A1050" s="20" t="s">
        <v>1116</v>
      </c>
      <c r="B1050" s="20" t="s">
        <v>19</v>
      </c>
      <c r="C1050" s="21">
        <v>45702</v>
      </c>
      <c r="D1050" s="21">
        <v>45713</v>
      </c>
      <c r="E1050" s="21">
        <v>45717</v>
      </c>
      <c r="F1050" s="20" t="s">
        <v>111</v>
      </c>
      <c r="G1050" s="22">
        <v>153.54</v>
      </c>
      <c r="H1050" s="22">
        <v>17.579999999999998</v>
      </c>
      <c r="I1050" s="20" t="s">
        <v>45</v>
      </c>
      <c r="J1050" s="20">
        <v>4</v>
      </c>
      <c r="K1050" s="20" t="s">
        <v>46</v>
      </c>
      <c r="L1050" s="23">
        <f t="shared" si="123"/>
        <v>45689</v>
      </c>
      <c r="M1050" s="20">
        <f t="shared" si="124"/>
        <v>11</v>
      </c>
      <c r="N1050" s="20">
        <f t="shared" si="125"/>
        <v>0</v>
      </c>
      <c r="O1050" s="20">
        <f t="shared" si="126"/>
        <v>1</v>
      </c>
      <c r="P1050" s="22">
        <f t="shared" si="127"/>
        <v>171.12</v>
      </c>
      <c r="Q1050" s="22">
        <f>G1050*INDEX(Assumptions!$B$8:$B$16,MATCH(F1050,Assumptions!$A$8:$A$16,0))</f>
        <v>96.730199999999996</v>
      </c>
      <c r="R1050" s="22">
        <f>H1050*Assumptions!$B$3</f>
        <v>10.547999999999998</v>
      </c>
      <c r="S1050" s="22">
        <f t="shared" si="128"/>
        <v>46.261799999999994</v>
      </c>
      <c r="T1050" s="20" t="str">
        <f t="shared" si="129"/>
        <v>8-14 days</v>
      </c>
    </row>
    <row r="1051" spans="1:20" x14ac:dyDescent="0.3">
      <c r="A1051" s="20" t="s">
        <v>1117</v>
      </c>
      <c r="B1051" s="20" t="s">
        <v>55</v>
      </c>
      <c r="C1051" s="21">
        <v>45703</v>
      </c>
      <c r="D1051" s="21">
        <v>45713</v>
      </c>
      <c r="E1051" s="21">
        <v>45727</v>
      </c>
      <c r="F1051" s="20" t="s">
        <v>59</v>
      </c>
      <c r="G1051" s="22">
        <v>117.84</v>
      </c>
      <c r="H1051" s="22">
        <v>31.08</v>
      </c>
      <c r="I1051" s="20" t="s">
        <v>45</v>
      </c>
      <c r="J1051" s="20">
        <v>5</v>
      </c>
      <c r="K1051" s="20" t="s">
        <v>46</v>
      </c>
      <c r="L1051" s="23">
        <f t="shared" si="123"/>
        <v>45689</v>
      </c>
      <c r="M1051" s="20">
        <f t="shared" si="124"/>
        <v>10</v>
      </c>
      <c r="N1051" s="20">
        <f t="shared" si="125"/>
        <v>0</v>
      </c>
      <c r="O1051" s="20">
        <f t="shared" si="126"/>
        <v>1</v>
      </c>
      <c r="P1051" s="22">
        <f t="shared" si="127"/>
        <v>148.92000000000002</v>
      </c>
      <c r="Q1051" s="22">
        <f>G1051*INDEX(Assumptions!$B$8:$B$16,MATCH(F1051,Assumptions!$A$8:$A$16,0))</f>
        <v>75.417600000000007</v>
      </c>
      <c r="R1051" s="22">
        <f>H1051*Assumptions!$B$3</f>
        <v>18.648</v>
      </c>
      <c r="S1051" s="22">
        <f t="shared" si="128"/>
        <v>23.774399999999996</v>
      </c>
      <c r="T1051" s="20" t="str">
        <f t="shared" si="129"/>
        <v>8-14 days</v>
      </c>
    </row>
    <row r="1052" spans="1:20" x14ac:dyDescent="0.3">
      <c r="A1052" s="20" t="s">
        <v>1118</v>
      </c>
      <c r="B1052" s="20" t="s">
        <v>55</v>
      </c>
      <c r="C1052" s="21">
        <v>45703</v>
      </c>
      <c r="D1052" s="21">
        <v>45711</v>
      </c>
      <c r="E1052" s="21">
        <v>45726</v>
      </c>
      <c r="F1052" s="20" t="s">
        <v>59</v>
      </c>
      <c r="G1052" s="22">
        <v>175.06</v>
      </c>
      <c r="H1052" s="22">
        <v>32.200000000000003</v>
      </c>
      <c r="I1052" s="20" t="s">
        <v>60</v>
      </c>
      <c r="J1052" s="20">
        <v>5</v>
      </c>
      <c r="K1052" s="20" t="s">
        <v>46</v>
      </c>
      <c r="L1052" s="23">
        <f t="shared" si="123"/>
        <v>45689</v>
      </c>
      <c r="M1052" s="20">
        <f t="shared" si="124"/>
        <v>8</v>
      </c>
      <c r="N1052" s="20">
        <f t="shared" si="125"/>
        <v>0</v>
      </c>
      <c r="O1052" s="20">
        <f t="shared" si="126"/>
        <v>1</v>
      </c>
      <c r="P1052" s="22">
        <f t="shared" si="127"/>
        <v>207.26</v>
      </c>
      <c r="Q1052" s="22">
        <f>G1052*INDEX(Assumptions!$B$8:$B$16,MATCH(F1052,Assumptions!$A$8:$A$16,0))</f>
        <v>112.03840000000001</v>
      </c>
      <c r="R1052" s="22">
        <f>H1052*Assumptions!$B$3</f>
        <v>19.32</v>
      </c>
      <c r="S1052" s="22">
        <f t="shared" si="128"/>
        <v>43.701599999999992</v>
      </c>
      <c r="T1052" s="20" t="str">
        <f t="shared" si="129"/>
        <v>8-14 days</v>
      </c>
    </row>
    <row r="1053" spans="1:20" x14ac:dyDescent="0.3">
      <c r="A1053" s="20" t="s">
        <v>1119</v>
      </c>
      <c r="B1053" s="20" t="s">
        <v>55</v>
      </c>
      <c r="C1053" s="21">
        <v>45703</v>
      </c>
      <c r="D1053" s="21">
        <v>45719</v>
      </c>
      <c r="E1053" s="21">
        <v>45728</v>
      </c>
      <c r="F1053" s="20" t="s">
        <v>44</v>
      </c>
      <c r="G1053" s="22">
        <v>68.45</v>
      </c>
      <c r="H1053" s="22">
        <v>30.12</v>
      </c>
      <c r="I1053" s="20" t="s">
        <v>50</v>
      </c>
      <c r="J1053" s="20">
        <v>4</v>
      </c>
      <c r="K1053" s="20" t="s">
        <v>46</v>
      </c>
      <c r="L1053" s="23">
        <f t="shared" si="123"/>
        <v>45689</v>
      </c>
      <c r="M1053" s="20">
        <f t="shared" si="124"/>
        <v>16</v>
      </c>
      <c r="N1053" s="20">
        <f t="shared" si="125"/>
        <v>0</v>
      </c>
      <c r="O1053" s="20">
        <f t="shared" si="126"/>
        <v>1</v>
      </c>
      <c r="P1053" s="22">
        <f t="shared" si="127"/>
        <v>98.570000000000007</v>
      </c>
      <c r="Q1053" s="22">
        <f>G1053*INDEX(Assumptions!$B$8:$B$16,MATCH(F1053,Assumptions!$A$8:$A$16,0))</f>
        <v>41.07</v>
      </c>
      <c r="R1053" s="22">
        <f>H1053*Assumptions!$B$3</f>
        <v>18.071999999999999</v>
      </c>
      <c r="S1053" s="22">
        <f t="shared" si="128"/>
        <v>9.3080000000000034</v>
      </c>
      <c r="T1053" s="20" t="str">
        <f t="shared" si="129"/>
        <v>15-21 days</v>
      </c>
    </row>
    <row r="1054" spans="1:20" x14ac:dyDescent="0.3">
      <c r="A1054" s="20" t="s">
        <v>1120</v>
      </c>
      <c r="B1054" s="20" t="s">
        <v>62</v>
      </c>
      <c r="C1054" s="21">
        <v>45704</v>
      </c>
      <c r="D1054" s="21">
        <v>45715</v>
      </c>
      <c r="E1054" s="21">
        <v>45726</v>
      </c>
      <c r="F1054" s="20" t="s">
        <v>111</v>
      </c>
      <c r="G1054" s="22">
        <v>52.56</v>
      </c>
      <c r="H1054" s="22">
        <v>22.67</v>
      </c>
      <c r="I1054" s="20" t="s">
        <v>45</v>
      </c>
      <c r="J1054" s="20">
        <v>3</v>
      </c>
      <c r="K1054" s="20" t="s">
        <v>46</v>
      </c>
      <c r="L1054" s="23">
        <f t="shared" si="123"/>
        <v>45689</v>
      </c>
      <c r="M1054" s="20">
        <f t="shared" si="124"/>
        <v>11</v>
      </c>
      <c r="N1054" s="20">
        <f t="shared" si="125"/>
        <v>0</v>
      </c>
      <c r="O1054" s="20">
        <f t="shared" si="126"/>
        <v>1</v>
      </c>
      <c r="P1054" s="22">
        <f t="shared" si="127"/>
        <v>75.23</v>
      </c>
      <c r="Q1054" s="22">
        <f>G1054*INDEX(Assumptions!$B$8:$B$16,MATCH(F1054,Assumptions!$A$8:$A$16,0))</f>
        <v>33.1128</v>
      </c>
      <c r="R1054" s="22">
        <f>H1054*Assumptions!$B$3</f>
        <v>13.602</v>
      </c>
      <c r="S1054" s="22">
        <f t="shared" si="128"/>
        <v>5.8452000000000019</v>
      </c>
      <c r="T1054" s="20" t="str">
        <f t="shared" si="129"/>
        <v>8-14 days</v>
      </c>
    </row>
    <row r="1055" spans="1:20" x14ac:dyDescent="0.3">
      <c r="A1055" s="20" t="s">
        <v>1121</v>
      </c>
      <c r="B1055" s="20" t="s">
        <v>55</v>
      </c>
      <c r="C1055" s="21">
        <v>45704</v>
      </c>
      <c r="D1055" s="21">
        <v>45731</v>
      </c>
      <c r="E1055" s="21">
        <v>45728</v>
      </c>
      <c r="F1055" s="20" t="s">
        <v>59</v>
      </c>
      <c r="G1055" s="22">
        <v>49.92</v>
      </c>
      <c r="H1055" s="22">
        <v>24.52</v>
      </c>
      <c r="I1055" s="20" t="s">
        <v>45</v>
      </c>
      <c r="J1055" s="20">
        <v>2</v>
      </c>
      <c r="K1055" s="20" t="s">
        <v>46</v>
      </c>
      <c r="L1055" s="23">
        <f t="shared" si="123"/>
        <v>45689</v>
      </c>
      <c r="M1055" s="20">
        <f t="shared" si="124"/>
        <v>27</v>
      </c>
      <c r="N1055" s="20">
        <f t="shared" si="125"/>
        <v>3</v>
      </c>
      <c r="O1055" s="20">
        <f t="shared" si="126"/>
        <v>0</v>
      </c>
      <c r="P1055" s="22">
        <f t="shared" si="127"/>
        <v>74.44</v>
      </c>
      <c r="Q1055" s="22">
        <f>G1055*INDEX(Assumptions!$B$8:$B$16,MATCH(F1055,Assumptions!$A$8:$A$16,0))</f>
        <v>31.948800000000002</v>
      </c>
      <c r="R1055" s="22">
        <f>H1055*Assumptions!$B$3</f>
        <v>14.712</v>
      </c>
      <c r="S1055" s="22">
        <f t="shared" si="128"/>
        <v>3.2591999999999999</v>
      </c>
      <c r="T1055" s="20" t="str">
        <f t="shared" si="129"/>
        <v>22+ days</v>
      </c>
    </row>
    <row r="1056" spans="1:20" x14ac:dyDescent="0.3">
      <c r="A1056" s="20" t="s">
        <v>1122</v>
      </c>
      <c r="B1056" s="20" t="s">
        <v>93</v>
      </c>
      <c r="C1056" s="21">
        <v>45704</v>
      </c>
      <c r="D1056" s="21">
        <v>45739</v>
      </c>
      <c r="E1056" s="21">
        <v>45737</v>
      </c>
      <c r="F1056" s="20" t="s">
        <v>49</v>
      </c>
      <c r="G1056" s="22">
        <v>59.44</v>
      </c>
      <c r="H1056" s="22">
        <v>34.85</v>
      </c>
      <c r="I1056" s="20" t="s">
        <v>60</v>
      </c>
      <c r="J1056" s="20">
        <v>3</v>
      </c>
      <c r="K1056" s="20" t="s">
        <v>46</v>
      </c>
      <c r="L1056" s="23">
        <f t="shared" si="123"/>
        <v>45689</v>
      </c>
      <c r="M1056" s="20">
        <f t="shared" si="124"/>
        <v>35</v>
      </c>
      <c r="N1056" s="20">
        <f t="shared" si="125"/>
        <v>2</v>
      </c>
      <c r="O1056" s="20">
        <f t="shared" si="126"/>
        <v>0</v>
      </c>
      <c r="P1056" s="22">
        <f t="shared" si="127"/>
        <v>94.289999999999992</v>
      </c>
      <c r="Q1056" s="22">
        <f>G1056*INDEX(Assumptions!$B$8:$B$16,MATCH(F1056,Assumptions!$A$8:$A$16,0))</f>
        <v>34.475199999999994</v>
      </c>
      <c r="R1056" s="22">
        <f>H1056*Assumptions!$B$3</f>
        <v>20.91</v>
      </c>
      <c r="S1056" s="22">
        <f t="shared" si="128"/>
        <v>4.0548000000000037</v>
      </c>
      <c r="T1056" s="20" t="str">
        <f t="shared" si="129"/>
        <v>22+ days</v>
      </c>
    </row>
    <row r="1057" spans="1:20" x14ac:dyDescent="0.3">
      <c r="A1057" s="20" t="s">
        <v>1123</v>
      </c>
      <c r="B1057" s="20" t="s">
        <v>48</v>
      </c>
      <c r="C1057" s="21">
        <v>45705</v>
      </c>
      <c r="D1057" s="21">
        <v>45719</v>
      </c>
      <c r="E1057" s="21">
        <v>45725</v>
      </c>
      <c r="F1057" s="20" t="s">
        <v>53</v>
      </c>
      <c r="G1057" s="22">
        <v>124.64</v>
      </c>
      <c r="H1057" s="22">
        <v>18.59</v>
      </c>
      <c r="I1057" s="20" t="s">
        <v>45</v>
      </c>
      <c r="J1057" s="20">
        <v>4</v>
      </c>
      <c r="K1057" s="20" t="s">
        <v>46</v>
      </c>
      <c r="L1057" s="23">
        <f t="shared" si="123"/>
        <v>45689</v>
      </c>
      <c r="M1057" s="20">
        <f t="shared" si="124"/>
        <v>14</v>
      </c>
      <c r="N1057" s="20">
        <f t="shared" si="125"/>
        <v>0</v>
      </c>
      <c r="O1057" s="20">
        <f t="shared" si="126"/>
        <v>1</v>
      </c>
      <c r="P1057" s="22">
        <f t="shared" si="127"/>
        <v>143.22999999999999</v>
      </c>
      <c r="Q1057" s="22">
        <f>G1057*INDEX(Assumptions!$B$8:$B$16,MATCH(F1057,Assumptions!$A$8:$A$16,0))</f>
        <v>92.233599999999996</v>
      </c>
      <c r="R1057" s="22">
        <f>H1057*Assumptions!$B$3</f>
        <v>11.154</v>
      </c>
      <c r="S1057" s="22">
        <f t="shared" si="128"/>
        <v>21.252400000000005</v>
      </c>
      <c r="T1057" s="20" t="str">
        <f t="shared" si="129"/>
        <v>8-14 days</v>
      </c>
    </row>
    <row r="1058" spans="1:20" x14ac:dyDescent="0.3">
      <c r="A1058" s="20" t="s">
        <v>1124</v>
      </c>
      <c r="B1058" s="20" t="s">
        <v>134</v>
      </c>
      <c r="C1058" s="21">
        <v>45705</v>
      </c>
      <c r="D1058" s="21">
        <v>45716</v>
      </c>
      <c r="E1058" s="21">
        <v>45728</v>
      </c>
      <c r="F1058" s="20" t="s">
        <v>67</v>
      </c>
      <c r="G1058" s="22">
        <v>43.38</v>
      </c>
      <c r="H1058" s="22">
        <v>26.62</v>
      </c>
      <c r="I1058" s="20" t="s">
        <v>45</v>
      </c>
      <c r="J1058" s="20">
        <v>5</v>
      </c>
      <c r="K1058" s="20" t="s">
        <v>46</v>
      </c>
      <c r="L1058" s="23">
        <f t="shared" si="123"/>
        <v>45689</v>
      </c>
      <c r="M1058" s="20">
        <f t="shared" si="124"/>
        <v>11</v>
      </c>
      <c r="N1058" s="20">
        <f t="shared" si="125"/>
        <v>0</v>
      </c>
      <c r="O1058" s="20">
        <f t="shared" si="126"/>
        <v>1</v>
      </c>
      <c r="P1058" s="22">
        <f t="shared" si="127"/>
        <v>70</v>
      </c>
      <c r="Q1058" s="22">
        <f>G1058*INDEX(Assumptions!$B$8:$B$16,MATCH(F1058,Assumptions!$A$8:$A$16,0))</f>
        <v>26.895600000000002</v>
      </c>
      <c r="R1058" s="22">
        <f>H1058*Assumptions!$B$3</f>
        <v>15.972</v>
      </c>
      <c r="S1058" s="22">
        <f t="shared" si="128"/>
        <v>0.5124000000000013</v>
      </c>
      <c r="T1058" s="20" t="str">
        <f t="shared" si="129"/>
        <v>8-14 days</v>
      </c>
    </row>
    <row r="1059" spans="1:20" x14ac:dyDescent="0.3">
      <c r="A1059" s="20" t="s">
        <v>1125</v>
      </c>
      <c r="B1059" s="20" t="s">
        <v>55</v>
      </c>
      <c r="C1059" s="21">
        <v>45705</v>
      </c>
      <c r="D1059" s="21">
        <v>45722</v>
      </c>
      <c r="E1059" s="21">
        <v>45733</v>
      </c>
      <c r="F1059" s="20" t="s">
        <v>79</v>
      </c>
      <c r="G1059" s="22">
        <v>144.47999999999999</v>
      </c>
      <c r="H1059" s="22">
        <v>25.51</v>
      </c>
      <c r="I1059" s="20" t="s">
        <v>45</v>
      </c>
      <c r="J1059" s="20">
        <v>4</v>
      </c>
      <c r="K1059" s="20" t="s">
        <v>46</v>
      </c>
      <c r="L1059" s="23">
        <f t="shared" si="123"/>
        <v>45689</v>
      </c>
      <c r="M1059" s="20">
        <f t="shared" si="124"/>
        <v>17</v>
      </c>
      <c r="N1059" s="20">
        <f t="shared" si="125"/>
        <v>0</v>
      </c>
      <c r="O1059" s="20">
        <f t="shared" si="126"/>
        <v>1</v>
      </c>
      <c r="P1059" s="22">
        <f t="shared" si="127"/>
        <v>169.98999999999998</v>
      </c>
      <c r="Q1059" s="22">
        <f>G1059*INDEX(Assumptions!$B$8:$B$16,MATCH(F1059,Assumptions!$A$8:$A$16,0))</f>
        <v>101.13599999999998</v>
      </c>
      <c r="R1059" s="22">
        <f>H1059*Assumptions!$B$3</f>
        <v>15.306000000000001</v>
      </c>
      <c r="S1059" s="22">
        <f t="shared" si="128"/>
        <v>28.038000000000007</v>
      </c>
      <c r="T1059" s="20" t="str">
        <f t="shared" si="129"/>
        <v>15-21 days</v>
      </c>
    </row>
    <row r="1060" spans="1:20" x14ac:dyDescent="0.3">
      <c r="A1060" s="20" t="s">
        <v>1126</v>
      </c>
      <c r="B1060" s="20" t="s">
        <v>134</v>
      </c>
      <c r="C1060" s="21">
        <v>45705</v>
      </c>
      <c r="D1060" s="21">
        <v>45712</v>
      </c>
      <c r="E1060" s="21">
        <v>45728</v>
      </c>
      <c r="F1060" s="20" t="s">
        <v>111</v>
      </c>
      <c r="G1060" s="22">
        <v>64.66</v>
      </c>
      <c r="H1060" s="22">
        <v>18.78</v>
      </c>
      <c r="I1060" s="20" t="s">
        <v>60</v>
      </c>
      <c r="J1060" s="20">
        <v>5</v>
      </c>
      <c r="K1060" s="20" t="s">
        <v>46</v>
      </c>
      <c r="L1060" s="23">
        <f t="shared" si="123"/>
        <v>45689</v>
      </c>
      <c r="M1060" s="20">
        <f t="shared" si="124"/>
        <v>7</v>
      </c>
      <c r="N1060" s="20">
        <f t="shared" si="125"/>
        <v>0</v>
      </c>
      <c r="O1060" s="20">
        <f t="shared" si="126"/>
        <v>1</v>
      </c>
      <c r="P1060" s="22">
        <f t="shared" si="127"/>
        <v>83.44</v>
      </c>
      <c r="Q1060" s="22">
        <f>G1060*INDEX(Assumptions!$B$8:$B$16,MATCH(F1060,Assumptions!$A$8:$A$16,0))</f>
        <v>40.735799999999998</v>
      </c>
      <c r="R1060" s="22">
        <f>H1060*Assumptions!$B$3</f>
        <v>11.268000000000001</v>
      </c>
      <c r="S1060" s="22">
        <f t="shared" si="128"/>
        <v>12.656199999999998</v>
      </c>
      <c r="T1060" s="20" t="str">
        <f t="shared" si="129"/>
        <v>0-7 days</v>
      </c>
    </row>
    <row r="1061" spans="1:20" x14ac:dyDescent="0.3">
      <c r="A1061" s="20" t="s">
        <v>1127</v>
      </c>
      <c r="B1061" s="20" t="s">
        <v>55</v>
      </c>
      <c r="C1061" s="21">
        <v>45705</v>
      </c>
      <c r="D1061" s="21">
        <v>45719</v>
      </c>
      <c r="E1061" s="21">
        <v>45726</v>
      </c>
      <c r="F1061" s="20" t="s">
        <v>67</v>
      </c>
      <c r="G1061" s="22">
        <v>57.89</v>
      </c>
      <c r="H1061" s="22">
        <v>17.100000000000001</v>
      </c>
      <c r="I1061" s="20" t="s">
        <v>45</v>
      </c>
      <c r="J1061" s="20">
        <v>3</v>
      </c>
      <c r="K1061" s="20" t="s">
        <v>46</v>
      </c>
      <c r="L1061" s="23">
        <f t="shared" si="123"/>
        <v>45689</v>
      </c>
      <c r="M1061" s="20">
        <f t="shared" si="124"/>
        <v>14</v>
      </c>
      <c r="N1061" s="20">
        <f t="shared" si="125"/>
        <v>0</v>
      </c>
      <c r="O1061" s="20">
        <f t="shared" si="126"/>
        <v>1</v>
      </c>
      <c r="P1061" s="22">
        <f t="shared" si="127"/>
        <v>74.990000000000009</v>
      </c>
      <c r="Q1061" s="22">
        <f>G1061*INDEX(Assumptions!$B$8:$B$16,MATCH(F1061,Assumptions!$A$8:$A$16,0))</f>
        <v>35.891800000000003</v>
      </c>
      <c r="R1061" s="22">
        <f>H1061*Assumptions!$B$3</f>
        <v>10.26</v>
      </c>
      <c r="S1061" s="22">
        <f t="shared" si="128"/>
        <v>11.738199999999997</v>
      </c>
      <c r="T1061" s="20" t="str">
        <f t="shared" si="129"/>
        <v>8-14 days</v>
      </c>
    </row>
    <row r="1062" spans="1:20" x14ac:dyDescent="0.3">
      <c r="A1062" s="20" t="s">
        <v>1128</v>
      </c>
      <c r="B1062" s="20" t="s">
        <v>55</v>
      </c>
      <c r="C1062" s="21">
        <v>45705</v>
      </c>
      <c r="D1062" s="21">
        <v>45735</v>
      </c>
      <c r="E1062" s="21">
        <v>45731</v>
      </c>
      <c r="F1062" s="20" t="s">
        <v>59</v>
      </c>
      <c r="G1062" s="22">
        <v>88.62</v>
      </c>
      <c r="H1062" s="22">
        <v>22.57</v>
      </c>
      <c r="I1062" s="20" t="s">
        <v>45</v>
      </c>
      <c r="J1062" s="20">
        <v>2</v>
      </c>
      <c r="K1062" s="20" t="s">
        <v>46</v>
      </c>
      <c r="L1062" s="23">
        <f t="shared" si="123"/>
        <v>45689</v>
      </c>
      <c r="M1062" s="20">
        <f t="shared" si="124"/>
        <v>30</v>
      </c>
      <c r="N1062" s="20">
        <f t="shared" si="125"/>
        <v>4</v>
      </c>
      <c r="O1062" s="20">
        <f t="shared" si="126"/>
        <v>0</v>
      </c>
      <c r="P1062" s="22">
        <f t="shared" si="127"/>
        <v>111.19</v>
      </c>
      <c r="Q1062" s="22">
        <f>G1062*INDEX(Assumptions!$B$8:$B$16,MATCH(F1062,Assumptions!$A$8:$A$16,0))</f>
        <v>56.716800000000006</v>
      </c>
      <c r="R1062" s="22">
        <f>H1062*Assumptions!$B$3</f>
        <v>13.542</v>
      </c>
      <c r="S1062" s="22">
        <f t="shared" si="128"/>
        <v>18.361199999999997</v>
      </c>
      <c r="T1062" s="20" t="str">
        <f t="shared" si="129"/>
        <v>22+ days</v>
      </c>
    </row>
    <row r="1063" spans="1:20" x14ac:dyDescent="0.3">
      <c r="A1063" s="20" t="s">
        <v>1129</v>
      </c>
      <c r="B1063" s="20" t="s">
        <v>93</v>
      </c>
      <c r="C1063" s="21">
        <v>45705</v>
      </c>
      <c r="D1063" s="21">
        <v>45729</v>
      </c>
      <c r="E1063" s="21">
        <v>45735</v>
      </c>
      <c r="F1063" s="20" t="s">
        <v>57</v>
      </c>
      <c r="G1063" s="22">
        <v>85.4</v>
      </c>
      <c r="H1063" s="22">
        <v>23.05</v>
      </c>
      <c r="I1063" s="20" t="s">
        <v>45</v>
      </c>
      <c r="J1063" s="20">
        <v>3</v>
      </c>
      <c r="K1063" s="20" t="s">
        <v>46</v>
      </c>
      <c r="L1063" s="23">
        <f t="shared" si="123"/>
        <v>45689</v>
      </c>
      <c r="M1063" s="20">
        <f t="shared" si="124"/>
        <v>24</v>
      </c>
      <c r="N1063" s="20">
        <f t="shared" si="125"/>
        <v>0</v>
      </c>
      <c r="O1063" s="20">
        <f t="shared" si="126"/>
        <v>1</v>
      </c>
      <c r="P1063" s="22">
        <f t="shared" si="127"/>
        <v>108.45</v>
      </c>
      <c r="Q1063" s="22">
        <f>G1063*INDEX(Assumptions!$B$8:$B$16,MATCH(F1063,Assumptions!$A$8:$A$16,0))</f>
        <v>58.07200000000001</v>
      </c>
      <c r="R1063" s="22">
        <f>H1063*Assumptions!$B$3</f>
        <v>13.83</v>
      </c>
      <c r="S1063" s="22">
        <f t="shared" si="128"/>
        <v>13.497999999999996</v>
      </c>
      <c r="T1063" s="20" t="str">
        <f t="shared" si="129"/>
        <v>22+ days</v>
      </c>
    </row>
    <row r="1064" spans="1:20" x14ac:dyDescent="0.3">
      <c r="A1064" s="20" t="s">
        <v>1130</v>
      </c>
      <c r="B1064" s="20" t="s">
        <v>62</v>
      </c>
      <c r="C1064" s="21">
        <v>45706</v>
      </c>
      <c r="D1064" s="21">
        <v>45722</v>
      </c>
      <c r="E1064" s="21">
        <v>45723</v>
      </c>
      <c r="F1064" s="20" t="s">
        <v>79</v>
      </c>
      <c r="G1064" s="22">
        <v>77.16</v>
      </c>
      <c r="H1064" s="22">
        <v>29.14</v>
      </c>
      <c r="I1064" s="20" t="s">
        <v>50</v>
      </c>
      <c r="J1064" s="20">
        <v>5</v>
      </c>
      <c r="K1064" s="20" t="s">
        <v>46</v>
      </c>
      <c r="L1064" s="23">
        <f t="shared" si="123"/>
        <v>45689</v>
      </c>
      <c r="M1064" s="20">
        <f t="shared" si="124"/>
        <v>16</v>
      </c>
      <c r="N1064" s="20">
        <f t="shared" si="125"/>
        <v>0</v>
      </c>
      <c r="O1064" s="20">
        <f t="shared" si="126"/>
        <v>1</v>
      </c>
      <c r="P1064" s="22">
        <f t="shared" si="127"/>
        <v>106.3</v>
      </c>
      <c r="Q1064" s="22">
        <f>G1064*INDEX(Assumptions!$B$8:$B$16,MATCH(F1064,Assumptions!$A$8:$A$16,0))</f>
        <v>54.011999999999993</v>
      </c>
      <c r="R1064" s="22">
        <f>H1064*Assumptions!$B$3</f>
        <v>17.483999999999998</v>
      </c>
      <c r="S1064" s="22">
        <f t="shared" si="128"/>
        <v>5.664000000000005</v>
      </c>
      <c r="T1064" s="20" t="str">
        <f t="shared" si="129"/>
        <v>15-21 days</v>
      </c>
    </row>
    <row r="1065" spans="1:20" x14ac:dyDescent="0.3">
      <c r="A1065" s="20" t="s">
        <v>1131</v>
      </c>
      <c r="B1065" s="20" t="s">
        <v>201</v>
      </c>
      <c r="C1065" s="21">
        <v>45706</v>
      </c>
      <c r="D1065" s="21">
        <v>45734</v>
      </c>
      <c r="E1065" s="21">
        <v>45735</v>
      </c>
      <c r="F1065" s="20" t="s">
        <v>49</v>
      </c>
      <c r="G1065" s="22">
        <v>99.96</v>
      </c>
      <c r="H1065" s="22">
        <v>44.18</v>
      </c>
      <c r="I1065" s="20" t="s">
        <v>60</v>
      </c>
      <c r="J1065" s="20">
        <v>3</v>
      </c>
      <c r="K1065" s="20" t="s">
        <v>46</v>
      </c>
      <c r="L1065" s="23">
        <f t="shared" si="123"/>
        <v>45689</v>
      </c>
      <c r="M1065" s="20">
        <f t="shared" si="124"/>
        <v>28</v>
      </c>
      <c r="N1065" s="20">
        <f t="shared" si="125"/>
        <v>0</v>
      </c>
      <c r="O1065" s="20">
        <f t="shared" si="126"/>
        <v>1</v>
      </c>
      <c r="P1065" s="22">
        <f t="shared" si="127"/>
        <v>144.13999999999999</v>
      </c>
      <c r="Q1065" s="22">
        <f>G1065*INDEX(Assumptions!$B$8:$B$16,MATCH(F1065,Assumptions!$A$8:$A$16,0))</f>
        <v>57.97679999999999</v>
      </c>
      <c r="R1065" s="22">
        <f>H1065*Assumptions!$B$3</f>
        <v>26.507999999999999</v>
      </c>
      <c r="S1065" s="22">
        <f t="shared" si="128"/>
        <v>15.475200000000005</v>
      </c>
      <c r="T1065" s="20" t="str">
        <f t="shared" si="129"/>
        <v>22+ days</v>
      </c>
    </row>
    <row r="1066" spans="1:20" x14ac:dyDescent="0.3">
      <c r="A1066" s="20" t="s">
        <v>1132</v>
      </c>
      <c r="B1066" s="20" t="s">
        <v>19</v>
      </c>
      <c r="C1066" s="21">
        <v>45706</v>
      </c>
      <c r="D1066" s="21">
        <v>45714</v>
      </c>
      <c r="E1066" s="21">
        <v>45722</v>
      </c>
      <c r="F1066" s="20" t="s">
        <v>59</v>
      </c>
      <c r="G1066" s="22">
        <v>57.91</v>
      </c>
      <c r="H1066" s="22">
        <v>12.54</v>
      </c>
      <c r="I1066" s="20" t="s">
        <v>60</v>
      </c>
      <c r="J1066" s="20">
        <v>5</v>
      </c>
      <c r="K1066" s="20" t="s">
        <v>46</v>
      </c>
      <c r="L1066" s="23">
        <f t="shared" si="123"/>
        <v>45689</v>
      </c>
      <c r="M1066" s="20">
        <f t="shared" si="124"/>
        <v>8</v>
      </c>
      <c r="N1066" s="20">
        <f t="shared" si="125"/>
        <v>0</v>
      </c>
      <c r="O1066" s="20">
        <f t="shared" si="126"/>
        <v>1</v>
      </c>
      <c r="P1066" s="22">
        <f t="shared" si="127"/>
        <v>70.449999999999989</v>
      </c>
      <c r="Q1066" s="22">
        <f>G1066*INDEX(Assumptions!$B$8:$B$16,MATCH(F1066,Assumptions!$A$8:$A$16,0))</f>
        <v>37.062399999999997</v>
      </c>
      <c r="R1066" s="22">
        <f>H1066*Assumptions!$B$3</f>
        <v>7.5239999999999991</v>
      </c>
      <c r="S1066" s="22">
        <f t="shared" si="128"/>
        <v>13.323600000000001</v>
      </c>
      <c r="T1066" s="20" t="str">
        <f t="shared" si="129"/>
        <v>8-14 days</v>
      </c>
    </row>
    <row r="1067" spans="1:20" x14ac:dyDescent="0.3">
      <c r="A1067" s="20" t="s">
        <v>1133</v>
      </c>
      <c r="B1067" s="20" t="s">
        <v>55</v>
      </c>
      <c r="C1067" s="21">
        <v>45706</v>
      </c>
      <c r="D1067" s="21">
        <v>45715</v>
      </c>
      <c r="E1067" s="21">
        <v>45730</v>
      </c>
      <c r="F1067" s="20" t="s">
        <v>49</v>
      </c>
      <c r="G1067" s="22">
        <v>138.15</v>
      </c>
      <c r="H1067" s="22">
        <v>29.19</v>
      </c>
      <c r="I1067" s="20" t="s">
        <v>45</v>
      </c>
      <c r="J1067" s="20">
        <v>5</v>
      </c>
      <c r="K1067" s="20" t="s">
        <v>46</v>
      </c>
      <c r="L1067" s="23">
        <f t="shared" si="123"/>
        <v>45689</v>
      </c>
      <c r="M1067" s="20">
        <f t="shared" si="124"/>
        <v>9</v>
      </c>
      <c r="N1067" s="20">
        <f t="shared" si="125"/>
        <v>0</v>
      </c>
      <c r="O1067" s="20">
        <f t="shared" si="126"/>
        <v>1</v>
      </c>
      <c r="P1067" s="22">
        <f t="shared" si="127"/>
        <v>167.34</v>
      </c>
      <c r="Q1067" s="22">
        <f>G1067*INDEX(Assumptions!$B$8:$B$16,MATCH(F1067,Assumptions!$A$8:$A$16,0))</f>
        <v>80.126999999999995</v>
      </c>
      <c r="R1067" s="22">
        <f>H1067*Assumptions!$B$3</f>
        <v>17.513999999999999</v>
      </c>
      <c r="S1067" s="22">
        <f t="shared" si="128"/>
        <v>40.509000000000015</v>
      </c>
      <c r="T1067" s="20" t="str">
        <f t="shared" si="129"/>
        <v>8-14 days</v>
      </c>
    </row>
    <row r="1068" spans="1:20" x14ac:dyDescent="0.3">
      <c r="A1068" s="20" t="s">
        <v>1134</v>
      </c>
      <c r="B1068" s="20" t="s">
        <v>19</v>
      </c>
      <c r="C1068" s="21">
        <v>45707</v>
      </c>
      <c r="D1068" s="21">
        <v>45716</v>
      </c>
      <c r="E1068" s="21">
        <v>45724</v>
      </c>
      <c r="F1068" s="20" t="s">
        <v>59</v>
      </c>
      <c r="G1068" s="22">
        <v>169.66</v>
      </c>
      <c r="H1068" s="22">
        <v>22.2</v>
      </c>
      <c r="I1068" s="20" t="s">
        <v>45</v>
      </c>
      <c r="J1068" s="20">
        <v>5</v>
      </c>
      <c r="K1068" s="20" t="s">
        <v>46</v>
      </c>
      <c r="L1068" s="23">
        <f t="shared" si="123"/>
        <v>45689</v>
      </c>
      <c r="M1068" s="20">
        <f t="shared" si="124"/>
        <v>9</v>
      </c>
      <c r="N1068" s="20">
        <f t="shared" si="125"/>
        <v>0</v>
      </c>
      <c r="O1068" s="20">
        <f t="shared" si="126"/>
        <v>1</v>
      </c>
      <c r="P1068" s="22">
        <f t="shared" si="127"/>
        <v>191.85999999999999</v>
      </c>
      <c r="Q1068" s="22">
        <f>G1068*INDEX(Assumptions!$B$8:$B$16,MATCH(F1068,Assumptions!$A$8:$A$16,0))</f>
        <v>108.58240000000001</v>
      </c>
      <c r="R1068" s="22">
        <f>H1068*Assumptions!$B$3</f>
        <v>13.319999999999999</v>
      </c>
      <c r="S1068" s="22">
        <f t="shared" si="128"/>
        <v>47.757599999999989</v>
      </c>
      <c r="T1068" s="20" t="str">
        <f t="shared" si="129"/>
        <v>8-14 days</v>
      </c>
    </row>
    <row r="1069" spans="1:20" x14ac:dyDescent="0.3">
      <c r="A1069" s="20" t="s">
        <v>1135</v>
      </c>
      <c r="B1069" s="20" t="s">
        <v>19</v>
      </c>
      <c r="C1069" s="21">
        <v>45707</v>
      </c>
      <c r="D1069" s="21">
        <v>45713</v>
      </c>
      <c r="E1069" s="21">
        <v>45722</v>
      </c>
      <c r="F1069" s="20" t="s">
        <v>67</v>
      </c>
      <c r="G1069" s="22">
        <v>65.59</v>
      </c>
      <c r="H1069" s="22">
        <v>22.18</v>
      </c>
      <c r="I1069" s="20" t="s">
        <v>45</v>
      </c>
      <c r="J1069" s="20">
        <v>4</v>
      </c>
      <c r="K1069" s="20" t="s">
        <v>46</v>
      </c>
      <c r="L1069" s="23">
        <f t="shared" si="123"/>
        <v>45689</v>
      </c>
      <c r="M1069" s="20">
        <f t="shared" si="124"/>
        <v>6</v>
      </c>
      <c r="N1069" s="20">
        <f t="shared" si="125"/>
        <v>0</v>
      </c>
      <c r="O1069" s="20">
        <f t="shared" si="126"/>
        <v>1</v>
      </c>
      <c r="P1069" s="22">
        <f t="shared" si="127"/>
        <v>87.77000000000001</v>
      </c>
      <c r="Q1069" s="22">
        <f>G1069*INDEX(Assumptions!$B$8:$B$16,MATCH(F1069,Assumptions!$A$8:$A$16,0))</f>
        <v>40.665800000000004</v>
      </c>
      <c r="R1069" s="22">
        <f>H1069*Assumptions!$B$3</f>
        <v>13.308</v>
      </c>
      <c r="S1069" s="22">
        <f t="shared" si="128"/>
        <v>11.616199999999999</v>
      </c>
      <c r="T1069" s="20" t="str">
        <f t="shared" si="129"/>
        <v>0-7 days</v>
      </c>
    </row>
    <row r="1070" spans="1:20" x14ac:dyDescent="0.3">
      <c r="A1070" s="20" t="s">
        <v>1136</v>
      </c>
      <c r="B1070" s="20" t="s">
        <v>19</v>
      </c>
      <c r="C1070" s="21">
        <v>45707</v>
      </c>
      <c r="D1070" s="21">
        <v>45721</v>
      </c>
      <c r="E1070" s="21">
        <v>45725</v>
      </c>
      <c r="F1070" s="20" t="s">
        <v>57</v>
      </c>
      <c r="G1070" s="22">
        <v>62.73</v>
      </c>
      <c r="H1070" s="22">
        <v>17.43</v>
      </c>
      <c r="I1070" s="20" t="s">
        <v>45</v>
      </c>
      <c r="J1070" s="20">
        <v>5</v>
      </c>
      <c r="K1070" s="20" t="s">
        <v>46</v>
      </c>
      <c r="L1070" s="23">
        <f t="shared" si="123"/>
        <v>45689</v>
      </c>
      <c r="M1070" s="20">
        <f t="shared" si="124"/>
        <v>14</v>
      </c>
      <c r="N1070" s="20">
        <f t="shared" si="125"/>
        <v>0</v>
      </c>
      <c r="O1070" s="20">
        <f t="shared" si="126"/>
        <v>1</v>
      </c>
      <c r="P1070" s="22">
        <f t="shared" si="127"/>
        <v>80.16</v>
      </c>
      <c r="Q1070" s="22">
        <f>G1070*INDEX(Assumptions!$B$8:$B$16,MATCH(F1070,Assumptions!$A$8:$A$16,0))</f>
        <v>42.656399999999998</v>
      </c>
      <c r="R1070" s="22">
        <f>H1070*Assumptions!$B$3</f>
        <v>10.458</v>
      </c>
      <c r="S1070" s="22">
        <f t="shared" si="128"/>
        <v>9.6155999999999988</v>
      </c>
      <c r="T1070" s="20" t="str">
        <f t="shared" si="129"/>
        <v>8-14 days</v>
      </c>
    </row>
    <row r="1071" spans="1:20" x14ac:dyDescent="0.3">
      <c r="A1071" s="20" t="s">
        <v>1137</v>
      </c>
      <c r="B1071" s="20" t="s">
        <v>19</v>
      </c>
      <c r="C1071" s="21">
        <v>45708</v>
      </c>
      <c r="D1071" s="21">
        <v>45721</v>
      </c>
      <c r="E1071" s="21">
        <v>45718</v>
      </c>
      <c r="F1071" s="20" t="s">
        <v>67</v>
      </c>
      <c r="G1071" s="22">
        <v>71.3</v>
      </c>
      <c r="H1071" s="22">
        <v>19.13</v>
      </c>
      <c r="I1071" s="20" t="s">
        <v>45</v>
      </c>
      <c r="J1071" s="20">
        <v>4</v>
      </c>
      <c r="K1071" s="20" t="s">
        <v>46</v>
      </c>
      <c r="L1071" s="23">
        <f t="shared" si="123"/>
        <v>45689</v>
      </c>
      <c r="M1071" s="20">
        <f t="shared" si="124"/>
        <v>13</v>
      </c>
      <c r="N1071" s="20">
        <f t="shared" si="125"/>
        <v>3</v>
      </c>
      <c r="O1071" s="20">
        <f t="shared" si="126"/>
        <v>0</v>
      </c>
      <c r="P1071" s="22">
        <f t="shared" si="127"/>
        <v>90.429999999999993</v>
      </c>
      <c r="Q1071" s="22">
        <f>G1071*INDEX(Assumptions!$B$8:$B$16,MATCH(F1071,Assumptions!$A$8:$A$16,0))</f>
        <v>44.205999999999996</v>
      </c>
      <c r="R1071" s="22">
        <f>H1071*Assumptions!$B$3</f>
        <v>11.478</v>
      </c>
      <c r="S1071" s="22">
        <f t="shared" si="128"/>
        <v>15.616000000000001</v>
      </c>
      <c r="T1071" s="20" t="str">
        <f t="shared" si="129"/>
        <v>8-14 days</v>
      </c>
    </row>
    <row r="1072" spans="1:20" x14ac:dyDescent="0.3">
      <c r="A1072" s="20" t="s">
        <v>1138</v>
      </c>
      <c r="B1072" s="20" t="s">
        <v>103</v>
      </c>
      <c r="C1072" s="21">
        <v>45708</v>
      </c>
      <c r="D1072" s="21">
        <v>45717</v>
      </c>
      <c r="E1072" s="21">
        <v>45730</v>
      </c>
      <c r="F1072" s="20" t="s">
        <v>79</v>
      </c>
      <c r="G1072" s="22">
        <v>48.13</v>
      </c>
      <c r="H1072" s="22">
        <v>20</v>
      </c>
      <c r="I1072" s="20" t="s">
        <v>45</v>
      </c>
      <c r="J1072" s="20">
        <v>5</v>
      </c>
      <c r="K1072" s="20" t="s">
        <v>46</v>
      </c>
      <c r="L1072" s="23">
        <f t="shared" si="123"/>
        <v>45689</v>
      </c>
      <c r="M1072" s="20">
        <f t="shared" si="124"/>
        <v>9</v>
      </c>
      <c r="N1072" s="20">
        <f t="shared" si="125"/>
        <v>0</v>
      </c>
      <c r="O1072" s="20">
        <f t="shared" si="126"/>
        <v>1</v>
      </c>
      <c r="P1072" s="22">
        <f t="shared" si="127"/>
        <v>68.13</v>
      </c>
      <c r="Q1072" s="22">
        <f>G1072*INDEX(Assumptions!$B$8:$B$16,MATCH(F1072,Assumptions!$A$8:$A$16,0))</f>
        <v>33.691000000000003</v>
      </c>
      <c r="R1072" s="22">
        <f>H1072*Assumptions!$B$3</f>
        <v>12</v>
      </c>
      <c r="S1072" s="22">
        <f t="shared" si="128"/>
        <v>2.4390000000000001</v>
      </c>
      <c r="T1072" s="20" t="str">
        <f t="shared" si="129"/>
        <v>8-14 days</v>
      </c>
    </row>
    <row r="1073" spans="1:20" x14ac:dyDescent="0.3">
      <c r="A1073" s="20" t="s">
        <v>1139</v>
      </c>
      <c r="B1073" s="20" t="s">
        <v>62</v>
      </c>
      <c r="C1073" s="21">
        <v>45708</v>
      </c>
      <c r="D1073" s="21">
        <v>45726</v>
      </c>
      <c r="E1073" s="21">
        <v>45729</v>
      </c>
      <c r="F1073" s="20" t="s">
        <v>57</v>
      </c>
      <c r="G1073" s="22">
        <v>158.82</v>
      </c>
      <c r="H1073" s="22">
        <v>28.81</v>
      </c>
      <c r="I1073" s="20" t="s">
        <v>45</v>
      </c>
      <c r="J1073" s="20">
        <v>4</v>
      </c>
      <c r="K1073" s="20" t="s">
        <v>46</v>
      </c>
      <c r="L1073" s="23">
        <f t="shared" si="123"/>
        <v>45689</v>
      </c>
      <c r="M1073" s="20">
        <f t="shared" si="124"/>
        <v>18</v>
      </c>
      <c r="N1073" s="20">
        <f t="shared" si="125"/>
        <v>0</v>
      </c>
      <c r="O1073" s="20">
        <f t="shared" si="126"/>
        <v>1</v>
      </c>
      <c r="P1073" s="22">
        <f t="shared" si="127"/>
        <v>187.63</v>
      </c>
      <c r="Q1073" s="22">
        <f>G1073*INDEX(Assumptions!$B$8:$B$16,MATCH(F1073,Assumptions!$A$8:$A$16,0))</f>
        <v>107.99760000000001</v>
      </c>
      <c r="R1073" s="22">
        <f>H1073*Assumptions!$B$3</f>
        <v>17.285999999999998</v>
      </c>
      <c r="S1073" s="22">
        <f t="shared" si="128"/>
        <v>33.536399999999986</v>
      </c>
      <c r="T1073" s="20" t="str">
        <f t="shared" si="129"/>
        <v>15-21 days</v>
      </c>
    </row>
    <row r="1074" spans="1:20" x14ac:dyDescent="0.3">
      <c r="A1074" s="20" t="s">
        <v>1140</v>
      </c>
      <c r="B1074" s="20" t="s">
        <v>174</v>
      </c>
      <c r="C1074" s="21">
        <v>45709</v>
      </c>
      <c r="D1074" s="21">
        <v>45726</v>
      </c>
      <c r="E1074" s="21">
        <v>45742</v>
      </c>
      <c r="F1074" s="20" t="s">
        <v>67</v>
      </c>
      <c r="G1074" s="22">
        <v>48.89</v>
      </c>
      <c r="H1074" s="22">
        <v>39.96</v>
      </c>
      <c r="I1074" s="20" t="s">
        <v>45</v>
      </c>
      <c r="J1074" s="20">
        <v>4</v>
      </c>
      <c r="K1074" s="20" t="s">
        <v>46</v>
      </c>
      <c r="L1074" s="23">
        <f t="shared" si="123"/>
        <v>45689</v>
      </c>
      <c r="M1074" s="20">
        <f t="shared" si="124"/>
        <v>17</v>
      </c>
      <c r="N1074" s="20">
        <f t="shared" si="125"/>
        <v>0</v>
      </c>
      <c r="O1074" s="20">
        <f t="shared" si="126"/>
        <v>1</v>
      </c>
      <c r="P1074" s="22">
        <f t="shared" si="127"/>
        <v>88.85</v>
      </c>
      <c r="Q1074" s="22">
        <f>G1074*INDEX(Assumptions!$B$8:$B$16,MATCH(F1074,Assumptions!$A$8:$A$16,0))</f>
        <v>30.311800000000002</v>
      </c>
      <c r="R1074" s="22">
        <f>H1074*Assumptions!$B$3</f>
        <v>23.975999999999999</v>
      </c>
      <c r="S1074" s="22">
        <f t="shared" si="128"/>
        <v>-5.3978000000000002</v>
      </c>
      <c r="T1074" s="20" t="str">
        <f t="shared" si="129"/>
        <v>15-21 days</v>
      </c>
    </row>
    <row r="1075" spans="1:20" x14ac:dyDescent="0.3">
      <c r="A1075" s="20" t="s">
        <v>1141</v>
      </c>
      <c r="B1075" s="20" t="s">
        <v>19</v>
      </c>
      <c r="C1075" s="21">
        <v>45709</v>
      </c>
      <c r="D1075" s="21">
        <v>45714</v>
      </c>
      <c r="E1075" s="21">
        <v>45725</v>
      </c>
      <c r="F1075" s="20" t="s">
        <v>59</v>
      </c>
      <c r="G1075" s="22">
        <v>90.62</v>
      </c>
      <c r="H1075" s="22">
        <v>18.87</v>
      </c>
      <c r="I1075" s="20" t="s">
        <v>45</v>
      </c>
      <c r="J1075" s="20">
        <v>5</v>
      </c>
      <c r="K1075" s="20" t="s">
        <v>46</v>
      </c>
      <c r="L1075" s="23">
        <f t="shared" si="123"/>
        <v>45689</v>
      </c>
      <c r="M1075" s="20">
        <f t="shared" si="124"/>
        <v>5</v>
      </c>
      <c r="N1075" s="20">
        <f t="shared" si="125"/>
        <v>0</v>
      </c>
      <c r="O1075" s="20">
        <f t="shared" si="126"/>
        <v>1</v>
      </c>
      <c r="P1075" s="22">
        <f t="shared" si="127"/>
        <v>109.49000000000001</v>
      </c>
      <c r="Q1075" s="22">
        <f>G1075*INDEX(Assumptions!$B$8:$B$16,MATCH(F1075,Assumptions!$A$8:$A$16,0))</f>
        <v>57.996800000000007</v>
      </c>
      <c r="R1075" s="22">
        <f>H1075*Assumptions!$B$3</f>
        <v>11.322000000000001</v>
      </c>
      <c r="S1075" s="22">
        <f t="shared" si="128"/>
        <v>21.301199999999994</v>
      </c>
      <c r="T1075" s="20" t="str">
        <f t="shared" si="129"/>
        <v>0-7 days</v>
      </c>
    </row>
    <row r="1076" spans="1:20" x14ac:dyDescent="0.3">
      <c r="A1076" s="20" t="s">
        <v>1142</v>
      </c>
      <c r="B1076" s="20" t="s">
        <v>19</v>
      </c>
      <c r="C1076" s="21">
        <v>45709</v>
      </c>
      <c r="D1076" s="21">
        <v>45717</v>
      </c>
      <c r="E1076" s="21">
        <v>45725</v>
      </c>
      <c r="F1076" s="20" t="s">
        <v>111</v>
      </c>
      <c r="G1076" s="22">
        <v>39.53</v>
      </c>
      <c r="H1076" s="22">
        <v>19.45</v>
      </c>
      <c r="I1076" s="20" t="s">
        <v>60</v>
      </c>
      <c r="J1076" s="20">
        <v>3</v>
      </c>
      <c r="K1076" s="20" t="s">
        <v>46</v>
      </c>
      <c r="L1076" s="23">
        <f t="shared" si="123"/>
        <v>45689</v>
      </c>
      <c r="M1076" s="20">
        <f t="shared" si="124"/>
        <v>8</v>
      </c>
      <c r="N1076" s="20">
        <f t="shared" si="125"/>
        <v>0</v>
      </c>
      <c r="O1076" s="20">
        <f t="shared" si="126"/>
        <v>1</v>
      </c>
      <c r="P1076" s="22">
        <f t="shared" si="127"/>
        <v>58.980000000000004</v>
      </c>
      <c r="Q1076" s="22">
        <f>G1076*INDEX(Assumptions!$B$8:$B$16,MATCH(F1076,Assumptions!$A$8:$A$16,0))</f>
        <v>24.9039</v>
      </c>
      <c r="R1076" s="22">
        <f>H1076*Assumptions!$B$3</f>
        <v>11.67</v>
      </c>
      <c r="S1076" s="22">
        <f t="shared" si="128"/>
        <v>2.9561000000000011</v>
      </c>
      <c r="T1076" s="20" t="str">
        <f t="shared" si="129"/>
        <v>8-14 days</v>
      </c>
    </row>
    <row r="1077" spans="1:20" x14ac:dyDescent="0.3">
      <c r="A1077" s="20" t="s">
        <v>1143</v>
      </c>
      <c r="B1077" s="20" t="s">
        <v>19</v>
      </c>
      <c r="C1077" s="21">
        <v>45709</v>
      </c>
      <c r="D1077" s="21">
        <v>45718</v>
      </c>
      <c r="E1077" s="21">
        <v>45720</v>
      </c>
      <c r="F1077" s="20" t="s">
        <v>44</v>
      </c>
      <c r="G1077" s="22">
        <v>67.650000000000006</v>
      </c>
      <c r="H1077" s="22">
        <v>16.68</v>
      </c>
      <c r="I1077" s="20" t="s">
        <v>60</v>
      </c>
      <c r="J1077" s="20">
        <v>3</v>
      </c>
      <c r="K1077" s="20" t="s">
        <v>46</v>
      </c>
      <c r="L1077" s="23">
        <f t="shared" si="123"/>
        <v>45689</v>
      </c>
      <c r="M1077" s="20">
        <f t="shared" si="124"/>
        <v>9</v>
      </c>
      <c r="N1077" s="20">
        <f t="shared" si="125"/>
        <v>0</v>
      </c>
      <c r="O1077" s="20">
        <f t="shared" si="126"/>
        <v>1</v>
      </c>
      <c r="P1077" s="22">
        <f t="shared" si="127"/>
        <v>84.330000000000013</v>
      </c>
      <c r="Q1077" s="22">
        <f>G1077*INDEX(Assumptions!$B$8:$B$16,MATCH(F1077,Assumptions!$A$8:$A$16,0))</f>
        <v>40.590000000000003</v>
      </c>
      <c r="R1077" s="22">
        <f>H1077*Assumptions!$B$3</f>
        <v>10.007999999999999</v>
      </c>
      <c r="S1077" s="22">
        <f t="shared" si="128"/>
        <v>17.052000000000003</v>
      </c>
      <c r="T1077" s="20" t="str">
        <f t="shared" si="129"/>
        <v>8-14 days</v>
      </c>
    </row>
    <row r="1078" spans="1:20" x14ac:dyDescent="0.3">
      <c r="A1078" s="20" t="s">
        <v>1144</v>
      </c>
      <c r="B1078" s="20" t="s">
        <v>48</v>
      </c>
      <c r="C1078" s="21">
        <v>45710</v>
      </c>
      <c r="D1078" s="21">
        <v>45724</v>
      </c>
      <c r="E1078" s="21">
        <v>45728</v>
      </c>
      <c r="F1078" s="20" t="s">
        <v>111</v>
      </c>
      <c r="G1078" s="22">
        <v>42.05</v>
      </c>
      <c r="H1078" s="22">
        <v>17.91</v>
      </c>
      <c r="I1078" s="20" t="s">
        <v>45</v>
      </c>
      <c r="J1078" s="20">
        <v>4</v>
      </c>
      <c r="K1078" s="20" t="s">
        <v>46</v>
      </c>
      <c r="L1078" s="23">
        <f t="shared" si="123"/>
        <v>45689</v>
      </c>
      <c r="M1078" s="20">
        <f t="shared" si="124"/>
        <v>14</v>
      </c>
      <c r="N1078" s="20">
        <f t="shared" si="125"/>
        <v>0</v>
      </c>
      <c r="O1078" s="20">
        <f t="shared" si="126"/>
        <v>1</v>
      </c>
      <c r="P1078" s="22">
        <f t="shared" si="127"/>
        <v>59.959999999999994</v>
      </c>
      <c r="Q1078" s="22">
        <f>G1078*INDEX(Assumptions!$B$8:$B$16,MATCH(F1078,Assumptions!$A$8:$A$16,0))</f>
        <v>26.491499999999998</v>
      </c>
      <c r="R1078" s="22">
        <f>H1078*Assumptions!$B$3</f>
        <v>10.746</v>
      </c>
      <c r="S1078" s="22">
        <f t="shared" si="128"/>
        <v>4.8124999999999982</v>
      </c>
      <c r="T1078" s="20" t="str">
        <f t="shared" si="129"/>
        <v>8-14 days</v>
      </c>
    </row>
    <row r="1079" spans="1:20" x14ac:dyDescent="0.3">
      <c r="A1079" s="20" t="s">
        <v>1145</v>
      </c>
      <c r="B1079" s="20" t="s">
        <v>19</v>
      </c>
      <c r="C1079" s="21">
        <v>45710</v>
      </c>
      <c r="D1079" s="21">
        <v>45718</v>
      </c>
      <c r="E1079" s="21">
        <v>45724</v>
      </c>
      <c r="F1079" s="20" t="s">
        <v>59</v>
      </c>
      <c r="G1079" s="22">
        <v>79.209999999999994</v>
      </c>
      <c r="H1079" s="22">
        <v>21.8</v>
      </c>
      <c r="I1079" s="20" t="s">
        <v>45</v>
      </c>
      <c r="J1079" s="20">
        <v>4</v>
      </c>
      <c r="K1079" s="20" t="s">
        <v>46</v>
      </c>
      <c r="L1079" s="23">
        <f t="shared" si="123"/>
        <v>45689</v>
      </c>
      <c r="M1079" s="20">
        <f t="shared" si="124"/>
        <v>8</v>
      </c>
      <c r="N1079" s="20">
        <f t="shared" si="125"/>
        <v>0</v>
      </c>
      <c r="O1079" s="20">
        <f t="shared" si="126"/>
        <v>1</v>
      </c>
      <c r="P1079" s="22">
        <f t="shared" si="127"/>
        <v>101.00999999999999</v>
      </c>
      <c r="Q1079" s="22">
        <f>G1079*INDEX(Assumptions!$B$8:$B$16,MATCH(F1079,Assumptions!$A$8:$A$16,0))</f>
        <v>50.694399999999995</v>
      </c>
      <c r="R1079" s="22">
        <f>H1079*Assumptions!$B$3</f>
        <v>13.08</v>
      </c>
      <c r="S1079" s="22">
        <f t="shared" si="128"/>
        <v>15.435599999999999</v>
      </c>
      <c r="T1079" s="20" t="str">
        <f t="shared" si="129"/>
        <v>8-14 days</v>
      </c>
    </row>
    <row r="1080" spans="1:20" x14ac:dyDescent="0.3">
      <c r="A1080" s="20" t="s">
        <v>1146</v>
      </c>
      <c r="B1080" s="20" t="s">
        <v>19</v>
      </c>
      <c r="C1080" s="21">
        <v>45710</v>
      </c>
      <c r="D1080" s="21">
        <v>45717</v>
      </c>
      <c r="E1080" s="21">
        <v>45727</v>
      </c>
      <c r="F1080" s="20" t="s">
        <v>111</v>
      </c>
      <c r="G1080" s="22">
        <v>36.79</v>
      </c>
      <c r="H1080" s="22">
        <v>17.84</v>
      </c>
      <c r="I1080" s="20" t="s">
        <v>60</v>
      </c>
      <c r="J1080" s="20">
        <v>5</v>
      </c>
      <c r="K1080" s="20" t="s">
        <v>46</v>
      </c>
      <c r="L1080" s="23">
        <f t="shared" si="123"/>
        <v>45689</v>
      </c>
      <c r="M1080" s="20">
        <f t="shared" si="124"/>
        <v>7</v>
      </c>
      <c r="N1080" s="20">
        <f t="shared" si="125"/>
        <v>0</v>
      </c>
      <c r="O1080" s="20">
        <f t="shared" si="126"/>
        <v>1</v>
      </c>
      <c r="P1080" s="22">
        <f t="shared" si="127"/>
        <v>54.629999999999995</v>
      </c>
      <c r="Q1080" s="22">
        <f>G1080*INDEX(Assumptions!$B$8:$B$16,MATCH(F1080,Assumptions!$A$8:$A$16,0))</f>
        <v>23.177699999999998</v>
      </c>
      <c r="R1080" s="22">
        <f>H1080*Assumptions!$B$3</f>
        <v>10.703999999999999</v>
      </c>
      <c r="S1080" s="22">
        <f t="shared" si="128"/>
        <v>2.9083000000000023</v>
      </c>
      <c r="T1080" s="20" t="str">
        <f t="shared" si="129"/>
        <v>0-7 days</v>
      </c>
    </row>
    <row r="1081" spans="1:20" x14ac:dyDescent="0.3">
      <c r="A1081" s="20" t="s">
        <v>1147</v>
      </c>
      <c r="B1081" s="20" t="s">
        <v>19</v>
      </c>
      <c r="C1081" s="21">
        <v>45710</v>
      </c>
      <c r="D1081" s="21">
        <v>45720</v>
      </c>
      <c r="E1081" s="21">
        <v>45725</v>
      </c>
      <c r="F1081" s="20" t="s">
        <v>53</v>
      </c>
      <c r="G1081" s="22">
        <v>183.23</v>
      </c>
      <c r="H1081" s="22">
        <v>18.59</v>
      </c>
      <c r="I1081" s="20" t="s">
        <v>104</v>
      </c>
      <c r="J1081" s="20">
        <v>3</v>
      </c>
      <c r="K1081" s="20" t="s">
        <v>46</v>
      </c>
      <c r="L1081" s="23">
        <f t="shared" si="123"/>
        <v>45689</v>
      </c>
      <c r="M1081" s="20">
        <f t="shared" si="124"/>
        <v>10</v>
      </c>
      <c r="N1081" s="20">
        <f t="shared" si="125"/>
        <v>0</v>
      </c>
      <c r="O1081" s="20">
        <f t="shared" si="126"/>
        <v>1</v>
      </c>
      <c r="P1081" s="22">
        <f t="shared" si="127"/>
        <v>201.82</v>
      </c>
      <c r="Q1081" s="22">
        <f>G1081*INDEX(Assumptions!$B$8:$B$16,MATCH(F1081,Assumptions!$A$8:$A$16,0))</f>
        <v>135.59019999999998</v>
      </c>
      <c r="R1081" s="22">
        <f>H1081*Assumptions!$B$3</f>
        <v>11.154</v>
      </c>
      <c r="S1081" s="22">
        <f t="shared" si="128"/>
        <v>36.485800000000012</v>
      </c>
      <c r="T1081" s="20" t="str">
        <f t="shared" si="129"/>
        <v>8-14 days</v>
      </c>
    </row>
    <row r="1082" spans="1:20" x14ac:dyDescent="0.3">
      <c r="A1082" s="20" t="s">
        <v>1148</v>
      </c>
      <c r="B1082" s="20" t="s">
        <v>19</v>
      </c>
      <c r="C1082" s="21">
        <v>45710</v>
      </c>
      <c r="D1082" s="21">
        <v>45714</v>
      </c>
      <c r="E1082" s="21">
        <v>45727</v>
      </c>
      <c r="F1082" s="20" t="s">
        <v>111</v>
      </c>
      <c r="G1082" s="22">
        <v>62.96</v>
      </c>
      <c r="H1082" s="22">
        <v>12.37</v>
      </c>
      <c r="I1082" s="20" t="s">
        <v>45</v>
      </c>
      <c r="J1082" s="20">
        <v>5</v>
      </c>
      <c r="K1082" s="20" t="s">
        <v>46</v>
      </c>
      <c r="L1082" s="23">
        <f t="shared" si="123"/>
        <v>45689</v>
      </c>
      <c r="M1082" s="20">
        <f t="shared" si="124"/>
        <v>4</v>
      </c>
      <c r="N1082" s="20">
        <f t="shared" si="125"/>
        <v>0</v>
      </c>
      <c r="O1082" s="20">
        <f t="shared" si="126"/>
        <v>1</v>
      </c>
      <c r="P1082" s="22">
        <f t="shared" si="127"/>
        <v>75.33</v>
      </c>
      <c r="Q1082" s="22">
        <f>G1082*INDEX(Assumptions!$B$8:$B$16,MATCH(F1082,Assumptions!$A$8:$A$16,0))</f>
        <v>39.6648</v>
      </c>
      <c r="R1082" s="22">
        <f>H1082*Assumptions!$B$3</f>
        <v>7.4219999999999988</v>
      </c>
      <c r="S1082" s="22">
        <f t="shared" si="128"/>
        <v>15.873200000000002</v>
      </c>
      <c r="T1082" s="20" t="str">
        <f t="shared" si="129"/>
        <v>0-7 days</v>
      </c>
    </row>
    <row r="1083" spans="1:20" x14ac:dyDescent="0.3">
      <c r="A1083" s="20" t="s">
        <v>1149</v>
      </c>
      <c r="B1083" s="20" t="s">
        <v>52</v>
      </c>
      <c r="C1083" s="21">
        <v>45711</v>
      </c>
      <c r="D1083" s="21">
        <v>45726</v>
      </c>
      <c r="E1083" s="21">
        <v>45735</v>
      </c>
      <c r="F1083" s="20" t="s">
        <v>57</v>
      </c>
      <c r="G1083" s="22">
        <v>80.3</v>
      </c>
      <c r="H1083" s="22">
        <v>31.75</v>
      </c>
      <c r="I1083" s="20" t="s">
        <v>45</v>
      </c>
      <c r="J1083" s="20">
        <v>4</v>
      </c>
      <c r="K1083" s="20" t="s">
        <v>46</v>
      </c>
      <c r="L1083" s="23">
        <f t="shared" si="123"/>
        <v>45689</v>
      </c>
      <c r="M1083" s="20">
        <f t="shared" si="124"/>
        <v>15</v>
      </c>
      <c r="N1083" s="20">
        <f t="shared" si="125"/>
        <v>0</v>
      </c>
      <c r="O1083" s="20">
        <f t="shared" si="126"/>
        <v>1</v>
      </c>
      <c r="P1083" s="22">
        <f t="shared" si="127"/>
        <v>112.05</v>
      </c>
      <c r="Q1083" s="22">
        <f>G1083*INDEX(Assumptions!$B$8:$B$16,MATCH(F1083,Assumptions!$A$8:$A$16,0))</f>
        <v>54.603999999999999</v>
      </c>
      <c r="R1083" s="22">
        <f>H1083*Assumptions!$B$3</f>
        <v>19.05</v>
      </c>
      <c r="S1083" s="22">
        <f t="shared" si="128"/>
        <v>6.6459999999999972</v>
      </c>
      <c r="T1083" s="20" t="str">
        <f t="shared" si="129"/>
        <v>15-21 days</v>
      </c>
    </row>
    <row r="1084" spans="1:20" x14ac:dyDescent="0.3">
      <c r="A1084" s="20" t="s">
        <v>1150</v>
      </c>
      <c r="B1084" s="20" t="s">
        <v>103</v>
      </c>
      <c r="C1084" s="21">
        <v>45711</v>
      </c>
      <c r="D1084" s="21">
        <v>45730</v>
      </c>
      <c r="E1084" s="21">
        <v>45733</v>
      </c>
      <c r="F1084" s="20" t="s">
        <v>79</v>
      </c>
      <c r="G1084" s="22">
        <v>78.540000000000006</v>
      </c>
      <c r="H1084" s="22">
        <v>28.37</v>
      </c>
      <c r="I1084" s="20" t="s">
        <v>45</v>
      </c>
      <c r="J1084" s="20">
        <v>4</v>
      </c>
      <c r="K1084" s="20" t="s">
        <v>46</v>
      </c>
      <c r="L1084" s="23">
        <f t="shared" si="123"/>
        <v>45689</v>
      </c>
      <c r="M1084" s="20">
        <f t="shared" si="124"/>
        <v>19</v>
      </c>
      <c r="N1084" s="20">
        <f t="shared" si="125"/>
        <v>0</v>
      </c>
      <c r="O1084" s="20">
        <f t="shared" si="126"/>
        <v>1</v>
      </c>
      <c r="P1084" s="22">
        <f t="shared" si="127"/>
        <v>106.91000000000001</v>
      </c>
      <c r="Q1084" s="22">
        <f>G1084*INDEX(Assumptions!$B$8:$B$16,MATCH(F1084,Assumptions!$A$8:$A$16,0))</f>
        <v>54.978000000000002</v>
      </c>
      <c r="R1084" s="22">
        <f>H1084*Assumptions!$B$3</f>
        <v>17.021999999999998</v>
      </c>
      <c r="S1084" s="22">
        <f t="shared" si="128"/>
        <v>6.5400000000000063</v>
      </c>
      <c r="T1084" s="20" t="str">
        <f t="shared" si="129"/>
        <v>15-21 days</v>
      </c>
    </row>
    <row r="1085" spans="1:20" x14ac:dyDescent="0.3">
      <c r="A1085" s="20" t="s">
        <v>1151</v>
      </c>
      <c r="B1085" s="20" t="s">
        <v>19</v>
      </c>
      <c r="C1085" s="21">
        <v>45712</v>
      </c>
      <c r="D1085" s="21">
        <v>45717</v>
      </c>
      <c r="E1085" s="21">
        <v>45728</v>
      </c>
      <c r="F1085" s="20" t="s">
        <v>49</v>
      </c>
      <c r="G1085" s="22">
        <v>49.73</v>
      </c>
      <c r="H1085" s="22">
        <v>19.62</v>
      </c>
      <c r="I1085" s="20" t="s">
        <v>45</v>
      </c>
      <c r="J1085" s="20">
        <v>3</v>
      </c>
      <c r="K1085" s="20" t="s">
        <v>46</v>
      </c>
      <c r="L1085" s="23">
        <f t="shared" si="123"/>
        <v>45689</v>
      </c>
      <c r="M1085" s="20">
        <f t="shared" si="124"/>
        <v>5</v>
      </c>
      <c r="N1085" s="20">
        <f t="shared" si="125"/>
        <v>0</v>
      </c>
      <c r="O1085" s="20">
        <f t="shared" si="126"/>
        <v>1</v>
      </c>
      <c r="P1085" s="22">
        <f t="shared" si="127"/>
        <v>69.349999999999994</v>
      </c>
      <c r="Q1085" s="22">
        <f>G1085*INDEX(Assumptions!$B$8:$B$16,MATCH(F1085,Assumptions!$A$8:$A$16,0))</f>
        <v>28.843399999999995</v>
      </c>
      <c r="R1085" s="22">
        <f>H1085*Assumptions!$B$3</f>
        <v>11.772</v>
      </c>
      <c r="S1085" s="22">
        <f t="shared" si="128"/>
        <v>9.1146000000000011</v>
      </c>
      <c r="T1085" s="20" t="str">
        <f t="shared" si="129"/>
        <v>0-7 days</v>
      </c>
    </row>
    <row r="1086" spans="1:20" x14ac:dyDescent="0.3">
      <c r="A1086" s="20" t="s">
        <v>1152</v>
      </c>
      <c r="B1086" s="20" t="s">
        <v>62</v>
      </c>
      <c r="C1086" s="21">
        <v>45712</v>
      </c>
      <c r="D1086" s="21">
        <v>45721</v>
      </c>
      <c r="E1086" s="21">
        <v>45732</v>
      </c>
      <c r="F1086" s="20" t="s">
        <v>53</v>
      </c>
      <c r="G1086" s="22">
        <v>186.97</v>
      </c>
      <c r="H1086" s="22">
        <v>31.66</v>
      </c>
      <c r="I1086" s="20" t="s">
        <v>45</v>
      </c>
      <c r="J1086" s="20">
        <v>5</v>
      </c>
      <c r="K1086" s="20" t="s">
        <v>46</v>
      </c>
      <c r="L1086" s="23">
        <f t="shared" si="123"/>
        <v>45689</v>
      </c>
      <c r="M1086" s="20">
        <f t="shared" si="124"/>
        <v>9</v>
      </c>
      <c r="N1086" s="20">
        <f t="shared" si="125"/>
        <v>0</v>
      </c>
      <c r="O1086" s="20">
        <f t="shared" si="126"/>
        <v>1</v>
      </c>
      <c r="P1086" s="22">
        <f t="shared" si="127"/>
        <v>218.63</v>
      </c>
      <c r="Q1086" s="22">
        <f>G1086*INDEX(Assumptions!$B$8:$B$16,MATCH(F1086,Assumptions!$A$8:$A$16,0))</f>
        <v>138.3578</v>
      </c>
      <c r="R1086" s="22">
        <f>H1086*Assumptions!$B$3</f>
        <v>18.995999999999999</v>
      </c>
      <c r="S1086" s="22">
        <f t="shared" si="128"/>
        <v>29.616200000000003</v>
      </c>
      <c r="T1086" s="20" t="str">
        <f t="shared" si="129"/>
        <v>8-14 days</v>
      </c>
    </row>
    <row r="1087" spans="1:20" x14ac:dyDescent="0.3">
      <c r="A1087" s="20" t="s">
        <v>1153</v>
      </c>
      <c r="B1087" s="20" t="s">
        <v>77</v>
      </c>
      <c r="C1087" s="21">
        <v>45713</v>
      </c>
      <c r="D1087" s="21">
        <v>45721</v>
      </c>
      <c r="E1087" s="21">
        <v>45738</v>
      </c>
      <c r="F1087" s="20" t="s">
        <v>44</v>
      </c>
      <c r="G1087" s="22">
        <v>122.4</v>
      </c>
      <c r="H1087" s="22">
        <v>28.71</v>
      </c>
      <c r="I1087" s="20" t="s">
        <v>60</v>
      </c>
      <c r="J1087" s="20">
        <v>5</v>
      </c>
      <c r="K1087" s="20" t="s">
        <v>46</v>
      </c>
      <c r="L1087" s="23">
        <f t="shared" si="123"/>
        <v>45689</v>
      </c>
      <c r="M1087" s="20">
        <f t="shared" si="124"/>
        <v>8</v>
      </c>
      <c r="N1087" s="20">
        <f t="shared" si="125"/>
        <v>0</v>
      </c>
      <c r="O1087" s="20">
        <f t="shared" si="126"/>
        <v>1</v>
      </c>
      <c r="P1087" s="22">
        <f t="shared" si="127"/>
        <v>151.11000000000001</v>
      </c>
      <c r="Q1087" s="22">
        <f>G1087*INDEX(Assumptions!$B$8:$B$16,MATCH(F1087,Assumptions!$A$8:$A$16,0))</f>
        <v>73.44</v>
      </c>
      <c r="R1087" s="22">
        <f>H1087*Assumptions!$B$3</f>
        <v>17.225999999999999</v>
      </c>
      <c r="S1087" s="22">
        <f t="shared" si="128"/>
        <v>31.734000000000009</v>
      </c>
      <c r="T1087" s="20" t="str">
        <f t="shared" si="129"/>
        <v>8-14 days</v>
      </c>
    </row>
    <row r="1088" spans="1:20" x14ac:dyDescent="0.3">
      <c r="A1088" s="20" t="s">
        <v>1154</v>
      </c>
      <c r="B1088" s="20" t="s">
        <v>19</v>
      </c>
      <c r="C1088" s="21">
        <v>45713</v>
      </c>
      <c r="D1088" s="21">
        <v>45719</v>
      </c>
      <c r="E1088" s="21">
        <v>45727</v>
      </c>
      <c r="F1088" s="20" t="s">
        <v>59</v>
      </c>
      <c r="G1088" s="22">
        <v>214.43</v>
      </c>
      <c r="H1088" s="22">
        <v>19.72</v>
      </c>
      <c r="I1088" s="20" t="s">
        <v>60</v>
      </c>
      <c r="J1088" s="20">
        <v>5</v>
      </c>
      <c r="K1088" s="20" t="s">
        <v>46</v>
      </c>
      <c r="L1088" s="23">
        <f t="shared" si="123"/>
        <v>45689</v>
      </c>
      <c r="M1088" s="20">
        <f t="shared" si="124"/>
        <v>6</v>
      </c>
      <c r="N1088" s="20">
        <f t="shared" si="125"/>
        <v>0</v>
      </c>
      <c r="O1088" s="20">
        <f t="shared" si="126"/>
        <v>1</v>
      </c>
      <c r="P1088" s="22">
        <f t="shared" si="127"/>
        <v>234.15</v>
      </c>
      <c r="Q1088" s="22">
        <f>G1088*INDEX(Assumptions!$B$8:$B$16,MATCH(F1088,Assumptions!$A$8:$A$16,0))</f>
        <v>137.23520000000002</v>
      </c>
      <c r="R1088" s="22">
        <f>H1088*Assumptions!$B$3</f>
        <v>11.831999999999999</v>
      </c>
      <c r="S1088" s="22">
        <f t="shared" si="128"/>
        <v>65.362799999999993</v>
      </c>
      <c r="T1088" s="20" t="str">
        <f t="shared" si="129"/>
        <v>0-7 days</v>
      </c>
    </row>
    <row r="1089" spans="1:20" x14ac:dyDescent="0.3">
      <c r="A1089" s="20" t="s">
        <v>1155</v>
      </c>
      <c r="B1089" s="20" t="s">
        <v>55</v>
      </c>
      <c r="C1089" s="21">
        <v>45713</v>
      </c>
      <c r="D1089" s="21">
        <v>45728</v>
      </c>
      <c r="E1089" s="21">
        <v>45734</v>
      </c>
      <c r="F1089" s="20" t="s">
        <v>79</v>
      </c>
      <c r="G1089" s="22">
        <v>144.6</v>
      </c>
      <c r="H1089" s="22">
        <v>28.09</v>
      </c>
      <c r="I1089" s="20" t="s">
        <v>45</v>
      </c>
      <c r="J1089" s="20">
        <v>4</v>
      </c>
      <c r="K1089" s="20" t="s">
        <v>46</v>
      </c>
      <c r="L1089" s="23">
        <f t="shared" si="123"/>
        <v>45689</v>
      </c>
      <c r="M1089" s="20">
        <f t="shared" si="124"/>
        <v>15</v>
      </c>
      <c r="N1089" s="20">
        <f t="shared" si="125"/>
        <v>0</v>
      </c>
      <c r="O1089" s="20">
        <f t="shared" si="126"/>
        <v>1</v>
      </c>
      <c r="P1089" s="22">
        <f t="shared" si="127"/>
        <v>172.69</v>
      </c>
      <c r="Q1089" s="22">
        <f>G1089*INDEX(Assumptions!$B$8:$B$16,MATCH(F1089,Assumptions!$A$8:$A$16,0))</f>
        <v>101.21999999999998</v>
      </c>
      <c r="R1089" s="22">
        <f>H1089*Assumptions!$B$3</f>
        <v>16.853999999999999</v>
      </c>
      <c r="S1089" s="22">
        <f t="shared" si="128"/>
        <v>26.52600000000001</v>
      </c>
      <c r="T1089" s="20" t="str">
        <f t="shared" si="129"/>
        <v>15-21 days</v>
      </c>
    </row>
    <row r="1090" spans="1:20" x14ac:dyDescent="0.3">
      <c r="A1090" s="20" t="s">
        <v>1156</v>
      </c>
      <c r="B1090" s="20" t="s">
        <v>19</v>
      </c>
      <c r="C1090" s="21">
        <v>45713</v>
      </c>
      <c r="D1090" s="21">
        <v>45724</v>
      </c>
      <c r="E1090" s="21">
        <v>45729</v>
      </c>
      <c r="F1090" s="20" t="s">
        <v>79</v>
      </c>
      <c r="G1090" s="22">
        <v>100.75</v>
      </c>
      <c r="H1090" s="22">
        <v>12.98</v>
      </c>
      <c r="I1090" s="20" t="s">
        <v>60</v>
      </c>
      <c r="J1090" s="20">
        <v>4</v>
      </c>
      <c r="K1090" s="20" t="s">
        <v>46</v>
      </c>
      <c r="L1090" s="23">
        <f t="shared" ref="L1090:L1153" si="130">DATE(YEAR(C1090),MONTH(C1090),1)</f>
        <v>45689</v>
      </c>
      <c r="M1090" s="20">
        <f t="shared" ref="M1090:M1153" si="131">D1090-C1090</f>
        <v>11</v>
      </c>
      <c r="N1090" s="20">
        <f t="shared" ref="N1090:N1153" si="132">MAX(0,D1090-E1090)</f>
        <v>0</v>
      </c>
      <c r="O1090" s="20">
        <f t="shared" ref="O1090:O1153" si="133">IF(D1090&lt;=E1090,1,0)</f>
        <v>1</v>
      </c>
      <c r="P1090" s="22">
        <f t="shared" ref="P1090:P1153" si="134">G1090+H1090</f>
        <v>113.73</v>
      </c>
      <c r="Q1090" s="22">
        <f>G1090*INDEX(Assumptions!$B$8:$B$16,MATCH(F1090,Assumptions!$A$8:$A$16,0))</f>
        <v>70.524999999999991</v>
      </c>
      <c r="R1090" s="22">
        <f>H1090*Assumptions!$B$3</f>
        <v>7.7880000000000003</v>
      </c>
      <c r="S1090" s="22">
        <f t="shared" ref="S1090:S1153" si="135">G1090-Q1090-R1090</f>
        <v>22.437000000000008</v>
      </c>
      <c r="T1090" s="20" t="str">
        <f t="shared" ref="T1090:T1153" si="136">IF(M1090&lt;=7,"0-7 days",IF(M1090&lt;=14,"8-14 days",IF(M1090&lt;=21,"15-21 days","22+ days")))</f>
        <v>8-14 days</v>
      </c>
    </row>
    <row r="1091" spans="1:20" x14ac:dyDescent="0.3">
      <c r="A1091" s="20" t="s">
        <v>1157</v>
      </c>
      <c r="B1091" s="20" t="s">
        <v>62</v>
      </c>
      <c r="C1091" s="21">
        <v>45713</v>
      </c>
      <c r="D1091" s="21">
        <v>45723</v>
      </c>
      <c r="E1091" s="21">
        <v>45734</v>
      </c>
      <c r="F1091" s="20" t="s">
        <v>67</v>
      </c>
      <c r="G1091" s="22">
        <v>240.98</v>
      </c>
      <c r="H1091" s="22">
        <v>32.26</v>
      </c>
      <c r="I1091" s="20" t="s">
        <v>45</v>
      </c>
      <c r="J1091" s="20">
        <v>5</v>
      </c>
      <c r="K1091" s="20" t="s">
        <v>46</v>
      </c>
      <c r="L1091" s="23">
        <f t="shared" si="130"/>
        <v>45689</v>
      </c>
      <c r="M1091" s="20">
        <f t="shared" si="131"/>
        <v>10</v>
      </c>
      <c r="N1091" s="20">
        <f t="shared" si="132"/>
        <v>0</v>
      </c>
      <c r="O1091" s="20">
        <f t="shared" si="133"/>
        <v>1</v>
      </c>
      <c r="P1091" s="22">
        <f t="shared" si="134"/>
        <v>273.24</v>
      </c>
      <c r="Q1091" s="22">
        <f>G1091*INDEX(Assumptions!$B$8:$B$16,MATCH(F1091,Assumptions!$A$8:$A$16,0))</f>
        <v>149.4076</v>
      </c>
      <c r="R1091" s="22">
        <f>H1091*Assumptions!$B$3</f>
        <v>19.355999999999998</v>
      </c>
      <c r="S1091" s="22">
        <f t="shared" si="135"/>
        <v>72.216399999999993</v>
      </c>
      <c r="T1091" s="20" t="str">
        <f t="shared" si="136"/>
        <v>8-14 days</v>
      </c>
    </row>
    <row r="1092" spans="1:20" x14ac:dyDescent="0.3">
      <c r="A1092" s="20" t="s">
        <v>1158</v>
      </c>
      <c r="B1092" s="20" t="s">
        <v>19</v>
      </c>
      <c r="C1092" s="21">
        <v>45713</v>
      </c>
      <c r="D1092" s="21">
        <v>45721</v>
      </c>
      <c r="E1092" s="21">
        <v>45727</v>
      </c>
      <c r="F1092" s="20" t="s">
        <v>53</v>
      </c>
      <c r="G1092" s="22">
        <v>105.31</v>
      </c>
      <c r="H1092" s="22">
        <v>13.4</v>
      </c>
      <c r="I1092" s="20" t="s">
        <v>45</v>
      </c>
      <c r="J1092" s="20">
        <v>5</v>
      </c>
      <c r="K1092" s="20" t="s">
        <v>46</v>
      </c>
      <c r="L1092" s="23">
        <f t="shared" si="130"/>
        <v>45689</v>
      </c>
      <c r="M1092" s="20">
        <f t="shared" si="131"/>
        <v>8</v>
      </c>
      <c r="N1092" s="20">
        <f t="shared" si="132"/>
        <v>0</v>
      </c>
      <c r="O1092" s="20">
        <f t="shared" si="133"/>
        <v>1</v>
      </c>
      <c r="P1092" s="22">
        <f t="shared" si="134"/>
        <v>118.71000000000001</v>
      </c>
      <c r="Q1092" s="22">
        <f>G1092*INDEX(Assumptions!$B$8:$B$16,MATCH(F1092,Assumptions!$A$8:$A$16,0))</f>
        <v>77.929400000000001</v>
      </c>
      <c r="R1092" s="22">
        <f>H1092*Assumptions!$B$3</f>
        <v>8.0399999999999991</v>
      </c>
      <c r="S1092" s="22">
        <f t="shared" si="135"/>
        <v>19.340600000000002</v>
      </c>
      <c r="T1092" s="20" t="str">
        <f t="shared" si="136"/>
        <v>8-14 days</v>
      </c>
    </row>
    <row r="1093" spans="1:20" x14ac:dyDescent="0.3">
      <c r="A1093" s="20" t="s">
        <v>1159</v>
      </c>
      <c r="B1093" s="20" t="s">
        <v>19</v>
      </c>
      <c r="C1093" s="21">
        <v>45713</v>
      </c>
      <c r="D1093" s="21">
        <v>45721</v>
      </c>
      <c r="E1093" s="21">
        <v>45725</v>
      </c>
      <c r="F1093" s="20" t="s">
        <v>67</v>
      </c>
      <c r="G1093" s="22">
        <v>74.959999999999994</v>
      </c>
      <c r="H1093" s="22">
        <v>17.420000000000002</v>
      </c>
      <c r="I1093" s="20" t="s">
        <v>45</v>
      </c>
      <c r="J1093" s="20">
        <v>5</v>
      </c>
      <c r="K1093" s="20" t="s">
        <v>46</v>
      </c>
      <c r="L1093" s="23">
        <f t="shared" si="130"/>
        <v>45689</v>
      </c>
      <c r="M1093" s="20">
        <f t="shared" si="131"/>
        <v>8</v>
      </c>
      <c r="N1093" s="20">
        <f t="shared" si="132"/>
        <v>0</v>
      </c>
      <c r="O1093" s="20">
        <f t="shared" si="133"/>
        <v>1</v>
      </c>
      <c r="P1093" s="22">
        <f t="shared" si="134"/>
        <v>92.38</v>
      </c>
      <c r="Q1093" s="22">
        <f>G1093*INDEX(Assumptions!$B$8:$B$16,MATCH(F1093,Assumptions!$A$8:$A$16,0))</f>
        <v>46.475199999999994</v>
      </c>
      <c r="R1093" s="22">
        <f>H1093*Assumptions!$B$3</f>
        <v>10.452</v>
      </c>
      <c r="S1093" s="22">
        <f t="shared" si="135"/>
        <v>18.032800000000002</v>
      </c>
      <c r="T1093" s="20" t="str">
        <f t="shared" si="136"/>
        <v>8-14 days</v>
      </c>
    </row>
    <row r="1094" spans="1:20" x14ac:dyDescent="0.3">
      <c r="A1094" s="20" t="s">
        <v>1160</v>
      </c>
      <c r="B1094" s="20" t="s">
        <v>55</v>
      </c>
      <c r="C1094" s="21">
        <v>45714</v>
      </c>
      <c r="D1094" s="21">
        <v>45730</v>
      </c>
      <c r="E1094" s="21">
        <v>45739</v>
      </c>
      <c r="F1094" s="20" t="s">
        <v>67</v>
      </c>
      <c r="G1094" s="22">
        <v>120.04</v>
      </c>
      <c r="H1094" s="22">
        <v>30.95</v>
      </c>
      <c r="I1094" s="20" t="s">
        <v>60</v>
      </c>
      <c r="J1094" s="20">
        <v>4</v>
      </c>
      <c r="K1094" s="20" t="s">
        <v>46</v>
      </c>
      <c r="L1094" s="23">
        <f t="shared" si="130"/>
        <v>45689</v>
      </c>
      <c r="M1094" s="20">
        <f t="shared" si="131"/>
        <v>16</v>
      </c>
      <c r="N1094" s="20">
        <f t="shared" si="132"/>
        <v>0</v>
      </c>
      <c r="O1094" s="20">
        <f t="shared" si="133"/>
        <v>1</v>
      </c>
      <c r="P1094" s="22">
        <f t="shared" si="134"/>
        <v>150.99</v>
      </c>
      <c r="Q1094" s="22">
        <f>G1094*INDEX(Assumptions!$B$8:$B$16,MATCH(F1094,Assumptions!$A$8:$A$16,0))</f>
        <v>74.424800000000005</v>
      </c>
      <c r="R1094" s="22">
        <f>H1094*Assumptions!$B$3</f>
        <v>18.57</v>
      </c>
      <c r="S1094" s="22">
        <f t="shared" si="135"/>
        <v>27.045200000000001</v>
      </c>
      <c r="T1094" s="20" t="str">
        <f t="shared" si="136"/>
        <v>15-21 days</v>
      </c>
    </row>
    <row r="1095" spans="1:20" x14ac:dyDescent="0.3">
      <c r="A1095" s="20" t="s">
        <v>1161</v>
      </c>
      <c r="B1095" s="20" t="s">
        <v>77</v>
      </c>
      <c r="C1095" s="21">
        <v>45714</v>
      </c>
      <c r="D1095" s="21">
        <v>45724</v>
      </c>
      <c r="E1095" s="21">
        <v>45739</v>
      </c>
      <c r="F1095" s="20" t="s">
        <v>49</v>
      </c>
      <c r="G1095" s="22">
        <v>178.69</v>
      </c>
      <c r="H1095" s="22">
        <v>25.82</v>
      </c>
      <c r="I1095" s="20" t="s">
        <v>60</v>
      </c>
      <c r="J1095" s="20">
        <v>4</v>
      </c>
      <c r="K1095" s="20" t="s">
        <v>46</v>
      </c>
      <c r="L1095" s="23">
        <f t="shared" si="130"/>
        <v>45689</v>
      </c>
      <c r="M1095" s="20">
        <f t="shared" si="131"/>
        <v>10</v>
      </c>
      <c r="N1095" s="20">
        <f t="shared" si="132"/>
        <v>0</v>
      </c>
      <c r="O1095" s="20">
        <f t="shared" si="133"/>
        <v>1</v>
      </c>
      <c r="P1095" s="22">
        <f t="shared" si="134"/>
        <v>204.51</v>
      </c>
      <c r="Q1095" s="22">
        <f>G1095*INDEX(Assumptions!$B$8:$B$16,MATCH(F1095,Assumptions!$A$8:$A$16,0))</f>
        <v>103.64019999999999</v>
      </c>
      <c r="R1095" s="22">
        <f>H1095*Assumptions!$B$3</f>
        <v>15.491999999999999</v>
      </c>
      <c r="S1095" s="22">
        <f t="shared" si="135"/>
        <v>59.557800000000007</v>
      </c>
      <c r="T1095" s="20" t="str">
        <f t="shared" si="136"/>
        <v>8-14 days</v>
      </c>
    </row>
    <row r="1096" spans="1:20" x14ac:dyDescent="0.3">
      <c r="A1096" s="20" t="s">
        <v>1162</v>
      </c>
      <c r="B1096" s="20" t="s">
        <v>55</v>
      </c>
      <c r="C1096" s="21">
        <v>45714</v>
      </c>
      <c r="D1096" s="21">
        <v>45723</v>
      </c>
      <c r="E1096" s="21">
        <v>45736</v>
      </c>
      <c r="F1096" s="20" t="s">
        <v>67</v>
      </c>
      <c r="G1096" s="22">
        <v>83.64</v>
      </c>
      <c r="H1096" s="22">
        <v>20.78</v>
      </c>
      <c r="I1096" s="20" t="s">
        <v>60</v>
      </c>
      <c r="J1096" s="20">
        <v>5</v>
      </c>
      <c r="K1096" s="20" t="s">
        <v>46</v>
      </c>
      <c r="L1096" s="23">
        <f t="shared" si="130"/>
        <v>45689</v>
      </c>
      <c r="M1096" s="20">
        <f t="shared" si="131"/>
        <v>9</v>
      </c>
      <c r="N1096" s="20">
        <f t="shared" si="132"/>
        <v>0</v>
      </c>
      <c r="O1096" s="20">
        <f t="shared" si="133"/>
        <v>1</v>
      </c>
      <c r="P1096" s="22">
        <f t="shared" si="134"/>
        <v>104.42</v>
      </c>
      <c r="Q1096" s="22">
        <f>G1096*INDEX(Assumptions!$B$8:$B$16,MATCH(F1096,Assumptions!$A$8:$A$16,0))</f>
        <v>51.8568</v>
      </c>
      <c r="R1096" s="22">
        <f>H1096*Assumptions!$B$3</f>
        <v>12.468</v>
      </c>
      <c r="S1096" s="22">
        <f t="shared" si="135"/>
        <v>19.315200000000001</v>
      </c>
      <c r="T1096" s="20" t="str">
        <f t="shared" si="136"/>
        <v>8-14 days</v>
      </c>
    </row>
    <row r="1097" spans="1:20" x14ac:dyDescent="0.3">
      <c r="A1097" s="20" t="s">
        <v>1163</v>
      </c>
      <c r="B1097" s="20" t="s">
        <v>19</v>
      </c>
      <c r="C1097" s="21">
        <v>45714</v>
      </c>
      <c r="D1097" s="21">
        <v>45728</v>
      </c>
      <c r="E1097" s="21">
        <v>45728</v>
      </c>
      <c r="F1097" s="20" t="s">
        <v>67</v>
      </c>
      <c r="G1097" s="22">
        <v>47.34</v>
      </c>
      <c r="H1097" s="22">
        <v>11.8</v>
      </c>
      <c r="I1097" s="20" t="s">
        <v>45</v>
      </c>
      <c r="J1097" s="20">
        <v>5</v>
      </c>
      <c r="K1097" s="20" t="s">
        <v>46</v>
      </c>
      <c r="L1097" s="23">
        <f t="shared" si="130"/>
        <v>45689</v>
      </c>
      <c r="M1097" s="20">
        <f t="shared" si="131"/>
        <v>14</v>
      </c>
      <c r="N1097" s="20">
        <f t="shared" si="132"/>
        <v>0</v>
      </c>
      <c r="O1097" s="20">
        <f t="shared" si="133"/>
        <v>1</v>
      </c>
      <c r="P1097" s="22">
        <f t="shared" si="134"/>
        <v>59.14</v>
      </c>
      <c r="Q1097" s="22">
        <f>G1097*INDEX(Assumptions!$B$8:$B$16,MATCH(F1097,Assumptions!$A$8:$A$16,0))</f>
        <v>29.350800000000003</v>
      </c>
      <c r="R1097" s="22">
        <f>H1097*Assumptions!$B$3</f>
        <v>7.08</v>
      </c>
      <c r="S1097" s="22">
        <f t="shared" si="135"/>
        <v>10.9092</v>
      </c>
      <c r="T1097" s="20" t="str">
        <f t="shared" si="136"/>
        <v>8-14 days</v>
      </c>
    </row>
    <row r="1098" spans="1:20" x14ac:dyDescent="0.3">
      <c r="A1098" s="20" t="s">
        <v>1164</v>
      </c>
      <c r="B1098" s="20" t="s">
        <v>19</v>
      </c>
      <c r="C1098" s="21">
        <v>45715</v>
      </c>
      <c r="D1098" s="21">
        <v>45721</v>
      </c>
      <c r="E1098" s="21">
        <v>45729</v>
      </c>
      <c r="F1098" s="20" t="s">
        <v>44</v>
      </c>
      <c r="G1098" s="22">
        <v>23.7</v>
      </c>
      <c r="H1098" s="22">
        <v>18.579999999999998</v>
      </c>
      <c r="I1098" s="20" t="s">
        <v>60</v>
      </c>
      <c r="J1098" s="20">
        <v>4</v>
      </c>
      <c r="K1098" s="20" t="s">
        <v>46</v>
      </c>
      <c r="L1098" s="23">
        <f t="shared" si="130"/>
        <v>45689</v>
      </c>
      <c r="M1098" s="20">
        <f t="shared" si="131"/>
        <v>6</v>
      </c>
      <c r="N1098" s="20">
        <f t="shared" si="132"/>
        <v>0</v>
      </c>
      <c r="O1098" s="20">
        <f t="shared" si="133"/>
        <v>1</v>
      </c>
      <c r="P1098" s="22">
        <f t="shared" si="134"/>
        <v>42.28</v>
      </c>
      <c r="Q1098" s="22">
        <f>G1098*INDEX(Assumptions!$B$8:$B$16,MATCH(F1098,Assumptions!$A$8:$A$16,0))</f>
        <v>14.219999999999999</v>
      </c>
      <c r="R1098" s="22">
        <f>H1098*Assumptions!$B$3</f>
        <v>11.147999999999998</v>
      </c>
      <c r="S1098" s="22">
        <f t="shared" si="135"/>
        <v>-1.6679999999999975</v>
      </c>
      <c r="T1098" s="20" t="str">
        <f t="shared" si="136"/>
        <v>0-7 days</v>
      </c>
    </row>
    <row r="1099" spans="1:20" x14ac:dyDescent="0.3">
      <c r="A1099" s="20" t="s">
        <v>1165</v>
      </c>
      <c r="B1099" s="20" t="s">
        <v>62</v>
      </c>
      <c r="C1099" s="21">
        <v>45715</v>
      </c>
      <c r="D1099" s="21">
        <v>45732</v>
      </c>
      <c r="E1099" s="21">
        <v>45739</v>
      </c>
      <c r="F1099" s="20" t="s">
        <v>59</v>
      </c>
      <c r="G1099" s="22">
        <v>99.94</v>
      </c>
      <c r="H1099" s="22">
        <v>27.75</v>
      </c>
      <c r="I1099" s="20" t="s">
        <v>45</v>
      </c>
      <c r="J1099" s="20">
        <v>5</v>
      </c>
      <c r="K1099" s="20" t="s">
        <v>46</v>
      </c>
      <c r="L1099" s="23">
        <f t="shared" si="130"/>
        <v>45689</v>
      </c>
      <c r="M1099" s="20">
        <f t="shared" si="131"/>
        <v>17</v>
      </c>
      <c r="N1099" s="20">
        <f t="shared" si="132"/>
        <v>0</v>
      </c>
      <c r="O1099" s="20">
        <f t="shared" si="133"/>
        <v>1</v>
      </c>
      <c r="P1099" s="22">
        <f t="shared" si="134"/>
        <v>127.69</v>
      </c>
      <c r="Q1099" s="22">
        <f>G1099*INDEX(Assumptions!$B$8:$B$16,MATCH(F1099,Assumptions!$A$8:$A$16,0))</f>
        <v>63.961599999999997</v>
      </c>
      <c r="R1099" s="22">
        <f>H1099*Assumptions!$B$3</f>
        <v>16.649999999999999</v>
      </c>
      <c r="S1099" s="22">
        <f t="shared" si="135"/>
        <v>19.328400000000002</v>
      </c>
      <c r="T1099" s="20" t="str">
        <f t="shared" si="136"/>
        <v>15-21 days</v>
      </c>
    </row>
    <row r="1100" spans="1:20" x14ac:dyDescent="0.3">
      <c r="A1100" s="20" t="s">
        <v>1166</v>
      </c>
      <c r="B1100" s="20" t="s">
        <v>55</v>
      </c>
      <c r="C1100" s="21">
        <v>45715</v>
      </c>
      <c r="D1100" s="21">
        <v>45727</v>
      </c>
      <c r="E1100" s="21">
        <v>45739</v>
      </c>
      <c r="F1100" s="20" t="s">
        <v>111</v>
      </c>
      <c r="G1100" s="22">
        <v>98.78</v>
      </c>
      <c r="H1100" s="22">
        <v>17.96</v>
      </c>
      <c r="I1100" s="20" t="s">
        <v>60</v>
      </c>
      <c r="J1100" s="20">
        <v>3</v>
      </c>
      <c r="K1100" s="20" t="s">
        <v>46</v>
      </c>
      <c r="L1100" s="23">
        <f t="shared" si="130"/>
        <v>45689</v>
      </c>
      <c r="M1100" s="20">
        <f t="shared" si="131"/>
        <v>12</v>
      </c>
      <c r="N1100" s="20">
        <f t="shared" si="132"/>
        <v>0</v>
      </c>
      <c r="O1100" s="20">
        <f t="shared" si="133"/>
        <v>1</v>
      </c>
      <c r="P1100" s="22">
        <f t="shared" si="134"/>
        <v>116.74000000000001</v>
      </c>
      <c r="Q1100" s="22">
        <f>G1100*INDEX(Assumptions!$B$8:$B$16,MATCH(F1100,Assumptions!$A$8:$A$16,0))</f>
        <v>62.231400000000001</v>
      </c>
      <c r="R1100" s="22">
        <f>H1100*Assumptions!$B$3</f>
        <v>10.776</v>
      </c>
      <c r="S1100" s="22">
        <f t="shared" si="135"/>
        <v>25.772600000000001</v>
      </c>
      <c r="T1100" s="20" t="str">
        <f t="shared" si="136"/>
        <v>8-14 days</v>
      </c>
    </row>
    <row r="1101" spans="1:20" x14ac:dyDescent="0.3">
      <c r="A1101" s="20" t="s">
        <v>1167</v>
      </c>
      <c r="B1101" s="20" t="s">
        <v>19</v>
      </c>
      <c r="C1101" s="21">
        <v>45715</v>
      </c>
      <c r="D1101" s="21">
        <v>45726</v>
      </c>
      <c r="E1101" s="21">
        <v>45731</v>
      </c>
      <c r="F1101" s="20" t="s">
        <v>79</v>
      </c>
      <c r="G1101" s="22">
        <v>117.21</v>
      </c>
      <c r="H1101" s="22">
        <v>18</v>
      </c>
      <c r="I1101" s="20" t="s">
        <v>45</v>
      </c>
      <c r="J1101" s="20">
        <v>5</v>
      </c>
      <c r="K1101" s="20" t="s">
        <v>46</v>
      </c>
      <c r="L1101" s="23">
        <f t="shared" si="130"/>
        <v>45689</v>
      </c>
      <c r="M1101" s="20">
        <f t="shared" si="131"/>
        <v>11</v>
      </c>
      <c r="N1101" s="20">
        <f t="shared" si="132"/>
        <v>0</v>
      </c>
      <c r="O1101" s="20">
        <f t="shared" si="133"/>
        <v>1</v>
      </c>
      <c r="P1101" s="22">
        <f t="shared" si="134"/>
        <v>135.20999999999998</v>
      </c>
      <c r="Q1101" s="22">
        <f>G1101*INDEX(Assumptions!$B$8:$B$16,MATCH(F1101,Assumptions!$A$8:$A$16,0))</f>
        <v>82.046999999999997</v>
      </c>
      <c r="R1101" s="22">
        <f>H1101*Assumptions!$B$3</f>
        <v>10.799999999999999</v>
      </c>
      <c r="S1101" s="22">
        <f t="shared" si="135"/>
        <v>24.363</v>
      </c>
      <c r="T1101" s="20" t="str">
        <f t="shared" si="136"/>
        <v>8-14 days</v>
      </c>
    </row>
    <row r="1102" spans="1:20" x14ac:dyDescent="0.3">
      <c r="A1102" s="20" t="s">
        <v>1168</v>
      </c>
      <c r="B1102" s="20" t="s">
        <v>93</v>
      </c>
      <c r="C1102" s="21">
        <v>45715</v>
      </c>
      <c r="D1102" s="21">
        <v>45731</v>
      </c>
      <c r="E1102" s="21">
        <v>45745</v>
      </c>
      <c r="F1102" s="20" t="s">
        <v>79</v>
      </c>
      <c r="G1102" s="22">
        <v>48.3</v>
      </c>
      <c r="H1102" s="22">
        <v>24.45</v>
      </c>
      <c r="I1102" s="20" t="s">
        <v>45</v>
      </c>
      <c r="J1102" s="20">
        <v>4</v>
      </c>
      <c r="K1102" s="20" t="s">
        <v>46</v>
      </c>
      <c r="L1102" s="23">
        <f t="shared" si="130"/>
        <v>45689</v>
      </c>
      <c r="M1102" s="20">
        <f t="shared" si="131"/>
        <v>16</v>
      </c>
      <c r="N1102" s="20">
        <f t="shared" si="132"/>
        <v>0</v>
      </c>
      <c r="O1102" s="20">
        <f t="shared" si="133"/>
        <v>1</v>
      </c>
      <c r="P1102" s="22">
        <f t="shared" si="134"/>
        <v>72.75</v>
      </c>
      <c r="Q1102" s="22">
        <f>G1102*INDEX(Assumptions!$B$8:$B$16,MATCH(F1102,Assumptions!$A$8:$A$16,0))</f>
        <v>33.809999999999995</v>
      </c>
      <c r="R1102" s="22">
        <f>H1102*Assumptions!$B$3</f>
        <v>14.669999999999998</v>
      </c>
      <c r="S1102" s="22">
        <f t="shared" si="135"/>
        <v>-0.17999999999999616</v>
      </c>
      <c r="T1102" s="20" t="str">
        <f t="shared" si="136"/>
        <v>15-21 days</v>
      </c>
    </row>
    <row r="1103" spans="1:20" x14ac:dyDescent="0.3">
      <c r="A1103" s="20" t="s">
        <v>1169</v>
      </c>
      <c r="B1103" s="20" t="s">
        <v>55</v>
      </c>
      <c r="C1103" s="21">
        <v>45716</v>
      </c>
      <c r="D1103" s="21">
        <v>45727</v>
      </c>
      <c r="E1103" s="21">
        <v>45739</v>
      </c>
      <c r="F1103" s="20" t="s">
        <v>67</v>
      </c>
      <c r="G1103" s="22">
        <v>84.17</v>
      </c>
      <c r="H1103" s="22">
        <v>19.38</v>
      </c>
      <c r="I1103" s="20" t="s">
        <v>45</v>
      </c>
      <c r="J1103" s="20">
        <v>3</v>
      </c>
      <c r="K1103" s="20" t="s">
        <v>46</v>
      </c>
      <c r="L1103" s="23">
        <f t="shared" si="130"/>
        <v>45689</v>
      </c>
      <c r="M1103" s="20">
        <f t="shared" si="131"/>
        <v>11</v>
      </c>
      <c r="N1103" s="20">
        <f t="shared" si="132"/>
        <v>0</v>
      </c>
      <c r="O1103" s="20">
        <f t="shared" si="133"/>
        <v>1</v>
      </c>
      <c r="P1103" s="22">
        <f t="shared" si="134"/>
        <v>103.55</v>
      </c>
      <c r="Q1103" s="22">
        <f>G1103*INDEX(Assumptions!$B$8:$B$16,MATCH(F1103,Assumptions!$A$8:$A$16,0))</f>
        <v>52.185400000000001</v>
      </c>
      <c r="R1103" s="22">
        <f>H1103*Assumptions!$B$3</f>
        <v>11.627999999999998</v>
      </c>
      <c r="S1103" s="22">
        <f t="shared" si="135"/>
        <v>20.3566</v>
      </c>
      <c r="T1103" s="20" t="str">
        <f t="shared" si="136"/>
        <v>8-14 days</v>
      </c>
    </row>
    <row r="1104" spans="1:20" x14ac:dyDescent="0.3">
      <c r="A1104" s="20" t="s">
        <v>1170</v>
      </c>
      <c r="B1104" s="20" t="s">
        <v>48</v>
      </c>
      <c r="C1104" s="21">
        <v>45716</v>
      </c>
      <c r="D1104" s="21">
        <v>45728</v>
      </c>
      <c r="E1104" s="21">
        <v>45738</v>
      </c>
      <c r="F1104" s="20" t="s">
        <v>111</v>
      </c>
      <c r="G1104" s="22">
        <v>80.23</v>
      </c>
      <c r="H1104" s="22">
        <v>27.53</v>
      </c>
      <c r="I1104" s="20" t="s">
        <v>45</v>
      </c>
      <c r="J1104" s="20">
        <v>5</v>
      </c>
      <c r="K1104" s="20" t="s">
        <v>46</v>
      </c>
      <c r="L1104" s="23">
        <f t="shared" si="130"/>
        <v>45689</v>
      </c>
      <c r="M1104" s="20">
        <f t="shared" si="131"/>
        <v>12</v>
      </c>
      <c r="N1104" s="20">
        <f t="shared" si="132"/>
        <v>0</v>
      </c>
      <c r="O1104" s="20">
        <f t="shared" si="133"/>
        <v>1</v>
      </c>
      <c r="P1104" s="22">
        <f t="shared" si="134"/>
        <v>107.76</v>
      </c>
      <c r="Q1104" s="22">
        <f>G1104*INDEX(Assumptions!$B$8:$B$16,MATCH(F1104,Assumptions!$A$8:$A$16,0))</f>
        <v>50.544900000000005</v>
      </c>
      <c r="R1104" s="22">
        <f>H1104*Assumptions!$B$3</f>
        <v>16.518000000000001</v>
      </c>
      <c r="S1104" s="22">
        <f t="shared" si="135"/>
        <v>13.167099999999998</v>
      </c>
      <c r="T1104" s="20" t="str">
        <f t="shared" si="136"/>
        <v>8-14 days</v>
      </c>
    </row>
    <row r="1105" spans="1:20" x14ac:dyDescent="0.3">
      <c r="A1105" s="20" t="s">
        <v>1171</v>
      </c>
      <c r="B1105" s="20" t="s">
        <v>19</v>
      </c>
      <c r="C1105" s="21">
        <v>45716</v>
      </c>
      <c r="D1105" s="21">
        <v>45721</v>
      </c>
      <c r="E1105" s="21">
        <v>45728</v>
      </c>
      <c r="F1105" s="20" t="s">
        <v>64</v>
      </c>
      <c r="G1105" s="22">
        <v>226.77</v>
      </c>
      <c r="H1105" s="22">
        <v>18.14</v>
      </c>
      <c r="I1105" s="20" t="s">
        <v>45</v>
      </c>
      <c r="J1105" s="20">
        <v>4</v>
      </c>
      <c r="K1105" s="20" t="s">
        <v>46</v>
      </c>
      <c r="L1105" s="23">
        <f t="shared" si="130"/>
        <v>45689</v>
      </c>
      <c r="M1105" s="20">
        <f t="shared" si="131"/>
        <v>5</v>
      </c>
      <c r="N1105" s="20">
        <f t="shared" si="132"/>
        <v>0</v>
      </c>
      <c r="O1105" s="20">
        <f t="shared" si="133"/>
        <v>1</v>
      </c>
      <c r="P1105" s="22">
        <f t="shared" si="134"/>
        <v>244.91000000000003</v>
      </c>
      <c r="Q1105" s="22">
        <f>G1105*INDEX(Assumptions!$B$8:$B$16,MATCH(F1105,Assumptions!$A$8:$A$16,0))</f>
        <v>149.66820000000001</v>
      </c>
      <c r="R1105" s="22">
        <f>H1105*Assumptions!$B$3</f>
        <v>10.884</v>
      </c>
      <c r="S1105" s="22">
        <f t="shared" si="135"/>
        <v>66.217799999999997</v>
      </c>
      <c r="T1105" s="20" t="str">
        <f t="shared" si="136"/>
        <v>0-7 days</v>
      </c>
    </row>
    <row r="1106" spans="1:20" x14ac:dyDescent="0.3">
      <c r="A1106" s="20" t="s">
        <v>1172</v>
      </c>
      <c r="B1106" s="20" t="s">
        <v>19</v>
      </c>
      <c r="C1106" s="21">
        <v>45716</v>
      </c>
      <c r="D1106" s="21">
        <v>45726</v>
      </c>
      <c r="E1106" s="21">
        <v>45732</v>
      </c>
      <c r="F1106" s="20" t="s">
        <v>49</v>
      </c>
      <c r="G1106" s="22">
        <v>106.97</v>
      </c>
      <c r="H1106" s="22">
        <v>23.05</v>
      </c>
      <c r="I1106" s="20" t="s">
        <v>60</v>
      </c>
      <c r="J1106" s="20">
        <v>5</v>
      </c>
      <c r="K1106" s="20" t="s">
        <v>46</v>
      </c>
      <c r="L1106" s="23">
        <f t="shared" si="130"/>
        <v>45689</v>
      </c>
      <c r="M1106" s="20">
        <f t="shared" si="131"/>
        <v>10</v>
      </c>
      <c r="N1106" s="20">
        <f t="shared" si="132"/>
        <v>0</v>
      </c>
      <c r="O1106" s="20">
        <f t="shared" si="133"/>
        <v>1</v>
      </c>
      <c r="P1106" s="22">
        <f t="shared" si="134"/>
        <v>130.02000000000001</v>
      </c>
      <c r="Q1106" s="22">
        <f>G1106*INDEX(Assumptions!$B$8:$B$16,MATCH(F1106,Assumptions!$A$8:$A$16,0))</f>
        <v>62.042599999999993</v>
      </c>
      <c r="R1106" s="22">
        <f>H1106*Assumptions!$B$3</f>
        <v>13.83</v>
      </c>
      <c r="S1106" s="22">
        <f t="shared" si="135"/>
        <v>31.097400000000007</v>
      </c>
      <c r="T1106" s="20" t="str">
        <f t="shared" si="136"/>
        <v>8-14 days</v>
      </c>
    </row>
    <row r="1107" spans="1:20" x14ac:dyDescent="0.3">
      <c r="A1107" s="20" t="s">
        <v>1173</v>
      </c>
      <c r="B1107" s="20" t="s">
        <v>62</v>
      </c>
      <c r="C1107" s="21">
        <v>45717</v>
      </c>
      <c r="D1107" s="21">
        <v>45732</v>
      </c>
      <c r="E1107" s="21">
        <v>45740</v>
      </c>
      <c r="F1107" s="20" t="s">
        <v>59</v>
      </c>
      <c r="G1107" s="22">
        <v>93.66</v>
      </c>
      <c r="H1107" s="22">
        <v>25.64</v>
      </c>
      <c r="I1107" s="20" t="s">
        <v>104</v>
      </c>
      <c r="J1107" s="20">
        <v>5</v>
      </c>
      <c r="K1107" s="20" t="s">
        <v>46</v>
      </c>
      <c r="L1107" s="23">
        <f t="shared" si="130"/>
        <v>45717</v>
      </c>
      <c r="M1107" s="20">
        <f t="shared" si="131"/>
        <v>15</v>
      </c>
      <c r="N1107" s="20">
        <f t="shared" si="132"/>
        <v>0</v>
      </c>
      <c r="O1107" s="20">
        <f t="shared" si="133"/>
        <v>1</v>
      </c>
      <c r="P1107" s="22">
        <f t="shared" si="134"/>
        <v>119.3</v>
      </c>
      <c r="Q1107" s="22">
        <f>G1107*INDEX(Assumptions!$B$8:$B$16,MATCH(F1107,Assumptions!$A$8:$A$16,0))</f>
        <v>59.942399999999999</v>
      </c>
      <c r="R1107" s="22">
        <f>H1107*Assumptions!$B$3</f>
        <v>15.384</v>
      </c>
      <c r="S1107" s="22">
        <f t="shared" si="135"/>
        <v>18.333599999999997</v>
      </c>
      <c r="T1107" s="20" t="str">
        <f t="shared" si="136"/>
        <v>15-21 days</v>
      </c>
    </row>
    <row r="1108" spans="1:20" x14ac:dyDescent="0.3">
      <c r="A1108" s="20" t="s">
        <v>1174</v>
      </c>
      <c r="B1108" s="20" t="s">
        <v>19</v>
      </c>
      <c r="C1108" s="21">
        <v>45717</v>
      </c>
      <c r="D1108" s="21">
        <v>45724</v>
      </c>
      <c r="E1108" s="21">
        <v>45734</v>
      </c>
      <c r="F1108" s="20" t="s">
        <v>111</v>
      </c>
      <c r="G1108" s="22">
        <v>65.73</v>
      </c>
      <c r="H1108" s="22">
        <v>11.89</v>
      </c>
      <c r="I1108" s="20" t="s">
        <v>45</v>
      </c>
      <c r="J1108" s="20">
        <v>4</v>
      </c>
      <c r="K1108" s="20" t="s">
        <v>46</v>
      </c>
      <c r="L1108" s="23">
        <f t="shared" si="130"/>
        <v>45717</v>
      </c>
      <c r="M1108" s="20">
        <f t="shared" si="131"/>
        <v>7</v>
      </c>
      <c r="N1108" s="20">
        <f t="shared" si="132"/>
        <v>0</v>
      </c>
      <c r="O1108" s="20">
        <f t="shared" si="133"/>
        <v>1</v>
      </c>
      <c r="P1108" s="22">
        <f t="shared" si="134"/>
        <v>77.62</v>
      </c>
      <c r="Q1108" s="22">
        <f>G1108*INDEX(Assumptions!$B$8:$B$16,MATCH(F1108,Assumptions!$A$8:$A$16,0))</f>
        <v>41.4099</v>
      </c>
      <c r="R1108" s="22">
        <f>H1108*Assumptions!$B$3</f>
        <v>7.1340000000000003</v>
      </c>
      <c r="S1108" s="22">
        <f t="shared" si="135"/>
        <v>17.186100000000003</v>
      </c>
      <c r="T1108" s="20" t="str">
        <f t="shared" si="136"/>
        <v>0-7 days</v>
      </c>
    </row>
    <row r="1109" spans="1:20" x14ac:dyDescent="0.3">
      <c r="A1109" s="20" t="s">
        <v>1175</v>
      </c>
      <c r="B1109" s="20" t="s">
        <v>77</v>
      </c>
      <c r="C1109" s="21">
        <v>45717</v>
      </c>
      <c r="D1109" s="21">
        <v>45737</v>
      </c>
      <c r="E1109" s="21">
        <v>45742</v>
      </c>
      <c r="F1109" s="20" t="s">
        <v>49</v>
      </c>
      <c r="G1109" s="22">
        <v>221.3</v>
      </c>
      <c r="H1109" s="22">
        <v>33.590000000000003</v>
      </c>
      <c r="I1109" s="20" t="s">
        <v>60</v>
      </c>
      <c r="J1109" s="20">
        <v>3</v>
      </c>
      <c r="K1109" s="20" t="s">
        <v>46</v>
      </c>
      <c r="L1109" s="23">
        <f t="shared" si="130"/>
        <v>45717</v>
      </c>
      <c r="M1109" s="20">
        <f t="shared" si="131"/>
        <v>20</v>
      </c>
      <c r="N1109" s="20">
        <f t="shared" si="132"/>
        <v>0</v>
      </c>
      <c r="O1109" s="20">
        <f t="shared" si="133"/>
        <v>1</v>
      </c>
      <c r="P1109" s="22">
        <f t="shared" si="134"/>
        <v>254.89000000000001</v>
      </c>
      <c r="Q1109" s="22">
        <f>G1109*INDEX(Assumptions!$B$8:$B$16,MATCH(F1109,Assumptions!$A$8:$A$16,0))</f>
        <v>128.35399999999998</v>
      </c>
      <c r="R1109" s="22">
        <f>H1109*Assumptions!$B$3</f>
        <v>20.154</v>
      </c>
      <c r="S1109" s="22">
        <f t="shared" si="135"/>
        <v>72.79200000000003</v>
      </c>
      <c r="T1109" s="20" t="str">
        <f t="shared" si="136"/>
        <v>15-21 days</v>
      </c>
    </row>
    <row r="1110" spans="1:20" x14ac:dyDescent="0.3">
      <c r="A1110" s="20" t="s">
        <v>1176</v>
      </c>
      <c r="B1110" s="20" t="s">
        <v>93</v>
      </c>
      <c r="C1110" s="21">
        <v>45717</v>
      </c>
      <c r="D1110" s="21">
        <v>45737</v>
      </c>
      <c r="E1110" s="21">
        <v>45744</v>
      </c>
      <c r="F1110" s="20" t="s">
        <v>111</v>
      </c>
      <c r="G1110" s="22">
        <v>44.7</v>
      </c>
      <c r="H1110" s="22">
        <v>26.5</v>
      </c>
      <c r="I1110" s="20" t="s">
        <v>60</v>
      </c>
      <c r="J1110" s="20">
        <v>5</v>
      </c>
      <c r="K1110" s="20" t="s">
        <v>46</v>
      </c>
      <c r="L1110" s="23">
        <f t="shared" si="130"/>
        <v>45717</v>
      </c>
      <c r="M1110" s="20">
        <f t="shared" si="131"/>
        <v>20</v>
      </c>
      <c r="N1110" s="20">
        <f t="shared" si="132"/>
        <v>0</v>
      </c>
      <c r="O1110" s="20">
        <f t="shared" si="133"/>
        <v>1</v>
      </c>
      <c r="P1110" s="22">
        <f t="shared" si="134"/>
        <v>71.2</v>
      </c>
      <c r="Q1110" s="22">
        <f>G1110*INDEX(Assumptions!$B$8:$B$16,MATCH(F1110,Assumptions!$A$8:$A$16,0))</f>
        <v>28.161000000000001</v>
      </c>
      <c r="R1110" s="22">
        <f>H1110*Assumptions!$B$3</f>
        <v>15.899999999999999</v>
      </c>
      <c r="S1110" s="22">
        <f t="shared" si="135"/>
        <v>0.6390000000000029</v>
      </c>
      <c r="T1110" s="20" t="str">
        <f t="shared" si="136"/>
        <v>15-21 days</v>
      </c>
    </row>
    <row r="1111" spans="1:20" x14ac:dyDescent="0.3">
      <c r="A1111" s="20" t="s">
        <v>1177</v>
      </c>
      <c r="B1111" s="20" t="s">
        <v>19</v>
      </c>
      <c r="C1111" s="21">
        <v>45717</v>
      </c>
      <c r="D1111" s="21">
        <v>45725</v>
      </c>
      <c r="E1111" s="21">
        <v>45732</v>
      </c>
      <c r="F1111" s="20" t="s">
        <v>59</v>
      </c>
      <c r="G1111" s="22">
        <v>213.45</v>
      </c>
      <c r="H1111" s="22">
        <v>15.21</v>
      </c>
      <c r="I1111" s="20" t="s">
        <v>45</v>
      </c>
      <c r="J1111" s="20">
        <v>4</v>
      </c>
      <c r="K1111" s="20" t="s">
        <v>46</v>
      </c>
      <c r="L1111" s="23">
        <f t="shared" si="130"/>
        <v>45717</v>
      </c>
      <c r="M1111" s="20">
        <f t="shared" si="131"/>
        <v>8</v>
      </c>
      <c r="N1111" s="20">
        <f t="shared" si="132"/>
        <v>0</v>
      </c>
      <c r="O1111" s="20">
        <f t="shared" si="133"/>
        <v>1</v>
      </c>
      <c r="P1111" s="22">
        <f t="shared" si="134"/>
        <v>228.66</v>
      </c>
      <c r="Q1111" s="22">
        <f>G1111*INDEX(Assumptions!$B$8:$B$16,MATCH(F1111,Assumptions!$A$8:$A$16,0))</f>
        <v>136.608</v>
      </c>
      <c r="R1111" s="22">
        <f>H1111*Assumptions!$B$3</f>
        <v>9.1259999999999994</v>
      </c>
      <c r="S1111" s="22">
        <f t="shared" si="135"/>
        <v>67.71599999999998</v>
      </c>
      <c r="T1111" s="20" t="str">
        <f t="shared" si="136"/>
        <v>8-14 days</v>
      </c>
    </row>
    <row r="1112" spans="1:20" x14ac:dyDescent="0.3">
      <c r="A1112" s="20" t="s">
        <v>1178</v>
      </c>
      <c r="B1112" s="20" t="s">
        <v>19</v>
      </c>
      <c r="C1112" s="21">
        <v>45718</v>
      </c>
      <c r="D1112" s="21">
        <v>45730</v>
      </c>
      <c r="E1112" s="21">
        <v>45733</v>
      </c>
      <c r="F1112" s="20" t="s">
        <v>111</v>
      </c>
      <c r="G1112" s="22">
        <v>71.83</v>
      </c>
      <c r="H1112" s="22">
        <v>16.690000000000001</v>
      </c>
      <c r="I1112" s="20" t="s">
        <v>60</v>
      </c>
      <c r="J1112" s="20">
        <v>5</v>
      </c>
      <c r="K1112" s="20" t="s">
        <v>46</v>
      </c>
      <c r="L1112" s="23">
        <f t="shared" si="130"/>
        <v>45717</v>
      </c>
      <c r="M1112" s="20">
        <f t="shared" si="131"/>
        <v>12</v>
      </c>
      <c r="N1112" s="20">
        <f t="shared" si="132"/>
        <v>0</v>
      </c>
      <c r="O1112" s="20">
        <f t="shared" si="133"/>
        <v>1</v>
      </c>
      <c r="P1112" s="22">
        <f t="shared" si="134"/>
        <v>88.52</v>
      </c>
      <c r="Q1112" s="22">
        <f>G1112*INDEX(Assumptions!$B$8:$B$16,MATCH(F1112,Assumptions!$A$8:$A$16,0))</f>
        <v>45.252899999999997</v>
      </c>
      <c r="R1112" s="22">
        <f>H1112*Assumptions!$B$3</f>
        <v>10.014000000000001</v>
      </c>
      <c r="S1112" s="22">
        <f t="shared" si="135"/>
        <v>16.563099999999999</v>
      </c>
      <c r="T1112" s="20" t="str">
        <f t="shared" si="136"/>
        <v>8-14 days</v>
      </c>
    </row>
    <row r="1113" spans="1:20" x14ac:dyDescent="0.3">
      <c r="A1113" s="20" t="s">
        <v>1179</v>
      </c>
      <c r="B1113" s="20" t="s">
        <v>48</v>
      </c>
      <c r="C1113" s="21">
        <v>45718</v>
      </c>
      <c r="D1113" s="21">
        <v>45730</v>
      </c>
      <c r="E1113" s="21">
        <v>45738</v>
      </c>
      <c r="F1113" s="20" t="s">
        <v>64</v>
      </c>
      <c r="G1113" s="22">
        <v>286.39999999999998</v>
      </c>
      <c r="H1113" s="22">
        <v>24.01</v>
      </c>
      <c r="I1113" s="20" t="s">
        <v>45</v>
      </c>
      <c r="J1113" s="20">
        <v>5</v>
      </c>
      <c r="K1113" s="20" t="s">
        <v>46</v>
      </c>
      <c r="L1113" s="23">
        <f t="shared" si="130"/>
        <v>45717</v>
      </c>
      <c r="M1113" s="20">
        <f t="shared" si="131"/>
        <v>12</v>
      </c>
      <c r="N1113" s="20">
        <f t="shared" si="132"/>
        <v>0</v>
      </c>
      <c r="O1113" s="20">
        <f t="shared" si="133"/>
        <v>1</v>
      </c>
      <c r="P1113" s="22">
        <f t="shared" si="134"/>
        <v>310.40999999999997</v>
      </c>
      <c r="Q1113" s="22">
        <f>G1113*INDEX(Assumptions!$B$8:$B$16,MATCH(F1113,Assumptions!$A$8:$A$16,0))</f>
        <v>189.024</v>
      </c>
      <c r="R1113" s="22">
        <f>H1113*Assumptions!$B$3</f>
        <v>14.406000000000001</v>
      </c>
      <c r="S1113" s="22">
        <f t="shared" si="135"/>
        <v>82.96999999999997</v>
      </c>
      <c r="T1113" s="20" t="str">
        <f t="shared" si="136"/>
        <v>8-14 days</v>
      </c>
    </row>
    <row r="1114" spans="1:20" x14ac:dyDescent="0.3">
      <c r="A1114" s="20" t="s">
        <v>1180</v>
      </c>
      <c r="B1114" s="20" t="s">
        <v>19</v>
      </c>
      <c r="C1114" s="21">
        <v>45719</v>
      </c>
      <c r="D1114" s="21">
        <v>45723</v>
      </c>
      <c r="E1114" s="21">
        <v>45732</v>
      </c>
      <c r="F1114" s="20" t="s">
        <v>59</v>
      </c>
      <c r="G1114" s="22">
        <v>102.55</v>
      </c>
      <c r="H1114" s="22">
        <v>17.86</v>
      </c>
      <c r="I1114" s="20" t="s">
        <v>45</v>
      </c>
      <c r="J1114" s="20">
        <v>4</v>
      </c>
      <c r="K1114" s="20" t="s">
        <v>46</v>
      </c>
      <c r="L1114" s="23">
        <f t="shared" si="130"/>
        <v>45717</v>
      </c>
      <c r="M1114" s="20">
        <f t="shared" si="131"/>
        <v>4</v>
      </c>
      <c r="N1114" s="20">
        <f t="shared" si="132"/>
        <v>0</v>
      </c>
      <c r="O1114" s="20">
        <f t="shared" si="133"/>
        <v>1</v>
      </c>
      <c r="P1114" s="22">
        <f t="shared" si="134"/>
        <v>120.41</v>
      </c>
      <c r="Q1114" s="22">
        <f>G1114*INDEX(Assumptions!$B$8:$B$16,MATCH(F1114,Assumptions!$A$8:$A$16,0))</f>
        <v>65.632000000000005</v>
      </c>
      <c r="R1114" s="22">
        <f>H1114*Assumptions!$B$3</f>
        <v>10.715999999999999</v>
      </c>
      <c r="S1114" s="22">
        <f t="shared" si="135"/>
        <v>26.201999999999991</v>
      </c>
      <c r="T1114" s="20" t="str">
        <f t="shared" si="136"/>
        <v>0-7 days</v>
      </c>
    </row>
    <row r="1115" spans="1:20" x14ac:dyDescent="0.3">
      <c r="A1115" s="20" t="s">
        <v>1181</v>
      </c>
      <c r="B1115" s="20" t="s">
        <v>19</v>
      </c>
      <c r="C1115" s="21">
        <v>45719</v>
      </c>
      <c r="D1115" s="21">
        <v>45732</v>
      </c>
      <c r="E1115" s="21">
        <v>45735</v>
      </c>
      <c r="F1115" s="20" t="s">
        <v>59</v>
      </c>
      <c r="G1115" s="22">
        <v>103.2</v>
      </c>
      <c r="H1115" s="22">
        <v>19.63</v>
      </c>
      <c r="I1115" s="20" t="s">
        <v>45</v>
      </c>
      <c r="J1115" s="20">
        <v>5</v>
      </c>
      <c r="K1115" s="20" t="s">
        <v>46</v>
      </c>
      <c r="L1115" s="23">
        <f t="shared" si="130"/>
        <v>45717</v>
      </c>
      <c r="M1115" s="20">
        <f t="shared" si="131"/>
        <v>13</v>
      </c>
      <c r="N1115" s="20">
        <f t="shared" si="132"/>
        <v>0</v>
      </c>
      <c r="O1115" s="20">
        <f t="shared" si="133"/>
        <v>1</v>
      </c>
      <c r="P1115" s="22">
        <f t="shared" si="134"/>
        <v>122.83</v>
      </c>
      <c r="Q1115" s="22">
        <f>G1115*INDEX(Assumptions!$B$8:$B$16,MATCH(F1115,Assumptions!$A$8:$A$16,0))</f>
        <v>66.048000000000002</v>
      </c>
      <c r="R1115" s="22">
        <f>H1115*Assumptions!$B$3</f>
        <v>11.777999999999999</v>
      </c>
      <c r="S1115" s="22">
        <f t="shared" si="135"/>
        <v>25.374000000000002</v>
      </c>
      <c r="T1115" s="20" t="str">
        <f t="shared" si="136"/>
        <v>8-14 days</v>
      </c>
    </row>
    <row r="1116" spans="1:20" x14ac:dyDescent="0.3">
      <c r="A1116" s="20" t="s">
        <v>1182</v>
      </c>
      <c r="B1116" s="20" t="s">
        <v>55</v>
      </c>
      <c r="C1116" s="21">
        <v>45719</v>
      </c>
      <c r="D1116" s="21">
        <v>45742</v>
      </c>
      <c r="E1116" s="21">
        <v>45745</v>
      </c>
      <c r="F1116" s="20" t="s">
        <v>64</v>
      </c>
      <c r="G1116" s="22">
        <v>72.14</v>
      </c>
      <c r="H1116" s="22">
        <v>24.33</v>
      </c>
      <c r="I1116" s="20" t="s">
        <v>45</v>
      </c>
      <c r="J1116" s="20">
        <v>5</v>
      </c>
      <c r="K1116" s="20" t="s">
        <v>46</v>
      </c>
      <c r="L1116" s="23">
        <f t="shared" si="130"/>
        <v>45717</v>
      </c>
      <c r="M1116" s="20">
        <f t="shared" si="131"/>
        <v>23</v>
      </c>
      <c r="N1116" s="20">
        <f t="shared" si="132"/>
        <v>0</v>
      </c>
      <c r="O1116" s="20">
        <f t="shared" si="133"/>
        <v>1</v>
      </c>
      <c r="P1116" s="22">
        <f t="shared" si="134"/>
        <v>96.47</v>
      </c>
      <c r="Q1116" s="22">
        <f>G1116*INDEX(Assumptions!$B$8:$B$16,MATCH(F1116,Assumptions!$A$8:$A$16,0))</f>
        <v>47.612400000000001</v>
      </c>
      <c r="R1116" s="22">
        <f>H1116*Assumptions!$B$3</f>
        <v>14.597999999999999</v>
      </c>
      <c r="S1116" s="22">
        <f t="shared" si="135"/>
        <v>9.9296000000000006</v>
      </c>
      <c r="T1116" s="20" t="str">
        <f t="shared" si="136"/>
        <v>22+ days</v>
      </c>
    </row>
    <row r="1117" spans="1:20" x14ac:dyDescent="0.3">
      <c r="A1117" s="20" t="s">
        <v>1183</v>
      </c>
      <c r="B1117" s="20" t="s">
        <v>19</v>
      </c>
      <c r="C1117" s="21">
        <v>45719</v>
      </c>
      <c r="D1117" s="21">
        <v>45727</v>
      </c>
      <c r="E1117" s="21">
        <v>45736</v>
      </c>
      <c r="F1117" s="20" t="s">
        <v>111</v>
      </c>
      <c r="G1117" s="22">
        <v>226.69</v>
      </c>
      <c r="H1117" s="22">
        <v>18.399999999999999</v>
      </c>
      <c r="I1117" s="20" t="s">
        <v>45</v>
      </c>
      <c r="J1117" s="20">
        <v>5</v>
      </c>
      <c r="K1117" s="20" t="s">
        <v>46</v>
      </c>
      <c r="L1117" s="23">
        <f t="shared" si="130"/>
        <v>45717</v>
      </c>
      <c r="M1117" s="20">
        <f t="shared" si="131"/>
        <v>8</v>
      </c>
      <c r="N1117" s="20">
        <f t="shared" si="132"/>
        <v>0</v>
      </c>
      <c r="O1117" s="20">
        <f t="shared" si="133"/>
        <v>1</v>
      </c>
      <c r="P1117" s="22">
        <f t="shared" si="134"/>
        <v>245.09</v>
      </c>
      <c r="Q1117" s="22">
        <f>G1117*INDEX(Assumptions!$B$8:$B$16,MATCH(F1117,Assumptions!$A$8:$A$16,0))</f>
        <v>142.81469999999999</v>
      </c>
      <c r="R1117" s="22">
        <f>H1117*Assumptions!$B$3</f>
        <v>11.04</v>
      </c>
      <c r="S1117" s="22">
        <f t="shared" si="135"/>
        <v>72.835300000000018</v>
      </c>
      <c r="T1117" s="20" t="str">
        <f t="shared" si="136"/>
        <v>8-14 days</v>
      </c>
    </row>
    <row r="1118" spans="1:20" x14ac:dyDescent="0.3">
      <c r="A1118" s="20" t="s">
        <v>1184</v>
      </c>
      <c r="B1118" s="20" t="s">
        <v>19</v>
      </c>
      <c r="C1118" s="21">
        <v>45719</v>
      </c>
      <c r="D1118" s="21">
        <v>45728</v>
      </c>
      <c r="E1118" s="21">
        <v>45733</v>
      </c>
      <c r="F1118" s="20" t="s">
        <v>67</v>
      </c>
      <c r="G1118" s="22">
        <v>48.77</v>
      </c>
      <c r="H1118" s="22">
        <v>14.42</v>
      </c>
      <c r="I1118" s="20" t="s">
        <v>45</v>
      </c>
      <c r="J1118" s="20">
        <v>4</v>
      </c>
      <c r="K1118" s="20" t="s">
        <v>46</v>
      </c>
      <c r="L1118" s="23">
        <f t="shared" si="130"/>
        <v>45717</v>
      </c>
      <c r="M1118" s="20">
        <f t="shared" si="131"/>
        <v>9</v>
      </c>
      <c r="N1118" s="20">
        <f t="shared" si="132"/>
        <v>0</v>
      </c>
      <c r="O1118" s="20">
        <f t="shared" si="133"/>
        <v>1</v>
      </c>
      <c r="P1118" s="22">
        <f t="shared" si="134"/>
        <v>63.190000000000005</v>
      </c>
      <c r="Q1118" s="22">
        <f>G1118*INDEX(Assumptions!$B$8:$B$16,MATCH(F1118,Assumptions!$A$8:$A$16,0))</f>
        <v>30.237400000000001</v>
      </c>
      <c r="R1118" s="22">
        <f>H1118*Assumptions!$B$3</f>
        <v>8.6519999999999992</v>
      </c>
      <c r="S1118" s="22">
        <f t="shared" si="135"/>
        <v>9.8806000000000029</v>
      </c>
      <c r="T1118" s="20" t="str">
        <f t="shared" si="136"/>
        <v>8-14 days</v>
      </c>
    </row>
    <row r="1119" spans="1:20" x14ac:dyDescent="0.3">
      <c r="A1119" s="20" t="s">
        <v>1185</v>
      </c>
      <c r="B1119" s="20" t="s">
        <v>103</v>
      </c>
      <c r="C1119" s="21">
        <v>45719</v>
      </c>
      <c r="D1119" s="21">
        <v>45737</v>
      </c>
      <c r="E1119" s="21">
        <v>45742</v>
      </c>
      <c r="F1119" s="20" t="s">
        <v>59</v>
      </c>
      <c r="G1119" s="22">
        <v>204.72</v>
      </c>
      <c r="H1119" s="22">
        <v>33.299999999999997</v>
      </c>
      <c r="I1119" s="20" t="s">
        <v>45</v>
      </c>
      <c r="J1119" s="20">
        <v>5</v>
      </c>
      <c r="K1119" s="20" t="s">
        <v>46</v>
      </c>
      <c r="L1119" s="23">
        <f t="shared" si="130"/>
        <v>45717</v>
      </c>
      <c r="M1119" s="20">
        <f t="shared" si="131"/>
        <v>18</v>
      </c>
      <c r="N1119" s="20">
        <f t="shared" si="132"/>
        <v>0</v>
      </c>
      <c r="O1119" s="20">
        <f t="shared" si="133"/>
        <v>1</v>
      </c>
      <c r="P1119" s="22">
        <f t="shared" si="134"/>
        <v>238.01999999999998</v>
      </c>
      <c r="Q1119" s="22">
        <f>G1119*INDEX(Assumptions!$B$8:$B$16,MATCH(F1119,Assumptions!$A$8:$A$16,0))</f>
        <v>131.02080000000001</v>
      </c>
      <c r="R1119" s="22">
        <f>H1119*Assumptions!$B$3</f>
        <v>19.979999999999997</v>
      </c>
      <c r="S1119" s="22">
        <f t="shared" si="135"/>
        <v>53.719199999999994</v>
      </c>
      <c r="T1119" s="20" t="str">
        <f t="shared" si="136"/>
        <v>15-21 days</v>
      </c>
    </row>
    <row r="1120" spans="1:20" x14ac:dyDescent="0.3">
      <c r="A1120" s="20" t="s">
        <v>1186</v>
      </c>
      <c r="B1120" s="20" t="s">
        <v>134</v>
      </c>
      <c r="C1120" s="21">
        <v>45720</v>
      </c>
      <c r="D1120" s="21">
        <v>45742</v>
      </c>
      <c r="E1120" s="21">
        <v>45746</v>
      </c>
      <c r="F1120" s="20" t="s">
        <v>64</v>
      </c>
      <c r="G1120" s="22">
        <v>73.88</v>
      </c>
      <c r="H1120" s="22">
        <v>23.38</v>
      </c>
      <c r="I1120" s="20" t="s">
        <v>60</v>
      </c>
      <c r="J1120" s="20">
        <v>4</v>
      </c>
      <c r="K1120" s="20" t="s">
        <v>46</v>
      </c>
      <c r="L1120" s="23">
        <f t="shared" si="130"/>
        <v>45717</v>
      </c>
      <c r="M1120" s="20">
        <f t="shared" si="131"/>
        <v>22</v>
      </c>
      <c r="N1120" s="20">
        <f t="shared" si="132"/>
        <v>0</v>
      </c>
      <c r="O1120" s="20">
        <f t="shared" si="133"/>
        <v>1</v>
      </c>
      <c r="P1120" s="22">
        <f t="shared" si="134"/>
        <v>97.259999999999991</v>
      </c>
      <c r="Q1120" s="22">
        <f>G1120*INDEX(Assumptions!$B$8:$B$16,MATCH(F1120,Assumptions!$A$8:$A$16,0))</f>
        <v>48.760799999999996</v>
      </c>
      <c r="R1120" s="22">
        <f>H1120*Assumptions!$B$3</f>
        <v>14.027999999999999</v>
      </c>
      <c r="S1120" s="22">
        <f t="shared" si="135"/>
        <v>11.091200000000001</v>
      </c>
      <c r="T1120" s="20" t="str">
        <f t="shared" si="136"/>
        <v>22+ days</v>
      </c>
    </row>
    <row r="1121" spans="1:20" x14ac:dyDescent="0.3">
      <c r="A1121" s="20" t="s">
        <v>1187</v>
      </c>
      <c r="B1121" s="20" t="s">
        <v>156</v>
      </c>
      <c r="C1121" s="21">
        <v>45720</v>
      </c>
      <c r="D1121" s="21">
        <v>45745</v>
      </c>
      <c r="E1121" s="21">
        <v>45744</v>
      </c>
      <c r="F1121" s="20" t="s">
        <v>79</v>
      </c>
      <c r="G1121" s="22">
        <v>135.94999999999999</v>
      </c>
      <c r="H1121" s="22">
        <v>34.54</v>
      </c>
      <c r="I1121" s="20" t="s">
        <v>45</v>
      </c>
      <c r="J1121" s="20">
        <v>3</v>
      </c>
      <c r="K1121" s="20" t="s">
        <v>46</v>
      </c>
      <c r="L1121" s="23">
        <f t="shared" si="130"/>
        <v>45717</v>
      </c>
      <c r="M1121" s="20">
        <f t="shared" si="131"/>
        <v>25</v>
      </c>
      <c r="N1121" s="20">
        <f t="shared" si="132"/>
        <v>1</v>
      </c>
      <c r="O1121" s="20">
        <f t="shared" si="133"/>
        <v>0</v>
      </c>
      <c r="P1121" s="22">
        <f t="shared" si="134"/>
        <v>170.48999999999998</v>
      </c>
      <c r="Q1121" s="22">
        <f>G1121*INDEX(Assumptions!$B$8:$B$16,MATCH(F1121,Assumptions!$A$8:$A$16,0))</f>
        <v>95.164999999999992</v>
      </c>
      <c r="R1121" s="22">
        <f>H1121*Assumptions!$B$3</f>
        <v>20.724</v>
      </c>
      <c r="S1121" s="22">
        <f t="shared" si="135"/>
        <v>20.060999999999996</v>
      </c>
      <c r="T1121" s="20" t="str">
        <f t="shared" si="136"/>
        <v>22+ days</v>
      </c>
    </row>
    <row r="1122" spans="1:20" x14ac:dyDescent="0.3">
      <c r="A1122" s="20" t="s">
        <v>1188</v>
      </c>
      <c r="B1122" s="20" t="s">
        <v>19</v>
      </c>
      <c r="C1122" s="21">
        <v>45720</v>
      </c>
      <c r="D1122" s="21">
        <v>45726</v>
      </c>
      <c r="E1122" s="21">
        <v>45735</v>
      </c>
      <c r="F1122" s="20" t="s">
        <v>79</v>
      </c>
      <c r="G1122" s="22">
        <v>129.80000000000001</v>
      </c>
      <c r="H1122" s="22">
        <v>19.3</v>
      </c>
      <c r="I1122" s="20" t="s">
        <v>60</v>
      </c>
      <c r="J1122" s="20">
        <v>4</v>
      </c>
      <c r="K1122" s="20" t="s">
        <v>46</v>
      </c>
      <c r="L1122" s="23">
        <f t="shared" si="130"/>
        <v>45717</v>
      </c>
      <c r="M1122" s="20">
        <f t="shared" si="131"/>
        <v>6</v>
      </c>
      <c r="N1122" s="20">
        <f t="shared" si="132"/>
        <v>0</v>
      </c>
      <c r="O1122" s="20">
        <f t="shared" si="133"/>
        <v>1</v>
      </c>
      <c r="P1122" s="22">
        <f t="shared" si="134"/>
        <v>149.10000000000002</v>
      </c>
      <c r="Q1122" s="22">
        <f>G1122*INDEX(Assumptions!$B$8:$B$16,MATCH(F1122,Assumptions!$A$8:$A$16,0))</f>
        <v>90.86</v>
      </c>
      <c r="R1122" s="22">
        <f>H1122*Assumptions!$B$3</f>
        <v>11.58</v>
      </c>
      <c r="S1122" s="22">
        <f t="shared" si="135"/>
        <v>27.360000000000014</v>
      </c>
      <c r="T1122" s="20" t="str">
        <f t="shared" si="136"/>
        <v>0-7 days</v>
      </c>
    </row>
    <row r="1123" spans="1:20" x14ac:dyDescent="0.3">
      <c r="A1123" s="20" t="s">
        <v>1189</v>
      </c>
      <c r="B1123" s="20" t="s">
        <v>19</v>
      </c>
      <c r="C1123" s="21">
        <v>45720</v>
      </c>
      <c r="D1123" s="21">
        <v>45734</v>
      </c>
      <c r="E1123" s="21">
        <v>45739</v>
      </c>
      <c r="F1123" s="20" t="s">
        <v>44</v>
      </c>
      <c r="G1123" s="22">
        <v>46.76</v>
      </c>
      <c r="H1123" s="22">
        <v>21.81</v>
      </c>
      <c r="I1123" s="20" t="s">
        <v>45</v>
      </c>
      <c r="J1123" s="20">
        <v>4</v>
      </c>
      <c r="K1123" s="20" t="s">
        <v>46</v>
      </c>
      <c r="L1123" s="23">
        <f t="shared" si="130"/>
        <v>45717</v>
      </c>
      <c r="M1123" s="20">
        <f t="shared" si="131"/>
        <v>14</v>
      </c>
      <c r="N1123" s="20">
        <f t="shared" si="132"/>
        <v>0</v>
      </c>
      <c r="O1123" s="20">
        <f t="shared" si="133"/>
        <v>1</v>
      </c>
      <c r="P1123" s="22">
        <f t="shared" si="134"/>
        <v>68.569999999999993</v>
      </c>
      <c r="Q1123" s="22">
        <f>G1123*INDEX(Assumptions!$B$8:$B$16,MATCH(F1123,Assumptions!$A$8:$A$16,0))</f>
        <v>28.055999999999997</v>
      </c>
      <c r="R1123" s="22">
        <f>H1123*Assumptions!$B$3</f>
        <v>13.085999999999999</v>
      </c>
      <c r="S1123" s="22">
        <f t="shared" si="135"/>
        <v>5.6180000000000021</v>
      </c>
      <c r="T1123" s="20" t="str">
        <f t="shared" si="136"/>
        <v>8-14 days</v>
      </c>
    </row>
    <row r="1124" spans="1:20" x14ac:dyDescent="0.3">
      <c r="A1124" s="20" t="s">
        <v>1190</v>
      </c>
      <c r="B1124" s="20" t="s">
        <v>19</v>
      </c>
      <c r="C1124" s="21">
        <v>45720</v>
      </c>
      <c r="D1124" s="21">
        <v>45727</v>
      </c>
      <c r="E1124" s="21">
        <v>45738</v>
      </c>
      <c r="F1124" s="20" t="s">
        <v>49</v>
      </c>
      <c r="G1124" s="22">
        <v>122.46</v>
      </c>
      <c r="H1124" s="22">
        <v>16.45</v>
      </c>
      <c r="I1124" s="20" t="s">
        <v>50</v>
      </c>
      <c r="J1124" s="20">
        <v>4</v>
      </c>
      <c r="K1124" s="20" t="s">
        <v>46</v>
      </c>
      <c r="L1124" s="23">
        <f t="shared" si="130"/>
        <v>45717</v>
      </c>
      <c r="M1124" s="20">
        <f t="shared" si="131"/>
        <v>7</v>
      </c>
      <c r="N1124" s="20">
        <f t="shared" si="132"/>
        <v>0</v>
      </c>
      <c r="O1124" s="20">
        <f t="shared" si="133"/>
        <v>1</v>
      </c>
      <c r="P1124" s="22">
        <f t="shared" si="134"/>
        <v>138.91</v>
      </c>
      <c r="Q1124" s="22">
        <f>G1124*INDEX(Assumptions!$B$8:$B$16,MATCH(F1124,Assumptions!$A$8:$A$16,0))</f>
        <v>71.026799999999994</v>
      </c>
      <c r="R1124" s="22">
        <f>H1124*Assumptions!$B$3</f>
        <v>9.8699999999999992</v>
      </c>
      <c r="S1124" s="22">
        <f t="shared" si="135"/>
        <v>41.563200000000002</v>
      </c>
      <c r="T1124" s="20" t="str">
        <f t="shared" si="136"/>
        <v>0-7 days</v>
      </c>
    </row>
    <row r="1125" spans="1:20" x14ac:dyDescent="0.3">
      <c r="A1125" s="20" t="s">
        <v>1191</v>
      </c>
      <c r="B1125" s="20" t="s">
        <v>19</v>
      </c>
      <c r="C1125" s="21">
        <v>45720</v>
      </c>
      <c r="D1125" s="21">
        <v>45730</v>
      </c>
      <c r="E1125" s="21">
        <v>45734</v>
      </c>
      <c r="F1125" s="20" t="s">
        <v>57</v>
      </c>
      <c r="G1125" s="22">
        <v>140.05000000000001</v>
      </c>
      <c r="H1125" s="22">
        <v>13.6</v>
      </c>
      <c r="I1125" s="20" t="s">
        <v>45</v>
      </c>
      <c r="J1125" s="20">
        <v>5</v>
      </c>
      <c r="K1125" s="20" t="s">
        <v>46</v>
      </c>
      <c r="L1125" s="23">
        <f t="shared" si="130"/>
        <v>45717</v>
      </c>
      <c r="M1125" s="20">
        <f t="shared" si="131"/>
        <v>10</v>
      </c>
      <c r="N1125" s="20">
        <f t="shared" si="132"/>
        <v>0</v>
      </c>
      <c r="O1125" s="20">
        <f t="shared" si="133"/>
        <v>1</v>
      </c>
      <c r="P1125" s="22">
        <f t="shared" si="134"/>
        <v>153.65</v>
      </c>
      <c r="Q1125" s="22">
        <f>G1125*INDEX(Assumptions!$B$8:$B$16,MATCH(F1125,Assumptions!$A$8:$A$16,0))</f>
        <v>95.234000000000009</v>
      </c>
      <c r="R1125" s="22">
        <f>H1125*Assumptions!$B$3</f>
        <v>8.16</v>
      </c>
      <c r="S1125" s="22">
        <f t="shared" si="135"/>
        <v>36.656000000000006</v>
      </c>
      <c r="T1125" s="20" t="str">
        <f t="shared" si="136"/>
        <v>8-14 days</v>
      </c>
    </row>
    <row r="1126" spans="1:20" x14ac:dyDescent="0.3">
      <c r="A1126" s="20" t="s">
        <v>1192</v>
      </c>
      <c r="B1126" s="20" t="s">
        <v>174</v>
      </c>
      <c r="C1126" s="21">
        <v>45720</v>
      </c>
      <c r="D1126" s="21">
        <v>45758</v>
      </c>
      <c r="E1126" s="21">
        <v>45752</v>
      </c>
      <c r="F1126" s="20" t="s">
        <v>59</v>
      </c>
      <c r="G1126" s="22">
        <v>36.86</v>
      </c>
      <c r="H1126" s="22">
        <v>40.79</v>
      </c>
      <c r="I1126" s="20" t="s">
        <v>45</v>
      </c>
      <c r="J1126" s="20">
        <v>2</v>
      </c>
      <c r="K1126" s="20" t="s">
        <v>46</v>
      </c>
      <c r="L1126" s="23">
        <f t="shared" si="130"/>
        <v>45717</v>
      </c>
      <c r="M1126" s="20">
        <f t="shared" si="131"/>
        <v>38</v>
      </c>
      <c r="N1126" s="20">
        <f t="shared" si="132"/>
        <v>6</v>
      </c>
      <c r="O1126" s="20">
        <f t="shared" si="133"/>
        <v>0</v>
      </c>
      <c r="P1126" s="22">
        <f t="shared" si="134"/>
        <v>77.650000000000006</v>
      </c>
      <c r="Q1126" s="22">
        <f>G1126*INDEX(Assumptions!$B$8:$B$16,MATCH(F1126,Assumptions!$A$8:$A$16,0))</f>
        <v>23.590399999999999</v>
      </c>
      <c r="R1126" s="22">
        <f>H1126*Assumptions!$B$3</f>
        <v>24.474</v>
      </c>
      <c r="S1126" s="22">
        <f t="shared" si="135"/>
        <v>-11.2044</v>
      </c>
      <c r="T1126" s="20" t="str">
        <f t="shared" si="136"/>
        <v>22+ days</v>
      </c>
    </row>
    <row r="1127" spans="1:20" x14ac:dyDescent="0.3">
      <c r="A1127" s="20" t="s">
        <v>1193</v>
      </c>
      <c r="B1127" s="20" t="s">
        <v>156</v>
      </c>
      <c r="C1127" s="21">
        <v>45720</v>
      </c>
      <c r="D1127" s="21">
        <v>45733</v>
      </c>
      <c r="E1127" s="21">
        <v>45744</v>
      </c>
      <c r="F1127" s="20" t="s">
        <v>67</v>
      </c>
      <c r="G1127" s="22">
        <v>128.79</v>
      </c>
      <c r="H1127" s="22">
        <v>25.45</v>
      </c>
      <c r="I1127" s="20" t="s">
        <v>45</v>
      </c>
      <c r="J1127" s="20">
        <v>3</v>
      </c>
      <c r="K1127" s="20" t="s">
        <v>46</v>
      </c>
      <c r="L1127" s="23">
        <f t="shared" si="130"/>
        <v>45717</v>
      </c>
      <c r="M1127" s="20">
        <f t="shared" si="131"/>
        <v>13</v>
      </c>
      <c r="N1127" s="20">
        <f t="shared" si="132"/>
        <v>0</v>
      </c>
      <c r="O1127" s="20">
        <f t="shared" si="133"/>
        <v>1</v>
      </c>
      <c r="P1127" s="22">
        <f t="shared" si="134"/>
        <v>154.23999999999998</v>
      </c>
      <c r="Q1127" s="22">
        <f>G1127*INDEX(Assumptions!$B$8:$B$16,MATCH(F1127,Assumptions!$A$8:$A$16,0))</f>
        <v>79.849799999999988</v>
      </c>
      <c r="R1127" s="22">
        <f>H1127*Assumptions!$B$3</f>
        <v>15.27</v>
      </c>
      <c r="S1127" s="22">
        <f t="shared" si="135"/>
        <v>33.670200000000008</v>
      </c>
      <c r="T1127" s="20" t="str">
        <f t="shared" si="136"/>
        <v>8-14 days</v>
      </c>
    </row>
    <row r="1128" spans="1:20" x14ac:dyDescent="0.3">
      <c r="A1128" s="20" t="s">
        <v>1194</v>
      </c>
      <c r="B1128" s="20" t="s">
        <v>134</v>
      </c>
      <c r="C1128" s="21">
        <v>45721</v>
      </c>
      <c r="D1128" s="21">
        <v>45736</v>
      </c>
      <c r="E1128" s="21">
        <v>45744</v>
      </c>
      <c r="F1128" s="20" t="s">
        <v>57</v>
      </c>
      <c r="G1128" s="22">
        <v>86.7</v>
      </c>
      <c r="H1128" s="22">
        <v>18.940000000000001</v>
      </c>
      <c r="I1128" s="20" t="s">
        <v>60</v>
      </c>
      <c r="J1128" s="20">
        <v>3</v>
      </c>
      <c r="K1128" s="20" t="s">
        <v>46</v>
      </c>
      <c r="L1128" s="23">
        <f t="shared" si="130"/>
        <v>45717</v>
      </c>
      <c r="M1128" s="20">
        <f t="shared" si="131"/>
        <v>15</v>
      </c>
      <c r="N1128" s="20">
        <f t="shared" si="132"/>
        <v>0</v>
      </c>
      <c r="O1128" s="20">
        <f t="shared" si="133"/>
        <v>1</v>
      </c>
      <c r="P1128" s="22">
        <f t="shared" si="134"/>
        <v>105.64</v>
      </c>
      <c r="Q1128" s="22">
        <f>G1128*INDEX(Assumptions!$B$8:$B$16,MATCH(F1128,Assumptions!$A$8:$A$16,0))</f>
        <v>58.956000000000003</v>
      </c>
      <c r="R1128" s="22">
        <f>H1128*Assumptions!$B$3</f>
        <v>11.364000000000001</v>
      </c>
      <c r="S1128" s="22">
        <f t="shared" si="135"/>
        <v>16.38</v>
      </c>
      <c r="T1128" s="20" t="str">
        <f t="shared" si="136"/>
        <v>15-21 days</v>
      </c>
    </row>
    <row r="1129" spans="1:20" x14ac:dyDescent="0.3">
      <c r="A1129" s="20" t="s">
        <v>1195</v>
      </c>
      <c r="B1129" s="20" t="s">
        <v>62</v>
      </c>
      <c r="C1129" s="21">
        <v>45721</v>
      </c>
      <c r="D1129" s="21">
        <v>45731</v>
      </c>
      <c r="E1129" s="21">
        <v>45741</v>
      </c>
      <c r="F1129" s="20" t="s">
        <v>49</v>
      </c>
      <c r="G1129" s="22">
        <v>97.15</v>
      </c>
      <c r="H1129" s="22">
        <v>23.17</v>
      </c>
      <c r="I1129" s="20" t="s">
        <v>45</v>
      </c>
      <c r="J1129" s="20">
        <v>5</v>
      </c>
      <c r="K1129" s="20" t="s">
        <v>46</v>
      </c>
      <c r="L1129" s="23">
        <f t="shared" si="130"/>
        <v>45717</v>
      </c>
      <c r="M1129" s="20">
        <f t="shared" si="131"/>
        <v>10</v>
      </c>
      <c r="N1129" s="20">
        <f t="shared" si="132"/>
        <v>0</v>
      </c>
      <c r="O1129" s="20">
        <f t="shared" si="133"/>
        <v>1</v>
      </c>
      <c r="P1129" s="22">
        <f t="shared" si="134"/>
        <v>120.32000000000001</v>
      </c>
      <c r="Q1129" s="22">
        <f>G1129*INDEX(Assumptions!$B$8:$B$16,MATCH(F1129,Assumptions!$A$8:$A$16,0))</f>
        <v>56.347000000000001</v>
      </c>
      <c r="R1129" s="22">
        <f>H1129*Assumptions!$B$3</f>
        <v>13.902000000000001</v>
      </c>
      <c r="S1129" s="22">
        <f t="shared" si="135"/>
        <v>26.901000000000003</v>
      </c>
      <c r="T1129" s="20" t="str">
        <f t="shared" si="136"/>
        <v>8-14 days</v>
      </c>
    </row>
    <row r="1130" spans="1:20" x14ac:dyDescent="0.3">
      <c r="A1130" s="20" t="s">
        <v>1196</v>
      </c>
      <c r="B1130" s="20" t="s">
        <v>55</v>
      </c>
      <c r="C1130" s="21">
        <v>45721</v>
      </c>
      <c r="D1130" s="21">
        <v>45742</v>
      </c>
      <c r="E1130" s="21">
        <v>45744</v>
      </c>
      <c r="F1130" s="20" t="s">
        <v>67</v>
      </c>
      <c r="G1130" s="22">
        <v>235.21</v>
      </c>
      <c r="H1130" s="22">
        <v>25.7</v>
      </c>
      <c r="I1130" s="20" t="s">
        <v>45</v>
      </c>
      <c r="J1130" s="20">
        <v>3</v>
      </c>
      <c r="K1130" s="20" t="s">
        <v>46</v>
      </c>
      <c r="L1130" s="23">
        <f t="shared" si="130"/>
        <v>45717</v>
      </c>
      <c r="M1130" s="20">
        <f t="shared" si="131"/>
        <v>21</v>
      </c>
      <c r="N1130" s="20">
        <f t="shared" si="132"/>
        <v>0</v>
      </c>
      <c r="O1130" s="20">
        <f t="shared" si="133"/>
        <v>1</v>
      </c>
      <c r="P1130" s="22">
        <f t="shared" si="134"/>
        <v>260.91000000000003</v>
      </c>
      <c r="Q1130" s="22">
        <f>G1130*INDEX(Assumptions!$B$8:$B$16,MATCH(F1130,Assumptions!$A$8:$A$16,0))</f>
        <v>145.83019999999999</v>
      </c>
      <c r="R1130" s="22">
        <f>H1130*Assumptions!$B$3</f>
        <v>15.419999999999998</v>
      </c>
      <c r="S1130" s="22">
        <f t="shared" si="135"/>
        <v>73.959800000000016</v>
      </c>
      <c r="T1130" s="20" t="str">
        <f t="shared" si="136"/>
        <v>15-21 days</v>
      </c>
    </row>
    <row r="1131" spans="1:20" x14ac:dyDescent="0.3">
      <c r="A1131" s="20" t="s">
        <v>1197</v>
      </c>
      <c r="B1131" s="20" t="s">
        <v>19</v>
      </c>
      <c r="C1131" s="21">
        <v>45721</v>
      </c>
      <c r="D1131" s="21">
        <v>45725</v>
      </c>
      <c r="E1131" s="21">
        <v>45735</v>
      </c>
      <c r="F1131" s="20" t="s">
        <v>49</v>
      </c>
      <c r="G1131" s="22">
        <v>40.4</v>
      </c>
      <c r="H1131" s="22">
        <v>17.649999999999999</v>
      </c>
      <c r="I1131" s="20" t="s">
        <v>45</v>
      </c>
      <c r="J1131" s="20">
        <v>5</v>
      </c>
      <c r="K1131" s="20" t="s">
        <v>46</v>
      </c>
      <c r="L1131" s="23">
        <f t="shared" si="130"/>
        <v>45717</v>
      </c>
      <c r="M1131" s="20">
        <f t="shared" si="131"/>
        <v>4</v>
      </c>
      <c r="N1131" s="20">
        <f t="shared" si="132"/>
        <v>0</v>
      </c>
      <c r="O1131" s="20">
        <f t="shared" si="133"/>
        <v>1</v>
      </c>
      <c r="P1131" s="22">
        <f t="shared" si="134"/>
        <v>58.05</v>
      </c>
      <c r="Q1131" s="22">
        <f>G1131*INDEX(Assumptions!$B$8:$B$16,MATCH(F1131,Assumptions!$A$8:$A$16,0))</f>
        <v>23.431999999999999</v>
      </c>
      <c r="R1131" s="22">
        <f>H1131*Assumptions!$B$3</f>
        <v>10.589999999999998</v>
      </c>
      <c r="S1131" s="22">
        <f t="shared" si="135"/>
        <v>6.3780000000000019</v>
      </c>
      <c r="T1131" s="20" t="str">
        <f t="shared" si="136"/>
        <v>0-7 days</v>
      </c>
    </row>
    <row r="1132" spans="1:20" x14ac:dyDescent="0.3">
      <c r="A1132" s="20" t="s">
        <v>1198</v>
      </c>
      <c r="B1132" s="20" t="s">
        <v>62</v>
      </c>
      <c r="C1132" s="21">
        <v>45722</v>
      </c>
      <c r="D1132" s="21">
        <v>45735</v>
      </c>
      <c r="E1132" s="21">
        <v>45743</v>
      </c>
      <c r="F1132" s="20" t="s">
        <v>79</v>
      </c>
      <c r="G1132" s="22">
        <v>146.18</v>
      </c>
      <c r="H1132" s="22">
        <v>23.55</v>
      </c>
      <c r="I1132" s="20" t="s">
        <v>45</v>
      </c>
      <c r="J1132" s="20">
        <v>5</v>
      </c>
      <c r="K1132" s="20" t="s">
        <v>46</v>
      </c>
      <c r="L1132" s="23">
        <f t="shared" si="130"/>
        <v>45717</v>
      </c>
      <c r="M1132" s="20">
        <f t="shared" si="131"/>
        <v>13</v>
      </c>
      <c r="N1132" s="20">
        <f t="shared" si="132"/>
        <v>0</v>
      </c>
      <c r="O1132" s="20">
        <f t="shared" si="133"/>
        <v>1</v>
      </c>
      <c r="P1132" s="22">
        <f t="shared" si="134"/>
        <v>169.73000000000002</v>
      </c>
      <c r="Q1132" s="22">
        <f>G1132*INDEX(Assumptions!$B$8:$B$16,MATCH(F1132,Assumptions!$A$8:$A$16,0))</f>
        <v>102.32599999999999</v>
      </c>
      <c r="R1132" s="22">
        <f>H1132*Assumptions!$B$3</f>
        <v>14.13</v>
      </c>
      <c r="S1132" s="22">
        <f t="shared" si="135"/>
        <v>29.724000000000011</v>
      </c>
      <c r="T1132" s="20" t="str">
        <f t="shared" si="136"/>
        <v>8-14 days</v>
      </c>
    </row>
    <row r="1133" spans="1:20" x14ac:dyDescent="0.3">
      <c r="A1133" s="20" t="s">
        <v>1199</v>
      </c>
      <c r="B1133" s="20" t="s">
        <v>103</v>
      </c>
      <c r="C1133" s="21">
        <v>45722</v>
      </c>
      <c r="D1133" s="21">
        <v>45729</v>
      </c>
      <c r="E1133" s="21">
        <v>45743</v>
      </c>
      <c r="F1133" s="20" t="s">
        <v>49</v>
      </c>
      <c r="G1133" s="22">
        <v>68.599999999999994</v>
      </c>
      <c r="H1133" s="22">
        <v>20.85</v>
      </c>
      <c r="I1133" s="20" t="s">
        <v>45</v>
      </c>
      <c r="J1133" s="20">
        <v>4</v>
      </c>
      <c r="K1133" s="20" t="s">
        <v>46</v>
      </c>
      <c r="L1133" s="23">
        <f t="shared" si="130"/>
        <v>45717</v>
      </c>
      <c r="M1133" s="20">
        <f t="shared" si="131"/>
        <v>7</v>
      </c>
      <c r="N1133" s="20">
        <f t="shared" si="132"/>
        <v>0</v>
      </c>
      <c r="O1133" s="20">
        <f t="shared" si="133"/>
        <v>1</v>
      </c>
      <c r="P1133" s="22">
        <f t="shared" si="134"/>
        <v>89.449999999999989</v>
      </c>
      <c r="Q1133" s="22">
        <f>G1133*INDEX(Assumptions!$B$8:$B$16,MATCH(F1133,Assumptions!$A$8:$A$16,0))</f>
        <v>39.787999999999997</v>
      </c>
      <c r="R1133" s="22">
        <f>H1133*Assumptions!$B$3</f>
        <v>12.51</v>
      </c>
      <c r="S1133" s="22">
        <f t="shared" si="135"/>
        <v>16.302</v>
      </c>
      <c r="T1133" s="20" t="str">
        <f t="shared" si="136"/>
        <v>0-7 days</v>
      </c>
    </row>
    <row r="1134" spans="1:20" x14ac:dyDescent="0.3">
      <c r="A1134" s="20" t="s">
        <v>1200</v>
      </c>
      <c r="B1134" s="20" t="s">
        <v>156</v>
      </c>
      <c r="C1134" s="21">
        <v>45722</v>
      </c>
      <c r="D1134" s="21">
        <v>45741</v>
      </c>
      <c r="E1134" s="21">
        <v>45744</v>
      </c>
      <c r="F1134" s="20" t="s">
        <v>67</v>
      </c>
      <c r="G1134" s="22">
        <v>59</v>
      </c>
      <c r="H1134" s="22">
        <v>19.920000000000002</v>
      </c>
      <c r="I1134" s="20" t="s">
        <v>45</v>
      </c>
      <c r="J1134" s="20">
        <v>4</v>
      </c>
      <c r="K1134" s="20" t="s">
        <v>46</v>
      </c>
      <c r="L1134" s="23">
        <f t="shared" si="130"/>
        <v>45717</v>
      </c>
      <c r="M1134" s="20">
        <f t="shared" si="131"/>
        <v>19</v>
      </c>
      <c r="N1134" s="20">
        <f t="shared" si="132"/>
        <v>0</v>
      </c>
      <c r="O1134" s="20">
        <f t="shared" si="133"/>
        <v>1</v>
      </c>
      <c r="P1134" s="22">
        <f t="shared" si="134"/>
        <v>78.92</v>
      </c>
      <c r="Q1134" s="22">
        <f>G1134*INDEX(Assumptions!$B$8:$B$16,MATCH(F1134,Assumptions!$A$8:$A$16,0))</f>
        <v>36.58</v>
      </c>
      <c r="R1134" s="22">
        <f>H1134*Assumptions!$B$3</f>
        <v>11.952</v>
      </c>
      <c r="S1134" s="22">
        <f t="shared" si="135"/>
        <v>10.468000000000002</v>
      </c>
      <c r="T1134" s="20" t="str">
        <f t="shared" si="136"/>
        <v>15-21 days</v>
      </c>
    </row>
    <row r="1135" spans="1:20" x14ac:dyDescent="0.3">
      <c r="A1135" s="20" t="s">
        <v>1201</v>
      </c>
      <c r="B1135" s="20" t="s">
        <v>19</v>
      </c>
      <c r="C1135" s="21">
        <v>45722</v>
      </c>
      <c r="D1135" s="21">
        <v>45727</v>
      </c>
      <c r="E1135" s="21">
        <v>45740</v>
      </c>
      <c r="F1135" s="20" t="s">
        <v>64</v>
      </c>
      <c r="G1135" s="22">
        <v>158.30000000000001</v>
      </c>
      <c r="H1135" s="22">
        <v>17.760000000000002</v>
      </c>
      <c r="I1135" s="20" t="s">
        <v>45</v>
      </c>
      <c r="J1135" s="20">
        <v>5</v>
      </c>
      <c r="K1135" s="20" t="s">
        <v>46</v>
      </c>
      <c r="L1135" s="23">
        <f t="shared" si="130"/>
        <v>45717</v>
      </c>
      <c r="M1135" s="20">
        <f t="shared" si="131"/>
        <v>5</v>
      </c>
      <c r="N1135" s="20">
        <f t="shared" si="132"/>
        <v>0</v>
      </c>
      <c r="O1135" s="20">
        <f t="shared" si="133"/>
        <v>1</v>
      </c>
      <c r="P1135" s="22">
        <f t="shared" si="134"/>
        <v>176.06</v>
      </c>
      <c r="Q1135" s="22">
        <f>G1135*INDEX(Assumptions!$B$8:$B$16,MATCH(F1135,Assumptions!$A$8:$A$16,0))</f>
        <v>104.47800000000001</v>
      </c>
      <c r="R1135" s="22">
        <f>H1135*Assumptions!$B$3</f>
        <v>10.656000000000001</v>
      </c>
      <c r="S1135" s="22">
        <f t="shared" si="135"/>
        <v>43.166000000000004</v>
      </c>
      <c r="T1135" s="20" t="str">
        <f t="shared" si="136"/>
        <v>0-7 days</v>
      </c>
    </row>
    <row r="1136" spans="1:20" x14ac:dyDescent="0.3">
      <c r="A1136" s="20" t="s">
        <v>1202</v>
      </c>
      <c r="B1136" s="20" t="s">
        <v>62</v>
      </c>
      <c r="C1136" s="21">
        <v>45722</v>
      </c>
      <c r="D1136" s="21">
        <v>45731</v>
      </c>
      <c r="E1136" s="21">
        <v>45745</v>
      </c>
      <c r="F1136" s="20" t="s">
        <v>79</v>
      </c>
      <c r="G1136" s="22">
        <v>147.36000000000001</v>
      </c>
      <c r="H1136" s="22">
        <v>23.42</v>
      </c>
      <c r="I1136" s="20" t="s">
        <v>45</v>
      </c>
      <c r="J1136" s="20">
        <v>5</v>
      </c>
      <c r="K1136" s="20" t="s">
        <v>46</v>
      </c>
      <c r="L1136" s="23">
        <f t="shared" si="130"/>
        <v>45717</v>
      </c>
      <c r="M1136" s="20">
        <f t="shared" si="131"/>
        <v>9</v>
      </c>
      <c r="N1136" s="20">
        <f t="shared" si="132"/>
        <v>0</v>
      </c>
      <c r="O1136" s="20">
        <f t="shared" si="133"/>
        <v>1</v>
      </c>
      <c r="P1136" s="22">
        <f t="shared" si="134"/>
        <v>170.78000000000003</v>
      </c>
      <c r="Q1136" s="22">
        <f>G1136*INDEX(Assumptions!$B$8:$B$16,MATCH(F1136,Assumptions!$A$8:$A$16,0))</f>
        <v>103.152</v>
      </c>
      <c r="R1136" s="22">
        <f>H1136*Assumptions!$B$3</f>
        <v>14.052000000000001</v>
      </c>
      <c r="S1136" s="22">
        <f t="shared" si="135"/>
        <v>30.156000000000013</v>
      </c>
      <c r="T1136" s="20" t="str">
        <f t="shared" si="136"/>
        <v>8-14 days</v>
      </c>
    </row>
    <row r="1137" spans="1:20" x14ac:dyDescent="0.3">
      <c r="A1137" s="20" t="s">
        <v>1203</v>
      </c>
      <c r="B1137" s="20" t="s">
        <v>134</v>
      </c>
      <c r="C1137" s="21">
        <v>45722</v>
      </c>
      <c r="D1137" s="21">
        <v>45735</v>
      </c>
      <c r="E1137" s="21">
        <v>45748</v>
      </c>
      <c r="F1137" s="20" t="s">
        <v>53</v>
      </c>
      <c r="G1137" s="22">
        <v>204.73</v>
      </c>
      <c r="H1137" s="22">
        <v>33.090000000000003</v>
      </c>
      <c r="I1137" s="20" t="s">
        <v>50</v>
      </c>
      <c r="J1137" s="20">
        <v>5</v>
      </c>
      <c r="K1137" s="20" t="s">
        <v>46</v>
      </c>
      <c r="L1137" s="23">
        <f t="shared" si="130"/>
        <v>45717</v>
      </c>
      <c r="M1137" s="20">
        <f t="shared" si="131"/>
        <v>13</v>
      </c>
      <c r="N1137" s="20">
        <f t="shared" si="132"/>
        <v>0</v>
      </c>
      <c r="O1137" s="20">
        <f t="shared" si="133"/>
        <v>1</v>
      </c>
      <c r="P1137" s="22">
        <f t="shared" si="134"/>
        <v>237.82</v>
      </c>
      <c r="Q1137" s="22">
        <f>G1137*INDEX(Assumptions!$B$8:$B$16,MATCH(F1137,Assumptions!$A$8:$A$16,0))</f>
        <v>151.50019999999998</v>
      </c>
      <c r="R1137" s="22">
        <f>H1137*Assumptions!$B$3</f>
        <v>19.854000000000003</v>
      </c>
      <c r="S1137" s="22">
        <f t="shared" si="135"/>
        <v>33.375800000000012</v>
      </c>
      <c r="T1137" s="20" t="str">
        <f t="shared" si="136"/>
        <v>8-14 days</v>
      </c>
    </row>
    <row r="1138" spans="1:20" x14ac:dyDescent="0.3">
      <c r="A1138" s="20" t="s">
        <v>1204</v>
      </c>
      <c r="B1138" s="20" t="s">
        <v>62</v>
      </c>
      <c r="C1138" s="21">
        <v>45722</v>
      </c>
      <c r="D1138" s="21">
        <v>45731</v>
      </c>
      <c r="E1138" s="21">
        <v>45745</v>
      </c>
      <c r="F1138" s="20" t="s">
        <v>64</v>
      </c>
      <c r="G1138" s="22">
        <v>80.510000000000005</v>
      </c>
      <c r="H1138" s="22">
        <v>20.34</v>
      </c>
      <c r="I1138" s="20" t="s">
        <v>45</v>
      </c>
      <c r="J1138" s="20">
        <v>4</v>
      </c>
      <c r="K1138" s="20" t="s">
        <v>46</v>
      </c>
      <c r="L1138" s="23">
        <f t="shared" si="130"/>
        <v>45717</v>
      </c>
      <c r="M1138" s="20">
        <f t="shared" si="131"/>
        <v>9</v>
      </c>
      <c r="N1138" s="20">
        <f t="shared" si="132"/>
        <v>0</v>
      </c>
      <c r="O1138" s="20">
        <f t="shared" si="133"/>
        <v>1</v>
      </c>
      <c r="P1138" s="22">
        <f t="shared" si="134"/>
        <v>100.85000000000001</v>
      </c>
      <c r="Q1138" s="22">
        <f>G1138*INDEX(Assumptions!$B$8:$B$16,MATCH(F1138,Assumptions!$A$8:$A$16,0))</f>
        <v>53.136600000000008</v>
      </c>
      <c r="R1138" s="22">
        <f>H1138*Assumptions!$B$3</f>
        <v>12.203999999999999</v>
      </c>
      <c r="S1138" s="22">
        <f t="shared" si="135"/>
        <v>15.169399999999998</v>
      </c>
      <c r="T1138" s="20" t="str">
        <f t="shared" si="136"/>
        <v>8-14 days</v>
      </c>
    </row>
    <row r="1139" spans="1:20" x14ac:dyDescent="0.3">
      <c r="A1139" s="20" t="s">
        <v>1205</v>
      </c>
      <c r="B1139" s="20" t="s">
        <v>62</v>
      </c>
      <c r="C1139" s="21">
        <v>45723</v>
      </c>
      <c r="D1139" s="21">
        <v>45746</v>
      </c>
      <c r="E1139" s="21">
        <v>45744</v>
      </c>
      <c r="F1139" s="20" t="s">
        <v>67</v>
      </c>
      <c r="G1139" s="22">
        <v>77.209999999999994</v>
      </c>
      <c r="H1139" s="22">
        <v>22.24</v>
      </c>
      <c r="I1139" s="20" t="s">
        <v>60</v>
      </c>
      <c r="J1139" s="20">
        <v>3</v>
      </c>
      <c r="K1139" s="20" t="s">
        <v>46</v>
      </c>
      <c r="L1139" s="23">
        <f t="shared" si="130"/>
        <v>45717</v>
      </c>
      <c r="M1139" s="20">
        <f t="shared" si="131"/>
        <v>23</v>
      </c>
      <c r="N1139" s="20">
        <f t="shared" si="132"/>
        <v>2</v>
      </c>
      <c r="O1139" s="20">
        <f t="shared" si="133"/>
        <v>0</v>
      </c>
      <c r="P1139" s="22">
        <f t="shared" si="134"/>
        <v>99.449999999999989</v>
      </c>
      <c r="Q1139" s="22">
        <f>G1139*INDEX(Assumptions!$B$8:$B$16,MATCH(F1139,Assumptions!$A$8:$A$16,0))</f>
        <v>47.870199999999997</v>
      </c>
      <c r="R1139" s="22">
        <f>H1139*Assumptions!$B$3</f>
        <v>13.343999999999999</v>
      </c>
      <c r="S1139" s="22">
        <f t="shared" si="135"/>
        <v>15.995799999999997</v>
      </c>
      <c r="T1139" s="20" t="str">
        <f t="shared" si="136"/>
        <v>22+ days</v>
      </c>
    </row>
    <row r="1140" spans="1:20" x14ac:dyDescent="0.3">
      <c r="A1140" s="20" t="s">
        <v>1206</v>
      </c>
      <c r="B1140" s="20" t="s">
        <v>19</v>
      </c>
      <c r="C1140" s="21">
        <v>45723</v>
      </c>
      <c r="D1140" s="21">
        <v>45729</v>
      </c>
      <c r="E1140" s="21">
        <v>45738</v>
      </c>
      <c r="F1140" s="20" t="s">
        <v>53</v>
      </c>
      <c r="G1140" s="22">
        <v>132.32</v>
      </c>
      <c r="H1140" s="22">
        <v>22.51</v>
      </c>
      <c r="I1140" s="20" t="s">
        <v>45</v>
      </c>
      <c r="J1140" s="20">
        <v>4</v>
      </c>
      <c r="K1140" s="20" t="s">
        <v>46</v>
      </c>
      <c r="L1140" s="23">
        <f t="shared" si="130"/>
        <v>45717</v>
      </c>
      <c r="M1140" s="20">
        <f t="shared" si="131"/>
        <v>6</v>
      </c>
      <c r="N1140" s="20">
        <f t="shared" si="132"/>
        <v>0</v>
      </c>
      <c r="O1140" s="20">
        <f t="shared" si="133"/>
        <v>1</v>
      </c>
      <c r="P1140" s="22">
        <f t="shared" si="134"/>
        <v>154.82999999999998</v>
      </c>
      <c r="Q1140" s="22">
        <f>G1140*INDEX(Assumptions!$B$8:$B$16,MATCH(F1140,Assumptions!$A$8:$A$16,0))</f>
        <v>97.916799999999995</v>
      </c>
      <c r="R1140" s="22">
        <f>H1140*Assumptions!$B$3</f>
        <v>13.506</v>
      </c>
      <c r="S1140" s="22">
        <f t="shared" si="135"/>
        <v>20.897199999999998</v>
      </c>
      <c r="T1140" s="20" t="str">
        <f t="shared" si="136"/>
        <v>0-7 days</v>
      </c>
    </row>
    <row r="1141" spans="1:20" x14ac:dyDescent="0.3">
      <c r="A1141" s="20" t="s">
        <v>1207</v>
      </c>
      <c r="B1141" s="20" t="s">
        <v>19</v>
      </c>
      <c r="C1141" s="21">
        <v>45723</v>
      </c>
      <c r="D1141" s="21">
        <v>45731</v>
      </c>
      <c r="E1141" s="21">
        <v>45740</v>
      </c>
      <c r="F1141" s="20" t="s">
        <v>79</v>
      </c>
      <c r="G1141" s="22">
        <v>111.2</v>
      </c>
      <c r="H1141" s="22">
        <v>16.29</v>
      </c>
      <c r="I1141" s="20" t="s">
        <v>45</v>
      </c>
      <c r="J1141" s="20">
        <v>5</v>
      </c>
      <c r="K1141" s="20" t="s">
        <v>46</v>
      </c>
      <c r="L1141" s="23">
        <f t="shared" si="130"/>
        <v>45717</v>
      </c>
      <c r="M1141" s="20">
        <f t="shared" si="131"/>
        <v>8</v>
      </c>
      <c r="N1141" s="20">
        <f t="shared" si="132"/>
        <v>0</v>
      </c>
      <c r="O1141" s="20">
        <f t="shared" si="133"/>
        <v>1</v>
      </c>
      <c r="P1141" s="22">
        <f t="shared" si="134"/>
        <v>127.49000000000001</v>
      </c>
      <c r="Q1141" s="22">
        <f>G1141*INDEX(Assumptions!$B$8:$B$16,MATCH(F1141,Assumptions!$A$8:$A$16,0))</f>
        <v>77.84</v>
      </c>
      <c r="R1141" s="22">
        <f>H1141*Assumptions!$B$3</f>
        <v>9.7739999999999991</v>
      </c>
      <c r="S1141" s="22">
        <f t="shared" si="135"/>
        <v>23.585999999999999</v>
      </c>
      <c r="T1141" s="20" t="str">
        <f t="shared" si="136"/>
        <v>8-14 days</v>
      </c>
    </row>
    <row r="1142" spans="1:20" x14ac:dyDescent="0.3">
      <c r="A1142" s="20" t="s">
        <v>1208</v>
      </c>
      <c r="B1142" s="20" t="s">
        <v>174</v>
      </c>
      <c r="C1142" s="21">
        <v>45724</v>
      </c>
      <c r="D1142" s="21">
        <v>45750</v>
      </c>
      <c r="E1142" s="21">
        <v>45758</v>
      </c>
      <c r="F1142" s="20" t="s">
        <v>49</v>
      </c>
      <c r="G1142" s="22">
        <v>134.71</v>
      </c>
      <c r="H1142" s="22">
        <v>47.67</v>
      </c>
      <c r="I1142" s="20" t="s">
        <v>50</v>
      </c>
      <c r="J1142" s="20">
        <v>4</v>
      </c>
      <c r="K1142" s="20" t="s">
        <v>46</v>
      </c>
      <c r="L1142" s="23">
        <f t="shared" si="130"/>
        <v>45717</v>
      </c>
      <c r="M1142" s="20">
        <f t="shared" si="131"/>
        <v>26</v>
      </c>
      <c r="N1142" s="20">
        <f t="shared" si="132"/>
        <v>0</v>
      </c>
      <c r="O1142" s="20">
        <f t="shared" si="133"/>
        <v>1</v>
      </c>
      <c r="P1142" s="22">
        <f t="shared" si="134"/>
        <v>182.38</v>
      </c>
      <c r="Q1142" s="22">
        <f>G1142*INDEX(Assumptions!$B$8:$B$16,MATCH(F1142,Assumptions!$A$8:$A$16,0))</f>
        <v>78.131799999999998</v>
      </c>
      <c r="R1142" s="22">
        <f>H1142*Assumptions!$B$3</f>
        <v>28.602</v>
      </c>
      <c r="S1142" s="22">
        <f t="shared" si="135"/>
        <v>27.976200000000009</v>
      </c>
      <c r="T1142" s="20" t="str">
        <f t="shared" si="136"/>
        <v>22+ days</v>
      </c>
    </row>
    <row r="1143" spans="1:20" x14ac:dyDescent="0.3">
      <c r="A1143" s="20" t="s">
        <v>1209</v>
      </c>
      <c r="B1143" s="20" t="s">
        <v>19</v>
      </c>
      <c r="C1143" s="21">
        <v>45725</v>
      </c>
      <c r="D1143" s="21">
        <v>45730</v>
      </c>
      <c r="E1143" s="21">
        <v>45735</v>
      </c>
      <c r="F1143" s="20" t="s">
        <v>67</v>
      </c>
      <c r="G1143" s="22">
        <v>117.38</v>
      </c>
      <c r="H1143" s="22">
        <v>13.31</v>
      </c>
      <c r="I1143" s="20" t="s">
        <v>60</v>
      </c>
      <c r="J1143" s="20">
        <v>5</v>
      </c>
      <c r="K1143" s="20" t="s">
        <v>46</v>
      </c>
      <c r="L1143" s="23">
        <f t="shared" si="130"/>
        <v>45717</v>
      </c>
      <c r="M1143" s="20">
        <f t="shared" si="131"/>
        <v>5</v>
      </c>
      <c r="N1143" s="20">
        <f t="shared" si="132"/>
        <v>0</v>
      </c>
      <c r="O1143" s="20">
        <f t="shared" si="133"/>
        <v>1</v>
      </c>
      <c r="P1143" s="22">
        <f t="shared" si="134"/>
        <v>130.69</v>
      </c>
      <c r="Q1143" s="22">
        <f>G1143*INDEX(Assumptions!$B$8:$B$16,MATCH(F1143,Assumptions!$A$8:$A$16,0))</f>
        <v>72.775599999999997</v>
      </c>
      <c r="R1143" s="22">
        <f>H1143*Assumptions!$B$3</f>
        <v>7.9859999999999998</v>
      </c>
      <c r="S1143" s="22">
        <f t="shared" si="135"/>
        <v>36.618400000000001</v>
      </c>
      <c r="T1143" s="20" t="str">
        <f t="shared" si="136"/>
        <v>0-7 days</v>
      </c>
    </row>
    <row r="1144" spans="1:20" x14ac:dyDescent="0.3">
      <c r="A1144" s="20" t="s">
        <v>1210</v>
      </c>
      <c r="B1144" s="20" t="s">
        <v>19</v>
      </c>
      <c r="C1144" s="21">
        <v>45725</v>
      </c>
      <c r="D1144" s="21">
        <v>45738</v>
      </c>
      <c r="E1144" s="21">
        <v>45739</v>
      </c>
      <c r="F1144" s="20" t="s">
        <v>53</v>
      </c>
      <c r="G1144" s="22">
        <v>57.96</v>
      </c>
      <c r="H1144" s="22">
        <v>16.73</v>
      </c>
      <c r="I1144" s="20" t="s">
        <v>60</v>
      </c>
      <c r="J1144" s="20">
        <v>5</v>
      </c>
      <c r="K1144" s="20" t="s">
        <v>46</v>
      </c>
      <c r="L1144" s="23">
        <f t="shared" si="130"/>
        <v>45717</v>
      </c>
      <c r="M1144" s="20">
        <f t="shared" si="131"/>
        <v>13</v>
      </c>
      <c r="N1144" s="20">
        <f t="shared" si="132"/>
        <v>0</v>
      </c>
      <c r="O1144" s="20">
        <f t="shared" si="133"/>
        <v>1</v>
      </c>
      <c r="P1144" s="22">
        <f t="shared" si="134"/>
        <v>74.69</v>
      </c>
      <c r="Q1144" s="22">
        <f>G1144*INDEX(Assumptions!$B$8:$B$16,MATCH(F1144,Assumptions!$A$8:$A$16,0))</f>
        <v>42.8904</v>
      </c>
      <c r="R1144" s="22">
        <f>H1144*Assumptions!$B$3</f>
        <v>10.038</v>
      </c>
      <c r="S1144" s="22">
        <f t="shared" si="135"/>
        <v>5.031600000000001</v>
      </c>
      <c r="T1144" s="20" t="str">
        <f t="shared" si="136"/>
        <v>8-14 days</v>
      </c>
    </row>
    <row r="1145" spans="1:20" x14ac:dyDescent="0.3">
      <c r="A1145" s="20" t="s">
        <v>1211</v>
      </c>
      <c r="B1145" s="20" t="s">
        <v>19</v>
      </c>
      <c r="C1145" s="21">
        <v>45725</v>
      </c>
      <c r="D1145" s="21">
        <v>45732</v>
      </c>
      <c r="E1145" s="21">
        <v>45741</v>
      </c>
      <c r="F1145" s="20" t="s">
        <v>64</v>
      </c>
      <c r="G1145" s="22">
        <v>63.79</v>
      </c>
      <c r="H1145" s="22">
        <v>22.14</v>
      </c>
      <c r="I1145" s="20" t="s">
        <v>45</v>
      </c>
      <c r="J1145" s="20">
        <v>4</v>
      </c>
      <c r="K1145" s="20" t="s">
        <v>46</v>
      </c>
      <c r="L1145" s="23">
        <f t="shared" si="130"/>
        <v>45717</v>
      </c>
      <c r="M1145" s="20">
        <f t="shared" si="131"/>
        <v>7</v>
      </c>
      <c r="N1145" s="20">
        <f t="shared" si="132"/>
        <v>0</v>
      </c>
      <c r="O1145" s="20">
        <f t="shared" si="133"/>
        <v>1</v>
      </c>
      <c r="P1145" s="22">
        <f t="shared" si="134"/>
        <v>85.93</v>
      </c>
      <c r="Q1145" s="22">
        <f>G1145*INDEX(Assumptions!$B$8:$B$16,MATCH(F1145,Assumptions!$A$8:$A$16,0))</f>
        <v>42.101399999999998</v>
      </c>
      <c r="R1145" s="22">
        <f>H1145*Assumptions!$B$3</f>
        <v>13.284000000000001</v>
      </c>
      <c r="S1145" s="22">
        <f t="shared" si="135"/>
        <v>8.4046000000000003</v>
      </c>
      <c r="T1145" s="20" t="str">
        <f t="shared" si="136"/>
        <v>0-7 days</v>
      </c>
    </row>
    <row r="1146" spans="1:20" x14ac:dyDescent="0.3">
      <c r="A1146" s="20" t="s">
        <v>1212</v>
      </c>
      <c r="B1146" s="20" t="s">
        <v>52</v>
      </c>
      <c r="C1146" s="21">
        <v>45726</v>
      </c>
      <c r="D1146" s="21">
        <v>45737</v>
      </c>
      <c r="E1146" s="21">
        <v>45751</v>
      </c>
      <c r="F1146" s="20" t="s">
        <v>49</v>
      </c>
      <c r="G1146" s="22">
        <v>118.15</v>
      </c>
      <c r="H1146" s="22">
        <v>24.11</v>
      </c>
      <c r="I1146" s="20" t="s">
        <v>45</v>
      </c>
      <c r="J1146" s="20">
        <v>3</v>
      </c>
      <c r="K1146" s="20" t="s">
        <v>46</v>
      </c>
      <c r="L1146" s="23">
        <f t="shared" si="130"/>
        <v>45717</v>
      </c>
      <c r="M1146" s="20">
        <f t="shared" si="131"/>
        <v>11</v>
      </c>
      <c r="N1146" s="20">
        <f t="shared" si="132"/>
        <v>0</v>
      </c>
      <c r="O1146" s="20">
        <f t="shared" si="133"/>
        <v>1</v>
      </c>
      <c r="P1146" s="22">
        <f t="shared" si="134"/>
        <v>142.26</v>
      </c>
      <c r="Q1146" s="22">
        <f>G1146*INDEX(Assumptions!$B$8:$B$16,MATCH(F1146,Assumptions!$A$8:$A$16,0))</f>
        <v>68.527000000000001</v>
      </c>
      <c r="R1146" s="22">
        <f>H1146*Assumptions!$B$3</f>
        <v>14.465999999999999</v>
      </c>
      <c r="S1146" s="22">
        <f t="shared" si="135"/>
        <v>35.157000000000004</v>
      </c>
      <c r="T1146" s="20" t="str">
        <f t="shared" si="136"/>
        <v>8-14 days</v>
      </c>
    </row>
    <row r="1147" spans="1:20" x14ac:dyDescent="0.3">
      <c r="A1147" s="20" t="s">
        <v>1213</v>
      </c>
      <c r="B1147" s="20" t="s">
        <v>156</v>
      </c>
      <c r="C1147" s="21">
        <v>45726</v>
      </c>
      <c r="D1147" s="21">
        <v>45753</v>
      </c>
      <c r="E1147" s="21">
        <v>45752</v>
      </c>
      <c r="F1147" s="20" t="s">
        <v>49</v>
      </c>
      <c r="G1147" s="22">
        <v>144.13</v>
      </c>
      <c r="H1147" s="22">
        <v>32.159999999999997</v>
      </c>
      <c r="I1147" s="20" t="s">
        <v>45</v>
      </c>
      <c r="J1147" s="20">
        <v>4</v>
      </c>
      <c r="K1147" s="20" t="s">
        <v>46</v>
      </c>
      <c r="L1147" s="23">
        <f t="shared" si="130"/>
        <v>45717</v>
      </c>
      <c r="M1147" s="20">
        <f t="shared" si="131"/>
        <v>27</v>
      </c>
      <c r="N1147" s="20">
        <f t="shared" si="132"/>
        <v>1</v>
      </c>
      <c r="O1147" s="20">
        <f t="shared" si="133"/>
        <v>0</v>
      </c>
      <c r="P1147" s="22">
        <f t="shared" si="134"/>
        <v>176.29</v>
      </c>
      <c r="Q1147" s="22">
        <f>G1147*INDEX(Assumptions!$B$8:$B$16,MATCH(F1147,Assumptions!$A$8:$A$16,0))</f>
        <v>83.595399999999998</v>
      </c>
      <c r="R1147" s="22">
        <f>H1147*Assumptions!$B$3</f>
        <v>19.295999999999996</v>
      </c>
      <c r="S1147" s="22">
        <f t="shared" si="135"/>
        <v>41.238600000000005</v>
      </c>
      <c r="T1147" s="20" t="str">
        <f t="shared" si="136"/>
        <v>22+ days</v>
      </c>
    </row>
    <row r="1148" spans="1:20" x14ac:dyDescent="0.3">
      <c r="A1148" s="20" t="s">
        <v>1214</v>
      </c>
      <c r="B1148" s="20" t="s">
        <v>19</v>
      </c>
      <c r="C1148" s="21">
        <v>45726</v>
      </c>
      <c r="D1148" s="21">
        <v>45732</v>
      </c>
      <c r="E1148" s="21">
        <v>45742</v>
      </c>
      <c r="F1148" s="20" t="s">
        <v>44</v>
      </c>
      <c r="G1148" s="22">
        <v>88.11</v>
      </c>
      <c r="H1148" s="22">
        <v>15.57</v>
      </c>
      <c r="I1148" s="20" t="s">
        <v>45</v>
      </c>
      <c r="J1148" s="20">
        <v>4</v>
      </c>
      <c r="K1148" s="20" t="s">
        <v>46</v>
      </c>
      <c r="L1148" s="23">
        <f t="shared" si="130"/>
        <v>45717</v>
      </c>
      <c r="M1148" s="20">
        <f t="shared" si="131"/>
        <v>6</v>
      </c>
      <c r="N1148" s="20">
        <f t="shared" si="132"/>
        <v>0</v>
      </c>
      <c r="O1148" s="20">
        <f t="shared" si="133"/>
        <v>1</v>
      </c>
      <c r="P1148" s="22">
        <f t="shared" si="134"/>
        <v>103.68</v>
      </c>
      <c r="Q1148" s="22">
        <f>G1148*INDEX(Assumptions!$B$8:$B$16,MATCH(F1148,Assumptions!$A$8:$A$16,0))</f>
        <v>52.866</v>
      </c>
      <c r="R1148" s="22">
        <f>H1148*Assumptions!$B$3</f>
        <v>9.3420000000000005</v>
      </c>
      <c r="S1148" s="22">
        <f t="shared" si="135"/>
        <v>25.902000000000001</v>
      </c>
      <c r="T1148" s="20" t="str">
        <f t="shared" si="136"/>
        <v>0-7 days</v>
      </c>
    </row>
    <row r="1149" spans="1:20" x14ac:dyDescent="0.3">
      <c r="A1149" s="20" t="s">
        <v>1215</v>
      </c>
      <c r="B1149" s="20" t="s">
        <v>19</v>
      </c>
      <c r="C1149" s="21">
        <v>45726</v>
      </c>
      <c r="D1149" s="21">
        <v>45735</v>
      </c>
      <c r="E1149" s="21">
        <v>45741</v>
      </c>
      <c r="F1149" s="20" t="s">
        <v>67</v>
      </c>
      <c r="G1149" s="22">
        <v>228.79</v>
      </c>
      <c r="H1149" s="22">
        <v>21.28</v>
      </c>
      <c r="I1149" s="20" t="s">
        <v>45</v>
      </c>
      <c r="J1149" s="20">
        <v>4</v>
      </c>
      <c r="K1149" s="20" t="s">
        <v>46</v>
      </c>
      <c r="L1149" s="23">
        <f t="shared" si="130"/>
        <v>45717</v>
      </c>
      <c r="M1149" s="20">
        <f t="shared" si="131"/>
        <v>9</v>
      </c>
      <c r="N1149" s="20">
        <f t="shared" si="132"/>
        <v>0</v>
      </c>
      <c r="O1149" s="20">
        <f t="shared" si="133"/>
        <v>1</v>
      </c>
      <c r="P1149" s="22">
        <f t="shared" si="134"/>
        <v>250.07</v>
      </c>
      <c r="Q1149" s="22">
        <f>G1149*INDEX(Assumptions!$B$8:$B$16,MATCH(F1149,Assumptions!$A$8:$A$16,0))</f>
        <v>141.84979999999999</v>
      </c>
      <c r="R1149" s="22">
        <f>H1149*Assumptions!$B$3</f>
        <v>12.768000000000001</v>
      </c>
      <c r="S1149" s="22">
        <f t="shared" si="135"/>
        <v>74.172200000000004</v>
      </c>
      <c r="T1149" s="20" t="str">
        <f t="shared" si="136"/>
        <v>8-14 days</v>
      </c>
    </row>
    <row r="1150" spans="1:20" x14ac:dyDescent="0.3">
      <c r="A1150" s="20" t="s">
        <v>1216</v>
      </c>
      <c r="B1150" s="20" t="s">
        <v>19</v>
      </c>
      <c r="C1150" s="21">
        <v>45726</v>
      </c>
      <c r="D1150" s="21">
        <v>45735</v>
      </c>
      <c r="E1150" s="21">
        <v>45738</v>
      </c>
      <c r="F1150" s="20" t="s">
        <v>64</v>
      </c>
      <c r="G1150" s="22">
        <v>42.93</v>
      </c>
      <c r="H1150" s="22">
        <v>14.78</v>
      </c>
      <c r="I1150" s="20" t="s">
        <v>45</v>
      </c>
      <c r="J1150" s="20">
        <v>5</v>
      </c>
      <c r="K1150" s="20" t="s">
        <v>46</v>
      </c>
      <c r="L1150" s="23">
        <f t="shared" si="130"/>
        <v>45717</v>
      </c>
      <c r="M1150" s="20">
        <f t="shared" si="131"/>
        <v>9</v>
      </c>
      <c r="N1150" s="20">
        <f t="shared" si="132"/>
        <v>0</v>
      </c>
      <c r="O1150" s="20">
        <f t="shared" si="133"/>
        <v>1</v>
      </c>
      <c r="P1150" s="22">
        <f t="shared" si="134"/>
        <v>57.71</v>
      </c>
      <c r="Q1150" s="22">
        <f>G1150*INDEX(Assumptions!$B$8:$B$16,MATCH(F1150,Assumptions!$A$8:$A$16,0))</f>
        <v>28.3338</v>
      </c>
      <c r="R1150" s="22">
        <f>H1150*Assumptions!$B$3</f>
        <v>8.8679999999999986</v>
      </c>
      <c r="S1150" s="22">
        <f t="shared" si="135"/>
        <v>5.7282000000000011</v>
      </c>
      <c r="T1150" s="20" t="str">
        <f t="shared" si="136"/>
        <v>8-14 days</v>
      </c>
    </row>
    <row r="1151" spans="1:20" x14ac:dyDescent="0.3">
      <c r="A1151" s="20" t="s">
        <v>1217</v>
      </c>
      <c r="B1151" s="20" t="s">
        <v>134</v>
      </c>
      <c r="C1151" s="21">
        <v>45727</v>
      </c>
      <c r="D1151" s="21">
        <v>45743</v>
      </c>
      <c r="E1151" s="21">
        <v>45751</v>
      </c>
      <c r="F1151" s="20" t="s">
        <v>111</v>
      </c>
      <c r="G1151" s="22">
        <v>41.21</v>
      </c>
      <c r="H1151" s="22">
        <v>19.04</v>
      </c>
      <c r="I1151" s="20" t="s">
        <v>45</v>
      </c>
      <c r="J1151" s="20">
        <v>5</v>
      </c>
      <c r="K1151" s="20" t="s">
        <v>46</v>
      </c>
      <c r="L1151" s="23">
        <f t="shared" si="130"/>
        <v>45717</v>
      </c>
      <c r="M1151" s="20">
        <f t="shared" si="131"/>
        <v>16</v>
      </c>
      <c r="N1151" s="20">
        <f t="shared" si="132"/>
        <v>0</v>
      </c>
      <c r="O1151" s="20">
        <f t="shared" si="133"/>
        <v>1</v>
      </c>
      <c r="P1151" s="22">
        <f t="shared" si="134"/>
        <v>60.25</v>
      </c>
      <c r="Q1151" s="22">
        <f>G1151*INDEX(Assumptions!$B$8:$B$16,MATCH(F1151,Assumptions!$A$8:$A$16,0))</f>
        <v>25.962299999999999</v>
      </c>
      <c r="R1151" s="22">
        <f>H1151*Assumptions!$B$3</f>
        <v>11.423999999999999</v>
      </c>
      <c r="S1151" s="22">
        <f t="shared" si="135"/>
        <v>3.8237000000000023</v>
      </c>
      <c r="T1151" s="20" t="str">
        <f t="shared" si="136"/>
        <v>15-21 days</v>
      </c>
    </row>
    <row r="1152" spans="1:20" x14ac:dyDescent="0.3">
      <c r="A1152" s="20" t="s">
        <v>1218</v>
      </c>
      <c r="B1152" s="20" t="s">
        <v>19</v>
      </c>
      <c r="C1152" s="21">
        <v>45727</v>
      </c>
      <c r="D1152" s="21">
        <v>45736</v>
      </c>
      <c r="E1152" s="21">
        <v>45744</v>
      </c>
      <c r="F1152" s="20" t="s">
        <v>64</v>
      </c>
      <c r="G1152" s="22">
        <v>117.81</v>
      </c>
      <c r="H1152" s="22">
        <v>20.3</v>
      </c>
      <c r="I1152" s="20" t="s">
        <v>60</v>
      </c>
      <c r="J1152" s="20">
        <v>4</v>
      </c>
      <c r="K1152" s="20" t="s">
        <v>46</v>
      </c>
      <c r="L1152" s="23">
        <f t="shared" si="130"/>
        <v>45717</v>
      </c>
      <c r="M1152" s="20">
        <f t="shared" si="131"/>
        <v>9</v>
      </c>
      <c r="N1152" s="20">
        <f t="shared" si="132"/>
        <v>0</v>
      </c>
      <c r="O1152" s="20">
        <f t="shared" si="133"/>
        <v>1</v>
      </c>
      <c r="P1152" s="22">
        <f t="shared" si="134"/>
        <v>138.11000000000001</v>
      </c>
      <c r="Q1152" s="22">
        <f>G1152*INDEX(Assumptions!$B$8:$B$16,MATCH(F1152,Assumptions!$A$8:$A$16,0))</f>
        <v>77.754600000000011</v>
      </c>
      <c r="R1152" s="22">
        <f>H1152*Assumptions!$B$3</f>
        <v>12.18</v>
      </c>
      <c r="S1152" s="22">
        <f t="shared" si="135"/>
        <v>27.875399999999992</v>
      </c>
      <c r="T1152" s="20" t="str">
        <f t="shared" si="136"/>
        <v>8-14 days</v>
      </c>
    </row>
    <row r="1153" spans="1:20" x14ac:dyDescent="0.3">
      <c r="A1153" s="20" t="s">
        <v>1219</v>
      </c>
      <c r="B1153" s="20" t="s">
        <v>55</v>
      </c>
      <c r="C1153" s="21">
        <v>45727</v>
      </c>
      <c r="D1153" s="21">
        <v>45735</v>
      </c>
      <c r="E1153" s="21">
        <v>45752</v>
      </c>
      <c r="F1153" s="20" t="s">
        <v>59</v>
      </c>
      <c r="G1153" s="22">
        <v>173.27</v>
      </c>
      <c r="H1153" s="22">
        <v>28.23</v>
      </c>
      <c r="I1153" s="20" t="s">
        <v>45</v>
      </c>
      <c r="J1153" s="20">
        <v>4</v>
      </c>
      <c r="K1153" s="20" t="s">
        <v>46</v>
      </c>
      <c r="L1153" s="23">
        <f t="shared" si="130"/>
        <v>45717</v>
      </c>
      <c r="M1153" s="20">
        <f t="shared" si="131"/>
        <v>8</v>
      </c>
      <c r="N1153" s="20">
        <f t="shared" si="132"/>
        <v>0</v>
      </c>
      <c r="O1153" s="20">
        <f t="shared" si="133"/>
        <v>1</v>
      </c>
      <c r="P1153" s="22">
        <f t="shared" si="134"/>
        <v>201.5</v>
      </c>
      <c r="Q1153" s="22">
        <f>G1153*INDEX(Assumptions!$B$8:$B$16,MATCH(F1153,Assumptions!$A$8:$A$16,0))</f>
        <v>110.89280000000001</v>
      </c>
      <c r="R1153" s="22">
        <f>H1153*Assumptions!$B$3</f>
        <v>16.937999999999999</v>
      </c>
      <c r="S1153" s="22">
        <f t="shared" si="135"/>
        <v>45.4392</v>
      </c>
      <c r="T1153" s="20" t="str">
        <f t="shared" si="136"/>
        <v>8-14 days</v>
      </c>
    </row>
    <row r="1154" spans="1:20" x14ac:dyDescent="0.3">
      <c r="A1154" s="20" t="s">
        <v>1220</v>
      </c>
      <c r="B1154" s="20" t="s">
        <v>19</v>
      </c>
      <c r="C1154" s="21">
        <v>45727</v>
      </c>
      <c r="D1154" s="21">
        <v>45743</v>
      </c>
      <c r="E1154" s="21">
        <v>45739</v>
      </c>
      <c r="F1154" s="20" t="s">
        <v>67</v>
      </c>
      <c r="G1154" s="22">
        <v>45.51</v>
      </c>
      <c r="H1154" s="22">
        <v>13.49</v>
      </c>
      <c r="I1154" s="20" t="s">
        <v>45</v>
      </c>
      <c r="J1154" s="20">
        <v>2</v>
      </c>
      <c r="K1154" s="20" t="s">
        <v>46</v>
      </c>
      <c r="L1154" s="23">
        <f t="shared" ref="L1154:L1217" si="137">DATE(YEAR(C1154),MONTH(C1154),1)</f>
        <v>45717</v>
      </c>
      <c r="M1154" s="20">
        <f t="shared" ref="M1154:M1217" si="138">D1154-C1154</f>
        <v>16</v>
      </c>
      <c r="N1154" s="20">
        <f t="shared" ref="N1154:N1217" si="139">MAX(0,D1154-E1154)</f>
        <v>4</v>
      </c>
      <c r="O1154" s="20">
        <f t="shared" ref="O1154:O1217" si="140">IF(D1154&lt;=E1154,1,0)</f>
        <v>0</v>
      </c>
      <c r="P1154" s="22">
        <f t="shared" ref="P1154:P1217" si="141">G1154+H1154</f>
        <v>59</v>
      </c>
      <c r="Q1154" s="22">
        <f>G1154*INDEX(Assumptions!$B$8:$B$16,MATCH(F1154,Assumptions!$A$8:$A$16,0))</f>
        <v>28.216199999999997</v>
      </c>
      <c r="R1154" s="22">
        <f>H1154*Assumptions!$B$3</f>
        <v>8.0939999999999994</v>
      </c>
      <c r="S1154" s="22">
        <f t="shared" ref="S1154:S1217" si="142">G1154-Q1154-R1154</f>
        <v>9.1998000000000015</v>
      </c>
      <c r="T1154" s="20" t="str">
        <f t="shared" ref="T1154:T1217" si="143">IF(M1154&lt;=7,"0-7 days",IF(M1154&lt;=14,"8-14 days",IF(M1154&lt;=21,"15-21 days","22+ days")))</f>
        <v>15-21 days</v>
      </c>
    </row>
    <row r="1155" spans="1:20" x14ac:dyDescent="0.3">
      <c r="A1155" s="20" t="s">
        <v>1221</v>
      </c>
      <c r="B1155" s="20" t="s">
        <v>19</v>
      </c>
      <c r="C1155" s="21">
        <v>45728</v>
      </c>
      <c r="D1155" s="21">
        <v>45738</v>
      </c>
      <c r="E1155" s="21">
        <v>45742</v>
      </c>
      <c r="F1155" s="20" t="s">
        <v>67</v>
      </c>
      <c r="G1155" s="22">
        <v>64.06</v>
      </c>
      <c r="H1155" s="22">
        <v>13.32</v>
      </c>
      <c r="I1155" s="20" t="s">
        <v>45</v>
      </c>
      <c r="J1155" s="20">
        <v>5</v>
      </c>
      <c r="K1155" s="20" t="s">
        <v>46</v>
      </c>
      <c r="L1155" s="23">
        <f t="shared" si="137"/>
        <v>45717</v>
      </c>
      <c r="M1155" s="20">
        <f t="shared" si="138"/>
        <v>10</v>
      </c>
      <c r="N1155" s="20">
        <f t="shared" si="139"/>
        <v>0</v>
      </c>
      <c r="O1155" s="20">
        <f t="shared" si="140"/>
        <v>1</v>
      </c>
      <c r="P1155" s="22">
        <f t="shared" si="141"/>
        <v>77.38</v>
      </c>
      <c r="Q1155" s="22">
        <f>G1155*INDEX(Assumptions!$B$8:$B$16,MATCH(F1155,Assumptions!$A$8:$A$16,0))</f>
        <v>39.717199999999998</v>
      </c>
      <c r="R1155" s="22">
        <f>H1155*Assumptions!$B$3</f>
        <v>7.992</v>
      </c>
      <c r="S1155" s="22">
        <f t="shared" si="142"/>
        <v>16.350800000000003</v>
      </c>
      <c r="T1155" s="20" t="str">
        <f t="shared" si="143"/>
        <v>8-14 days</v>
      </c>
    </row>
    <row r="1156" spans="1:20" x14ac:dyDescent="0.3">
      <c r="A1156" s="20" t="s">
        <v>1222</v>
      </c>
      <c r="B1156" s="20" t="s">
        <v>19</v>
      </c>
      <c r="C1156" s="21">
        <v>45729</v>
      </c>
      <c r="D1156" s="21">
        <v>45734</v>
      </c>
      <c r="E1156" s="21">
        <v>45745</v>
      </c>
      <c r="F1156" s="20" t="s">
        <v>111</v>
      </c>
      <c r="G1156" s="22">
        <v>77.86</v>
      </c>
      <c r="H1156" s="22">
        <v>14.13</v>
      </c>
      <c r="I1156" s="20" t="s">
        <v>45</v>
      </c>
      <c r="J1156" s="20">
        <v>4</v>
      </c>
      <c r="K1156" s="20" t="s">
        <v>46</v>
      </c>
      <c r="L1156" s="23">
        <f t="shared" si="137"/>
        <v>45717</v>
      </c>
      <c r="M1156" s="20">
        <f t="shared" si="138"/>
        <v>5</v>
      </c>
      <c r="N1156" s="20">
        <f t="shared" si="139"/>
        <v>0</v>
      </c>
      <c r="O1156" s="20">
        <f t="shared" si="140"/>
        <v>1</v>
      </c>
      <c r="P1156" s="22">
        <f t="shared" si="141"/>
        <v>91.99</v>
      </c>
      <c r="Q1156" s="22">
        <f>G1156*INDEX(Assumptions!$B$8:$B$16,MATCH(F1156,Assumptions!$A$8:$A$16,0))</f>
        <v>49.0518</v>
      </c>
      <c r="R1156" s="22">
        <f>H1156*Assumptions!$B$3</f>
        <v>8.4779999999999998</v>
      </c>
      <c r="S1156" s="22">
        <f t="shared" si="142"/>
        <v>20.330199999999998</v>
      </c>
      <c r="T1156" s="20" t="str">
        <f t="shared" si="143"/>
        <v>0-7 days</v>
      </c>
    </row>
    <row r="1157" spans="1:20" x14ac:dyDescent="0.3">
      <c r="A1157" s="20" t="s">
        <v>1223</v>
      </c>
      <c r="B1157" s="20" t="s">
        <v>62</v>
      </c>
      <c r="C1157" s="21">
        <v>45729</v>
      </c>
      <c r="D1157" s="21">
        <v>45738</v>
      </c>
      <c r="E1157" s="21">
        <v>45754</v>
      </c>
      <c r="F1157" s="20" t="s">
        <v>79</v>
      </c>
      <c r="G1157" s="22">
        <v>79.69</v>
      </c>
      <c r="H1157" s="22">
        <v>29.01</v>
      </c>
      <c r="I1157" s="20" t="s">
        <v>60</v>
      </c>
      <c r="J1157" s="20">
        <v>5</v>
      </c>
      <c r="K1157" s="20" t="s">
        <v>46</v>
      </c>
      <c r="L1157" s="23">
        <f t="shared" si="137"/>
        <v>45717</v>
      </c>
      <c r="M1157" s="20">
        <f t="shared" si="138"/>
        <v>9</v>
      </c>
      <c r="N1157" s="20">
        <f t="shared" si="139"/>
        <v>0</v>
      </c>
      <c r="O1157" s="20">
        <f t="shared" si="140"/>
        <v>1</v>
      </c>
      <c r="P1157" s="22">
        <f t="shared" si="141"/>
        <v>108.7</v>
      </c>
      <c r="Q1157" s="22">
        <f>G1157*INDEX(Assumptions!$B$8:$B$16,MATCH(F1157,Assumptions!$A$8:$A$16,0))</f>
        <v>55.782999999999994</v>
      </c>
      <c r="R1157" s="22">
        <f>H1157*Assumptions!$B$3</f>
        <v>17.405999999999999</v>
      </c>
      <c r="S1157" s="22">
        <f t="shared" si="142"/>
        <v>6.5010000000000048</v>
      </c>
      <c r="T1157" s="20" t="str">
        <f t="shared" si="143"/>
        <v>8-14 days</v>
      </c>
    </row>
    <row r="1158" spans="1:20" x14ac:dyDescent="0.3">
      <c r="A1158" s="20" t="s">
        <v>1224</v>
      </c>
      <c r="B1158" s="20" t="s">
        <v>48</v>
      </c>
      <c r="C1158" s="21">
        <v>45729</v>
      </c>
      <c r="D1158" s="21">
        <v>45753</v>
      </c>
      <c r="E1158" s="21">
        <v>45751</v>
      </c>
      <c r="F1158" s="20" t="s">
        <v>111</v>
      </c>
      <c r="G1158" s="22">
        <v>168.95</v>
      </c>
      <c r="H1158" s="22">
        <v>28.03</v>
      </c>
      <c r="I1158" s="20" t="s">
        <v>45</v>
      </c>
      <c r="J1158" s="20">
        <v>2</v>
      </c>
      <c r="K1158" s="20" t="s">
        <v>46</v>
      </c>
      <c r="L1158" s="23">
        <f t="shared" si="137"/>
        <v>45717</v>
      </c>
      <c r="M1158" s="20">
        <f t="shared" si="138"/>
        <v>24</v>
      </c>
      <c r="N1158" s="20">
        <f t="shared" si="139"/>
        <v>2</v>
      </c>
      <c r="O1158" s="20">
        <f t="shared" si="140"/>
        <v>0</v>
      </c>
      <c r="P1158" s="22">
        <f t="shared" si="141"/>
        <v>196.98</v>
      </c>
      <c r="Q1158" s="22">
        <f>G1158*INDEX(Assumptions!$B$8:$B$16,MATCH(F1158,Assumptions!$A$8:$A$16,0))</f>
        <v>106.43849999999999</v>
      </c>
      <c r="R1158" s="22">
        <f>H1158*Assumptions!$B$3</f>
        <v>16.818000000000001</v>
      </c>
      <c r="S1158" s="22">
        <f t="shared" si="142"/>
        <v>45.6935</v>
      </c>
      <c r="T1158" s="20" t="str">
        <f t="shared" si="143"/>
        <v>22+ days</v>
      </c>
    </row>
    <row r="1159" spans="1:20" x14ac:dyDescent="0.3">
      <c r="A1159" s="20" t="s">
        <v>1225</v>
      </c>
      <c r="B1159" s="20" t="s">
        <v>55</v>
      </c>
      <c r="C1159" s="21">
        <v>45729</v>
      </c>
      <c r="D1159" s="21">
        <v>45755</v>
      </c>
      <c r="E1159" s="21">
        <v>45754</v>
      </c>
      <c r="F1159" s="20" t="s">
        <v>57</v>
      </c>
      <c r="G1159" s="22">
        <v>30.14</v>
      </c>
      <c r="H1159" s="22">
        <v>28.85</v>
      </c>
      <c r="I1159" s="20" t="s">
        <v>45</v>
      </c>
      <c r="J1159" s="20">
        <v>3</v>
      </c>
      <c r="K1159" s="20" t="s">
        <v>46</v>
      </c>
      <c r="L1159" s="23">
        <f t="shared" si="137"/>
        <v>45717</v>
      </c>
      <c r="M1159" s="20">
        <f t="shared" si="138"/>
        <v>26</v>
      </c>
      <c r="N1159" s="20">
        <f t="shared" si="139"/>
        <v>1</v>
      </c>
      <c r="O1159" s="20">
        <f t="shared" si="140"/>
        <v>0</v>
      </c>
      <c r="P1159" s="22">
        <f t="shared" si="141"/>
        <v>58.99</v>
      </c>
      <c r="Q1159" s="22">
        <f>G1159*INDEX(Assumptions!$B$8:$B$16,MATCH(F1159,Assumptions!$A$8:$A$16,0))</f>
        <v>20.495200000000001</v>
      </c>
      <c r="R1159" s="22">
        <f>H1159*Assumptions!$B$3</f>
        <v>17.309999999999999</v>
      </c>
      <c r="S1159" s="22">
        <f t="shared" si="142"/>
        <v>-7.6651999999999987</v>
      </c>
      <c r="T1159" s="20" t="str">
        <f t="shared" si="143"/>
        <v>22+ days</v>
      </c>
    </row>
    <row r="1160" spans="1:20" x14ac:dyDescent="0.3">
      <c r="A1160" s="20" t="s">
        <v>1226</v>
      </c>
      <c r="B1160" s="20" t="s">
        <v>134</v>
      </c>
      <c r="C1160" s="21">
        <v>45729</v>
      </c>
      <c r="D1160" s="21">
        <v>45744</v>
      </c>
      <c r="E1160" s="21">
        <v>45753</v>
      </c>
      <c r="F1160" s="20" t="s">
        <v>57</v>
      </c>
      <c r="G1160" s="22">
        <v>190.4</v>
      </c>
      <c r="H1160" s="22">
        <v>18.899999999999999</v>
      </c>
      <c r="I1160" s="20" t="s">
        <v>60</v>
      </c>
      <c r="J1160" s="20">
        <v>5</v>
      </c>
      <c r="K1160" s="20" t="s">
        <v>46</v>
      </c>
      <c r="L1160" s="23">
        <f t="shared" si="137"/>
        <v>45717</v>
      </c>
      <c r="M1160" s="20">
        <f t="shared" si="138"/>
        <v>15</v>
      </c>
      <c r="N1160" s="20">
        <f t="shared" si="139"/>
        <v>0</v>
      </c>
      <c r="O1160" s="20">
        <f t="shared" si="140"/>
        <v>1</v>
      </c>
      <c r="P1160" s="22">
        <f t="shared" si="141"/>
        <v>209.3</v>
      </c>
      <c r="Q1160" s="22">
        <f>G1160*INDEX(Assumptions!$B$8:$B$16,MATCH(F1160,Assumptions!$A$8:$A$16,0))</f>
        <v>129.47200000000001</v>
      </c>
      <c r="R1160" s="22">
        <f>H1160*Assumptions!$B$3</f>
        <v>11.339999999999998</v>
      </c>
      <c r="S1160" s="22">
        <f t="shared" si="142"/>
        <v>49.588000000000001</v>
      </c>
      <c r="T1160" s="20" t="str">
        <f t="shared" si="143"/>
        <v>15-21 days</v>
      </c>
    </row>
    <row r="1161" spans="1:20" x14ac:dyDescent="0.3">
      <c r="A1161" s="20" t="s">
        <v>1227</v>
      </c>
      <c r="B1161" s="20" t="s">
        <v>19</v>
      </c>
      <c r="C1161" s="21">
        <v>45729</v>
      </c>
      <c r="D1161" s="21">
        <v>45735</v>
      </c>
      <c r="E1161" s="21">
        <v>45744</v>
      </c>
      <c r="F1161" s="20" t="s">
        <v>67</v>
      </c>
      <c r="G1161" s="22">
        <v>61.55</v>
      </c>
      <c r="H1161" s="22">
        <v>14.56</v>
      </c>
      <c r="I1161" s="20" t="s">
        <v>45</v>
      </c>
      <c r="J1161" s="20">
        <v>4</v>
      </c>
      <c r="K1161" s="20" t="s">
        <v>46</v>
      </c>
      <c r="L1161" s="23">
        <f t="shared" si="137"/>
        <v>45717</v>
      </c>
      <c r="M1161" s="20">
        <f t="shared" si="138"/>
        <v>6</v>
      </c>
      <c r="N1161" s="20">
        <f t="shared" si="139"/>
        <v>0</v>
      </c>
      <c r="O1161" s="20">
        <f t="shared" si="140"/>
        <v>1</v>
      </c>
      <c r="P1161" s="22">
        <f t="shared" si="141"/>
        <v>76.11</v>
      </c>
      <c r="Q1161" s="22">
        <f>G1161*INDEX(Assumptions!$B$8:$B$16,MATCH(F1161,Assumptions!$A$8:$A$16,0))</f>
        <v>38.161000000000001</v>
      </c>
      <c r="R1161" s="22">
        <f>H1161*Assumptions!$B$3</f>
        <v>8.7360000000000007</v>
      </c>
      <c r="S1161" s="22">
        <f t="shared" si="142"/>
        <v>14.652999999999995</v>
      </c>
      <c r="T1161" s="20" t="str">
        <f t="shared" si="143"/>
        <v>0-7 days</v>
      </c>
    </row>
    <row r="1162" spans="1:20" x14ac:dyDescent="0.3">
      <c r="A1162" s="20" t="s">
        <v>1228</v>
      </c>
      <c r="B1162" s="20" t="s">
        <v>19</v>
      </c>
      <c r="C1162" s="21">
        <v>45729</v>
      </c>
      <c r="D1162" s="21">
        <v>45738</v>
      </c>
      <c r="E1162" s="21">
        <v>45744</v>
      </c>
      <c r="F1162" s="20" t="s">
        <v>44</v>
      </c>
      <c r="G1162" s="22">
        <v>155.77000000000001</v>
      </c>
      <c r="H1162" s="22">
        <v>23.75</v>
      </c>
      <c r="I1162" s="20" t="s">
        <v>45</v>
      </c>
      <c r="J1162" s="20">
        <v>4</v>
      </c>
      <c r="K1162" s="20" t="s">
        <v>46</v>
      </c>
      <c r="L1162" s="23">
        <f t="shared" si="137"/>
        <v>45717</v>
      </c>
      <c r="M1162" s="20">
        <f t="shared" si="138"/>
        <v>9</v>
      </c>
      <c r="N1162" s="20">
        <f t="shared" si="139"/>
        <v>0</v>
      </c>
      <c r="O1162" s="20">
        <f t="shared" si="140"/>
        <v>1</v>
      </c>
      <c r="P1162" s="22">
        <f t="shared" si="141"/>
        <v>179.52</v>
      </c>
      <c r="Q1162" s="22">
        <f>G1162*INDEX(Assumptions!$B$8:$B$16,MATCH(F1162,Assumptions!$A$8:$A$16,0))</f>
        <v>93.462000000000003</v>
      </c>
      <c r="R1162" s="22">
        <f>H1162*Assumptions!$B$3</f>
        <v>14.25</v>
      </c>
      <c r="S1162" s="22">
        <f t="shared" si="142"/>
        <v>48.058000000000007</v>
      </c>
      <c r="T1162" s="20" t="str">
        <f t="shared" si="143"/>
        <v>8-14 days</v>
      </c>
    </row>
    <row r="1163" spans="1:20" x14ac:dyDescent="0.3">
      <c r="A1163" s="20" t="s">
        <v>1229</v>
      </c>
      <c r="B1163" s="20" t="s">
        <v>19</v>
      </c>
      <c r="C1163" s="21">
        <v>45729</v>
      </c>
      <c r="D1163" s="21">
        <v>45737</v>
      </c>
      <c r="E1163" s="21">
        <v>45742</v>
      </c>
      <c r="F1163" s="20" t="s">
        <v>111</v>
      </c>
      <c r="G1163" s="22">
        <v>42.57</v>
      </c>
      <c r="H1163" s="22">
        <v>16.72</v>
      </c>
      <c r="I1163" s="20" t="s">
        <v>45</v>
      </c>
      <c r="J1163" s="20">
        <v>5</v>
      </c>
      <c r="K1163" s="20" t="s">
        <v>46</v>
      </c>
      <c r="L1163" s="23">
        <f t="shared" si="137"/>
        <v>45717</v>
      </c>
      <c r="M1163" s="20">
        <f t="shared" si="138"/>
        <v>8</v>
      </c>
      <c r="N1163" s="20">
        <f t="shared" si="139"/>
        <v>0</v>
      </c>
      <c r="O1163" s="20">
        <f t="shared" si="140"/>
        <v>1</v>
      </c>
      <c r="P1163" s="22">
        <f t="shared" si="141"/>
        <v>59.29</v>
      </c>
      <c r="Q1163" s="22">
        <f>G1163*INDEX(Assumptions!$B$8:$B$16,MATCH(F1163,Assumptions!$A$8:$A$16,0))</f>
        <v>26.819099999999999</v>
      </c>
      <c r="R1163" s="22">
        <f>H1163*Assumptions!$B$3</f>
        <v>10.031999999999998</v>
      </c>
      <c r="S1163" s="22">
        <f t="shared" si="142"/>
        <v>5.7189000000000032</v>
      </c>
      <c r="T1163" s="20" t="str">
        <f t="shared" si="143"/>
        <v>8-14 days</v>
      </c>
    </row>
    <row r="1164" spans="1:20" x14ac:dyDescent="0.3">
      <c r="A1164" s="20" t="s">
        <v>1230</v>
      </c>
      <c r="B1164" s="20" t="s">
        <v>156</v>
      </c>
      <c r="C1164" s="21">
        <v>45730</v>
      </c>
      <c r="D1164" s="21">
        <v>45743</v>
      </c>
      <c r="E1164" s="21">
        <v>45755</v>
      </c>
      <c r="F1164" s="20" t="s">
        <v>49</v>
      </c>
      <c r="G1164" s="22">
        <v>208.62</v>
      </c>
      <c r="H1164" s="22">
        <v>25.71</v>
      </c>
      <c r="I1164" s="20" t="s">
        <v>45</v>
      </c>
      <c r="J1164" s="20">
        <v>5</v>
      </c>
      <c r="K1164" s="20" t="s">
        <v>46</v>
      </c>
      <c r="L1164" s="23">
        <f t="shared" si="137"/>
        <v>45717</v>
      </c>
      <c r="M1164" s="20">
        <f t="shared" si="138"/>
        <v>13</v>
      </c>
      <c r="N1164" s="20">
        <f t="shared" si="139"/>
        <v>0</v>
      </c>
      <c r="O1164" s="20">
        <f t="shared" si="140"/>
        <v>1</v>
      </c>
      <c r="P1164" s="22">
        <f t="shared" si="141"/>
        <v>234.33</v>
      </c>
      <c r="Q1164" s="22">
        <f>G1164*INDEX(Assumptions!$B$8:$B$16,MATCH(F1164,Assumptions!$A$8:$A$16,0))</f>
        <v>120.9996</v>
      </c>
      <c r="R1164" s="22">
        <f>H1164*Assumptions!$B$3</f>
        <v>15.426</v>
      </c>
      <c r="S1164" s="22">
        <f t="shared" si="142"/>
        <v>72.194400000000002</v>
      </c>
      <c r="T1164" s="20" t="str">
        <f t="shared" si="143"/>
        <v>8-14 days</v>
      </c>
    </row>
    <row r="1165" spans="1:20" x14ac:dyDescent="0.3">
      <c r="A1165" s="20" t="s">
        <v>1231</v>
      </c>
      <c r="B1165" s="20" t="s">
        <v>48</v>
      </c>
      <c r="C1165" s="21">
        <v>45730</v>
      </c>
      <c r="D1165" s="21">
        <v>45742</v>
      </c>
      <c r="E1165" s="21">
        <v>45749</v>
      </c>
      <c r="F1165" s="20" t="s">
        <v>79</v>
      </c>
      <c r="G1165" s="22">
        <v>126.94</v>
      </c>
      <c r="H1165" s="22">
        <v>27.58</v>
      </c>
      <c r="I1165" s="20" t="s">
        <v>45</v>
      </c>
      <c r="J1165" s="20">
        <v>4</v>
      </c>
      <c r="K1165" s="20" t="s">
        <v>46</v>
      </c>
      <c r="L1165" s="23">
        <f t="shared" si="137"/>
        <v>45717</v>
      </c>
      <c r="M1165" s="20">
        <f t="shared" si="138"/>
        <v>12</v>
      </c>
      <c r="N1165" s="20">
        <f t="shared" si="139"/>
        <v>0</v>
      </c>
      <c r="O1165" s="20">
        <f t="shared" si="140"/>
        <v>1</v>
      </c>
      <c r="P1165" s="22">
        <f t="shared" si="141"/>
        <v>154.51999999999998</v>
      </c>
      <c r="Q1165" s="22">
        <f>G1165*INDEX(Assumptions!$B$8:$B$16,MATCH(F1165,Assumptions!$A$8:$A$16,0))</f>
        <v>88.85799999999999</v>
      </c>
      <c r="R1165" s="22">
        <f>H1165*Assumptions!$B$3</f>
        <v>16.547999999999998</v>
      </c>
      <c r="S1165" s="22">
        <f t="shared" si="142"/>
        <v>21.53400000000001</v>
      </c>
      <c r="T1165" s="20" t="str">
        <f t="shared" si="143"/>
        <v>8-14 days</v>
      </c>
    </row>
    <row r="1166" spans="1:20" x14ac:dyDescent="0.3">
      <c r="A1166" s="20" t="s">
        <v>1232</v>
      </c>
      <c r="B1166" s="20" t="s">
        <v>19</v>
      </c>
      <c r="C1166" s="21">
        <v>45730</v>
      </c>
      <c r="D1166" s="21">
        <v>45734</v>
      </c>
      <c r="E1166" s="21">
        <v>45746</v>
      </c>
      <c r="F1166" s="20" t="s">
        <v>57</v>
      </c>
      <c r="G1166" s="22">
        <v>40.85</v>
      </c>
      <c r="H1166" s="22">
        <v>19.079999999999998</v>
      </c>
      <c r="I1166" s="20" t="s">
        <v>45</v>
      </c>
      <c r="J1166" s="20">
        <v>4</v>
      </c>
      <c r="K1166" s="20" t="s">
        <v>46</v>
      </c>
      <c r="L1166" s="23">
        <f t="shared" si="137"/>
        <v>45717</v>
      </c>
      <c r="M1166" s="20">
        <f t="shared" si="138"/>
        <v>4</v>
      </c>
      <c r="N1166" s="20">
        <f t="shared" si="139"/>
        <v>0</v>
      </c>
      <c r="O1166" s="20">
        <f t="shared" si="140"/>
        <v>1</v>
      </c>
      <c r="P1166" s="22">
        <f t="shared" si="141"/>
        <v>59.93</v>
      </c>
      <c r="Q1166" s="22">
        <f>G1166*INDEX(Assumptions!$B$8:$B$16,MATCH(F1166,Assumptions!$A$8:$A$16,0))</f>
        <v>27.778000000000002</v>
      </c>
      <c r="R1166" s="22">
        <f>H1166*Assumptions!$B$3</f>
        <v>11.447999999999999</v>
      </c>
      <c r="S1166" s="22">
        <f t="shared" si="142"/>
        <v>1.6240000000000006</v>
      </c>
      <c r="T1166" s="20" t="str">
        <f t="shared" si="143"/>
        <v>0-7 days</v>
      </c>
    </row>
    <row r="1167" spans="1:20" x14ac:dyDescent="0.3">
      <c r="A1167" s="20" t="s">
        <v>1233</v>
      </c>
      <c r="B1167" s="20" t="s">
        <v>48</v>
      </c>
      <c r="C1167" s="21">
        <v>45730</v>
      </c>
      <c r="D1167" s="21">
        <v>45737</v>
      </c>
      <c r="E1167" s="21">
        <v>45751</v>
      </c>
      <c r="F1167" s="20" t="s">
        <v>111</v>
      </c>
      <c r="G1167" s="22">
        <v>35.54</v>
      </c>
      <c r="H1167" s="22">
        <v>21.65</v>
      </c>
      <c r="I1167" s="20" t="s">
        <v>45</v>
      </c>
      <c r="J1167" s="20">
        <v>5</v>
      </c>
      <c r="K1167" s="20" t="s">
        <v>46</v>
      </c>
      <c r="L1167" s="23">
        <f t="shared" si="137"/>
        <v>45717</v>
      </c>
      <c r="M1167" s="20">
        <f t="shared" si="138"/>
        <v>7</v>
      </c>
      <c r="N1167" s="20">
        <f t="shared" si="139"/>
        <v>0</v>
      </c>
      <c r="O1167" s="20">
        <f t="shared" si="140"/>
        <v>1</v>
      </c>
      <c r="P1167" s="22">
        <f t="shared" si="141"/>
        <v>57.19</v>
      </c>
      <c r="Q1167" s="22">
        <f>G1167*INDEX(Assumptions!$B$8:$B$16,MATCH(F1167,Assumptions!$A$8:$A$16,0))</f>
        <v>22.3902</v>
      </c>
      <c r="R1167" s="22">
        <f>H1167*Assumptions!$B$3</f>
        <v>12.989999999999998</v>
      </c>
      <c r="S1167" s="22">
        <f t="shared" si="142"/>
        <v>0.15980000000000061</v>
      </c>
      <c r="T1167" s="20" t="str">
        <f t="shared" si="143"/>
        <v>0-7 days</v>
      </c>
    </row>
    <row r="1168" spans="1:20" x14ac:dyDescent="0.3">
      <c r="A1168" s="20" t="s">
        <v>1234</v>
      </c>
      <c r="B1168" s="20" t="s">
        <v>19</v>
      </c>
      <c r="C1168" s="21">
        <v>45731</v>
      </c>
      <c r="D1168" s="21">
        <v>45740</v>
      </c>
      <c r="E1168" s="21">
        <v>45748</v>
      </c>
      <c r="F1168" s="20" t="s">
        <v>59</v>
      </c>
      <c r="G1168" s="22">
        <v>120.2</v>
      </c>
      <c r="H1168" s="22">
        <v>21.82</v>
      </c>
      <c r="I1168" s="20" t="s">
        <v>45</v>
      </c>
      <c r="J1168" s="20">
        <v>5</v>
      </c>
      <c r="K1168" s="20" t="s">
        <v>46</v>
      </c>
      <c r="L1168" s="23">
        <f t="shared" si="137"/>
        <v>45717</v>
      </c>
      <c r="M1168" s="20">
        <f t="shared" si="138"/>
        <v>9</v>
      </c>
      <c r="N1168" s="20">
        <f t="shared" si="139"/>
        <v>0</v>
      </c>
      <c r="O1168" s="20">
        <f t="shared" si="140"/>
        <v>1</v>
      </c>
      <c r="P1168" s="22">
        <f t="shared" si="141"/>
        <v>142.02000000000001</v>
      </c>
      <c r="Q1168" s="22">
        <f>G1168*INDEX(Assumptions!$B$8:$B$16,MATCH(F1168,Assumptions!$A$8:$A$16,0))</f>
        <v>76.927999999999997</v>
      </c>
      <c r="R1168" s="22">
        <f>H1168*Assumptions!$B$3</f>
        <v>13.092000000000001</v>
      </c>
      <c r="S1168" s="22">
        <f t="shared" si="142"/>
        <v>30.180000000000007</v>
      </c>
      <c r="T1168" s="20" t="str">
        <f t="shared" si="143"/>
        <v>8-14 days</v>
      </c>
    </row>
    <row r="1169" spans="1:20" x14ac:dyDescent="0.3">
      <c r="A1169" s="20" t="s">
        <v>1235</v>
      </c>
      <c r="B1169" s="20" t="s">
        <v>55</v>
      </c>
      <c r="C1169" s="21">
        <v>45731</v>
      </c>
      <c r="D1169" s="21">
        <v>45745</v>
      </c>
      <c r="E1169" s="21">
        <v>45755</v>
      </c>
      <c r="F1169" s="20" t="s">
        <v>79</v>
      </c>
      <c r="G1169" s="22">
        <v>195.09</v>
      </c>
      <c r="H1169" s="22">
        <v>22.56</v>
      </c>
      <c r="I1169" s="20" t="s">
        <v>45</v>
      </c>
      <c r="J1169" s="20">
        <v>4</v>
      </c>
      <c r="K1169" s="20" t="s">
        <v>46</v>
      </c>
      <c r="L1169" s="23">
        <f t="shared" si="137"/>
        <v>45717</v>
      </c>
      <c r="M1169" s="20">
        <f t="shared" si="138"/>
        <v>14</v>
      </c>
      <c r="N1169" s="20">
        <f t="shared" si="139"/>
        <v>0</v>
      </c>
      <c r="O1169" s="20">
        <f t="shared" si="140"/>
        <v>1</v>
      </c>
      <c r="P1169" s="22">
        <f t="shared" si="141"/>
        <v>217.65</v>
      </c>
      <c r="Q1169" s="22">
        <f>G1169*INDEX(Assumptions!$B$8:$B$16,MATCH(F1169,Assumptions!$A$8:$A$16,0))</f>
        <v>136.56299999999999</v>
      </c>
      <c r="R1169" s="22">
        <f>H1169*Assumptions!$B$3</f>
        <v>13.536</v>
      </c>
      <c r="S1169" s="22">
        <f t="shared" si="142"/>
        <v>44.991000000000014</v>
      </c>
      <c r="T1169" s="20" t="str">
        <f t="shared" si="143"/>
        <v>8-14 days</v>
      </c>
    </row>
    <row r="1170" spans="1:20" x14ac:dyDescent="0.3">
      <c r="A1170" s="20" t="s">
        <v>1236</v>
      </c>
      <c r="B1170" s="20" t="s">
        <v>52</v>
      </c>
      <c r="C1170" s="21">
        <v>45731</v>
      </c>
      <c r="D1170" s="21">
        <v>45741</v>
      </c>
      <c r="E1170" s="21">
        <v>45758</v>
      </c>
      <c r="F1170" s="20" t="s">
        <v>53</v>
      </c>
      <c r="G1170" s="22">
        <v>105.27</v>
      </c>
      <c r="H1170" s="22">
        <v>31.05</v>
      </c>
      <c r="I1170" s="20" t="s">
        <v>60</v>
      </c>
      <c r="J1170" s="20">
        <v>5</v>
      </c>
      <c r="K1170" s="20" t="s">
        <v>46</v>
      </c>
      <c r="L1170" s="23">
        <f t="shared" si="137"/>
        <v>45717</v>
      </c>
      <c r="M1170" s="20">
        <f t="shared" si="138"/>
        <v>10</v>
      </c>
      <c r="N1170" s="20">
        <f t="shared" si="139"/>
        <v>0</v>
      </c>
      <c r="O1170" s="20">
        <f t="shared" si="140"/>
        <v>1</v>
      </c>
      <c r="P1170" s="22">
        <f t="shared" si="141"/>
        <v>136.32</v>
      </c>
      <c r="Q1170" s="22">
        <f>G1170*INDEX(Assumptions!$B$8:$B$16,MATCH(F1170,Assumptions!$A$8:$A$16,0))</f>
        <v>77.899799999999999</v>
      </c>
      <c r="R1170" s="22">
        <f>H1170*Assumptions!$B$3</f>
        <v>18.63</v>
      </c>
      <c r="S1170" s="22">
        <f t="shared" si="142"/>
        <v>8.740199999999998</v>
      </c>
      <c r="T1170" s="20" t="str">
        <f t="shared" si="143"/>
        <v>8-14 days</v>
      </c>
    </row>
    <row r="1171" spans="1:20" x14ac:dyDescent="0.3">
      <c r="A1171" s="20" t="s">
        <v>1237</v>
      </c>
      <c r="B1171" s="20" t="s">
        <v>77</v>
      </c>
      <c r="C1171" s="21">
        <v>45731</v>
      </c>
      <c r="D1171" s="21">
        <v>45752</v>
      </c>
      <c r="E1171" s="21">
        <v>45756</v>
      </c>
      <c r="F1171" s="20" t="s">
        <v>79</v>
      </c>
      <c r="G1171" s="22">
        <v>192.99</v>
      </c>
      <c r="H1171" s="22">
        <v>23.4</v>
      </c>
      <c r="I1171" s="20" t="s">
        <v>45</v>
      </c>
      <c r="J1171" s="20">
        <v>4</v>
      </c>
      <c r="K1171" s="20" t="s">
        <v>46</v>
      </c>
      <c r="L1171" s="23">
        <f t="shared" si="137"/>
        <v>45717</v>
      </c>
      <c r="M1171" s="20">
        <f t="shared" si="138"/>
        <v>21</v>
      </c>
      <c r="N1171" s="20">
        <f t="shared" si="139"/>
        <v>0</v>
      </c>
      <c r="O1171" s="20">
        <f t="shared" si="140"/>
        <v>1</v>
      </c>
      <c r="P1171" s="22">
        <f t="shared" si="141"/>
        <v>216.39000000000001</v>
      </c>
      <c r="Q1171" s="22">
        <f>G1171*INDEX(Assumptions!$B$8:$B$16,MATCH(F1171,Assumptions!$A$8:$A$16,0))</f>
        <v>135.09299999999999</v>
      </c>
      <c r="R1171" s="22">
        <f>H1171*Assumptions!$B$3</f>
        <v>14.04</v>
      </c>
      <c r="S1171" s="22">
        <f t="shared" si="142"/>
        <v>43.857000000000021</v>
      </c>
      <c r="T1171" s="20" t="str">
        <f t="shared" si="143"/>
        <v>15-21 days</v>
      </c>
    </row>
    <row r="1172" spans="1:20" x14ac:dyDescent="0.3">
      <c r="A1172" s="20" t="s">
        <v>1238</v>
      </c>
      <c r="B1172" s="20" t="s">
        <v>19</v>
      </c>
      <c r="C1172" s="21">
        <v>45731</v>
      </c>
      <c r="D1172" s="21">
        <v>45738</v>
      </c>
      <c r="E1172" s="21">
        <v>45747</v>
      </c>
      <c r="F1172" s="20" t="s">
        <v>59</v>
      </c>
      <c r="G1172" s="22">
        <v>101.96</v>
      </c>
      <c r="H1172" s="22">
        <v>17.5</v>
      </c>
      <c r="I1172" s="20" t="s">
        <v>45</v>
      </c>
      <c r="J1172" s="20">
        <v>5</v>
      </c>
      <c r="K1172" s="20" t="s">
        <v>46</v>
      </c>
      <c r="L1172" s="23">
        <f t="shared" si="137"/>
        <v>45717</v>
      </c>
      <c r="M1172" s="20">
        <f t="shared" si="138"/>
        <v>7</v>
      </c>
      <c r="N1172" s="20">
        <f t="shared" si="139"/>
        <v>0</v>
      </c>
      <c r="O1172" s="20">
        <f t="shared" si="140"/>
        <v>1</v>
      </c>
      <c r="P1172" s="22">
        <f t="shared" si="141"/>
        <v>119.46</v>
      </c>
      <c r="Q1172" s="22">
        <f>G1172*INDEX(Assumptions!$B$8:$B$16,MATCH(F1172,Assumptions!$A$8:$A$16,0))</f>
        <v>65.254400000000004</v>
      </c>
      <c r="R1172" s="22">
        <f>H1172*Assumptions!$B$3</f>
        <v>10.5</v>
      </c>
      <c r="S1172" s="22">
        <f t="shared" si="142"/>
        <v>26.20559999999999</v>
      </c>
      <c r="T1172" s="20" t="str">
        <f t="shared" si="143"/>
        <v>0-7 days</v>
      </c>
    </row>
    <row r="1173" spans="1:20" x14ac:dyDescent="0.3">
      <c r="A1173" s="20" t="s">
        <v>1239</v>
      </c>
      <c r="B1173" s="20" t="s">
        <v>134</v>
      </c>
      <c r="C1173" s="21">
        <v>45731</v>
      </c>
      <c r="D1173" s="21">
        <v>45756</v>
      </c>
      <c r="E1173" s="21">
        <v>45754</v>
      </c>
      <c r="F1173" s="20" t="s">
        <v>59</v>
      </c>
      <c r="G1173" s="22">
        <v>113.75</v>
      </c>
      <c r="H1173" s="22">
        <v>26.75</v>
      </c>
      <c r="I1173" s="20" t="s">
        <v>45</v>
      </c>
      <c r="J1173" s="20">
        <v>3</v>
      </c>
      <c r="K1173" s="20" t="s">
        <v>46</v>
      </c>
      <c r="L1173" s="23">
        <f t="shared" si="137"/>
        <v>45717</v>
      </c>
      <c r="M1173" s="20">
        <f t="shared" si="138"/>
        <v>25</v>
      </c>
      <c r="N1173" s="20">
        <f t="shared" si="139"/>
        <v>2</v>
      </c>
      <c r="O1173" s="20">
        <f t="shared" si="140"/>
        <v>0</v>
      </c>
      <c r="P1173" s="22">
        <f t="shared" si="141"/>
        <v>140.5</v>
      </c>
      <c r="Q1173" s="22">
        <f>G1173*INDEX(Assumptions!$B$8:$B$16,MATCH(F1173,Assumptions!$A$8:$A$16,0))</f>
        <v>72.8</v>
      </c>
      <c r="R1173" s="22">
        <f>H1173*Assumptions!$B$3</f>
        <v>16.05</v>
      </c>
      <c r="S1173" s="22">
        <f t="shared" si="142"/>
        <v>24.900000000000002</v>
      </c>
      <c r="T1173" s="20" t="str">
        <f t="shared" si="143"/>
        <v>22+ days</v>
      </c>
    </row>
    <row r="1174" spans="1:20" x14ac:dyDescent="0.3">
      <c r="A1174" s="20" t="s">
        <v>1240</v>
      </c>
      <c r="B1174" s="20" t="s">
        <v>55</v>
      </c>
      <c r="C1174" s="21">
        <v>45732</v>
      </c>
      <c r="D1174" s="21">
        <v>45753</v>
      </c>
      <c r="E1174" s="21">
        <v>45757</v>
      </c>
      <c r="F1174" s="20" t="s">
        <v>44</v>
      </c>
      <c r="G1174" s="22">
        <v>113.87</v>
      </c>
      <c r="H1174" s="22">
        <v>17.12</v>
      </c>
      <c r="I1174" s="20" t="s">
        <v>45</v>
      </c>
      <c r="J1174" s="20">
        <v>4</v>
      </c>
      <c r="K1174" s="20" t="s">
        <v>46</v>
      </c>
      <c r="L1174" s="23">
        <f t="shared" si="137"/>
        <v>45717</v>
      </c>
      <c r="M1174" s="20">
        <f t="shared" si="138"/>
        <v>21</v>
      </c>
      <c r="N1174" s="20">
        <f t="shared" si="139"/>
        <v>0</v>
      </c>
      <c r="O1174" s="20">
        <f t="shared" si="140"/>
        <v>1</v>
      </c>
      <c r="P1174" s="22">
        <f t="shared" si="141"/>
        <v>130.99</v>
      </c>
      <c r="Q1174" s="22">
        <f>G1174*INDEX(Assumptions!$B$8:$B$16,MATCH(F1174,Assumptions!$A$8:$A$16,0))</f>
        <v>68.322000000000003</v>
      </c>
      <c r="R1174" s="22">
        <f>H1174*Assumptions!$B$3</f>
        <v>10.272</v>
      </c>
      <c r="S1174" s="22">
        <f t="shared" si="142"/>
        <v>35.276000000000003</v>
      </c>
      <c r="T1174" s="20" t="str">
        <f t="shared" si="143"/>
        <v>15-21 days</v>
      </c>
    </row>
    <row r="1175" spans="1:20" x14ac:dyDescent="0.3">
      <c r="A1175" s="20" t="s">
        <v>1241</v>
      </c>
      <c r="B1175" s="20" t="s">
        <v>156</v>
      </c>
      <c r="C1175" s="21">
        <v>45732</v>
      </c>
      <c r="D1175" s="21">
        <v>45748</v>
      </c>
      <c r="E1175" s="21">
        <v>45755</v>
      </c>
      <c r="F1175" s="20" t="s">
        <v>53</v>
      </c>
      <c r="G1175" s="22">
        <v>138.31</v>
      </c>
      <c r="H1175" s="22">
        <v>32.520000000000003</v>
      </c>
      <c r="I1175" s="20" t="s">
        <v>45</v>
      </c>
      <c r="J1175" s="20">
        <v>4</v>
      </c>
      <c r="K1175" s="20" t="s">
        <v>46</v>
      </c>
      <c r="L1175" s="23">
        <f t="shared" si="137"/>
        <v>45717</v>
      </c>
      <c r="M1175" s="20">
        <f t="shared" si="138"/>
        <v>16</v>
      </c>
      <c r="N1175" s="20">
        <f t="shared" si="139"/>
        <v>0</v>
      </c>
      <c r="O1175" s="20">
        <f t="shared" si="140"/>
        <v>1</v>
      </c>
      <c r="P1175" s="22">
        <f t="shared" si="141"/>
        <v>170.83</v>
      </c>
      <c r="Q1175" s="22">
        <f>G1175*INDEX(Assumptions!$B$8:$B$16,MATCH(F1175,Assumptions!$A$8:$A$16,0))</f>
        <v>102.3494</v>
      </c>
      <c r="R1175" s="22">
        <f>H1175*Assumptions!$B$3</f>
        <v>19.512</v>
      </c>
      <c r="S1175" s="22">
        <f t="shared" si="142"/>
        <v>16.448599999999999</v>
      </c>
      <c r="T1175" s="20" t="str">
        <f t="shared" si="143"/>
        <v>15-21 days</v>
      </c>
    </row>
    <row r="1176" spans="1:20" x14ac:dyDescent="0.3">
      <c r="A1176" s="20" t="s">
        <v>1242</v>
      </c>
      <c r="B1176" s="20" t="s">
        <v>156</v>
      </c>
      <c r="C1176" s="21">
        <v>45732</v>
      </c>
      <c r="D1176" s="21">
        <v>45740</v>
      </c>
      <c r="E1176" s="21">
        <v>45756</v>
      </c>
      <c r="F1176" s="20" t="s">
        <v>79</v>
      </c>
      <c r="G1176" s="22">
        <v>80.680000000000007</v>
      </c>
      <c r="H1176" s="22">
        <v>27.35</v>
      </c>
      <c r="I1176" s="20" t="s">
        <v>60</v>
      </c>
      <c r="J1176" s="20">
        <v>5</v>
      </c>
      <c r="K1176" s="20" t="s">
        <v>46</v>
      </c>
      <c r="L1176" s="23">
        <f t="shared" si="137"/>
        <v>45717</v>
      </c>
      <c r="M1176" s="20">
        <f t="shared" si="138"/>
        <v>8</v>
      </c>
      <c r="N1176" s="20">
        <f t="shared" si="139"/>
        <v>0</v>
      </c>
      <c r="O1176" s="20">
        <f t="shared" si="140"/>
        <v>1</v>
      </c>
      <c r="P1176" s="22">
        <f t="shared" si="141"/>
        <v>108.03</v>
      </c>
      <c r="Q1176" s="22">
        <f>G1176*INDEX(Assumptions!$B$8:$B$16,MATCH(F1176,Assumptions!$A$8:$A$16,0))</f>
        <v>56.475999999999999</v>
      </c>
      <c r="R1176" s="22">
        <f>H1176*Assumptions!$B$3</f>
        <v>16.41</v>
      </c>
      <c r="S1176" s="22">
        <f t="shared" si="142"/>
        <v>7.7940000000000076</v>
      </c>
      <c r="T1176" s="20" t="str">
        <f t="shared" si="143"/>
        <v>8-14 days</v>
      </c>
    </row>
    <row r="1177" spans="1:20" x14ac:dyDescent="0.3">
      <c r="A1177" s="20" t="s">
        <v>1243</v>
      </c>
      <c r="B1177" s="20" t="s">
        <v>19</v>
      </c>
      <c r="C1177" s="21">
        <v>45732</v>
      </c>
      <c r="D1177" s="21">
        <v>45741</v>
      </c>
      <c r="E1177" s="21">
        <v>45748</v>
      </c>
      <c r="F1177" s="20" t="s">
        <v>49</v>
      </c>
      <c r="G1177" s="22">
        <v>75.58</v>
      </c>
      <c r="H1177" s="22">
        <v>21.38</v>
      </c>
      <c r="I1177" s="20" t="s">
        <v>45</v>
      </c>
      <c r="J1177" s="20">
        <v>5</v>
      </c>
      <c r="K1177" s="20" t="s">
        <v>46</v>
      </c>
      <c r="L1177" s="23">
        <f t="shared" si="137"/>
        <v>45717</v>
      </c>
      <c r="M1177" s="20">
        <f t="shared" si="138"/>
        <v>9</v>
      </c>
      <c r="N1177" s="20">
        <f t="shared" si="139"/>
        <v>0</v>
      </c>
      <c r="O1177" s="20">
        <f t="shared" si="140"/>
        <v>1</v>
      </c>
      <c r="P1177" s="22">
        <f t="shared" si="141"/>
        <v>96.96</v>
      </c>
      <c r="Q1177" s="22">
        <f>G1177*INDEX(Assumptions!$B$8:$B$16,MATCH(F1177,Assumptions!$A$8:$A$16,0))</f>
        <v>43.836399999999998</v>
      </c>
      <c r="R1177" s="22">
        <f>H1177*Assumptions!$B$3</f>
        <v>12.827999999999999</v>
      </c>
      <c r="S1177" s="22">
        <f t="shared" si="142"/>
        <v>18.915600000000001</v>
      </c>
      <c r="T1177" s="20" t="str">
        <f t="shared" si="143"/>
        <v>8-14 days</v>
      </c>
    </row>
    <row r="1178" spans="1:20" x14ac:dyDescent="0.3">
      <c r="A1178" s="20" t="s">
        <v>1244</v>
      </c>
      <c r="B1178" s="20" t="s">
        <v>19</v>
      </c>
      <c r="C1178" s="21">
        <v>45732</v>
      </c>
      <c r="D1178" s="21">
        <v>45743</v>
      </c>
      <c r="E1178" s="21">
        <v>45752</v>
      </c>
      <c r="F1178" s="20" t="s">
        <v>49</v>
      </c>
      <c r="G1178" s="22">
        <v>229.98</v>
      </c>
      <c r="H1178" s="22">
        <v>24.52</v>
      </c>
      <c r="I1178" s="20" t="s">
        <v>45</v>
      </c>
      <c r="J1178" s="20">
        <v>5</v>
      </c>
      <c r="K1178" s="20" t="s">
        <v>46</v>
      </c>
      <c r="L1178" s="23">
        <f t="shared" si="137"/>
        <v>45717</v>
      </c>
      <c r="M1178" s="20">
        <f t="shared" si="138"/>
        <v>11</v>
      </c>
      <c r="N1178" s="20">
        <f t="shared" si="139"/>
        <v>0</v>
      </c>
      <c r="O1178" s="20">
        <f t="shared" si="140"/>
        <v>1</v>
      </c>
      <c r="P1178" s="22">
        <f t="shared" si="141"/>
        <v>254.5</v>
      </c>
      <c r="Q1178" s="22">
        <f>G1178*INDEX(Assumptions!$B$8:$B$16,MATCH(F1178,Assumptions!$A$8:$A$16,0))</f>
        <v>133.38839999999999</v>
      </c>
      <c r="R1178" s="22">
        <f>H1178*Assumptions!$B$3</f>
        <v>14.712</v>
      </c>
      <c r="S1178" s="22">
        <f t="shared" si="142"/>
        <v>81.879599999999996</v>
      </c>
      <c r="T1178" s="20" t="str">
        <f t="shared" si="143"/>
        <v>8-14 days</v>
      </c>
    </row>
    <row r="1179" spans="1:20" x14ac:dyDescent="0.3">
      <c r="A1179" s="20" t="s">
        <v>1245</v>
      </c>
      <c r="B1179" s="20" t="s">
        <v>62</v>
      </c>
      <c r="C1179" s="21">
        <v>45732</v>
      </c>
      <c r="D1179" s="21">
        <v>45741</v>
      </c>
      <c r="E1179" s="21">
        <v>45755</v>
      </c>
      <c r="F1179" s="20" t="s">
        <v>53</v>
      </c>
      <c r="G1179" s="22">
        <v>117.23</v>
      </c>
      <c r="H1179" s="22">
        <v>29.32</v>
      </c>
      <c r="I1179" s="20" t="s">
        <v>45</v>
      </c>
      <c r="J1179" s="20">
        <v>4</v>
      </c>
      <c r="K1179" s="20" t="s">
        <v>46</v>
      </c>
      <c r="L1179" s="23">
        <f t="shared" si="137"/>
        <v>45717</v>
      </c>
      <c r="M1179" s="20">
        <f t="shared" si="138"/>
        <v>9</v>
      </c>
      <c r="N1179" s="20">
        <f t="shared" si="139"/>
        <v>0</v>
      </c>
      <c r="O1179" s="20">
        <f t="shared" si="140"/>
        <v>1</v>
      </c>
      <c r="P1179" s="22">
        <f t="shared" si="141"/>
        <v>146.55000000000001</v>
      </c>
      <c r="Q1179" s="22">
        <f>G1179*INDEX(Assumptions!$B$8:$B$16,MATCH(F1179,Assumptions!$A$8:$A$16,0))</f>
        <v>86.750200000000007</v>
      </c>
      <c r="R1179" s="22">
        <f>H1179*Assumptions!$B$3</f>
        <v>17.591999999999999</v>
      </c>
      <c r="S1179" s="22">
        <f t="shared" si="142"/>
        <v>12.887799999999999</v>
      </c>
      <c r="T1179" s="20" t="str">
        <f t="shared" si="143"/>
        <v>8-14 days</v>
      </c>
    </row>
    <row r="1180" spans="1:20" x14ac:dyDescent="0.3">
      <c r="A1180" s="20" t="s">
        <v>1246</v>
      </c>
      <c r="B1180" s="20" t="s">
        <v>19</v>
      </c>
      <c r="C1180" s="21">
        <v>45732</v>
      </c>
      <c r="D1180" s="21">
        <v>45742</v>
      </c>
      <c r="E1180" s="21">
        <v>45748</v>
      </c>
      <c r="F1180" s="20" t="s">
        <v>64</v>
      </c>
      <c r="G1180" s="22">
        <v>239.62</v>
      </c>
      <c r="H1180" s="22">
        <v>21.14</v>
      </c>
      <c r="I1180" s="20" t="s">
        <v>45</v>
      </c>
      <c r="J1180" s="20">
        <v>5</v>
      </c>
      <c r="K1180" s="20" t="s">
        <v>46</v>
      </c>
      <c r="L1180" s="23">
        <f t="shared" si="137"/>
        <v>45717</v>
      </c>
      <c r="M1180" s="20">
        <f t="shared" si="138"/>
        <v>10</v>
      </c>
      <c r="N1180" s="20">
        <f t="shared" si="139"/>
        <v>0</v>
      </c>
      <c r="O1180" s="20">
        <f t="shared" si="140"/>
        <v>1</v>
      </c>
      <c r="P1180" s="22">
        <f t="shared" si="141"/>
        <v>260.76</v>
      </c>
      <c r="Q1180" s="22">
        <f>G1180*INDEX(Assumptions!$B$8:$B$16,MATCH(F1180,Assumptions!$A$8:$A$16,0))</f>
        <v>158.14920000000001</v>
      </c>
      <c r="R1180" s="22">
        <f>H1180*Assumptions!$B$3</f>
        <v>12.683999999999999</v>
      </c>
      <c r="S1180" s="22">
        <f t="shared" si="142"/>
        <v>68.786799999999999</v>
      </c>
      <c r="T1180" s="20" t="str">
        <f t="shared" si="143"/>
        <v>8-14 days</v>
      </c>
    </row>
    <row r="1181" spans="1:20" x14ac:dyDescent="0.3">
      <c r="A1181" s="20" t="s">
        <v>1247</v>
      </c>
      <c r="B1181" s="20" t="s">
        <v>19</v>
      </c>
      <c r="C1181" s="21">
        <v>45732</v>
      </c>
      <c r="D1181" s="21">
        <v>45738</v>
      </c>
      <c r="E1181" s="21">
        <v>45747</v>
      </c>
      <c r="F1181" s="20" t="s">
        <v>64</v>
      </c>
      <c r="G1181" s="22">
        <v>175.75</v>
      </c>
      <c r="H1181" s="22">
        <v>22.39</v>
      </c>
      <c r="I1181" s="20" t="s">
        <v>45</v>
      </c>
      <c r="J1181" s="20">
        <v>5</v>
      </c>
      <c r="K1181" s="20" t="s">
        <v>46</v>
      </c>
      <c r="L1181" s="23">
        <f t="shared" si="137"/>
        <v>45717</v>
      </c>
      <c r="M1181" s="20">
        <f t="shared" si="138"/>
        <v>6</v>
      </c>
      <c r="N1181" s="20">
        <f t="shared" si="139"/>
        <v>0</v>
      </c>
      <c r="O1181" s="20">
        <f t="shared" si="140"/>
        <v>1</v>
      </c>
      <c r="P1181" s="22">
        <f t="shared" si="141"/>
        <v>198.14</v>
      </c>
      <c r="Q1181" s="22">
        <f>G1181*INDEX(Assumptions!$B$8:$B$16,MATCH(F1181,Assumptions!$A$8:$A$16,0))</f>
        <v>115.995</v>
      </c>
      <c r="R1181" s="22">
        <f>H1181*Assumptions!$B$3</f>
        <v>13.433999999999999</v>
      </c>
      <c r="S1181" s="22">
        <f t="shared" si="142"/>
        <v>46.320999999999998</v>
      </c>
      <c r="T1181" s="20" t="str">
        <f t="shared" si="143"/>
        <v>0-7 days</v>
      </c>
    </row>
    <row r="1182" spans="1:20" x14ac:dyDescent="0.3">
      <c r="A1182" s="20" t="s">
        <v>1248</v>
      </c>
      <c r="B1182" s="20" t="s">
        <v>19</v>
      </c>
      <c r="C1182" s="21">
        <v>45733</v>
      </c>
      <c r="D1182" s="21">
        <v>45736</v>
      </c>
      <c r="E1182" s="21">
        <v>45749</v>
      </c>
      <c r="F1182" s="20" t="s">
        <v>59</v>
      </c>
      <c r="G1182" s="22">
        <v>71.180000000000007</v>
      </c>
      <c r="H1182" s="22">
        <v>12.01</v>
      </c>
      <c r="I1182" s="20" t="s">
        <v>45</v>
      </c>
      <c r="J1182" s="20">
        <v>4</v>
      </c>
      <c r="K1182" s="20" t="s">
        <v>46</v>
      </c>
      <c r="L1182" s="23">
        <f t="shared" si="137"/>
        <v>45717</v>
      </c>
      <c r="M1182" s="20">
        <f t="shared" si="138"/>
        <v>3</v>
      </c>
      <c r="N1182" s="20">
        <f t="shared" si="139"/>
        <v>0</v>
      </c>
      <c r="O1182" s="20">
        <f t="shared" si="140"/>
        <v>1</v>
      </c>
      <c r="P1182" s="22">
        <f t="shared" si="141"/>
        <v>83.190000000000012</v>
      </c>
      <c r="Q1182" s="22">
        <f>G1182*INDEX(Assumptions!$B$8:$B$16,MATCH(F1182,Assumptions!$A$8:$A$16,0))</f>
        <v>45.555200000000006</v>
      </c>
      <c r="R1182" s="22">
        <f>H1182*Assumptions!$B$3</f>
        <v>7.2059999999999995</v>
      </c>
      <c r="S1182" s="22">
        <f t="shared" si="142"/>
        <v>18.418800000000001</v>
      </c>
      <c r="T1182" s="20" t="str">
        <f t="shared" si="143"/>
        <v>0-7 days</v>
      </c>
    </row>
    <row r="1183" spans="1:20" x14ac:dyDescent="0.3">
      <c r="A1183" s="20" t="s">
        <v>1249</v>
      </c>
      <c r="B1183" s="20" t="s">
        <v>19</v>
      </c>
      <c r="C1183" s="21">
        <v>45734</v>
      </c>
      <c r="D1183" s="21">
        <v>45748</v>
      </c>
      <c r="E1183" s="21">
        <v>45750</v>
      </c>
      <c r="F1183" s="20" t="s">
        <v>67</v>
      </c>
      <c r="G1183" s="22">
        <v>71.75</v>
      </c>
      <c r="H1183" s="22">
        <v>13.06</v>
      </c>
      <c r="I1183" s="20" t="s">
        <v>45</v>
      </c>
      <c r="J1183" s="20">
        <v>4</v>
      </c>
      <c r="K1183" s="20" t="s">
        <v>46</v>
      </c>
      <c r="L1183" s="23">
        <f t="shared" si="137"/>
        <v>45717</v>
      </c>
      <c r="M1183" s="20">
        <f t="shared" si="138"/>
        <v>14</v>
      </c>
      <c r="N1183" s="20">
        <f t="shared" si="139"/>
        <v>0</v>
      </c>
      <c r="O1183" s="20">
        <f t="shared" si="140"/>
        <v>1</v>
      </c>
      <c r="P1183" s="22">
        <f t="shared" si="141"/>
        <v>84.81</v>
      </c>
      <c r="Q1183" s="22">
        <f>G1183*INDEX(Assumptions!$B$8:$B$16,MATCH(F1183,Assumptions!$A$8:$A$16,0))</f>
        <v>44.484999999999999</v>
      </c>
      <c r="R1183" s="22">
        <f>H1183*Assumptions!$B$3</f>
        <v>7.8360000000000003</v>
      </c>
      <c r="S1183" s="22">
        <f t="shared" si="142"/>
        <v>19.429000000000002</v>
      </c>
      <c r="T1183" s="20" t="str">
        <f t="shared" si="143"/>
        <v>8-14 days</v>
      </c>
    </row>
    <row r="1184" spans="1:20" x14ac:dyDescent="0.3">
      <c r="A1184" s="20" t="s">
        <v>1250</v>
      </c>
      <c r="B1184" s="20" t="s">
        <v>19</v>
      </c>
      <c r="C1184" s="21">
        <v>45734</v>
      </c>
      <c r="D1184" s="21">
        <v>45740</v>
      </c>
      <c r="E1184" s="21">
        <v>45749</v>
      </c>
      <c r="F1184" s="20" t="s">
        <v>64</v>
      </c>
      <c r="G1184" s="22">
        <v>141.9</v>
      </c>
      <c r="H1184" s="22">
        <v>23.08</v>
      </c>
      <c r="I1184" s="20" t="s">
        <v>45</v>
      </c>
      <c r="J1184" s="20">
        <v>5</v>
      </c>
      <c r="K1184" s="20" t="s">
        <v>46</v>
      </c>
      <c r="L1184" s="23">
        <f t="shared" si="137"/>
        <v>45717</v>
      </c>
      <c r="M1184" s="20">
        <f t="shared" si="138"/>
        <v>6</v>
      </c>
      <c r="N1184" s="20">
        <f t="shared" si="139"/>
        <v>0</v>
      </c>
      <c r="O1184" s="20">
        <f t="shared" si="140"/>
        <v>1</v>
      </c>
      <c r="P1184" s="22">
        <f t="shared" si="141"/>
        <v>164.98000000000002</v>
      </c>
      <c r="Q1184" s="22">
        <f>G1184*INDEX(Assumptions!$B$8:$B$16,MATCH(F1184,Assumptions!$A$8:$A$16,0))</f>
        <v>93.654000000000011</v>
      </c>
      <c r="R1184" s="22">
        <f>H1184*Assumptions!$B$3</f>
        <v>13.847999999999999</v>
      </c>
      <c r="S1184" s="22">
        <f t="shared" si="142"/>
        <v>34.397999999999996</v>
      </c>
      <c r="T1184" s="20" t="str">
        <f t="shared" si="143"/>
        <v>0-7 days</v>
      </c>
    </row>
    <row r="1185" spans="1:20" x14ac:dyDescent="0.3">
      <c r="A1185" s="20" t="s">
        <v>1251</v>
      </c>
      <c r="B1185" s="20" t="s">
        <v>19</v>
      </c>
      <c r="C1185" s="21">
        <v>45735</v>
      </c>
      <c r="D1185" s="21">
        <v>45744</v>
      </c>
      <c r="E1185" s="21">
        <v>45752</v>
      </c>
      <c r="F1185" s="20" t="s">
        <v>59</v>
      </c>
      <c r="G1185" s="22">
        <v>92.08</v>
      </c>
      <c r="H1185" s="22">
        <v>19.73</v>
      </c>
      <c r="I1185" s="20" t="s">
        <v>60</v>
      </c>
      <c r="J1185" s="20">
        <v>5</v>
      </c>
      <c r="K1185" s="20" t="s">
        <v>46</v>
      </c>
      <c r="L1185" s="23">
        <f t="shared" si="137"/>
        <v>45717</v>
      </c>
      <c r="M1185" s="20">
        <f t="shared" si="138"/>
        <v>9</v>
      </c>
      <c r="N1185" s="20">
        <f t="shared" si="139"/>
        <v>0</v>
      </c>
      <c r="O1185" s="20">
        <f t="shared" si="140"/>
        <v>1</v>
      </c>
      <c r="P1185" s="22">
        <f t="shared" si="141"/>
        <v>111.81</v>
      </c>
      <c r="Q1185" s="22">
        <f>G1185*INDEX(Assumptions!$B$8:$B$16,MATCH(F1185,Assumptions!$A$8:$A$16,0))</f>
        <v>58.931199999999997</v>
      </c>
      <c r="R1185" s="22">
        <f>H1185*Assumptions!$B$3</f>
        <v>11.837999999999999</v>
      </c>
      <c r="S1185" s="22">
        <f t="shared" si="142"/>
        <v>21.3108</v>
      </c>
      <c r="T1185" s="20" t="str">
        <f t="shared" si="143"/>
        <v>8-14 days</v>
      </c>
    </row>
    <row r="1186" spans="1:20" x14ac:dyDescent="0.3">
      <c r="A1186" s="20" t="s">
        <v>1252</v>
      </c>
      <c r="B1186" s="20" t="s">
        <v>55</v>
      </c>
      <c r="C1186" s="21">
        <v>45735</v>
      </c>
      <c r="D1186" s="21">
        <v>45748</v>
      </c>
      <c r="E1186" s="21">
        <v>45761</v>
      </c>
      <c r="F1186" s="20" t="s">
        <v>53</v>
      </c>
      <c r="G1186" s="22">
        <v>152.87</v>
      </c>
      <c r="H1186" s="22">
        <v>31.78</v>
      </c>
      <c r="I1186" s="20" t="s">
        <v>60</v>
      </c>
      <c r="J1186" s="20">
        <v>4</v>
      </c>
      <c r="K1186" s="20" t="s">
        <v>46</v>
      </c>
      <c r="L1186" s="23">
        <f t="shared" si="137"/>
        <v>45717</v>
      </c>
      <c r="M1186" s="20">
        <f t="shared" si="138"/>
        <v>13</v>
      </c>
      <c r="N1186" s="20">
        <f t="shared" si="139"/>
        <v>0</v>
      </c>
      <c r="O1186" s="20">
        <f t="shared" si="140"/>
        <v>1</v>
      </c>
      <c r="P1186" s="22">
        <f t="shared" si="141"/>
        <v>184.65</v>
      </c>
      <c r="Q1186" s="22">
        <f>G1186*INDEX(Assumptions!$B$8:$B$16,MATCH(F1186,Assumptions!$A$8:$A$16,0))</f>
        <v>113.1238</v>
      </c>
      <c r="R1186" s="22">
        <f>H1186*Assumptions!$B$3</f>
        <v>19.068000000000001</v>
      </c>
      <c r="S1186" s="22">
        <f t="shared" si="142"/>
        <v>20.6782</v>
      </c>
      <c r="T1186" s="20" t="str">
        <f t="shared" si="143"/>
        <v>8-14 days</v>
      </c>
    </row>
    <row r="1187" spans="1:20" x14ac:dyDescent="0.3">
      <c r="A1187" s="20" t="s">
        <v>1253</v>
      </c>
      <c r="B1187" s="20" t="s">
        <v>52</v>
      </c>
      <c r="C1187" s="21">
        <v>45735</v>
      </c>
      <c r="D1187" s="21">
        <v>45752</v>
      </c>
      <c r="E1187" s="21">
        <v>45759</v>
      </c>
      <c r="F1187" s="20" t="s">
        <v>53</v>
      </c>
      <c r="G1187" s="22">
        <v>155.77000000000001</v>
      </c>
      <c r="H1187" s="22">
        <v>21.83</v>
      </c>
      <c r="I1187" s="20" t="s">
        <v>45</v>
      </c>
      <c r="J1187" s="20">
        <v>5</v>
      </c>
      <c r="K1187" s="20" t="s">
        <v>46</v>
      </c>
      <c r="L1187" s="23">
        <f t="shared" si="137"/>
        <v>45717</v>
      </c>
      <c r="M1187" s="20">
        <f t="shared" si="138"/>
        <v>17</v>
      </c>
      <c r="N1187" s="20">
        <f t="shared" si="139"/>
        <v>0</v>
      </c>
      <c r="O1187" s="20">
        <f t="shared" si="140"/>
        <v>1</v>
      </c>
      <c r="P1187" s="22">
        <f t="shared" si="141"/>
        <v>177.60000000000002</v>
      </c>
      <c r="Q1187" s="22">
        <f>G1187*INDEX(Assumptions!$B$8:$B$16,MATCH(F1187,Assumptions!$A$8:$A$16,0))</f>
        <v>115.2698</v>
      </c>
      <c r="R1187" s="22">
        <f>H1187*Assumptions!$B$3</f>
        <v>13.097999999999999</v>
      </c>
      <c r="S1187" s="22">
        <f t="shared" si="142"/>
        <v>27.402200000000008</v>
      </c>
      <c r="T1187" s="20" t="str">
        <f t="shared" si="143"/>
        <v>15-21 days</v>
      </c>
    </row>
    <row r="1188" spans="1:20" x14ac:dyDescent="0.3">
      <c r="A1188" s="20" t="s">
        <v>1254</v>
      </c>
      <c r="B1188" s="20" t="s">
        <v>19</v>
      </c>
      <c r="C1188" s="21">
        <v>45736</v>
      </c>
      <c r="D1188" s="21">
        <v>45756</v>
      </c>
      <c r="E1188" s="21">
        <v>45749</v>
      </c>
      <c r="F1188" s="20" t="s">
        <v>44</v>
      </c>
      <c r="G1188" s="22">
        <v>94.61</v>
      </c>
      <c r="H1188" s="22">
        <v>21.62</v>
      </c>
      <c r="I1188" s="20" t="s">
        <v>45</v>
      </c>
      <c r="J1188" s="20">
        <v>3</v>
      </c>
      <c r="K1188" s="20" t="s">
        <v>46</v>
      </c>
      <c r="L1188" s="23">
        <f t="shared" si="137"/>
        <v>45717</v>
      </c>
      <c r="M1188" s="20">
        <f t="shared" si="138"/>
        <v>20</v>
      </c>
      <c r="N1188" s="20">
        <f t="shared" si="139"/>
        <v>7</v>
      </c>
      <c r="O1188" s="20">
        <f t="shared" si="140"/>
        <v>0</v>
      </c>
      <c r="P1188" s="22">
        <f t="shared" si="141"/>
        <v>116.23</v>
      </c>
      <c r="Q1188" s="22">
        <f>G1188*INDEX(Assumptions!$B$8:$B$16,MATCH(F1188,Assumptions!$A$8:$A$16,0))</f>
        <v>56.765999999999998</v>
      </c>
      <c r="R1188" s="22">
        <f>H1188*Assumptions!$B$3</f>
        <v>12.972</v>
      </c>
      <c r="S1188" s="22">
        <f t="shared" si="142"/>
        <v>24.872</v>
      </c>
      <c r="T1188" s="20" t="str">
        <f t="shared" si="143"/>
        <v>15-21 days</v>
      </c>
    </row>
    <row r="1189" spans="1:20" x14ac:dyDescent="0.3">
      <c r="A1189" s="20" t="s">
        <v>1255</v>
      </c>
      <c r="B1189" s="20" t="s">
        <v>134</v>
      </c>
      <c r="C1189" s="21">
        <v>45736</v>
      </c>
      <c r="D1189" s="21">
        <v>45752</v>
      </c>
      <c r="E1189" s="21">
        <v>45761</v>
      </c>
      <c r="F1189" s="20" t="s">
        <v>67</v>
      </c>
      <c r="G1189" s="22">
        <v>60.53</v>
      </c>
      <c r="H1189" s="22">
        <v>30.02</v>
      </c>
      <c r="I1189" s="20" t="s">
        <v>45</v>
      </c>
      <c r="J1189" s="20">
        <v>3</v>
      </c>
      <c r="K1189" s="20" t="s">
        <v>46</v>
      </c>
      <c r="L1189" s="23">
        <f t="shared" si="137"/>
        <v>45717</v>
      </c>
      <c r="M1189" s="20">
        <f t="shared" si="138"/>
        <v>16</v>
      </c>
      <c r="N1189" s="20">
        <f t="shared" si="139"/>
        <v>0</v>
      </c>
      <c r="O1189" s="20">
        <f t="shared" si="140"/>
        <v>1</v>
      </c>
      <c r="P1189" s="22">
        <f t="shared" si="141"/>
        <v>90.55</v>
      </c>
      <c r="Q1189" s="22">
        <f>G1189*INDEX(Assumptions!$B$8:$B$16,MATCH(F1189,Assumptions!$A$8:$A$16,0))</f>
        <v>37.528599999999997</v>
      </c>
      <c r="R1189" s="22">
        <f>H1189*Assumptions!$B$3</f>
        <v>18.012</v>
      </c>
      <c r="S1189" s="22">
        <f t="shared" si="142"/>
        <v>4.9894000000000034</v>
      </c>
      <c r="T1189" s="20" t="str">
        <f t="shared" si="143"/>
        <v>15-21 days</v>
      </c>
    </row>
    <row r="1190" spans="1:20" x14ac:dyDescent="0.3">
      <c r="A1190" s="20" t="s">
        <v>1256</v>
      </c>
      <c r="B1190" s="20" t="s">
        <v>19</v>
      </c>
      <c r="C1190" s="21">
        <v>45736</v>
      </c>
      <c r="D1190" s="21">
        <v>45745</v>
      </c>
      <c r="E1190" s="21">
        <v>45752</v>
      </c>
      <c r="F1190" s="20" t="s">
        <v>79</v>
      </c>
      <c r="G1190" s="22">
        <v>44.25</v>
      </c>
      <c r="H1190" s="22">
        <v>15.68</v>
      </c>
      <c r="I1190" s="20" t="s">
        <v>45</v>
      </c>
      <c r="J1190" s="20">
        <v>4</v>
      </c>
      <c r="K1190" s="20" t="s">
        <v>46</v>
      </c>
      <c r="L1190" s="23">
        <f t="shared" si="137"/>
        <v>45717</v>
      </c>
      <c r="M1190" s="20">
        <f t="shared" si="138"/>
        <v>9</v>
      </c>
      <c r="N1190" s="20">
        <f t="shared" si="139"/>
        <v>0</v>
      </c>
      <c r="O1190" s="20">
        <f t="shared" si="140"/>
        <v>1</v>
      </c>
      <c r="P1190" s="22">
        <f t="shared" si="141"/>
        <v>59.93</v>
      </c>
      <c r="Q1190" s="22">
        <f>G1190*INDEX(Assumptions!$B$8:$B$16,MATCH(F1190,Assumptions!$A$8:$A$16,0))</f>
        <v>30.974999999999998</v>
      </c>
      <c r="R1190" s="22">
        <f>H1190*Assumptions!$B$3</f>
        <v>9.4079999999999995</v>
      </c>
      <c r="S1190" s="22">
        <f t="shared" si="142"/>
        <v>3.8670000000000027</v>
      </c>
      <c r="T1190" s="20" t="str">
        <f t="shared" si="143"/>
        <v>8-14 days</v>
      </c>
    </row>
    <row r="1191" spans="1:20" x14ac:dyDescent="0.3">
      <c r="A1191" s="20" t="s">
        <v>1257</v>
      </c>
      <c r="B1191" s="20" t="s">
        <v>19</v>
      </c>
      <c r="C1191" s="21">
        <v>45737</v>
      </c>
      <c r="D1191" s="21">
        <v>45749</v>
      </c>
      <c r="E1191" s="21">
        <v>45751</v>
      </c>
      <c r="F1191" s="20" t="s">
        <v>57</v>
      </c>
      <c r="G1191" s="22">
        <v>69.14</v>
      </c>
      <c r="H1191" s="22">
        <v>12.9</v>
      </c>
      <c r="I1191" s="20" t="s">
        <v>45</v>
      </c>
      <c r="J1191" s="20">
        <v>5</v>
      </c>
      <c r="K1191" s="20" t="s">
        <v>46</v>
      </c>
      <c r="L1191" s="23">
        <f t="shared" si="137"/>
        <v>45717</v>
      </c>
      <c r="M1191" s="20">
        <f t="shared" si="138"/>
        <v>12</v>
      </c>
      <c r="N1191" s="20">
        <f t="shared" si="139"/>
        <v>0</v>
      </c>
      <c r="O1191" s="20">
        <f t="shared" si="140"/>
        <v>1</v>
      </c>
      <c r="P1191" s="22">
        <f t="shared" si="141"/>
        <v>82.04</v>
      </c>
      <c r="Q1191" s="22">
        <f>G1191*INDEX(Assumptions!$B$8:$B$16,MATCH(F1191,Assumptions!$A$8:$A$16,0))</f>
        <v>47.015200000000007</v>
      </c>
      <c r="R1191" s="22">
        <f>H1191*Assumptions!$B$3</f>
        <v>7.74</v>
      </c>
      <c r="S1191" s="22">
        <f t="shared" si="142"/>
        <v>14.384799999999993</v>
      </c>
      <c r="T1191" s="20" t="str">
        <f t="shared" si="143"/>
        <v>8-14 days</v>
      </c>
    </row>
    <row r="1192" spans="1:20" x14ac:dyDescent="0.3">
      <c r="A1192" s="20" t="s">
        <v>1258</v>
      </c>
      <c r="B1192" s="20" t="s">
        <v>134</v>
      </c>
      <c r="C1192" s="21">
        <v>45737</v>
      </c>
      <c r="D1192" s="21">
        <v>45752</v>
      </c>
      <c r="E1192" s="21">
        <v>45759</v>
      </c>
      <c r="F1192" s="20" t="s">
        <v>67</v>
      </c>
      <c r="G1192" s="22">
        <v>32.950000000000003</v>
      </c>
      <c r="H1192" s="22">
        <v>28.91</v>
      </c>
      <c r="I1192" s="20" t="s">
        <v>45</v>
      </c>
      <c r="J1192" s="20">
        <v>3</v>
      </c>
      <c r="K1192" s="20" t="s">
        <v>46</v>
      </c>
      <c r="L1192" s="23">
        <f t="shared" si="137"/>
        <v>45717</v>
      </c>
      <c r="M1192" s="20">
        <f t="shared" si="138"/>
        <v>15</v>
      </c>
      <c r="N1192" s="20">
        <f t="shared" si="139"/>
        <v>0</v>
      </c>
      <c r="O1192" s="20">
        <f t="shared" si="140"/>
        <v>1</v>
      </c>
      <c r="P1192" s="22">
        <f t="shared" si="141"/>
        <v>61.86</v>
      </c>
      <c r="Q1192" s="22">
        <f>G1192*INDEX(Assumptions!$B$8:$B$16,MATCH(F1192,Assumptions!$A$8:$A$16,0))</f>
        <v>20.429000000000002</v>
      </c>
      <c r="R1192" s="22">
        <f>H1192*Assumptions!$B$3</f>
        <v>17.346</v>
      </c>
      <c r="S1192" s="22">
        <f t="shared" si="142"/>
        <v>-4.8249999999999993</v>
      </c>
      <c r="T1192" s="20" t="str">
        <f t="shared" si="143"/>
        <v>15-21 days</v>
      </c>
    </row>
    <row r="1193" spans="1:20" x14ac:dyDescent="0.3">
      <c r="A1193" s="20" t="s">
        <v>1259</v>
      </c>
      <c r="B1193" s="20" t="s">
        <v>19</v>
      </c>
      <c r="C1193" s="21">
        <v>45737</v>
      </c>
      <c r="D1193" s="21">
        <v>45742</v>
      </c>
      <c r="E1193" s="21">
        <v>45752</v>
      </c>
      <c r="F1193" s="20" t="s">
        <v>67</v>
      </c>
      <c r="G1193" s="22">
        <v>48.48</v>
      </c>
      <c r="H1193" s="22">
        <v>19.52</v>
      </c>
      <c r="I1193" s="20" t="s">
        <v>45</v>
      </c>
      <c r="J1193" s="20">
        <v>4</v>
      </c>
      <c r="K1193" s="20" t="s">
        <v>46</v>
      </c>
      <c r="L1193" s="23">
        <f t="shared" si="137"/>
        <v>45717</v>
      </c>
      <c r="M1193" s="20">
        <f t="shared" si="138"/>
        <v>5</v>
      </c>
      <c r="N1193" s="20">
        <f t="shared" si="139"/>
        <v>0</v>
      </c>
      <c r="O1193" s="20">
        <f t="shared" si="140"/>
        <v>1</v>
      </c>
      <c r="P1193" s="22">
        <f t="shared" si="141"/>
        <v>68</v>
      </c>
      <c r="Q1193" s="22">
        <f>G1193*INDEX(Assumptions!$B$8:$B$16,MATCH(F1193,Assumptions!$A$8:$A$16,0))</f>
        <v>30.057599999999997</v>
      </c>
      <c r="R1193" s="22">
        <f>H1193*Assumptions!$B$3</f>
        <v>11.712</v>
      </c>
      <c r="S1193" s="22">
        <f t="shared" si="142"/>
        <v>6.7103999999999999</v>
      </c>
      <c r="T1193" s="20" t="str">
        <f t="shared" si="143"/>
        <v>0-7 days</v>
      </c>
    </row>
    <row r="1194" spans="1:20" x14ac:dyDescent="0.3">
      <c r="A1194" s="20" t="s">
        <v>1260</v>
      </c>
      <c r="B1194" s="20" t="s">
        <v>19</v>
      </c>
      <c r="C1194" s="21">
        <v>45737</v>
      </c>
      <c r="D1194" s="21">
        <v>45746</v>
      </c>
      <c r="E1194" s="21">
        <v>45751</v>
      </c>
      <c r="F1194" s="20" t="s">
        <v>59</v>
      </c>
      <c r="G1194" s="22">
        <v>76.569999999999993</v>
      </c>
      <c r="H1194" s="22">
        <v>21.13</v>
      </c>
      <c r="I1194" s="20" t="s">
        <v>45</v>
      </c>
      <c r="J1194" s="20">
        <v>4</v>
      </c>
      <c r="K1194" s="20" t="s">
        <v>46</v>
      </c>
      <c r="L1194" s="23">
        <f t="shared" si="137"/>
        <v>45717</v>
      </c>
      <c r="M1194" s="20">
        <f t="shared" si="138"/>
        <v>9</v>
      </c>
      <c r="N1194" s="20">
        <f t="shared" si="139"/>
        <v>0</v>
      </c>
      <c r="O1194" s="20">
        <f t="shared" si="140"/>
        <v>1</v>
      </c>
      <c r="P1194" s="22">
        <f t="shared" si="141"/>
        <v>97.699999999999989</v>
      </c>
      <c r="Q1194" s="22">
        <f>G1194*INDEX(Assumptions!$B$8:$B$16,MATCH(F1194,Assumptions!$A$8:$A$16,0))</f>
        <v>49.004799999999996</v>
      </c>
      <c r="R1194" s="22">
        <f>H1194*Assumptions!$B$3</f>
        <v>12.677999999999999</v>
      </c>
      <c r="S1194" s="22">
        <f t="shared" si="142"/>
        <v>14.887199999999998</v>
      </c>
      <c r="T1194" s="20" t="str">
        <f t="shared" si="143"/>
        <v>8-14 days</v>
      </c>
    </row>
    <row r="1195" spans="1:20" x14ac:dyDescent="0.3">
      <c r="A1195" s="20" t="s">
        <v>1261</v>
      </c>
      <c r="B1195" s="20" t="s">
        <v>62</v>
      </c>
      <c r="C1195" s="21">
        <v>45737</v>
      </c>
      <c r="D1195" s="21">
        <v>45746</v>
      </c>
      <c r="E1195" s="21">
        <v>45759</v>
      </c>
      <c r="F1195" s="20" t="s">
        <v>111</v>
      </c>
      <c r="G1195" s="22">
        <v>43.08</v>
      </c>
      <c r="H1195" s="22">
        <v>22.74</v>
      </c>
      <c r="I1195" s="20" t="s">
        <v>60</v>
      </c>
      <c r="J1195" s="20">
        <v>4</v>
      </c>
      <c r="K1195" s="20" t="s">
        <v>46</v>
      </c>
      <c r="L1195" s="23">
        <f t="shared" si="137"/>
        <v>45717</v>
      </c>
      <c r="M1195" s="20">
        <f t="shared" si="138"/>
        <v>9</v>
      </c>
      <c r="N1195" s="20">
        <f t="shared" si="139"/>
        <v>0</v>
      </c>
      <c r="O1195" s="20">
        <f t="shared" si="140"/>
        <v>1</v>
      </c>
      <c r="P1195" s="22">
        <f t="shared" si="141"/>
        <v>65.819999999999993</v>
      </c>
      <c r="Q1195" s="22">
        <f>G1195*INDEX(Assumptions!$B$8:$B$16,MATCH(F1195,Assumptions!$A$8:$A$16,0))</f>
        <v>27.1404</v>
      </c>
      <c r="R1195" s="22">
        <f>H1195*Assumptions!$B$3</f>
        <v>13.643999999999998</v>
      </c>
      <c r="S1195" s="22">
        <f t="shared" si="142"/>
        <v>2.2956000000000003</v>
      </c>
      <c r="T1195" s="20" t="str">
        <f t="shared" si="143"/>
        <v>8-14 days</v>
      </c>
    </row>
    <row r="1196" spans="1:20" x14ac:dyDescent="0.3">
      <c r="A1196" s="20" t="s">
        <v>1262</v>
      </c>
      <c r="B1196" s="20" t="s">
        <v>19</v>
      </c>
      <c r="C1196" s="21">
        <v>45737</v>
      </c>
      <c r="D1196" s="21">
        <v>45746</v>
      </c>
      <c r="E1196" s="21">
        <v>45752</v>
      </c>
      <c r="F1196" s="20" t="s">
        <v>111</v>
      </c>
      <c r="G1196" s="22">
        <v>111.5</v>
      </c>
      <c r="H1196" s="22">
        <v>21.16</v>
      </c>
      <c r="I1196" s="20" t="s">
        <v>45</v>
      </c>
      <c r="J1196" s="20">
        <v>5</v>
      </c>
      <c r="K1196" s="20" t="s">
        <v>46</v>
      </c>
      <c r="L1196" s="23">
        <f t="shared" si="137"/>
        <v>45717</v>
      </c>
      <c r="M1196" s="20">
        <f t="shared" si="138"/>
        <v>9</v>
      </c>
      <c r="N1196" s="20">
        <f t="shared" si="139"/>
        <v>0</v>
      </c>
      <c r="O1196" s="20">
        <f t="shared" si="140"/>
        <v>1</v>
      </c>
      <c r="P1196" s="22">
        <f t="shared" si="141"/>
        <v>132.66</v>
      </c>
      <c r="Q1196" s="22">
        <f>G1196*INDEX(Assumptions!$B$8:$B$16,MATCH(F1196,Assumptions!$A$8:$A$16,0))</f>
        <v>70.245000000000005</v>
      </c>
      <c r="R1196" s="22">
        <f>H1196*Assumptions!$B$3</f>
        <v>12.696</v>
      </c>
      <c r="S1196" s="22">
        <f t="shared" si="142"/>
        <v>28.558999999999997</v>
      </c>
      <c r="T1196" s="20" t="str">
        <f t="shared" si="143"/>
        <v>8-14 days</v>
      </c>
    </row>
    <row r="1197" spans="1:20" x14ac:dyDescent="0.3">
      <c r="A1197" s="20" t="s">
        <v>1263</v>
      </c>
      <c r="B1197" s="20" t="s">
        <v>19</v>
      </c>
      <c r="C1197" s="21">
        <v>45737</v>
      </c>
      <c r="D1197" s="21">
        <v>45752</v>
      </c>
      <c r="E1197" s="21">
        <v>45750</v>
      </c>
      <c r="F1197" s="20" t="s">
        <v>79</v>
      </c>
      <c r="G1197" s="22">
        <v>110.01</v>
      </c>
      <c r="H1197" s="22">
        <v>16.04</v>
      </c>
      <c r="I1197" s="20" t="s">
        <v>45</v>
      </c>
      <c r="J1197" s="20">
        <v>3</v>
      </c>
      <c r="K1197" s="20" t="s">
        <v>46</v>
      </c>
      <c r="L1197" s="23">
        <f t="shared" si="137"/>
        <v>45717</v>
      </c>
      <c r="M1197" s="20">
        <f t="shared" si="138"/>
        <v>15</v>
      </c>
      <c r="N1197" s="20">
        <f t="shared" si="139"/>
        <v>2</v>
      </c>
      <c r="O1197" s="20">
        <f t="shared" si="140"/>
        <v>0</v>
      </c>
      <c r="P1197" s="22">
        <f t="shared" si="141"/>
        <v>126.05000000000001</v>
      </c>
      <c r="Q1197" s="22">
        <f>G1197*INDEX(Assumptions!$B$8:$B$16,MATCH(F1197,Assumptions!$A$8:$A$16,0))</f>
        <v>77.007000000000005</v>
      </c>
      <c r="R1197" s="22">
        <f>H1197*Assumptions!$B$3</f>
        <v>9.6239999999999988</v>
      </c>
      <c r="S1197" s="22">
        <f t="shared" si="142"/>
        <v>23.379000000000001</v>
      </c>
      <c r="T1197" s="20" t="str">
        <f t="shared" si="143"/>
        <v>15-21 days</v>
      </c>
    </row>
    <row r="1198" spans="1:20" x14ac:dyDescent="0.3">
      <c r="A1198" s="20" t="s">
        <v>1264</v>
      </c>
      <c r="B1198" s="20" t="s">
        <v>55</v>
      </c>
      <c r="C1198" s="21">
        <v>45737</v>
      </c>
      <c r="D1198" s="21">
        <v>45745</v>
      </c>
      <c r="E1198" s="21">
        <v>45761</v>
      </c>
      <c r="F1198" s="20" t="s">
        <v>59</v>
      </c>
      <c r="G1198" s="22">
        <v>99.43</v>
      </c>
      <c r="H1198" s="22">
        <v>30.43</v>
      </c>
      <c r="I1198" s="20" t="s">
        <v>45</v>
      </c>
      <c r="J1198" s="20">
        <v>4</v>
      </c>
      <c r="K1198" s="20" t="s">
        <v>46</v>
      </c>
      <c r="L1198" s="23">
        <f t="shared" si="137"/>
        <v>45717</v>
      </c>
      <c r="M1198" s="20">
        <f t="shared" si="138"/>
        <v>8</v>
      </c>
      <c r="N1198" s="20">
        <f t="shared" si="139"/>
        <v>0</v>
      </c>
      <c r="O1198" s="20">
        <f t="shared" si="140"/>
        <v>1</v>
      </c>
      <c r="P1198" s="22">
        <f t="shared" si="141"/>
        <v>129.86000000000001</v>
      </c>
      <c r="Q1198" s="22">
        <f>G1198*INDEX(Assumptions!$B$8:$B$16,MATCH(F1198,Assumptions!$A$8:$A$16,0))</f>
        <v>63.635200000000005</v>
      </c>
      <c r="R1198" s="22">
        <f>H1198*Assumptions!$B$3</f>
        <v>18.257999999999999</v>
      </c>
      <c r="S1198" s="22">
        <f t="shared" si="142"/>
        <v>17.536800000000003</v>
      </c>
      <c r="T1198" s="20" t="str">
        <f t="shared" si="143"/>
        <v>8-14 days</v>
      </c>
    </row>
    <row r="1199" spans="1:20" x14ac:dyDescent="0.3">
      <c r="A1199" s="20" t="s">
        <v>1265</v>
      </c>
      <c r="B1199" s="20" t="s">
        <v>156</v>
      </c>
      <c r="C1199" s="21">
        <v>45738</v>
      </c>
      <c r="D1199" s="21">
        <v>45762</v>
      </c>
      <c r="E1199" s="21">
        <v>45761</v>
      </c>
      <c r="F1199" s="20" t="s">
        <v>44</v>
      </c>
      <c r="G1199" s="22">
        <v>103.39</v>
      </c>
      <c r="H1199" s="22">
        <v>27.63</v>
      </c>
      <c r="I1199" s="20" t="s">
        <v>45</v>
      </c>
      <c r="J1199" s="20">
        <v>1</v>
      </c>
      <c r="K1199" s="20" t="s">
        <v>46</v>
      </c>
      <c r="L1199" s="23">
        <f t="shared" si="137"/>
        <v>45717</v>
      </c>
      <c r="M1199" s="20">
        <f t="shared" si="138"/>
        <v>24</v>
      </c>
      <c r="N1199" s="20">
        <f t="shared" si="139"/>
        <v>1</v>
      </c>
      <c r="O1199" s="20">
        <f t="shared" si="140"/>
        <v>0</v>
      </c>
      <c r="P1199" s="22">
        <f t="shared" si="141"/>
        <v>131.02000000000001</v>
      </c>
      <c r="Q1199" s="22">
        <f>G1199*INDEX(Assumptions!$B$8:$B$16,MATCH(F1199,Assumptions!$A$8:$A$16,0))</f>
        <v>62.033999999999999</v>
      </c>
      <c r="R1199" s="22">
        <f>H1199*Assumptions!$B$3</f>
        <v>16.577999999999999</v>
      </c>
      <c r="S1199" s="22">
        <f t="shared" si="142"/>
        <v>24.778000000000002</v>
      </c>
      <c r="T1199" s="20" t="str">
        <f t="shared" si="143"/>
        <v>22+ days</v>
      </c>
    </row>
    <row r="1200" spans="1:20" x14ac:dyDescent="0.3">
      <c r="A1200" s="20" t="s">
        <v>1266</v>
      </c>
      <c r="B1200" s="20" t="s">
        <v>134</v>
      </c>
      <c r="C1200" s="21">
        <v>45738</v>
      </c>
      <c r="D1200" s="21">
        <v>45750</v>
      </c>
      <c r="E1200" s="21">
        <v>45764</v>
      </c>
      <c r="F1200" s="20" t="s">
        <v>44</v>
      </c>
      <c r="G1200" s="22">
        <v>17.28</v>
      </c>
      <c r="H1200" s="22">
        <v>21.37</v>
      </c>
      <c r="I1200" s="20" t="s">
        <v>45</v>
      </c>
      <c r="J1200" s="20">
        <v>5</v>
      </c>
      <c r="K1200" s="20" t="s">
        <v>46</v>
      </c>
      <c r="L1200" s="23">
        <f t="shared" si="137"/>
        <v>45717</v>
      </c>
      <c r="M1200" s="20">
        <f t="shared" si="138"/>
        <v>12</v>
      </c>
      <c r="N1200" s="20">
        <f t="shared" si="139"/>
        <v>0</v>
      </c>
      <c r="O1200" s="20">
        <f t="shared" si="140"/>
        <v>1</v>
      </c>
      <c r="P1200" s="22">
        <f t="shared" si="141"/>
        <v>38.650000000000006</v>
      </c>
      <c r="Q1200" s="22">
        <f>G1200*INDEX(Assumptions!$B$8:$B$16,MATCH(F1200,Assumptions!$A$8:$A$16,0))</f>
        <v>10.368</v>
      </c>
      <c r="R1200" s="22">
        <f>H1200*Assumptions!$B$3</f>
        <v>12.822000000000001</v>
      </c>
      <c r="S1200" s="22">
        <f t="shared" si="142"/>
        <v>-5.91</v>
      </c>
      <c r="T1200" s="20" t="str">
        <f t="shared" si="143"/>
        <v>8-14 days</v>
      </c>
    </row>
    <row r="1201" spans="1:20" x14ac:dyDescent="0.3">
      <c r="A1201" s="20" t="s">
        <v>1267</v>
      </c>
      <c r="B1201" s="20" t="s">
        <v>19</v>
      </c>
      <c r="C1201" s="21">
        <v>45739</v>
      </c>
      <c r="D1201" s="21">
        <v>45746</v>
      </c>
      <c r="E1201" s="21">
        <v>45754</v>
      </c>
      <c r="F1201" s="20" t="s">
        <v>111</v>
      </c>
      <c r="G1201" s="22">
        <v>93.44</v>
      </c>
      <c r="H1201" s="22">
        <v>13.82</v>
      </c>
      <c r="I1201" s="20" t="s">
        <v>45</v>
      </c>
      <c r="J1201" s="20">
        <v>4</v>
      </c>
      <c r="K1201" s="20" t="s">
        <v>46</v>
      </c>
      <c r="L1201" s="23">
        <f t="shared" si="137"/>
        <v>45717</v>
      </c>
      <c r="M1201" s="20">
        <f t="shared" si="138"/>
        <v>7</v>
      </c>
      <c r="N1201" s="20">
        <f t="shared" si="139"/>
        <v>0</v>
      </c>
      <c r="O1201" s="20">
        <f t="shared" si="140"/>
        <v>1</v>
      </c>
      <c r="P1201" s="22">
        <f t="shared" si="141"/>
        <v>107.25999999999999</v>
      </c>
      <c r="Q1201" s="22">
        <f>G1201*INDEX(Assumptions!$B$8:$B$16,MATCH(F1201,Assumptions!$A$8:$A$16,0))</f>
        <v>58.867199999999997</v>
      </c>
      <c r="R1201" s="22">
        <f>H1201*Assumptions!$B$3</f>
        <v>8.2919999999999998</v>
      </c>
      <c r="S1201" s="22">
        <f t="shared" si="142"/>
        <v>26.280799999999999</v>
      </c>
      <c r="T1201" s="20" t="str">
        <f t="shared" si="143"/>
        <v>0-7 days</v>
      </c>
    </row>
    <row r="1202" spans="1:20" x14ac:dyDescent="0.3">
      <c r="A1202" s="20" t="s">
        <v>1268</v>
      </c>
      <c r="B1202" s="20" t="s">
        <v>52</v>
      </c>
      <c r="C1202" s="21">
        <v>45739</v>
      </c>
      <c r="D1202" s="21">
        <v>45755</v>
      </c>
      <c r="E1202" s="21">
        <v>45761</v>
      </c>
      <c r="F1202" s="20" t="s">
        <v>53</v>
      </c>
      <c r="G1202" s="22">
        <v>121.02</v>
      </c>
      <c r="H1202" s="22">
        <v>18.2</v>
      </c>
      <c r="I1202" s="20" t="s">
        <v>50</v>
      </c>
      <c r="J1202" s="20">
        <v>5</v>
      </c>
      <c r="K1202" s="20" t="s">
        <v>46</v>
      </c>
      <c r="L1202" s="23">
        <f t="shared" si="137"/>
        <v>45717</v>
      </c>
      <c r="M1202" s="20">
        <f t="shared" si="138"/>
        <v>16</v>
      </c>
      <c r="N1202" s="20">
        <f t="shared" si="139"/>
        <v>0</v>
      </c>
      <c r="O1202" s="20">
        <f t="shared" si="140"/>
        <v>1</v>
      </c>
      <c r="P1202" s="22">
        <f t="shared" si="141"/>
        <v>139.22</v>
      </c>
      <c r="Q1202" s="22">
        <f>G1202*INDEX(Assumptions!$B$8:$B$16,MATCH(F1202,Assumptions!$A$8:$A$16,0))</f>
        <v>89.5548</v>
      </c>
      <c r="R1202" s="22">
        <f>H1202*Assumptions!$B$3</f>
        <v>10.92</v>
      </c>
      <c r="S1202" s="22">
        <f t="shared" si="142"/>
        <v>20.545199999999994</v>
      </c>
      <c r="T1202" s="20" t="str">
        <f t="shared" si="143"/>
        <v>15-21 days</v>
      </c>
    </row>
    <row r="1203" spans="1:20" x14ac:dyDescent="0.3">
      <c r="A1203" s="20" t="s">
        <v>1269</v>
      </c>
      <c r="B1203" s="20" t="s">
        <v>19</v>
      </c>
      <c r="C1203" s="21">
        <v>45739</v>
      </c>
      <c r="D1203" s="21">
        <v>45746</v>
      </c>
      <c r="E1203" s="21">
        <v>45757</v>
      </c>
      <c r="F1203" s="20" t="s">
        <v>67</v>
      </c>
      <c r="G1203" s="22">
        <v>71.38</v>
      </c>
      <c r="H1203" s="22">
        <v>15.84</v>
      </c>
      <c r="I1203" s="20" t="s">
        <v>45</v>
      </c>
      <c r="J1203" s="20">
        <v>4</v>
      </c>
      <c r="K1203" s="20" t="s">
        <v>46</v>
      </c>
      <c r="L1203" s="23">
        <f t="shared" si="137"/>
        <v>45717</v>
      </c>
      <c r="M1203" s="20">
        <f t="shared" si="138"/>
        <v>7</v>
      </c>
      <c r="N1203" s="20">
        <f t="shared" si="139"/>
        <v>0</v>
      </c>
      <c r="O1203" s="20">
        <f t="shared" si="140"/>
        <v>1</v>
      </c>
      <c r="P1203" s="22">
        <f t="shared" si="141"/>
        <v>87.22</v>
      </c>
      <c r="Q1203" s="22">
        <f>G1203*INDEX(Assumptions!$B$8:$B$16,MATCH(F1203,Assumptions!$A$8:$A$16,0))</f>
        <v>44.255599999999994</v>
      </c>
      <c r="R1203" s="22">
        <f>H1203*Assumptions!$B$3</f>
        <v>9.5039999999999996</v>
      </c>
      <c r="S1203" s="22">
        <f t="shared" si="142"/>
        <v>17.620400000000004</v>
      </c>
      <c r="T1203" s="20" t="str">
        <f t="shared" si="143"/>
        <v>0-7 days</v>
      </c>
    </row>
    <row r="1204" spans="1:20" x14ac:dyDescent="0.3">
      <c r="A1204" s="20" t="s">
        <v>1270</v>
      </c>
      <c r="B1204" s="20" t="s">
        <v>48</v>
      </c>
      <c r="C1204" s="21">
        <v>45739</v>
      </c>
      <c r="D1204" s="21">
        <v>45752</v>
      </c>
      <c r="E1204" s="21">
        <v>45762</v>
      </c>
      <c r="F1204" s="20" t="s">
        <v>49</v>
      </c>
      <c r="G1204" s="22">
        <v>81.98</v>
      </c>
      <c r="H1204" s="22">
        <v>25.67</v>
      </c>
      <c r="I1204" s="20" t="s">
        <v>50</v>
      </c>
      <c r="J1204" s="20">
        <v>5</v>
      </c>
      <c r="K1204" s="20" t="s">
        <v>46</v>
      </c>
      <c r="L1204" s="23">
        <f t="shared" si="137"/>
        <v>45717</v>
      </c>
      <c r="M1204" s="20">
        <f t="shared" si="138"/>
        <v>13</v>
      </c>
      <c r="N1204" s="20">
        <f t="shared" si="139"/>
        <v>0</v>
      </c>
      <c r="O1204" s="20">
        <f t="shared" si="140"/>
        <v>1</v>
      </c>
      <c r="P1204" s="22">
        <f t="shared" si="141"/>
        <v>107.65</v>
      </c>
      <c r="Q1204" s="22">
        <f>G1204*INDEX(Assumptions!$B$8:$B$16,MATCH(F1204,Assumptions!$A$8:$A$16,0))</f>
        <v>47.548400000000001</v>
      </c>
      <c r="R1204" s="22">
        <f>H1204*Assumptions!$B$3</f>
        <v>15.402000000000001</v>
      </c>
      <c r="S1204" s="22">
        <f t="shared" si="142"/>
        <v>19.029600000000002</v>
      </c>
      <c r="T1204" s="20" t="str">
        <f t="shared" si="143"/>
        <v>8-14 days</v>
      </c>
    </row>
    <row r="1205" spans="1:20" x14ac:dyDescent="0.3">
      <c r="A1205" s="20" t="s">
        <v>1271</v>
      </c>
      <c r="B1205" s="20" t="s">
        <v>55</v>
      </c>
      <c r="C1205" s="21">
        <v>45739</v>
      </c>
      <c r="D1205" s="21">
        <v>45747</v>
      </c>
      <c r="E1205" s="21">
        <v>45763</v>
      </c>
      <c r="F1205" s="20" t="s">
        <v>79</v>
      </c>
      <c r="G1205" s="22">
        <v>94.16</v>
      </c>
      <c r="H1205" s="22">
        <v>17.84</v>
      </c>
      <c r="I1205" s="20" t="s">
        <v>45</v>
      </c>
      <c r="J1205" s="20">
        <v>5</v>
      </c>
      <c r="K1205" s="20" t="s">
        <v>46</v>
      </c>
      <c r="L1205" s="23">
        <f t="shared" si="137"/>
        <v>45717</v>
      </c>
      <c r="M1205" s="20">
        <f t="shared" si="138"/>
        <v>8</v>
      </c>
      <c r="N1205" s="20">
        <f t="shared" si="139"/>
        <v>0</v>
      </c>
      <c r="O1205" s="20">
        <f t="shared" si="140"/>
        <v>1</v>
      </c>
      <c r="P1205" s="22">
        <f t="shared" si="141"/>
        <v>112</v>
      </c>
      <c r="Q1205" s="22">
        <f>G1205*INDEX(Assumptions!$B$8:$B$16,MATCH(F1205,Assumptions!$A$8:$A$16,0))</f>
        <v>65.911999999999992</v>
      </c>
      <c r="R1205" s="22">
        <f>H1205*Assumptions!$B$3</f>
        <v>10.703999999999999</v>
      </c>
      <c r="S1205" s="22">
        <f t="shared" si="142"/>
        <v>17.544000000000004</v>
      </c>
      <c r="T1205" s="20" t="str">
        <f t="shared" si="143"/>
        <v>8-14 days</v>
      </c>
    </row>
    <row r="1206" spans="1:20" x14ac:dyDescent="0.3">
      <c r="A1206" s="20" t="s">
        <v>1272</v>
      </c>
      <c r="B1206" s="20" t="s">
        <v>103</v>
      </c>
      <c r="C1206" s="21">
        <v>45740</v>
      </c>
      <c r="D1206" s="21">
        <v>45760</v>
      </c>
      <c r="E1206" s="21">
        <v>45764</v>
      </c>
      <c r="F1206" s="20" t="s">
        <v>49</v>
      </c>
      <c r="G1206" s="22">
        <v>189.31</v>
      </c>
      <c r="H1206" s="22">
        <v>29.54</v>
      </c>
      <c r="I1206" s="20" t="s">
        <v>60</v>
      </c>
      <c r="J1206" s="20">
        <v>4</v>
      </c>
      <c r="K1206" s="20" t="s">
        <v>46</v>
      </c>
      <c r="L1206" s="23">
        <f t="shared" si="137"/>
        <v>45717</v>
      </c>
      <c r="M1206" s="20">
        <f t="shared" si="138"/>
        <v>20</v>
      </c>
      <c r="N1206" s="20">
        <f t="shared" si="139"/>
        <v>0</v>
      </c>
      <c r="O1206" s="20">
        <f t="shared" si="140"/>
        <v>1</v>
      </c>
      <c r="P1206" s="22">
        <f t="shared" si="141"/>
        <v>218.85</v>
      </c>
      <c r="Q1206" s="22">
        <f>G1206*INDEX(Assumptions!$B$8:$B$16,MATCH(F1206,Assumptions!$A$8:$A$16,0))</f>
        <v>109.79979999999999</v>
      </c>
      <c r="R1206" s="22">
        <f>H1206*Assumptions!$B$3</f>
        <v>17.724</v>
      </c>
      <c r="S1206" s="22">
        <f t="shared" si="142"/>
        <v>61.786200000000008</v>
      </c>
      <c r="T1206" s="20" t="str">
        <f t="shared" si="143"/>
        <v>15-21 days</v>
      </c>
    </row>
    <row r="1207" spans="1:20" x14ac:dyDescent="0.3">
      <c r="A1207" s="20" t="s">
        <v>1273</v>
      </c>
      <c r="B1207" s="20" t="s">
        <v>55</v>
      </c>
      <c r="C1207" s="21">
        <v>45740</v>
      </c>
      <c r="D1207" s="21">
        <v>45751</v>
      </c>
      <c r="E1207" s="21">
        <v>45766</v>
      </c>
      <c r="F1207" s="20" t="s">
        <v>49</v>
      </c>
      <c r="G1207" s="22">
        <v>35.21</v>
      </c>
      <c r="H1207" s="22">
        <v>17.91</v>
      </c>
      <c r="I1207" s="20" t="s">
        <v>60</v>
      </c>
      <c r="J1207" s="20">
        <v>5</v>
      </c>
      <c r="K1207" s="20" t="s">
        <v>46</v>
      </c>
      <c r="L1207" s="23">
        <f t="shared" si="137"/>
        <v>45717</v>
      </c>
      <c r="M1207" s="20">
        <f t="shared" si="138"/>
        <v>11</v>
      </c>
      <c r="N1207" s="20">
        <f t="shared" si="139"/>
        <v>0</v>
      </c>
      <c r="O1207" s="20">
        <f t="shared" si="140"/>
        <v>1</v>
      </c>
      <c r="P1207" s="22">
        <f t="shared" si="141"/>
        <v>53.120000000000005</v>
      </c>
      <c r="Q1207" s="22">
        <f>G1207*INDEX(Assumptions!$B$8:$B$16,MATCH(F1207,Assumptions!$A$8:$A$16,0))</f>
        <v>20.421799999999998</v>
      </c>
      <c r="R1207" s="22">
        <f>H1207*Assumptions!$B$3</f>
        <v>10.746</v>
      </c>
      <c r="S1207" s="22">
        <f t="shared" si="142"/>
        <v>4.0422000000000029</v>
      </c>
      <c r="T1207" s="20" t="str">
        <f t="shared" si="143"/>
        <v>8-14 days</v>
      </c>
    </row>
    <row r="1208" spans="1:20" x14ac:dyDescent="0.3">
      <c r="A1208" s="20" t="s">
        <v>1274</v>
      </c>
      <c r="B1208" s="20" t="s">
        <v>19</v>
      </c>
      <c r="C1208" s="21">
        <v>45740</v>
      </c>
      <c r="D1208" s="21">
        <v>45748</v>
      </c>
      <c r="E1208" s="21">
        <v>45755</v>
      </c>
      <c r="F1208" s="20" t="s">
        <v>53</v>
      </c>
      <c r="G1208" s="22">
        <v>242.97</v>
      </c>
      <c r="H1208" s="22">
        <v>22.9</v>
      </c>
      <c r="I1208" s="20" t="s">
        <v>45</v>
      </c>
      <c r="J1208" s="20">
        <v>5</v>
      </c>
      <c r="K1208" s="20" t="s">
        <v>46</v>
      </c>
      <c r="L1208" s="23">
        <f t="shared" si="137"/>
        <v>45717</v>
      </c>
      <c r="M1208" s="20">
        <f t="shared" si="138"/>
        <v>8</v>
      </c>
      <c r="N1208" s="20">
        <f t="shared" si="139"/>
        <v>0</v>
      </c>
      <c r="O1208" s="20">
        <f t="shared" si="140"/>
        <v>1</v>
      </c>
      <c r="P1208" s="22">
        <f t="shared" si="141"/>
        <v>265.87</v>
      </c>
      <c r="Q1208" s="22">
        <f>G1208*INDEX(Assumptions!$B$8:$B$16,MATCH(F1208,Assumptions!$A$8:$A$16,0))</f>
        <v>179.7978</v>
      </c>
      <c r="R1208" s="22">
        <f>H1208*Assumptions!$B$3</f>
        <v>13.739999999999998</v>
      </c>
      <c r="S1208" s="22">
        <f t="shared" si="142"/>
        <v>49.432200000000009</v>
      </c>
      <c r="T1208" s="20" t="str">
        <f t="shared" si="143"/>
        <v>8-14 days</v>
      </c>
    </row>
    <row r="1209" spans="1:20" x14ac:dyDescent="0.3">
      <c r="A1209" s="20" t="s">
        <v>1275</v>
      </c>
      <c r="B1209" s="20" t="s">
        <v>19</v>
      </c>
      <c r="C1209" s="21">
        <v>45740</v>
      </c>
      <c r="D1209" s="21">
        <v>45743</v>
      </c>
      <c r="E1209" s="21">
        <v>45756</v>
      </c>
      <c r="F1209" s="20" t="s">
        <v>67</v>
      </c>
      <c r="G1209" s="22">
        <v>57.68</v>
      </c>
      <c r="H1209" s="22">
        <v>11.7</v>
      </c>
      <c r="I1209" s="20" t="s">
        <v>60</v>
      </c>
      <c r="J1209" s="20">
        <v>5</v>
      </c>
      <c r="K1209" s="20" t="s">
        <v>46</v>
      </c>
      <c r="L1209" s="23">
        <f t="shared" si="137"/>
        <v>45717</v>
      </c>
      <c r="M1209" s="20">
        <f t="shared" si="138"/>
        <v>3</v>
      </c>
      <c r="N1209" s="20">
        <f t="shared" si="139"/>
        <v>0</v>
      </c>
      <c r="O1209" s="20">
        <f t="shared" si="140"/>
        <v>1</v>
      </c>
      <c r="P1209" s="22">
        <f t="shared" si="141"/>
        <v>69.38</v>
      </c>
      <c r="Q1209" s="22">
        <f>G1209*INDEX(Assumptions!$B$8:$B$16,MATCH(F1209,Assumptions!$A$8:$A$16,0))</f>
        <v>35.761600000000001</v>
      </c>
      <c r="R1209" s="22">
        <f>H1209*Assumptions!$B$3</f>
        <v>7.02</v>
      </c>
      <c r="S1209" s="22">
        <f t="shared" si="142"/>
        <v>14.898399999999999</v>
      </c>
      <c r="T1209" s="20" t="str">
        <f t="shared" si="143"/>
        <v>0-7 days</v>
      </c>
    </row>
    <row r="1210" spans="1:20" x14ac:dyDescent="0.3">
      <c r="A1210" s="20" t="s">
        <v>1276</v>
      </c>
      <c r="B1210" s="20" t="s">
        <v>55</v>
      </c>
      <c r="C1210" s="21">
        <v>45741</v>
      </c>
      <c r="D1210" s="21">
        <v>45762</v>
      </c>
      <c r="E1210" s="21">
        <v>45766</v>
      </c>
      <c r="F1210" s="20" t="s">
        <v>67</v>
      </c>
      <c r="G1210" s="22">
        <v>33.72</v>
      </c>
      <c r="H1210" s="22">
        <v>25.53</v>
      </c>
      <c r="I1210" s="20" t="s">
        <v>104</v>
      </c>
      <c r="J1210" s="20">
        <v>4</v>
      </c>
      <c r="K1210" s="20" t="s">
        <v>46</v>
      </c>
      <c r="L1210" s="23">
        <f t="shared" si="137"/>
        <v>45717</v>
      </c>
      <c r="M1210" s="20">
        <f t="shared" si="138"/>
        <v>21</v>
      </c>
      <c r="N1210" s="20">
        <f t="shared" si="139"/>
        <v>0</v>
      </c>
      <c r="O1210" s="20">
        <f t="shared" si="140"/>
        <v>1</v>
      </c>
      <c r="P1210" s="22">
        <f t="shared" si="141"/>
        <v>59.25</v>
      </c>
      <c r="Q1210" s="22">
        <f>G1210*INDEX(Assumptions!$B$8:$B$16,MATCH(F1210,Assumptions!$A$8:$A$16,0))</f>
        <v>20.906399999999998</v>
      </c>
      <c r="R1210" s="22">
        <f>H1210*Assumptions!$B$3</f>
        <v>15.318</v>
      </c>
      <c r="S1210" s="22">
        <f t="shared" si="142"/>
        <v>-2.5043999999999986</v>
      </c>
      <c r="T1210" s="20" t="str">
        <f t="shared" si="143"/>
        <v>15-21 days</v>
      </c>
    </row>
    <row r="1211" spans="1:20" x14ac:dyDescent="0.3">
      <c r="A1211" s="20" t="s">
        <v>1277</v>
      </c>
      <c r="B1211" s="20" t="s">
        <v>19</v>
      </c>
      <c r="C1211" s="21">
        <v>45741</v>
      </c>
      <c r="D1211" s="21">
        <v>45747</v>
      </c>
      <c r="E1211" s="21">
        <v>45757</v>
      </c>
      <c r="F1211" s="20" t="s">
        <v>64</v>
      </c>
      <c r="G1211" s="22">
        <v>90.03</v>
      </c>
      <c r="H1211" s="22">
        <v>13.02</v>
      </c>
      <c r="I1211" s="20" t="s">
        <v>60</v>
      </c>
      <c r="J1211" s="20">
        <v>5</v>
      </c>
      <c r="K1211" s="20" t="s">
        <v>46</v>
      </c>
      <c r="L1211" s="23">
        <f t="shared" si="137"/>
        <v>45717</v>
      </c>
      <c r="M1211" s="20">
        <f t="shared" si="138"/>
        <v>6</v>
      </c>
      <c r="N1211" s="20">
        <f t="shared" si="139"/>
        <v>0</v>
      </c>
      <c r="O1211" s="20">
        <f t="shared" si="140"/>
        <v>1</v>
      </c>
      <c r="P1211" s="22">
        <f t="shared" si="141"/>
        <v>103.05</v>
      </c>
      <c r="Q1211" s="22">
        <f>G1211*INDEX(Assumptions!$B$8:$B$16,MATCH(F1211,Assumptions!$A$8:$A$16,0))</f>
        <v>59.419800000000002</v>
      </c>
      <c r="R1211" s="22">
        <f>H1211*Assumptions!$B$3</f>
        <v>7.8119999999999994</v>
      </c>
      <c r="S1211" s="22">
        <f t="shared" si="142"/>
        <v>22.798200000000001</v>
      </c>
      <c r="T1211" s="20" t="str">
        <f t="shared" si="143"/>
        <v>0-7 days</v>
      </c>
    </row>
    <row r="1212" spans="1:20" x14ac:dyDescent="0.3">
      <c r="A1212" s="20" t="s">
        <v>1278</v>
      </c>
      <c r="B1212" s="20" t="s">
        <v>48</v>
      </c>
      <c r="C1212" s="21">
        <v>45741</v>
      </c>
      <c r="D1212" s="21">
        <v>45753</v>
      </c>
      <c r="E1212" s="21">
        <v>45760</v>
      </c>
      <c r="F1212" s="20" t="s">
        <v>79</v>
      </c>
      <c r="G1212" s="22">
        <v>74.69</v>
      </c>
      <c r="H1212" s="22">
        <v>27.06</v>
      </c>
      <c r="I1212" s="20" t="s">
        <v>45</v>
      </c>
      <c r="J1212" s="20">
        <v>4</v>
      </c>
      <c r="K1212" s="20" t="s">
        <v>46</v>
      </c>
      <c r="L1212" s="23">
        <f t="shared" si="137"/>
        <v>45717</v>
      </c>
      <c r="M1212" s="20">
        <f t="shared" si="138"/>
        <v>12</v>
      </c>
      <c r="N1212" s="20">
        <f t="shared" si="139"/>
        <v>0</v>
      </c>
      <c r="O1212" s="20">
        <f t="shared" si="140"/>
        <v>1</v>
      </c>
      <c r="P1212" s="22">
        <f t="shared" si="141"/>
        <v>101.75</v>
      </c>
      <c r="Q1212" s="22">
        <f>G1212*INDEX(Assumptions!$B$8:$B$16,MATCH(F1212,Assumptions!$A$8:$A$16,0))</f>
        <v>52.282999999999994</v>
      </c>
      <c r="R1212" s="22">
        <f>H1212*Assumptions!$B$3</f>
        <v>16.235999999999997</v>
      </c>
      <c r="S1212" s="22">
        <f t="shared" si="142"/>
        <v>6.1710000000000065</v>
      </c>
      <c r="T1212" s="20" t="str">
        <f t="shared" si="143"/>
        <v>8-14 days</v>
      </c>
    </row>
    <row r="1213" spans="1:20" x14ac:dyDescent="0.3">
      <c r="A1213" s="20" t="s">
        <v>1279</v>
      </c>
      <c r="B1213" s="20" t="s">
        <v>19</v>
      </c>
      <c r="C1213" s="21">
        <v>45742</v>
      </c>
      <c r="D1213" s="21">
        <v>45747</v>
      </c>
      <c r="E1213" s="21">
        <v>45758</v>
      </c>
      <c r="F1213" s="20" t="s">
        <v>79</v>
      </c>
      <c r="G1213" s="22">
        <v>64.78</v>
      </c>
      <c r="H1213" s="22">
        <v>16.809999999999999</v>
      </c>
      <c r="I1213" s="20" t="s">
        <v>60</v>
      </c>
      <c r="J1213" s="20">
        <v>4</v>
      </c>
      <c r="K1213" s="20" t="s">
        <v>46</v>
      </c>
      <c r="L1213" s="23">
        <f t="shared" si="137"/>
        <v>45717</v>
      </c>
      <c r="M1213" s="20">
        <f t="shared" si="138"/>
        <v>5</v>
      </c>
      <c r="N1213" s="20">
        <f t="shared" si="139"/>
        <v>0</v>
      </c>
      <c r="O1213" s="20">
        <f t="shared" si="140"/>
        <v>1</v>
      </c>
      <c r="P1213" s="22">
        <f t="shared" si="141"/>
        <v>81.59</v>
      </c>
      <c r="Q1213" s="22">
        <f>G1213*INDEX(Assumptions!$B$8:$B$16,MATCH(F1213,Assumptions!$A$8:$A$16,0))</f>
        <v>45.345999999999997</v>
      </c>
      <c r="R1213" s="22">
        <f>H1213*Assumptions!$B$3</f>
        <v>10.085999999999999</v>
      </c>
      <c r="S1213" s="22">
        <f t="shared" si="142"/>
        <v>9.3480000000000061</v>
      </c>
      <c r="T1213" s="20" t="str">
        <f t="shared" si="143"/>
        <v>0-7 days</v>
      </c>
    </row>
    <row r="1214" spans="1:20" x14ac:dyDescent="0.3">
      <c r="A1214" s="20" t="s">
        <v>1280</v>
      </c>
      <c r="B1214" s="20" t="s">
        <v>19</v>
      </c>
      <c r="C1214" s="21">
        <v>45742</v>
      </c>
      <c r="D1214" s="21">
        <v>45751</v>
      </c>
      <c r="E1214" s="21">
        <v>45759</v>
      </c>
      <c r="F1214" s="20" t="s">
        <v>67</v>
      </c>
      <c r="G1214" s="22">
        <v>288.7</v>
      </c>
      <c r="H1214" s="22">
        <v>16.55</v>
      </c>
      <c r="I1214" s="20" t="s">
        <v>45</v>
      </c>
      <c r="J1214" s="20">
        <v>3</v>
      </c>
      <c r="K1214" s="20" t="s">
        <v>46</v>
      </c>
      <c r="L1214" s="23">
        <f t="shared" si="137"/>
        <v>45717</v>
      </c>
      <c r="M1214" s="20">
        <f t="shared" si="138"/>
        <v>9</v>
      </c>
      <c r="N1214" s="20">
        <f t="shared" si="139"/>
        <v>0</v>
      </c>
      <c r="O1214" s="20">
        <f t="shared" si="140"/>
        <v>1</v>
      </c>
      <c r="P1214" s="22">
        <f t="shared" si="141"/>
        <v>305.25</v>
      </c>
      <c r="Q1214" s="22">
        <f>G1214*INDEX(Assumptions!$B$8:$B$16,MATCH(F1214,Assumptions!$A$8:$A$16,0))</f>
        <v>178.994</v>
      </c>
      <c r="R1214" s="22">
        <f>H1214*Assumptions!$B$3</f>
        <v>9.93</v>
      </c>
      <c r="S1214" s="22">
        <f t="shared" si="142"/>
        <v>99.775999999999982</v>
      </c>
      <c r="T1214" s="20" t="str">
        <f t="shared" si="143"/>
        <v>8-14 days</v>
      </c>
    </row>
    <row r="1215" spans="1:20" x14ac:dyDescent="0.3">
      <c r="A1215" s="20" t="s">
        <v>1281</v>
      </c>
      <c r="B1215" s="20" t="s">
        <v>48</v>
      </c>
      <c r="C1215" s="21">
        <v>45743</v>
      </c>
      <c r="D1215" s="21">
        <v>45766</v>
      </c>
      <c r="E1215" s="21">
        <v>45762</v>
      </c>
      <c r="F1215" s="20" t="s">
        <v>79</v>
      </c>
      <c r="G1215" s="22">
        <v>111.28</v>
      </c>
      <c r="H1215" s="22">
        <v>19.12</v>
      </c>
      <c r="I1215" s="20" t="s">
        <v>45</v>
      </c>
      <c r="J1215" s="20">
        <v>3</v>
      </c>
      <c r="K1215" s="20" t="s">
        <v>46</v>
      </c>
      <c r="L1215" s="23">
        <f t="shared" si="137"/>
        <v>45717</v>
      </c>
      <c r="M1215" s="20">
        <f t="shared" si="138"/>
        <v>23</v>
      </c>
      <c r="N1215" s="20">
        <f t="shared" si="139"/>
        <v>4</v>
      </c>
      <c r="O1215" s="20">
        <f t="shared" si="140"/>
        <v>0</v>
      </c>
      <c r="P1215" s="22">
        <f t="shared" si="141"/>
        <v>130.4</v>
      </c>
      <c r="Q1215" s="22">
        <f>G1215*INDEX(Assumptions!$B$8:$B$16,MATCH(F1215,Assumptions!$A$8:$A$16,0))</f>
        <v>77.896000000000001</v>
      </c>
      <c r="R1215" s="22">
        <f>H1215*Assumptions!$B$3</f>
        <v>11.472</v>
      </c>
      <c r="S1215" s="22">
        <f t="shared" si="142"/>
        <v>21.911999999999999</v>
      </c>
      <c r="T1215" s="20" t="str">
        <f t="shared" si="143"/>
        <v>22+ days</v>
      </c>
    </row>
    <row r="1216" spans="1:20" x14ac:dyDescent="0.3">
      <c r="A1216" s="20" t="s">
        <v>1282</v>
      </c>
      <c r="B1216" s="20" t="s">
        <v>19</v>
      </c>
      <c r="C1216" s="21">
        <v>45743</v>
      </c>
      <c r="D1216" s="21">
        <v>45750</v>
      </c>
      <c r="E1216" s="21">
        <v>45762</v>
      </c>
      <c r="F1216" s="20" t="s">
        <v>79</v>
      </c>
      <c r="G1216" s="22">
        <v>113.5</v>
      </c>
      <c r="H1216" s="22">
        <v>17.809999999999999</v>
      </c>
      <c r="I1216" s="20" t="s">
        <v>45</v>
      </c>
      <c r="J1216" s="20">
        <v>3</v>
      </c>
      <c r="K1216" s="20" t="s">
        <v>46</v>
      </c>
      <c r="L1216" s="23">
        <f t="shared" si="137"/>
        <v>45717</v>
      </c>
      <c r="M1216" s="20">
        <f t="shared" si="138"/>
        <v>7</v>
      </c>
      <c r="N1216" s="20">
        <f t="shared" si="139"/>
        <v>0</v>
      </c>
      <c r="O1216" s="20">
        <f t="shared" si="140"/>
        <v>1</v>
      </c>
      <c r="P1216" s="22">
        <f t="shared" si="141"/>
        <v>131.31</v>
      </c>
      <c r="Q1216" s="22">
        <f>G1216*INDEX(Assumptions!$B$8:$B$16,MATCH(F1216,Assumptions!$A$8:$A$16,0))</f>
        <v>79.449999999999989</v>
      </c>
      <c r="R1216" s="22">
        <f>H1216*Assumptions!$B$3</f>
        <v>10.685999999999998</v>
      </c>
      <c r="S1216" s="22">
        <f t="shared" si="142"/>
        <v>23.364000000000011</v>
      </c>
      <c r="T1216" s="20" t="str">
        <f t="shared" si="143"/>
        <v>0-7 days</v>
      </c>
    </row>
    <row r="1217" spans="1:20" x14ac:dyDescent="0.3">
      <c r="A1217" s="20" t="s">
        <v>1283</v>
      </c>
      <c r="B1217" s="20" t="s">
        <v>19</v>
      </c>
      <c r="C1217" s="21">
        <v>45743</v>
      </c>
      <c r="D1217" s="21">
        <v>45750</v>
      </c>
      <c r="E1217" s="21">
        <v>45756</v>
      </c>
      <c r="F1217" s="20" t="s">
        <v>44</v>
      </c>
      <c r="G1217" s="22">
        <v>38.61</v>
      </c>
      <c r="H1217" s="22">
        <v>13.78</v>
      </c>
      <c r="I1217" s="20" t="s">
        <v>45</v>
      </c>
      <c r="J1217" s="20">
        <v>5</v>
      </c>
      <c r="K1217" s="20" t="s">
        <v>46</v>
      </c>
      <c r="L1217" s="23">
        <f t="shared" si="137"/>
        <v>45717</v>
      </c>
      <c r="M1217" s="20">
        <f t="shared" si="138"/>
        <v>7</v>
      </c>
      <c r="N1217" s="20">
        <f t="shared" si="139"/>
        <v>0</v>
      </c>
      <c r="O1217" s="20">
        <f t="shared" si="140"/>
        <v>1</v>
      </c>
      <c r="P1217" s="22">
        <f t="shared" si="141"/>
        <v>52.39</v>
      </c>
      <c r="Q1217" s="22">
        <f>G1217*INDEX(Assumptions!$B$8:$B$16,MATCH(F1217,Assumptions!$A$8:$A$16,0))</f>
        <v>23.166</v>
      </c>
      <c r="R1217" s="22">
        <f>H1217*Assumptions!$B$3</f>
        <v>8.2679999999999989</v>
      </c>
      <c r="S1217" s="22">
        <f t="shared" si="142"/>
        <v>7.1760000000000002</v>
      </c>
      <c r="T1217" s="20" t="str">
        <f t="shared" si="143"/>
        <v>0-7 days</v>
      </c>
    </row>
    <row r="1218" spans="1:20" x14ac:dyDescent="0.3">
      <c r="A1218" s="20" t="s">
        <v>1284</v>
      </c>
      <c r="B1218" s="20" t="s">
        <v>62</v>
      </c>
      <c r="C1218" s="21">
        <v>45744</v>
      </c>
      <c r="D1218" s="21">
        <v>45755</v>
      </c>
      <c r="E1218" s="21">
        <v>45765</v>
      </c>
      <c r="F1218" s="20" t="s">
        <v>67</v>
      </c>
      <c r="G1218" s="22">
        <v>48.38</v>
      </c>
      <c r="H1218" s="22">
        <v>17.600000000000001</v>
      </c>
      <c r="I1218" s="20" t="s">
        <v>45</v>
      </c>
      <c r="J1218" s="20">
        <v>5</v>
      </c>
      <c r="K1218" s="20" t="s">
        <v>46</v>
      </c>
      <c r="L1218" s="23">
        <f t="shared" ref="L1218:L1281" si="144">DATE(YEAR(C1218),MONTH(C1218),1)</f>
        <v>45717</v>
      </c>
      <c r="M1218" s="20">
        <f t="shared" ref="M1218:M1281" si="145">D1218-C1218</f>
        <v>11</v>
      </c>
      <c r="N1218" s="20">
        <f t="shared" ref="N1218:N1281" si="146">MAX(0,D1218-E1218)</f>
        <v>0</v>
      </c>
      <c r="O1218" s="20">
        <f t="shared" ref="O1218:O1281" si="147">IF(D1218&lt;=E1218,1,0)</f>
        <v>1</v>
      </c>
      <c r="P1218" s="22">
        <f t="shared" ref="P1218:P1281" si="148">G1218+H1218</f>
        <v>65.98</v>
      </c>
      <c r="Q1218" s="22">
        <f>G1218*INDEX(Assumptions!$B$8:$B$16,MATCH(F1218,Assumptions!$A$8:$A$16,0))</f>
        <v>29.9956</v>
      </c>
      <c r="R1218" s="22">
        <f>H1218*Assumptions!$B$3</f>
        <v>10.56</v>
      </c>
      <c r="S1218" s="22">
        <f t="shared" ref="S1218:S1281" si="149">G1218-Q1218-R1218</f>
        <v>7.8244000000000025</v>
      </c>
      <c r="T1218" s="20" t="str">
        <f t="shared" ref="T1218:T1281" si="150">IF(M1218&lt;=7,"0-7 days",IF(M1218&lt;=14,"8-14 days",IF(M1218&lt;=21,"15-21 days","22+ days")))</f>
        <v>8-14 days</v>
      </c>
    </row>
    <row r="1219" spans="1:20" x14ac:dyDescent="0.3">
      <c r="A1219" s="20" t="s">
        <v>1285</v>
      </c>
      <c r="B1219" s="20" t="s">
        <v>19</v>
      </c>
      <c r="C1219" s="21">
        <v>45744</v>
      </c>
      <c r="D1219" s="21">
        <v>45754</v>
      </c>
      <c r="E1219" s="21">
        <v>45759</v>
      </c>
      <c r="F1219" s="20" t="s">
        <v>79</v>
      </c>
      <c r="G1219" s="22">
        <v>166.13</v>
      </c>
      <c r="H1219" s="22">
        <v>16.760000000000002</v>
      </c>
      <c r="I1219" s="20" t="s">
        <v>50</v>
      </c>
      <c r="J1219" s="20">
        <v>5</v>
      </c>
      <c r="K1219" s="20" t="s">
        <v>46</v>
      </c>
      <c r="L1219" s="23">
        <f t="shared" si="144"/>
        <v>45717</v>
      </c>
      <c r="M1219" s="20">
        <f t="shared" si="145"/>
        <v>10</v>
      </c>
      <c r="N1219" s="20">
        <f t="shared" si="146"/>
        <v>0</v>
      </c>
      <c r="O1219" s="20">
        <f t="shared" si="147"/>
        <v>1</v>
      </c>
      <c r="P1219" s="22">
        <f t="shared" si="148"/>
        <v>182.89</v>
      </c>
      <c r="Q1219" s="22">
        <f>G1219*INDEX(Assumptions!$B$8:$B$16,MATCH(F1219,Assumptions!$A$8:$A$16,0))</f>
        <v>116.29099999999998</v>
      </c>
      <c r="R1219" s="22">
        <f>H1219*Assumptions!$B$3</f>
        <v>10.056000000000001</v>
      </c>
      <c r="S1219" s="22">
        <f t="shared" si="149"/>
        <v>39.783000000000015</v>
      </c>
      <c r="T1219" s="20" t="str">
        <f t="shared" si="150"/>
        <v>8-14 days</v>
      </c>
    </row>
    <row r="1220" spans="1:20" x14ac:dyDescent="0.3">
      <c r="A1220" s="20" t="s">
        <v>1286</v>
      </c>
      <c r="B1220" s="20" t="s">
        <v>62</v>
      </c>
      <c r="C1220" s="21">
        <v>45744</v>
      </c>
      <c r="D1220" s="21">
        <v>45755</v>
      </c>
      <c r="E1220" s="21">
        <v>45765</v>
      </c>
      <c r="F1220" s="20" t="s">
        <v>64</v>
      </c>
      <c r="G1220" s="22">
        <v>101.71</v>
      </c>
      <c r="H1220" s="22">
        <v>16.940000000000001</v>
      </c>
      <c r="I1220" s="20" t="s">
        <v>45</v>
      </c>
      <c r="J1220" s="20">
        <v>5</v>
      </c>
      <c r="K1220" s="20" t="s">
        <v>46</v>
      </c>
      <c r="L1220" s="23">
        <f t="shared" si="144"/>
        <v>45717</v>
      </c>
      <c r="M1220" s="20">
        <f t="shared" si="145"/>
        <v>11</v>
      </c>
      <c r="N1220" s="20">
        <f t="shared" si="146"/>
        <v>0</v>
      </c>
      <c r="O1220" s="20">
        <f t="shared" si="147"/>
        <v>1</v>
      </c>
      <c r="P1220" s="22">
        <f t="shared" si="148"/>
        <v>118.64999999999999</v>
      </c>
      <c r="Q1220" s="22">
        <f>G1220*INDEX(Assumptions!$B$8:$B$16,MATCH(F1220,Assumptions!$A$8:$A$16,0))</f>
        <v>67.128600000000006</v>
      </c>
      <c r="R1220" s="22">
        <f>H1220*Assumptions!$B$3</f>
        <v>10.164</v>
      </c>
      <c r="S1220" s="22">
        <f t="shared" si="149"/>
        <v>24.417399999999986</v>
      </c>
      <c r="T1220" s="20" t="str">
        <f t="shared" si="150"/>
        <v>8-14 days</v>
      </c>
    </row>
    <row r="1221" spans="1:20" x14ac:dyDescent="0.3">
      <c r="A1221" s="20" t="s">
        <v>1287</v>
      </c>
      <c r="B1221" s="20" t="s">
        <v>19</v>
      </c>
      <c r="C1221" s="21">
        <v>45744</v>
      </c>
      <c r="D1221" s="21">
        <v>45762</v>
      </c>
      <c r="E1221" s="21">
        <v>45755</v>
      </c>
      <c r="F1221" s="20" t="s">
        <v>44</v>
      </c>
      <c r="G1221" s="22">
        <v>53.4</v>
      </c>
      <c r="H1221" s="22">
        <v>15.87</v>
      </c>
      <c r="I1221" s="20" t="s">
        <v>45</v>
      </c>
      <c r="J1221" s="20">
        <v>3</v>
      </c>
      <c r="K1221" s="20" t="s">
        <v>46</v>
      </c>
      <c r="L1221" s="23">
        <f t="shared" si="144"/>
        <v>45717</v>
      </c>
      <c r="M1221" s="20">
        <f t="shared" si="145"/>
        <v>18</v>
      </c>
      <c r="N1221" s="20">
        <f t="shared" si="146"/>
        <v>7</v>
      </c>
      <c r="O1221" s="20">
        <f t="shared" si="147"/>
        <v>0</v>
      </c>
      <c r="P1221" s="22">
        <f t="shared" si="148"/>
        <v>69.27</v>
      </c>
      <c r="Q1221" s="22">
        <f>G1221*INDEX(Assumptions!$B$8:$B$16,MATCH(F1221,Assumptions!$A$8:$A$16,0))</f>
        <v>32.04</v>
      </c>
      <c r="R1221" s="22">
        <f>H1221*Assumptions!$B$3</f>
        <v>9.5219999999999985</v>
      </c>
      <c r="S1221" s="22">
        <f t="shared" si="149"/>
        <v>11.838000000000001</v>
      </c>
      <c r="T1221" s="20" t="str">
        <f t="shared" si="150"/>
        <v>15-21 days</v>
      </c>
    </row>
    <row r="1222" spans="1:20" x14ac:dyDescent="0.3">
      <c r="A1222" s="20" t="s">
        <v>1288</v>
      </c>
      <c r="B1222" s="20" t="s">
        <v>48</v>
      </c>
      <c r="C1222" s="21">
        <v>45745</v>
      </c>
      <c r="D1222" s="21">
        <v>45764</v>
      </c>
      <c r="E1222" s="21">
        <v>45766</v>
      </c>
      <c r="F1222" s="20" t="s">
        <v>79</v>
      </c>
      <c r="G1222" s="22">
        <v>76.8</v>
      </c>
      <c r="H1222" s="22">
        <v>20.84</v>
      </c>
      <c r="I1222" s="20" t="s">
        <v>45</v>
      </c>
      <c r="J1222" s="20">
        <v>4</v>
      </c>
      <c r="K1222" s="20" t="s">
        <v>46</v>
      </c>
      <c r="L1222" s="23">
        <f t="shared" si="144"/>
        <v>45717</v>
      </c>
      <c r="M1222" s="20">
        <f t="shared" si="145"/>
        <v>19</v>
      </c>
      <c r="N1222" s="20">
        <f t="shared" si="146"/>
        <v>0</v>
      </c>
      <c r="O1222" s="20">
        <f t="shared" si="147"/>
        <v>1</v>
      </c>
      <c r="P1222" s="22">
        <f t="shared" si="148"/>
        <v>97.64</v>
      </c>
      <c r="Q1222" s="22">
        <f>G1222*INDEX(Assumptions!$B$8:$B$16,MATCH(F1222,Assumptions!$A$8:$A$16,0))</f>
        <v>53.76</v>
      </c>
      <c r="R1222" s="22">
        <f>H1222*Assumptions!$B$3</f>
        <v>12.504</v>
      </c>
      <c r="S1222" s="22">
        <f t="shared" si="149"/>
        <v>10.536</v>
      </c>
      <c r="T1222" s="20" t="str">
        <f t="shared" si="150"/>
        <v>15-21 days</v>
      </c>
    </row>
    <row r="1223" spans="1:20" x14ac:dyDescent="0.3">
      <c r="A1223" s="20" t="s">
        <v>1289</v>
      </c>
      <c r="B1223" s="20" t="s">
        <v>19</v>
      </c>
      <c r="C1223" s="21">
        <v>45745</v>
      </c>
      <c r="D1223" s="21">
        <v>45753</v>
      </c>
      <c r="E1223" s="21">
        <v>45760</v>
      </c>
      <c r="F1223" s="20" t="s">
        <v>67</v>
      </c>
      <c r="G1223" s="22">
        <v>150.81</v>
      </c>
      <c r="H1223" s="22">
        <v>17.21</v>
      </c>
      <c r="I1223" s="20" t="s">
        <v>45</v>
      </c>
      <c r="J1223" s="20">
        <v>5</v>
      </c>
      <c r="K1223" s="20" t="s">
        <v>46</v>
      </c>
      <c r="L1223" s="23">
        <f t="shared" si="144"/>
        <v>45717</v>
      </c>
      <c r="M1223" s="20">
        <f t="shared" si="145"/>
        <v>8</v>
      </c>
      <c r="N1223" s="20">
        <f t="shared" si="146"/>
        <v>0</v>
      </c>
      <c r="O1223" s="20">
        <f t="shared" si="147"/>
        <v>1</v>
      </c>
      <c r="P1223" s="22">
        <f t="shared" si="148"/>
        <v>168.02</v>
      </c>
      <c r="Q1223" s="22">
        <f>G1223*INDEX(Assumptions!$B$8:$B$16,MATCH(F1223,Assumptions!$A$8:$A$16,0))</f>
        <v>93.502200000000002</v>
      </c>
      <c r="R1223" s="22">
        <f>H1223*Assumptions!$B$3</f>
        <v>10.326000000000001</v>
      </c>
      <c r="S1223" s="22">
        <f t="shared" si="149"/>
        <v>46.9818</v>
      </c>
      <c r="T1223" s="20" t="str">
        <f t="shared" si="150"/>
        <v>8-14 days</v>
      </c>
    </row>
    <row r="1224" spans="1:20" x14ac:dyDescent="0.3">
      <c r="A1224" s="20" t="s">
        <v>1290</v>
      </c>
      <c r="B1224" s="20" t="s">
        <v>19</v>
      </c>
      <c r="C1224" s="21">
        <v>45745</v>
      </c>
      <c r="D1224" s="21">
        <v>45756</v>
      </c>
      <c r="E1224" s="21">
        <v>45764</v>
      </c>
      <c r="F1224" s="20" t="s">
        <v>59</v>
      </c>
      <c r="G1224" s="22">
        <v>105.29</v>
      </c>
      <c r="H1224" s="22">
        <v>19.95</v>
      </c>
      <c r="I1224" s="20" t="s">
        <v>45</v>
      </c>
      <c r="J1224" s="20">
        <v>5</v>
      </c>
      <c r="K1224" s="20" t="s">
        <v>46</v>
      </c>
      <c r="L1224" s="23">
        <f t="shared" si="144"/>
        <v>45717</v>
      </c>
      <c r="M1224" s="20">
        <f t="shared" si="145"/>
        <v>11</v>
      </c>
      <c r="N1224" s="20">
        <f t="shared" si="146"/>
        <v>0</v>
      </c>
      <c r="O1224" s="20">
        <f t="shared" si="147"/>
        <v>1</v>
      </c>
      <c r="P1224" s="22">
        <f t="shared" si="148"/>
        <v>125.24000000000001</v>
      </c>
      <c r="Q1224" s="22">
        <f>G1224*INDEX(Assumptions!$B$8:$B$16,MATCH(F1224,Assumptions!$A$8:$A$16,0))</f>
        <v>67.385600000000011</v>
      </c>
      <c r="R1224" s="22">
        <f>H1224*Assumptions!$B$3</f>
        <v>11.969999999999999</v>
      </c>
      <c r="S1224" s="22">
        <f t="shared" si="149"/>
        <v>25.934399999999997</v>
      </c>
      <c r="T1224" s="20" t="str">
        <f t="shared" si="150"/>
        <v>8-14 days</v>
      </c>
    </row>
    <row r="1225" spans="1:20" x14ac:dyDescent="0.3">
      <c r="A1225" s="20" t="s">
        <v>1291</v>
      </c>
      <c r="B1225" s="20" t="s">
        <v>55</v>
      </c>
      <c r="C1225" s="21">
        <v>45745</v>
      </c>
      <c r="D1225" s="21">
        <v>45762</v>
      </c>
      <c r="E1225" s="21">
        <v>45767</v>
      </c>
      <c r="F1225" s="20" t="s">
        <v>53</v>
      </c>
      <c r="G1225" s="22">
        <v>134.71</v>
      </c>
      <c r="H1225" s="22">
        <v>17.84</v>
      </c>
      <c r="I1225" s="20" t="s">
        <v>45</v>
      </c>
      <c r="J1225" s="20">
        <v>4</v>
      </c>
      <c r="K1225" s="20" t="s">
        <v>46</v>
      </c>
      <c r="L1225" s="23">
        <f t="shared" si="144"/>
        <v>45717</v>
      </c>
      <c r="M1225" s="20">
        <f t="shared" si="145"/>
        <v>17</v>
      </c>
      <c r="N1225" s="20">
        <f t="shared" si="146"/>
        <v>0</v>
      </c>
      <c r="O1225" s="20">
        <f t="shared" si="147"/>
        <v>1</v>
      </c>
      <c r="P1225" s="22">
        <f t="shared" si="148"/>
        <v>152.55000000000001</v>
      </c>
      <c r="Q1225" s="22">
        <f>G1225*INDEX(Assumptions!$B$8:$B$16,MATCH(F1225,Assumptions!$A$8:$A$16,0))</f>
        <v>99.685400000000001</v>
      </c>
      <c r="R1225" s="22">
        <f>H1225*Assumptions!$B$3</f>
        <v>10.703999999999999</v>
      </c>
      <c r="S1225" s="22">
        <f t="shared" si="149"/>
        <v>24.320600000000006</v>
      </c>
      <c r="T1225" s="20" t="str">
        <f t="shared" si="150"/>
        <v>15-21 days</v>
      </c>
    </row>
    <row r="1226" spans="1:20" x14ac:dyDescent="0.3">
      <c r="A1226" s="20" t="s">
        <v>1292</v>
      </c>
      <c r="B1226" s="20" t="s">
        <v>134</v>
      </c>
      <c r="C1226" s="21">
        <v>45745</v>
      </c>
      <c r="D1226" s="21">
        <v>45756</v>
      </c>
      <c r="E1226" s="21">
        <v>45768</v>
      </c>
      <c r="F1226" s="20" t="s">
        <v>67</v>
      </c>
      <c r="G1226" s="22">
        <v>65.31</v>
      </c>
      <c r="H1226" s="22">
        <v>30.53</v>
      </c>
      <c r="I1226" s="20" t="s">
        <v>45</v>
      </c>
      <c r="J1226" s="20">
        <v>5</v>
      </c>
      <c r="K1226" s="20" t="s">
        <v>46</v>
      </c>
      <c r="L1226" s="23">
        <f t="shared" si="144"/>
        <v>45717</v>
      </c>
      <c r="M1226" s="20">
        <f t="shared" si="145"/>
        <v>11</v>
      </c>
      <c r="N1226" s="20">
        <f t="shared" si="146"/>
        <v>0</v>
      </c>
      <c r="O1226" s="20">
        <f t="shared" si="147"/>
        <v>1</v>
      </c>
      <c r="P1226" s="22">
        <f t="shared" si="148"/>
        <v>95.84</v>
      </c>
      <c r="Q1226" s="22">
        <f>G1226*INDEX(Assumptions!$B$8:$B$16,MATCH(F1226,Assumptions!$A$8:$A$16,0))</f>
        <v>40.492200000000004</v>
      </c>
      <c r="R1226" s="22">
        <f>H1226*Assumptions!$B$3</f>
        <v>18.318000000000001</v>
      </c>
      <c r="S1226" s="22">
        <f t="shared" si="149"/>
        <v>6.4997999999999969</v>
      </c>
      <c r="T1226" s="20" t="str">
        <f t="shared" si="150"/>
        <v>8-14 days</v>
      </c>
    </row>
    <row r="1227" spans="1:20" x14ac:dyDescent="0.3">
      <c r="A1227" s="20" t="s">
        <v>1293</v>
      </c>
      <c r="B1227" s="20" t="s">
        <v>55</v>
      </c>
      <c r="C1227" s="21">
        <v>45745</v>
      </c>
      <c r="D1227" s="21">
        <v>45768</v>
      </c>
      <c r="E1227" s="21">
        <v>45771</v>
      </c>
      <c r="F1227" s="20" t="s">
        <v>79</v>
      </c>
      <c r="G1227" s="22">
        <v>64.34</v>
      </c>
      <c r="H1227" s="22">
        <v>26.69</v>
      </c>
      <c r="I1227" s="20" t="s">
        <v>60</v>
      </c>
      <c r="J1227" s="20">
        <v>5</v>
      </c>
      <c r="K1227" s="20" t="s">
        <v>46</v>
      </c>
      <c r="L1227" s="23">
        <f t="shared" si="144"/>
        <v>45717</v>
      </c>
      <c r="M1227" s="20">
        <f t="shared" si="145"/>
        <v>23</v>
      </c>
      <c r="N1227" s="20">
        <f t="shared" si="146"/>
        <v>0</v>
      </c>
      <c r="O1227" s="20">
        <f t="shared" si="147"/>
        <v>1</v>
      </c>
      <c r="P1227" s="22">
        <f t="shared" si="148"/>
        <v>91.03</v>
      </c>
      <c r="Q1227" s="22">
        <f>G1227*INDEX(Assumptions!$B$8:$B$16,MATCH(F1227,Assumptions!$A$8:$A$16,0))</f>
        <v>45.037999999999997</v>
      </c>
      <c r="R1227" s="22">
        <f>H1227*Assumptions!$B$3</f>
        <v>16.013999999999999</v>
      </c>
      <c r="S1227" s="22">
        <f t="shared" si="149"/>
        <v>3.2880000000000074</v>
      </c>
      <c r="T1227" s="20" t="str">
        <f t="shared" si="150"/>
        <v>22+ days</v>
      </c>
    </row>
    <row r="1228" spans="1:20" x14ac:dyDescent="0.3">
      <c r="A1228" s="20" t="s">
        <v>1294</v>
      </c>
      <c r="B1228" s="20" t="s">
        <v>19</v>
      </c>
      <c r="C1228" s="21">
        <v>45745</v>
      </c>
      <c r="D1228" s="21">
        <v>45752</v>
      </c>
      <c r="E1228" s="21">
        <v>45761</v>
      </c>
      <c r="F1228" s="20" t="s">
        <v>67</v>
      </c>
      <c r="G1228" s="22">
        <v>82.72</v>
      </c>
      <c r="H1228" s="22">
        <v>20.98</v>
      </c>
      <c r="I1228" s="20" t="s">
        <v>45</v>
      </c>
      <c r="J1228" s="20">
        <v>4</v>
      </c>
      <c r="K1228" s="20" t="s">
        <v>46</v>
      </c>
      <c r="L1228" s="23">
        <f t="shared" si="144"/>
        <v>45717</v>
      </c>
      <c r="M1228" s="20">
        <f t="shared" si="145"/>
        <v>7</v>
      </c>
      <c r="N1228" s="20">
        <f t="shared" si="146"/>
        <v>0</v>
      </c>
      <c r="O1228" s="20">
        <f t="shared" si="147"/>
        <v>1</v>
      </c>
      <c r="P1228" s="22">
        <f t="shared" si="148"/>
        <v>103.7</v>
      </c>
      <c r="Q1228" s="22">
        <f>G1228*INDEX(Assumptions!$B$8:$B$16,MATCH(F1228,Assumptions!$A$8:$A$16,0))</f>
        <v>51.2864</v>
      </c>
      <c r="R1228" s="22">
        <f>H1228*Assumptions!$B$3</f>
        <v>12.587999999999999</v>
      </c>
      <c r="S1228" s="22">
        <f t="shared" si="149"/>
        <v>18.845599999999997</v>
      </c>
      <c r="T1228" s="20" t="str">
        <f t="shared" si="150"/>
        <v>0-7 days</v>
      </c>
    </row>
    <row r="1229" spans="1:20" x14ac:dyDescent="0.3">
      <c r="A1229" s="20" t="s">
        <v>1295</v>
      </c>
      <c r="B1229" s="20" t="s">
        <v>19</v>
      </c>
      <c r="C1229" s="21">
        <v>45746</v>
      </c>
      <c r="D1229" s="21">
        <v>45762</v>
      </c>
      <c r="E1229" s="21">
        <v>45763</v>
      </c>
      <c r="F1229" s="20" t="s">
        <v>59</v>
      </c>
      <c r="G1229" s="22">
        <v>142.56</v>
      </c>
      <c r="H1229" s="22">
        <v>22.54</v>
      </c>
      <c r="I1229" s="20" t="s">
        <v>60</v>
      </c>
      <c r="J1229" s="20">
        <v>4</v>
      </c>
      <c r="K1229" s="20" t="s">
        <v>46</v>
      </c>
      <c r="L1229" s="23">
        <f t="shared" si="144"/>
        <v>45717</v>
      </c>
      <c r="M1229" s="20">
        <f t="shared" si="145"/>
        <v>16</v>
      </c>
      <c r="N1229" s="20">
        <f t="shared" si="146"/>
        <v>0</v>
      </c>
      <c r="O1229" s="20">
        <f t="shared" si="147"/>
        <v>1</v>
      </c>
      <c r="P1229" s="22">
        <f t="shared" si="148"/>
        <v>165.1</v>
      </c>
      <c r="Q1229" s="22">
        <f>G1229*INDEX(Assumptions!$B$8:$B$16,MATCH(F1229,Assumptions!$A$8:$A$16,0))</f>
        <v>91.238399999999999</v>
      </c>
      <c r="R1229" s="22">
        <f>H1229*Assumptions!$B$3</f>
        <v>13.523999999999999</v>
      </c>
      <c r="S1229" s="22">
        <f t="shared" si="149"/>
        <v>37.797600000000003</v>
      </c>
      <c r="T1229" s="20" t="str">
        <f t="shared" si="150"/>
        <v>15-21 days</v>
      </c>
    </row>
    <row r="1230" spans="1:20" x14ac:dyDescent="0.3">
      <c r="A1230" s="20" t="s">
        <v>1296</v>
      </c>
      <c r="B1230" s="20" t="s">
        <v>62</v>
      </c>
      <c r="C1230" s="21">
        <v>45746</v>
      </c>
      <c r="D1230" s="21">
        <v>45767</v>
      </c>
      <c r="E1230" s="21">
        <v>45765</v>
      </c>
      <c r="F1230" s="20" t="s">
        <v>53</v>
      </c>
      <c r="G1230" s="22">
        <v>144.34</v>
      </c>
      <c r="H1230" s="22">
        <v>30.46</v>
      </c>
      <c r="I1230" s="20" t="s">
        <v>60</v>
      </c>
      <c r="J1230" s="20">
        <v>2</v>
      </c>
      <c r="K1230" s="20" t="s">
        <v>46</v>
      </c>
      <c r="L1230" s="23">
        <f t="shared" si="144"/>
        <v>45717</v>
      </c>
      <c r="M1230" s="20">
        <f t="shared" si="145"/>
        <v>21</v>
      </c>
      <c r="N1230" s="20">
        <f t="shared" si="146"/>
        <v>2</v>
      </c>
      <c r="O1230" s="20">
        <f t="shared" si="147"/>
        <v>0</v>
      </c>
      <c r="P1230" s="22">
        <f t="shared" si="148"/>
        <v>174.8</v>
      </c>
      <c r="Q1230" s="22">
        <f>G1230*INDEX(Assumptions!$B$8:$B$16,MATCH(F1230,Assumptions!$A$8:$A$16,0))</f>
        <v>106.8116</v>
      </c>
      <c r="R1230" s="22">
        <f>H1230*Assumptions!$B$3</f>
        <v>18.276</v>
      </c>
      <c r="S1230" s="22">
        <f t="shared" si="149"/>
        <v>19.252400000000005</v>
      </c>
      <c r="T1230" s="20" t="str">
        <f t="shared" si="150"/>
        <v>15-21 days</v>
      </c>
    </row>
    <row r="1231" spans="1:20" x14ac:dyDescent="0.3">
      <c r="A1231" s="20" t="s">
        <v>1297</v>
      </c>
      <c r="B1231" s="20" t="s">
        <v>62</v>
      </c>
      <c r="C1231" s="21">
        <v>45747</v>
      </c>
      <c r="D1231" s="21">
        <v>45752</v>
      </c>
      <c r="E1231" s="21">
        <v>45768</v>
      </c>
      <c r="F1231" s="20" t="s">
        <v>111</v>
      </c>
      <c r="G1231" s="22">
        <v>164.02</v>
      </c>
      <c r="H1231" s="22">
        <v>19.23</v>
      </c>
      <c r="I1231" s="20" t="s">
        <v>45</v>
      </c>
      <c r="J1231" s="20">
        <v>4</v>
      </c>
      <c r="K1231" s="20" t="s">
        <v>46</v>
      </c>
      <c r="L1231" s="23">
        <f t="shared" si="144"/>
        <v>45717</v>
      </c>
      <c r="M1231" s="20">
        <f t="shared" si="145"/>
        <v>5</v>
      </c>
      <c r="N1231" s="20">
        <f t="shared" si="146"/>
        <v>0</v>
      </c>
      <c r="O1231" s="20">
        <f t="shared" si="147"/>
        <v>1</v>
      </c>
      <c r="P1231" s="22">
        <f t="shared" si="148"/>
        <v>183.25</v>
      </c>
      <c r="Q1231" s="22">
        <f>G1231*INDEX(Assumptions!$B$8:$B$16,MATCH(F1231,Assumptions!$A$8:$A$16,0))</f>
        <v>103.33260000000001</v>
      </c>
      <c r="R1231" s="22">
        <f>H1231*Assumptions!$B$3</f>
        <v>11.538</v>
      </c>
      <c r="S1231" s="22">
        <f t="shared" si="149"/>
        <v>49.1494</v>
      </c>
      <c r="T1231" s="20" t="str">
        <f t="shared" si="150"/>
        <v>0-7 days</v>
      </c>
    </row>
    <row r="1232" spans="1:20" x14ac:dyDescent="0.3">
      <c r="A1232" s="20" t="s">
        <v>1298</v>
      </c>
      <c r="B1232" s="20" t="s">
        <v>55</v>
      </c>
      <c r="C1232" s="21">
        <v>45747</v>
      </c>
      <c r="D1232" s="21">
        <v>45762</v>
      </c>
      <c r="E1232" s="21">
        <v>45770</v>
      </c>
      <c r="F1232" s="20" t="s">
        <v>49</v>
      </c>
      <c r="G1232" s="22">
        <v>91.54</v>
      </c>
      <c r="H1232" s="22">
        <v>16.53</v>
      </c>
      <c r="I1232" s="20" t="s">
        <v>45</v>
      </c>
      <c r="J1232" s="20">
        <v>3</v>
      </c>
      <c r="K1232" s="20" t="s">
        <v>46</v>
      </c>
      <c r="L1232" s="23">
        <f t="shared" si="144"/>
        <v>45717</v>
      </c>
      <c r="M1232" s="20">
        <f t="shared" si="145"/>
        <v>15</v>
      </c>
      <c r="N1232" s="20">
        <f t="shared" si="146"/>
        <v>0</v>
      </c>
      <c r="O1232" s="20">
        <f t="shared" si="147"/>
        <v>1</v>
      </c>
      <c r="P1232" s="22">
        <f t="shared" si="148"/>
        <v>108.07000000000001</v>
      </c>
      <c r="Q1232" s="22">
        <f>G1232*INDEX(Assumptions!$B$8:$B$16,MATCH(F1232,Assumptions!$A$8:$A$16,0))</f>
        <v>53.093200000000003</v>
      </c>
      <c r="R1232" s="22">
        <f>H1232*Assumptions!$B$3</f>
        <v>9.918000000000001</v>
      </c>
      <c r="S1232" s="22">
        <f t="shared" si="149"/>
        <v>28.528800000000004</v>
      </c>
      <c r="T1232" s="20" t="str">
        <f t="shared" si="150"/>
        <v>15-21 days</v>
      </c>
    </row>
    <row r="1233" spans="1:20" x14ac:dyDescent="0.3">
      <c r="A1233" s="20" t="s">
        <v>1299</v>
      </c>
      <c r="B1233" s="20" t="s">
        <v>48</v>
      </c>
      <c r="C1233" s="21">
        <v>45747</v>
      </c>
      <c r="D1233" s="21">
        <v>45766</v>
      </c>
      <c r="E1233" s="21">
        <v>45771</v>
      </c>
      <c r="F1233" s="20" t="s">
        <v>79</v>
      </c>
      <c r="G1233" s="22">
        <v>130.58000000000001</v>
      </c>
      <c r="H1233" s="22">
        <v>23.88</v>
      </c>
      <c r="I1233" s="20" t="s">
        <v>60</v>
      </c>
      <c r="J1233" s="20">
        <v>3</v>
      </c>
      <c r="K1233" s="20" t="s">
        <v>46</v>
      </c>
      <c r="L1233" s="23">
        <f t="shared" si="144"/>
        <v>45717</v>
      </c>
      <c r="M1233" s="20">
        <f t="shared" si="145"/>
        <v>19</v>
      </c>
      <c r="N1233" s="20">
        <f t="shared" si="146"/>
        <v>0</v>
      </c>
      <c r="O1233" s="20">
        <f t="shared" si="147"/>
        <v>1</v>
      </c>
      <c r="P1233" s="22">
        <f t="shared" si="148"/>
        <v>154.46</v>
      </c>
      <c r="Q1233" s="22">
        <f>G1233*INDEX(Assumptions!$B$8:$B$16,MATCH(F1233,Assumptions!$A$8:$A$16,0))</f>
        <v>91.406000000000006</v>
      </c>
      <c r="R1233" s="22">
        <f>H1233*Assumptions!$B$3</f>
        <v>14.327999999999999</v>
      </c>
      <c r="S1233" s="22">
        <f t="shared" si="149"/>
        <v>24.846000000000007</v>
      </c>
      <c r="T1233" s="20" t="str">
        <f t="shared" si="150"/>
        <v>15-21 days</v>
      </c>
    </row>
    <row r="1234" spans="1:20" x14ac:dyDescent="0.3">
      <c r="A1234" s="20" t="s">
        <v>1300</v>
      </c>
      <c r="B1234" s="20" t="s">
        <v>55</v>
      </c>
      <c r="C1234" s="21">
        <v>45747</v>
      </c>
      <c r="D1234" s="21">
        <v>45759</v>
      </c>
      <c r="E1234" s="21">
        <v>45773</v>
      </c>
      <c r="F1234" s="20" t="s">
        <v>111</v>
      </c>
      <c r="G1234" s="22">
        <v>54.93</v>
      </c>
      <c r="H1234" s="22">
        <v>19.649999999999999</v>
      </c>
      <c r="I1234" s="20" t="s">
        <v>45</v>
      </c>
      <c r="J1234" s="20">
        <v>4</v>
      </c>
      <c r="K1234" s="20" t="s">
        <v>46</v>
      </c>
      <c r="L1234" s="23">
        <f t="shared" si="144"/>
        <v>45717</v>
      </c>
      <c r="M1234" s="20">
        <f t="shared" si="145"/>
        <v>12</v>
      </c>
      <c r="N1234" s="20">
        <f t="shared" si="146"/>
        <v>0</v>
      </c>
      <c r="O1234" s="20">
        <f t="shared" si="147"/>
        <v>1</v>
      </c>
      <c r="P1234" s="22">
        <f t="shared" si="148"/>
        <v>74.58</v>
      </c>
      <c r="Q1234" s="22">
        <f>G1234*INDEX(Assumptions!$B$8:$B$16,MATCH(F1234,Assumptions!$A$8:$A$16,0))</f>
        <v>34.605899999999998</v>
      </c>
      <c r="R1234" s="22">
        <f>H1234*Assumptions!$B$3</f>
        <v>11.79</v>
      </c>
      <c r="S1234" s="22">
        <f t="shared" si="149"/>
        <v>8.5341000000000022</v>
      </c>
      <c r="T1234" s="20" t="str">
        <f t="shared" si="150"/>
        <v>8-14 days</v>
      </c>
    </row>
    <row r="1235" spans="1:20" x14ac:dyDescent="0.3">
      <c r="A1235" s="20" t="s">
        <v>1301</v>
      </c>
      <c r="B1235" s="20" t="s">
        <v>55</v>
      </c>
      <c r="C1235" s="21">
        <v>45747</v>
      </c>
      <c r="D1235" s="21">
        <v>45761</v>
      </c>
      <c r="E1235" s="21">
        <v>45772</v>
      </c>
      <c r="F1235" s="20" t="s">
        <v>79</v>
      </c>
      <c r="G1235" s="22">
        <v>151.97</v>
      </c>
      <c r="H1235" s="22">
        <v>28.43</v>
      </c>
      <c r="I1235" s="20" t="s">
        <v>45</v>
      </c>
      <c r="J1235" s="20">
        <v>4</v>
      </c>
      <c r="K1235" s="20" t="s">
        <v>46</v>
      </c>
      <c r="L1235" s="23">
        <f t="shared" si="144"/>
        <v>45717</v>
      </c>
      <c r="M1235" s="20">
        <f t="shared" si="145"/>
        <v>14</v>
      </c>
      <c r="N1235" s="20">
        <f t="shared" si="146"/>
        <v>0</v>
      </c>
      <c r="O1235" s="20">
        <f t="shared" si="147"/>
        <v>1</v>
      </c>
      <c r="P1235" s="22">
        <f t="shared" si="148"/>
        <v>180.4</v>
      </c>
      <c r="Q1235" s="22">
        <f>G1235*INDEX(Assumptions!$B$8:$B$16,MATCH(F1235,Assumptions!$A$8:$A$16,0))</f>
        <v>106.37899999999999</v>
      </c>
      <c r="R1235" s="22">
        <f>H1235*Assumptions!$B$3</f>
        <v>17.058</v>
      </c>
      <c r="S1235" s="22">
        <f t="shared" si="149"/>
        <v>28.533000000000008</v>
      </c>
      <c r="T1235" s="20" t="str">
        <f t="shared" si="150"/>
        <v>8-14 days</v>
      </c>
    </row>
    <row r="1236" spans="1:20" x14ac:dyDescent="0.3">
      <c r="A1236" s="20" t="s">
        <v>1302</v>
      </c>
      <c r="B1236" s="20" t="s">
        <v>55</v>
      </c>
      <c r="C1236" s="21">
        <v>45747</v>
      </c>
      <c r="D1236" s="21">
        <v>45761</v>
      </c>
      <c r="E1236" s="21">
        <v>45771</v>
      </c>
      <c r="F1236" s="20" t="s">
        <v>67</v>
      </c>
      <c r="G1236" s="22">
        <v>86.49</v>
      </c>
      <c r="H1236" s="22">
        <v>29.56</v>
      </c>
      <c r="I1236" s="20" t="s">
        <v>45</v>
      </c>
      <c r="J1236" s="20">
        <v>3</v>
      </c>
      <c r="K1236" s="20" t="s">
        <v>46</v>
      </c>
      <c r="L1236" s="23">
        <f t="shared" si="144"/>
        <v>45717</v>
      </c>
      <c r="M1236" s="20">
        <f t="shared" si="145"/>
        <v>14</v>
      </c>
      <c r="N1236" s="20">
        <f t="shared" si="146"/>
        <v>0</v>
      </c>
      <c r="O1236" s="20">
        <f t="shared" si="147"/>
        <v>1</v>
      </c>
      <c r="P1236" s="22">
        <f t="shared" si="148"/>
        <v>116.05</v>
      </c>
      <c r="Q1236" s="22">
        <f>G1236*INDEX(Assumptions!$B$8:$B$16,MATCH(F1236,Assumptions!$A$8:$A$16,0))</f>
        <v>53.623799999999996</v>
      </c>
      <c r="R1236" s="22">
        <f>H1236*Assumptions!$B$3</f>
        <v>17.735999999999997</v>
      </c>
      <c r="S1236" s="22">
        <f t="shared" si="149"/>
        <v>15.130200000000002</v>
      </c>
      <c r="T1236" s="20" t="str">
        <f t="shared" si="150"/>
        <v>8-14 days</v>
      </c>
    </row>
    <row r="1237" spans="1:20" x14ac:dyDescent="0.3">
      <c r="A1237" s="20" t="s">
        <v>1303</v>
      </c>
      <c r="B1237" s="20" t="s">
        <v>19</v>
      </c>
      <c r="C1237" s="21">
        <v>45748</v>
      </c>
      <c r="D1237" s="21">
        <v>45752</v>
      </c>
      <c r="E1237" s="21">
        <v>45765</v>
      </c>
      <c r="F1237" s="20" t="s">
        <v>79</v>
      </c>
      <c r="G1237" s="22">
        <v>121.49</v>
      </c>
      <c r="H1237" s="22">
        <v>14.65</v>
      </c>
      <c r="I1237" s="20" t="s">
        <v>45</v>
      </c>
      <c r="J1237" s="20">
        <v>4</v>
      </c>
      <c r="K1237" s="20" t="s">
        <v>46</v>
      </c>
      <c r="L1237" s="23">
        <f t="shared" si="144"/>
        <v>45748</v>
      </c>
      <c r="M1237" s="20">
        <f t="shared" si="145"/>
        <v>4</v>
      </c>
      <c r="N1237" s="20">
        <f t="shared" si="146"/>
        <v>0</v>
      </c>
      <c r="O1237" s="20">
        <f t="shared" si="147"/>
        <v>1</v>
      </c>
      <c r="P1237" s="22">
        <f t="shared" si="148"/>
        <v>136.13999999999999</v>
      </c>
      <c r="Q1237" s="22">
        <f>G1237*INDEX(Assumptions!$B$8:$B$16,MATCH(F1237,Assumptions!$A$8:$A$16,0))</f>
        <v>85.042999999999992</v>
      </c>
      <c r="R1237" s="22">
        <f>H1237*Assumptions!$B$3</f>
        <v>8.7899999999999991</v>
      </c>
      <c r="S1237" s="22">
        <f t="shared" si="149"/>
        <v>27.657000000000004</v>
      </c>
      <c r="T1237" s="20" t="str">
        <f t="shared" si="150"/>
        <v>0-7 days</v>
      </c>
    </row>
    <row r="1238" spans="1:20" x14ac:dyDescent="0.3">
      <c r="A1238" s="20" t="s">
        <v>1304</v>
      </c>
      <c r="B1238" s="20" t="s">
        <v>93</v>
      </c>
      <c r="C1238" s="21">
        <v>45748</v>
      </c>
      <c r="D1238" s="21">
        <v>45758</v>
      </c>
      <c r="E1238" s="21">
        <v>45777</v>
      </c>
      <c r="F1238" s="20" t="s">
        <v>67</v>
      </c>
      <c r="G1238" s="22">
        <v>230.34</v>
      </c>
      <c r="H1238" s="22">
        <v>33.14</v>
      </c>
      <c r="I1238" s="20" t="s">
        <v>45</v>
      </c>
      <c r="J1238" s="20">
        <v>5</v>
      </c>
      <c r="K1238" s="20" t="s">
        <v>46</v>
      </c>
      <c r="L1238" s="23">
        <f t="shared" si="144"/>
        <v>45748</v>
      </c>
      <c r="M1238" s="20">
        <f t="shared" si="145"/>
        <v>10</v>
      </c>
      <c r="N1238" s="20">
        <f t="shared" si="146"/>
        <v>0</v>
      </c>
      <c r="O1238" s="20">
        <f t="shared" si="147"/>
        <v>1</v>
      </c>
      <c r="P1238" s="22">
        <f t="shared" si="148"/>
        <v>263.48</v>
      </c>
      <c r="Q1238" s="22">
        <f>G1238*INDEX(Assumptions!$B$8:$B$16,MATCH(F1238,Assumptions!$A$8:$A$16,0))</f>
        <v>142.8108</v>
      </c>
      <c r="R1238" s="22">
        <f>H1238*Assumptions!$B$3</f>
        <v>19.884</v>
      </c>
      <c r="S1238" s="22">
        <f t="shared" si="149"/>
        <v>67.645200000000003</v>
      </c>
      <c r="T1238" s="20" t="str">
        <f t="shared" si="150"/>
        <v>8-14 days</v>
      </c>
    </row>
    <row r="1239" spans="1:20" x14ac:dyDescent="0.3">
      <c r="A1239" s="20" t="s">
        <v>1305</v>
      </c>
      <c r="B1239" s="20" t="s">
        <v>62</v>
      </c>
      <c r="C1239" s="21">
        <v>45748</v>
      </c>
      <c r="D1239" s="21">
        <v>45766</v>
      </c>
      <c r="E1239" s="21">
        <v>45767</v>
      </c>
      <c r="F1239" s="20" t="s">
        <v>67</v>
      </c>
      <c r="G1239" s="22">
        <v>71.31</v>
      </c>
      <c r="H1239" s="22">
        <v>23.29</v>
      </c>
      <c r="I1239" s="20" t="s">
        <v>60</v>
      </c>
      <c r="J1239" s="20">
        <v>2</v>
      </c>
      <c r="K1239" s="20" t="s">
        <v>46</v>
      </c>
      <c r="L1239" s="23">
        <f t="shared" si="144"/>
        <v>45748</v>
      </c>
      <c r="M1239" s="20">
        <f t="shared" si="145"/>
        <v>18</v>
      </c>
      <c r="N1239" s="20">
        <f t="shared" si="146"/>
        <v>0</v>
      </c>
      <c r="O1239" s="20">
        <f t="shared" si="147"/>
        <v>1</v>
      </c>
      <c r="P1239" s="22">
        <f t="shared" si="148"/>
        <v>94.6</v>
      </c>
      <c r="Q1239" s="22">
        <f>G1239*INDEX(Assumptions!$B$8:$B$16,MATCH(F1239,Assumptions!$A$8:$A$16,0))</f>
        <v>44.212200000000003</v>
      </c>
      <c r="R1239" s="22">
        <f>H1239*Assumptions!$B$3</f>
        <v>13.973999999999998</v>
      </c>
      <c r="S1239" s="22">
        <f t="shared" si="149"/>
        <v>13.123800000000001</v>
      </c>
      <c r="T1239" s="20" t="str">
        <f t="shared" si="150"/>
        <v>15-21 days</v>
      </c>
    </row>
    <row r="1240" spans="1:20" x14ac:dyDescent="0.3">
      <c r="A1240" s="20" t="s">
        <v>1306</v>
      </c>
      <c r="B1240" s="20" t="s">
        <v>103</v>
      </c>
      <c r="C1240" s="21">
        <v>45748</v>
      </c>
      <c r="D1240" s="21">
        <v>45759</v>
      </c>
      <c r="E1240" s="21">
        <v>45772</v>
      </c>
      <c r="F1240" s="20" t="s">
        <v>64</v>
      </c>
      <c r="G1240" s="22">
        <v>300.39999999999998</v>
      </c>
      <c r="H1240" s="22">
        <v>30.81</v>
      </c>
      <c r="I1240" s="20" t="s">
        <v>45</v>
      </c>
      <c r="J1240" s="20">
        <v>5</v>
      </c>
      <c r="K1240" s="20" t="s">
        <v>46</v>
      </c>
      <c r="L1240" s="23">
        <f t="shared" si="144"/>
        <v>45748</v>
      </c>
      <c r="M1240" s="20">
        <f t="shared" si="145"/>
        <v>11</v>
      </c>
      <c r="N1240" s="20">
        <f t="shared" si="146"/>
        <v>0</v>
      </c>
      <c r="O1240" s="20">
        <f t="shared" si="147"/>
        <v>1</v>
      </c>
      <c r="P1240" s="22">
        <f t="shared" si="148"/>
        <v>331.21</v>
      </c>
      <c r="Q1240" s="22">
        <f>G1240*INDEX(Assumptions!$B$8:$B$16,MATCH(F1240,Assumptions!$A$8:$A$16,0))</f>
        <v>198.26399999999998</v>
      </c>
      <c r="R1240" s="22">
        <f>H1240*Assumptions!$B$3</f>
        <v>18.485999999999997</v>
      </c>
      <c r="S1240" s="22">
        <f t="shared" si="149"/>
        <v>83.65</v>
      </c>
      <c r="T1240" s="20" t="str">
        <f t="shared" si="150"/>
        <v>8-14 days</v>
      </c>
    </row>
    <row r="1241" spans="1:20" x14ac:dyDescent="0.3">
      <c r="A1241" s="20" t="s">
        <v>1307</v>
      </c>
      <c r="B1241" s="20" t="s">
        <v>19</v>
      </c>
      <c r="C1241" s="21">
        <v>45749</v>
      </c>
      <c r="D1241" s="21">
        <v>45755</v>
      </c>
      <c r="E1241" s="21">
        <v>45762</v>
      </c>
      <c r="F1241" s="20" t="s">
        <v>53</v>
      </c>
      <c r="G1241" s="22">
        <v>44.63</v>
      </c>
      <c r="H1241" s="22">
        <v>14.72</v>
      </c>
      <c r="I1241" s="20" t="s">
        <v>45</v>
      </c>
      <c r="J1241" s="20">
        <v>4</v>
      </c>
      <c r="K1241" s="20" t="s">
        <v>46</v>
      </c>
      <c r="L1241" s="23">
        <f t="shared" si="144"/>
        <v>45748</v>
      </c>
      <c r="M1241" s="20">
        <f t="shared" si="145"/>
        <v>6</v>
      </c>
      <c r="N1241" s="20">
        <f t="shared" si="146"/>
        <v>0</v>
      </c>
      <c r="O1241" s="20">
        <f t="shared" si="147"/>
        <v>1</v>
      </c>
      <c r="P1241" s="22">
        <f t="shared" si="148"/>
        <v>59.35</v>
      </c>
      <c r="Q1241" s="22">
        <f>G1241*INDEX(Assumptions!$B$8:$B$16,MATCH(F1241,Assumptions!$A$8:$A$16,0))</f>
        <v>33.026200000000003</v>
      </c>
      <c r="R1241" s="22">
        <f>H1241*Assumptions!$B$3</f>
        <v>8.8320000000000007</v>
      </c>
      <c r="S1241" s="22">
        <f t="shared" si="149"/>
        <v>2.7717999999999989</v>
      </c>
      <c r="T1241" s="20" t="str">
        <f t="shared" si="150"/>
        <v>0-7 days</v>
      </c>
    </row>
    <row r="1242" spans="1:20" x14ac:dyDescent="0.3">
      <c r="A1242" s="20" t="s">
        <v>1308</v>
      </c>
      <c r="B1242" s="20" t="s">
        <v>19</v>
      </c>
      <c r="C1242" s="21">
        <v>45749</v>
      </c>
      <c r="D1242" s="21">
        <v>45758</v>
      </c>
      <c r="E1242" s="21">
        <v>45765</v>
      </c>
      <c r="F1242" s="20" t="s">
        <v>64</v>
      </c>
      <c r="G1242" s="22">
        <v>61.64</v>
      </c>
      <c r="H1242" s="22">
        <v>21.49</v>
      </c>
      <c r="I1242" s="20" t="s">
        <v>60</v>
      </c>
      <c r="J1242" s="20">
        <v>5</v>
      </c>
      <c r="K1242" s="20" t="s">
        <v>46</v>
      </c>
      <c r="L1242" s="23">
        <f t="shared" si="144"/>
        <v>45748</v>
      </c>
      <c r="M1242" s="20">
        <f t="shared" si="145"/>
        <v>9</v>
      </c>
      <c r="N1242" s="20">
        <f t="shared" si="146"/>
        <v>0</v>
      </c>
      <c r="O1242" s="20">
        <f t="shared" si="147"/>
        <v>1</v>
      </c>
      <c r="P1242" s="22">
        <f t="shared" si="148"/>
        <v>83.13</v>
      </c>
      <c r="Q1242" s="22">
        <f>G1242*INDEX(Assumptions!$B$8:$B$16,MATCH(F1242,Assumptions!$A$8:$A$16,0))</f>
        <v>40.682400000000001</v>
      </c>
      <c r="R1242" s="22">
        <f>H1242*Assumptions!$B$3</f>
        <v>12.893999999999998</v>
      </c>
      <c r="S1242" s="22">
        <f t="shared" si="149"/>
        <v>8.063600000000001</v>
      </c>
      <c r="T1242" s="20" t="str">
        <f t="shared" si="150"/>
        <v>8-14 days</v>
      </c>
    </row>
    <row r="1243" spans="1:20" x14ac:dyDescent="0.3">
      <c r="A1243" s="20" t="s">
        <v>1309</v>
      </c>
      <c r="B1243" s="20" t="s">
        <v>103</v>
      </c>
      <c r="C1243" s="21">
        <v>45749</v>
      </c>
      <c r="D1243" s="21">
        <v>45759</v>
      </c>
      <c r="E1243" s="21">
        <v>45769</v>
      </c>
      <c r="F1243" s="20" t="s">
        <v>67</v>
      </c>
      <c r="G1243" s="22">
        <v>60.8</v>
      </c>
      <c r="H1243" s="22">
        <v>22.66</v>
      </c>
      <c r="I1243" s="20" t="s">
        <v>45</v>
      </c>
      <c r="J1243" s="20">
        <v>5</v>
      </c>
      <c r="K1243" s="20" t="s">
        <v>46</v>
      </c>
      <c r="L1243" s="23">
        <f t="shared" si="144"/>
        <v>45748</v>
      </c>
      <c r="M1243" s="20">
        <f t="shared" si="145"/>
        <v>10</v>
      </c>
      <c r="N1243" s="20">
        <f t="shared" si="146"/>
        <v>0</v>
      </c>
      <c r="O1243" s="20">
        <f t="shared" si="147"/>
        <v>1</v>
      </c>
      <c r="P1243" s="22">
        <f t="shared" si="148"/>
        <v>83.46</v>
      </c>
      <c r="Q1243" s="22">
        <f>G1243*INDEX(Assumptions!$B$8:$B$16,MATCH(F1243,Assumptions!$A$8:$A$16,0))</f>
        <v>37.695999999999998</v>
      </c>
      <c r="R1243" s="22">
        <f>H1243*Assumptions!$B$3</f>
        <v>13.596</v>
      </c>
      <c r="S1243" s="22">
        <f t="shared" si="149"/>
        <v>9.5079999999999991</v>
      </c>
      <c r="T1243" s="20" t="str">
        <f t="shared" si="150"/>
        <v>8-14 days</v>
      </c>
    </row>
    <row r="1244" spans="1:20" x14ac:dyDescent="0.3">
      <c r="A1244" s="20" t="s">
        <v>1310</v>
      </c>
      <c r="B1244" s="20" t="s">
        <v>48</v>
      </c>
      <c r="C1244" s="21">
        <v>45750</v>
      </c>
      <c r="D1244" s="21">
        <v>45765</v>
      </c>
      <c r="E1244" s="21">
        <v>45769</v>
      </c>
      <c r="F1244" s="20" t="s">
        <v>67</v>
      </c>
      <c r="G1244" s="22">
        <v>93.9</v>
      </c>
      <c r="H1244" s="22">
        <v>19.07</v>
      </c>
      <c r="I1244" s="20" t="s">
        <v>45</v>
      </c>
      <c r="J1244" s="20">
        <v>5</v>
      </c>
      <c r="K1244" s="20" t="s">
        <v>46</v>
      </c>
      <c r="L1244" s="23">
        <f t="shared" si="144"/>
        <v>45748</v>
      </c>
      <c r="M1244" s="20">
        <f t="shared" si="145"/>
        <v>15</v>
      </c>
      <c r="N1244" s="20">
        <f t="shared" si="146"/>
        <v>0</v>
      </c>
      <c r="O1244" s="20">
        <f t="shared" si="147"/>
        <v>1</v>
      </c>
      <c r="P1244" s="22">
        <f t="shared" si="148"/>
        <v>112.97</v>
      </c>
      <c r="Q1244" s="22">
        <f>G1244*INDEX(Assumptions!$B$8:$B$16,MATCH(F1244,Assumptions!$A$8:$A$16,0))</f>
        <v>58.218000000000004</v>
      </c>
      <c r="R1244" s="22">
        <f>H1244*Assumptions!$B$3</f>
        <v>11.442</v>
      </c>
      <c r="S1244" s="22">
        <f t="shared" si="149"/>
        <v>24.240000000000002</v>
      </c>
      <c r="T1244" s="20" t="str">
        <f t="shared" si="150"/>
        <v>15-21 days</v>
      </c>
    </row>
    <row r="1245" spans="1:20" x14ac:dyDescent="0.3">
      <c r="A1245" s="20" t="s">
        <v>1311</v>
      </c>
      <c r="B1245" s="20" t="s">
        <v>55</v>
      </c>
      <c r="C1245" s="21">
        <v>45750</v>
      </c>
      <c r="D1245" s="21">
        <v>45775</v>
      </c>
      <c r="E1245" s="21">
        <v>45772</v>
      </c>
      <c r="F1245" s="20" t="s">
        <v>79</v>
      </c>
      <c r="G1245" s="22">
        <v>65.13</v>
      </c>
      <c r="H1245" s="22">
        <v>22.29</v>
      </c>
      <c r="I1245" s="20" t="s">
        <v>45</v>
      </c>
      <c r="J1245" s="20">
        <v>3</v>
      </c>
      <c r="K1245" s="20" t="s">
        <v>46</v>
      </c>
      <c r="L1245" s="23">
        <f t="shared" si="144"/>
        <v>45748</v>
      </c>
      <c r="M1245" s="20">
        <f t="shared" si="145"/>
        <v>25</v>
      </c>
      <c r="N1245" s="20">
        <f t="shared" si="146"/>
        <v>3</v>
      </c>
      <c r="O1245" s="20">
        <f t="shared" si="147"/>
        <v>0</v>
      </c>
      <c r="P1245" s="22">
        <f t="shared" si="148"/>
        <v>87.419999999999987</v>
      </c>
      <c r="Q1245" s="22">
        <f>G1245*INDEX(Assumptions!$B$8:$B$16,MATCH(F1245,Assumptions!$A$8:$A$16,0))</f>
        <v>45.590999999999994</v>
      </c>
      <c r="R1245" s="22">
        <f>H1245*Assumptions!$B$3</f>
        <v>13.373999999999999</v>
      </c>
      <c r="S1245" s="22">
        <f t="shared" si="149"/>
        <v>6.1650000000000027</v>
      </c>
      <c r="T1245" s="20" t="str">
        <f t="shared" si="150"/>
        <v>22+ days</v>
      </c>
    </row>
    <row r="1246" spans="1:20" x14ac:dyDescent="0.3">
      <c r="A1246" s="20" t="s">
        <v>1312</v>
      </c>
      <c r="B1246" s="20" t="s">
        <v>19</v>
      </c>
      <c r="C1246" s="21">
        <v>45750</v>
      </c>
      <c r="D1246" s="21">
        <v>45763</v>
      </c>
      <c r="E1246" s="21">
        <v>45765</v>
      </c>
      <c r="F1246" s="20" t="s">
        <v>67</v>
      </c>
      <c r="G1246" s="22">
        <v>123.36</v>
      </c>
      <c r="H1246" s="22">
        <v>18.14</v>
      </c>
      <c r="I1246" s="20" t="s">
        <v>45</v>
      </c>
      <c r="J1246" s="20">
        <v>5</v>
      </c>
      <c r="K1246" s="20" t="s">
        <v>46</v>
      </c>
      <c r="L1246" s="23">
        <f t="shared" si="144"/>
        <v>45748</v>
      </c>
      <c r="M1246" s="20">
        <f t="shared" si="145"/>
        <v>13</v>
      </c>
      <c r="N1246" s="20">
        <f t="shared" si="146"/>
        <v>0</v>
      </c>
      <c r="O1246" s="20">
        <f t="shared" si="147"/>
        <v>1</v>
      </c>
      <c r="P1246" s="22">
        <f t="shared" si="148"/>
        <v>141.5</v>
      </c>
      <c r="Q1246" s="22">
        <f>G1246*INDEX(Assumptions!$B$8:$B$16,MATCH(F1246,Assumptions!$A$8:$A$16,0))</f>
        <v>76.483199999999997</v>
      </c>
      <c r="R1246" s="22">
        <f>H1246*Assumptions!$B$3</f>
        <v>10.884</v>
      </c>
      <c r="S1246" s="22">
        <f t="shared" si="149"/>
        <v>35.992800000000003</v>
      </c>
      <c r="T1246" s="20" t="str">
        <f t="shared" si="150"/>
        <v>8-14 days</v>
      </c>
    </row>
    <row r="1247" spans="1:20" x14ac:dyDescent="0.3">
      <c r="A1247" s="20" t="s">
        <v>1313</v>
      </c>
      <c r="B1247" s="20" t="s">
        <v>19</v>
      </c>
      <c r="C1247" s="21">
        <v>45750</v>
      </c>
      <c r="D1247" s="21">
        <v>45757</v>
      </c>
      <c r="E1247" s="21">
        <v>45764</v>
      </c>
      <c r="F1247" s="20" t="s">
        <v>59</v>
      </c>
      <c r="G1247" s="22">
        <v>76.849999999999994</v>
      </c>
      <c r="H1247" s="22">
        <v>20.170000000000002</v>
      </c>
      <c r="I1247" s="20" t="s">
        <v>45</v>
      </c>
      <c r="J1247" s="20">
        <v>5</v>
      </c>
      <c r="K1247" s="20" t="s">
        <v>46</v>
      </c>
      <c r="L1247" s="23">
        <f t="shared" si="144"/>
        <v>45748</v>
      </c>
      <c r="M1247" s="20">
        <f t="shared" si="145"/>
        <v>7</v>
      </c>
      <c r="N1247" s="20">
        <f t="shared" si="146"/>
        <v>0</v>
      </c>
      <c r="O1247" s="20">
        <f t="shared" si="147"/>
        <v>1</v>
      </c>
      <c r="P1247" s="22">
        <f t="shared" si="148"/>
        <v>97.02</v>
      </c>
      <c r="Q1247" s="22">
        <f>G1247*INDEX(Assumptions!$B$8:$B$16,MATCH(F1247,Assumptions!$A$8:$A$16,0))</f>
        <v>49.183999999999997</v>
      </c>
      <c r="R1247" s="22">
        <f>H1247*Assumptions!$B$3</f>
        <v>12.102</v>
      </c>
      <c r="S1247" s="22">
        <f t="shared" si="149"/>
        <v>15.563999999999997</v>
      </c>
      <c r="T1247" s="20" t="str">
        <f t="shared" si="150"/>
        <v>0-7 days</v>
      </c>
    </row>
    <row r="1248" spans="1:20" x14ac:dyDescent="0.3">
      <c r="A1248" s="20" t="s">
        <v>1314</v>
      </c>
      <c r="B1248" s="20" t="s">
        <v>19</v>
      </c>
      <c r="C1248" s="21">
        <v>45750</v>
      </c>
      <c r="D1248" s="21">
        <v>45760</v>
      </c>
      <c r="E1248" s="21">
        <v>45767</v>
      </c>
      <c r="F1248" s="20" t="s">
        <v>49</v>
      </c>
      <c r="G1248" s="22">
        <v>92.19</v>
      </c>
      <c r="H1248" s="22">
        <v>13.3</v>
      </c>
      <c r="I1248" s="20" t="s">
        <v>60</v>
      </c>
      <c r="J1248" s="20">
        <v>4</v>
      </c>
      <c r="K1248" s="20" t="s">
        <v>46</v>
      </c>
      <c r="L1248" s="23">
        <f t="shared" si="144"/>
        <v>45748</v>
      </c>
      <c r="M1248" s="20">
        <f t="shared" si="145"/>
        <v>10</v>
      </c>
      <c r="N1248" s="20">
        <f t="shared" si="146"/>
        <v>0</v>
      </c>
      <c r="O1248" s="20">
        <f t="shared" si="147"/>
        <v>1</v>
      </c>
      <c r="P1248" s="22">
        <f t="shared" si="148"/>
        <v>105.49</v>
      </c>
      <c r="Q1248" s="22">
        <f>G1248*INDEX(Assumptions!$B$8:$B$16,MATCH(F1248,Assumptions!$A$8:$A$16,0))</f>
        <v>53.470199999999998</v>
      </c>
      <c r="R1248" s="22">
        <f>H1248*Assumptions!$B$3</f>
        <v>7.98</v>
      </c>
      <c r="S1248" s="22">
        <f t="shared" si="149"/>
        <v>30.739799999999999</v>
      </c>
      <c r="T1248" s="20" t="str">
        <f t="shared" si="150"/>
        <v>8-14 days</v>
      </c>
    </row>
    <row r="1249" spans="1:20" x14ac:dyDescent="0.3">
      <c r="A1249" s="20" t="s">
        <v>1315</v>
      </c>
      <c r="B1249" s="20" t="s">
        <v>77</v>
      </c>
      <c r="C1249" s="21">
        <v>45750</v>
      </c>
      <c r="D1249" s="21">
        <v>45763</v>
      </c>
      <c r="E1249" s="21">
        <v>45775</v>
      </c>
      <c r="F1249" s="20" t="s">
        <v>49</v>
      </c>
      <c r="G1249" s="22">
        <v>74.3</v>
      </c>
      <c r="H1249" s="22">
        <v>31</v>
      </c>
      <c r="I1249" s="20" t="s">
        <v>60</v>
      </c>
      <c r="J1249" s="20">
        <v>5</v>
      </c>
      <c r="K1249" s="20" t="s">
        <v>46</v>
      </c>
      <c r="L1249" s="23">
        <f t="shared" si="144"/>
        <v>45748</v>
      </c>
      <c r="M1249" s="20">
        <f t="shared" si="145"/>
        <v>13</v>
      </c>
      <c r="N1249" s="20">
        <f t="shared" si="146"/>
        <v>0</v>
      </c>
      <c r="O1249" s="20">
        <f t="shared" si="147"/>
        <v>1</v>
      </c>
      <c r="P1249" s="22">
        <f t="shared" si="148"/>
        <v>105.3</v>
      </c>
      <c r="Q1249" s="22">
        <f>G1249*INDEX(Assumptions!$B$8:$B$16,MATCH(F1249,Assumptions!$A$8:$A$16,0))</f>
        <v>43.093999999999994</v>
      </c>
      <c r="R1249" s="22">
        <f>H1249*Assumptions!$B$3</f>
        <v>18.599999999999998</v>
      </c>
      <c r="S1249" s="22">
        <f t="shared" si="149"/>
        <v>12.606000000000005</v>
      </c>
      <c r="T1249" s="20" t="str">
        <f t="shared" si="150"/>
        <v>8-14 days</v>
      </c>
    </row>
    <row r="1250" spans="1:20" x14ac:dyDescent="0.3">
      <c r="A1250" s="20" t="s">
        <v>1316</v>
      </c>
      <c r="B1250" s="20" t="s">
        <v>55</v>
      </c>
      <c r="C1250" s="21">
        <v>45750</v>
      </c>
      <c r="D1250" s="21">
        <v>45763</v>
      </c>
      <c r="E1250" s="21">
        <v>45777</v>
      </c>
      <c r="F1250" s="20" t="s">
        <v>79</v>
      </c>
      <c r="G1250" s="22">
        <v>78.12</v>
      </c>
      <c r="H1250" s="22">
        <v>16.43</v>
      </c>
      <c r="I1250" s="20" t="s">
        <v>45</v>
      </c>
      <c r="J1250" s="20">
        <v>5</v>
      </c>
      <c r="K1250" s="20" t="s">
        <v>46</v>
      </c>
      <c r="L1250" s="23">
        <f t="shared" si="144"/>
        <v>45748</v>
      </c>
      <c r="M1250" s="20">
        <f t="shared" si="145"/>
        <v>13</v>
      </c>
      <c r="N1250" s="20">
        <f t="shared" si="146"/>
        <v>0</v>
      </c>
      <c r="O1250" s="20">
        <f t="shared" si="147"/>
        <v>1</v>
      </c>
      <c r="P1250" s="22">
        <f t="shared" si="148"/>
        <v>94.550000000000011</v>
      </c>
      <c r="Q1250" s="22">
        <f>G1250*INDEX(Assumptions!$B$8:$B$16,MATCH(F1250,Assumptions!$A$8:$A$16,0))</f>
        <v>54.683999999999997</v>
      </c>
      <c r="R1250" s="22">
        <f>H1250*Assumptions!$B$3</f>
        <v>9.8579999999999988</v>
      </c>
      <c r="S1250" s="22">
        <f t="shared" si="149"/>
        <v>13.578000000000008</v>
      </c>
      <c r="T1250" s="20" t="str">
        <f t="shared" si="150"/>
        <v>8-14 days</v>
      </c>
    </row>
    <row r="1251" spans="1:20" x14ac:dyDescent="0.3">
      <c r="A1251" s="20" t="s">
        <v>1317</v>
      </c>
      <c r="B1251" s="20" t="s">
        <v>19</v>
      </c>
      <c r="C1251" s="21">
        <v>45750</v>
      </c>
      <c r="D1251" s="21">
        <v>45757</v>
      </c>
      <c r="E1251" s="21">
        <v>45763</v>
      </c>
      <c r="F1251" s="20" t="s">
        <v>53</v>
      </c>
      <c r="G1251" s="22">
        <v>82.02</v>
      </c>
      <c r="H1251" s="22">
        <v>14.97</v>
      </c>
      <c r="I1251" s="20" t="s">
        <v>45</v>
      </c>
      <c r="J1251" s="20">
        <v>4</v>
      </c>
      <c r="K1251" s="20" t="s">
        <v>46</v>
      </c>
      <c r="L1251" s="23">
        <f t="shared" si="144"/>
        <v>45748</v>
      </c>
      <c r="M1251" s="20">
        <f t="shared" si="145"/>
        <v>7</v>
      </c>
      <c r="N1251" s="20">
        <f t="shared" si="146"/>
        <v>0</v>
      </c>
      <c r="O1251" s="20">
        <f t="shared" si="147"/>
        <v>1</v>
      </c>
      <c r="P1251" s="22">
        <f t="shared" si="148"/>
        <v>96.99</v>
      </c>
      <c r="Q1251" s="22">
        <f>G1251*INDEX(Assumptions!$B$8:$B$16,MATCH(F1251,Assumptions!$A$8:$A$16,0))</f>
        <v>60.694799999999994</v>
      </c>
      <c r="R1251" s="22">
        <f>H1251*Assumptions!$B$3</f>
        <v>8.9819999999999993</v>
      </c>
      <c r="S1251" s="22">
        <f t="shared" si="149"/>
        <v>12.343200000000003</v>
      </c>
      <c r="T1251" s="20" t="str">
        <f t="shared" si="150"/>
        <v>0-7 days</v>
      </c>
    </row>
    <row r="1252" spans="1:20" x14ac:dyDescent="0.3">
      <c r="A1252" s="20" t="s">
        <v>1318</v>
      </c>
      <c r="B1252" s="20" t="s">
        <v>103</v>
      </c>
      <c r="C1252" s="21">
        <v>45750</v>
      </c>
      <c r="D1252" s="21">
        <v>45759</v>
      </c>
      <c r="E1252" s="21">
        <v>45771</v>
      </c>
      <c r="F1252" s="20" t="s">
        <v>79</v>
      </c>
      <c r="G1252" s="22">
        <v>138.22999999999999</v>
      </c>
      <c r="H1252" s="22">
        <v>19.25</v>
      </c>
      <c r="I1252" s="20" t="s">
        <v>45</v>
      </c>
      <c r="J1252" s="20">
        <v>4</v>
      </c>
      <c r="K1252" s="20" t="s">
        <v>46</v>
      </c>
      <c r="L1252" s="23">
        <f t="shared" si="144"/>
        <v>45748</v>
      </c>
      <c r="M1252" s="20">
        <f t="shared" si="145"/>
        <v>9</v>
      </c>
      <c r="N1252" s="20">
        <f t="shared" si="146"/>
        <v>0</v>
      </c>
      <c r="O1252" s="20">
        <f t="shared" si="147"/>
        <v>1</v>
      </c>
      <c r="P1252" s="22">
        <f t="shared" si="148"/>
        <v>157.47999999999999</v>
      </c>
      <c r="Q1252" s="22">
        <f>G1252*INDEX(Assumptions!$B$8:$B$16,MATCH(F1252,Assumptions!$A$8:$A$16,0))</f>
        <v>96.760999999999981</v>
      </c>
      <c r="R1252" s="22">
        <f>H1252*Assumptions!$B$3</f>
        <v>11.549999999999999</v>
      </c>
      <c r="S1252" s="22">
        <f t="shared" si="149"/>
        <v>29.919000000000011</v>
      </c>
      <c r="T1252" s="20" t="str">
        <f t="shared" si="150"/>
        <v>8-14 days</v>
      </c>
    </row>
    <row r="1253" spans="1:20" x14ac:dyDescent="0.3">
      <c r="A1253" s="20" t="s">
        <v>1319</v>
      </c>
      <c r="B1253" s="20" t="s">
        <v>48</v>
      </c>
      <c r="C1253" s="21">
        <v>45750</v>
      </c>
      <c r="D1253" s="21">
        <v>45765</v>
      </c>
      <c r="E1253" s="21">
        <v>45770</v>
      </c>
      <c r="F1253" s="20" t="s">
        <v>49</v>
      </c>
      <c r="G1253" s="22">
        <v>100.97</v>
      </c>
      <c r="H1253" s="22">
        <v>22.51</v>
      </c>
      <c r="I1253" s="20" t="s">
        <v>45</v>
      </c>
      <c r="J1253" s="20">
        <v>3</v>
      </c>
      <c r="K1253" s="20" t="s">
        <v>46</v>
      </c>
      <c r="L1253" s="23">
        <f t="shared" si="144"/>
        <v>45748</v>
      </c>
      <c r="M1253" s="20">
        <f t="shared" si="145"/>
        <v>15</v>
      </c>
      <c r="N1253" s="20">
        <f t="shared" si="146"/>
        <v>0</v>
      </c>
      <c r="O1253" s="20">
        <f t="shared" si="147"/>
        <v>1</v>
      </c>
      <c r="P1253" s="22">
        <f t="shared" si="148"/>
        <v>123.48</v>
      </c>
      <c r="Q1253" s="22">
        <f>G1253*INDEX(Assumptions!$B$8:$B$16,MATCH(F1253,Assumptions!$A$8:$A$16,0))</f>
        <v>58.562599999999996</v>
      </c>
      <c r="R1253" s="22">
        <f>H1253*Assumptions!$B$3</f>
        <v>13.506</v>
      </c>
      <c r="S1253" s="22">
        <f t="shared" si="149"/>
        <v>28.901400000000002</v>
      </c>
      <c r="T1253" s="20" t="str">
        <f t="shared" si="150"/>
        <v>15-21 days</v>
      </c>
    </row>
    <row r="1254" spans="1:20" x14ac:dyDescent="0.3">
      <c r="A1254" s="20" t="s">
        <v>1320</v>
      </c>
      <c r="B1254" s="20" t="s">
        <v>55</v>
      </c>
      <c r="C1254" s="21">
        <v>45750</v>
      </c>
      <c r="D1254" s="21">
        <v>45763</v>
      </c>
      <c r="E1254" s="21">
        <v>45775</v>
      </c>
      <c r="F1254" s="20" t="s">
        <v>44</v>
      </c>
      <c r="G1254" s="22">
        <v>45.1</v>
      </c>
      <c r="H1254" s="22">
        <v>28.5</v>
      </c>
      <c r="I1254" s="20" t="s">
        <v>45</v>
      </c>
      <c r="J1254" s="20">
        <v>5</v>
      </c>
      <c r="K1254" s="20" t="s">
        <v>46</v>
      </c>
      <c r="L1254" s="23">
        <f t="shared" si="144"/>
        <v>45748</v>
      </c>
      <c r="M1254" s="20">
        <f t="shared" si="145"/>
        <v>13</v>
      </c>
      <c r="N1254" s="20">
        <f t="shared" si="146"/>
        <v>0</v>
      </c>
      <c r="O1254" s="20">
        <f t="shared" si="147"/>
        <v>1</v>
      </c>
      <c r="P1254" s="22">
        <f t="shared" si="148"/>
        <v>73.599999999999994</v>
      </c>
      <c r="Q1254" s="22">
        <f>G1254*INDEX(Assumptions!$B$8:$B$16,MATCH(F1254,Assumptions!$A$8:$A$16,0))</f>
        <v>27.06</v>
      </c>
      <c r="R1254" s="22">
        <f>H1254*Assumptions!$B$3</f>
        <v>17.099999999999998</v>
      </c>
      <c r="S1254" s="22">
        <f t="shared" si="149"/>
        <v>0.94000000000000483</v>
      </c>
      <c r="T1254" s="20" t="str">
        <f t="shared" si="150"/>
        <v>8-14 days</v>
      </c>
    </row>
    <row r="1255" spans="1:20" x14ac:dyDescent="0.3">
      <c r="A1255" s="20" t="s">
        <v>1321</v>
      </c>
      <c r="B1255" s="20" t="s">
        <v>19</v>
      </c>
      <c r="C1255" s="21">
        <v>45750</v>
      </c>
      <c r="D1255" s="21">
        <v>45763</v>
      </c>
      <c r="E1255" s="21">
        <v>45767</v>
      </c>
      <c r="F1255" s="20" t="s">
        <v>67</v>
      </c>
      <c r="G1255" s="22">
        <v>94.37</v>
      </c>
      <c r="H1255" s="22">
        <v>14</v>
      </c>
      <c r="I1255" s="20" t="s">
        <v>45</v>
      </c>
      <c r="J1255" s="20">
        <v>4</v>
      </c>
      <c r="K1255" s="20" t="s">
        <v>46</v>
      </c>
      <c r="L1255" s="23">
        <f t="shared" si="144"/>
        <v>45748</v>
      </c>
      <c r="M1255" s="20">
        <f t="shared" si="145"/>
        <v>13</v>
      </c>
      <c r="N1255" s="20">
        <f t="shared" si="146"/>
        <v>0</v>
      </c>
      <c r="O1255" s="20">
        <f t="shared" si="147"/>
        <v>1</v>
      </c>
      <c r="P1255" s="22">
        <f t="shared" si="148"/>
        <v>108.37</v>
      </c>
      <c r="Q1255" s="22">
        <f>G1255*INDEX(Assumptions!$B$8:$B$16,MATCH(F1255,Assumptions!$A$8:$A$16,0))</f>
        <v>58.509399999999999</v>
      </c>
      <c r="R1255" s="22">
        <f>H1255*Assumptions!$B$3</f>
        <v>8.4</v>
      </c>
      <c r="S1255" s="22">
        <f t="shared" si="149"/>
        <v>27.460600000000007</v>
      </c>
      <c r="T1255" s="20" t="str">
        <f t="shared" si="150"/>
        <v>8-14 days</v>
      </c>
    </row>
    <row r="1256" spans="1:20" x14ac:dyDescent="0.3">
      <c r="A1256" s="20" t="s">
        <v>1322</v>
      </c>
      <c r="B1256" s="20" t="s">
        <v>19</v>
      </c>
      <c r="C1256" s="21">
        <v>45751</v>
      </c>
      <c r="D1256" s="21">
        <v>45757</v>
      </c>
      <c r="E1256" s="21">
        <v>45768</v>
      </c>
      <c r="F1256" s="20" t="s">
        <v>67</v>
      </c>
      <c r="G1256" s="22">
        <v>81.55</v>
      </c>
      <c r="H1256" s="22">
        <v>21.96</v>
      </c>
      <c r="I1256" s="20" t="s">
        <v>45</v>
      </c>
      <c r="J1256" s="20">
        <v>4</v>
      </c>
      <c r="K1256" s="20" t="s">
        <v>46</v>
      </c>
      <c r="L1256" s="23">
        <f t="shared" si="144"/>
        <v>45748</v>
      </c>
      <c r="M1256" s="20">
        <f t="shared" si="145"/>
        <v>6</v>
      </c>
      <c r="N1256" s="20">
        <f t="shared" si="146"/>
        <v>0</v>
      </c>
      <c r="O1256" s="20">
        <f t="shared" si="147"/>
        <v>1</v>
      </c>
      <c r="P1256" s="22">
        <f t="shared" si="148"/>
        <v>103.50999999999999</v>
      </c>
      <c r="Q1256" s="22">
        <f>G1256*INDEX(Assumptions!$B$8:$B$16,MATCH(F1256,Assumptions!$A$8:$A$16,0))</f>
        <v>50.561</v>
      </c>
      <c r="R1256" s="22">
        <f>H1256*Assumptions!$B$3</f>
        <v>13.176</v>
      </c>
      <c r="S1256" s="22">
        <f t="shared" si="149"/>
        <v>17.812999999999995</v>
      </c>
      <c r="T1256" s="20" t="str">
        <f t="shared" si="150"/>
        <v>0-7 days</v>
      </c>
    </row>
    <row r="1257" spans="1:20" x14ac:dyDescent="0.3">
      <c r="A1257" s="20" t="s">
        <v>1323</v>
      </c>
      <c r="B1257" s="20" t="s">
        <v>55</v>
      </c>
      <c r="C1257" s="21">
        <v>45751</v>
      </c>
      <c r="D1257" s="21">
        <v>45767</v>
      </c>
      <c r="E1257" s="21">
        <v>45779</v>
      </c>
      <c r="F1257" s="20" t="s">
        <v>111</v>
      </c>
      <c r="G1257" s="22">
        <v>120.53</v>
      </c>
      <c r="H1257" s="22">
        <v>30.29</v>
      </c>
      <c r="I1257" s="20" t="s">
        <v>45</v>
      </c>
      <c r="J1257" s="20">
        <v>4</v>
      </c>
      <c r="K1257" s="20" t="s">
        <v>46</v>
      </c>
      <c r="L1257" s="23">
        <f t="shared" si="144"/>
        <v>45748</v>
      </c>
      <c r="M1257" s="20">
        <f t="shared" si="145"/>
        <v>16</v>
      </c>
      <c r="N1257" s="20">
        <f t="shared" si="146"/>
        <v>0</v>
      </c>
      <c r="O1257" s="20">
        <f t="shared" si="147"/>
        <v>1</v>
      </c>
      <c r="P1257" s="22">
        <f t="shared" si="148"/>
        <v>150.82</v>
      </c>
      <c r="Q1257" s="22">
        <f>G1257*INDEX(Assumptions!$B$8:$B$16,MATCH(F1257,Assumptions!$A$8:$A$16,0))</f>
        <v>75.933899999999994</v>
      </c>
      <c r="R1257" s="22">
        <f>H1257*Assumptions!$B$3</f>
        <v>18.173999999999999</v>
      </c>
      <c r="S1257" s="22">
        <f t="shared" si="149"/>
        <v>26.422100000000007</v>
      </c>
      <c r="T1257" s="20" t="str">
        <f t="shared" si="150"/>
        <v>15-21 days</v>
      </c>
    </row>
    <row r="1258" spans="1:20" x14ac:dyDescent="0.3">
      <c r="A1258" s="20" t="s">
        <v>1324</v>
      </c>
      <c r="B1258" s="20" t="s">
        <v>19</v>
      </c>
      <c r="C1258" s="21">
        <v>45751</v>
      </c>
      <c r="D1258" s="21">
        <v>45758</v>
      </c>
      <c r="E1258" s="21">
        <v>45764</v>
      </c>
      <c r="F1258" s="20" t="s">
        <v>67</v>
      </c>
      <c r="G1258" s="22">
        <v>31.1</v>
      </c>
      <c r="H1258" s="22">
        <v>20.88</v>
      </c>
      <c r="I1258" s="20" t="s">
        <v>60</v>
      </c>
      <c r="J1258" s="20">
        <v>5</v>
      </c>
      <c r="K1258" s="20" t="s">
        <v>46</v>
      </c>
      <c r="L1258" s="23">
        <f t="shared" si="144"/>
        <v>45748</v>
      </c>
      <c r="M1258" s="20">
        <f t="shared" si="145"/>
        <v>7</v>
      </c>
      <c r="N1258" s="20">
        <f t="shared" si="146"/>
        <v>0</v>
      </c>
      <c r="O1258" s="20">
        <f t="shared" si="147"/>
        <v>1</v>
      </c>
      <c r="P1258" s="22">
        <f t="shared" si="148"/>
        <v>51.980000000000004</v>
      </c>
      <c r="Q1258" s="22">
        <f>G1258*INDEX(Assumptions!$B$8:$B$16,MATCH(F1258,Assumptions!$A$8:$A$16,0))</f>
        <v>19.282</v>
      </c>
      <c r="R1258" s="22">
        <f>H1258*Assumptions!$B$3</f>
        <v>12.527999999999999</v>
      </c>
      <c r="S1258" s="22">
        <f t="shared" si="149"/>
        <v>-0.7099999999999973</v>
      </c>
      <c r="T1258" s="20" t="str">
        <f t="shared" si="150"/>
        <v>0-7 days</v>
      </c>
    </row>
    <row r="1259" spans="1:20" x14ac:dyDescent="0.3">
      <c r="A1259" s="20" t="s">
        <v>1325</v>
      </c>
      <c r="B1259" s="20" t="s">
        <v>19</v>
      </c>
      <c r="C1259" s="21">
        <v>45751</v>
      </c>
      <c r="D1259" s="21">
        <v>45755</v>
      </c>
      <c r="E1259" s="21">
        <v>45763</v>
      </c>
      <c r="F1259" s="20" t="s">
        <v>49</v>
      </c>
      <c r="G1259" s="22">
        <v>63.69</v>
      </c>
      <c r="H1259" s="22">
        <v>20.309999999999999</v>
      </c>
      <c r="I1259" s="20" t="s">
        <v>60</v>
      </c>
      <c r="J1259" s="20">
        <v>5</v>
      </c>
      <c r="K1259" s="20" t="s">
        <v>46</v>
      </c>
      <c r="L1259" s="23">
        <f t="shared" si="144"/>
        <v>45748</v>
      </c>
      <c r="M1259" s="20">
        <f t="shared" si="145"/>
        <v>4</v>
      </c>
      <c r="N1259" s="20">
        <f t="shared" si="146"/>
        <v>0</v>
      </c>
      <c r="O1259" s="20">
        <f t="shared" si="147"/>
        <v>1</v>
      </c>
      <c r="P1259" s="22">
        <f t="shared" si="148"/>
        <v>84</v>
      </c>
      <c r="Q1259" s="22">
        <f>G1259*INDEX(Assumptions!$B$8:$B$16,MATCH(F1259,Assumptions!$A$8:$A$16,0))</f>
        <v>36.940199999999997</v>
      </c>
      <c r="R1259" s="22">
        <f>H1259*Assumptions!$B$3</f>
        <v>12.185999999999998</v>
      </c>
      <c r="S1259" s="22">
        <f t="shared" si="149"/>
        <v>14.563800000000002</v>
      </c>
      <c r="T1259" s="20" t="str">
        <f t="shared" si="150"/>
        <v>0-7 days</v>
      </c>
    </row>
    <row r="1260" spans="1:20" x14ac:dyDescent="0.3">
      <c r="A1260" s="20" t="s">
        <v>1326</v>
      </c>
      <c r="B1260" s="20" t="s">
        <v>19</v>
      </c>
      <c r="C1260" s="21">
        <v>45752</v>
      </c>
      <c r="D1260" s="21">
        <v>45762</v>
      </c>
      <c r="E1260" s="21">
        <v>45772</v>
      </c>
      <c r="F1260" s="20" t="s">
        <v>79</v>
      </c>
      <c r="G1260" s="22">
        <v>83.3</v>
      </c>
      <c r="H1260" s="22">
        <v>21.6</v>
      </c>
      <c r="I1260" s="20" t="s">
        <v>45</v>
      </c>
      <c r="J1260" s="20">
        <v>5</v>
      </c>
      <c r="K1260" s="20" t="s">
        <v>46</v>
      </c>
      <c r="L1260" s="23">
        <f t="shared" si="144"/>
        <v>45748</v>
      </c>
      <c r="M1260" s="20">
        <f t="shared" si="145"/>
        <v>10</v>
      </c>
      <c r="N1260" s="20">
        <f t="shared" si="146"/>
        <v>0</v>
      </c>
      <c r="O1260" s="20">
        <f t="shared" si="147"/>
        <v>1</v>
      </c>
      <c r="P1260" s="22">
        <f t="shared" si="148"/>
        <v>104.9</v>
      </c>
      <c r="Q1260" s="22">
        <f>G1260*INDEX(Assumptions!$B$8:$B$16,MATCH(F1260,Assumptions!$A$8:$A$16,0))</f>
        <v>58.309999999999995</v>
      </c>
      <c r="R1260" s="22">
        <f>H1260*Assumptions!$B$3</f>
        <v>12.96</v>
      </c>
      <c r="S1260" s="22">
        <f t="shared" si="149"/>
        <v>12.030000000000001</v>
      </c>
      <c r="T1260" s="20" t="str">
        <f t="shared" si="150"/>
        <v>8-14 days</v>
      </c>
    </row>
    <row r="1261" spans="1:20" x14ac:dyDescent="0.3">
      <c r="A1261" s="20" t="s">
        <v>1327</v>
      </c>
      <c r="B1261" s="20" t="s">
        <v>52</v>
      </c>
      <c r="C1261" s="21">
        <v>45752</v>
      </c>
      <c r="D1261" s="21">
        <v>45767</v>
      </c>
      <c r="E1261" s="21">
        <v>45777</v>
      </c>
      <c r="F1261" s="20" t="s">
        <v>53</v>
      </c>
      <c r="G1261" s="22">
        <v>266.47000000000003</v>
      </c>
      <c r="H1261" s="22">
        <v>22.96</v>
      </c>
      <c r="I1261" s="20" t="s">
        <v>45</v>
      </c>
      <c r="J1261" s="20">
        <v>5</v>
      </c>
      <c r="K1261" s="20" t="s">
        <v>46</v>
      </c>
      <c r="L1261" s="23">
        <f t="shared" si="144"/>
        <v>45748</v>
      </c>
      <c r="M1261" s="20">
        <f t="shared" si="145"/>
        <v>15</v>
      </c>
      <c r="N1261" s="20">
        <f t="shared" si="146"/>
        <v>0</v>
      </c>
      <c r="O1261" s="20">
        <f t="shared" si="147"/>
        <v>1</v>
      </c>
      <c r="P1261" s="22">
        <f t="shared" si="148"/>
        <v>289.43</v>
      </c>
      <c r="Q1261" s="22">
        <f>G1261*INDEX(Assumptions!$B$8:$B$16,MATCH(F1261,Assumptions!$A$8:$A$16,0))</f>
        <v>197.18780000000001</v>
      </c>
      <c r="R1261" s="22">
        <f>H1261*Assumptions!$B$3</f>
        <v>13.776</v>
      </c>
      <c r="S1261" s="22">
        <f t="shared" si="149"/>
        <v>55.506200000000021</v>
      </c>
      <c r="T1261" s="20" t="str">
        <f t="shared" si="150"/>
        <v>15-21 days</v>
      </c>
    </row>
    <row r="1262" spans="1:20" x14ac:dyDescent="0.3">
      <c r="A1262" s="20" t="s">
        <v>1328</v>
      </c>
      <c r="B1262" s="20" t="s">
        <v>19</v>
      </c>
      <c r="C1262" s="21">
        <v>45753</v>
      </c>
      <c r="D1262" s="21">
        <v>45765</v>
      </c>
      <c r="E1262" s="21">
        <v>45770</v>
      </c>
      <c r="F1262" s="20" t="s">
        <v>79</v>
      </c>
      <c r="G1262" s="22">
        <v>68.97</v>
      </c>
      <c r="H1262" s="22">
        <v>15.19</v>
      </c>
      <c r="I1262" s="20" t="s">
        <v>45</v>
      </c>
      <c r="J1262" s="20">
        <v>4</v>
      </c>
      <c r="K1262" s="20" t="s">
        <v>46</v>
      </c>
      <c r="L1262" s="23">
        <f t="shared" si="144"/>
        <v>45748</v>
      </c>
      <c r="M1262" s="20">
        <f t="shared" si="145"/>
        <v>12</v>
      </c>
      <c r="N1262" s="20">
        <f t="shared" si="146"/>
        <v>0</v>
      </c>
      <c r="O1262" s="20">
        <f t="shared" si="147"/>
        <v>1</v>
      </c>
      <c r="P1262" s="22">
        <f t="shared" si="148"/>
        <v>84.16</v>
      </c>
      <c r="Q1262" s="22">
        <f>G1262*INDEX(Assumptions!$B$8:$B$16,MATCH(F1262,Assumptions!$A$8:$A$16,0))</f>
        <v>48.278999999999996</v>
      </c>
      <c r="R1262" s="22">
        <f>H1262*Assumptions!$B$3</f>
        <v>9.113999999999999</v>
      </c>
      <c r="S1262" s="22">
        <f t="shared" si="149"/>
        <v>11.577000000000004</v>
      </c>
      <c r="T1262" s="20" t="str">
        <f t="shared" si="150"/>
        <v>8-14 days</v>
      </c>
    </row>
    <row r="1263" spans="1:20" x14ac:dyDescent="0.3">
      <c r="A1263" s="20" t="s">
        <v>1329</v>
      </c>
      <c r="B1263" s="20" t="s">
        <v>19</v>
      </c>
      <c r="C1263" s="21">
        <v>45753</v>
      </c>
      <c r="D1263" s="21">
        <v>45759</v>
      </c>
      <c r="E1263" s="21">
        <v>45770</v>
      </c>
      <c r="F1263" s="20" t="s">
        <v>44</v>
      </c>
      <c r="G1263" s="22">
        <v>118.67</v>
      </c>
      <c r="H1263" s="22">
        <v>17.809999999999999</v>
      </c>
      <c r="I1263" s="20" t="s">
        <v>45</v>
      </c>
      <c r="J1263" s="20">
        <v>5</v>
      </c>
      <c r="K1263" s="20" t="s">
        <v>46</v>
      </c>
      <c r="L1263" s="23">
        <f t="shared" si="144"/>
        <v>45748</v>
      </c>
      <c r="M1263" s="20">
        <f t="shared" si="145"/>
        <v>6</v>
      </c>
      <c r="N1263" s="20">
        <f t="shared" si="146"/>
        <v>0</v>
      </c>
      <c r="O1263" s="20">
        <f t="shared" si="147"/>
        <v>1</v>
      </c>
      <c r="P1263" s="22">
        <f t="shared" si="148"/>
        <v>136.47999999999999</v>
      </c>
      <c r="Q1263" s="22">
        <f>G1263*INDEX(Assumptions!$B$8:$B$16,MATCH(F1263,Assumptions!$A$8:$A$16,0))</f>
        <v>71.201999999999998</v>
      </c>
      <c r="R1263" s="22">
        <f>H1263*Assumptions!$B$3</f>
        <v>10.685999999999998</v>
      </c>
      <c r="S1263" s="22">
        <f t="shared" si="149"/>
        <v>36.782000000000004</v>
      </c>
      <c r="T1263" s="20" t="str">
        <f t="shared" si="150"/>
        <v>0-7 days</v>
      </c>
    </row>
    <row r="1264" spans="1:20" x14ac:dyDescent="0.3">
      <c r="A1264" s="20" t="s">
        <v>1330</v>
      </c>
      <c r="B1264" s="20" t="s">
        <v>19</v>
      </c>
      <c r="C1264" s="21">
        <v>45753</v>
      </c>
      <c r="D1264" s="21">
        <v>45764</v>
      </c>
      <c r="E1264" s="21">
        <v>45770</v>
      </c>
      <c r="F1264" s="20" t="s">
        <v>53</v>
      </c>
      <c r="G1264" s="22">
        <v>125.59</v>
      </c>
      <c r="H1264" s="22">
        <v>17.850000000000001</v>
      </c>
      <c r="I1264" s="20" t="s">
        <v>50</v>
      </c>
      <c r="J1264" s="20">
        <v>4</v>
      </c>
      <c r="K1264" s="20" t="s">
        <v>46</v>
      </c>
      <c r="L1264" s="23">
        <f t="shared" si="144"/>
        <v>45748</v>
      </c>
      <c r="M1264" s="20">
        <f t="shared" si="145"/>
        <v>11</v>
      </c>
      <c r="N1264" s="20">
        <f t="shared" si="146"/>
        <v>0</v>
      </c>
      <c r="O1264" s="20">
        <f t="shared" si="147"/>
        <v>1</v>
      </c>
      <c r="P1264" s="22">
        <f t="shared" si="148"/>
        <v>143.44</v>
      </c>
      <c r="Q1264" s="22">
        <f>G1264*INDEX(Assumptions!$B$8:$B$16,MATCH(F1264,Assumptions!$A$8:$A$16,0))</f>
        <v>92.936599999999999</v>
      </c>
      <c r="R1264" s="22">
        <f>H1264*Assumptions!$B$3</f>
        <v>10.71</v>
      </c>
      <c r="S1264" s="22">
        <f t="shared" si="149"/>
        <v>21.943400000000004</v>
      </c>
      <c r="T1264" s="20" t="str">
        <f t="shared" si="150"/>
        <v>8-14 days</v>
      </c>
    </row>
    <row r="1265" spans="1:20" x14ac:dyDescent="0.3">
      <c r="A1265" s="20" t="s">
        <v>1331</v>
      </c>
      <c r="B1265" s="20" t="s">
        <v>77</v>
      </c>
      <c r="C1265" s="21">
        <v>45754</v>
      </c>
      <c r="D1265" s="21">
        <v>45779</v>
      </c>
      <c r="E1265" s="21">
        <v>45777</v>
      </c>
      <c r="F1265" s="20" t="s">
        <v>64</v>
      </c>
      <c r="G1265" s="22">
        <v>105.47</v>
      </c>
      <c r="H1265" s="22">
        <v>23.49</v>
      </c>
      <c r="I1265" s="20" t="s">
        <v>45</v>
      </c>
      <c r="J1265" s="20">
        <v>2</v>
      </c>
      <c r="K1265" s="20" t="s">
        <v>46</v>
      </c>
      <c r="L1265" s="23">
        <f t="shared" si="144"/>
        <v>45748</v>
      </c>
      <c r="M1265" s="20">
        <f t="shared" si="145"/>
        <v>25</v>
      </c>
      <c r="N1265" s="20">
        <f t="shared" si="146"/>
        <v>2</v>
      </c>
      <c r="O1265" s="20">
        <f t="shared" si="147"/>
        <v>0</v>
      </c>
      <c r="P1265" s="22">
        <f t="shared" si="148"/>
        <v>128.96</v>
      </c>
      <c r="Q1265" s="22">
        <f>G1265*INDEX(Assumptions!$B$8:$B$16,MATCH(F1265,Assumptions!$A$8:$A$16,0))</f>
        <v>69.610200000000006</v>
      </c>
      <c r="R1265" s="22">
        <f>H1265*Assumptions!$B$3</f>
        <v>14.093999999999999</v>
      </c>
      <c r="S1265" s="22">
        <f t="shared" si="149"/>
        <v>21.765799999999992</v>
      </c>
      <c r="T1265" s="20" t="str">
        <f t="shared" si="150"/>
        <v>22+ days</v>
      </c>
    </row>
    <row r="1266" spans="1:20" x14ac:dyDescent="0.3">
      <c r="A1266" s="20" t="s">
        <v>1332</v>
      </c>
      <c r="B1266" s="20" t="s">
        <v>48</v>
      </c>
      <c r="C1266" s="21">
        <v>45754</v>
      </c>
      <c r="D1266" s="21">
        <v>45764</v>
      </c>
      <c r="E1266" s="21">
        <v>45776</v>
      </c>
      <c r="F1266" s="20" t="s">
        <v>59</v>
      </c>
      <c r="G1266" s="22">
        <v>237.22</v>
      </c>
      <c r="H1266" s="22">
        <v>31.84</v>
      </c>
      <c r="I1266" s="20" t="s">
        <v>45</v>
      </c>
      <c r="J1266" s="20">
        <v>4</v>
      </c>
      <c r="K1266" s="20" t="s">
        <v>46</v>
      </c>
      <c r="L1266" s="23">
        <f t="shared" si="144"/>
        <v>45748</v>
      </c>
      <c r="M1266" s="20">
        <f t="shared" si="145"/>
        <v>10</v>
      </c>
      <c r="N1266" s="20">
        <f t="shared" si="146"/>
        <v>0</v>
      </c>
      <c r="O1266" s="20">
        <f t="shared" si="147"/>
        <v>1</v>
      </c>
      <c r="P1266" s="22">
        <f t="shared" si="148"/>
        <v>269.06</v>
      </c>
      <c r="Q1266" s="22">
        <f>G1266*INDEX(Assumptions!$B$8:$B$16,MATCH(F1266,Assumptions!$A$8:$A$16,0))</f>
        <v>151.82079999999999</v>
      </c>
      <c r="R1266" s="22">
        <f>H1266*Assumptions!$B$3</f>
        <v>19.103999999999999</v>
      </c>
      <c r="S1266" s="22">
        <f t="shared" si="149"/>
        <v>66.295200000000008</v>
      </c>
      <c r="T1266" s="20" t="str">
        <f t="shared" si="150"/>
        <v>8-14 days</v>
      </c>
    </row>
    <row r="1267" spans="1:20" x14ac:dyDescent="0.3">
      <c r="A1267" s="20" t="s">
        <v>1333</v>
      </c>
      <c r="B1267" s="20" t="s">
        <v>62</v>
      </c>
      <c r="C1267" s="21">
        <v>45754</v>
      </c>
      <c r="D1267" s="21">
        <v>45763</v>
      </c>
      <c r="E1267" s="21">
        <v>45775</v>
      </c>
      <c r="F1267" s="20" t="s">
        <v>49</v>
      </c>
      <c r="G1267" s="22">
        <v>163.47</v>
      </c>
      <c r="H1267" s="22">
        <v>19.84</v>
      </c>
      <c r="I1267" s="20" t="s">
        <v>45</v>
      </c>
      <c r="J1267" s="20">
        <v>5</v>
      </c>
      <c r="K1267" s="20" t="s">
        <v>46</v>
      </c>
      <c r="L1267" s="23">
        <f t="shared" si="144"/>
        <v>45748</v>
      </c>
      <c r="M1267" s="20">
        <f t="shared" si="145"/>
        <v>9</v>
      </c>
      <c r="N1267" s="20">
        <f t="shared" si="146"/>
        <v>0</v>
      </c>
      <c r="O1267" s="20">
        <f t="shared" si="147"/>
        <v>1</v>
      </c>
      <c r="P1267" s="22">
        <f t="shared" si="148"/>
        <v>183.31</v>
      </c>
      <c r="Q1267" s="22">
        <f>G1267*INDEX(Assumptions!$B$8:$B$16,MATCH(F1267,Assumptions!$A$8:$A$16,0))</f>
        <v>94.812599999999989</v>
      </c>
      <c r="R1267" s="22">
        <f>H1267*Assumptions!$B$3</f>
        <v>11.904</v>
      </c>
      <c r="S1267" s="22">
        <f t="shared" si="149"/>
        <v>56.753400000000013</v>
      </c>
      <c r="T1267" s="20" t="str">
        <f t="shared" si="150"/>
        <v>8-14 days</v>
      </c>
    </row>
    <row r="1268" spans="1:20" x14ac:dyDescent="0.3">
      <c r="A1268" s="20" t="s">
        <v>1334</v>
      </c>
      <c r="B1268" s="20" t="s">
        <v>55</v>
      </c>
      <c r="C1268" s="21">
        <v>45755</v>
      </c>
      <c r="D1268" s="21">
        <v>45799</v>
      </c>
      <c r="E1268" s="21">
        <v>45783</v>
      </c>
      <c r="F1268" s="20" t="s">
        <v>79</v>
      </c>
      <c r="G1268" s="22">
        <v>32.53</v>
      </c>
      <c r="H1268" s="22">
        <v>28.18</v>
      </c>
      <c r="I1268" s="20" t="s">
        <v>60</v>
      </c>
      <c r="J1268" s="20">
        <v>2</v>
      </c>
      <c r="K1268" s="20" t="s">
        <v>46</v>
      </c>
      <c r="L1268" s="23">
        <f t="shared" si="144"/>
        <v>45748</v>
      </c>
      <c r="M1268" s="20">
        <f t="shared" si="145"/>
        <v>44</v>
      </c>
      <c r="N1268" s="20">
        <f t="shared" si="146"/>
        <v>16</v>
      </c>
      <c r="O1268" s="20">
        <f t="shared" si="147"/>
        <v>0</v>
      </c>
      <c r="P1268" s="22">
        <f t="shared" si="148"/>
        <v>60.71</v>
      </c>
      <c r="Q1268" s="22">
        <f>G1268*INDEX(Assumptions!$B$8:$B$16,MATCH(F1268,Assumptions!$A$8:$A$16,0))</f>
        <v>22.771000000000001</v>
      </c>
      <c r="R1268" s="22">
        <f>H1268*Assumptions!$B$3</f>
        <v>16.907999999999998</v>
      </c>
      <c r="S1268" s="22">
        <f t="shared" si="149"/>
        <v>-7.1489999999999974</v>
      </c>
      <c r="T1268" s="20" t="str">
        <f t="shared" si="150"/>
        <v>22+ days</v>
      </c>
    </row>
    <row r="1269" spans="1:20" x14ac:dyDescent="0.3">
      <c r="A1269" s="20" t="s">
        <v>1335</v>
      </c>
      <c r="B1269" s="20" t="s">
        <v>19</v>
      </c>
      <c r="C1269" s="21">
        <v>45755</v>
      </c>
      <c r="D1269" s="21">
        <v>45769</v>
      </c>
      <c r="E1269" s="21">
        <v>45765</v>
      </c>
      <c r="F1269" s="20" t="s">
        <v>59</v>
      </c>
      <c r="G1269" s="22">
        <v>306.83999999999997</v>
      </c>
      <c r="H1269" s="22">
        <v>25.31</v>
      </c>
      <c r="I1269" s="20" t="s">
        <v>45</v>
      </c>
      <c r="J1269" s="20">
        <v>4</v>
      </c>
      <c r="K1269" s="20" t="s">
        <v>46</v>
      </c>
      <c r="L1269" s="23">
        <f t="shared" si="144"/>
        <v>45748</v>
      </c>
      <c r="M1269" s="20">
        <f t="shared" si="145"/>
        <v>14</v>
      </c>
      <c r="N1269" s="20">
        <f t="shared" si="146"/>
        <v>4</v>
      </c>
      <c r="O1269" s="20">
        <f t="shared" si="147"/>
        <v>0</v>
      </c>
      <c r="P1269" s="22">
        <f t="shared" si="148"/>
        <v>332.15</v>
      </c>
      <c r="Q1269" s="22">
        <f>G1269*INDEX(Assumptions!$B$8:$B$16,MATCH(F1269,Assumptions!$A$8:$A$16,0))</f>
        <v>196.3776</v>
      </c>
      <c r="R1269" s="22">
        <f>H1269*Assumptions!$B$3</f>
        <v>15.185999999999998</v>
      </c>
      <c r="S1269" s="22">
        <f t="shared" si="149"/>
        <v>95.276399999999981</v>
      </c>
      <c r="T1269" s="20" t="str">
        <f t="shared" si="150"/>
        <v>8-14 days</v>
      </c>
    </row>
    <row r="1270" spans="1:20" x14ac:dyDescent="0.3">
      <c r="A1270" s="20" t="s">
        <v>1336</v>
      </c>
      <c r="B1270" s="20" t="s">
        <v>201</v>
      </c>
      <c r="C1270" s="21">
        <v>45755</v>
      </c>
      <c r="D1270" s="21">
        <v>45784</v>
      </c>
      <c r="E1270" s="21">
        <v>45786</v>
      </c>
      <c r="F1270" s="20" t="s">
        <v>64</v>
      </c>
      <c r="G1270" s="22">
        <v>108.5</v>
      </c>
      <c r="H1270" s="22">
        <v>35.46</v>
      </c>
      <c r="I1270" s="20" t="s">
        <v>45</v>
      </c>
      <c r="J1270" s="20">
        <v>5</v>
      </c>
      <c r="K1270" s="20" t="s">
        <v>46</v>
      </c>
      <c r="L1270" s="23">
        <f t="shared" si="144"/>
        <v>45748</v>
      </c>
      <c r="M1270" s="20">
        <f t="shared" si="145"/>
        <v>29</v>
      </c>
      <c r="N1270" s="20">
        <f t="shared" si="146"/>
        <v>0</v>
      </c>
      <c r="O1270" s="20">
        <f t="shared" si="147"/>
        <v>1</v>
      </c>
      <c r="P1270" s="22">
        <f t="shared" si="148"/>
        <v>143.96</v>
      </c>
      <c r="Q1270" s="22">
        <f>G1270*INDEX(Assumptions!$B$8:$B$16,MATCH(F1270,Assumptions!$A$8:$A$16,0))</f>
        <v>71.61</v>
      </c>
      <c r="R1270" s="22">
        <f>H1270*Assumptions!$B$3</f>
        <v>21.276</v>
      </c>
      <c r="S1270" s="22">
        <f t="shared" si="149"/>
        <v>15.614000000000001</v>
      </c>
      <c r="T1270" s="20" t="str">
        <f t="shared" si="150"/>
        <v>22+ days</v>
      </c>
    </row>
    <row r="1271" spans="1:20" x14ac:dyDescent="0.3">
      <c r="A1271" s="20" t="s">
        <v>1337</v>
      </c>
      <c r="B1271" s="20" t="s">
        <v>19</v>
      </c>
      <c r="C1271" s="21">
        <v>45755</v>
      </c>
      <c r="D1271" s="21">
        <v>45761</v>
      </c>
      <c r="E1271" s="21">
        <v>45771</v>
      </c>
      <c r="F1271" s="20" t="s">
        <v>111</v>
      </c>
      <c r="G1271" s="22">
        <v>155.83000000000001</v>
      </c>
      <c r="H1271" s="22">
        <v>16.5</v>
      </c>
      <c r="I1271" s="20" t="s">
        <v>45</v>
      </c>
      <c r="J1271" s="20">
        <v>5</v>
      </c>
      <c r="K1271" s="20" t="s">
        <v>46</v>
      </c>
      <c r="L1271" s="23">
        <f t="shared" si="144"/>
        <v>45748</v>
      </c>
      <c r="M1271" s="20">
        <f t="shared" si="145"/>
        <v>6</v>
      </c>
      <c r="N1271" s="20">
        <f t="shared" si="146"/>
        <v>0</v>
      </c>
      <c r="O1271" s="20">
        <f t="shared" si="147"/>
        <v>1</v>
      </c>
      <c r="P1271" s="22">
        <f t="shared" si="148"/>
        <v>172.33</v>
      </c>
      <c r="Q1271" s="22">
        <f>G1271*INDEX(Assumptions!$B$8:$B$16,MATCH(F1271,Assumptions!$A$8:$A$16,0))</f>
        <v>98.172900000000013</v>
      </c>
      <c r="R1271" s="22">
        <f>H1271*Assumptions!$B$3</f>
        <v>9.9</v>
      </c>
      <c r="S1271" s="22">
        <f t="shared" si="149"/>
        <v>47.757100000000001</v>
      </c>
      <c r="T1271" s="20" t="str">
        <f t="shared" si="150"/>
        <v>0-7 days</v>
      </c>
    </row>
    <row r="1272" spans="1:20" x14ac:dyDescent="0.3">
      <c r="A1272" s="20" t="s">
        <v>1338</v>
      </c>
      <c r="B1272" s="20" t="s">
        <v>19</v>
      </c>
      <c r="C1272" s="21">
        <v>45755</v>
      </c>
      <c r="D1272" s="21">
        <v>45761</v>
      </c>
      <c r="E1272" s="21">
        <v>45769</v>
      </c>
      <c r="F1272" s="20" t="s">
        <v>57</v>
      </c>
      <c r="G1272" s="22">
        <v>138.5</v>
      </c>
      <c r="H1272" s="22">
        <v>19.329999999999998</v>
      </c>
      <c r="I1272" s="20" t="s">
        <v>45</v>
      </c>
      <c r="J1272" s="20">
        <v>4</v>
      </c>
      <c r="K1272" s="20" t="s">
        <v>46</v>
      </c>
      <c r="L1272" s="23">
        <f t="shared" si="144"/>
        <v>45748</v>
      </c>
      <c r="M1272" s="20">
        <f t="shared" si="145"/>
        <v>6</v>
      </c>
      <c r="N1272" s="20">
        <f t="shared" si="146"/>
        <v>0</v>
      </c>
      <c r="O1272" s="20">
        <f t="shared" si="147"/>
        <v>1</v>
      </c>
      <c r="P1272" s="22">
        <f t="shared" si="148"/>
        <v>157.82999999999998</v>
      </c>
      <c r="Q1272" s="22">
        <f>G1272*INDEX(Assumptions!$B$8:$B$16,MATCH(F1272,Assumptions!$A$8:$A$16,0))</f>
        <v>94.18</v>
      </c>
      <c r="R1272" s="22">
        <f>H1272*Assumptions!$B$3</f>
        <v>11.597999999999999</v>
      </c>
      <c r="S1272" s="22">
        <f t="shared" si="149"/>
        <v>32.721999999999994</v>
      </c>
      <c r="T1272" s="20" t="str">
        <f t="shared" si="150"/>
        <v>0-7 days</v>
      </c>
    </row>
    <row r="1273" spans="1:20" x14ac:dyDescent="0.3">
      <c r="A1273" s="20" t="s">
        <v>1339</v>
      </c>
      <c r="B1273" s="20" t="s">
        <v>55</v>
      </c>
      <c r="C1273" s="21">
        <v>45755</v>
      </c>
      <c r="D1273" s="21">
        <v>45777</v>
      </c>
      <c r="E1273" s="21">
        <v>45779</v>
      </c>
      <c r="F1273" s="20" t="s">
        <v>59</v>
      </c>
      <c r="G1273" s="22">
        <v>59.74</v>
      </c>
      <c r="H1273" s="22">
        <v>20.8</v>
      </c>
      <c r="I1273" s="20" t="s">
        <v>45</v>
      </c>
      <c r="J1273" s="20">
        <v>5</v>
      </c>
      <c r="K1273" s="20" t="s">
        <v>46</v>
      </c>
      <c r="L1273" s="23">
        <f t="shared" si="144"/>
        <v>45748</v>
      </c>
      <c r="M1273" s="20">
        <f t="shared" si="145"/>
        <v>22</v>
      </c>
      <c r="N1273" s="20">
        <f t="shared" si="146"/>
        <v>0</v>
      </c>
      <c r="O1273" s="20">
        <f t="shared" si="147"/>
        <v>1</v>
      </c>
      <c r="P1273" s="22">
        <f t="shared" si="148"/>
        <v>80.540000000000006</v>
      </c>
      <c r="Q1273" s="22">
        <f>G1273*INDEX(Assumptions!$B$8:$B$16,MATCH(F1273,Assumptions!$A$8:$A$16,0))</f>
        <v>38.233600000000003</v>
      </c>
      <c r="R1273" s="22">
        <f>H1273*Assumptions!$B$3</f>
        <v>12.48</v>
      </c>
      <c r="S1273" s="22">
        <f t="shared" si="149"/>
        <v>9.0263999999999989</v>
      </c>
      <c r="T1273" s="20" t="str">
        <f t="shared" si="150"/>
        <v>22+ days</v>
      </c>
    </row>
    <row r="1274" spans="1:20" x14ac:dyDescent="0.3">
      <c r="A1274" s="20" t="s">
        <v>1340</v>
      </c>
      <c r="B1274" s="20" t="s">
        <v>201</v>
      </c>
      <c r="C1274" s="21">
        <v>45755</v>
      </c>
      <c r="D1274" s="21">
        <v>45771</v>
      </c>
      <c r="E1274" s="21">
        <v>45788</v>
      </c>
      <c r="F1274" s="20" t="s">
        <v>67</v>
      </c>
      <c r="G1274" s="22">
        <v>63.13</v>
      </c>
      <c r="H1274" s="22">
        <v>42.53</v>
      </c>
      <c r="I1274" s="20" t="s">
        <v>60</v>
      </c>
      <c r="J1274" s="20">
        <v>5</v>
      </c>
      <c r="K1274" s="20" t="s">
        <v>46</v>
      </c>
      <c r="L1274" s="23">
        <f t="shared" si="144"/>
        <v>45748</v>
      </c>
      <c r="M1274" s="20">
        <f t="shared" si="145"/>
        <v>16</v>
      </c>
      <c r="N1274" s="20">
        <f t="shared" si="146"/>
        <v>0</v>
      </c>
      <c r="O1274" s="20">
        <f t="shared" si="147"/>
        <v>1</v>
      </c>
      <c r="P1274" s="22">
        <f t="shared" si="148"/>
        <v>105.66</v>
      </c>
      <c r="Q1274" s="22">
        <f>G1274*INDEX(Assumptions!$B$8:$B$16,MATCH(F1274,Assumptions!$A$8:$A$16,0))</f>
        <v>39.140599999999999</v>
      </c>
      <c r="R1274" s="22">
        <f>H1274*Assumptions!$B$3</f>
        <v>25.518000000000001</v>
      </c>
      <c r="S1274" s="22">
        <f t="shared" si="149"/>
        <v>-1.5285999999999973</v>
      </c>
      <c r="T1274" s="20" t="str">
        <f t="shared" si="150"/>
        <v>15-21 days</v>
      </c>
    </row>
    <row r="1275" spans="1:20" x14ac:dyDescent="0.3">
      <c r="A1275" s="20" t="s">
        <v>1341</v>
      </c>
      <c r="B1275" s="20" t="s">
        <v>62</v>
      </c>
      <c r="C1275" s="21">
        <v>45755</v>
      </c>
      <c r="D1275" s="21">
        <v>45768</v>
      </c>
      <c r="E1275" s="21">
        <v>45773</v>
      </c>
      <c r="F1275" s="20" t="s">
        <v>111</v>
      </c>
      <c r="G1275" s="22">
        <v>151.09</v>
      </c>
      <c r="H1275" s="22">
        <v>28.24</v>
      </c>
      <c r="I1275" s="20" t="s">
        <v>45</v>
      </c>
      <c r="J1275" s="20">
        <v>5</v>
      </c>
      <c r="K1275" s="20" t="s">
        <v>46</v>
      </c>
      <c r="L1275" s="23">
        <f t="shared" si="144"/>
        <v>45748</v>
      </c>
      <c r="M1275" s="20">
        <f t="shared" si="145"/>
        <v>13</v>
      </c>
      <c r="N1275" s="20">
        <f t="shared" si="146"/>
        <v>0</v>
      </c>
      <c r="O1275" s="20">
        <f t="shared" si="147"/>
        <v>1</v>
      </c>
      <c r="P1275" s="22">
        <f t="shared" si="148"/>
        <v>179.33</v>
      </c>
      <c r="Q1275" s="22">
        <f>G1275*INDEX(Assumptions!$B$8:$B$16,MATCH(F1275,Assumptions!$A$8:$A$16,0))</f>
        <v>95.186700000000002</v>
      </c>
      <c r="R1275" s="22">
        <f>H1275*Assumptions!$B$3</f>
        <v>16.943999999999999</v>
      </c>
      <c r="S1275" s="22">
        <f t="shared" si="149"/>
        <v>38.959299999999999</v>
      </c>
      <c r="T1275" s="20" t="str">
        <f t="shared" si="150"/>
        <v>8-14 days</v>
      </c>
    </row>
    <row r="1276" spans="1:20" x14ac:dyDescent="0.3">
      <c r="A1276" s="20" t="s">
        <v>1342</v>
      </c>
      <c r="B1276" s="20" t="s">
        <v>19</v>
      </c>
      <c r="C1276" s="21">
        <v>45755</v>
      </c>
      <c r="D1276" s="21">
        <v>45761</v>
      </c>
      <c r="E1276" s="21">
        <v>45769</v>
      </c>
      <c r="F1276" s="20" t="s">
        <v>67</v>
      </c>
      <c r="G1276" s="22">
        <v>83.01</v>
      </c>
      <c r="H1276" s="22">
        <v>15.42</v>
      </c>
      <c r="I1276" s="20" t="s">
        <v>50</v>
      </c>
      <c r="J1276" s="20">
        <v>5</v>
      </c>
      <c r="K1276" s="20" t="s">
        <v>46</v>
      </c>
      <c r="L1276" s="23">
        <f t="shared" si="144"/>
        <v>45748</v>
      </c>
      <c r="M1276" s="20">
        <f t="shared" si="145"/>
        <v>6</v>
      </c>
      <c r="N1276" s="20">
        <f t="shared" si="146"/>
        <v>0</v>
      </c>
      <c r="O1276" s="20">
        <f t="shared" si="147"/>
        <v>1</v>
      </c>
      <c r="P1276" s="22">
        <f t="shared" si="148"/>
        <v>98.43</v>
      </c>
      <c r="Q1276" s="22">
        <f>G1276*INDEX(Assumptions!$B$8:$B$16,MATCH(F1276,Assumptions!$A$8:$A$16,0))</f>
        <v>51.466200000000001</v>
      </c>
      <c r="R1276" s="22">
        <f>H1276*Assumptions!$B$3</f>
        <v>9.2519999999999989</v>
      </c>
      <c r="S1276" s="22">
        <f t="shared" si="149"/>
        <v>22.291800000000006</v>
      </c>
      <c r="T1276" s="20" t="str">
        <f t="shared" si="150"/>
        <v>0-7 days</v>
      </c>
    </row>
    <row r="1277" spans="1:20" x14ac:dyDescent="0.3">
      <c r="A1277" s="20" t="s">
        <v>1343</v>
      </c>
      <c r="B1277" s="20" t="s">
        <v>93</v>
      </c>
      <c r="C1277" s="21">
        <v>45756</v>
      </c>
      <c r="D1277" s="21">
        <v>45778</v>
      </c>
      <c r="E1277" s="21">
        <v>45787</v>
      </c>
      <c r="F1277" s="20" t="s">
        <v>67</v>
      </c>
      <c r="G1277" s="22">
        <v>300.83999999999997</v>
      </c>
      <c r="H1277" s="22">
        <v>30.88</v>
      </c>
      <c r="I1277" s="20" t="s">
        <v>45</v>
      </c>
      <c r="J1277" s="20">
        <v>4</v>
      </c>
      <c r="K1277" s="20" t="s">
        <v>46</v>
      </c>
      <c r="L1277" s="23">
        <f t="shared" si="144"/>
        <v>45748</v>
      </c>
      <c r="M1277" s="20">
        <f t="shared" si="145"/>
        <v>22</v>
      </c>
      <c r="N1277" s="20">
        <f t="shared" si="146"/>
        <v>0</v>
      </c>
      <c r="O1277" s="20">
        <f t="shared" si="147"/>
        <v>1</v>
      </c>
      <c r="P1277" s="22">
        <f t="shared" si="148"/>
        <v>331.71999999999997</v>
      </c>
      <c r="Q1277" s="22">
        <f>G1277*INDEX(Assumptions!$B$8:$B$16,MATCH(F1277,Assumptions!$A$8:$A$16,0))</f>
        <v>186.52079999999998</v>
      </c>
      <c r="R1277" s="22">
        <f>H1277*Assumptions!$B$3</f>
        <v>18.527999999999999</v>
      </c>
      <c r="S1277" s="22">
        <f t="shared" si="149"/>
        <v>95.791200000000003</v>
      </c>
      <c r="T1277" s="20" t="str">
        <f t="shared" si="150"/>
        <v>22+ days</v>
      </c>
    </row>
    <row r="1278" spans="1:20" x14ac:dyDescent="0.3">
      <c r="A1278" s="20" t="s">
        <v>1344</v>
      </c>
      <c r="B1278" s="20" t="s">
        <v>55</v>
      </c>
      <c r="C1278" s="21">
        <v>45756</v>
      </c>
      <c r="D1278" s="21">
        <v>45767</v>
      </c>
      <c r="E1278" s="21">
        <v>45783</v>
      </c>
      <c r="F1278" s="20" t="s">
        <v>44</v>
      </c>
      <c r="G1278" s="22">
        <v>191.58</v>
      </c>
      <c r="H1278" s="22">
        <v>20.190000000000001</v>
      </c>
      <c r="I1278" s="20" t="s">
        <v>45</v>
      </c>
      <c r="J1278" s="20">
        <v>4</v>
      </c>
      <c r="K1278" s="20" t="s">
        <v>46</v>
      </c>
      <c r="L1278" s="23">
        <f t="shared" si="144"/>
        <v>45748</v>
      </c>
      <c r="M1278" s="20">
        <f t="shared" si="145"/>
        <v>11</v>
      </c>
      <c r="N1278" s="20">
        <f t="shared" si="146"/>
        <v>0</v>
      </c>
      <c r="O1278" s="20">
        <f t="shared" si="147"/>
        <v>1</v>
      </c>
      <c r="P1278" s="22">
        <f t="shared" si="148"/>
        <v>211.77</v>
      </c>
      <c r="Q1278" s="22">
        <f>G1278*INDEX(Assumptions!$B$8:$B$16,MATCH(F1278,Assumptions!$A$8:$A$16,0))</f>
        <v>114.94800000000001</v>
      </c>
      <c r="R1278" s="22">
        <f>H1278*Assumptions!$B$3</f>
        <v>12.114000000000001</v>
      </c>
      <c r="S1278" s="22">
        <f t="shared" si="149"/>
        <v>64.518000000000001</v>
      </c>
      <c r="T1278" s="20" t="str">
        <f t="shared" si="150"/>
        <v>8-14 days</v>
      </c>
    </row>
    <row r="1279" spans="1:20" x14ac:dyDescent="0.3">
      <c r="A1279" s="20" t="s">
        <v>1345</v>
      </c>
      <c r="B1279" s="20" t="s">
        <v>55</v>
      </c>
      <c r="C1279" s="21">
        <v>45756</v>
      </c>
      <c r="D1279" s="21">
        <v>45774</v>
      </c>
      <c r="E1279" s="21">
        <v>45782</v>
      </c>
      <c r="F1279" s="20" t="s">
        <v>111</v>
      </c>
      <c r="G1279" s="22">
        <v>42.13</v>
      </c>
      <c r="H1279" s="22">
        <v>29.72</v>
      </c>
      <c r="I1279" s="20" t="s">
        <v>45</v>
      </c>
      <c r="J1279" s="20">
        <v>4</v>
      </c>
      <c r="K1279" s="20" t="s">
        <v>46</v>
      </c>
      <c r="L1279" s="23">
        <f t="shared" si="144"/>
        <v>45748</v>
      </c>
      <c r="M1279" s="20">
        <f t="shared" si="145"/>
        <v>18</v>
      </c>
      <c r="N1279" s="20">
        <f t="shared" si="146"/>
        <v>0</v>
      </c>
      <c r="O1279" s="20">
        <f t="shared" si="147"/>
        <v>1</v>
      </c>
      <c r="P1279" s="22">
        <f t="shared" si="148"/>
        <v>71.849999999999994</v>
      </c>
      <c r="Q1279" s="22">
        <f>G1279*INDEX(Assumptions!$B$8:$B$16,MATCH(F1279,Assumptions!$A$8:$A$16,0))</f>
        <v>26.541900000000002</v>
      </c>
      <c r="R1279" s="22">
        <f>H1279*Assumptions!$B$3</f>
        <v>17.831999999999997</v>
      </c>
      <c r="S1279" s="22">
        <f t="shared" si="149"/>
        <v>-2.2438999999999965</v>
      </c>
      <c r="T1279" s="20" t="str">
        <f t="shared" si="150"/>
        <v>15-21 days</v>
      </c>
    </row>
    <row r="1280" spans="1:20" x14ac:dyDescent="0.3">
      <c r="A1280" s="20" t="s">
        <v>1346</v>
      </c>
      <c r="B1280" s="20" t="s">
        <v>19</v>
      </c>
      <c r="C1280" s="21">
        <v>45756</v>
      </c>
      <c r="D1280" s="21">
        <v>45764</v>
      </c>
      <c r="E1280" s="21">
        <v>45773</v>
      </c>
      <c r="F1280" s="20" t="s">
        <v>49</v>
      </c>
      <c r="G1280" s="22">
        <v>104.94</v>
      </c>
      <c r="H1280" s="22">
        <v>19.399999999999999</v>
      </c>
      <c r="I1280" s="20" t="s">
        <v>45</v>
      </c>
      <c r="J1280" s="20">
        <v>4</v>
      </c>
      <c r="K1280" s="20" t="s">
        <v>46</v>
      </c>
      <c r="L1280" s="23">
        <f t="shared" si="144"/>
        <v>45748</v>
      </c>
      <c r="M1280" s="20">
        <f t="shared" si="145"/>
        <v>8</v>
      </c>
      <c r="N1280" s="20">
        <f t="shared" si="146"/>
        <v>0</v>
      </c>
      <c r="O1280" s="20">
        <f t="shared" si="147"/>
        <v>1</v>
      </c>
      <c r="P1280" s="22">
        <f t="shared" si="148"/>
        <v>124.34</v>
      </c>
      <c r="Q1280" s="22">
        <f>G1280*INDEX(Assumptions!$B$8:$B$16,MATCH(F1280,Assumptions!$A$8:$A$16,0))</f>
        <v>60.865199999999994</v>
      </c>
      <c r="R1280" s="22">
        <f>H1280*Assumptions!$B$3</f>
        <v>11.639999999999999</v>
      </c>
      <c r="S1280" s="22">
        <f t="shared" si="149"/>
        <v>32.434800000000003</v>
      </c>
      <c r="T1280" s="20" t="str">
        <f t="shared" si="150"/>
        <v>8-14 days</v>
      </c>
    </row>
    <row r="1281" spans="1:20" x14ac:dyDescent="0.3">
      <c r="A1281" s="20" t="s">
        <v>1347</v>
      </c>
      <c r="B1281" s="20" t="s">
        <v>19</v>
      </c>
      <c r="C1281" s="21">
        <v>45756</v>
      </c>
      <c r="D1281" s="21">
        <v>45770</v>
      </c>
      <c r="E1281" s="21">
        <v>45771</v>
      </c>
      <c r="F1281" s="20" t="s">
        <v>49</v>
      </c>
      <c r="G1281" s="22">
        <v>71.48</v>
      </c>
      <c r="H1281" s="22">
        <v>14.68</v>
      </c>
      <c r="I1281" s="20" t="s">
        <v>50</v>
      </c>
      <c r="J1281" s="20">
        <v>4</v>
      </c>
      <c r="K1281" s="20" t="s">
        <v>46</v>
      </c>
      <c r="L1281" s="23">
        <f t="shared" si="144"/>
        <v>45748</v>
      </c>
      <c r="M1281" s="20">
        <f t="shared" si="145"/>
        <v>14</v>
      </c>
      <c r="N1281" s="20">
        <f t="shared" si="146"/>
        <v>0</v>
      </c>
      <c r="O1281" s="20">
        <f t="shared" si="147"/>
        <v>1</v>
      </c>
      <c r="P1281" s="22">
        <f t="shared" si="148"/>
        <v>86.16</v>
      </c>
      <c r="Q1281" s="22">
        <f>G1281*INDEX(Assumptions!$B$8:$B$16,MATCH(F1281,Assumptions!$A$8:$A$16,0))</f>
        <v>41.458399999999997</v>
      </c>
      <c r="R1281" s="22">
        <f>H1281*Assumptions!$B$3</f>
        <v>8.8079999999999998</v>
      </c>
      <c r="S1281" s="22">
        <f t="shared" si="149"/>
        <v>21.213600000000007</v>
      </c>
      <c r="T1281" s="20" t="str">
        <f t="shared" si="150"/>
        <v>8-14 days</v>
      </c>
    </row>
    <row r="1282" spans="1:20" x14ac:dyDescent="0.3">
      <c r="A1282" s="20" t="s">
        <v>1348</v>
      </c>
      <c r="B1282" s="20" t="s">
        <v>55</v>
      </c>
      <c r="C1282" s="21">
        <v>45757</v>
      </c>
      <c r="D1282" s="21">
        <v>45771</v>
      </c>
      <c r="E1282" s="21">
        <v>45781</v>
      </c>
      <c r="F1282" s="20" t="s">
        <v>67</v>
      </c>
      <c r="G1282" s="22">
        <v>32.32</v>
      </c>
      <c r="H1282" s="22">
        <v>22.46</v>
      </c>
      <c r="I1282" s="20" t="s">
        <v>45</v>
      </c>
      <c r="J1282" s="20">
        <v>4</v>
      </c>
      <c r="K1282" s="20" t="s">
        <v>46</v>
      </c>
      <c r="L1282" s="23">
        <f t="shared" ref="L1282:L1345" si="151">DATE(YEAR(C1282),MONTH(C1282),1)</f>
        <v>45748</v>
      </c>
      <c r="M1282" s="20">
        <f t="shared" ref="M1282:M1345" si="152">D1282-C1282</f>
        <v>14</v>
      </c>
      <c r="N1282" s="20">
        <f t="shared" ref="N1282:N1345" si="153">MAX(0,D1282-E1282)</f>
        <v>0</v>
      </c>
      <c r="O1282" s="20">
        <f t="shared" ref="O1282:O1345" si="154">IF(D1282&lt;=E1282,1,0)</f>
        <v>1</v>
      </c>
      <c r="P1282" s="22">
        <f t="shared" ref="P1282:P1345" si="155">G1282+H1282</f>
        <v>54.78</v>
      </c>
      <c r="Q1282" s="22">
        <f>G1282*INDEX(Assumptions!$B$8:$B$16,MATCH(F1282,Assumptions!$A$8:$A$16,0))</f>
        <v>20.038399999999999</v>
      </c>
      <c r="R1282" s="22">
        <f>H1282*Assumptions!$B$3</f>
        <v>13.476000000000001</v>
      </c>
      <c r="S1282" s="22">
        <f t="shared" ref="S1282:S1345" si="156">G1282-Q1282-R1282</f>
        <v>-1.1943999999999999</v>
      </c>
      <c r="T1282" s="20" t="str">
        <f t="shared" ref="T1282:T1345" si="157">IF(M1282&lt;=7,"0-7 days",IF(M1282&lt;=14,"8-14 days",IF(M1282&lt;=21,"15-21 days","22+ days")))</f>
        <v>8-14 days</v>
      </c>
    </row>
    <row r="1283" spans="1:20" x14ac:dyDescent="0.3">
      <c r="A1283" s="20" t="s">
        <v>1349</v>
      </c>
      <c r="B1283" s="20" t="s">
        <v>48</v>
      </c>
      <c r="C1283" s="21">
        <v>45757</v>
      </c>
      <c r="D1283" s="21">
        <v>45769</v>
      </c>
      <c r="E1283" s="21">
        <v>45781</v>
      </c>
      <c r="F1283" s="20" t="s">
        <v>49</v>
      </c>
      <c r="G1283" s="22">
        <v>106.07</v>
      </c>
      <c r="H1283" s="22">
        <v>19.72</v>
      </c>
      <c r="I1283" s="20" t="s">
        <v>60</v>
      </c>
      <c r="J1283" s="20">
        <v>5</v>
      </c>
      <c r="K1283" s="20" t="s">
        <v>46</v>
      </c>
      <c r="L1283" s="23">
        <f t="shared" si="151"/>
        <v>45748</v>
      </c>
      <c r="M1283" s="20">
        <f t="shared" si="152"/>
        <v>12</v>
      </c>
      <c r="N1283" s="20">
        <f t="shared" si="153"/>
        <v>0</v>
      </c>
      <c r="O1283" s="20">
        <f t="shared" si="154"/>
        <v>1</v>
      </c>
      <c r="P1283" s="22">
        <f t="shared" si="155"/>
        <v>125.78999999999999</v>
      </c>
      <c r="Q1283" s="22">
        <f>G1283*INDEX(Assumptions!$B$8:$B$16,MATCH(F1283,Assumptions!$A$8:$A$16,0))</f>
        <v>61.520599999999995</v>
      </c>
      <c r="R1283" s="22">
        <f>H1283*Assumptions!$B$3</f>
        <v>11.831999999999999</v>
      </c>
      <c r="S1283" s="22">
        <f t="shared" si="156"/>
        <v>32.717399999999998</v>
      </c>
      <c r="T1283" s="20" t="str">
        <f t="shared" si="157"/>
        <v>8-14 days</v>
      </c>
    </row>
    <row r="1284" spans="1:20" x14ac:dyDescent="0.3">
      <c r="A1284" s="20" t="s">
        <v>1350</v>
      </c>
      <c r="B1284" s="20" t="s">
        <v>19</v>
      </c>
      <c r="C1284" s="21">
        <v>45757</v>
      </c>
      <c r="D1284" s="21">
        <v>45761</v>
      </c>
      <c r="E1284" s="21">
        <v>45773</v>
      </c>
      <c r="F1284" s="20" t="s">
        <v>44</v>
      </c>
      <c r="G1284" s="22">
        <v>74.19</v>
      </c>
      <c r="H1284" s="22">
        <v>20.92</v>
      </c>
      <c r="I1284" s="20" t="s">
        <v>45</v>
      </c>
      <c r="J1284" s="20">
        <v>4</v>
      </c>
      <c r="K1284" s="20" t="s">
        <v>46</v>
      </c>
      <c r="L1284" s="23">
        <f t="shared" si="151"/>
        <v>45748</v>
      </c>
      <c r="M1284" s="20">
        <f t="shared" si="152"/>
        <v>4</v>
      </c>
      <c r="N1284" s="20">
        <f t="shared" si="153"/>
        <v>0</v>
      </c>
      <c r="O1284" s="20">
        <f t="shared" si="154"/>
        <v>1</v>
      </c>
      <c r="P1284" s="22">
        <f t="shared" si="155"/>
        <v>95.11</v>
      </c>
      <c r="Q1284" s="22">
        <f>G1284*INDEX(Assumptions!$B$8:$B$16,MATCH(F1284,Assumptions!$A$8:$A$16,0))</f>
        <v>44.513999999999996</v>
      </c>
      <c r="R1284" s="22">
        <f>H1284*Assumptions!$B$3</f>
        <v>12.552000000000001</v>
      </c>
      <c r="S1284" s="22">
        <f t="shared" si="156"/>
        <v>17.124000000000002</v>
      </c>
      <c r="T1284" s="20" t="str">
        <f t="shared" si="157"/>
        <v>0-7 days</v>
      </c>
    </row>
    <row r="1285" spans="1:20" x14ac:dyDescent="0.3">
      <c r="A1285" s="20" t="s">
        <v>1351</v>
      </c>
      <c r="B1285" s="20" t="s">
        <v>55</v>
      </c>
      <c r="C1285" s="21">
        <v>45757</v>
      </c>
      <c r="D1285" s="21">
        <v>45783</v>
      </c>
      <c r="E1285" s="21">
        <v>45783</v>
      </c>
      <c r="F1285" s="20" t="s">
        <v>57</v>
      </c>
      <c r="G1285" s="22">
        <v>73.86</v>
      </c>
      <c r="H1285" s="22">
        <v>27.32</v>
      </c>
      <c r="I1285" s="20" t="s">
        <v>45</v>
      </c>
      <c r="J1285" s="20">
        <v>2</v>
      </c>
      <c r="K1285" s="20" t="s">
        <v>46</v>
      </c>
      <c r="L1285" s="23">
        <f t="shared" si="151"/>
        <v>45748</v>
      </c>
      <c r="M1285" s="20">
        <f t="shared" si="152"/>
        <v>26</v>
      </c>
      <c r="N1285" s="20">
        <f t="shared" si="153"/>
        <v>0</v>
      </c>
      <c r="O1285" s="20">
        <f t="shared" si="154"/>
        <v>1</v>
      </c>
      <c r="P1285" s="22">
        <f t="shared" si="155"/>
        <v>101.18</v>
      </c>
      <c r="Q1285" s="22">
        <f>G1285*INDEX(Assumptions!$B$8:$B$16,MATCH(F1285,Assumptions!$A$8:$A$16,0))</f>
        <v>50.224800000000002</v>
      </c>
      <c r="R1285" s="22">
        <f>H1285*Assumptions!$B$3</f>
        <v>16.391999999999999</v>
      </c>
      <c r="S1285" s="22">
        <f t="shared" si="156"/>
        <v>7.2431999999999981</v>
      </c>
      <c r="T1285" s="20" t="str">
        <f t="shared" si="157"/>
        <v>22+ days</v>
      </c>
    </row>
    <row r="1286" spans="1:20" x14ac:dyDescent="0.3">
      <c r="A1286" s="20" t="s">
        <v>1352</v>
      </c>
      <c r="B1286" s="20" t="s">
        <v>19</v>
      </c>
      <c r="C1286" s="21">
        <v>45758</v>
      </c>
      <c r="D1286" s="21">
        <v>45765</v>
      </c>
      <c r="E1286" s="21">
        <v>45771</v>
      </c>
      <c r="F1286" s="20" t="s">
        <v>67</v>
      </c>
      <c r="G1286" s="22">
        <v>133.52000000000001</v>
      </c>
      <c r="H1286" s="22">
        <v>19.14</v>
      </c>
      <c r="I1286" s="20" t="s">
        <v>45</v>
      </c>
      <c r="J1286" s="20">
        <v>5</v>
      </c>
      <c r="K1286" s="20" t="s">
        <v>46</v>
      </c>
      <c r="L1286" s="23">
        <f t="shared" si="151"/>
        <v>45748</v>
      </c>
      <c r="M1286" s="20">
        <f t="shared" si="152"/>
        <v>7</v>
      </c>
      <c r="N1286" s="20">
        <f t="shared" si="153"/>
        <v>0</v>
      </c>
      <c r="O1286" s="20">
        <f t="shared" si="154"/>
        <v>1</v>
      </c>
      <c r="P1286" s="22">
        <f t="shared" si="155"/>
        <v>152.66000000000003</v>
      </c>
      <c r="Q1286" s="22">
        <f>G1286*INDEX(Assumptions!$B$8:$B$16,MATCH(F1286,Assumptions!$A$8:$A$16,0))</f>
        <v>82.78240000000001</v>
      </c>
      <c r="R1286" s="22">
        <f>H1286*Assumptions!$B$3</f>
        <v>11.484</v>
      </c>
      <c r="S1286" s="22">
        <f t="shared" si="156"/>
        <v>39.253599999999999</v>
      </c>
      <c r="T1286" s="20" t="str">
        <f t="shared" si="157"/>
        <v>0-7 days</v>
      </c>
    </row>
    <row r="1287" spans="1:20" x14ac:dyDescent="0.3">
      <c r="A1287" s="20" t="s">
        <v>1353</v>
      </c>
      <c r="B1287" s="20" t="s">
        <v>62</v>
      </c>
      <c r="C1287" s="21">
        <v>45758</v>
      </c>
      <c r="D1287" s="21">
        <v>45765</v>
      </c>
      <c r="E1287" s="21">
        <v>45778</v>
      </c>
      <c r="F1287" s="20" t="s">
        <v>59</v>
      </c>
      <c r="G1287" s="22">
        <v>140.93</v>
      </c>
      <c r="H1287" s="22">
        <v>18.600000000000001</v>
      </c>
      <c r="I1287" s="20" t="s">
        <v>45</v>
      </c>
      <c r="J1287" s="20">
        <v>4</v>
      </c>
      <c r="K1287" s="20" t="s">
        <v>46</v>
      </c>
      <c r="L1287" s="23">
        <f t="shared" si="151"/>
        <v>45748</v>
      </c>
      <c r="M1287" s="20">
        <f t="shared" si="152"/>
        <v>7</v>
      </c>
      <c r="N1287" s="20">
        <f t="shared" si="153"/>
        <v>0</v>
      </c>
      <c r="O1287" s="20">
        <f t="shared" si="154"/>
        <v>1</v>
      </c>
      <c r="P1287" s="22">
        <f t="shared" si="155"/>
        <v>159.53</v>
      </c>
      <c r="Q1287" s="22">
        <f>G1287*INDEX(Assumptions!$B$8:$B$16,MATCH(F1287,Assumptions!$A$8:$A$16,0))</f>
        <v>90.1952</v>
      </c>
      <c r="R1287" s="22">
        <f>H1287*Assumptions!$B$3</f>
        <v>11.16</v>
      </c>
      <c r="S1287" s="22">
        <f t="shared" si="156"/>
        <v>39.57480000000001</v>
      </c>
      <c r="T1287" s="20" t="str">
        <f t="shared" si="157"/>
        <v>0-7 days</v>
      </c>
    </row>
    <row r="1288" spans="1:20" x14ac:dyDescent="0.3">
      <c r="A1288" s="20" t="s">
        <v>1354</v>
      </c>
      <c r="B1288" s="20" t="s">
        <v>55</v>
      </c>
      <c r="C1288" s="21">
        <v>45758</v>
      </c>
      <c r="D1288" s="21">
        <v>45784</v>
      </c>
      <c r="E1288" s="21">
        <v>45783</v>
      </c>
      <c r="F1288" s="20" t="s">
        <v>64</v>
      </c>
      <c r="G1288" s="22">
        <v>265.42</v>
      </c>
      <c r="H1288" s="22">
        <v>23.22</v>
      </c>
      <c r="I1288" s="20" t="s">
        <v>45</v>
      </c>
      <c r="J1288" s="20">
        <v>3</v>
      </c>
      <c r="K1288" s="20" t="s">
        <v>46</v>
      </c>
      <c r="L1288" s="23">
        <f t="shared" si="151"/>
        <v>45748</v>
      </c>
      <c r="M1288" s="20">
        <f t="shared" si="152"/>
        <v>26</v>
      </c>
      <c r="N1288" s="20">
        <f t="shared" si="153"/>
        <v>1</v>
      </c>
      <c r="O1288" s="20">
        <f t="shared" si="154"/>
        <v>0</v>
      </c>
      <c r="P1288" s="22">
        <f t="shared" si="155"/>
        <v>288.64</v>
      </c>
      <c r="Q1288" s="22">
        <f>G1288*INDEX(Assumptions!$B$8:$B$16,MATCH(F1288,Assumptions!$A$8:$A$16,0))</f>
        <v>175.17720000000003</v>
      </c>
      <c r="R1288" s="22">
        <f>H1288*Assumptions!$B$3</f>
        <v>13.931999999999999</v>
      </c>
      <c r="S1288" s="22">
        <f t="shared" si="156"/>
        <v>76.310799999999986</v>
      </c>
      <c r="T1288" s="20" t="str">
        <f t="shared" si="157"/>
        <v>22+ days</v>
      </c>
    </row>
    <row r="1289" spans="1:20" x14ac:dyDescent="0.3">
      <c r="A1289" s="20" t="s">
        <v>1355</v>
      </c>
      <c r="B1289" s="20" t="s">
        <v>55</v>
      </c>
      <c r="C1289" s="21">
        <v>45759</v>
      </c>
      <c r="D1289" s="21">
        <v>45779</v>
      </c>
      <c r="E1289" s="21">
        <v>45783</v>
      </c>
      <c r="F1289" s="20" t="s">
        <v>111</v>
      </c>
      <c r="G1289" s="22">
        <v>94.54</v>
      </c>
      <c r="H1289" s="22">
        <v>17.239999999999998</v>
      </c>
      <c r="I1289" s="20" t="s">
        <v>45</v>
      </c>
      <c r="J1289" s="20">
        <v>3</v>
      </c>
      <c r="K1289" s="20" t="s">
        <v>46</v>
      </c>
      <c r="L1289" s="23">
        <f t="shared" si="151"/>
        <v>45748</v>
      </c>
      <c r="M1289" s="20">
        <f t="shared" si="152"/>
        <v>20</v>
      </c>
      <c r="N1289" s="20">
        <f t="shared" si="153"/>
        <v>0</v>
      </c>
      <c r="O1289" s="20">
        <f t="shared" si="154"/>
        <v>1</v>
      </c>
      <c r="P1289" s="22">
        <f t="shared" si="155"/>
        <v>111.78</v>
      </c>
      <c r="Q1289" s="22">
        <f>G1289*INDEX(Assumptions!$B$8:$B$16,MATCH(F1289,Assumptions!$A$8:$A$16,0))</f>
        <v>59.560200000000002</v>
      </c>
      <c r="R1289" s="22">
        <f>H1289*Assumptions!$B$3</f>
        <v>10.343999999999999</v>
      </c>
      <c r="S1289" s="22">
        <f t="shared" si="156"/>
        <v>24.635800000000003</v>
      </c>
      <c r="T1289" s="20" t="str">
        <f t="shared" si="157"/>
        <v>15-21 days</v>
      </c>
    </row>
    <row r="1290" spans="1:20" x14ac:dyDescent="0.3">
      <c r="A1290" s="20" t="s">
        <v>1356</v>
      </c>
      <c r="B1290" s="20" t="s">
        <v>48</v>
      </c>
      <c r="C1290" s="21">
        <v>45759</v>
      </c>
      <c r="D1290" s="21">
        <v>45766</v>
      </c>
      <c r="E1290" s="21">
        <v>45777</v>
      </c>
      <c r="F1290" s="20" t="s">
        <v>64</v>
      </c>
      <c r="G1290" s="22">
        <v>321.27</v>
      </c>
      <c r="H1290" s="22">
        <v>31.57</v>
      </c>
      <c r="I1290" s="20" t="s">
        <v>45</v>
      </c>
      <c r="J1290" s="20">
        <v>4</v>
      </c>
      <c r="K1290" s="20" t="s">
        <v>46</v>
      </c>
      <c r="L1290" s="23">
        <f t="shared" si="151"/>
        <v>45748</v>
      </c>
      <c r="M1290" s="20">
        <f t="shared" si="152"/>
        <v>7</v>
      </c>
      <c r="N1290" s="20">
        <f t="shared" si="153"/>
        <v>0</v>
      </c>
      <c r="O1290" s="20">
        <f t="shared" si="154"/>
        <v>1</v>
      </c>
      <c r="P1290" s="22">
        <f t="shared" si="155"/>
        <v>352.84</v>
      </c>
      <c r="Q1290" s="22">
        <f>G1290*INDEX(Assumptions!$B$8:$B$16,MATCH(F1290,Assumptions!$A$8:$A$16,0))</f>
        <v>212.03819999999999</v>
      </c>
      <c r="R1290" s="22">
        <f>H1290*Assumptions!$B$3</f>
        <v>18.942</v>
      </c>
      <c r="S1290" s="22">
        <f t="shared" si="156"/>
        <v>90.289799999999985</v>
      </c>
      <c r="T1290" s="20" t="str">
        <f t="shared" si="157"/>
        <v>0-7 days</v>
      </c>
    </row>
    <row r="1291" spans="1:20" x14ac:dyDescent="0.3">
      <c r="A1291" s="20" t="s">
        <v>1357</v>
      </c>
      <c r="B1291" s="20" t="s">
        <v>52</v>
      </c>
      <c r="C1291" s="21">
        <v>45759</v>
      </c>
      <c r="D1291" s="21">
        <v>45779</v>
      </c>
      <c r="E1291" s="21">
        <v>45783</v>
      </c>
      <c r="F1291" s="20" t="s">
        <v>111</v>
      </c>
      <c r="G1291" s="22">
        <v>136.33000000000001</v>
      </c>
      <c r="H1291" s="22">
        <v>19.43</v>
      </c>
      <c r="I1291" s="20" t="s">
        <v>45</v>
      </c>
      <c r="J1291" s="20">
        <v>3</v>
      </c>
      <c r="K1291" s="20" t="s">
        <v>46</v>
      </c>
      <c r="L1291" s="23">
        <f t="shared" si="151"/>
        <v>45748</v>
      </c>
      <c r="M1291" s="20">
        <f t="shared" si="152"/>
        <v>20</v>
      </c>
      <c r="N1291" s="20">
        <f t="shared" si="153"/>
        <v>0</v>
      </c>
      <c r="O1291" s="20">
        <f t="shared" si="154"/>
        <v>1</v>
      </c>
      <c r="P1291" s="22">
        <f t="shared" si="155"/>
        <v>155.76000000000002</v>
      </c>
      <c r="Q1291" s="22">
        <f>G1291*INDEX(Assumptions!$B$8:$B$16,MATCH(F1291,Assumptions!$A$8:$A$16,0))</f>
        <v>85.887900000000002</v>
      </c>
      <c r="R1291" s="22">
        <f>H1291*Assumptions!$B$3</f>
        <v>11.657999999999999</v>
      </c>
      <c r="S1291" s="22">
        <f t="shared" si="156"/>
        <v>38.784100000000009</v>
      </c>
      <c r="T1291" s="20" t="str">
        <f t="shared" si="157"/>
        <v>15-21 days</v>
      </c>
    </row>
    <row r="1292" spans="1:20" x14ac:dyDescent="0.3">
      <c r="A1292" s="20" t="s">
        <v>1358</v>
      </c>
      <c r="B1292" s="20" t="s">
        <v>19</v>
      </c>
      <c r="C1292" s="21">
        <v>45759</v>
      </c>
      <c r="D1292" s="21">
        <v>45770</v>
      </c>
      <c r="E1292" s="21">
        <v>45775</v>
      </c>
      <c r="F1292" s="20" t="s">
        <v>49</v>
      </c>
      <c r="G1292" s="22">
        <v>84.32</v>
      </c>
      <c r="H1292" s="22">
        <v>13.13</v>
      </c>
      <c r="I1292" s="20" t="s">
        <v>45</v>
      </c>
      <c r="J1292" s="20">
        <v>4</v>
      </c>
      <c r="K1292" s="20" t="s">
        <v>46</v>
      </c>
      <c r="L1292" s="23">
        <f t="shared" si="151"/>
        <v>45748</v>
      </c>
      <c r="M1292" s="20">
        <f t="shared" si="152"/>
        <v>11</v>
      </c>
      <c r="N1292" s="20">
        <f t="shared" si="153"/>
        <v>0</v>
      </c>
      <c r="O1292" s="20">
        <f t="shared" si="154"/>
        <v>1</v>
      </c>
      <c r="P1292" s="22">
        <f t="shared" si="155"/>
        <v>97.449999999999989</v>
      </c>
      <c r="Q1292" s="22">
        <f>G1292*INDEX(Assumptions!$B$8:$B$16,MATCH(F1292,Assumptions!$A$8:$A$16,0))</f>
        <v>48.905599999999993</v>
      </c>
      <c r="R1292" s="22">
        <f>H1292*Assumptions!$B$3</f>
        <v>7.8780000000000001</v>
      </c>
      <c r="S1292" s="22">
        <f t="shared" si="156"/>
        <v>27.5364</v>
      </c>
      <c r="T1292" s="20" t="str">
        <f t="shared" si="157"/>
        <v>8-14 days</v>
      </c>
    </row>
    <row r="1293" spans="1:20" x14ac:dyDescent="0.3">
      <c r="A1293" s="20" t="s">
        <v>1359</v>
      </c>
      <c r="B1293" s="20" t="s">
        <v>19</v>
      </c>
      <c r="C1293" s="21">
        <v>45759</v>
      </c>
      <c r="D1293" s="21">
        <v>45764</v>
      </c>
      <c r="E1293" s="21">
        <v>45776</v>
      </c>
      <c r="F1293" s="20" t="s">
        <v>67</v>
      </c>
      <c r="G1293" s="22">
        <v>79.16</v>
      </c>
      <c r="H1293" s="22">
        <v>13.58</v>
      </c>
      <c r="I1293" s="20" t="s">
        <v>45</v>
      </c>
      <c r="J1293" s="20">
        <v>4</v>
      </c>
      <c r="K1293" s="20" t="s">
        <v>46</v>
      </c>
      <c r="L1293" s="23">
        <f t="shared" si="151"/>
        <v>45748</v>
      </c>
      <c r="M1293" s="20">
        <f t="shared" si="152"/>
        <v>5</v>
      </c>
      <c r="N1293" s="20">
        <f t="shared" si="153"/>
        <v>0</v>
      </c>
      <c r="O1293" s="20">
        <f t="shared" si="154"/>
        <v>1</v>
      </c>
      <c r="P1293" s="22">
        <f t="shared" si="155"/>
        <v>92.74</v>
      </c>
      <c r="Q1293" s="22">
        <f>G1293*INDEX(Assumptions!$B$8:$B$16,MATCH(F1293,Assumptions!$A$8:$A$16,0))</f>
        <v>49.0792</v>
      </c>
      <c r="R1293" s="22">
        <f>H1293*Assumptions!$B$3</f>
        <v>8.1479999999999997</v>
      </c>
      <c r="S1293" s="22">
        <f t="shared" si="156"/>
        <v>21.932799999999997</v>
      </c>
      <c r="T1293" s="20" t="str">
        <f t="shared" si="157"/>
        <v>0-7 days</v>
      </c>
    </row>
    <row r="1294" spans="1:20" x14ac:dyDescent="0.3">
      <c r="A1294" s="20" t="s">
        <v>1360</v>
      </c>
      <c r="B1294" s="20" t="s">
        <v>55</v>
      </c>
      <c r="C1294" s="21">
        <v>45760</v>
      </c>
      <c r="D1294" s="21">
        <v>45770</v>
      </c>
      <c r="E1294" s="21">
        <v>45781</v>
      </c>
      <c r="F1294" s="20" t="s">
        <v>67</v>
      </c>
      <c r="G1294" s="22">
        <v>53.75</v>
      </c>
      <c r="H1294" s="22">
        <v>21.5</v>
      </c>
      <c r="I1294" s="20" t="s">
        <v>45</v>
      </c>
      <c r="J1294" s="20">
        <v>5</v>
      </c>
      <c r="K1294" s="20" t="s">
        <v>46</v>
      </c>
      <c r="L1294" s="23">
        <f t="shared" si="151"/>
        <v>45748</v>
      </c>
      <c r="M1294" s="20">
        <f t="shared" si="152"/>
        <v>10</v>
      </c>
      <c r="N1294" s="20">
        <f t="shared" si="153"/>
        <v>0</v>
      </c>
      <c r="O1294" s="20">
        <f t="shared" si="154"/>
        <v>1</v>
      </c>
      <c r="P1294" s="22">
        <f t="shared" si="155"/>
        <v>75.25</v>
      </c>
      <c r="Q1294" s="22">
        <f>G1294*INDEX(Assumptions!$B$8:$B$16,MATCH(F1294,Assumptions!$A$8:$A$16,0))</f>
        <v>33.325000000000003</v>
      </c>
      <c r="R1294" s="22">
        <f>H1294*Assumptions!$B$3</f>
        <v>12.9</v>
      </c>
      <c r="S1294" s="22">
        <f t="shared" si="156"/>
        <v>7.5249999999999968</v>
      </c>
      <c r="T1294" s="20" t="str">
        <f t="shared" si="157"/>
        <v>8-14 days</v>
      </c>
    </row>
    <row r="1295" spans="1:20" x14ac:dyDescent="0.3">
      <c r="A1295" s="20" t="s">
        <v>1361</v>
      </c>
      <c r="B1295" s="20" t="s">
        <v>19</v>
      </c>
      <c r="C1295" s="21">
        <v>45760</v>
      </c>
      <c r="D1295" s="21">
        <v>45770</v>
      </c>
      <c r="E1295" s="21">
        <v>45774</v>
      </c>
      <c r="F1295" s="20" t="s">
        <v>44</v>
      </c>
      <c r="G1295" s="22">
        <v>103.61</v>
      </c>
      <c r="H1295" s="22">
        <v>21.75</v>
      </c>
      <c r="I1295" s="20" t="s">
        <v>45</v>
      </c>
      <c r="J1295" s="20">
        <v>4</v>
      </c>
      <c r="K1295" s="20" t="s">
        <v>46</v>
      </c>
      <c r="L1295" s="23">
        <f t="shared" si="151"/>
        <v>45748</v>
      </c>
      <c r="M1295" s="20">
        <f t="shared" si="152"/>
        <v>10</v>
      </c>
      <c r="N1295" s="20">
        <f t="shared" si="153"/>
        <v>0</v>
      </c>
      <c r="O1295" s="20">
        <f t="shared" si="154"/>
        <v>1</v>
      </c>
      <c r="P1295" s="22">
        <f t="shared" si="155"/>
        <v>125.36</v>
      </c>
      <c r="Q1295" s="22">
        <f>G1295*INDEX(Assumptions!$B$8:$B$16,MATCH(F1295,Assumptions!$A$8:$A$16,0))</f>
        <v>62.165999999999997</v>
      </c>
      <c r="R1295" s="22">
        <f>H1295*Assumptions!$B$3</f>
        <v>13.049999999999999</v>
      </c>
      <c r="S1295" s="22">
        <f t="shared" si="156"/>
        <v>28.394000000000005</v>
      </c>
      <c r="T1295" s="20" t="str">
        <f t="shared" si="157"/>
        <v>8-14 days</v>
      </c>
    </row>
    <row r="1296" spans="1:20" x14ac:dyDescent="0.3">
      <c r="A1296" s="20" t="s">
        <v>1362</v>
      </c>
      <c r="B1296" s="20" t="s">
        <v>134</v>
      </c>
      <c r="C1296" s="21">
        <v>45760</v>
      </c>
      <c r="D1296" s="21">
        <v>45775</v>
      </c>
      <c r="E1296" s="21">
        <v>45783</v>
      </c>
      <c r="F1296" s="20" t="s">
        <v>64</v>
      </c>
      <c r="G1296" s="22">
        <v>76.61</v>
      </c>
      <c r="H1296" s="22">
        <v>25.64</v>
      </c>
      <c r="I1296" s="20" t="s">
        <v>60</v>
      </c>
      <c r="J1296" s="20">
        <v>3</v>
      </c>
      <c r="K1296" s="20" t="s">
        <v>46</v>
      </c>
      <c r="L1296" s="23">
        <f t="shared" si="151"/>
        <v>45748</v>
      </c>
      <c r="M1296" s="20">
        <f t="shared" si="152"/>
        <v>15</v>
      </c>
      <c r="N1296" s="20">
        <f t="shared" si="153"/>
        <v>0</v>
      </c>
      <c r="O1296" s="20">
        <f t="shared" si="154"/>
        <v>1</v>
      </c>
      <c r="P1296" s="22">
        <f t="shared" si="155"/>
        <v>102.25</v>
      </c>
      <c r="Q1296" s="22">
        <f>G1296*INDEX(Assumptions!$B$8:$B$16,MATCH(F1296,Assumptions!$A$8:$A$16,0))</f>
        <v>50.562600000000003</v>
      </c>
      <c r="R1296" s="22">
        <f>H1296*Assumptions!$B$3</f>
        <v>15.384</v>
      </c>
      <c r="S1296" s="22">
        <f t="shared" si="156"/>
        <v>10.663399999999996</v>
      </c>
      <c r="T1296" s="20" t="str">
        <f t="shared" si="157"/>
        <v>15-21 days</v>
      </c>
    </row>
    <row r="1297" spans="1:20" x14ac:dyDescent="0.3">
      <c r="A1297" s="20" t="s">
        <v>1363</v>
      </c>
      <c r="B1297" s="20" t="s">
        <v>55</v>
      </c>
      <c r="C1297" s="21">
        <v>45761</v>
      </c>
      <c r="D1297" s="21">
        <v>45781</v>
      </c>
      <c r="E1297" s="21">
        <v>45787</v>
      </c>
      <c r="F1297" s="20" t="s">
        <v>64</v>
      </c>
      <c r="G1297" s="22">
        <v>181.05</v>
      </c>
      <c r="H1297" s="22">
        <v>26.87</v>
      </c>
      <c r="I1297" s="20" t="s">
        <v>45</v>
      </c>
      <c r="J1297" s="20">
        <v>4</v>
      </c>
      <c r="K1297" s="20" t="s">
        <v>46</v>
      </c>
      <c r="L1297" s="23">
        <f t="shared" si="151"/>
        <v>45748</v>
      </c>
      <c r="M1297" s="20">
        <f t="shared" si="152"/>
        <v>20</v>
      </c>
      <c r="N1297" s="20">
        <f t="shared" si="153"/>
        <v>0</v>
      </c>
      <c r="O1297" s="20">
        <f t="shared" si="154"/>
        <v>1</v>
      </c>
      <c r="P1297" s="22">
        <f t="shared" si="155"/>
        <v>207.92000000000002</v>
      </c>
      <c r="Q1297" s="22">
        <f>G1297*INDEX(Assumptions!$B$8:$B$16,MATCH(F1297,Assumptions!$A$8:$A$16,0))</f>
        <v>119.49300000000001</v>
      </c>
      <c r="R1297" s="22">
        <f>H1297*Assumptions!$B$3</f>
        <v>16.122</v>
      </c>
      <c r="S1297" s="22">
        <f t="shared" si="156"/>
        <v>45.435000000000002</v>
      </c>
      <c r="T1297" s="20" t="str">
        <f t="shared" si="157"/>
        <v>15-21 days</v>
      </c>
    </row>
    <row r="1298" spans="1:20" x14ac:dyDescent="0.3">
      <c r="A1298" s="20" t="s">
        <v>1364</v>
      </c>
      <c r="B1298" s="20" t="s">
        <v>55</v>
      </c>
      <c r="C1298" s="21">
        <v>45761</v>
      </c>
      <c r="D1298" s="21">
        <v>45772</v>
      </c>
      <c r="E1298" s="21">
        <v>45784</v>
      </c>
      <c r="F1298" s="20" t="s">
        <v>79</v>
      </c>
      <c r="G1298" s="22">
        <v>241.19</v>
      </c>
      <c r="H1298" s="22">
        <v>20.78</v>
      </c>
      <c r="I1298" s="20" t="s">
        <v>45</v>
      </c>
      <c r="J1298" s="20">
        <v>3</v>
      </c>
      <c r="K1298" s="20" t="s">
        <v>46</v>
      </c>
      <c r="L1298" s="23">
        <f t="shared" si="151"/>
        <v>45748</v>
      </c>
      <c r="M1298" s="20">
        <f t="shared" si="152"/>
        <v>11</v>
      </c>
      <c r="N1298" s="20">
        <f t="shared" si="153"/>
        <v>0</v>
      </c>
      <c r="O1298" s="20">
        <f t="shared" si="154"/>
        <v>1</v>
      </c>
      <c r="P1298" s="22">
        <f t="shared" si="155"/>
        <v>261.97000000000003</v>
      </c>
      <c r="Q1298" s="22">
        <f>G1298*INDEX(Assumptions!$B$8:$B$16,MATCH(F1298,Assumptions!$A$8:$A$16,0))</f>
        <v>168.833</v>
      </c>
      <c r="R1298" s="22">
        <f>H1298*Assumptions!$B$3</f>
        <v>12.468</v>
      </c>
      <c r="S1298" s="22">
        <f t="shared" si="156"/>
        <v>59.888999999999996</v>
      </c>
      <c r="T1298" s="20" t="str">
        <f t="shared" si="157"/>
        <v>8-14 days</v>
      </c>
    </row>
    <row r="1299" spans="1:20" x14ac:dyDescent="0.3">
      <c r="A1299" s="20" t="s">
        <v>1365</v>
      </c>
      <c r="B1299" s="20" t="s">
        <v>19</v>
      </c>
      <c r="C1299" s="21">
        <v>45761</v>
      </c>
      <c r="D1299" s="21">
        <v>45765</v>
      </c>
      <c r="E1299" s="21">
        <v>45775</v>
      </c>
      <c r="F1299" s="20" t="s">
        <v>59</v>
      </c>
      <c r="G1299" s="22">
        <v>63.95</v>
      </c>
      <c r="H1299" s="22">
        <v>20.38</v>
      </c>
      <c r="I1299" s="20" t="s">
        <v>60</v>
      </c>
      <c r="J1299" s="20">
        <v>3</v>
      </c>
      <c r="K1299" s="20" t="s">
        <v>46</v>
      </c>
      <c r="L1299" s="23">
        <f t="shared" si="151"/>
        <v>45748</v>
      </c>
      <c r="M1299" s="20">
        <f t="shared" si="152"/>
        <v>4</v>
      </c>
      <c r="N1299" s="20">
        <f t="shared" si="153"/>
        <v>0</v>
      </c>
      <c r="O1299" s="20">
        <f t="shared" si="154"/>
        <v>1</v>
      </c>
      <c r="P1299" s="22">
        <f t="shared" si="155"/>
        <v>84.33</v>
      </c>
      <c r="Q1299" s="22">
        <f>G1299*INDEX(Assumptions!$B$8:$B$16,MATCH(F1299,Assumptions!$A$8:$A$16,0))</f>
        <v>40.928000000000004</v>
      </c>
      <c r="R1299" s="22">
        <f>H1299*Assumptions!$B$3</f>
        <v>12.228</v>
      </c>
      <c r="S1299" s="22">
        <f t="shared" si="156"/>
        <v>10.793999999999999</v>
      </c>
      <c r="T1299" s="20" t="str">
        <f t="shared" si="157"/>
        <v>0-7 days</v>
      </c>
    </row>
    <row r="1300" spans="1:20" x14ac:dyDescent="0.3">
      <c r="A1300" s="20" t="s">
        <v>1366</v>
      </c>
      <c r="B1300" s="20" t="s">
        <v>19</v>
      </c>
      <c r="C1300" s="21">
        <v>45762</v>
      </c>
      <c r="D1300" s="21">
        <v>45767</v>
      </c>
      <c r="E1300" s="21">
        <v>45779</v>
      </c>
      <c r="F1300" s="20" t="s">
        <v>57</v>
      </c>
      <c r="G1300" s="22">
        <v>68.83</v>
      </c>
      <c r="H1300" s="22">
        <v>21.68</v>
      </c>
      <c r="I1300" s="20" t="s">
        <v>45</v>
      </c>
      <c r="J1300" s="20">
        <v>5</v>
      </c>
      <c r="K1300" s="20" t="s">
        <v>46</v>
      </c>
      <c r="L1300" s="23">
        <f t="shared" si="151"/>
        <v>45748</v>
      </c>
      <c r="M1300" s="20">
        <f t="shared" si="152"/>
        <v>5</v>
      </c>
      <c r="N1300" s="20">
        <f t="shared" si="153"/>
        <v>0</v>
      </c>
      <c r="O1300" s="20">
        <f t="shared" si="154"/>
        <v>1</v>
      </c>
      <c r="P1300" s="22">
        <f t="shared" si="155"/>
        <v>90.509999999999991</v>
      </c>
      <c r="Q1300" s="22">
        <f>G1300*INDEX(Assumptions!$B$8:$B$16,MATCH(F1300,Assumptions!$A$8:$A$16,0))</f>
        <v>46.804400000000001</v>
      </c>
      <c r="R1300" s="22">
        <f>H1300*Assumptions!$B$3</f>
        <v>13.007999999999999</v>
      </c>
      <c r="S1300" s="22">
        <f t="shared" si="156"/>
        <v>9.0175999999999981</v>
      </c>
      <c r="T1300" s="20" t="str">
        <f t="shared" si="157"/>
        <v>0-7 days</v>
      </c>
    </row>
    <row r="1301" spans="1:20" x14ac:dyDescent="0.3">
      <c r="A1301" s="20" t="s">
        <v>1367</v>
      </c>
      <c r="B1301" s="20" t="s">
        <v>134</v>
      </c>
      <c r="C1301" s="21">
        <v>45762</v>
      </c>
      <c r="D1301" s="21">
        <v>45778</v>
      </c>
      <c r="E1301" s="21">
        <v>45784</v>
      </c>
      <c r="F1301" s="20" t="s">
        <v>67</v>
      </c>
      <c r="G1301" s="22">
        <v>100.13</v>
      </c>
      <c r="H1301" s="22">
        <v>30.63</v>
      </c>
      <c r="I1301" s="20" t="s">
        <v>60</v>
      </c>
      <c r="J1301" s="20">
        <v>4</v>
      </c>
      <c r="K1301" s="20" t="s">
        <v>46</v>
      </c>
      <c r="L1301" s="23">
        <f t="shared" si="151"/>
        <v>45748</v>
      </c>
      <c r="M1301" s="20">
        <f t="shared" si="152"/>
        <v>16</v>
      </c>
      <c r="N1301" s="20">
        <f t="shared" si="153"/>
        <v>0</v>
      </c>
      <c r="O1301" s="20">
        <f t="shared" si="154"/>
        <v>1</v>
      </c>
      <c r="P1301" s="22">
        <f t="shared" si="155"/>
        <v>130.76</v>
      </c>
      <c r="Q1301" s="22">
        <f>G1301*INDEX(Assumptions!$B$8:$B$16,MATCH(F1301,Assumptions!$A$8:$A$16,0))</f>
        <v>62.080599999999997</v>
      </c>
      <c r="R1301" s="22">
        <f>H1301*Assumptions!$B$3</f>
        <v>18.378</v>
      </c>
      <c r="S1301" s="22">
        <f t="shared" si="156"/>
        <v>19.671399999999998</v>
      </c>
      <c r="T1301" s="20" t="str">
        <f t="shared" si="157"/>
        <v>15-21 days</v>
      </c>
    </row>
    <row r="1302" spans="1:20" x14ac:dyDescent="0.3">
      <c r="A1302" s="20" t="s">
        <v>1368</v>
      </c>
      <c r="B1302" s="20" t="s">
        <v>62</v>
      </c>
      <c r="C1302" s="21">
        <v>45762</v>
      </c>
      <c r="D1302" s="21">
        <v>45772</v>
      </c>
      <c r="E1302" s="21">
        <v>45780</v>
      </c>
      <c r="F1302" s="20" t="s">
        <v>57</v>
      </c>
      <c r="G1302" s="22">
        <v>55</v>
      </c>
      <c r="H1302" s="22">
        <v>19.88</v>
      </c>
      <c r="I1302" s="20" t="s">
        <v>45</v>
      </c>
      <c r="J1302" s="20">
        <v>4</v>
      </c>
      <c r="K1302" s="20" t="s">
        <v>46</v>
      </c>
      <c r="L1302" s="23">
        <f t="shared" si="151"/>
        <v>45748</v>
      </c>
      <c r="M1302" s="20">
        <f t="shared" si="152"/>
        <v>10</v>
      </c>
      <c r="N1302" s="20">
        <f t="shared" si="153"/>
        <v>0</v>
      </c>
      <c r="O1302" s="20">
        <f t="shared" si="154"/>
        <v>1</v>
      </c>
      <c r="P1302" s="22">
        <f t="shared" si="155"/>
        <v>74.88</v>
      </c>
      <c r="Q1302" s="22">
        <f>G1302*INDEX(Assumptions!$B$8:$B$16,MATCH(F1302,Assumptions!$A$8:$A$16,0))</f>
        <v>37.400000000000006</v>
      </c>
      <c r="R1302" s="22">
        <f>H1302*Assumptions!$B$3</f>
        <v>11.927999999999999</v>
      </c>
      <c r="S1302" s="22">
        <f t="shared" si="156"/>
        <v>5.6719999999999953</v>
      </c>
      <c r="T1302" s="20" t="str">
        <f t="shared" si="157"/>
        <v>8-14 days</v>
      </c>
    </row>
    <row r="1303" spans="1:20" x14ac:dyDescent="0.3">
      <c r="A1303" s="20" t="s">
        <v>1369</v>
      </c>
      <c r="B1303" s="20" t="s">
        <v>103</v>
      </c>
      <c r="C1303" s="21">
        <v>45762</v>
      </c>
      <c r="D1303" s="21">
        <v>45776</v>
      </c>
      <c r="E1303" s="21">
        <v>45782</v>
      </c>
      <c r="F1303" s="20" t="s">
        <v>79</v>
      </c>
      <c r="G1303" s="22">
        <v>90.18</v>
      </c>
      <c r="H1303" s="22">
        <v>23.71</v>
      </c>
      <c r="I1303" s="20" t="s">
        <v>45</v>
      </c>
      <c r="J1303" s="20">
        <v>5</v>
      </c>
      <c r="K1303" s="20" t="s">
        <v>46</v>
      </c>
      <c r="L1303" s="23">
        <f t="shared" si="151"/>
        <v>45748</v>
      </c>
      <c r="M1303" s="20">
        <f t="shared" si="152"/>
        <v>14</v>
      </c>
      <c r="N1303" s="20">
        <f t="shared" si="153"/>
        <v>0</v>
      </c>
      <c r="O1303" s="20">
        <f t="shared" si="154"/>
        <v>1</v>
      </c>
      <c r="P1303" s="22">
        <f t="shared" si="155"/>
        <v>113.89000000000001</v>
      </c>
      <c r="Q1303" s="22">
        <f>G1303*INDEX(Assumptions!$B$8:$B$16,MATCH(F1303,Assumptions!$A$8:$A$16,0))</f>
        <v>63.125999999999998</v>
      </c>
      <c r="R1303" s="22">
        <f>H1303*Assumptions!$B$3</f>
        <v>14.226000000000001</v>
      </c>
      <c r="S1303" s="22">
        <f t="shared" si="156"/>
        <v>12.828000000000008</v>
      </c>
      <c r="T1303" s="20" t="str">
        <f t="shared" si="157"/>
        <v>8-14 days</v>
      </c>
    </row>
    <row r="1304" spans="1:20" x14ac:dyDescent="0.3">
      <c r="A1304" s="20" t="s">
        <v>1370</v>
      </c>
      <c r="B1304" s="20" t="s">
        <v>19</v>
      </c>
      <c r="C1304" s="21">
        <v>45763</v>
      </c>
      <c r="D1304" s="21">
        <v>45771</v>
      </c>
      <c r="E1304" s="21">
        <v>45777</v>
      </c>
      <c r="F1304" s="20" t="s">
        <v>79</v>
      </c>
      <c r="G1304" s="22">
        <v>66.59</v>
      </c>
      <c r="H1304" s="22">
        <v>15.86</v>
      </c>
      <c r="I1304" s="20" t="s">
        <v>50</v>
      </c>
      <c r="J1304" s="20">
        <v>3</v>
      </c>
      <c r="K1304" s="20" t="s">
        <v>46</v>
      </c>
      <c r="L1304" s="23">
        <f t="shared" si="151"/>
        <v>45748</v>
      </c>
      <c r="M1304" s="20">
        <f t="shared" si="152"/>
        <v>8</v>
      </c>
      <c r="N1304" s="20">
        <f t="shared" si="153"/>
        <v>0</v>
      </c>
      <c r="O1304" s="20">
        <f t="shared" si="154"/>
        <v>1</v>
      </c>
      <c r="P1304" s="22">
        <f t="shared" si="155"/>
        <v>82.45</v>
      </c>
      <c r="Q1304" s="22">
        <f>G1304*INDEX(Assumptions!$B$8:$B$16,MATCH(F1304,Assumptions!$A$8:$A$16,0))</f>
        <v>46.613</v>
      </c>
      <c r="R1304" s="22">
        <f>H1304*Assumptions!$B$3</f>
        <v>9.516</v>
      </c>
      <c r="S1304" s="22">
        <f t="shared" si="156"/>
        <v>10.461000000000004</v>
      </c>
      <c r="T1304" s="20" t="str">
        <f t="shared" si="157"/>
        <v>8-14 days</v>
      </c>
    </row>
    <row r="1305" spans="1:20" x14ac:dyDescent="0.3">
      <c r="A1305" s="20" t="s">
        <v>1371</v>
      </c>
      <c r="B1305" s="20" t="s">
        <v>201</v>
      </c>
      <c r="C1305" s="21">
        <v>45763</v>
      </c>
      <c r="D1305" s="21">
        <v>45780</v>
      </c>
      <c r="E1305" s="21">
        <v>45798</v>
      </c>
      <c r="F1305" s="20" t="s">
        <v>64</v>
      </c>
      <c r="G1305" s="22">
        <v>158.91</v>
      </c>
      <c r="H1305" s="22">
        <v>30.45</v>
      </c>
      <c r="I1305" s="20" t="s">
        <v>45</v>
      </c>
      <c r="J1305" s="20">
        <v>3</v>
      </c>
      <c r="K1305" s="20" t="s">
        <v>46</v>
      </c>
      <c r="L1305" s="23">
        <f t="shared" si="151"/>
        <v>45748</v>
      </c>
      <c r="M1305" s="20">
        <f t="shared" si="152"/>
        <v>17</v>
      </c>
      <c r="N1305" s="20">
        <f t="shared" si="153"/>
        <v>0</v>
      </c>
      <c r="O1305" s="20">
        <f t="shared" si="154"/>
        <v>1</v>
      </c>
      <c r="P1305" s="22">
        <f t="shared" si="155"/>
        <v>189.35999999999999</v>
      </c>
      <c r="Q1305" s="22">
        <f>G1305*INDEX(Assumptions!$B$8:$B$16,MATCH(F1305,Assumptions!$A$8:$A$16,0))</f>
        <v>104.8806</v>
      </c>
      <c r="R1305" s="22">
        <f>H1305*Assumptions!$B$3</f>
        <v>18.27</v>
      </c>
      <c r="S1305" s="22">
        <f t="shared" si="156"/>
        <v>35.759399999999999</v>
      </c>
      <c r="T1305" s="20" t="str">
        <f t="shared" si="157"/>
        <v>15-21 days</v>
      </c>
    </row>
    <row r="1306" spans="1:20" x14ac:dyDescent="0.3">
      <c r="A1306" s="20" t="s">
        <v>1372</v>
      </c>
      <c r="B1306" s="20" t="s">
        <v>19</v>
      </c>
      <c r="C1306" s="21">
        <v>45764</v>
      </c>
      <c r="D1306" s="21">
        <v>45775</v>
      </c>
      <c r="E1306" s="21">
        <v>45781</v>
      </c>
      <c r="F1306" s="20" t="s">
        <v>59</v>
      </c>
      <c r="G1306" s="22">
        <v>271.42</v>
      </c>
      <c r="H1306" s="22">
        <v>25.68</v>
      </c>
      <c r="I1306" s="20" t="s">
        <v>45</v>
      </c>
      <c r="J1306" s="20">
        <v>4</v>
      </c>
      <c r="K1306" s="20" t="s">
        <v>46</v>
      </c>
      <c r="L1306" s="23">
        <f t="shared" si="151"/>
        <v>45748</v>
      </c>
      <c r="M1306" s="20">
        <f t="shared" si="152"/>
        <v>11</v>
      </c>
      <c r="N1306" s="20">
        <f t="shared" si="153"/>
        <v>0</v>
      </c>
      <c r="O1306" s="20">
        <f t="shared" si="154"/>
        <v>1</v>
      </c>
      <c r="P1306" s="22">
        <f t="shared" si="155"/>
        <v>297.10000000000002</v>
      </c>
      <c r="Q1306" s="22">
        <f>G1306*INDEX(Assumptions!$B$8:$B$16,MATCH(F1306,Assumptions!$A$8:$A$16,0))</f>
        <v>173.70880000000002</v>
      </c>
      <c r="R1306" s="22">
        <f>H1306*Assumptions!$B$3</f>
        <v>15.407999999999999</v>
      </c>
      <c r="S1306" s="22">
        <f t="shared" si="156"/>
        <v>82.30319999999999</v>
      </c>
      <c r="T1306" s="20" t="str">
        <f t="shared" si="157"/>
        <v>8-14 days</v>
      </c>
    </row>
    <row r="1307" spans="1:20" x14ac:dyDescent="0.3">
      <c r="A1307" s="20" t="s">
        <v>1373</v>
      </c>
      <c r="B1307" s="20" t="s">
        <v>19</v>
      </c>
      <c r="C1307" s="21">
        <v>45764</v>
      </c>
      <c r="D1307" s="21">
        <v>45772</v>
      </c>
      <c r="E1307" s="21">
        <v>45780</v>
      </c>
      <c r="F1307" s="20" t="s">
        <v>49</v>
      </c>
      <c r="G1307" s="22">
        <v>123.06</v>
      </c>
      <c r="H1307" s="22">
        <v>16.23</v>
      </c>
      <c r="I1307" s="20" t="s">
        <v>45</v>
      </c>
      <c r="J1307" s="20">
        <v>4</v>
      </c>
      <c r="K1307" s="20" t="s">
        <v>46</v>
      </c>
      <c r="L1307" s="23">
        <f t="shared" si="151"/>
        <v>45748</v>
      </c>
      <c r="M1307" s="20">
        <f t="shared" si="152"/>
        <v>8</v>
      </c>
      <c r="N1307" s="20">
        <f t="shared" si="153"/>
        <v>0</v>
      </c>
      <c r="O1307" s="20">
        <f t="shared" si="154"/>
        <v>1</v>
      </c>
      <c r="P1307" s="22">
        <f t="shared" si="155"/>
        <v>139.29</v>
      </c>
      <c r="Q1307" s="22">
        <f>G1307*INDEX(Assumptions!$B$8:$B$16,MATCH(F1307,Assumptions!$A$8:$A$16,0))</f>
        <v>71.374799999999993</v>
      </c>
      <c r="R1307" s="22">
        <f>H1307*Assumptions!$B$3</f>
        <v>9.7379999999999995</v>
      </c>
      <c r="S1307" s="22">
        <f t="shared" si="156"/>
        <v>41.947200000000009</v>
      </c>
      <c r="T1307" s="20" t="str">
        <f t="shared" si="157"/>
        <v>8-14 days</v>
      </c>
    </row>
    <row r="1308" spans="1:20" x14ac:dyDescent="0.3">
      <c r="A1308" s="20" t="s">
        <v>1374</v>
      </c>
      <c r="B1308" s="20" t="s">
        <v>19</v>
      </c>
      <c r="C1308" s="21">
        <v>45765</v>
      </c>
      <c r="D1308" s="21">
        <v>45772</v>
      </c>
      <c r="E1308" s="21">
        <v>45783</v>
      </c>
      <c r="F1308" s="20" t="s">
        <v>111</v>
      </c>
      <c r="G1308" s="22">
        <v>54.98</v>
      </c>
      <c r="H1308" s="22">
        <v>13.17</v>
      </c>
      <c r="I1308" s="20" t="s">
        <v>45</v>
      </c>
      <c r="J1308" s="20">
        <v>4</v>
      </c>
      <c r="K1308" s="20" t="s">
        <v>46</v>
      </c>
      <c r="L1308" s="23">
        <f t="shared" si="151"/>
        <v>45748</v>
      </c>
      <c r="M1308" s="20">
        <f t="shared" si="152"/>
        <v>7</v>
      </c>
      <c r="N1308" s="20">
        <f t="shared" si="153"/>
        <v>0</v>
      </c>
      <c r="O1308" s="20">
        <f t="shared" si="154"/>
        <v>1</v>
      </c>
      <c r="P1308" s="22">
        <f t="shared" si="155"/>
        <v>68.149999999999991</v>
      </c>
      <c r="Q1308" s="22">
        <f>G1308*INDEX(Assumptions!$B$8:$B$16,MATCH(F1308,Assumptions!$A$8:$A$16,0))</f>
        <v>34.6374</v>
      </c>
      <c r="R1308" s="22">
        <f>H1308*Assumptions!$B$3</f>
        <v>7.9019999999999992</v>
      </c>
      <c r="S1308" s="22">
        <f t="shared" si="156"/>
        <v>12.440599999999998</v>
      </c>
      <c r="T1308" s="20" t="str">
        <f t="shared" si="157"/>
        <v>0-7 days</v>
      </c>
    </row>
    <row r="1309" spans="1:20" x14ac:dyDescent="0.3">
      <c r="A1309" s="20" t="s">
        <v>1375</v>
      </c>
      <c r="B1309" s="20" t="s">
        <v>19</v>
      </c>
      <c r="C1309" s="21">
        <v>45765</v>
      </c>
      <c r="D1309" s="21">
        <v>45778</v>
      </c>
      <c r="E1309" s="21">
        <v>45783</v>
      </c>
      <c r="F1309" s="20" t="s">
        <v>49</v>
      </c>
      <c r="G1309" s="22">
        <v>368.14</v>
      </c>
      <c r="H1309" s="22">
        <v>21.97</v>
      </c>
      <c r="I1309" s="20" t="s">
        <v>45</v>
      </c>
      <c r="J1309" s="20">
        <v>4</v>
      </c>
      <c r="K1309" s="20" t="s">
        <v>46</v>
      </c>
      <c r="L1309" s="23">
        <f t="shared" si="151"/>
        <v>45748</v>
      </c>
      <c r="M1309" s="20">
        <f t="shared" si="152"/>
        <v>13</v>
      </c>
      <c r="N1309" s="20">
        <f t="shared" si="153"/>
        <v>0</v>
      </c>
      <c r="O1309" s="20">
        <f t="shared" si="154"/>
        <v>1</v>
      </c>
      <c r="P1309" s="22">
        <f t="shared" si="155"/>
        <v>390.11</v>
      </c>
      <c r="Q1309" s="22">
        <f>G1309*INDEX(Assumptions!$B$8:$B$16,MATCH(F1309,Assumptions!$A$8:$A$16,0))</f>
        <v>213.52119999999996</v>
      </c>
      <c r="R1309" s="22">
        <f>H1309*Assumptions!$B$3</f>
        <v>13.181999999999999</v>
      </c>
      <c r="S1309" s="22">
        <f t="shared" si="156"/>
        <v>141.43680000000003</v>
      </c>
      <c r="T1309" s="20" t="str">
        <f t="shared" si="157"/>
        <v>8-14 days</v>
      </c>
    </row>
    <row r="1310" spans="1:20" x14ac:dyDescent="0.3">
      <c r="A1310" s="20" t="s">
        <v>1376</v>
      </c>
      <c r="B1310" s="20" t="s">
        <v>19</v>
      </c>
      <c r="C1310" s="21">
        <v>45766</v>
      </c>
      <c r="D1310" s="21">
        <v>45777</v>
      </c>
      <c r="E1310" s="21">
        <v>45781</v>
      </c>
      <c r="F1310" s="20" t="s">
        <v>59</v>
      </c>
      <c r="G1310" s="22">
        <v>82.96</v>
      </c>
      <c r="H1310" s="22">
        <v>13.6</v>
      </c>
      <c r="I1310" s="20" t="s">
        <v>45</v>
      </c>
      <c r="J1310" s="20">
        <v>5</v>
      </c>
      <c r="K1310" s="20" t="s">
        <v>46</v>
      </c>
      <c r="L1310" s="23">
        <f t="shared" si="151"/>
        <v>45748</v>
      </c>
      <c r="M1310" s="20">
        <f t="shared" si="152"/>
        <v>11</v>
      </c>
      <c r="N1310" s="20">
        <f t="shared" si="153"/>
        <v>0</v>
      </c>
      <c r="O1310" s="20">
        <f t="shared" si="154"/>
        <v>1</v>
      </c>
      <c r="P1310" s="22">
        <f t="shared" si="155"/>
        <v>96.559999999999988</v>
      </c>
      <c r="Q1310" s="22">
        <f>G1310*INDEX(Assumptions!$B$8:$B$16,MATCH(F1310,Assumptions!$A$8:$A$16,0))</f>
        <v>53.0944</v>
      </c>
      <c r="R1310" s="22">
        <f>H1310*Assumptions!$B$3</f>
        <v>8.16</v>
      </c>
      <c r="S1310" s="22">
        <f t="shared" si="156"/>
        <v>21.705599999999993</v>
      </c>
      <c r="T1310" s="20" t="str">
        <f t="shared" si="157"/>
        <v>8-14 days</v>
      </c>
    </row>
    <row r="1311" spans="1:20" x14ac:dyDescent="0.3">
      <c r="A1311" s="20" t="s">
        <v>1377</v>
      </c>
      <c r="B1311" s="20" t="s">
        <v>19</v>
      </c>
      <c r="C1311" s="21">
        <v>45766</v>
      </c>
      <c r="D1311" s="21">
        <v>45788</v>
      </c>
      <c r="E1311" s="21">
        <v>45781</v>
      </c>
      <c r="F1311" s="20" t="s">
        <v>53</v>
      </c>
      <c r="G1311" s="22">
        <v>166.53</v>
      </c>
      <c r="H1311" s="22">
        <v>18</v>
      </c>
      <c r="I1311" s="20" t="s">
        <v>60</v>
      </c>
      <c r="J1311" s="20">
        <v>1</v>
      </c>
      <c r="K1311" s="20" t="s">
        <v>46</v>
      </c>
      <c r="L1311" s="23">
        <f t="shared" si="151"/>
        <v>45748</v>
      </c>
      <c r="M1311" s="20">
        <f t="shared" si="152"/>
        <v>22</v>
      </c>
      <c r="N1311" s="20">
        <f t="shared" si="153"/>
        <v>7</v>
      </c>
      <c r="O1311" s="20">
        <f t="shared" si="154"/>
        <v>0</v>
      </c>
      <c r="P1311" s="22">
        <f t="shared" si="155"/>
        <v>184.53</v>
      </c>
      <c r="Q1311" s="22">
        <f>G1311*INDEX(Assumptions!$B$8:$B$16,MATCH(F1311,Assumptions!$A$8:$A$16,0))</f>
        <v>123.23220000000001</v>
      </c>
      <c r="R1311" s="22">
        <f>H1311*Assumptions!$B$3</f>
        <v>10.799999999999999</v>
      </c>
      <c r="S1311" s="22">
        <f t="shared" si="156"/>
        <v>32.497799999999998</v>
      </c>
      <c r="T1311" s="20" t="str">
        <f t="shared" si="157"/>
        <v>22+ days</v>
      </c>
    </row>
    <row r="1312" spans="1:20" x14ac:dyDescent="0.3">
      <c r="A1312" s="20" t="s">
        <v>1378</v>
      </c>
      <c r="B1312" s="20" t="s">
        <v>19</v>
      </c>
      <c r="C1312" s="21">
        <v>45766</v>
      </c>
      <c r="D1312" s="21">
        <v>45775</v>
      </c>
      <c r="E1312" s="21">
        <v>45782</v>
      </c>
      <c r="F1312" s="20" t="s">
        <v>64</v>
      </c>
      <c r="G1312" s="22">
        <v>386.56</v>
      </c>
      <c r="H1312" s="22">
        <v>20.74</v>
      </c>
      <c r="I1312" s="20" t="s">
        <v>60</v>
      </c>
      <c r="J1312" s="20">
        <v>4</v>
      </c>
      <c r="K1312" s="20" t="s">
        <v>46</v>
      </c>
      <c r="L1312" s="23">
        <f t="shared" si="151"/>
        <v>45748</v>
      </c>
      <c r="M1312" s="20">
        <f t="shared" si="152"/>
        <v>9</v>
      </c>
      <c r="N1312" s="20">
        <f t="shared" si="153"/>
        <v>0</v>
      </c>
      <c r="O1312" s="20">
        <f t="shared" si="154"/>
        <v>1</v>
      </c>
      <c r="P1312" s="22">
        <f t="shared" si="155"/>
        <v>407.3</v>
      </c>
      <c r="Q1312" s="22">
        <f>G1312*INDEX(Assumptions!$B$8:$B$16,MATCH(F1312,Assumptions!$A$8:$A$16,0))</f>
        <v>255.12960000000001</v>
      </c>
      <c r="R1312" s="22">
        <f>H1312*Assumptions!$B$3</f>
        <v>12.443999999999999</v>
      </c>
      <c r="S1312" s="22">
        <f t="shared" si="156"/>
        <v>118.98639999999999</v>
      </c>
      <c r="T1312" s="20" t="str">
        <f t="shared" si="157"/>
        <v>8-14 days</v>
      </c>
    </row>
    <row r="1313" spans="1:20" x14ac:dyDescent="0.3">
      <c r="A1313" s="20" t="s">
        <v>1379</v>
      </c>
      <c r="B1313" s="20" t="s">
        <v>19</v>
      </c>
      <c r="C1313" s="21">
        <v>45766</v>
      </c>
      <c r="D1313" s="21">
        <v>45773</v>
      </c>
      <c r="E1313" s="21">
        <v>45784</v>
      </c>
      <c r="F1313" s="20" t="s">
        <v>59</v>
      </c>
      <c r="G1313" s="22">
        <v>192.02</v>
      </c>
      <c r="H1313" s="22">
        <v>21.03</v>
      </c>
      <c r="I1313" s="20" t="s">
        <v>45</v>
      </c>
      <c r="J1313" s="20">
        <v>5</v>
      </c>
      <c r="K1313" s="20" t="s">
        <v>46</v>
      </c>
      <c r="L1313" s="23">
        <f t="shared" si="151"/>
        <v>45748</v>
      </c>
      <c r="M1313" s="20">
        <f t="shared" si="152"/>
        <v>7</v>
      </c>
      <c r="N1313" s="20">
        <f t="shared" si="153"/>
        <v>0</v>
      </c>
      <c r="O1313" s="20">
        <f t="shared" si="154"/>
        <v>1</v>
      </c>
      <c r="P1313" s="22">
        <f t="shared" si="155"/>
        <v>213.05</v>
      </c>
      <c r="Q1313" s="22">
        <f>G1313*INDEX(Assumptions!$B$8:$B$16,MATCH(F1313,Assumptions!$A$8:$A$16,0))</f>
        <v>122.89280000000001</v>
      </c>
      <c r="R1313" s="22">
        <f>H1313*Assumptions!$B$3</f>
        <v>12.618</v>
      </c>
      <c r="S1313" s="22">
        <f t="shared" si="156"/>
        <v>56.5092</v>
      </c>
      <c r="T1313" s="20" t="str">
        <f t="shared" si="157"/>
        <v>0-7 days</v>
      </c>
    </row>
    <row r="1314" spans="1:20" x14ac:dyDescent="0.3">
      <c r="A1314" s="20" t="s">
        <v>1380</v>
      </c>
      <c r="B1314" s="20" t="s">
        <v>134</v>
      </c>
      <c r="C1314" s="21">
        <v>45766</v>
      </c>
      <c r="D1314" s="21">
        <v>45776</v>
      </c>
      <c r="E1314" s="21">
        <v>45791</v>
      </c>
      <c r="F1314" s="20" t="s">
        <v>49</v>
      </c>
      <c r="G1314" s="22">
        <v>61.11</v>
      </c>
      <c r="H1314" s="22">
        <v>27.26</v>
      </c>
      <c r="I1314" s="20" t="s">
        <v>45</v>
      </c>
      <c r="J1314" s="20">
        <v>5</v>
      </c>
      <c r="K1314" s="20" t="s">
        <v>46</v>
      </c>
      <c r="L1314" s="23">
        <f t="shared" si="151"/>
        <v>45748</v>
      </c>
      <c r="M1314" s="20">
        <f t="shared" si="152"/>
        <v>10</v>
      </c>
      <c r="N1314" s="20">
        <f t="shared" si="153"/>
        <v>0</v>
      </c>
      <c r="O1314" s="20">
        <f t="shared" si="154"/>
        <v>1</v>
      </c>
      <c r="P1314" s="22">
        <f t="shared" si="155"/>
        <v>88.37</v>
      </c>
      <c r="Q1314" s="22">
        <f>G1314*INDEX(Assumptions!$B$8:$B$16,MATCH(F1314,Assumptions!$A$8:$A$16,0))</f>
        <v>35.443799999999996</v>
      </c>
      <c r="R1314" s="22">
        <f>H1314*Assumptions!$B$3</f>
        <v>16.356000000000002</v>
      </c>
      <c r="S1314" s="22">
        <f t="shared" si="156"/>
        <v>9.3102000000000018</v>
      </c>
      <c r="T1314" s="20" t="str">
        <f t="shared" si="157"/>
        <v>8-14 days</v>
      </c>
    </row>
    <row r="1315" spans="1:20" x14ac:dyDescent="0.3">
      <c r="A1315" s="20" t="s">
        <v>1381</v>
      </c>
      <c r="B1315" s="20" t="s">
        <v>19</v>
      </c>
      <c r="C1315" s="21">
        <v>45767</v>
      </c>
      <c r="D1315" s="21">
        <v>45772</v>
      </c>
      <c r="E1315" s="21">
        <v>45783</v>
      </c>
      <c r="F1315" s="20" t="s">
        <v>49</v>
      </c>
      <c r="G1315" s="22">
        <v>69.150000000000006</v>
      </c>
      <c r="H1315" s="22">
        <v>16.11</v>
      </c>
      <c r="I1315" s="20" t="s">
        <v>45</v>
      </c>
      <c r="J1315" s="20">
        <v>4</v>
      </c>
      <c r="K1315" s="20" t="s">
        <v>46</v>
      </c>
      <c r="L1315" s="23">
        <f t="shared" si="151"/>
        <v>45748</v>
      </c>
      <c r="M1315" s="20">
        <f t="shared" si="152"/>
        <v>5</v>
      </c>
      <c r="N1315" s="20">
        <f t="shared" si="153"/>
        <v>0</v>
      </c>
      <c r="O1315" s="20">
        <f t="shared" si="154"/>
        <v>1</v>
      </c>
      <c r="P1315" s="22">
        <f t="shared" si="155"/>
        <v>85.26</v>
      </c>
      <c r="Q1315" s="22">
        <f>G1315*INDEX(Assumptions!$B$8:$B$16,MATCH(F1315,Assumptions!$A$8:$A$16,0))</f>
        <v>40.106999999999999</v>
      </c>
      <c r="R1315" s="22">
        <f>H1315*Assumptions!$B$3</f>
        <v>9.6659999999999986</v>
      </c>
      <c r="S1315" s="22">
        <f t="shared" si="156"/>
        <v>19.37700000000001</v>
      </c>
      <c r="T1315" s="20" t="str">
        <f t="shared" si="157"/>
        <v>0-7 days</v>
      </c>
    </row>
    <row r="1316" spans="1:20" x14ac:dyDescent="0.3">
      <c r="A1316" s="20" t="s">
        <v>1382</v>
      </c>
      <c r="B1316" s="20" t="s">
        <v>134</v>
      </c>
      <c r="C1316" s="21">
        <v>45767</v>
      </c>
      <c r="D1316" s="21">
        <v>45778</v>
      </c>
      <c r="E1316" s="21">
        <v>45789</v>
      </c>
      <c r="F1316" s="20" t="s">
        <v>79</v>
      </c>
      <c r="G1316" s="22">
        <v>92.42</v>
      </c>
      <c r="H1316" s="22">
        <v>27.27</v>
      </c>
      <c r="I1316" s="20" t="s">
        <v>45</v>
      </c>
      <c r="J1316" s="20">
        <v>5</v>
      </c>
      <c r="K1316" s="20" t="s">
        <v>46</v>
      </c>
      <c r="L1316" s="23">
        <f t="shared" si="151"/>
        <v>45748</v>
      </c>
      <c r="M1316" s="20">
        <f t="shared" si="152"/>
        <v>11</v>
      </c>
      <c r="N1316" s="20">
        <f t="shared" si="153"/>
        <v>0</v>
      </c>
      <c r="O1316" s="20">
        <f t="shared" si="154"/>
        <v>1</v>
      </c>
      <c r="P1316" s="22">
        <f t="shared" si="155"/>
        <v>119.69</v>
      </c>
      <c r="Q1316" s="22">
        <f>G1316*INDEX(Assumptions!$B$8:$B$16,MATCH(F1316,Assumptions!$A$8:$A$16,0))</f>
        <v>64.694000000000003</v>
      </c>
      <c r="R1316" s="22">
        <f>H1316*Assumptions!$B$3</f>
        <v>16.361999999999998</v>
      </c>
      <c r="S1316" s="22">
        <f t="shared" si="156"/>
        <v>11.364000000000001</v>
      </c>
      <c r="T1316" s="20" t="str">
        <f t="shared" si="157"/>
        <v>8-14 days</v>
      </c>
    </row>
    <row r="1317" spans="1:20" x14ac:dyDescent="0.3">
      <c r="A1317" s="20" t="s">
        <v>1383</v>
      </c>
      <c r="B1317" s="20" t="s">
        <v>19</v>
      </c>
      <c r="C1317" s="21">
        <v>45769</v>
      </c>
      <c r="D1317" s="21">
        <v>45775</v>
      </c>
      <c r="E1317" s="21">
        <v>45784</v>
      </c>
      <c r="F1317" s="20" t="s">
        <v>67</v>
      </c>
      <c r="G1317" s="22">
        <v>71.05</v>
      </c>
      <c r="H1317" s="22">
        <v>21.25</v>
      </c>
      <c r="I1317" s="20" t="s">
        <v>45</v>
      </c>
      <c r="J1317" s="20">
        <v>5</v>
      </c>
      <c r="K1317" s="20" t="s">
        <v>46</v>
      </c>
      <c r="L1317" s="23">
        <f t="shared" si="151"/>
        <v>45748</v>
      </c>
      <c r="M1317" s="20">
        <f t="shared" si="152"/>
        <v>6</v>
      </c>
      <c r="N1317" s="20">
        <f t="shared" si="153"/>
        <v>0</v>
      </c>
      <c r="O1317" s="20">
        <f t="shared" si="154"/>
        <v>1</v>
      </c>
      <c r="P1317" s="22">
        <f t="shared" si="155"/>
        <v>92.3</v>
      </c>
      <c r="Q1317" s="22">
        <f>G1317*INDEX(Assumptions!$B$8:$B$16,MATCH(F1317,Assumptions!$A$8:$A$16,0))</f>
        <v>44.050999999999995</v>
      </c>
      <c r="R1317" s="22">
        <f>H1317*Assumptions!$B$3</f>
        <v>12.75</v>
      </c>
      <c r="S1317" s="22">
        <f t="shared" si="156"/>
        <v>14.249000000000002</v>
      </c>
      <c r="T1317" s="20" t="str">
        <f t="shared" si="157"/>
        <v>0-7 days</v>
      </c>
    </row>
    <row r="1318" spans="1:20" x14ac:dyDescent="0.3">
      <c r="A1318" s="20" t="s">
        <v>1384</v>
      </c>
      <c r="B1318" s="20" t="s">
        <v>19</v>
      </c>
      <c r="C1318" s="21">
        <v>45769</v>
      </c>
      <c r="D1318" s="21">
        <v>45783</v>
      </c>
      <c r="E1318" s="21">
        <v>45782</v>
      </c>
      <c r="F1318" s="20" t="s">
        <v>64</v>
      </c>
      <c r="G1318" s="22">
        <v>132.06</v>
      </c>
      <c r="H1318" s="22">
        <v>23.57</v>
      </c>
      <c r="I1318" s="20" t="s">
        <v>45</v>
      </c>
      <c r="J1318" s="20">
        <v>3</v>
      </c>
      <c r="K1318" s="20" t="s">
        <v>46</v>
      </c>
      <c r="L1318" s="23">
        <f t="shared" si="151"/>
        <v>45748</v>
      </c>
      <c r="M1318" s="20">
        <f t="shared" si="152"/>
        <v>14</v>
      </c>
      <c r="N1318" s="20">
        <f t="shared" si="153"/>
        <v>1</v>
      </c>
      <c r="O1318" s="20">
        <f t="shared" si="154"/>
        <v>0</v>
      </c>
      <c r="P1318" s="22">
        <f t="shared" si="155"/>
        <v>155.63</v>
      </c>
      <c r="Q1318" s="22">
        <f>G1318*INDEX(Assumptions!$B$8:$B$16,MATCH(F1318,Assumptions!$A$8:$A$16,0))</f>
        <v>87.159600000000012</v>
      </c>
      <c r="R1318" s="22">
        <f>H1318*Assumptions!$B$3</f>
        <v>14.141999999999999</v>
      </c>
      <c r="S1318" s="22">
        <f t="shared" si="156"/>
        <v>30.758399999999991</v>
      </c>
      <c r="T1318" s="20" t="str">
        <f t="shared" si="157"/>
        <v>8-14 days</v>
      </c>
    </row>
    <row r="1319" spans="1:20" x14ac:dyDescent="0.3">
      <c r="A1319" s="20" t="s">
        <v>1385</v>
      </c>
      <c r="B1319" s="20" t="s">
        <v>55</v>
      </c>
      <c r="C1319" s="21">
        <v>45770</v>
      </c>
      <c r="D1319" s="21">
        <v>45787</v>
      </c>
      <c r="E1319" s="21">
        <v>45789</v>
      </c>
      <c r="F1319" s="20" t="s">
        <v>67</v>
      </c>
      <c r="G1319" s="22">
        <v>44.58</v>
      </c>
      <c r="H1319" s="22">
        <v>28.35</v>
      </c>
      <c r="I1319" s="20" t="s">
        <v>45</v>
      </c>
      <c r="J1319" s="20">
        <v>5</v>
      </c>
      <c r="K1319" s="20" t="s">
        <v>46</v>
      </c>
      <c r="L1319" s="23">
        <f t="shared" si="151"/>
        <v>45748</v>
      </c>
      <c r="M1319" s="20">
        <f t="shared" si="152"/>
        <v>17</v>
      </c>
      <c r="N1319" s="20">
        <f t="shared" si="153"/>
        <v>0</v>
      </c>
      <c r="O1319" s="20">
        <f t="shared" si="154"/>
        <v>1</v>
      </c>
      <c r="P1319" s="22">
        <f t="shared" si="155"/>
        <v>72.930000000000007</v>
      </c>
      <c r="Q1319" s="22">
        <f>G1319*INDEX(Assumptions!$B$8:$B$16,MATCH(F1319,Assumptions!$A$8:$A$16,0))</f>
        <v>27.639599999999998</v>
      </c>
      <c r="R1319" s="22">
        <f>H1319*Assumptions!$B$3</f>
        <v>17.010000000000002</v>
      </c>
      <c r="S1319" s="22">
        <f t="shared" si="156"/>
        <v>-6.9600000000001216E-2</v>
      </c>
      <c r="T1319" s="20" t="str">
        <f t="shared" si="157"/>
        <v>15-21 days</v>
      </c>
    </row>
    <row r="1320" spans="1:20" x14ac:dyDescent="0.3">
      <c r="A1320" s="20" t="s">
        <v>1386</v>
      </c>
      <c r="B1320" s="20" t="s">
        <v>62</v>
      </c>
      <c r="C1320" s="21">
        <v>45770</v>
      </c>
      <c r="D1320" s="21">
        <v>45785</v>
      </c>
      <c r="E1320" s="21">
        <v>45792</v>
      </c>
      <c r="F1320" s="20" t="s">
        <v>53</v>
      </c>
      <c r="G1320" s="22">
        <v>103.18</v>
      </c>
      <c r="H1320" s="22">
        <v>24.94</v>
      </c>
      <c r="I1320" s="20" t="s">
        <v>45</v>
      </c>
      <c r="J1320" s="20">
        <v>4</v>
      </c>
      <c r="K1320" s="20" t="s">
        <v>46</v>
      </c>
      <c r="L1320" s="23">
        <f t="shared" si="151"/>
        <v>45748</v>
      </c>
      <c r="M1320" s="20">
        <f t="shared" si="152"/>
        <v>15</v>
      </c>
      <c r="N1320" s="20">
        <f t="shared" si="153"/>
        <v>0</v>
      </c>
      <c r="O1320" s="20">
        <f t="shared" si="154"/>
        <v>1</v>
      </c>
      <c r="P1320" s="22">
        <f t="shared" si="155"/>
        <v>128.12</v>
      </c>
      <c r="Q1320" s="22">
        <f>G1320*INDEX(Assumptions!$B$8:$B$16,MATCH(F1320,Assumptions!$A$8:$A$16,0))</f>
        <v>76.353200000000001</v>
      </c>
      <c r="R1320" s="22">
        <f>H1320*Assumptions!$B$3</f>
        <v>14.964</v>
      </c>
      <c r="S1320" s="22">
        <f t="shared" si="156"/>
        <v>11.862800000000005</v>
      </c>
      <c r="T1320" s="20" t="str">
        <f t="shared" si="157"/>
        <v>15-21 days</v>
      </c>
    </row>
    <row r="1321" spans="1:20" x14ac:dyDescent="0.3">
      <c r="A1321" s="20" t="s">
        <v>1387</v>
      </c>
      <c r="B1321" s="20" t="s">
        <v>62</v>
      </c>
      <c r="C1321" s="21">
        <v>45770</v>
      </c>
      <c r="D1321" s="21">
        <v>45779</v>
      </c>
      <c r="E1321" s="21">
        <v>45793</v>
      </c>
      <c r="F1321" s="20" t="s">
        <v>53</v>
      </c>
      <c r="G1321" s="22">
        <v>95.56</v>
      </c>
      <c r="H1321" s="22">
        <v>28.69</v>
      </c>
      <c r="I1321" s="20" t="s">
        <v>60</v>
      </c>
      <c r="J1321" s="20">
        <v>5</v>
      </c>
      <c r="K1321" s="20" t="s">
        <v>46</v>
      </c>
      <c r="L1321" s="23">
        <f t="shared" si="151"/>
        <v>45748</v>
      </c>
      <c r="M1321" s="20">
        <f t="shared" si="152"/>
        <v>9</v>
      </c>
      <c r="N1321" s="20">
        <f t="shared" si="153"/>
        <v>0</v>
      </c>
      <c r="O1321" s="20">
        <f t="shared" si="154"/>
        <v>1</v>
      </c>
      <c r="P1321" s="22">
        <f t="shared" si="155"/>
        <v>124.25</v>
      </c>
      <c r="Q1321" s="22">
        <f>G1321*INDEX(Assumptions!$B$8:$B$16,MATCH(F1321,Assumptions!$A$8:$A$16,0))</f>
        <v>70.714399999999998</v>
      </c>
      <c r="R1321" s="22">
        <f>H1321*Assumptions!$B$3</f>
        <v>17.213999999999999</v>
      </c>
      <c r="S1321" s="22">
        <f t="shared" si="156"/>
        <v>7.6316000000000059</v>
      </c>
      <c r="T1321" s="20" t="str">
        <f t="shared" si="157"/>
        <v>8-14 days</v>
      </c>
    </row>
    <row r="1322" spans="1:20" x14ac:dyDescent="0.3">
      <c r="A1322" s="20" t="s">
        <v>1388</v>
      </c>
      <c r="B1322" s="20" t="s">
        <v>93</v>
      </c>
      <c r="C1322" s="21">
        <v>45771</v>
      </c>
      <c r="D1322" s="21">
        <v>45779</v>
      </c>
      <c r="E1322" s="21">
        <v>45802</v>
      </c>
      <c r="F1322" s="20" t="s">
        <v>79</v>
      </c>
      <c r="G1322" s="22">
        <v>366.55</v>
      </c>
      <c r="H1322" s="22">
        <v>40.1</v>
      </c>
      <c r="I1322" s="20" t="s">
        <v>45</v>
      </c>
      <c r="J1322" s="20">
        <v>4</v>
      </c>
      <c r="K1322" s="20" t="s">
        <v>46</v>
      </c>
      <c r="L1322" s="23">
        <f t="shared" si="151"/>
        <v>45748</v>
      </c>
      <c r="M1322" s="20">
        <f t="shared" si="152"/>
        <v>8</v>
      </c>
      <c r="N1322" s="20">
        <f t="shared" si="153"/>
        <v>0</v>
      </c>
      <c r="O1322" s="20">
        <f t="shared" si="154"/>
        <v>1</v>
      </c>
      <c r="P1322" s="22">
        <f t="shared" si="155"/>
        <v>406.65000000000003</v>
      </c>
      <c r="Q1322" s="22">
        <f>G1322*INDEX(Assumptions!$B$8:$B$16,MATCH(F1322,Assumptions!$A$8:$A$16,0))</f>
        <v>256.58499999999998</v>
      </c>
      <c r="R1322" s="22">
        <f>H1322*Assumptions!$B$3</f>
        <v>24.06</v>
      </c>
      <c r="S1322" s="22">
        <f t="shared" si="156"/>
        <v>85.90500000000003</v>
      </c>
      <c r="T1322" s="20" t="str">
        <f t="shared" si="157"/>
        <v>8-14 days</v>
      </c>
    </row>
    <row r="1323" spans="1:20" x14ac:dyDescent="0.3">
      <c r="A1323" s="20" t="s">
        <v>1389</v>
      </c>
      <c r="B1323" s="20" t="s">
        <v>134</v>
      </c>
      <c r="C1323" s="21">
        <v>45771</v>
      </c>
      <c r="D1323" s="21">
        <v>45783</v>
      </c>
      <c r="E1323" s="21">
        <v>45795</v>
      </c>
      <c r="F1323" s="20" t="s">
        <v>49</v>
      </c>
      <c r="G1323" s="22">
        <v>109.09</v>
      </c>
      <c r="H1323" s="22">
        <v>23.98</v>
      </c>
      <c r="I1323" s="20" t="s">
        <v>45</v>
      </c>
      <c r="J1323" s="20">
        <v>4</v>
      </c>
      <c r="K1323" s="20" t="s">
        <v>46</v>
      </c>
      <c r="L1323" s="23">
        <f t="shared" si="151"/>
        <v>45748</v>
      </c>
      <c r="M1323" s="20">
        <f t="shared" si="152"/>
        <v>12</v>
      </c>
      <c r="N1323" s="20">
        <f t="shared" si="153"/>
        <v>0</v>
      </c>
      <c r="O1323" s="20">
        <f t="shared" si="154"/>
        <v>1</v>
      </c>
      <c r="P1323" s="22">
        <f t="shared" si="155"/>
        <v>133.07</v>
      </c>
      <c r="Q1323" s="22">
        <f>G1323*INDEX(Assumptions!$B$8:$B$16,MATCH(F1323,Assumptions!$A$8:$A$16,0))</f>
        <v>63.272199999999998</v>
      </c>
      <c r="R1323" s="22">
        <f>H1323*Assumptions!$B$3</f>
        <v>14.388</v>
      </c>
      <c r="S1323" s="22">
        <f t="shared" si="156"/>
        <v>31.429800000000007</v>
      </c>
      <c r="T1323" s="20" t="str">
        <f t="shared" si="157"/>
        <v>8-14 days</v>
      </c>
    </row>
    <row r="1324" spans="1:20" x14ac:dyDescent="0.3">
      <c r="A1324" s="20" t="s">
        <v>1390</v>
      </c>
      <c r="B1324" s="20" t="s">
        <v>19</v>
      </c>
      <c r="C1324" s="21">
        <v>45771</v>
      </c>
      <c r="D1324" s="21">
        <v>45782</v>
      </c>
      <c r="E1324" s="21">
        <v>45787</v>
      </c>
      <c r="F1324" s="20" t="s">
        <v>49</v>
      </c>
      <c r="G1324" s="22">
        <v>100.55</v>
      </c>
      <c r="H1324" s="22">
        <v>13.66</v>
      </c>
      <c r="I1324" s="20" t="s">
        <v>45</v>
      </c>
      <c r="J1324" s="20">
        <v>5</v>
      </c>
      <c r="K1324" s="20" t="s">
        <v>46</v>
      </c>
      <c r="L1324" s="23">
        <f t="shared" si="151"/>
        <v>45748</v>
      </c>
      <c r="M1324" s="20">
        <f t="shared" si="152"/>
        <v>11</v>
      </c>
      <c r="N1324" s="20">
        <f t="shared" si="153"/>
        <v>0</v>
      </c>
      <c r="O1324" s="20">
        <f t="shared" si="154"/>
        <v>1</v>
      </c>
      <c r="P1324" s="22">
        <f t="shared" si="155"/>
        <v>114.21</v>
      </c>
      <c r="Q1324" s="22">
        <f>G1324*INDEX(Assumptions!$B$8:$B$16,MATCH(F1324,Assumptions!$A$8:$A$16,0))</f>
        <v>58.318999999999996</v>
      </c>
      <c r="R1324" s="22">
        <f>H1324*Assumptions!$B$3</f>
        <v>8.1959999999999997</v>
      </c>
      <c r="S1324" s="22">
        <f t="shared" si="156"/>
        <v>34.035000000000004</v>
      </c>
      <c r="T1324" s="20" t="str">
        <f t="shared" si="157"/>
        <v>8-14 days</v>
      </c>
    </row>
    <row r="1325" spans="1:20" x14ac:dyDescent="0.3">
      <c r="A1325" s="20" t="s">
        <v>1391</v>
      </c>
      <c r="B1325" s="20" t="s">
        <v>19</v>
      </c>
      <c r="C1325" s="21">
        <v>45771</v>
      </c>
      <c r="D1325" s="21">
        <v>45777</v>
      </c>
      <c r="E1325" s="21">
        <v>45790</v>
      </c>
      <c r="F1325" s="20" t="s">
        <v>111</v>
      </c>
      <c r="G1325" s="22">
        <v>62.14</v>
      </c>
      <c r="H1325" s="22">
        <v>21.31</v>
      </c>
      <c r="I1325" s="20" t="s">
        <v>45</v>
      </c>
      <c r="J1325" s="20">
        <v>5</v>
      </c>
      <c r="K1325" s="20" t="s">
        <v>46</v>
      </c>
      <c r="L1325" s="23">
        <f t="shared" si="151"/>
        <v>45748</v>
      </c>
      <c r="M1325" s="20">
        <f t="shared" si="152"/>
        <v>6</v>
      </c>
      <c r="N1325" s="20">
        <f t="shared" si="153"/>
        <v>0</v>
      </c>
      <c r="O1325" s="20">
        <f t="shared" si="154"/>
        <v>1</v>
      </c>
      <c r="P1325" s="22">
        <f t="shared" si="155"/>
        <v>83.45</v>
      </c>
      <c r="Q1325" s="22">
        <f>G1325*INDEX(Assumptions!$B$8:$B$16,MATCH(F1325,Assumptions!$A$8:$A$16,0))</f>
        <v>39.148200000000003</v>
      </c>
      <c r="R1325" s="22">
        <f>H1325*Assumptions!$B$3</f>
        <v>12.786</v>
      </c>
      <c r="S1325" s="22">
        <f t="shared" si="156"/>
        <v>10.205799999999998</v>
      </c>
      <c r="T1325" s="20" t="str">
        <f t="shared" si="157"/>
        <v>0-7 days</v>
      </c>
    </row>
    <row r="1326" spans="1:20" x14ac:dyDescent="0.3">
      <c r="A1326" s="20" t="s">
        <v>1392</v>
      </c>
      <c r="B1326" s="20" t="s">
        <v>55</v>
      </c>
      <c r="C1326" s="21">
        <v>45771</v>
      </c>
      <c r="D1326" s="21">
        <v>45797</v>
      </c>
      <c r="E1326" s="21">
        <v>45795</v>
      </c>
      <c r="F1326" s="20" t="s">
        <v>49</v>
      </c>
      <c r="G1326" s="22">
        <v>129.02000000000001</v>
      </c>
      <c r="H1326" s="22">
        <v>23.94</v>
      </c>
      <c r="I1326" s="20" t="s">
        <v>45</v>
      </c>
      <c r="J1326" s="20">
        <v>3</v>
      </c>
      <c r="K1326" s="20" t="s">
        <v>46</v>
      </c>
      <c r="L1326" s="23">
        <f t="shared" si="151"/>
        <v>45748</v>
      </c>
      <c r="M1326" s="20">
        <f t="shared" si="152"/>
        <v>26</v>
      </c>
      <c r="N1326" s="20">
        <f t="shared" si="153"/>
        <v>2</v>
      </c>
      <c r="O1326" s="20">
        <f t="shared" si="154"/>
        <v>0</v>
      </c>
      <c r="P1326" s="22">
        <f t="shared" si="155"/>
        <v>152.96</v>
      </c>
      <c r="Q1326" s="22">
        <f>G1326*INDEX(Assumptions!$B$8:$B$16,MATCH(F1326,Assumptions!$A$8:$A$16,0))</f>
        <v>74.831599999999995</v>
      </c>
      <c r="R1326" s="22">
        <f>H1326*Assumptions!$B$3</f>
        <v>14.364000000000001</v>
      </c>
      <c r="S1326" s="22">
        <f t="shared" si="156"/>
        <v>39.824400000000011</v>
      </c>
      <c r="T1326" s="20" t="str">
        <f t="shared" si="157"/>
        <v>22+ days</v>
      </c>
    </row>
    <row r="1327" spans="1:20" x14ac:dyDescent="0.3">
      <c r="A1327" s="20" t="s">
        <v>1393</v>
      </c>
      <c r="B1327" s="20" t="s">
        <v>19</v>
      </c>
      <c r="C1327" s="21">
        <v>45772</v>
      </c>
      <c r="D1327" s="21">
        <v>45779</v>
      </c>
      <c r="E1327" s="21">
        <v>45788</v>
      </c>
      <c r="F1327" s="20" t="s">
        <v>79</v>
      </c>
      <c r="G1327" s="22">
        <v>87.18</v>
      </c>
      <c r="H1327" s="22">
        <v>16.91</v>
      </c>
      <c r="I1327" s="20" t="s">
        <v>45</v>
      </c>
      <c r="J1327" s="20">
        <v>2</v>
      </c>
      <c r="K1327" s="20" t="s">
        <v>46</v>
      </c>
      <c r="L1327" s="23">
        <f t="shared" si="151"/>
        <v>45748</v>
      </c>
      <c r="M1327" s="20">
        <f t="shared" si="152"/>
        <v>7</v>
      </c>
      <c r="N1327" s="20">
        <f t="shared" si="153"/>
        <v>0</v>
      </c>
      <c r="O1327" s="20">
        <f t="shared" si="154"/>
        <v>1</v>
      </c>
      <c r="P1327" s="22">
        <f t="shared" si="155"/>
        <v>104.09</v>
      </c>
      <c r="Q1327" s="22">
        <f>G1327*INDEX(Assumptions!$B$8:$B$16,MATCH(F1327,Assumptions!$A$8:$A$16,0))</f>
        <v>61.026000000000003</v>
      </c>
      <c r="R1327" s="22">
        <f>H1327*Assumptions!$B$3</f>
        <v>10.145999999999999</v>
      </c>
      <c r="S1327" s="22">
        <f t="shared" si="156"/>
        <v>16.008000000000003</v>
      </c>
      <c r="T1327" s="20" t="str">
        <f t="shared" si="157"/>
        <v>0-7 days</v>
      </c>
    </row>
    <row r="1328" spans="1:20" x14ac:dyDescent="0.3">
      <c r="A1328" s="20" t="s">
        <v>1394</v>
      </c>
      <c r="B1328" s="20" t="s">
        <v>19</v>
      </c>
      <c r="C1328" s="21">
        <v>45772</v>
      </c>
      <c r="D1328" s="21">
        <v>45778</v>
      </c>
      <c r="E1328" s="21">
        <v>45785</v>
      </c>
      <c r="F1328" s="20" t="s">
        <v>111</v>
      </c>
      <c r="G1328" s="22">
        <v>87.66</v>
      </c>
      <c r="H1328" s="22">
        <v>21.59</v>
      </c>
      <c r="I1328" s="20" t="s">
        <v>45</v>
      </c>
      <c r="J1328" s="20">
        <v>4</v>
      </c>
      <c r="K1328" s="20" t="s">
        <v>46</v>
      </c>
      <c r="L1328" s="23">
        <f t="shared" si="151"/>
        <v>45748</v>
      </c>
      <c r="M1328" s="20">
        <f t="shared" si="152"/>
        <v>6</v>
      </c>
      <c r="N1328" s="20">
        <f t="shared" si="153"/>
        <v>0</v>
      </c>
      <c r="O1328" s="20">
        <f t="shared" si="154"/>
        <v>1</v>
      </c>
      <c r="P1328" s="22">
        <f t="shared" si="155"/>
        <v>109.25</v>
      </c>
      <c r="Q1328" s="22">
        <f>G1328*INDEX(Assumptions!$B$8:$B$16,MATCH(F1328,Assumptions!$A$8:$A$16,0))</f>
        <v>55.2258</v>
      </c>
      <c r="R1328" s="22">
        <f>H1328*Assumptions!$B$3</f>
        <v>12.953999999999999</v>
      </c>
      <c r="S1328" s="22">
        <f t="shared" si="156"/>
        <v>19.480199999999996</v>
      </c>
      <c r="T1328" s="20" t="str">
        <f t="shared" si="157"/>
        <v>0-7 days</v>
      </c>
    </row>
    <row r="1329" spans="1:20" x14ac:dyDescent="0.3">
      <c r="A1329" s="20" t="s">
        <v>1395</v>
      </c>
      <c r="B1329" s="20" t="s">
        <v>103</v>
      </c>
      <c r="C1329" s="21">
        <v>45772</v>
      </c>
      <c r="D1329" s="21">
        <v>45777</v>
      </c>
      <c r="E1329" s="21">
        <v>45793</v>
      </c>
      <c r="F1329" s="20" t="s">
        <v>59</v>
      </c>
      <c r="G1329" s="22">
        <v>51.03</v>
      </c>
      <c r="H1329" s="22">
        <v>20.399999999999999</v>
      </c>
      <c r="I1329" s="20" t="s">
        <v>45</v>
      </c>
      <c r="J1329" s="20">
        <v>5</v>
      </c>
      <c r="K1329" s="20" t="s">
        <v>46</v>
      </c>
      <c r="L1329" s="23">
        <f t="shared" si="151"/>
        <v>45748</v>
      </c>
      <c r="M1329" s="20">
        <f t="shared" si="152"/>
        <v>5</v>
      </c>
      <c r="N1329" s="20">
        <f t="shared" si="153"/>
        <v>0</v>
      </c>
      <c r="O1329" s="20">
        <f t="shared" si="154"/>
        <v>1</v>
      </c>
      <c r="P1329" s="22">
        <f t="shared" si="155"/>
        <v>71.430000000000007</v>
      </c>
      <c r="Q1329" s="22">
        <f>G1329*INDEX(Assumptions!$B$8:$B$16,MATCH(F1329,Assumptions!$A$8:$A$16,0))</f>
        <v>32.659199999999998</v>
      </c>
      <c r="R1329" s="22">
        <f>H1329*Assumptions!$B$3</f>
        <v>12.239999999999998</v>
      </c>
      <c r="S1329" s="22">
        <f t="shared" si="156"/>
        <v>6.1308000000000042</v>
      </c>
      <c r="T1329" s="20" t="str">
        <f t="shared" si="157"/>
        <v>0-7 days</v>
      </c>
    </row>
    <row r="1330" spans="1:20" x14ac:dyDescent="0.3">
      <c r="A1330" s="20" t="s">
        <v>1396</v>
      </c>
      <c r="B1330" s="20" t="s">
        <v>19</v>
      </c>
      <c r="C1330" s="21">
        <v>45772</v>
      </c>
      <c r="D1330" s="21">
        <v>45785</v>
      </c>
      <c r="E1330" s="21">
        <v>45787</v>
      </c>
      <c r="F1330" s="20" t="s">
        <v>49</v>
      </c>
      <c r="G1330" s="22">
        <v>185.86</v>
      </c>
      <c r="H1330" s="22">
        <v>24.03</v>
      </c>
      <c r="I1330" s="20" t="s">
        <v>45</v>
      </c>
      <c r="J1330" s="20">
        <v>4</v>
      </c>
      <c r="K1330" s="20" t="s">
        <v>46</v>
      </c>
      <c r="L1330" s="23">
        <f t="shared" si="151"/>
        <v>45748</v>
      </c>
      <c r="M1330" s="20">
        <f t="shared" si="152"/>
        <v>13</v>
      </c>
      <c r="N1330" s="20">
        <f t="shared" si="153"/>
        <v>0</v>
      </c>
      <c r="O1330" s="20">
        <f t="shared" si="154"/>
        <v>1</v>
      </c>
      <c r="P1330" s="22">
        <f t="shared" si="155"/>
        <v>209.89000000000001</v>
      </c>
      <c r="Q1330" s="22">
        <f>G1330*INDEX(Assumptions!$B$8:$B$16,MATCH(F1330,Assumptions!$A$8:$A$16,0))</f>
        <v>107.7988</v>
      </c>
      <c r="R1330" s="22">
        <f>H1330*Assumptions!$B$3</f>
        <v>14.417999999999999</v>
      </c>
      <c r="S1330" s="22">
        <f t="shared" si="156"/>
        <v>63.643200000000014</v>
      </c>
      <c r="T1330" s="20" t="str">
        <f t="shared" si="157"/>
        <v>8-14 days</v>
      </c>
    </row>
    <row r="1331" spans="1:20" x14ac:dyDescent="0.3">
      <c r="A1331" s="20" t="s">
        <v>1397</v>
      </c>
      <c r="B1331" s="20" t="s">
        <v>19</v>
      </c>
      <c r="C1331" s="21">
        <v>45773</v>
      </c>
      <c r="D1331" s="21">
        <v>45785</v>
      </c>
      <c r="E1331" s="21">
        <v>45785</v>
      </c>
      <c r="F1331" s="20" t="s">
        <v>64</v>
      </c>
      <c r="G1331" s="22">
        <v>168.56</v>
      </c>
      <c r="H1331" s="22">
        <v>20.2</v>
      </c>
      <c r="I1331" s="20" t="s">
        <v>45</v>
      </c>
      <c r="J1331" s="20">
        <v>5</v>
      </c>
      <c r="K1331" s="20" t="s">
        <v>46</v>
      </c>
      <c r="L1331" s="23">
        <f t="shared" si="151"/>
        <v>45748</v>
      </c>
      <c r="M1331" s="20">
        <f t="shared" si="152"/>
        <v>12</v>
      </c>
      <c r="N1331" s="20">
        <f t="shared" si="153"/>
        <v>0</v>
      </c>
      <c r="O1331" s="20">
        <f t="shared" si="154"/>
        <v>1</v>
      </c>
      <c r="P1331" s="22">
        <f t="shared" si="155"/>
        <v>188.76</v>
      </c>
      <c r="Q1331" s="22">
        <f>G1331*INDEX(Assumptions!$B$8:$B$16,MATCH(F1331,Assumptions!$A$8:$A$16,0))</f>
        <v>111.2496</v>
      </c>
      <c r="R1331" s="22">
        <f>H1331*Assumptions!$B$3</f>
        <v>12.12</v>
      </c>
      <c r="S1331" s="22">
        <f t="shared" si="156"/>
        <v>45.190400000000004</v>
      </c>
      <c r="T1331" s="20" t="str">
        <f t="shared" si="157"/>
        <v>8-14 days</v>
      </c>
    </row>
    <row r="1332" spans="1:20" x14ac:dyDescent="0.3">
      <c r="A1332" s="20" t="s">
        <v>1398</v>
      </c>
      <c r="B1332" s="20" t="s">
        <v>62</v>
      </c>
      <c r="C1332" s="21">
        <v>45773</v>
      </c>
      <c r="D1332" s="21">
        <v>45788</v>
      </c>
      <c r="E1332" s="21">
        <v>45795</v>
      </c>
      <c r="F1332" s="20" t="s">
        <v>53</v>
      </c>
      <c r="G1332" s="22">
        <v>76.77</v>
      </c>
      <c r="H1332" s="22">
        <v>20.73</v>
      </c>
      <c r="I1332" s="20" t="s">
        <v>45</v>
      </c>
      <c r="J1332" s="20">
        <v>4</v>
      </c>
      <c r="K1332" s="20" t="s">
        <v>46</v>
      </c>
      <c r="L1332" s="23">
        <f t="shared" si="151"/>
        <v>45748</v>
      </c>
      <c r="M1332" s="20">
        <f t="shared" si="152"/>
        <v>15</v>
      </c>
      <c r="N1332" s="20">
        <f t="shared" si="153"/>
        <v>0</v>
      </c>
      <c r="O1332" s="20">
        <f t="shared" si="154"/>
        <v>1</v>
      </c>
      <c r="P1332" s="22">
        <f t="shared" si="155"/>
        <v>97.5</v>
      </c>
      <c r="Q1332" s="22">
        <f>G1332*INDEX(Assumptions!$B$8:$B$16,MATCH(F1332,Assumptions!$A$8:$A$16,0))</f>
        <v>56.809799999999996</v>
      </c>
      <c r="R1332" s="22">
        <f>H1332*Assumptions!$B$3</f>
        <v>12.438000000000001</v>
      </c>
      <c r="S1332" s="22">
        <f t="shared" si="156"/>
        <v>7.5221999999999998</v>
      </c>
      <c r="T1332" s="20" t="str">
        <f t="shared" si="157"/>
        <v>15-21 days</v>
      </c>
    </row>
    <row r="1333" spans="1:20" x14ac:dyDescent="0.3">
      <c r="A1333" s="20" t="s">
        <v>1399</v>
      </c>
      <c r="B1333" s="20" t="s">
        <v>19</v>
      </c>
      <c r="C1333" s="21">
        <v>45773</v>
      </c>
      <c r="D1333" s="21">
        <v>45780</v>
      </c>
      <c r="E1333" s="21">
        <v>45790</v>
      </c>
      <c r="F1333" s="20" t="s">
        <v>44</v>
      </c>
      <c r="G1333" s="22">
        <v>122.3</v>
      </c>
      <c r="H1333" s="22">
        <v>15.73</v>
      </c>
      <c r="I1333" s="20" t="s">
        <v>60</v>
      </c>
      <c r="J1333" s="20">
        <v>4</v>
      </c>
      <c r="K1333" s="20" t="s">
        <v>46</v>
      </c>
      <c r="L1333" s="23">
        <f t="shared" si="151"/>
        <v>45748</v>
      </c>
      <c r="M1333" s="20">
        <f t="shared" si="152"/>
        <v>7</v>
      </c>
      <c r="N1333" s="20">
        <f t="shared" si="153"/>
        <v>0</v>
      </c>
      <c r="O1333" s="20">
        <f t="shared" si="154"/>
        <v>1</v>
      </c>
      <c r="P1333" s="22">
        <f t="shared" si="155"/>
        <v>138.03</v>
      </c>
      <c r="Q1333" s="22">
        <f>G1333*INDEX(Assumptions!$B$8:$B$16,MATCH(F1333,Assumptions!$A$8:$A$16,0))</f>
        <v>73.38</v>
      </c>
      <c r="R1333" s="22">
        <f>H1333*Assumptions!$B$3</f>
        <v>9.4380000000000006</v>
      </c>
      <c r="S1333" s="22">
        <f t="shared" si="156"/>
        <v>39.481999999999999</v>
      </c>
      <c r="T1333" s="20" t="str">
        <f t="shared" si="157"/>
        <v>0-7 days</v>
      </c>
    </row>
    <row r="1334" spans="1:20" x14ac:dyDescent="0.3">
      <c r="A1334" s="20" t="s">
        <v>1400</v>
      </c>
      <c r="B1334" s="20" t="s">
        <v>19</v>
      </c>
      <c r="C1334" s="21">
        <v>45773</v>
      </c>
      <c r="D1334" s="21">
        <v>45781</v>
      </c>
      <c r="E1334" s="21">
        <v>45791</v>
      </c>
      <c r="F1334" s="20" t="s">
        <v>53</v>
      </c>
      <c r="G1334" s="22">
        <v>101.75</v>
      </c>
      <c r="H1334" s="22">
        <v>16.79</v>
      </c>
      <c r="I1334" s="20" t="s">
        <v>45</v>
      </c>
      <c r="J1334" s="20">
        <v>5</v>
      </c>
      <c r="K1334" s="20" t="s">
        <v>46</v>
      </c>
      <c r="L1334" s="23">
        <f t="shared" si="151"/>
        <v>45748</v>
      </c>
      <c r="M1334" s="20">
        <f t="shared" si="152"/>
        <v>8</v>
      </c>
      <c r="N1334" s="20">
        <f t="shared" si="153"/>
        <v>0</v>
      </c>
      <c r="O1334" s="20">
        <f t="shared" si="154"/>
        <v>1</v>
      </c>
      <c r="P1334" s="22">
        <f t="shared" si="155"/>
        <v>118.53999999999999</v>
      </c>
      <c r="Q1334" s="22">
        <f>G1334*INDEX(Assumptions!$B$8:$B$16,MATCH(F1334,Assumptions!$A$8:$A$16,0))</f>
        <v>75.295000000000002</v>
      </c>
      <c r="R1334" s="22">
        <f>H1334*Assumptions!$B$3</f>
        <v>10.074</v>
      </c>
      <c r="S1334" s="22">
        <f t="shared" si="156"/>
        <v>16.381</v>
      </c>
      <c r="T1334" s="20" t="str">
        <f t="shared" si="157"/>
        <v>8-14 days</v>
      </c>
    </row>
    <row r="1335" spans="1:20" x14ac:dyDescent="0.3">
      <c r="A1335" s="20" t="s">
        <v>1401</v>
      </c>
      <c r="B1335" s="20" t="s">
        <v>55</v>
      </c>
      <c r="C1335" s="21">
        <v>45773</v>
      </c>
      <c r="D1335" s="21">
        <v>45803</v>
      </c>
      <c r="E1335" s="21">
        <v>45794</v>
      </c>
      <c r="F1335" s="20" t="s">
        <v>53</v>
      </c>
      <c r="G1335" s="22">
        <v>195.02</v>
      </c>
      <c r="H1335" s="22">
        <v>25.03</v>
      </c>
      <c r="I1335" s="20" t="s">
        <v>60</v>
      </c>
      <c r="J1335" s="20">
        <v>2</v>
      </c>
      <c r="K1335" s="20" t="s">
        <v>46</v>
      </c>
      <c r="L1335" s="23">
        <f t="shared" si="151"/>
        <v>45748</v>
      </c>
      <c r="M1335" s="20">
        <f t="shared" si="152"/>
        <v>30</v>
      </c>
      <c r="N1335" s="20">
        <f t="shared" si="153"/>
        <v>9</v>
      </c>
      <c r="O1335" s="20">
        <f t="shared" si="154"/>
        <v>0</v>
      </c>
      <c r="P1335" s="22">
        <f t="shared" si="155"/>
        <v>220.05</v>
      </c>
      <c r="Q1335" s="22">
        <f>G1335*INDEX(Assumptions!$B$8:$B$16,MATCH(F1335,Assumptions!$A$8:$A$16,0))</f>
        <v>144.31480000000002</v>
      </c>
      <c r="R1335" s="22">
        <f>H1335*Assumptions!$B$3</f>
        <v>15.018000000000001</v>
      </c>
      <c r="S1335" s="22">
        <f t="shared" si="156"/>
        <v>35.68719999999999</v>
      </c>
      <c r="T1335" s="20" t="str">
        <f t="shared" si="157"/>
        <v>22+ days</v>
      </c>
    </row>
    <row r="1336" spans="1:20" x14ac:dyDescent="0.3">
      <c r="A1336" s="20" t="s">
        <v>1402</v>
      </c>
      <c r="B1336" s="20" t="s">
        <v>19</v>
      </c>
      <c r="C1336" s="21">
        <v>45773</v>
      </c>
      <c r="D1336" s="21">
        <v>45785</v>
      </c>
      <c r="E1336" s="21">
        <v>45790</v>
      </c>
      <c r="F1336" s="20" t="s">
        <v>67</v>
      </c>
      <c r="G1336" s="22">
        <v>27.72</v>
      </c>
      <c r="H1336" s="22">
        <v>13.08</v>
      </c>
      <c r="I1336" s="20" t="s">
        <v>60</v>
      </c>
      <c r="J1336" s="20">
        <v>5</v>
      </c>
      <c r="K1336" s="20" t="s">
        <v>46</v>
      </c>
      <c r="L1336" s="23">
        <f t="shared" si="151"/>
        <v>45748</v>
      </c>
      <c r="M1336" s="20">
        <f t="shared" si="152"/>
        <v>12</v>
      </c>
      <c r="N1336" s="20">
        <f t="shared" si="153"/>
        <v>0</v>
      </c>
      <c r="O1336" s="20">
        <f t="shared" si="154"/>
        <v>1</v>
      </c>
      <c r="P1336" s="22">
        <f t="shared" si="155"/>
        <v>40.799999999999997</v>
      </c>
      <c r="Q1336" s="22">
        <f>G1336*INDEX(Assumptions!$B$8:$B$16,MATCH(F1336,Assumptions!$A$8:$A$16,0))</f>
        <v>17.186399999999999</v>
      </c>
      <c r="R1336" s="22">
        <f>H1336*Assumptions!$B$3</f>
        <v>7.8479999999999999</v>
      </c>
      <c r="S1336" s="22">
        <f t="shared" si="156"/>
        <v>2.6856</v>
      </c>
      <c r="T1336" s="20" t="str">
        <f t="shared" si="157"/>
        <v>8-14 days</v>
      </c>
    </row>
    <row r="1337" spans="1:20" x14ac:dyDescent="0.3">
      <c r="A1337" s="20" t="s">
        <v>1403</v>
      </c>
      <c r="B1337" s="20" t="s">
        <v>55</v>
      </c>
      <c r="C1337" s="21">
        <v>45774</v>
      </c>
      <c r="D1337" s="21">
        <v>45783</v>
      </c>
      <c r="E1337" s="21">
        <v>45799</v>
      </c>
      <c r="F1337" s="20" t="s">
        <v>79</v>
      </c>
      <c r="G1337" s="22">
        <v>208.86</v>
      </c>
      <c r="H1337" s="22">
        <v>21.38</v>
      </c>
      <c r="I1337" s="20" t="s">
        <v>45</v>
      </c>
      <c r="J1337" s="20">
        <v>5</v>
      </c>
      <c r="K1337" s="20" t="s">
        <v>46</v>
      </c>
      <c r="L1337" s="23">
        <f t="shared" si="151"/>
        <v>45748</v>
      </c>
      <c r="M1337" s="20">
        <f t="shared" si="152"/>
        <v>9</v>
      </c>
      <c r="N1337" s="20">
        <f t="shared" si="153"/>
        <v>0</v>
      </c>
      <c r="O1337" s="20">
        <f t="shared" si="154"/>
        <v>1</v>
      </c>
      <c r="P1337" s="22">
        <f t="shared" si="155"/>
        <v>230.24</v>
      </c>
      <c r="Q1337" s="22">
        <f>G1337*INDEX(Assumptions!$B$8:$B$16,MATCH(F1337,Assumptions!$A$8:$A$16,0))</f>
        <v>146.202</v>
      </c>
      <c r="R1337" s="22">
        <f>H1337*Assumptions!$B$3</f>
        <v>12.827999999999999</v>
      </c>
      <c r="S1337" s="22">
        <f t="shared" si="156"/>
        <v>49.830000000000013</v>
      </c>
      <c r="T1337" s="20" t="str">
        <f t="shared" si="157"/>
        <v>8-14 days</v>
      </c>
    </row>
    <row r="1338" spans="1:20" x14ac:dyDescent="0.3">
      <c r="A1338" s="20" t="s">
        <v>1404</v>
      </c>
      <c r="B1338" s="20" t="s">
        <v>19</v>
      </c>
      <c r="C1338" s="21">
        <v>45774</v>
      </c>
      <c r="D1338" s="21">
        <v>45781</v>
      </c>
      <c r="E1338" s="21">
        <v>45790</v>
      </c>
      <c r="F1338" s="20" t="s">
        <v>53</v>
      </c>
      <c r="G1338" s="22">
        <v>78.78</v>
      </c>
      <c r="H1338" s="22">
        <v>15.26</v>
      </c>
      <c r="I1338" s="20" t="s">
        <v>45</v>
      </c>
      <c r="J1338" s="20">
        <v>5</v>
      </c>
      <c r="K1338" s="20" t="s">
        <v>46</v>
      </c>
      <c r="L1338" s="23">
        <f t="shared" si="151"/>
        <v>45748</v>
      </c>
      <c r="M1338" s="20">
        <f t="shared" si="152"/>
        <v>7</v>
      </c>
      <c r="N1338" s="20">
        <f t="shared" si="153"/>
        <v>0</v>
      </c>
      <c r="O1338" s="20">
        <f t="shared" si="154"/>
        <v>1</v>
      </c>
      <c r="P1338" s="22">
        <f t="shared" si="155"/>
        <v>94.04</v>
      </c>
      <c r="Q1338" s="22">
        <f>G1338*INDEX(Assumptions!$B$8:$B$16,MATCH(F1338,Assumptions!$A$8:$A$16,0))</f>
        <v>58.297200000000004</v>
      </c>
      <c r="R1338" s="22">
        <f>H1338*Assumptions!$B$3</f>
        <v>9.1559999999999988</v>
      </c>
      <c r="S1338" s="22">
        <f t="shared" si="156"/>
        <v>11.326799999999999</v>
      </c>
      <c r="T1338" s="20" t="str">
        <f t="shared" si="157"/>
        <v>0-7 days</v>
      </c>
    </row>
    <row r="1339" spans="1:20" x14ac:dyDescent="0.3">
      <c r="A1339" s="20" t="s">
        <v>1405</v>
      </c>
      <c r="B1339" s="20" t="s">
        <v>19</v>
      </c>
      <c r="C1339" s="21">
        <v>45774</v>
      </c>
      <c r="D1339" s="21">
        <v>45787</v>
      </c>
      <c r="E1339" s="21">
        <v>45787</v>
      </c>
      <c r="F1339" s="20" t="s">
        <v>53</v>
      </c>
      <c r="G1339" s="22">
        <v>164.78</v>
      </c>
      <c r="H1339" s="22">
        <v>21.66</v>
      </c>
      <c r="I1339" s="20" t="s">
        <v>60</v>
      </c>
      <c r="J1339" s="20">
        <v>5</v>
      </c>
      <c r="K1339" s="20" t="s">
        <v>46</v>
      </c>
      <c r="L1339" s="23">
        <f t="shared" si="151"/>
        <v>45748</v>
      </c>
      <c r="M1339" s="20">
        <f t="shared" si="152"/>
        <v>13</v>
      </c>
      <c r="N1339" s="20">
        <f t="shared" si="153"/>
        <v>0</v>
      </c>
      <c r="O1339" s="20">
        <f t="shared" si="154"/>
        <v>1</v>
      </c>
      <c r="P1339" s="22">
        <f t="shared" si="155"/>
        <v>186.44</v>
      </c>
      <c r="Q1339" s="22">
        <f>G1339*INDEX(Assumptions!$B$8:$B$16,MATCH(F1339,Assumptions!$A$8:$A$16,0))</f>
        <v>121.9372</v>
      </c>
      <c r="R1339" s="22">
        <f>H1339*Assumptions!$B$3</f>
        <v>12.996</v>
      </c>
      <c r="S1339" s="22">
        <f t="shared" si="156"/>
        <v>29.846799999999995</v>
      </c>
      <c r="T1339" s="20" t="str">
        <f t="shared" si="157"/>
        <v>8-14 days</v>
      </c>
    </row>
    <row r="1340" spans="1:20" x14ac:dyDescent="0.3">
      <c r="A1340" s="20" t="s">
        <v>1406</v>
      </c>
      <c r="B1340" s="20" t="s">
        <v>19</v>
      </c>
      <c r="C1340" s="21">
        <v>45774</v>
      </c>
      <c r="D1340" s="21">
        <v>45784</v>
      </c>
      <c r="E1340" s="21">
        <v>45787</v>
      </c>
      <c r="F1340" s="20" t="s">
        <v>49</v>
      </c>
      <c r="G1340" s="22">
        <v>77.709999999999994</v>
      </c>
      <c r="H1340" s="22">
        <v>19.739999999999998</v>
      </c>
      <c r="I1340" s="20" t="s">
        <v>45</v>
      </c>
      <c r="J1340" s="20">
        <v>4</v>
      </c>
      <c r="K1340" s="20" t="s">
        <v>46</v>
      </c>
      <c r="L1340" s="23">
        <f t="shared" si="151"/>
        <v>45748</v>
      </c>
      <c r="M1340" s="20">
        <f t="shared" si="152"/>
        <v>10</v>
      </c>
      <c r="N1340" s="20">
        <f t="shared" si="153"/>
        <v>0</v>
      </c>
      <c r="O1340" s="20">
        <f t="shared" si="154"/>
        <v>1</v>
      </c>
      <c r="P1340" s="22">
        <f t="shared" si="155"/>
        <v>97.449999999999989</v>
      </c>
      <c r="Q1340" s="22">
        <f>G1340*INDEX(Assumptions!$B$8:$B$16,MATCH(F1340,Assumptions!$A$8:$A$16,0))</f>
        <v>45.071799999999996</v>
      </c>
      <c r="R1340" s="22">
        <f>H1340*Assumptions!$B$3</f>
        <v>11.843999999999999</v>
      </c>
      <c r="S1340" s="22">
        <f t="shared" si="156"/>
        <v>20.794199999999996</v>
      </c>
      <c r="T1340" s="20" t="str">
        <f t="shared" si="157"/>
        <v>8-14 days</v>
      </c>
    </row>
    <row r="1341" spans="1:20" x14ac:dyDescent="0.3">
      <c r="A1341" s="20" t="s">
        <v>1407</v>
      </c>
      <c r="B1341" s="20" t="s">
        <v>48</v>
      </c>
      <c r="C1341" s="21">
        <v>45774</v>
      </c>
      <c r="D1341" s="21">
        <v>45786</v>
      </c>
      <c r="E1341" s="21">
        <v>45795</v>
      </c>
      <c r="F1341" s="20" t="s">
        <v>67</v>
      </c>
      <c r="G1341" s="22">
        <v>104.66</v>
      </c>
      <c r="H1341" s="22">
        <v>17.579999999999998</v>
      </c>
      <c r="I1341" s="20" t="s">
        <v>45</v>
      </c>
      <c r="J1341" s="20">
        <v>5</v>
      </c>
      <c r="K1341" s="20" t="s">
        <v>46</v>
      </c>
      <c r="L1341" s="23">
        <f t="shared" si="151"/>
        <v>45748</v>
      </c>
      <c r="M1341" s="20">
        <f t="shared" si="152"/>
        <v>12</v>
      </c>
      <c r="N1341" s="20">
        <f t="shared" si="153"/>
        <v>0</v>
      </c>
      <c r="O1341" s="20">
        <f t="shared" si="154"/>
        <v>1</v>
      </c>
      <c r="P1341" s="22">
        <f t="shared" si="155"/>
        <v>122.24</v>
      </c>
      <c r="Q1341" s="22">
        <f>G1341*INDEX(Assumptions!$B$8:$B$16,MATCH(F1341,Assumptions!$A$8:$A$16,0))</f>
        <v>64.889200000000002</v>
      </c>
      <c r="R1341" s="22">
        <f>H1341*Assumptions!$B$3</f>
        <v>10.547999999999998</v>
      </c>
      <c r="S1341" s="22">
        <f t="shared" si="156"/>
        <v>29.222799999999996</v>
      </c>
      <c r="T1341" s="20" t="str">
        <f t="shared" si="157"/>
        <v>8-14 days</v>
      </c>
    </row>
    <row r="1342" spans="1:20" x14ac:dyDescent="0.3">
      <c r="A1342" s="20" t="s">
        <v>1408</v>
      </c>
      <c r="B1342" s="20" t="s">
        <v>19</v>
      </c>
      <c r="C1342" s="21">
        <v>45775</v>
      </c>
      <c r="D1342" s="21">
        <v>45786</v>
      </c>
      <c r="E1342" s="21">
        <v>45790</v>
      </c>
      <c r="F1342" s="20" t="s">
        <v>67</v>
      </c>
      <c r="G1342" s="22">
        <v>142.54</v>
      </c>
      <c r="H1342" s="22">
        <v>15.18</v>
      </c>
      <c r="I1342" s="20" t="s">
        <v>104</v>
      </c>
      <c r="J1342" s="20">
        <v>5</v>
      </c>
      <c r="K1342" s="20" t="s">
        <v>46</v>
      </c>
      <c r="L1342" s="23">
        <f t="shared" si="151"/>
        <v>45748</v>
      </c>
      <c r="M1342" s="20">
        <f t="shared" si="152"/>
        <v>11</v>
      </c>
      <c r="N1342" s="20">
        <f t="shared" si="153"/>
        <v>0</v>
      </c>
      <c r="O1342" s="20">
        <f t="shared" si="154"/>
        <v>1</v>
      </c>
      <c r="P1342" s="22">
        <f t="shared" si="155"/>
        <v>157.72</v>
      </c>
      <c r="Q1342" s="22">
        <f>G1342*INDEX(Assumptions!$B$8:$B$16,MATCH(F1342,Assumptions!$A$8:$A$16,0))</f>
        <v>88.374799999999993</v>
      </c>
      <c r="R1342" s="22">
        <f>H1342*Assumptions!$B$3</f>
        <v>9.1079999999999988</v>
      </c>
      <c r="S1342" s="22">
        <f t="shared" si="156"/>
        <v>45.057200000000002</v>
      </c>
      <c r="T1342" s="20" t="str">
        <f t="shared" si="157"/>
        <v>8-14 days</v>
      </c>
    </row>
    <row r="1343" spans="1:20" x14ac:dyDescent="0.3">
      <c r="A1343" s="20" t="s">
        <v>1409</v>
      </c>
      <c r="B1343" s="20" t="s">
        <v>103</v>
      </c>
      <c r="C1343" s="21">
        <v>45775</v>
      </c>
      <c r="D1343" s="21">
        <v>45783</v>
      </c>
      <c r="E1343" s="21">
        <v>45795</v>
      </c>
      <c r="F1343" s="20" t="s">
        <v>44</v>
      </c>
      <c r="G1343" s="22">
        <v>64.77</v>
      </c>
      <c r="H1343" s="22">
        <v>17.2</v>
      </c>
      <c r="I1343" s="20" t="s">
        <v>45</v>
      </c>
      <c r="J1343" s="20">
        <v>4</v>
      </c>
      <c r="K1343" s="20" t="s">
        <v>46</v>
      </c>
      <c r="L1343" s="23">
        <f t="shared" si="151"/>
        <v>45748</v>
      </c>
      <c r="M1343" s="20">
        <f t="shared" si="152"/>
        <v>8</v>
      </c>
      <c r="N1343" s="20">
        <f t="shared" si="153"/>
        <v>0</v>
      </c>
      <c r="O1343" s="20">
        <f t="shared" si="154"/>
        <v>1</v>
      </c>
      <c r="P1343" s="22">
        <f t="shared" si="155"/>
        <v>81.97</v>
      </c>
      <c r="Q1343" s="22">
        <f>G1343*INDEX(Assumptions!$B$8:$B$16,MATCH(F1343,Assumptions!$A$8:$A$16,0))</f>
        <v>38.861999999999995</v>
      </c>
      <c r="R1343" s="22">
        <f>H1343*Assumptions!$B$3</f>
        <v>10.319999999999999</v>
      </c>
      <c r="S1343" s="22">
        <f t="shared" si="156"/>
        <v>15.588000000000003</v>
      </c>
      <c r="T1343" s="20" t="str">
        <f t="shared" si="157"/>
        <v>8-14 days</v>
      </c>
    </row>
    <row r="1344" spans="1:20" x14ac:dyDescent="0.3">
      <c r="A1344" s="20" t="s">
        <v>1410</v>
      </c>
      <c r="B1344" s="20" t="s">
        <v>134</v>
      </c>
      <c r="C1344" s="21">
        <v>45776</v>
      </c>
      <c r="D1344" s="21">
        <v>45796</v>
      </c>
      <c r="E1344" s="21">
        <v>45798</v>
      </c>
      <c r="F1344" s="20" t="s">
        <v>67</v>
      </c>
      <c r="G1344" s="22">
        <v>127.47</v>
      </c>
      <c r="H1344" s="22">
        <v>27.22</v>
      </c>
      <c r="I1344" s="20" t="s">
        <v>45</v>
      </c>
      <c r="J1344" s="20">
        <v>5</v>
      </c>
      <c r="K1344" s="20" t="s">
        <v>46</v>
      </c>
      <c r="L1344" s="23">
        <f t="shared" si="151"/>
        <v>45748</v>
      </c>
      <c r="M1344" s="20">
        <f t="shared" si="152"/>
        <v>20</v>
      </c>
      <c r="N1344" s="20">
        <f t="shared" si="153"/>
        <v>0</v>
      </c>
      <c r="O1344" s="20">
        <f t="shared" si="154"/>
        <v>1</v>
      </c>
      <c r="P1344" s="22">
        <f t="shared" si="155"/>
        <v>154.69</v>
      </c>
      <c r="Q1344" s="22">
        <f>G1344*INDEX(Assumptions!$B$8:$B$16,MATCH(F1344,Assumptions!$A$8:$A$16,0))</f>
        <v>79.031400000000005</v>
      </c>
      <c r="R1344" s="22">
        <f>H1344*Assumptions!$B$3</f>
        <v>16.331999999999997</v>
      </c>
      <c r="S1344" s="22">
        <f t="shared" si="156"/>
        <v>32.1066</v>
      </c>
      <c r="T1344" s="20" t="str">
        <f t="shared" si="157"/>
        <v>15-21 days</v>
      </c>
    </row>
    <row r="1345" spans="1:20" x14ac:dyDescent="0.3">
      <c r="A1345" s="20" t="s">
        <v>1411</v>
      </c>
      <c r="B1345" s="20" t="s">
        <v>62</v>
      </c>
      <c r="C1345" s="21">
        <v>45776</v>
      </c>
      <c r="D1345" s="21">
        <v>45784</v>
      </c>
      <c r="E1345" s="21">
        <v>45795</v>
      </c>
      <c r="F1345" s="20" t="s">
        <v>64</v>
      </c>
      <c r="G1345" s="22">
        <v>107.84</v>
      </c>
      <c r="H1345" s="22">
        <v>27.73</v>
      </c>
      <c r="I1345" s="20" t="s">
        <v>45</v>
      </c>
      <c r="J1345" s="20">
        <v>3</v>
      </c>
      <c r="K1345" s="20" t="s">
        <v>46</v>
      </c>
      <c r="L1345" s="23">
        <f t="shared" si="151"/>
        <v>45748</v>
      </c>
      <c r="M1345" s="20">
        <f t="shared" si="152"/>
        <v>8</v>
      </c>
      <c r="N1345" s="20">
        <f t="shared" si="153"/>
        <v>0</v>
      </c>
      <c r="O1345" s="20">
        <f t="shared" si="154"/>
        <v>1</v>
      </c>
      <c r="P1345" s="22">
        <f t="shared" si="155"/>
        <v>135.57</v>
      </c>
      <c r="Q1345" s="22">
        <f>G1345*INDEX(Assumptions!$B$8:$B$16,MATCH(F1345,Assumptions!$A$8:$A$16,0))</f>
        <v>71.174400000000006</v>
      </c>
      <c r="R1345" s="22">
        <f>H1345*Assumptions!$B$3</f>
        <v>16.637999999999998</v>
      </c>
      <c r="S1345" s="22">
        <f t="shared" si="156"/>
        <v>20.0276</v>
      </c>
      <c r="T1345" s="20" t="str">
        <f t="shared" si="157"/>
        <v>8-14 days</v>
      </c>
    </row>
    <row r="1346" spans="1:20" x14ac:dyDescent="0.3">
      <c r="A1346" s="20" t="s">
        <v>1412</v>
      </c>
      <c r="B1346" s="20" t="s">
        <v>19</v>
      </c>
      <c r="C1346" s="21">
        <v>45776</v>
      </c>
      <c r="D1346" s="21">
        <v>45785</v>
      </c>
      <c r="E1346" s="21">
        <v>45790</v>
      </c>
      <c r="F1346" s="20" t="s">
        <v>44</v>
      </c>
      <c r="G1346" s="22">
        <v>127.25</v>
      </c>
      <c r="H1346" s="22">
        <v>15.12</v>
      </c>
      <c r="I1346" s="20" t="s">
        <v>45</v>
      </c>
      <c r="J1346" s="20">
        <v>4</v>
      </c>
      <c r="K1346" s="20" t="s">
        <v>46</v>
      </c>
      <c r="L1346" s="23">
        <f t="shared" ref="L1346:L1409" si="158">DATE(YEAR(C1346),MONTH(C1346),1)</f>
        <v>45748</v>
      </c>
      <c r="M1346" s="20">
        <f t="shared" ref="M1346:M1409" si="159">D1346-C1346</f>
        <v>9</v>
      </c>
      <c r="N1346" s="20">
        <f t="shared" ref="N1346:N1409" si="160">MAX(0,D1346-E1346)</f>
        <v>0</v>
      </c>
      <c r="O1346" s="20">
        <f t="shared" ref="O1346:O1409" si="161">IF(D1346&lt;=E1346,1,0)</f>
        <v>1</v>
      </c>
      <c r="P1346" s="22">
        <f t="shared" ref="P1346:P1409" si="162">G1346+H1346</f>
        <v>142.37</v>
      </c>
      <c r="Q1346" s="22">
        <f>G1346*INDEX(Assumptions!$B$8:$B$16,MATCH(F1346,Assumptions!$A$8:$A$16,0))</f>
        <v>76.349999999999994</v>
      </c>
      <c r="R1346" s="22">
        <f>H1346*Assumptions!$B$3</f>
        <v>9.0719999999999992</v>
      </c>
      <c r="S1346" s="22">
        <f t="shared" ref="S1346:S1409" si="163">G1346-Q1346-R1346</f>
        <v>41.828000000000003</v>
      </c>
      <c r="T1346" s="20" t="str">
        <f t="shared" ref="T1346:T1409" si="164">IF(M1346&lt;=7,"0-7 days",IF(M1346&lt;=14,"8-14 days",IF(M1346&lt;=21,"15-21 days","22+ days")))</f>
        <v>8-14 days</v>
      </c>
    </row>
    <row r="1347" spans="1:20" x14ac:dyDescent="0.3">
      <c r="A1347" s="20" t="s">
        <v>1413</v>
      </c>
      <c r="B1347" s="20" t="s">
        <v>156</v>
      </c>
      <c r="C1347" s="21">
        <v>45776</v>
      </c>
      <c r="D1347" s="21">
        <v>45785</v>
      </c>
      <c r="E1347" s="21">
        <v>45801</v>
      </c>
      <c r="F1347" s="20" t="s">
        <v>53</v>
      </c>
      <c r="G1347" s="22">
        <v>103.42</v>
      </c>
      <c r="H1347" s="22">
        <v>24.87</v>
      </c>
      <c r="I1347" s="20" t="s">
        <v>60</v>
      </c>
      <c r="J1347" s="20">
        <v>4</v>
      </c>
      <c r="K1347" s="20" t="s">
        <v>46</v>
      </c>
      <c r="L1347" s="23">
        <f t="shared" si="158"/>
        <v>45748</v>
      </c>
      <c r="M1347" s="20">
        <f t="shared" si="159"/>
        <v>9</v>
      </c>
      <c r="N1347" s="20">
        <f t="shared" si="160"/>
        <v>0</v>
      </c>
      <c r="O1347" s="20">
        <f t="shared" si="161"/>
        <v>1</v>
      </c>
      <c r="P1347" s="22">
        <f t="shared" si="162"/>
        <v>128.29</v>
      </c>
      <c r="Q1347" s="22">
        <f>G1347*INDEX(Assumptions!$B$8:$B$16,MATCH(F1347,Assumptions!$A$8:$A$16,0))</f>
        <v>76.530799999999999</v>
      </c>
      <c r="R1347" s="22">
        <f>H1347*Assumptions!$B$3</f>
        <v>14.922000000000001</v>
      </c>
      <c r="S1347" s="22">
        <f t="shared" si="163"/>
        <v>11.967200000000002</v>
      </c>
      <c r="T1347" s="20" t="str">
        <f t="shared" si="164"/>
        <v>8-14 days</v>
      </c>
    </row>
    <row r="1348" spans="1:20" x14ac:dyDescent="0.3">
      <c r="A1348" s="20" t="s">
        <v>1414</v>
      </c>
      <c r="B1348" s="20" t="s">
        <v>19</v>
      </c>
      <c r="C1348" s="21">
        <v>45776</v>
      </c>
      <c r="D1348" s="21">
        <v>45788</v>
      </c>
      <c r="E1348" s="21">
        <v>45791</v>
      </c>
      <c r="F1348" s="20" t="s">
        <v>64</v>
      </c>
      <c r="G1348" s="22">
        <v>133.68</v>
      </c>
      <c r="H1348" s="22">
        <v>22.24</v>
      </c>
      <c r="I1348" s="20" t="s">
        <v>60</v>
      </c>
      <c r="J1348" s="20">
        <v>4</v>
      </c>
      <c r="K1348" s="20" t="s">
        <v>46</v>
      </c>
      <c r="L1348" s="23">
        <f t="shared" si="158"/>
        <v>45748</v>
      </c>
      <c r="M1348" s="20">
        <f t="shared" si="159"/>
        <v>12</v>
      </c>
      <c r="N1348" s="20">
        <f t="shared" si="160"/>
        <v>0</v>
      </c>
      <c r="O1348" s="20">
        <f t="shared" si="161"/>
        <v>1</v>
      </c>
      <c r="P1348" s="22">
        <f t="shared" si="162"/>
        <v>155.92000000000002</v>
      </c>
      <c r="Q1348" s="22">
        <f>G1348*INDEX(Assumptions!$B$8:$B$16,MATCH(F1348,Assumptions!$A$8:$A$16,0))</f>
        <v>88.228800000000007</v>
      </c>
      <c r="R1348" s="22">
        <f>H1348*Assumptions!$B$3</f>
        <v>13.343999999999999</v>
      </c>
      <c r="S1348" s="22">
        <f t="shared" si="163"/>
        <v>32.107199999999999</v>
      </c>
      <c r="T1348" s="20" t="str">
        <f t="shared" si="164"/>
        <v>8-14 days</v>
      </c>
    </row>
    <row r="1349" spans="1:20" x14ac:dyDescent="0.3">
      <c r="A1349" s="20" t="s">
        <v>1415</v>
      </c>
      <c r="B1349" s="20" t="s">
        <v>19</v>
      </c>
      <c r="C1349" s="21">
        <v>45776</v>
      </c>
      <c r="D1349" s="21">
        <v>45781</v>
      </c>
      <c r="E1349" s="21">
        <v>45790</v>
      </c>
      <c r="F1349" s="20" t="s">
        <v>44</v>
      </c>
      <c r="G1349" s="22">
        <v>106.29</v>
      </c>
      <c r="H1349" s="22">
        <v>13.11</v>
      </c>
      <c r="I1349" s="20" t="s">
        <v>45</v>
      </c>
      <c r="J1349" s="20">
        <v>5</v>
      </c>
      <c r="K1349" s="20" t="s">
        <v>46</v>
      </c>
      <c r="L1349" s="23">
        <f t="shared" si="158"/>
        <v>45748</v>
      </c>
      <c r="M1349" s="20">
        <f t="shared" si="159"/>
        <v>5</v>
      </c>
      <c r="N1349" s="20">
        <f t="shared" si="160"/>
        <v>0</v>
      </c>
      <c r="O1349" s="20">
        <f t="shared" si="161"/>
        <v>1</v>
      </c>
      <c r="P1349" s="22">
        <f t="shared" si="162"/>
        <v>119.4</v>
      </c>
      <c r="Q1349" s="22">
        <f>G1349*INDEX(Assumptions!$B$8:$B$16,MATCH(F1349,Assumptions!$A$8:$A$16,0))</f>
        <v>63.774000000000001</v>
      </c>
      <c r="R1349" s="22">
        <f>H1349*Assumptions!$B$3</f>
        <v>7.8659999999999997</v>
      </c>
      <c r="S1349" s="22">
        <f t="shared" si="163"/>
        <v>34.650000000000006</v>
      </c>
      <c r="T1349" s="20" t="str">
        <f t="shared" si="164"/>
        <v>0-7 days</v>
      </c>
    </row>
    <row r="1350" spans="1:20" x14ac:dyDescent="0.3">
      <c r="A1350" s="20" t="s">
        <v>1416</v>
      </c>
      <c r="B1350" s="20" t="s">
        <v>55</v>
      </c>
      <c r="C1350" s="21">
        <v>45776</v>
      </c>
      <c r="D1350" s="21">
        <v>45803</v>
      </c>
      <c r="E1350" s="21">
        <v>45799</v>
      </c>
      <c r="F1350" s="20" t="s">
        <v>49</v>
      </c>
      <c r="G1350" s="22">
        <v>138.77000000000001</v>
      </c>
      <c r="H1350" s="22">
        <v>28.87</v>
      </c>
      <c r="I1350" s="20" t="s">
        <v>45</v>
      </c>
      <c r="J1350" s="20">
        <v>3</v>
      </c>
      <c r="K1350" s="20" t="s">
        <v>46</v>
      </c>
      <c r="L1350" s="23">
        <f t="shared" si="158"/>
        <v>45748</v>
      </c>
      <c r="M1350" s="20">
        <f t="shared" si="159"/>
        <v>27</v>
      </c>
      <c r="N1350" s="20">
        <f t="shared" si="160"/>
        <v>4</v>
      </c>
      <c r="O1350" s="20">
        <f t="shared" si="161"/>
        <v>0</v>
      </c>
      <c r="P1350" s="22">
        <f t="shared" si="162"/>
        <v>167.64000000000001</v>
      </c>
      <c r="Q1350" s="22">
        <f>G1350*INDEX(Assumptions!$B$8:$B$16,MATCH(F1350,Assumptions!$A$8:$A$16,0))</f>
        <v>80.486599999999996</v>
      </c>
      <c r="R1350" s="22">
        <f>H1350*Assumptions!$B$3</f>
        <v>17.321999999999999</v>
      </c>
      <c r="S1350" s="22">
        <f t="shared" si="163"/>
        <v>40.961400000000012</v>
      </c>
      <c r="T1350" s="20" t="str">
        <f t="shared" si="164"/>
        <v>22+ days</v>
      </c>
    </row>
    <row r="1351" spans="1:20" x14ac:dyDescent="0.3">
      <c r="A1351" s="20" t="s">
        <v>1417</v>
      </c>
      <c r="B1351" s="20" t="s">
        <v>48</v>
      </c>
      <c r="C1351" s="21">
        <v>45776</v>
      </c>
      <c r="D1351" s="21">
        <v>45784</v>
      </c>
      <c r="E1351" s="21">
        <v>45799</v>
      </c>
      <c r="F1351" s="20" t="s">
        <v>44</v>
      </c>
      <c r="G1351" s="22">
        <v>95.49</v>
      </c>
      <c r="H1351" s="22">
        <v>24.17</v>
      </c>
      <c r="I1351" s="20" t="s">
        <v>45</v>
      </c>
      <c r="J1351" s="20">
        <v>4</v>
      </c>
      <c r="K1351" s="20" t="s">
        <v>46</v>
      </c>
      <c r="L1351" s="23">
        <f t="shared" si="158"/>
        <v>45748</v>
      </c>
      <c r="M1351" s="20">
        <f t="shared" si="159"/>
        <v>8</v>
      </c>
      <c r="N1351" s="20">
        <f t="shared" si="160"/>
        <v>0</v>
      </c>
      <c r="O1351" s="20">
        <f t="shared" si="161"/>
        <v>1</v>
      </c>
      <c r="P1351" s="22">
        <f t="shared" si="162"/>
        <v>119.66</v>
      </c>
      <c r="Q1351" s="22">
        <f>G1351*INDEX(Assumptions!$B$8:$B$16,MATCH(F1351,Assumptions!$A$8:$A$16,0))</f>
        <v>57.293999999999997</v>
      </c>
      <c r="R1351" s="22">
        <f>H1351*Assumptions!$B$3</f>
        <v>14.502000000000001</v>
      </c>
      <c r="S1351" s="22">
        <f t="shared" si="163"/>
        <v>23.693999999999996</v>
      </c>
      <c r="T1351" s="20" t="str">
        <f t="shared" si="164"/>
        <v>8-14 days</v>
      </c>
    </row>
    <row r="1352" spans="1:20" x14ac:dyDescent="0.3">
      <c r="A1352" s="20" t="s">
        <v>1418</v>
      </c>
      <c r="B1352" s="20" t="s">
        <v>19</v>
      </c>
      <c r="C1352" s="21">
        <v>45776</v>
      </c>
      <c r="D1352" s="21">
        <v>45781</v>
      </c>
      <c r="E1352" s="21">
        <v>45790</v>
      </c>
      <c r="F1352" s="20" t="s">
        <v>49</v>
      </c>
      <c r="G1352" s="22">
        <v>86.7</v>
      </c>
      <c r="H1352" s="22">
        <v>17.850000000000001</v>
      </c>
      <c r="I1352" s="20" t="s">
        <v>45</v>
      </c>
      <c r="J1352" s="20">
        <v>5</v>
      </c>
      <c r="K1352" s="20" t="s">
        <v>46</v>
      </c>
      <c r="L1352" s="23">
        <f t="shared" si="158"/>
        <v>45748</v>
      </c>
      <c r="M1352" s="20">
        <f t="shared" si="159"/>
        <v>5</v>
      </c>
      <c r="N1352" s="20">
        <f t="shared" si="160"/>
        <v>0</v>
      </c>
      <c r="O1352" s="20">
        <f t="shared" si="161"/>
        <v>1</v>
      </c>
      <c r="P1352" s="22">
        <f t="shared" si="162"/>
        <v>104.55000000000001</v>
      </c>
      <c r="Q1352" s="22">
        <f>G1352*INDEX(Assumptions!$B$8:$B$16,MATCH(F1352,Assumptions!$A$8:$A$16,0))</f>
        <v>50.286000000000001</v>
      </c>
      <c r="R1352" s="22">
        <f>H1352*Assumptions!$B$3</f>
        <v>10.71</v>
      </c>
      <c r="S1352" s="22">
        <f t="shared" si="163"/>
        <v>25.704000000000001</v>
      </c>
      <c r="T1352" s="20" t="str">
        <f t="shared" si="164"/>
        <v>0-7 days</v>
      </c>
    </row>
    <row r="1353" spans="1:20" x14ac:dyDescent="0.3">
      <c r="A1353" s="20" t="s">
        <v>1419</v>
      </c>
      <c r="B1353" s="20" t="s">
        <v>19</v>
      </c>
      <c r="C1353" s="21">
        <v>45777</v>
      </c>
      <c r="D1353" s="21">
        <v>45782</v>
      </c>
      <c r="E1353" s="21">
        <v>45794</v>
      </c>
      <c r="F1353" s="20" t="s">
        <v>67</v>
      </c>
      <c r="G1353" s="22">
        <v>72.47</v>
      </c>
      <c r="H1353" s="22">
        <v>17.809999999999999</v>
      </c>
      <c r="I1353" s="20" t="s">
        <v>60</v>
      </c>
      <c r="J1353" s="20">
        <v>5</v>
      </c>
      <c r="K1353" s="20" t="s">
        <v>46</v>
      </c>
      <c r="L1353" s="23">
        <f t="shared" si="158"/>
        <v>45748</v>
      </c>
      <c r="M1353" s="20">
        <f t="shared" si="159"/>
        <v>5</v>
      </c>
      <c r="N1353" s="20">
        <f t="shared" si="160"/>
        <v>0</v>
      </c>
      <c r="O1353" s="20">
        <f t="shared" si="161"/>
        <v>1</v>
      </c>
      <c r="P1353" s="22">
        <f t="shared" si="162"/>
        <v>90.28</v>
      </c>
      <c r="Q1353" s="22">
        <f>G1353*INDEX(Assumptions!$B$8:$B$16,MATCH(F1353,Assumptions!$A$8:$A$16,0))</f>
        <v>44.931399999999996</v>
      </c>
      <c r="R1353" s="22">
        <f>H1353*Assumptions!$B$3</f>
        <v>10.685999999999998</v>
      </c>
      <c r="S1353" s="22">
        <f t="shared" si="163"/>
        <v>16.852600000000002</v>
      </c>
      <c r="T1353" s="20" t="str">
        <f t="shared" si="164"/>
        <v>0-7 days</v>
      </c>
    </row>
    <row r="1354" spans="1:20" x14ac:dyDescent="0.3">
      <c r="A1354" s="20" t="s">
        <v>1420</v>
      </c>
      <c r="B1354" s="20" t="s">
        <v>62</v>
      </c>
      <c r="C1354" s="21">
        <v>45777</v>
      </c>
      <c r="D1354" s="21">
        <v>45790</v>
      </c>
      <c r="E1354" s="21">
        <v>45800</v>
      </c>
      <c r="F1354" s="20" t="s">
        <v>44</v>
      </c>
      <c r="G1354" s="22">
        <v>101.04</v>
      </c>
      <c r="H1354" s="22">
        <v>21.3</v>
      </c>
      <c r="I1354" s="20" t="s">
        <v>45</v>
      </c>
      <c r="J1354" s="20">
        <v>5</v>
      </c>
      <c r="K1354" s="20" t="s">
        <v>46</v>
      </c>
      <c r="L1354" s="23">
        <f t="shared" si="158"/>
        <v>45748</v>
      </c>
      <c r="M1354" s="20">
        <f t="shared" si="159"/>
        <v>13</v>
      </c>
      <c r="N1354" s="20">
        <f t="shared" si="160"/>
        <v>0</v>
      </c>
      <c r="O1354" s="20">
        <f t="shared" si="161"/>
        <v>1</v>
      </c>
      <c r="P1354" s="22">
        <f t="shared" si="162"/>
        <v>122.34</v>
      </c>
      <c r="Q1354" s="22">
        <f>G1354*INDEX(Assumptions!$B$8:$B$16,MATCH(F1354,Assumptions!$A$8:$A$16,0))</f>
        <v>60.624000000000002</v>
      </c>
      <c r="R1354" s="22">
        <f>H1354*Assumptions!$B$3</f>
        <v>12.78</v>
      </c>
      <c r="S1354" s="22">
        <f t="shared" si="163"/>
        <v>27.636000000000003</v>
      </c>
      <c r="T1354" s="20" t="str">
        <f t="shared" si="164"/>
        <v>8-14 days</v>
      </c>
    </row>
    <row r="1355" spans="1:20" x14ac:dyDescent="0.3">
      <c r="A1355" s="20" t="s">
        <v>1421</v>
      </c>
      <c r="B1355" s="20" t="s">
        <v>134</v>
      </c>
      <c r="C1355" s="21">
        <v>45777</v>
      </c>
      <c r="D1355" s="21">
        <v>45792</v>
      </c>
      <c r="E1355" s="21">
        <v>45799</v>
      </c>
      <c r="F1355" s="20" t="s">
        <v>57</v>
      </c>
      <c r="G1355" s="22">
        <v>103.86</v>
      </c>
      <c r="H1355" s="22">
        <v>16.899999999999999</v>
      </c>
      <c r="I1355" s="20" t="s">
        <v>45</v>
      </c>
      <c r="J1355" s="20">
        <v>5</v>
      </c>
      <c r="K1355" s="20" t="s">
        <v>46</v>
      </c>
      <c r="L1355" s="23">
        <f t="shared" si="158"/>
        <v>45748</v>
      </c>
      <c r="M1355" s="20">
        <f t="shared" si="159"/>
        <v>15</v>
      </c>
      <c r="N1355" s="20">
        <f t="shared" si="160"/>
        <v>0</v>
      </c>
      <c r="O1355" s="20">
        <f t="shared" si="161"/>
        <v>1</v>
      </c>
      <c r="P1355" s="22">
        <f t="shared" si="162"/>
        <v>120.75999999999999</v>
      </c>
      <c r="Q1355" s="22">
        <f>G1355*INDEX(Assumptions!$B$8:$B$16,MATCH(F1355,Assumptions!$A$8:$A$16,0))</f>
        <v>70.624800000000008</v>
      </c>
      <c r="R1355" s="22">
        <f>H1355*Assumptions!$B$3</f>
        <v>10.139999999999999</v>
      </c>
      <c r="S1355" s="22">
        <f t="shared" si="163"/>
        <v>23.095199999999991</v>
      </c>
      <c r="T1355" s="20" t="str">
        <f t="shared" si="164"/>
        <v>15-21 days</v>
      </c>
    </row>
    <row r="1356" spans="1:20" x14ac:dyDescent="0.3">
      <c r="A1356" s="20" t="s">
        <v>1422</v>
      </c>
      <c r="B1356" s="20" t="s">
        <v>62</v>
      </c>
      <c r="C1356" s="21">
        <v>45778</v>
      </c>
      <c r="D1356" s="21">
        <v>45788</v>
      </c>
      <c r="E1356" s="21">
        <v>45797</v>
      </c>
      <c r="F1356" s="20" t="s">
        <v>64</v>
      </c>
      <c r="G1356" s="22">
        <v>99.67</v>
      </c>
      <c r="H1356" s="22">
        <v>21.13</v>
      </c>
      <c r="I1356" s="20" t="s">
        <v>45</v>
      </c>
      <c r="J1356" s="20">
        <v>5</v>
      </c>
      <c r="K1356" s="20" t="s">
        <v>46</v>
      </c>
      <c r="L1356" s="23">
        <f t="shared" si="158"/>
        <v>45778</v>
      </c>
      <c r="M1356" s="20">
        <f t="shared" si="159"/>
        <v>10</v>
      </c>
      <c r="N1356" s="20">
        <f t="shared" si="160"/>
        <v>0</v>
      </c>
      <c r="O1356" s="20">
        <f t="shared" si="161"/>
        <v>1</v>
      </c>
      <c r="P1356" s="22">
        <f t="shared" si="162"/>
        <v>120.8</v>
      </c>
      <c r="Q1356" s="22">
        <f>G1356*INDEX(Assumptions!$B$8:$B$16,MATCH(F1356,Assumptions!$A$8:$A$16,0))</f>
        <v>65.782200000000003</v>
      </c>
      <c r="R1356" s="22">
        <f>H1356*Assumptions!$B$3</f>
        <v>12.677999999999999</v>
      </c>
      <c r="S1356" s="22">
        <f t="shared" si="163"/>
        <v>21.209800000000001</v>
      </c>
      <c r="T1356" s="20" t="str">
        <f t="shared" si="164"/>
        <v>8-14 days</v>
      </c>
    </row>
    <row r="1357" spans="1:20" x14ac:dyDescent="0.3">
      <c r="A1357" s="20" t="s">
        <v>1423</v>
      </c>
      <c r="B1357" s="20" t="s">
        <v>19</v>
      </c>
      <c r="C1357" s="21">
        <v>45778</v>
      </c>
      <c r="D1357" s="21">
        <v>45785</v>
      </c>
      <c r="E1357" s="21">
        <v>45791</v>
      </c>
      <c r="F1357" s="20" t="s">
        <v>49</v>
      </c>
      <c r="G1357" s="22">
        <v>42.46</v>
      </c>
      <c r="H1357" s="22">
        <v>14.92</v>
      </c>
      <c r="I1357" s="20" t="s">
        <v>45</v>
      </c>
      <c r="J1357" s="20">
        <v>5</v>
      </c>
      <c r="K1357" s="20" t="s">
        <v>46</v>
      </c>
      <c r="L1357" s="23">
        <f t="shared" si="158"/>
        <v>45778</v>
      </c>
      <c r="M1357" s="20">
        <f t="shared" si="159"/>
        <v>7</v>
      </c>
      <c r="N1357" s="20">
        <f t="shared" si="160"/>
        <v>0</v>
      </c>
      <c r="O1357" s="20">
        <f t="shared" si="161"/>
        <v>1</v>
      </c>
      <c r="P1357" s="22">
        <f t="shared" si="162"/>
        <v>57.38</v>
      </c>
      <c r="Q1357" s="22">
        <f>G1357*INDEX(Assumptions!$B$8:$B$16,MATCH(F1357,Assumptions!$A$8:$A$16,0))</f>
        <v>24.626799999999999</v>
      </c>
      <c r="R1357" s="22">
        <f>H1357*Assumptions!$B$3</f>
        <v>8.952</v>
      </c>
      <c r="S1357" s="22">
        <f t="shared" si="163"/>
        <v>8.8812000000000015</v>
      </c>
      <c r="T1357" s="20" t="str">
        <f t="shared" si="164"/>
        <v>0-7 days</v>
      </c>
    </row>
    <row r="1358" spans="1:20" x14ac:dyDescent="0.3">
      <c r="A1358" s="20" t="s">
        <v>1424</v>
      </c>
      <c r="B1358" s="20" t="s">
        <v>62</v>
      </c>
      <c r="C1358" s="21">
        <v>45779</v>
      </c>
      <c r="D1358" s="21">
        <v>45789</v>
      </c>
      <c r="E1358" s="21">
        <v>45799</v>
      </c>
      <c r="F1358" s="20" t="s">
        <v>67</v>
      </c>
      <c r="G1358" s="22">
        <v>29.41</v>
      </c>
      <c r="H1358" s="22">
        <v>23.9</v>
      </c>
      <c r="I1358" s="20" t="s">
        <v>45</v>
      </c>
      <c r="J1358" s="20">
        <v>5</v>
      </c>
      <c r="K1358" s="20" t="s">
        <v>46</v>
      </c>
      <c r="L1358" s="23">
        <f t="shared" si="158"/>
        <v>45778</v>
      </c>
      <c r="M1358" s="20">
        <f t="shared" si="159"/>
        <v>10</v>
      </c>
      <c r="N1358" s="20">
        <f t="shared" si="160"/>
        <v>0</v>
      </c>
      <c r="O1358" s="20">
        <f t="shared" si="161"/>
        <v>1</v>
      </c>
      <c r="P1358" s="22">
        <f t="shared" si="162"/>
        <v>53.31</v>
      </c>
      <c r="Q1358" s="22">
        <f>G1358*INDEX(Assumptions!$B$8:$B$16,MATCH(F1358,Assumptions!$A$8:$A$16,0))</f>
        <v>18.234200000000001</v>
      </c>
      <c r="R1358" s="22">
        <f>H1358*Assumptions!$B$3</f>
        <v>14.339999999999998</v>
      </c>
      <c r="S1358" s="22">
        <f t="shared" si="163"/>
        <v>-3.1641999999999992</v>
      </c>
      <c r="T1358" s="20" t="str">
        <f t="shared" si="164"/>
        <v>8-14 days</v>
      </c>
    </row>
    <row r="1359" spans="1:20" x14ac:dyDescent="0.3">
      <c r="A1359" s="20" t="s">
        <v>1425</v>
      </c>
      <c r="B1359" s="20" t="s">
        <v>19</v>
      </c>
      <c r="C1359" s="21">
        <v>45779</v>
      </c>
      <c r="D1359" s="21">
        <v>45785</v>
      </c>
      <c r="E1359" s="21">
        <v>45796</v>
      </c>
      <c r="F1359" s="20" t="s">
        <v>59</v>
      </c>
      <c r="G1359" s="22">
        <v>64.77</v>
      </c>
      <c r="H1359" s="22">
        <v>17.98</v>
      </c>
      <c r="I1359" s="20" t="s">
        <v>45</v>
      </c>
      <c r="J1359" s="20">
        <v>5</v>
      </c>
      <c r="K1359" s="20" t="s">
        <v>46</v>
      </c>
      <c r="L1359" s="23">
        <f t="shared" si="158"/>
        <v>45778</v>
      </c>
      <c r="M1359" s="20">
        <f t="shared" si="159"/>
        <v>6</v>
      </c>
      <c r="N1359" s="20">
        <f t="shared" si="160"/>
        <v>0</v>
      </c>
      <c r="O1359" s="20">
        <f t="shared" si="161"/>
        <v>1</v>
      </c>
      <c r="P1359" s="22">
        <f t="shared" si="162"/>
        <v>82.75</v>
      </c>
      <c r="Q1359" s="22">
        <f>G1359*INDEX(Assumptions!$B$8:$B$16,MATCH(F1359,Assumptions!$A$8:$A$16,0))</f>
        <v>41.452799999999996</v>
      </c>
      <c r="R1359" s="22">
        <f>H1359*Assumptions!$B$3</f>
        <v>10.788</v>
      </c>
      <c r="S1359" s="22">
        <f t="shared" si="163"/>
        <v>12.529199999999999</v>
      </c>
      <c r="T1359" s="20" t="str">
        <f t="shared" si="164"/>
        <v>0-7 days</v>
      </c>
    </row>
    <row r="1360" spans="1:20" x14ac:dyDescent="0.3">
      <c r="A1360" s="20" t="s">
        <v>1426</v>
      </c>
      <c r="B1360" s="20" t="s">
        <v>19</v>
      </c>
      <c r="C1360" s="21">
        <v>45779</v>
      </c>
      <c r="D1360" s="21">
        <v>45784</v>
      </c>
      <c r="E1360" s="21">
        <v>45794</v>
      </c>
      <c r="F1360" s="20" t="s">
        <v>59</v>
      </c>
      <c r="G1360" s="22">
        <v>76.52</v>
      </c>
      <c r="H1360" s="22">
        <v>12.73</v>
      </c>
      <c r="I1360" s="20" t="s">
        <v>45</v>
      </c>
      <c r="J1360" s="20">
        <v>5</v>
      </c>
      <c r="K1360" s="20" t="s">
        <v>46</v>
      </c>
      <c r="L1360" s="23">
        <f t="shared" si="158"/>
        <v>45778</v>
      </c>
      <c r="M1360" s="20">
        <f t="shared" si="159"/>
        <v>5</v>
      </c>
      <c r="N1360" s="20">
        <f t="shared" si="160"/>
        <v>0</v>
      </c>
      <c r="O1360" s="20">
        <f t="shared" si="161"/>
        <v>1</v>
      </c>
      <c r="P1360" s="22">
        <f t="shared" si="162"/>
        <v>89.25</v>
      </c>
      <c r="Q1360" s="22">
        <f>G1360*INDEX(Assumptions!$B$8:$B$16,MATCH(F1360,Assumptions!$A$8:$A$16,0))</f>
        <v>48.972799999999999</v>
      </c>
      <c r="R1360" s="22">
        <f>H1360*Assumptions!$B$3</f>
        <v>7.6379999999999999</v>
      </c>
      <c r="S1360" s="22">
        <f t="shared" si="163"/>
        <v>19.909199999999998</v>
      </c>
      <c r="T1360" s="20" t="str">
        <f t="shared" si="164"/>
        <v>0-7 days</v>
      </c>
    </row>
    <row r="1361" spans="1:20" x14ac:dyDescent="0.3">
      <c r="A1361" s="20" t="s">
        <v>1427</v>
      </c>
      <c r="B1361" s="20" t="s">
        <v>19</v>
      </c>
      <c r="C1361" s="21">
        <v>45779</v>
      </c>
      <c r="D1361" s="21">
        <v>45785</v>
      </c>
      <c r="E1361" s="21">
        <v>45797</v>
      </c>
      <c r="F1361" s="20" t="s">
        <v>49</v>
      </c>
      <c r="G1361" s="22">
        <v>90.11</v>
      </c>
      <c r="H1361" s="22">
        <v>13.18</v>
      </c>
      <c r="I1361" s="20" t="s">
        <v>45</v>
      </c>
      <c r="J1361" s="20">
        <v>5</v>
      </c>
      <c r="K1361" s="20" t="s">
        <v>46</v>
      </c>
      <c r="L1361" s="23">
        <f t="shared" si="158"/>
        <v>45778</v>
      </c>
      <c r="M1361" s="20">
        <f t="shared" si="159"/>
        <v>6</v>
      </c>
      <c r="N1361" s="20">
        <f t="shared" si="160"/>
        <v>0</v>
      </c>
      <c r="O1361" s="20">
        <f t="shared" si="161"/>
        <v>1</v>
      </c>
      <c r="P1361" s="22">
        <f t="shared" si="162"/>
        <v>103.28999999999999</v>
      </c>
      <c r="Q1361" s="22">
        <f>G1361*INDEX(Assumptions!$B$8:$B$16,MATCH(F1361,Assumptions!$A$8:$A$16,0))</f>
        <v>52.263799999999996</v>
      </c>
      <c r="R1361" s="22">
        <f>H1361*Assumptions!$B$3</f>
        <v>7.9079999999999995</v>
      </c>
      <c r="S1361" s="22">
        <f t="shared" si="163"/>
        <v>29.938200000000002</v>
      </c>
      <c r="T1361" s="20" t="str">
        <f t="shared" si="164"/>
        <v>0-7 days</v>
      </c>
    </row>
    <row r="1362" spans="1:20" x14ac:dyDescent="0.3">
      <c r="A1362" s="20" t="s">
        <v>1428</v>
      </c>
      <c r="B1362" s="20" t="s">
        <v>62</v>
      </c>
      <c r="C1362" s="21">
        <v>45779</v>
      </c>
      <c r="D1362" s="21">
        <v>45796</v>
      </c>
      <c r="E1362" s="21">
        <v>45797</v>
      </c>
      <c r="F1362" s="20" t="s">
        <v>111</v>
      </c>
      <c r="G1362" s="22">
        <v>118.6</v>
      </c>
      <c r="H1362" s="22">
        <v>24.44</v>
      </c>
      <c r="I1362" s="20" t="s">
        <v>45</v>
      </c>
      <c r="J1362" s="20">
        <v>4</v>
      </c>
      <c r="K1362" s="20" t="s">
        <v>46</v>
      </c>
      <c r="L1362" s="23">
        <f t="shared" si="158"/>
        <v>45778</v>
      </c>
      <c r="M1362" s="20">
        <f t="shared" si="159"/>
        <v>17</v>
      </c>
      <c r="N1362" s="20">
        <f t="shared" si="160"/>
        <v>0</v>
      </c>
      <c r="O1362" s="20">
        <f t="shared" si="161"/>
        <v>1</v>
      </c>
      <c r="P1362" s="22">
        <f t="shared" si="162"/>
        <v>143.04</v>
      </c>
      <c r="Q1362" s="22">
        <f>G1362*INDEX(Assumptions!$B$8:$B$16,MATCH(F1362,Assumptions!$A$8:$A$16,0))</f>
        <v>74.718000000000004</v>
      </c>
      <c r="R1362" s="22">
        <f>H1362*Assumptions!$B$3</f>
        <v>14.664</v>
      </c>
      <c r="S1362" s="22">
        <f t="shared" si="163"/>
        <v>29.217999999999989</v>
      </c>
      <c r="T1362" s="20" t="str">
        <f t="shared" si="164"/>
        <v>15-21 days</v>
      </c>
    </row>
    <row r="1363" spans="1:20" x14ac:dyDescent="0.3">
      <c r="A1363" s="20" t="s">
        <v>1429</v>
      </c>
      <c r="B1363" s="20" t="s">
        <v>48</v>
      </c>
      <c r="C1363" s="21">
        <v>45780</v>
      </c>
      <c r="D1363" s="21">
        <v>45789</v>
      </c>
      <c r="E1363" s="21">
        <v>45797</v>
      </c>
      <c r="F1363" s="20" t="s">
        <v>57</v>
      </c>
      <c r="G1363" s="22">
        <v>155.72999999999999</v>
      </c>
      <c r="H1363" s="22">
        <v>23.1</v>
      </c>
      <c r="I1363" s="20" t="s">
        <v>45</v>
      </c>
      <c r="J1363" s="20">
        <v>5</v>
      </c>
      <c r="K1363" s="20" t="s">
        <v>46</v>
      </c>
      <c r="L1363" s="23">
        <f t="shared" si="158"/>
        <v>45778</v>
      </c>
      <c r="M1363" s="20">
        <f t="shared" si="159"/>
        <v>9</v>
      </c>
      <c r="N1363" s="20">
        <f t="shared" si="160"/>
        <v>0</v>
      </c>
      <c r="O1363" s="20">
        <f t="shared" si="161"/>
        <v>1</v>
      </c>
      <c r="P1363" s="22">
        <f t="shared" si="162"/>
        <v>178.82999999999998</v>
      </c>
      <c r="Q1363" s="22">
        <f>G1363*INDEX(Assumptions!$B$8:$B$16,MATCH(F1363,Assumptions!$A$8:$A$16,0))</f>
        <v>105.8964</v>
      </c>
      <c r="R1363" s="22">
        <f>H1363*Assumptions!$B$3</f>
        <v>13.860000000000001</v>
      </c>
      <c r="S1363" s="22">
        <f t="shared" si="163"/>
        <v>35.97359999999999</v>
      </c>
      <c r="T1363" s="20" t="str">
        <f t="shared" si="164"/>
        <v>8-14 days</v>
      </c>
    </row>
    <row r="1364" spans="1:20" x14ac:dyDescent="0.3">
      <c r="A1364" s="20" t="s">
        <v>1430</v>
      </c>
      <c r="B1364" s="20" t="s">
        <v>19</v>
      </c>
      <c r="C1364" s="21">
        <v>45780</v>
      </c>
      <c r="D1364" s="21">
        <v>45785</v>
      </c>
      <c r="E1364" s="21">
        <v>45798</v>
      </c>
      <c r="F1364" s="20" t="s">
        <v>53</v>
      </c>
      <c r="G1364" s="22">
        <v>300.64999999999998</v>
      </c>
      <c r="H1364" s="22">
        <v>24.15</v>
      </c>
      <c r="I1364" s="20" t="s">
        <v>60</v>
      </c>
      <c r="J1364" s="20">
        <v>4</v>
      </c>
      <c r="K1364" s="20" t="s">
        <v>46</v>
      </c>
      <c r="L1364" s="23">
        <f t="shared" si="158"/>
        <v>45778</v>
      </c>
      <c r="M1364" s="20">
        <f t="shared" si="159"/>
        <v>5</v>
      </c>
      <c r="N1364" s="20">
        <f t="shared" si="160"/>
        <v>0</v>
      </c>
      <c r="O1364" s="20">
        <f t="shared" si="161"/>
        <v>1</v>
      </c>
      <c r="P1364" s="22">
        <f t="shared" si="162"/>
        <v>324.79999999999995</v>
      </c>
      <c r="Q1364" s="22">
        <f>G1364*INDEX(Assumptions!$B$8:$B$16,MATCH(F1364,Assumptions!$A$8:$A$16,0))</f>
        <v>222.48099999999999</v>
      </c>
      <c r="R1364" s="22">
        <f>H1364*Assumptions!$B$3</f>
        <v>14.489999999999998</v>
      </c>
      <c r="S1364" s="22">
        <f t="shared" si="163"/>
        <v>63.678999999999988</v>
      </c>
      <c r="T1364" s="20" t="str">
        <f t="shared" si="164"/>
        <v>0-7 days</v>
      </c>
    </row>
    <row r="1365" spans="1:20" x14ac:dyDescent="0.3">
      <c r="A1365" s="20" t="s">
        <v>1431</v>
      </c>
      <c r="B1365" s="20" t="s">
        <v>19</v>
      </c>
      <c r="C1365" s="21">
        <v>45780</v>
      </c>
      <c r="D1365" s="21">
        <v>45790</v>
      </c>
      <c r="E1365" s="21">
        <v>45796</v>
      </c>
      <c r="F1365" s="20" t="s">
        <v>111</v>
      </c>
      <c r="G1365" s="22">
        <v>79.83</v>
      </c>
      <c r="H1365" s="22">
        <v>13.98</v>
      </c>
      <c r="I1365" s="20" t="s">
        <v>60</v>
      </c>
      <c r="J1365" s="20">
        <v>4</v>
      </c>
      <c r="K1365" s="20" t="s">
        <v>46</v>
      </c>
      <c r="L1365" s="23">
        <f t="shared" si="158"/>
        <v>45778</v>
      </c>
      <c r="M1365" s="20">
        <f t="shared" si="159"/>
        <v>10</v>
      </c>
      <c r="N1365" s="20">
        <f t="shared" si="160"/>
        <v>0</v>
      </c>
      <c r="O1365" s="20">
        <f t="shared" si="161"/>
        <v>1</v>
      </c>
      <c r="P1365" s="22">
        <f t="shared" si="162"/>
        <v>93.81</v>
      </c>
      <c r="Q1365" s="22">
        <f>G1365*INDEX(Assumptions!$B$8:$B$16,MATCH(F1365,Assumptions!$A$8:$A$16,0))</f>
        <v>50.292899999999996</v>
      </c>
      <c r="R1365" s="22">
        <f>H1365*Assumptions!$B$3</f>
        <v>8.3879999999999999</v>
      </c>
      <c r="S1365" s="22">
        <f t="shared" si="163"/>
        <v>21.149100000000004</v>
      </c>
      <c r="T1365" s="20" t="str">
        <f t="shared" si="164"/>
        <v>8-14 days</v>
      </c>
    </row>
    <row r="1366" spans="1:20" x14ac:dyDescent="0.3">
      <c r="A1366" s="20" t="s">
        <v>1432</v>
      </c>
      <c r="B1366" s="20" t="s">
        <v>19</v>
      </c>
      <c r="C1366" s="21">
        <v>45780</v>
      </c>
      <c r="D1366" s="21">
        <v>45794</v>
      </c>
      <c r="E1366" s="21">
        <v>45792</v>
      </c>
      <c r="F1366" s="20" t="s">
        <v>49</v>
      </c>
      <c r="G1366" s="22">
        <v>106.59</v>
      </c>
      <c r="H1366" s="22">
        <v>17.100000000000001</v>
      </c>
      <c r="I1366" s="20" t="s">
        <v>104</v>
      </c>
      <c r="J1366" s="20">
        <v>3</v>
      </c>
      <c r="K1366" s="20" t="s">
        <v>46</v>
      </c>
      <c r="L1366" s="23">
        <f t="shared" si="158"/>
        <v>45778</v>
      </c>
      <c r="M1366" s="20">
        <f t="shared" si="159"/>
        <v>14</v>
      </c>
      <c r="N1366" s="20">
        <f t="shared" si="160"/>
        <v>2</v>
      </c>
      <c r="O1366" s="20">
        <f t="shared" si="161"/>
        <v>0</v>
      </c>
      <c r="P1366" s="22">
        <f t="shared" si="162"/>
        <v>123.69</v>
      </c>
      <c r="Q1366" s="22">
        <f>G1366*INDEX(Assumptions!$B$8:$B$16,MATCH(F1366,Assumptions!$A$8:$A$16,0))</f>
        <v>61.822199999999995</v>
      </c>
      <c r="R1366" s="22">
        <f>H1366*Assumptions!$B$3</f>
        <v>10.26</v>
      </c>
      <c r="S1366" s="22">
        <f t="shared" si="163"/>
        <v>34.50780000000001</v>
      </c>
      <c r="T1366" s="20" t="str">
        <f t="shared" si="164"/>
        <v>8-14 days</v>
      </c>
    </row>
    <row r="1367" spans="1:20" x14ac:dyDescent="0.3">
      <c r="A1367" s="20" t="s">
        <v>1433</v>
      </c>
      <c r="B1367" s="20" t="s">
        <v>52</v>
      </c>
      <c r="C1367" s="21">
        <v>45780</v>
      </c>
      <c r="D1367" s="21">
        <v>45812</v>
      </c>
      <c r="E1367" s="21">
        <v>45801</v>
      </c>
      <c r="F1367" s="20" t="s">
        <v>53</v>
      </c>
      <c r="G1367" s="22">
        <v>68.42</v>
      </c>
      <c r="H1367" s="22">
        <v>27.05</v>
      </c>
      <c r="I1367" s="20" t="s">
        <v>45</v>
      </c>
      <c r="J1367" s="20">
        <v>2</v>
      </c>
      <c r="K1367" s="20" t="s">
        <v>46</v>
      </c>
      <c r="L1367" s="23">
        <f t="shared" si="158"/>
        <v>45778</v>
      </c>
      <c r="M1367" s="20">
        <f t="shared" si="159"/>
        <v>32</v>
      </c>
      <c r="N1367" s="20">
        <f t="shared" si="160"/>
        <v>11</v>
      </c>
      <c r="O1367" s="20">
        <f t="shared" si="161"/>
        <v>0</v>
      </c>
      <c r="P1367" s="22">
        <f t="shared" si="162"/>
        <v>95.47</v>
      </c>
      <c r="Q1367" s="22">
        <f>G1367*INDEX(Assumptions!$B$8:$B$16,MATCH(F1367,Assumptions!$A$8:$A$16,0))</f>
        <v>50.630800000000001</v>
      </c>
      <c r="R1367" s="22">
        <f>H1367*Assumptions!$B$3</f>
        <v>16.23</v>
      </c>
      <c r="S1367" s="22">
        <f t="shared" si="163"/>
        <v>1.5592000000000006</v>
      </c>
      <c r="T1367" s="20" t="str">
        <f t="shared" si="164"/>
        <v>22+ days</v>
      </c>
    </row>
    <row r="1368" spans="1:20" x14ac:dyDescent="0.3">
      <c r="A1368" s="20" t="s">
        <v>1434</v>
      </c>
      <c r="B1368" s="20" t="s">
        <v>19</v>
      </c>
      <c r="C1368" s="21">
        <v>45781</v>
      </c>
      <c r="D1368" s="21">
        <v>45786</v>
      </c>
      <c r="E1368" s="21">
        <v>45796</v>
      </c>
      <c r="F1368" s="20" t="s">
        <v>111</v>
      </c>
      <c r="G1368" s="22">
        <v>197.52</v>
      </c>
      <c r="H1368" s="22">
        <v>21.56</v>
      </c>
      <c r="I1368" s="20" t="s">
        <v>45</v>
      </c>
      <c r="J1368" s="20">
        <v>5</v>
      </c>
      <c r="K1368" s="20" t="s">
        <v>46</v>
      </c>
      <c r="L1368" s="23">
        <f t="shared" si="158"/>
        <v>45778</v>
      </c>
      <c r="M1368" s="20">
        <f t="shared" si="159"/>
        <v>5</v>
      </c>
      <c r="N1368" s="20">
        <f t="shared" si="160"/>
        <v>0</v>
      </c>
      <c r="O1368" s="20">
        <f t="shared" si="161"/>
        <v>1</v>
      </c>
      <c r="P1368" s="22">
        <f t="shared" si="162"/>
        <v>219.08</v>
      </c>
      <c r="Q1368" s="22">
        <f>G1368*INDEX(Assumptions!$B$8:$B$16,MATCH(F1368,Assumptions!$A$8:$A$16,0))</f>
        <v>124.4376</v>
      </c>
      <c r="R1368" s="22">
        <f>H1368*Assumptions!$B$3</f>
        <v>12.935999999999998</v>
      </c>
      <c r="S1368" s="22">
        <f t="shared" si="163"/>
        <v>60.146400000000007</v>
      </c>
      <c r="T1368" s="20" t="str">
        <f t="shared" si="164"/>
        <v>0-7 days</v>
      </c>
    </row>
    <row r="1369" spans="1:20" x14ac:dyDescent="0.3">
      <c r="A1369" s="20" t="s">
        <v>1435</v>
      </c>
      <c r="B1369" s="20" t="s">
        <v>19</v>
      </c>
      <c r="C1369" s="21">
        <v>45781</v>
      </c>
      <c r="D1369" s="21">
        <v>45787</v>
      </c>
      <c r="E1369" s="21">
        <v>45797</v>
      </c>
      <c r="F1369" s="20" t="s">
        <v>111</v>
      </c>
      <c r="G1369" s="22">
        <v>65.52</v>
      </c>
      <c r="H1369" s="22">
        <v>16.27</v>
      </c>
      <c r="I1369" s="20" t="s">
        <v>60</v>
      </c>
      <c r="J1369" s="20">
        <v>5</v>
      </c>
      <c r="K1369" s="20" t="s">
        <v>46</v>
      </c>
      <c r="L1369" s="23">
        <f t="shared" si="158"/>
        <v>45778</v>
      </c>
      <c r="M1369" s="20">
        <f t="shared" si="159"/>
        <v>6</v>
      </c>
      <c r="N1369" s="20">
        <f t="shared" si="160"/>
        <v>0</v>
      </c>
      <c r="O1369" s="20">
        <f t="shared" si="161"/>
        <v>1</v>
      </c>
      <c r="P1369" s="22">
        <f t="shared" si="162"/>
        <v>81.789999999999992</v>
      </c>
      <c r="Q1369" s="22">
        <f>G1369*INDEX(Assumptions!$B$8:$B$16,MATCH(F1369,Assumptions!$A$8:$A$16,0))</f>
        <v>41.2776</v>
      </c>
      <c r="R1369" s="22">
        <f>H1369*Assumptions!$B$3</f>
        <v>9.7619999999999987</v>
      </c>
      <c r="S1369" s="22">
        <f t="shared" si="163"/>
        <v>14.480399999999998</v>
      </c>
      <c r="T1369" s="20" t="str">
        <f t="shared" si="164"/>
        <v>0-7 days</v>
      </c>
    </row>
    <row r="1370" spans="1:20" x14ac:dyDescent="0.3">
      <c r="A1370" s="20" t="s">
        <v>1436</v>
      </c>
      <c r="B1370" s="20" t="s">
        <v>55</v>
      </c>
      <c r="C1370" s="21">
        <v>45781</v>
      </c>
      <c r="D1370" s="21">
        <v>45795</v>
      </c>
      <c r="E1370" s="21">
        <v>45805</v>
      </c>
      <c r="F1370" s="20" t="s">
        <v>67</v>
      </c>
      <c r="G1370" s="22">
        <v>230.71</v>
      </c>
      <c r="H1370" s="22">
        <v>32.44</v>
      </c>
      <c r="I1370" s="20" t="s">
        <v>45</v>
      </c>
      <c r="J1370" s="20">
        <v>4</v>
      </c>
      <c r="K1370" s="20" t="s">
        <v>46</v>
      </c>
      <c r="L1370" s="23">
        <f t="shared" si="158"/>
        <v>45778</v>
      </c>
      <c r="M1370" s="20">
        <f t="shared" si="159"/>
        <v>14</v>
      </c>
      <c r="N1370" s="20">
        <f t="shared" si="160"/>
        <v>0</v>
      </c>
      <c r="O1370" s="20">
        <f t="shared" si="161"/>
        <v>1</v>
      </c>
      <c r="P1370" s="22">
        <f t="shared" si="162"/>
        <v>263.14999999999998</v>
      </c>
      <c r="Q1370" s="22">
        <f>G1370*INDEX(Assumptions!$B$8:$B$16,MATCH(F1370,Assumptions!$A$8:$A$16,0))</f>
        <v>143.0402</v>
      </c>
      <c r="R1370" s="22">
        <f>H1370*Assumptions!$B$3</f>
        <v>19.463999999999999</v>
      </c>
      <c r="S1370" s="22">
        <f t="shared" si="163"/>
        <v>68.205800000000011</v>
      </c>
      <c r="T1370" s="20" t="str">
        <f t="shared" si="164"/>
        <v>8-14 days</v>
      </c>
    </row>
    <row r="1371" spans="1:20" x14ac:dyDescent="0.3">
      <c r="A1371" s="20" t="s">
        <v>1437</v>
      </c>
      <c r="B1371" s="20" t="s">
        <v>93</v>
      </c>
      <c r="C1371" s="21">
        <v>45781</v>
      </c>
      <c r="D1371" s="21">
        <v>45795</v>
      </c>
      <c r="E1371" s="21">
        <v>45811</v>
      </c>
      <c r="F1371" s="20" t="s">
        <v>49</v>
      </c>
      <c r="G1371" s="22">
        <v>54.8</v>
      </c>
      <c r="H1371" s="22">
        <v>29.53</v>
      </c>
      <c r="I1371" s="20" t="s">
        <v>60</v>
      </c>
      <c r="J1371" s="20">
        <v>4</v>
      </c>
      <c r="K1371" s="20" t="s">
        <v>46</v>
      </c>
      <c r="L1371" s="23">
        <f t="shared" si="158"/>
        <v>45778</v>
      </c>
      <c r="M1371" s="20">
        <f t="shared" si="159"/>
        <v>14</v>
      </c>
      <c r="N1371" s="20">
        <f t="shared" si="160"/>
        <v>0</v>
      </c>
      <c r="O1371" s="20">
        <f t="shared" si="161"/>
        <v>1</v>
      </c>
      <c r="P1371" s="22">
        <f t="shared" si="162"/>
        <v>84.33</v>
      </c>
      <c r="Q1371" s="22">
        <f>G1371*INDEX(Assumptions!$B$8:$B$16,MATCH(F1371,Assumptions!$A$8:$A$16,0))</f>
        <v>31.783999999999995</v>
      </c>
      <c r="R1371" s="22">
        <f>H1371*Assumptions!$B$3</f>
        <v>17.718</v>
      </c>
      <c r="S1371" s="22">
        <f t="shared" si="163"/>
        <v>5.2980000000000018</v>
      </c>
      <c r="T1371" s="20" t="str">
        <f t="shared" si="164"/>
        <v>8-14 days</v>
      </c>
    </row>
    <row r="1372" spans="1:20" x14ac:dyDescent="0.3">
      <c r="A1372" s="20" t="s">
        <v>1438</v>
      </c>
      <c r="B1372" s="20" t="s">
        <v>48</v>
      </c>
      <c r="C1372" s="21">
        <v>45781</v>
      </c>
      <c r="D1372" s="21">
        <v>45790</v>
      </c>
      <c r="E1372" s="21">
        <v>45801</v>
      </c>
      <c r="F1372" s="20" t="s">
        <v>57</v>
      </c>
      <c r="G1372" s="22">
        <v>68.290000000000006</v>
      </c>
      <c r="H1372" s="22">
        <v>27.75</v>
      </c>
      <c r="I1372" s="20" t="s">
        <v>45</v>
      </c>
      <c r="J1372" s="20">
        <v>5</v>
      </c>
      <c r="K1372" s="20" t="s">
        <v>46</v>
      </c>
      <c r="L1372" s="23">
        <f t="shared" si="158"/>
        <v>45778</v>
      </c>
      <c r="M1372" s="20">
        <f t="shared" si="159"/>
        <v>9</v>
      </c>
      <c r="N1372" s="20">
        <f t="shared" si="160"/>
        <v>0</v>
      </c>
      <c r="O1372" s="20">
        <f t="shared" si="161"/>
        <v>1</v>
      </c>
      <c r="P1372" s="22">
        <f t="shared" si="162"/>
        <v>96.04</v>
      </c>
      <c r="Q1372" s="22">
        <f>G1372*INDEX(Assumptions!$B$8:$B$16,MATCH(F1372,Assumptions!$A$8:$A$16,0))</f>
        <v>46.437200000000004</v>
      </c>
      <c r="R1372" s="22">
        <f>H1372*Assumptions!$B$3</f>
        <v>16.649999999999999</v>
      </c>
      <c r="S1372" s="22">
        <f t="shared" si="163"/>
        <v>5.2028000000000034</v>
      </c>
      <c r="T1372" s="20" t="str">
        <f t="shared" si="164"/>
        <v>8-14 days</v>
      </c>
    </row>
    <row r="1373" spans="1:20" x14ac:dyDescent="0.3">
      <c r="A1373" s="20" t="s">
        <v>1439</v>
      </c>
      <c r="B1373" s="20" t="s">
        <v>55</v>
      </c>
      <c r="C1373" s="21">
        <v>45782</v>
      </c>
      <c r="D1373" s="21">
        <v>45804</v>
      </c>
      <c r="E1373" s="21">
        <v>45807</v>
      </c>
      <c r="F1373" s="20" t="s">
        <v>49</v>
      </c>
      <c r="G1373" s="22">
        <v>72.69</v>
      </c>
      <c r="H1373" s="22">
        <v>30.35</v>
      </c>
      <c r="I1373" s="20" t="s">
        <v>45</v>
      </c>
      <c r="J1373" s="20">
        <v>4</v>
      </c>
      <c r="K1373" s="20" t="s">
        <v>46</v>
      </c>
      <c r="L1373" s="23">
        <f t="shared" si="158"/>
        <v>45778</v>
      </c>
      <c r="M1373" s="20">
        <f t="shared" si="159"/>
        <v>22</v>
      </c>
      <c r="N1373" s="20">
        <f t="shared" si="160"/>
        <v>0</v>
      </c>
      <c r="O1373" s="20">
        <f t="shared" si="161"/>
        <v>1</v>
      </c>
      <c r="P1373" s="22">
        <f t="shared" si="162"/>
        <v>103.03999999999999</v>
      </c>
      <c r="Q1373" s="22">
        <f>G1373*INDEX(Assumptions!$B$8:$B$16,MATCH(F1373,Assumptions!$A$8:$A$16,0))</f>
        <v>42.160199999999996</v>
      </c>
      <c r="R1373" s="22">
        <f>H1373*Assumptions!$B$3</f>
        <v>18.21</v>
      </c>
      <c r="S1373" s="22">
        <f t="shared" si="163"/>
        <v>12.319800000000001</v>
      </c>
      <c r="T1373" s="20" t="str">
        <f t="shared" si="164"/>
        <v>22+ days</v>
      </c>
    </row>
    <row r="1374" spans="1:20" x14ac:dyDescent="0.3">
      <c r="A1374" s="20" t="s">
        <v>1440</v>
      </c>
      <c r="B1374" s="20" t="s">
        <v>52</v>
      </c>
      <c r="C1374" s="21">
        <v>45782</v>
      </c>
      <c r="D1374" s="21">
        <v>45797</v>
      </c>
      <c r="E1374" s="21">
        <v>45807</v>
      </c>
      <c r="F1374" s="20" t="s">
        <v>59</v>
      </c>
      <c r="G1374" s="22">
        <v>65.55</v>
      </c>
      <c r="H1374" s="22">
        <v>17.07</v>
      </c>
      <c r="I1374" s="20" t="s">
        <v>45</v>
      </c>
      <c r="J1374" s="20">
        <v>5</v>
      </c>
      <c r="K1374" s="20" t="s">
        <v>46</v>
      </c>
      <c r="L1374" s="23">
        <f t="shared" si="158"/>
        <v>45778</v>
      </c>
      <c r="M1374" s="20">
        <f t="shared" si="159"/>
        <v>15</v>
      </c>
      <c r="N1374" s="20">
        <f t="shared" si="160"/>
        <v>0</v>
      </c>
      <c r="O1374" s="20">
        <f t="shared" si="161"/>
        <v>1</v>
      </c>
      <c r="P1374" s="22">
        <f t="shared" si="162"/>
        <v>82.62</v>
      </c>
      <c r="Q1374" s="22">
        <f>G1374*INDEX(Assumptions!$B$8:$B$16,MATCH(F1374,Assumptions!$A$8:$A$16,0))</f>
        <v>41.951999999999998</v>
      </c>
      <c r="R1374" s="22">
        <f>H1374*Assumptions!$B$3</f>
        <v>10.241999999999999</v>
      </c>
      <c r="S1374" s="22">
        <f t="shared" si="163"/>
        <v>13.356</v>
      </c>
      <c r="T1374" s="20" t="str">
        <f t="shared" si="164"/>
        <v>15-21 days</v>
      </c>
    </row>
    <row r="1375" spans="1:20" x14ac:dyDescent="0.3">
      <c r="A1375" s="20" t="s">
        <v>1441</v>
      </c>
      <c r="B1375" s="20" t="s">
        <v>19</v>
      </c>
      <c r="C1375" s="21">
        <v>45782</v>
      </c>
      <c r="D1375" s="21">
        <v>45789</v>
      </c>
      <c r="E1375" s="21">
        <v>45795</v>
      </c>
      <c r="F1375" s="20" t="s">
        <v>79</v>
      </c>
      <c r="G1375" s="22">
        <v>104.58</v>
      </c>
      <c r="H1375" s="22">
        <v>14.16</v>
      </c>
      <c r="I1375" s="20" t="s">
        <v>60</v>
      </c>
      <c r="J1375" s="20">
        <v>4</v>
      </c>
      <c r="K1375" s="20" t="s">
        <v>46</v>
      </c>
      <c r="L1375" s="23">
        <f t="shared" si="158"/>
        <v>45778</v>
      </c>
      <c r="M1375" s="20">
        <f t="shared" si="159"/>
        <v>7</v>
      </c>
      <c r="N1375" s="20">
        <f t="shared" si="160"/>
        <v>0</v>
      </c>
      <c r="O1375" s="20">
        <f t="shared" si="161"/>
        <v>1</v>
      </c>
      <c r="P1375" s="22">
        <f t="shared" si="162"/>
        <v>118.74</v>
      </c>
      <c r="Q1375" s="22">
        <f>G1375*INDEX(Assumptions!$B$8:$B$16,MATCH(F1375,Assumptions!$A$8:$A$16,0))</f>
        <v>73.205999999999989</v>
      </c>
      <c r="R1375" s="22">
        <f>H1375*Assumptions!$B$3</f>
        <v>8.4960000000000004</v>
      </c>
      <c r="S1375" s="22">
        <f t="shared" si="163"/>
        <v>22.878000000000007</v>
      </c>
      <c r="T1375" s="20" t="str">
        <f t="shared" si="164"/>
        <v>0-7 days</v>
      </c>
    </row>
    <row r="1376" spans="1:20" x14ac:dyDescent="0.3">
      <c r="A1376" s="20" t="s">
        <v>1442</v>
      </c>
      <c r="B1376" s="20" t="s">
        <v>134</v>
      </c>
      <c r="C1376" s="21">
        <v>45782</v>
      </c>
      <c r="D1376" s="21">
        <v>45799</v>
      </c>
      <c r="E1376" s="21">
        <v>45806</v>
      </c>
      <c r="F1376" s="20" t="s">
        <v>59</v>
      </c>
      <c r="G1376" s="22">
        <v>63.6</v>
      </c>
      <c r="H1376" s="22">
        <v>18.68</v>
      </c>
      <c r="I1376" s="20" t="s">
        <v>45</v>
      </c>
      <c r="J1376" s="20">
        <v>3</v>
      </c>
      <c r="K1376" s="20" t="s">
        <v>46</v>
      </c>
      <c r="L1376" s="23">
        <f t="shared" si="158"/>
        <v>45778</v>
      </c>
      <c r="M1376" s="20">
        <f t="shared" si="159"/>
        <v>17</v>
      </c>
      <c r="N1376" s="20">
        <f t="shared" si="160"/>
        <v>0</v>
      </c>
      <c r="O1376" s="20">
        <f t="shared" si="161"/>
        <v>1</v>
      </c>
      <c r="P1376" s="22">
        <f t="shared" si="162"/>
        <v>82.28</v>
      </c>
      <c r="Q1376" s="22">
        <f>G1376*INDEX(Assumptions!$B$8:$B$16,MATCH(F1376,Assumptions!$A$8:$A$16,0))</f>
        <v>40.704000000000001</v>
      </c>
      <c r="R1376" s="22">
        <f>H1376*Assumptions!$B$3</f>
        <v>11.208</v>
      </c>
      <c r="S1376" s="22">
        <f t="shared" si="163"/>
        <v>11.688000000000001</v>
      </c>
      <c r="T1376" s="20" t="str">
        <f t="shared" si="164"/>
        <v>15-21 days</v>
      </c>
    </row>
    <row r="1377" spans="1:20" x14ac:dyDescent="0.3">
      <c r="A1377" s="20" t="s">
        <v>1443</v>
      </c>
      <c r="B1377" s="20" t="s">
        <v>19</v>
      </c>
      <c r="C1377" s="21">
        <v>45782</v>
      </c>
      <c r="D1377" s="21">
        <v>45786</v>
      </c>
      <c r="E1377" s="21">
        <v>45798</v>
      </c>
      <c r="F1377" s="20" t="s">
        <v>53</v>
      </c>
      <c r="G1377" s="22">
        <v>83.54</v>
      </c>
      <c r="H1377" s="22">
        <v>18.05</v>
      </c>
      <c r="I1377" s="20" t="s">
        <v>45</v>
      </c>
      <c r="J1377" s="20">
        <v>5</v>
      </c>
      <c r="K1377" s="20" t="s">
        <v>46</v>
      </c>
      <c r="L1377" s="23">
        <f t="shared" si="158"/>
        <v>45778</v>
      </c>
      <c r="M1377" s="20">
        <f t="shared" si="159"/>
        <v>4</v>
      </c>
      <c r="N1377" s="20">
        <f t="shared" si="160"/>
        <v>0</v>
      </c>
      <c r="O1377" s="20">
        <f t="shared" si="161"/>
        <v>1</v>
      </c>
      <c r="P1377" s="22">
        <f t="shared" si="162"/>
        <v>101.59</v>
      </c>
      <c r="Q1377" s="22">
        <f>G1377*INDEX(Assumptions!$B$8:$B$16,MATCH(F1377,Assumptions!$A$8:$A$16,0))</f>
        <v>61.819600000000001</v>
      </c>
      <c r="R1377" s="22">
        <f>H1377*Assumptions!$B$3</f>
        <v>10.83</v>
      </c>
      <c r="S1377" s="22">
        <f t="shared" si="163"/>
        <v>10.890400000000005</v>
      </c>
      <c r="T1377" s="20" t="str">
        <f t="shared" si="164"/>
        <v>0-7 days</v>
      </c>
    </row>
    <row r="1378" spans="1:20" x14ac:dyDescent="0.3">
      <c r="A1378" s="20" t="s">
        <v>1444</v>
      </c>
      <c r="B1378" s="20" t="s">
        <v>62</v>
      </c>
      <c r="C1378" s="21">
        <v>45782</v>
      </c>
      <c r="D1378" s="21">
        <v>45789</v>
      </c>
      <c r="E1378" s="21">
        <v>45799</v>
      </c>
      <c r="F1378" s="20" t="s">
        <v>44</v>
      </c>
      <c r="G1378" s="22">
        <v>68.64</v>
      </c>
      <c r="H1378" s="22">
        <v>24.81</v>
      </c>
      <c r="I1378" s="20" t="s">
        <v>45</v>
      </c>
      <c r="J1378" s="20">
        <v>5</v>
      </c>
      <c r="K1378" s="20" t="s">
        <v>46</v>
      </c>
      <c r="L1378" s="23">
        <f t="shared" si="158"/>
        <v>45778</v>
      </c>
      <c r="M1378" s="20">
        <f t="shared" si="159"/>
        <v>7</v>
      </c>
      <c r="N1378" s="20">
        <f t="shared" si="160"/>
        <v>0</v>
      </c>
      <c r="O1378" s="20">
        <f t="shared" si="161"/>
        <v>1</v>
      </c>
      <c r="P1378" s="22">
        <f t="shared" si="162"/>
        <v>93.45</v>
      </c>
      <c r="Q1378" s="22">
        <f>G1378*INDEX(Assumptions!$B$8:$B$16,MATCH(F1378,Assumptions!$A$8:$A$16,0))</f>
        <v>41.183999999999997</v>
      </c>
      <c r="R1378" s="22">
        <f>H1378*Assumptions!$B$3</f>
        <v>14.885999999999999</v>
      </c>
      <c r="S1378" s="22">
        <f t="shared" si="163"/>
        <v>12.570000000000004</v>
      </c>
      <c r="T1378" s="20" t="str">
        <f t="shared" si="164"/>
        <v>0-7 days</v>
      </c>
    </row>
    <row r="1379" spans="1:20" x14ac:dyDescent="0.3">
      <c r="A1379" s="20" t="s">
        <v>1445</v>
      </c>
      <c r="B1379" s="20" t="s">
        <v>19</v>
      </c>
      <c r="C1379" s="21">
        <v>45782</v>
      </c>
      <c r="D1379" s="21">
        <v>45785</v>
      </c>
      <c r="E1379" s="21">
        <v>45796</v>
      </c>
      <c r="F1379" s="20" t="s">
        <v>49</v>
      </c>
      <c r="G1379" s="22">
        <v>70.819999999999993</v>
      </c>
      <c r="H1379" s="22">
        <v>12.21</v>
      </c>
      <c r="I1379" s="20" t="s">
        <v>60</v>
      </c>
      <c r="J1379" s="20">
        <v>4</v>
      </c>
      <c r="K1379" s="20" t="s">
        <v>46</v>
      </c>
      <c r="L1379" s="23">
        <f t="shared" si="158"/>
        <v>45778</v>
      </c>
      <c r="M1379" s="20">
        <f t="shared" si="159"/>
        <v>3</v>
      </c>
      <c r="N1379" s="20">
        <f t="shared" si="160"/>
        <v>0</v>
      </c>
      <c r="O1379" s="20">
        <f t="shared" si="161"/>
        <v>1</v>
      </c>
      <c r="P1379" s="22">
        <f t="shared" si="162"/>
        <v>83.03</v>
      </c>
      <c r="Q1379" s="22">
        <f>G1379*INDEX(Assumptions!$B$8:$B$16,MATCH(F1379,Assumptions!$A$8:$A$16,0))</f>
        <v>41.075599999999994</v>
      </c>
      <c r="R1379" s="22">
        <f>H1379*Assumptions!$B$3</f>
        <v>7.3260000000000005</v>
      </c>
      <c r="S1379" s="22">
        <f t="shared" si="163"/>
        <v>22.418399999999998</v>
      </c>
      <c r="T1379" s="20" t="str">
        <f t="shared" si="164"/>
        <v>0-7 days</v>
      </c>
    </row>
    <row r="1380" spans="1:20" x14ac:dyDescent="0.3">
      <c r="A1380" s="20" t="s">
        <v>1446</v>
      </c>
      <c r="B1380" s="20" t="s">
        <v>19</v>
      </c>
      <c r="C1380" s="21">
        <v>45782</v>
      </c>
      <c r="D1380" s="21">
        <v>45791</v>
      </c>
      <c r="E1380" s="21">
        <v>45803</v>
      </c>
      <c r="F1380" s="20" t="s">
        <v>67</v>
      </c>
      <c r="G1380" s="22">
        <v>52.24</v>
      </c>
      <c r="H1380" s="22">
        <v>12.25</v>
      </c>
      <c r="I1380" s="20" t="s">
        <v>45</v>
      </c>
      <c r="J1380" s="20">
        <v>5</v>
      </c>
      <c r="K1380" s="20" t="s">
        <v>46</v>
      </c>
      <c r="L1380" s="23">
        <f t="shared" si="158"/>
        <v>45778</v>
      </c>
      <c r="M1380" s="20">
        <f t="shared" si="159"/>
        <v>9</v>
      </c>
      <c r="N1380" s="20">
        <f t="shared" si="160"/>
        <v>0</v>
      </c>
      <c r="O1380" s="20">
        <f t="shared" si="161"/>
        <v>1</v>
      </c>
      <c r="P1380" s="22">
        <f t="shared" si="162"/>
        <v>64.490000000000009</v>
      </c>
      <c r="Q1380" s="22">
        <f>G1380*INDEX(Assumptions!$B$8:$B$16,MATCH(F1380,Assumptions!$A$8:$A$16,0))</f>
        <v>32.388800000000003</v>
      </c>
      <c r="R1380" s="22">
        <f>H1380*Assumptions!$B$3</f>
        <v>7.35</v>
      </c>
      <c r="S1380" s="22">
        <f t="shared" si="163"/>
        <v>12.501199999999999</v>
      </c>
      <c r="T1380" s="20" t="str">
        <f t="shared" si="164"/>
        <v>8-14 days</v>
      </c>
    </row>
    <row r="1381" spans="1:20" x14ac:dyDescent="0.3">
      <c r="A1381" s="20" t="s">
        <v>1447</v>
      </c>
      <c r="B1381" s="20" t="s">
        <v>174</v>
      </c>
      <c r="C1381" s="21">
        <v>45782</v>
      </c>
      <c r="D1381" s="21">
        <v>45802</v>
      </c>
      <c r="E1381" s="21">
        <v>45815</v>
      </c>
      <c r="F1381" s="20" t="s">
        <v>67</v>
      </c>
      <c r="G1381" s="22">
        <v>124.81</v>
      </c>
      <c r="H1381" s="22">
        <v>40.98</v>
      </c>
      <c r="I1381" s="20" t="s">
        <v>45</v>
      </c>
      <c r="J1381" s="20">
        <v>3</v>
      </c>
      <c r="K1381" s="20" t="s">
        <v>46</v>
      </c>
      <c r="L1381" s="23">
        <f t="shared" si="158"/>
        <v>45778</v>
      </c>
      <c r="M1381" s="20">
        <f t="shared" si="159"/>
        <v>20</v>
      </c>
      <c r="N1381" s="20">
        <f t="shared" si="160"/>
        <v>0</v>
      </c>
      <c r="O1381" s="20">
        <f t="shared" si="161"/>
        <v>1</v>
      </c>
      <c r="P1381" s="22">
        <f t="shared" si="162"/>
        <v>165.79</v>
      </c>
      <c r="Q1381" s="22">
        <f>G1381*INDEX(Assumptions!$B$8:$B$16,MATCH(F1381,Assumptions!$A$8:$A$16,0))</f>
        <v>77.382199999999997</v>
      </c>
      <c r="R1381" s="22">
        <f>H1381*Assumptions!$B$3</f>
        <v>24.587999999999997</v>
      </c>
      <c r="S1381" s="22">
        <f t="shared" si="163"/>
        <v>22.839800000000007</v>
      </c>
      <c r="T1381" s="20" t="str">
        <f t="shared" si="164"/>
        <v>15-21 days</v>
      </c>
    </row>
    <row r="1382" spans="1:20" x14ac:dyDescent="0.3">
      <c r="A1382" s="20" t="s">
        <v>1448</v>
      </c>
      <c r="B1382" s="20" t="s">
        <v>19</v>
      </c>
      <c r="C1382" s="21">
        <v>45783</v>
      </c>
      <c r="D1382" s="21">
        <v>45791</v>
      </c>
      <c r="E1382" s="21">
        <v>45801</v>
      </c>
      <c r="F1382" s="20" t="s">
        <v>49</v>
      </c>
      <c r="G1382" s="22">
        <v>39.82</v>
      </c>
      <c r="H1382" s="22">
        <v>11.88</v>
      </c>
      <c r="I1382" s="20" t="s">
        <v>45</v>
      </c>
      <c r="J1382" s="20">
        <v>4</v>
      </c>
      <c r="K1382" s="20" t="s">
        <v>46</v>
      </c>
      <c r="L1382" s="23">
        <f t="shared" si="158"/>
        <v>45778</v>
      </c>
      <c r="M1382" s="20">
        <f t="shared" si="159"/>
        <v>8</v>
      </c>
      <c r="N1382" s="20">
        <f t="shared" si="160"/>
        <v>0</v>
      </c>
      <c r="O1382" s="20">
        <f t="shared" si="161"/>
        <v>1</v>
      </c>
      <c r="P1382" s="22">
        <f t="shared" si="162"/>
        <v>51.7</v>
      </c>
      <c r="Q1382" s="22">
        <f>G1382*INDEX(Assumptions!$B$8:$B$16,MATCH(F1382,Assumptions!$A$8:$A$16,0))</f>
        <v>23.095599999999997</v>
      </c>
      <c r="R1382" s="22">
        <f>H1382*Assumptions!$B$3</f>
        <v>7.1280000000000001</v>
      </c>
      <c r="S1382" s="22">
        <f t="shared" si="163"/>
        <v>9.5964000000000027</v>
      </c>
      <c r="T1382" s="20" t="str">
        <f t="shared" si="164"/>
        <v>8-14 days</v>
      </c>
    </row>
    <row r="1383" spans="1:20" x14ac:dyDescent="0.3">
      <c r="A1383" s="20" t="s">
        <v>1449</v>
      </c>
      <c r="B1383" s="20" t="s">
        <v>62</v>
      </c>
      <c r="C1383" s="21">
        <v>45783</v>
      </c>
      <c r="D1383" s="21">
        <v>45793</v>
      </c>
      <c r="E1383" s="21">
        <v>45804</v>
      </c>
      <c r="F1383" s="20" t="s">
        <v>49</v>
      </c>
      <c r="G1383" s="22">
        <v>43.91</v>
      </c>
      <c r="H1383" s="22">
        <v>27.31</v>
      </c>
      <c r="I1383" s="20" t="s">
        <v>50</v>
      </c>
      <c r="J1383" s="20">
        <v>5</v>
      </c>
      <c r="K1383" s="20" t="s">
        <v>46</v>
      </c>
      <c r="L1383" s="23">
        <f t="shared" si="158"/>
        <v>45778</v>
      </c>
      <c r="M1383" s="20">
        <f t="shared" si="159"/>
        <v>10</v>
      </c>
      <c r="N1383" s="20">
        <f t="shared" si="160"/>
        <v>0</v>
      </c>
      <c r="O1383" s="20">
        <f t="shared" si="161"/>
        <v>1</v>
      </c>
      <c r="P1383" s="22">
        <f t="shared" si="162"/>
        <v>71.22</v>
      </c>
      <c r="Q1383" s="22">
        <f>G1383*INDEX(Assumptions!$B$8:$B$16,MATCH(F1383,Assumptions!$A$8:$A$16,0))</f>
        <v>25.467799999999997</v>
      </c>
      <c r="R1383" s="22">
        <f>H1383*Assumptions!$B$3</f>
        <v>16.385999999999999</v>
      </c>
      <c r="S1383" s="22">
        <f t="shared" si="163"/>
        <v>2.0562000000000005</v>
      </c>
      <c r="T1383" s="20" t="str">
        <f t="shared" si="164"/>
        <v>8-14 days</v>
      </c>
    </row>
    <row r="1384" spans="1:20" x14ac:dyDescent="0.3">
      <c r="A1384" s="20" t="s">
        <v>1450</v>
      </c>
      <c r="B1384" s="20" t="s">
        <v>19</v>
      </c>
      <c r="C1384" s="21">
        <v>45783</v>
      </c>
      <c r="D1384" s="21">
        <v>45791</v>
      </c>
      <c r="E1384" s="21">
        <v>45800</v>
      </c>
      <c r="F1384" s="20" t="s">
        <v>67</v>
      </c>
      <c r="G1384" s="22">
        <v>163.47999999999999</v>
      </c>
      <c r="H1384" s="22">
        <v>14.41</v>
      </c>
      <c r="I1384" s="20" t="s">
        <v>45</v>
      </c>
      <c r="J1384" s="20">
        <v>5</v>
      </c>
      <c r="K1384" s="20" t="s">
        <v>46</v>
      </c>
      <c r="L1384" s="23">
        <f t="shared" si="158"/>
        <v>45778</v>
      </c>
      <c r="M1384" s="20">
        <f t="shared" si="159"/>
        <v>8</v>
      </c>
      <c r="N1384" s="20">
        <f t="shared" si="160"/>
        <v>0</v>
      </c>
      <c r="O1384" s="20">
        <f t="shared" si="161"/>
        <v>1</v>
      </c>
      <c r="P1384" s="22">
        <f t="shared" si="162"/>
        <v>177.89</v>
      </c>
      <c r="Q1384" s="22">
        <f>G1384*INDEX(Assumptions!$B$8:$B$16,MATCH(F1384,Assumptions!$A$8:$A$16,0))</f>
        <v>101.35759999999999</v>
      </c>
      <c r="R1384" s="22">
        <f>H1384*Assumptions!$B$3</f>
        <v>8.645999999999999</v>
      </c>
      <c r="S1384" s="22">
        <f t="shared" si="163"/>
        <v>53.476399999999998</v>
      </c>
      <c r="T1384" s="20" t="str">
        <f t="shared" si="164"/>
        <v>8-14 days</v>
      </c>
    </row>
    <row r="1385" spans="1:20" x14ac:dyDescent="0.3">
      <c r="A1385" s="20" t="s">
        <v>1451</v>
      </c>
      <c r="B1385" s="20" t="s">
        <v>19</v>
      </c>
      <c r="C1385" s="21">
        <v>45783</v>
      </c>
      <c r="D1385" s="21">
        <v>45791</v>
      </c>
      <c r="E1385" s="21">
        <v>45798</v>
      </c>
      <c r="F1385" s="20" t="s">
        <v>64</v>
      </c>
      <c r="G1385" s="22">
        <v>76.239999999999995</v>
      </c>
      <c r="H1385" s="22">
        <v>19.079999999999998</v>
      </c>
      <c r="I1385" s="20" t="s">
        <v>45</v>
      </c>
      <c r="J1385" s="20">
        <v>4</v>
      </c>
      <c r="K1385" s="20" t="s">
        <v>46</v>
      </c>
      <c r="L1385" s="23">
        <f t="shared" si="158"/>
        <v>45778</v>
      </c>
      <c r="M1385" s="20">
        <f t="shared" si="159"/>
        <v>8</v>
      </c>
      <c r="N1385" s="20">
        <f t="shared" si="160"/>
        <v>0</v>
      </c>
      <c r="O1385" s="20">
        <f t="shared" si="161"/>
        <v>1</v>
      </c>
      <c r="P1385" s="22">
        <f t="shared" si="162"/>
        <v>95.32</v>
      </c>
      <c r="Q1385" s="22">
        <f>G1385*INDEX(Assumptions!$B$8:$B$16,MATCH(F1385,Assumptions!$A$8:$A$16,0))</f>
        <v>50.318399999999997</v>
      </c>
      <c r="R1385" s="22">
        <f>H1385*Assumptions!$B$3</f>
        <v>11.447999999999999</v>
      </c>
      <c r="S1385" s="22">
        <f t="shared" si="163"/>
        <v>14.473599999999999</v>
      </c>
      <c r="T1385" s="20" t="str">
        <f t="shared" si="164"/>
        <v>8-14 days</v>
      </c>
    </row>
    <row r="1386" spans="1:20" x14ac:dyDescent="0.3">
      <c r="A1386" s="20" t="s">
        <v>1452</v>
      </c>
      <c r="B1386" s="20" t="s">
        <v>62</v>
      </c>
      <c r="C1386" s="21">
        <v>45783</v>
      </c>
      <c r="D1386" s="21">
        <v>45791</v>
      </c>
      <c r="E1386" s="21">
        <v>45804</v>
      </c>
      <c r="F1386" s="20" t="s">
        <v>111</v>
      </c>
      <c r="G1386" s="22">
        <v>108.92</v>
      </c>
      <c r="H1386" s="22">
        <v>16.86</v>
      </c>
      <c r="I1386" s="20" t="s">
        <v>45</v>
      </c>
      <c r="J1386" s="20">
        <v>4</v>
      </c>
      <c r="K1386" s="20" t="s">
        <v>46</v>
      </c>
      <c r="L1386" s="23">
        <f t="shared" si="158"/>
        <v>45778</v>
      </c>
      <c r="M1386" s="20">
        <f t="shared" si="159"/>
        <v>8</v>
      </c>
      <c r="N1386" s="20">
        <f t="shared" si="160"/>
        <v>0</v>
      </c>
      <c r="O1386" s="20">
        <f t="shared" si="161"/>
        <v>1</v>
      </c>
      <c r="P1386" s="22">
        <f t="shared" si="162"/>
        <v>125.78</v>
      </c>
      <c r="Q1386" s="22">
        <f>G1386*INDEX(Assumptions!$B$8:$B$16,MATCH(F1386,Assumptions!$A$8:$A$16,0))</f>
        <v>68.619600000000005</v>
      </c>
      <c r="R1386" s="22">
        <f>H1386*Assumptions!$B$3</f>
        <v>10.116</v>
      </c>
      <c r="S1386" s="22">
        <f t="shared" si="163"/>
        <v>30.184399999999997</v>
      </c>
      <c r="T1386" s="20" t="str">
        <f t="shared" si="164"/>
        <v>8-14 days</v>
      </c>
    </row>
    <row r="1387" spans="1:20" x14ac:dyDescent="0.3">
      <c r="A1387" s="20" t="s">
        <v>1453</v>
      </c>
      <c r="B1387" s="20" t="s">
        <v>19</v>
      </c>
      <c r="C1387" s="21">
        <v>45783</v>
      </c>
      <c r="D1387" s="21">
        <v>45793</v>
      </c>
      <c r="E1387" s="21">
        <v>45797</v>
      </c>
      <c r="F1387" s="20" t="s">
        <v>49</v>
      </c>
      <c r="G1387" s="22">
        <v>56.38</v>
      </c>
      <c r="H1387" s="22">
        <v>13.44</v>
      </c>
      <c r="I1387" s="20" t="s">
        <v>45</v>
      </c>
      <c r="J1387" s="20">
        <v>3</v>
      </c>
      <c r="K1387" s="20" t="s">
        <v>46</v>
      </c>
      <c r="L1387" s="23">
        <f t="shared" si="158"/>
        <v>45778</v>
      </c>
      <c r="M1387" s="20">
        <f t="shared" si="159"/>
        <v>10</v>
      </c>
      <c r="N1387" s="20">
        <f t="shared" si="160"/>
        <v>0</v>
      </c>
      <c r="O1387" s="20">
        <f t="shared" si="161"/>
        <v>1</v>
      </c>
      <c r="P1387" s="22">
        <f t="shared" si="162"/>
        <v>69.820000000000007</v>
      </c>
      <c r="Q1387" s="22">
        <f>G1387*INDEX(Assumptions!$B$8:$B$16,MATCH(F1387,Assumptions!$A$8:$A$16,0))</f>
        <v>32.700400000000002</v>
      </c>
      <c r="R1387" s="22">
        <f>H1387*Assumptions!$B$3</f>
        <v>8.0640000000000001</v>
      </c>
      <c r="S1387" s="22">
        <f t="shared" si="163"/>
        <v>15.615600000000001</v>
      </c>
      <c r="T1387" s="20" t="str">
        <f t="shared" si="164"/>
        <v>8-14 days</v>
      </c>
    </row>
    <row r="1388" spans="1:20" x14ac:dyDescent="0.3">
      <c r="A1388" s="20" t="s">
        <v>1454</v>
      </c>
      <c r="B1388" s="20" t="s">
        <v>55</v>
      </c>
      <c r="C1388" s="21">
        <v>45783</v>
      </c>
      <c r="D1388" s="21">
        <v>45822</v>
      </c>
      <c r="E1388" s="21">
        <v>45806</v>
      </c>
      <c r="F1388" s="20" t="s">
        <v>53</v>
      </c>
      <c r="G1388" s="22">
        <v>287.08999999999997</v>
      </c>
      <c r="H1388" s="22">
        <v>27.12</v>
      </c>
      <c r="I1388" s="20" t="s">
        <v>45</v>
      </c>
      <c r="J1388" s="20">
        <v>1</v>
      </c>
      <c r="K1388" s="20" t="s">
        <v>46</v>
      </c>
      <c r="L1388" s="23">
        <f t="shared" si="158"/>
        <v>45778</v>
      </c>
      <c r="M1388" s="20">
        <f t="shared" si="159"/>
        <v>39</v>
      </c>
      <c r="N1388" s="20">
        <f t="shared" si="160"/>
        <v>16</v>
      </c>
      <c r="O1388" s="20">
        <f t="shared" si="161"/>
        <v>0</v>
      </c>
      <c r="P1388" s="22">
        <f t="shared" si="162"/>
        <v>314.20999999999998</v>
      </c>
      <c r="Q1388" s="22">
        <f>G1388*INDEX(Assumptions!$B$8:$B$16,MATCH(F1388,Assumptions!$A$8:$A$16,0))</f>
        <v>212.44659999999999</v>
      </c>
      <c r="R1388" s="22">
        <f>H1388*Assumptions!$B$3</f>
        <v>16.271999999999998</v>
      </c>
      <c r="S1388" s="22">
        <f t="shared" si="163"/>
        <v>58.371399999999987</v>
      </c>
      <c r="T1388" s="20" t="str">
        <f t="shared" si="164"/>
        <v>22+ days</v>
      </c>
    </row>
    <row r="1389" spans="1:20" x14ac:dyDescent="0.3">
      <c r="A1389" s="20" t="s">
        <v>1455</v>
      </c>
      <c r="B1389" s="20" t="s">
        <v>19</v>
      </c>
      <c r="C1389" s="21">
        <v>45784</v>
      </c>
      <c r="D1389" s="21">
        <v>45794</v>
      </c>
      <c r="E1389" s="21">
        <v>45805</v>
      </c>
      <c r="F1389" s="20" t="s">
        <v>44</v>
      </c>
      <c r="G1389" s="22">
        <v>80.31</v>
      </c>
      <c r="H1389" s="22">
        <v>16.91</v>
      </c>
      <c r="I1389" s="20" t="s">
        <v>45</v>
      </c>
      <c r="J1389" s="20">
        <v>3</v>
      </c>
      <c r="K1389" s="20" t="s">
        <v>46</v>
      </c>
      <c r="L1389" s="23">
        <f t="shared" si="158"/>
        <v>45778</v>
      </c>
      <c r="M1389" s="20">
        <f t="shared" si="159"/>
        <v>10</v>
      </c>
      <c r="N1389" s="20">
        <f t="shared" si="160"/>
        <v>0</v>
      </c>
      <c r="O1389" s="20">
        <f t="shared" si="161"/>
        <v>1</v>
      </c>
      <c r="P1389" s="22">
        <f t="shared" si="162"/>
        <v>97.22</v>
      </c>
      <c r="Q1389" s="22">
        <f>G1389*INDEX(Assumptions!$B$8:$B$16,MATCH(F1389,Assumptions!$A$8:$A$16,0))</f>
        <v>48.186</v>
      </c>
      <c r="R1389" s="22">
        <f>H1389*Assumptions!$B$3</f>
        <v>10.145999999999999</v>
      </c>
      <c r="S1389" s="22">
        <f t="shared" si="163"/>
        <v>21.978000000000002</v>
      </c>
      <c r="T1389" s="20" t="str">
        <f t="shared" si="164"/>
        <v>8-14 days</v>
      </c>
    </row>
    <row r="1390" spans="1:20" x14ac:dyDescent="0.3">
      <c r="A1390" s="20" t="s">
        <v>1456</v>
      </c>
      <c r="B1390" s="20" t="s">
        <v>201</v>
      </c>
      <c r="C1390" s="21">
        <v>45784</v>
      </c>
      <c r="D1390" s="21">
        <v>45813</v>
      </c>
      <c r="E1390" s="21">
        <v>45815</v>
      </c>
      <c r="F1390" s="20" t="s">
        <v>49</v>
      </c>
      <c r="G1390" s="22">
        <v>126.95</v>
      </c>
      <c r="H1390" s="22">
        <v>45.09</v>
      </c>
      <c r="I1390" s="20" t="s">
        <v>45</v>
      </c>
      <c r="J1390" s="20">
        <v>3</v>
      </c>
      <c r="K1390" s="20" t="s">
        <v>46</v>
      </c>
      <c r="L1390" s="23">
        <f t="shared" si="158"/>
        <v>45778</v>
      </c>
      <c r="M1390" s="20">
        <f t="shared" si="159"/>
        <v>29</v>
      </c>
      <c r="N1390" s="20">
        <f t="shared" si="160"/>
        <v>0</v>
      </c>
      <c r="O1390" s="20">
        <f t="shared" si="161"/>
        <v>1</v>
      </c>
      <c r="P1390" s="22">
        <f t="shared" si="162"/>
        <v>172.04000000000002</v>
      </c>
      <c r="Q1390" s="22">
        <f>G1390*INDEX(Assumptions!$B$8:$B$16,MATCH(F1390,Assumptions!$A$8:$A$16,0))</f>
        <v>73.631</v>
      </c>
      <c r="R1390" s="22">
        <f>H1390*Assumptions!$B$3</f>
        <v>27.054000000000002</v>
      </c>
      <c r="S1390" s="22">
        <f t="shared" si="163"/>
        <v>26.265000000000001</v>
      </c>
      <c r="T1390" s="20" t="str">
        <f t="shared" si="164"/>
        <v>22+ days</v>
      </c>
    </row>
    <row r="1391" spans="1:20" x14ac:dyDescent="0.3">
      <c r="A1391" s="20" t="s">
        <v>1457</v>
      </c>
      <c r="B1391" s="20" t="s">
        <v>19</v>
      </c>
      <c r="C1391" s="21">
        <v>45784</v>
      </c>
      <c r="D1391" s="21">
        <v>45790</v>
      </c>
      <c r="E1391" s="21">
        <v>45800</v>
      </c>
      <c r="F1391" s="20" t="s">
        <v>67</v>
      </c>
      <c r="G1391" s="22">
        <v>113.85</v>
      </c>
      <c r="H1391" s="22">
        <v>18.95</v>
      </c>
      <c r="I1391" s="20" t="s">
        <v>45</v>
      </c>
      <c r="J1391" s="20">
        <v>3</v>
      </c>
      <c r="K1391" s="20" t="s">
        <v>46</v>
      </c>
      <c r="L1391" s="23">
        <f t="shared" si="158"/>
        <v>45778</v>
      </c>
      <c r="M1391" s="20">
        <f t="shared" si="159"/>
        <v>6</v>
      </c>
      <c r="N1391" s="20">
        <f t="shared" si="160"/>
        <v>0</v>
      </c>
      <c r="O1391" s="20">
        <f t="shared" si="161"/>
        <v>1</v>
      </c>
      <c r="P1391" s="22">
        <f t="shared" si="162"/>
        <v>132.79999999999998</v>
      </c>
      <c r="Q1391" s="22">
        <f>G1391*INDEX(Assumptions!$B$8:$B$16,MATCH(F1391,Assumptions!$A$8:$A$16,0))</f>
        <v>70.586999999999989</v>
      </c>
      <c r="R1391" s="22">
        <f>H1391*Assumptions!$B$3</f>
        <v>11.37</v>
      </c>
      <c r="S1391" s="22">
        <f t="shared" si="163"/>
        <v>31.893000000000008</v>
      </c>
      <c r="T1391" s="20" t="str">
        <f t="shared" si="164"/>
        <v>0-7 days</v>
      </c>
    </row>
    <row r="1392" spans="1:20" x14ac:dyDescent="0.3">
      <c r="A1392" s="20" t="s">
        <v>1458</v>
      </c>
      <c r="B1392" s="20" t="s">
        <v>19</v>
      </c>
      <c r="C1392" s="21">
        <v>45784</v>
      </c>
      <c r="D1392" s="21">
        <v>45798</v>
      </c>
      <c r="E1392" s="21">
        <v>45801</v>
      </c>
      <c r="F1392" s="20" t="s">
        <v>67</v>
      </c>
      <c r="G1392" s="22">
        <v>53.13</v>
      </c>
      <c r="H1392" s="22">
        <v>20.69</v>
      </c>
      <c r="I1392" s="20" t="s">
        <v>45</v>
      </c>
      <c r="J1392" s="20">
        <v>4</v>
      </c>
      <c r="K1392" s="20" t="s">
        <v>46</v>
      </c>
      <c r="L1392" s="23">
        <f t="shared" si="158"/>
        <v>45778</v>
      </c>
      <c r="M1392" s="20">
        <f t="shared" si="159"/>
        <v>14</v>
      </c>
      <c r="N1392" s="20">
        <f t="shared" si="160"/>
        <v>0</v>
      </c>
      <c r="O1392" s="20">
        <f t="shared" si="161"/>
        <v>1</v>
      </c>
      <c r="P1392" s="22">
        <f t="shared" si="162"/>
        <v>73.820000000000007</v>
      </c>
      <c r="Q1392" s="22">
        <f>G1392*INDEX(Assumptions!$B$8:$B$16,MATCH(F1392,Assumptions!$A$8:$A$16,0))</f>
        <v>32.940600000000003</v>
      </c>
      <c r="R1392" s="22">
        <f>H1392*Assumptions!$B$3</f>
        <v>12.414</v>
      </c>
      <c r="S1392" s="22">
        <f t="shared" si="163"/>
        <v>7.7753999999999994</v>
      </c>
      <c r="T1392" s="20" t="str">
        <f t="shared" si="164"/>
        <v>8-14 days</v>
      </c>
    </row>
    <row r="1393" spans="1:20" x14ac:dyDescent="0.3">
      <c r="A1393" s="20" t="s">
        <v>1459</v>
      </c>
      <c r="B1393" s="20" t="s">
        <v>19</v>
      </c>
      <c r="C1393" s="21">
        <v>45784</v>
      </c>
      <c r="D1393" s="21">
        <v>45792</v>
      </c>
      <c r="E1393" s="21">
        <v>45799</v>
      </c>
      <c r="F1393" s="20" t="s">
        <v>44</v>
      </c>
      <c r="G1393" s="22">
        <v>26.84</v>
      </c>
      <c r="H1393" s="22">
        <v>16.55</v>
      </c>
      <c r="I1393" s="20" t="s">
        <v>50</v>
      </c>
      <c r="J1393" s="20">
        <v>4</v>
      </c>
      <c r="K1393" s="20" t="s">
        <v>46</v>
      </c>
      <c r="L1393" s="23">
        <f t="shared" si="158"/>
        <v>45778</v>
      </c>
      <c r="M1393" s="20">
        <f t="shared" si="159"/>
        <v>8</v>
      </c>
      <c r="N1393" s="20">
        <f t="shared" si="160"/>
        <v>0</v>
      </c>
      <c r="O1393" s="20">
        <f t="shared" si="161"/>
        <v>1</v>
      </c>
      <c r="P1393" s="22">
        <f t="shared" si="162"/>
        <v>43.39</v>
      </c>
      <c r="Q1393" s="22">
        <f>G1393*INDEX(Assumptions!$B$8:$B$16,MATCH(F1393,Assumptions!$A$8:$A$16,0))</f>
        <v>16.103999999999999</v>
      </c>
      <c r="R1393" s="22">
        <f>H1393*Assumptions!$B$3</f>
        <v>9.93</v>
      </c>
      <c r="S1393" s="22">
        <f t="shared" si="163"/>
        <v>0.80600000000000094</v>
      </c>
      <c r="T1393" s="20" t="str">
        <f t="shared" si="164"/>
        <v>8-14 days</v>
      </c>
    </row>
    <row r="1394" spans="1:20" x14ac:dyDescent="0.3">
      <c r="A1394" s="20" t="s">
        <v>1460</v>
      </c>
      <c r="B1394" s="20" t="s">
        <v>48</v>
      </c>
      <c r="C1394" s="21">
        <v>45784</v>
      </c>
      <c r="D1394" s="21">
        <v>45793</v>
      </c>
      <c r="E1394" s="21">
        <v>45804</v>
      </c>
      <c r="F1394" s="20" t="s">
        <v>57</v>
      </c>
      <c r="G1394" s="22">
        <v>42.8</v>
      </c>
      <c r="H1394" s="22">
        <v>20.04</v>
      </c>
      <c r="I1394" s="20" t="s">
        <v>50</v>
      </c>
      <c r="J1394" s="20">
        <v>5</v>
      </c>
      <c r="K1394" s="20" t="s">
        <v>46</v>
      </c>
      <c r="L1394" s="23">
        <f t="shared" si="158"/>
        <v>45778</v>
      </c>
      <c r="M1394" s="20">
        <f t="shared" si="159"/>
        <v>9</v>
      </c>
      <c r="N1394" s="20">
        <f t="shared" si="160"/>
        <v>0</v>
      </c>
      <c r="O1394" s="20">
        <f t="shared" si="161"/>
        <v>1</v>
      </c>
      <c r="P1394" s="22">
        <f t="shared" si="162"/>
        <v>62.839999999999996</v>
      </c>
      <c r="Q1394" s="22">
        <f>G1394*INDEX(Assumptions!$B$8:$B$16,MATCH(F1394,Assumptions!$A$8:$A$16,0))</f>
        <v>29.103999999999999</v>
      </c>
      <c r="R1394" s="22">
        <f>H1394*Assumptions!$B$3</f>
        <v>12.023999999999999</v>
      </c>
      <c r="S1394" s="22">
        <f t="shared" si="163"/>
        <v>1.6719999999999988</v>
      </c>
      <c r="T1394" s="20" t="str">
        <f t="shared" si="164"/>
        <v>8-14 days</v>
      </c>
    </row>
    <row r="1395" spans="1:20" x14ac:dyDescent="0.3">
      <c r="A1395" s="20" t="s">
        <v>1461</v>
      </c>
      <c r="B1395" s="20" t="s">
        <v>19</v>
      </c>
      <c r="C1395" s="21">
        <v>45785</v>
      </c>
      <c r="D1395" s="21">
        <v>45792</v>
      </c>
      <c r="E1395" s="21">
        <v>45797</v>
      </c>
      <c r="F1395" s="20" t="s">
        <v>111</v>
      </c>
      <c r="G1395" s="22">
        <v>133.30000000000001</v>
      </c>
      <c r="H1395" s="22">
        <v>16.690000000000001</v>
      </c>
      <c r="I1395" s="20" t="s">
        <v>45</v>
      </c>
      <c r="J1395" s="20">
        <v>3</v>
      </c>
      <c r="K1395" s="20" t="s">
        <v>46</v>
      </c>
      <c r="L1395" s="23">
        <f t="shared" si="158"/>
        <v>45778</v>
      </c>
      <c r="M1395" s="20">
        <f t="shared" si="159"/>
        <v>7</v>
      </c>
      <c r="N1395" s="20">
        <f t="shared" si="160"/>
        <v>0</v>
      </c>
      <c r="O1395" s="20">
        <f t="shared" si="161"/>
        <v>1</v>
      </c>
      <c r="P1395" s="22">
        <f t="shared" si="162"/>
        <v>149.99</v>
      </c>
      <c r="Q1395" s="22">
        <f>G1395*INDEX(Assumptions!$B$8:$B$16,MATCH(F1395,Assumptions!$A$8:$A$16,0))</f>
        <v>83.979000000000013</v>
      </c>
      <c r="R1395" s="22">
        <f>H1395*Assumptions!$B$3</f>
        <v>10.014000000000001</v>
      </c>
      <c r="S1395" s="22">
        <f t="shared" si="163"/>
        <v>39.306999999999995</v>
      </c>
      <c r="T1395" s="20" t="str">
        <f t="shared" si="164"/>
        <v>0-7 days</v>
      </c>
    </row>
    <row r="1396" spans="1:20" x14ac:dyDescent="0.3">
      <c r="A1396" s="20" t="s">
        <v>1462</v>
      </c>
      <c r="B1396" s="20" t="s">
        <v>19</v>
      </c>
      <c r="C1396" s="21">
        <v>45785</v>
      </c>
      <c r="D1396" s="21">
        <v>45796</v>
      </c>
      <c r="E1396" s="21">
        <v>45796</v>
      </c>
      <c r="F1396" s="20" t="s">
        <v>59</v>
      </c>
      <c r="G1396" s="22">
        <v>71.73</v>
      </c>
      <c r="H1396" s="22">
        <v>18.84</v>
      </c>
      <c r="I1396" s="20" t="s">
        <v>45</v>
      </c>
      <c r="J1396" s="20">
        <v>5</v>
      </c>
      <c r="K1396" s="20" t="s">
        <v>46</v>
      </c>
      <c r="L1396" s="23">
        <f t="shared" si="158"/>
        <v>45778</v>
      </c>
      <c r="M1396" s="20">
        <f t="shared" si="159"/>
        <v>11</v>
      </c>
      <c r="N1396" s="20">
        <f t="shared" si="160"/>
        <v>0</v>
      </c>
      <c r="O1396" s="20">
        <f t="shared" si="161"/>
        <v>1</v>
      </c>
      <c r="P1396" s="22">
        <f t="shared" si="162"/>
        <v>90.570000000000007</v>
      </c>
      <c r="Q1396" s="22">
        <f>G1396*INDEX(Assumptions!$B$8:$B$16,MATCH(F1396,Assumptions!$A$8:$A$16,0))</f>
        <v>45.907200000000003</v>
      </c>
      <c r="R1396" s="22">
        <f>H1396*Assumptions!$B$3</f>
        <v>11.304</v>
      </c>
      <c r="S1396" s="22">
        <f t="shared" si="163"/>
        <v>14.518800000000001</v>
      </c>
      <c r="T1396" s="20" t="str">
        <f t="shared" si="164"/>
        <v>8-14 days</v>
      </c>
    </row>
    <row r="1397" spans="1:20" x14ac:dyDescent="0.3">
      <c r="A1397" s="20" t="s">
        <v>1463</v>
      </c>
      <c r="B1397" s="20" t="s">
        <v>19</v>
      </c>
      <c r="C1397" s="21">
        <v>45785</v>
      </c>
      <c r="D1397" s="21">
        <v>45788</v>
      </c>
      <c r="E1397" s="21">
        <v>45798</v>
      </c>
      <c r="F1397" s="20" t="s">
        <v>67</v>
      </c>
      <c r="G1397" s="22">
        <v>59.2</v>
      </c>
      <c r="H1397" s="22">
        <v>16.95</v>
      </c>
      <c r="I1397" s="20" t="s">
        <v>45</v>
      </c>
      <c r="J1397" s="20">
        <v>5</v>
      </c>
      <c r="K1397" s="20" t="s">
        <v>46</v>
      </c>
      <c r="L1397" s="23">
        <f t="shared" si="158"/>
        <v>45778</v>
      </c>
      <c r="M1397" s="20">
        <f t="shared" si="159"/>
        <v>3</v>
      </c>
      <c r="N1397" s="20">
        <f t="shared" si="160"/>
        <v>0</v>
      </c>
      <c r="O1397" s="20">
        <f t="shared" si="161"/>
        <v>1</v>
      </c>
      <c r="P1397" s="22">
        <f t="shared" si="162"/>
        <v>76.150000000000006</v>
      </c>
      <c r="Q1397" s="22">
        <f>G1397*INDEX(Assumptions!$B$8:$B$16,MATCH(F1397,Assumptions!$A$8:$A$16,0))</f>
        <v>36.704000000000001</v>
      </c>
      <c r="R1397" s="22">
        <f>H1397*Assumptions!$B$3</f>
        <v>10.17</v>
      </c>
      <c r="S1397" s="22">
        <f t="shared" si="163"/>
        <v>12.326000000000002</v>
      </c>
      <c r="T1397" s="20" t="str">
        <f t="shared" si="164"/>
        <v>0-7 days</v>
      </c>
    </row>
    <row r="1398" spans="1:20" x14ac:dyDescent="0.3">
      <c r="A1398" s="20" t="s">
        <v>1464</v>
      </c>
      <c r="B1398" s="20" t="s">
        <v>77</v>
      </c>
      <c r="C1398" s="21">
        <v>45785</v>
      </c>
      <c r="D1398" s="21">
        <v>45797</v>
      </c>
      <c r="E1398" s="21">
        <v>45808</v>
      </c>
      <c r="F1398" s="20" t="s">
        <v>59</v>
      </c>
      <c r="G1398" s="22">
        <v>46.34</v>
      </c>
      <c r="H1398" s="22">
        <v>17.03</v>
      </c>
      <c r="I1398" s="20" t="s">
        <v>45</v>
      </c>
      <c r="J1398" s="20">
        <v>4</v>
      </c>
      <c r="K1398" s="20" t="s">
        <v>46</v>
      </c>
      <c r="L1398" s="23">
        <f t="shared" si="158"/>
        <v>45778</v>
      </c>
      <c r="M1398" s="20">
        <f t="shared" si="159"/>
        <v>12</v>
      </c>
      <c r="N1398" s="20">
        <f t="shared" si="160"/>
        <v>0</v>
      </c>
      <c r="O1398" s="20">
        <f t="shared" si="161"/>
        <v>1</v>
      </c>
      <c r="P1398" s="22">
        <f t="shared" si="162"/>
        <v>63.370000000000005</v>
      </c>
      <c r="Q1398" s="22">
        <f>G1398*INDEX(Assumptions!$B$8:$B$16,MATCH(F1398,Assumptions!$A$8:$A$16,0))</f>
        <v>29.657600000000002</v>
      </c>
      <c r="R1398" s="22">
        <f>H1398*Assumptions!$B$3</f>
        <v>10.218</v>
      </c>
      <c r="S1398" s="22">
        <f t="shared" si="163"/>
        <v>6.4644000000000013</v>
      </c>
      <c r="T1398" s="20" t="str">
        <f t="shared" si="164"/>
        <v>8-14 days</v>
      </c>
    </row>
    <row r="1399" spans="1:20" x14ac:dyDescent="0.3">
      <c r="A1399" s="20" t="s">
        <v>1465</v>
      </c>
      <c r="B1399" s="20" t="s">
        <v>174</v>
      </c>
      <c r="C1399" s="21">
        <v>45785</v>
      </c>
      <c r="D1399" s="21">
        <v>45811</v>
      </c>
      <c r="E1399" s="21">
        <v>45815</v>
      </c>
      <c r="F1399" s="20" t="s">
        <v>59</v>
      </c>
      <c r="G1399" s="22">
        <v>99.32</v>
      </c>
      <c r="H1399" s="22">
        <v>47.09</v>
      </c>
      <c r="I1399" s="20" t="s">
        <v>60</v>
      </c>
      <c r="J1399" s="20">
        <v>4</v>
      </c>
      <c r="K1399" s="20" t="s">
        <v>46</v>
      </c>
      <c r="L1399" s="23">
        <f t="shared" si="158"/>
        <v>45778</v>
      </c>
      <c r="M1399" s="20">
        <f t="shared" si="159"/>
        <v>26</v>
      </c>
      <c r="N1399" s="20">
        <f t="shared" si="160"/>
        <v>0</v>
      </c>
      <c r="O1399" s="20">
        <f t="shared" si="161"/>
        <v>1</v>
      </c>
      <c r="P1399" s="22">
        <f t="shared" si="162"/>
        <v>146.41</v>
      </c>
      <c r="Q1399" s="22">
        <f>G1399*INDEX(Assumptions!$B$8:$B$16,MATCH(F1399,Assumptions!$A$8:$A$16,0))</f>
        <v>63.564799999999998</v>
      </c>
      <c r="R1399" s="22">
        <f>H1399*Assumptions!$B$3</f>
        <v>28.254000000000001</v>
      </c>
      <c r="S1399" s="22">
        <f t="shared" si="163"/>
        <v>7.5011999999999937</v>
      </c>
      <c r="T1399" s="20" t="str">
        <f t="shared" si="164"/>
        <v>22+ days</v>
      </c>
    </row>
    <row r="1400" spans="1:20" x14ac:dyDescent="0.3">
      <c r="A1400" s="20" t="s">
        <v>1466</v>
      </c>
      <c r="B1400" s="20" t="s">
        <v>55</v>
      </c>
      <c r="C1400" s="21">
        <v>45785</v>
      </c>
      <c r="D1400" s="21">
        <v>45796</v>
      </c>
      <c r="E1400" s="21">
        <v>45811</v>
      </c>
      <c r="F1400" s="20" t="s">
        <v>67</v>
      </c>
      <c r="G1400" s="22">
        <v>38.03</v>
      </c>
      <c r="H1400" s="22">
        <v>29.32</v>
      </c>
      <c r="I1400" s="20" t="s">
        <v>60</v>
      </c>
      <c r="J1400" s="20">
        <v>5</v>
      </c>
      <c r="K1400" s="20" t="s">
        <v>46</v>
      </c>
      <c r="L1400" s="23">
        <f t="shared" si="158"/>
        <v>45778</v>
      </c>
      <c r="M1400" s="20">
        <f t="shared" si="159"/>
        <v>11</v>
      </c>
      <c r="N1400" s="20">
        <f t="shared" si="160"/>
        <v>0</v>
      </c>
      <c r="O1400" s="20">
        <f t="shared" si="161"/>
        <v>1</v>
      </c>
      <c r="P1400" s="22">
        <f t="shared" si="162"/>
        <v>67.349999999999994</v>
      </c>
      <c r="Q1400" s="22">
        <f>G1400*INDEX(Assumptions!$B$8:$B$16,MATCH(F1400,Assumptions!$A$8:$A$16,0))</f>
        <v>23.578600000000002</v>
      </c>
      <c r="R1400" s="22">
        <f>H1400*Assumptions!$B$3</f>
        <v>17.591999999999999</v>
      </c>
      <c r="S1400" s="22">
        <f t="shared" si="163"/>
        <v>-3.1405999999999992</v>
      </c>
      <c r="T1400" s="20" t="str">
        <f t="shared" si="164"/>
        <v>8-14 days</v>
      </c>
    </row>
    <row r="1401" spans="1:20" x14ac:dyDescent="0.3">
      <c r="A1401" s="20" t="s">
        <v>1467</v>
      </c>
      <c r="B1401" s="20" t="s">
        <v>19</v>
      </c>
      <c r="C1401" s="21">
        <v>45785</v>
      </c>
      <c r="D1401" s="21">
        <v>45798</v>
      </c>
      <c r="E1401" s="21">
        <v>45801</v>
      </c>
      <c r="F1401" s="20" t="s">
        <v>57</v>
      </c>
      <c r="G1401" s="22">
        <v>121.77</v>
      </c>
      <c r="H1401" s="22">
        <v>20.47</v>
      </c>
      <c r="I1401" s="20" t="s">
        <v>45</v>
      </c>
      <c r="J1401" s="20">
        <v>5</v>
      </c>
      <c r="K1401" s="20" t="s">
        <v>46</v>
      </c>
      <c r="L1401" s="23">
        <f t="shared" si="158"/>
        <v>45778</v>
      </c>
      <c r="M1401" s="20">
        <f t="shared" si="159"/>
        <v>13</v>
      </c>
      <c r="N1401" s="20">
        <f t="shared" si="160"/>
        <v>0</v>
      </c>
      <c r="O1401" s="20">
        <f t="shared" si="161"/>
        <v>1</v>
      </c>
      <c r="P1401" s="22">
        <f t="shared" si="162"/>
        <v>142.24</v>
      </c>
      <c r="Q1401" s="22">
        <f>G1401*INDEX(Assumptions!$B$8:$B$16,MATCH(F1401,Assumptions!$A$8:$A$16,0))</f>
        <v>82.803600000000003</v>
      </c>
      <c r="R1401" s="22">
        <f>H1401*Assumptions!$B$3</f>
        <v>12.281999999999998</v>
      </c>
      <c r="S1401" s="22">
        <f t="shared" si="163"/>
        <v>26.684399999999997</v>
      </c>
      <c r="T1401" s="20" t="str">
        <f t="shared" si="164"/>
        <v>8-14 days</v>
      </c>
    </row>
    <row r="1402" spans="1:20" x14ac:dyDescent="0.3">
      <c r="A1402" s="20" t="s">
        <v>1468</v>
      </c>
      <c r="B1402" s="20" t="s">
        <v>103</v>
      </c>
      <c r="C1402" s="21">
        <v>45785</v>
      </c>
      <c r="D1402" s="21">
        <v>45806</v>
      </c>
      <c r="E1402" s="21">
        <v>45806</v>
      </c>
      <c r="F1402" s="20" t="s">
        <v>49</v>
      </c>
      <c r="G1402" s="22">
        <v>142.69999999999999</v>
      </c>
      <c r="H1402" s="22">
        <v>26.89</v>
      </c>
      <c r="I1402" s="20" t="s">
        <v>60</v>
      </c>
      <c r="J1402" s="20">
        <v>3</v>
      </c>
      <c r="K1402" s="20" t="s">
        <v>46</v>
      </c>
      <c r="L1402" s="23">
        <f t="shared" si="158"/>
        <v>45778</v>
      </c>
      <c r="M1402" s="20">
        <f t="shared" si="159"/>
        <v>21</v>
      </c>
      <c r="N1402" s="20">
        <f t="shared" si="160"/>
        <v>0</v>
      </c>
      <c r="O1402" s="20">
        <f t="shared" si="161"/>
        <v>1</v>
      </c>
      <c r="P1402" s="22">
        <f t="shared" si="162"/>
        <v>169.58999999999997</v>
      </c>
      <c r="Q1402" s="22">
        <f>G1402*INDEX(Assumptions!$B$8:$B$16,MATCH(F1402,Assumptions!$A$8:$A$16,0))</f>
        <v>82.765999999999991</v>
      </c>
      <c r="R1402" s="22">
        <f>H1402*Assumptions!$B$3</f>
        <v>16.134</v>
      </c>
      <c r="S1402" s="22">
        <f t="shared" si="163"/>
        <v>43.8</v>
      </c>
      <c r="T1402" s="20" t="str">
        <f t="shared" si="164"/>
        <v>15-21 days</v>
      </c>
    </row>
    <row r="1403" spans="1:20" x14ac:dyDescent="0.3">
      <c r="A1403" s="20" t="s">
        <v>1469</v>
      </c>
      <c r="B1403" s="20" t="s">
        <v>55</v>
      </c>
      <c r="C1403" s="21">
        <v>45786</v>
      </c>
      <c r="D1403" s="21">
        <v>45800</v>
      </c>
      <c r="E1403" s="21">
        <v>45807</v>
      </c>
      <c r="F1403" s="20" t="s">
        <v>59</v>
      </c>
      <c r="G1403" s="22">
        <v>163.59</v>
      </c>
      <c r="H1403" s="22">
        <v>30.14</v>
      </c>
      <c r="I1403" s="20" t="s">
        <v>60</v>
      </c>
      <c r="J1403" s="20">
        <v>4</v>
      </c>
      <c r="K1403" s="20" t="s">
        <v>46</v>
      </c>
      <c r="L1403" s="23">
        <f t="shared" si="158"/>
        <v>45778</v>
      </c>
      <c r="M1403" s="20">
        <f t="shared" si="159"/>
        <v>14</v>
      </c>
      <c r="N1403" s="20">
        <f t="shared" si="160"/>
        <v>0</v>
      </c>
      <c r="O1403" s="20">
        <f t="shared" si="161"/>
        <v>1</v>
      </c>
      <c r="P1403" s="22">
        <f t="shared" si="162"/>
        <v>193.73000000000002</v>
      </c>
      <c r="Q1403" s="22">
        <f>G1403*INDEX(Assumptions!$B$8:$B$16,MATCH(F1403,Assumptions!$A$8:$A$16,0))</f>
        <v>104.69760000000001</v>
      </c>
      <c r="R1403" s="22">
        <f>H1403*Assumptions!$B$3</f>
        <v>18.084</v>
      </c>
      <c r="S1403" s="22">
        <f t="shared" si="163"/>
        <v>40.808399999999992</v>
      </c>
      <c r="T1403" s="20" t="str">
        <f t="shared" si="164"/>
        <v>8-14 days</v>
      </c>
    </row>
    <row r="1404" spans="1:20" x14ac:dyDescent="0.3">
      <c r="A1404" s="20" t="s">
        <v>1470</v>
      </c>
      <c r="B1404" s="20" t="s">
        <v>55</v>
      </c>
      <c r="C1404" s="21">
        <v>45786</v>
      </c>
      <c r="D1404" s="21">
        <v>45806</v>
      </c>
      <c r="E1404" s="21">
        <v>45809</v>
      </c>
      <c r="F1404" s="20" t="s">
        <v>67</v>
      </c>
      <c r="G1404" s="22">
        <v>53.48</v>
      </c>
      <c r="H1404" s="22">
        <v>25.62</v>
      </c>
      <c r="I1404" s="20" t="s">
        <v>45</v>
      </c>
      <c r="J1404" s="20">
        <v>4</v>
      </c>
      <c r="K1404" s="20" t="s">
        <v>46</v>
      </c>
      <c r="L1404" s="23">
        <f t="shared" si="158"/>
        <v>45778</v>
      </c>
      <c r="M1404" s="20">
        <f t="shared" si="159"/>
        <v>20</v>
      </c>
      <c r="N1404" s="20">
        <f t="shared" si="160"/>
        <v>0</v>
      </c>
      <c r="O1404" s="20">
        <f t="shared" si="161"/>
        <v>1</v>
      </c>
      <c r="P1404" s="22">
        <f t="shared" si="162"/>
        <v>79.099999999999994</v>
      </c>
      <c r="Q1404" s="22">
        <f>G1404*INDEX(Assumptions!$B$8:$B$16,MATCH(F1404,Assumptions!$A$8:$A$16,0))</f>
        <v>33.157599999999995</v>
      </c>
      <c r="R1404" s="22">
        <f>H1404*Assumptions!$B$3</f>
        <v>15.372</v>
      </c>
      <c r="S1404" s="22">
        <f t="shared" si="163"/>
        <v>4.9504000000000019</v>
      </c>
      <c r="T1404" s="20" t="str">
        <f t="shared" si="164"/>
        <v>15-21 days</v>
      </c>
    </row>
    <row r="1405" spans="1:20" x14ac:dyDescent="0.3">
      <c r="A1405" s="20" t="s">
        <v>1471</v>
      </c>
      <c r="B1405" s="20" t="s">
        <v>62</v>
      </c>
      <c r="C1405" s="21">
        <v>45786</v>
      </c>
      <c r="D1405" s="21">
        <v>45819</v>
      </c>
      <c r="E1405" s="21">
        <v>45808</v>
      </c>
      <c r="F1405" s="20" t="s">
        <v>79</v>
      </c>
      <c r="G1405" s="22">
        <v>197.57</v>
      </c>
      <c r="H1405" s="22">
        <v>25.87</v>
      </c>
      <c r="I1405" s="20" t="s">
        <v>60</v>
      </c>
      <c r="J1405" s="20">
        <v>3</v>
      </c>
      <c r="K1405" s="20" t="s">
        <v>46</v>
      </c>
      <c r="L1405" s="23">
        <f t="shared" si="158"/>
        <v>45778</v>
      </c>
      <c r="M1405" s="20">
        <f t="shared" si="159"/>
        <v>33</v>
      </c>
      <c r="N1405" s="20">
        <f t="shared" si="160"/>
        <v>11</v>
      </c>
      <c r="O1405" s="20">
        <f t="shared" si="161"/>
        <v>0</v>
      </c>
      <c r="P1405" s="22">
        <f t="shared" si="162"/>
        <v>223.44</v>
      </c>
      <c r="Q1405" s="22">
        <f>G1405*INDEX(Assumptions!$B$8:$B$16,MATCH(F1405,Assumptions!$A$8:$A$16,0))</f>
        <v>138.29899999999998</v>
      </c>
      <c r="R1405" s="22">
        <f>H1405*Assumptions!$B$3</f>
        <v>15.522</v>
      </c>
      <c r="S1405" s="22">
        <f t="shared" si="163"/>
        <v>43.749000000000017</v>
      </c>
      <c r="T1405" s="20" t="str">
        <f t="shared" si="164"/>
        <v>22+ days</v>
      </c>
    </row>
    <row r="1406" spans="1:20" x14ac:dyDescent="0.3">
      <c r="A1406" s="20" t="s">
        <v>1472</v>
      </c>
      <c r="B1406" s="20" t="s">
        <v>134</v>
      </c>
      <c r="C1406" s="21">
        <v>45786</v>
      </c>
      <c r="D1406" s="21">
        <v>45796</v>
      </c>
      <c r="E1406" s="21">
        <v>45809</v>
      </c>
      <c r="F1406" s="20" t="s">
        <v>64</v>
      </c>
      <c r="G1406" s="22">
        <v>149.55000000000001</v>
      </c>
      <c r="H1406" s="22">
        <v>27.43</v>
      </c>
      <c r="I1406" s="20" t="s">
        <v>45</v>
      </c>
      <c r="J1406" s="20">
        <v>5</v>
      </c>
      <c r="K1406" s="20" t="s">
        <v>46</v>
      </c>
      <c r="L1406" s="23">
        <f t="shared" si="158"/>
        <v>45778</v>
      </c>
      <c r="M1406" s="20">
        <f t="shared" si="159"/>
        <v>10</v>
      </c>
      <c r="N1406" s="20">
        <f t="shared" si="160"/>
        <v>0</v>
      </c>
      <c r="O1406" s="20">
        <f t="shared" si="161"/>
        <v>1</v>
      </c>
      <c r="P1406" s="22">
        <f t="shared" si="162"/>
        <v>176.98000000000002</v>
      </c>
      <c r="Q1406" s="22">
        <f>G1406*INDEX(Assumptions!$B$8:$B$16,MATCH(F1406,Assumptions!$A$8:$A$16,0))</f>
        <v>98.703000000000017</v>
      </c>
      <c r="R1406" s="22">
        <f>H1406*Assumptions!$B$3</f>
        <v>16.457999999999998</v>
      </c>
      <c r="S1406" s="22">
        <f t="shared" si="163"/>
        <v>34.388999999999996</v>
      </c>
      <c r="T1406" s="20" t="str">
        <f t="shared" si="164"/>
        <v>8-14 days</v>
      </c>
    </row>
    <row r="1407" spans="1:20" x14ac:dyDescent="0.3">
      <c r="A1407" s="20" t="s">
        <v>1473</v>
      </c>
      <c r="B1407" s="20" t="s">
        <v>48</v>
      </c>
      <c r="C1407" s="21">
        <v>45786</v>
      </c>
      <c r="D1407" s="21">
        <v>45811</v>
      </c>
      <c r="E1407" s="21">
        <v>45807</v>
      </c>
      <c r="F1407" s="20" t="s">
        <v>59</v>
      </c>
      <c r="G1407" s="22">
        <v>97.33</v>
      </c>
      <c r="H1407" s="22">
        <v>25.9</v>
      </c>
      <c r="I1407" s="20" t="s">
        <v>45</v>
      </c>
      <c r="J1407" s="20">
        <v>3</v>
      </c>
      <c r="K1407" s="20" t="s">
        <v>46</v>
      </c>
      <c r="L1407" s="23">
        <f t="shared" si="158"/>
        <v>45778</v>
      </c>
      <c r="M1407" s="20">
        <f t="shared" si="159"/>
        <v>25</v>
      </c>
      <c r="N1407" s="20">
        <f t="shared" si="160"/>
        <v>4</v>
      </c>
      <c r="O1407" s="20">
        <f t="shared" si="161"/>
        <v>0</v>
      </c>
      <c r="P1407" s="22">
        <f t="shared" si="162"/>
        <v>123.22999999999999</v>
      </c>
      <c r="Q1407" s="22">
        <f>G1407*INDEX(Assumptions!$B$8:$B$16,MATCH(F1407,Assumptions!$A$8:$A$16,0))</f>
        <v>62.291200000000003</v>
      </c>
      <c r="R1407" s="22">
        <f>H1407*Assumptions!$B$3</f>
        <v>15.54</v>
      </c>
      <c r="S1407" s="22">
        <f t="shared" si="163"/>
        <v>19.498799999999996</v>
      </c>
      <c r="T1407" s="20" t="str">
        <f t="shared" si="164"/>
        <v>22+ days</v>
      </c>
    </row>
    <row r="1408" spans="1:20" x14ac:dyDescent="0.3">
      <c r="A1408" s="20" t="s">
        <v>1474</v>
      </c>
      <c r="B1408" s="20" t="s">
        <v>55</v>
      </c>
      <c r="C1408" s="21">
        <v>45787</v>
      </c>
      <c r="D1408" s="21">
        <v>45796</v>
      </c>
      <c r="E1408" s="21">
        <v>45811</v>
      </c>
      <c r="F1408" s="20" t="s">
        <v>67</v>
      </c>
      <c r="G1408" s="22">
        <v>55.37</v>
      </c>
      <c r="H1408" s="22">
        <v>24.05</v>
      </c>
      <c r="I1408" s="20" t="s">
        <v>45</v>
      </c>
      <c r="J1408" s="20">
        <v>5</v>
      </c>
      <c r="K1408" s="20" t="s">
        <v>46</v>
      </c>
      <c r="L1408" s="23">
        <f t="shared" si="158"/>
        <v>45778</v>
      </c>
      <c r="M1408" s="20">
        <f t="shared" si="159"/>
        <v>9</v>
      </c>
      <c r="N1408" s="20">
        <f t="shared" si="160"/>
        <v>0</v>
      </c>
      <c r="O1408" s="20">
        <f t="shared" si="161"/>
        <v>1</v>
      </c>
      <c r="P1408" s="22">
        <f t="shared" si="162"/>
        <v>79.42</v>
      </c>
      <c r="Q1408" s="22">
        <f>G1408*INDEX(Assumptions!$B$8:$B$16,MATCH(F1408,Assumptions!$A$8:$A$16,0))</f>
        <v>34.3294</v>
      </c>
      <c r="R1408" s="22">
        <f>H1408*Assumptions!$B$3</f>
        <v>14.43</v>
      </c>
      <c r="S1408" s="22">
        <f t="shared" si="163"/>
        <v>6.610599999999998</v>
      </c>
      <c r="T1408" s="20" t="str">
        <f t="shared" si="164"/>
        <v>8-14 days</v>
      </c>
    </row>
    <row r="1409" spans="1:20" x14ac:dyDescent="0.3">
      <c r="A1409" s="20" t="s">
        <v>1475</v>
      </c>
      <c r="B1409" s="20" t="s">
        <v>52</v>
      </c>
      <c r="C1409" s="21">
        <v>45787</v>
      </c>
      <c r="D1409" s="21">
        <v>45797</v>
      </c>
      <c r="E1409" s="21">
        <v>45813</v>
      </c>
      <c r="F1409" s="20" t="s">
        <v>49</v>
      </c>
      <c r="G1409" s="22">
        <v>108.95</v>
      </c>
      <c r="H1409" s="22">
        <v>23.5</v>
      </c>
      <c r="I1409" s="20" t="s">
        <v>45</v>
      </c>
      <c r="J1409" s="20">
        <v>4</v>
      </c>
      <c r="K1409" s="20" t="s">
        <v>46</v>
      </c>
      <c r="L1409" s="23">
        <f t="shared" si="158"/>
        <v>45778</v>
      </c>
      <c r="M1409" s="20">
        <f t="shared" si="159"/>
        <v>10</v>
      </c>
      <c r="N1409" s="20">
        <f t="shared" si="160"/>
        <v>0</v>
      </c>
      <c r="O1409" s="20">
        <f t="shared" si="161"/>
        <v>1</v>
      </c>
      <c r="P1409" s="22">
        <f t="shared" si="162"/>
        <v>132.44999999999999</v>
      </c>
      <c r="Q1409" s="22">
        <f>G1409*INDEX(Assumptions!$B$8:$B$16,MATCH(F1409,Assumptions!$A$8:$A$16,0))</f>
        <v>63.190999999999995</v>
      </c>
      <c r="R1409" s="22">
        <f>H1409*Assumptions!$B$3</f>
        <v>14.1</v>
      </c>
      <c r="S1409" s="22">
        <f t="shared" si="163"/>
        <v>31.659000000000006</v>
      </c>
      <c r="T1409" s="20" t="str">
        <f t="shared" si="164"/>
        <v>8-14 days</v>
      </c>
    </row>
    <row r="1410" spans="1:20" x14ac:dyDescent="0.3">
      <c r="A1410" s="20" t="s">
        <v>1476</v>
      </c>
      <c r="B1410" s="20" t="s">
        <v>19</v>
      </c>
      <c r="C1410" s="21">
        <v>45787</v>
      </c>
      <c r="D1410" s="21">
        <v>45796</v>
      </c>
      <c r="E1410" s="21">
        <v>45804</v>
      </c>
      <c r="F1410" s="20" t="s">
        <v>67</v>
      </c>
      <c r="G1410" s="22">
        <v>129.96</v>
      </c>
      <c r="H1410" s="22">
        <v>21.55</v>
      </c>
      <c r="I1410" s="20" t="s">
        <v>45</v>
      </c>
      <c r="J1410" s="20">
        <v>4</v>
      </c>
      <c r="K1410" s="20" t="s">
        <v>46</v>
      </c>
      <c r="L1410" s="23">
        <f t="shared" ref="L1410:L1473" si="165">DATE(YEAR(C1410),MONTH(C1410),1)</f>
        <v>45778</v>
      </c>
      <c r="M1410" s="20">
        <f t="shared" ref="M1410:M1473" si="166">D1410-C1410</f>
        <v>9</v>
      </c>
      <c r="N1410" s="20">
        <f t="shared" ref="N1410:N1473" si="167">MAX(0,D1410-E1410)</f>
        <v>0</v>
      </c>
      <c r="O1410" s="20">
        <f t="shared" ref="O1410:O1473" si="168">IF(D1410&lt;=E1410,1,0)</f>
        <v>1</v>
      </c>
      <c r="P1410" s="22">
        <f t="shared" ref="P1410:P1473" si="169">G1410+H1410</f>
        <v>151.51000000000002</v>
      </c>
      <c r="Q1410" s="22">
        <f>G1410*INDEX(Assumptions!$B$8:$B$16,MATCH(F1410,Assumptions!$A$8:$A$16,0))</f>
        <v>80.575200000000009</v>
      </c>
      <c r="R1410" s="22">
        <f>H1410*Assumptions!$B$3</f>
        <v>12.93</v>
      </c>
      <c r="S1410" s="22">
        <f t="shared" ref="S1410:S1473" si="170">G1410-Q1410-R1410</f>
        <v>36.454799999999999</v>
      </c>
      <c r="T1410" s="20" t="str">
        <f t="shared" ref="T1410:T1473" si="171">IF(M1410&lt;=7,"0-7 days",IF(M1410&lt;=14,"8-14 days",IF(M1410&lt;=21,"15-21 days","22+ days")))</f>
        <v>8-14 days</v>
      </c>
    </row>
    <row r="1411" spans="1:20" x14ac:dyDescent="0.3">
      <c r="A1411" s="20" t="s">
        <v>1477</v>
      </c>
      <c r="B1411" s="20" t="s">
        <v>19</v>
      </c>
      <c r="C1411" s="21">
        <v>45787</v>
      </c>
      <c r="D1411" s="21">
        <v>45793</v>
      </c>
      <c r="E1411" s="21">
        <v>45806</v>
      </c>
      <c r="F1411" s="20" t="s">
        <v>67</v>
      </c>
      <c r="G1411" s="22">
        <v>82.87</v>
      </c>
      <c r="H1411" s="22">
        <v>15.46</v>
      </c>
      <c r="I1411" s="20" t="s">
        <v>45</v>
      </c>
      <c r="J1411" s="20">
        <v>3</v>
      </c>
      <c r="K1411" s="20" t="s">
        <v>46</v>
      </c>
      <c r="L1411" s="23">
        <f t="shared" si="165"/>
        <v>45778</v>
      </c>
      <c r="M1411" s="20">
        <f t="shared" si="166"/>
        <v>6</v>
      </c>
      <c r="N1411" s="20">
        <f t="shared" si="167"/>
        <v>0</v>
      </c>
      <c r="O1411" s="20">
        <f t="shared" si="168"/>
        <v>1</v>
      </c>
      <c r="P1411" s="22">
        <f t="shared" si="169"/>
        <v>98.330000000000013</v>
      </c>
      <c r="Q1411" s="22">
        <f>G1411*INDEX(Assumptions!$B$8:$B$16,MATCH(F1411,Assumptions!$A$8:$A$16,0))</f>
        <v>51.379400000000004</v>
      </c>
      <c r="R1411" s="22">
        <f>H1411*Assumptions!$B$3</f>
        <v>9.2759999999999998</v>
      </c>
      <c r="S1411" s="22">
        <f t="shared" si="170"/>
        <v>22.214600000000001</v>
      </c>
      <c r="T1411" s="20" t="str">
        <f t="shared" si="171"/>
        <v>0-7 days</v>
      </c>
    </row>
    <row r="1412" spans="1:20" x14ac:dyDescent="0.3">
      <c r="A1412" s="20" t="s">
        <v>1478</v>
      </c>
      <c r="B1412" s="20" t="s">
        <v>93</v>
      </c>
      <c r="C1412" s="21">
        <v>45787</v>
      </c>
      <c r="D1412" s="21">
        <v>45827</v>
      </c>
      <c r="E1412" s="21">
        <v>45818</v>
      </c>
      <c r="F1412" s="20" t="s">
        <v>59</v>
      </c>
      <c r="G1412" s="22">
        <v>99.08</v>
      </c>
      <c r="H1412" s="22">
        <v>22.45</v>
      </c>
      <c r="I1412" s="20" t="s">
        <v>45</v>
      </c>
      <c r="J1412" s="20">
        <v>3</v>
      </c>
      <c r="K1412" s="20" t="s">
        <v>46</v>
      </c>
      <c r="L1412" s="23">
        <f t="shared" si="165"/>
        <v>45778</v>
      </c>
      <c r="M1412" s="20">
        <f t="shared" si="166"/>
        <v>40</v>
      </c>
      <c r="N1412" s="20">
        <f t="shared" si="167"/>
        <v>9</v>
      </c>
      <c r="O1412" s="20">
        <f t="shared" si="168"/>
        <v>0</v>
      </c>
      <c r="P1412" s="22">
        <f t="shared" si="169"/>
        <v>121.53</v>
      </c>
      <c r="Q1412" s="22">
        <f>G1412*INDEX(Assumptions!$B$8:$B$16,MATCH(F1412,Assumptions!$A$8:$A$16,0))</f>
        <v>63.411200000000001</v>
      </c>
      <c r="R1412" s="22">
        <f>H1412*Assumptions!$B$3</f>
        <v>13.469999999999999</v>
      </c>
      <c r="S1412" s="22">
        <f t="shared" si="170"/>
        <v>22.198799999999999</v>
      </c>
      <c r="T1412" s="20" t="str">
        <f t="shared" si="171"/>
        <v>22+ days</v>
      </c>
    </row>
    <row r="1413" spans="1:20" x14ac:dyDescent="0.3">
      <c r="A1413" s="20" t="s">
        <v>1479</v>
      </c>
      <c r="B1413" s="20" t="s">
        <v>19</v>
      </c>
      <c r="C1413" s="21">
        <v>45788</v>
      </c>
      <c r="D1413" s="21">
        <v>45800</v>
      </c>
      <c r="E1413" s="21">
        <v>45802</v>
      </c>
      <c r="F1413" s="20" t="s">
        <v>49</v>
      </c>
      <c r="G1413" s="22">
        <v>114.92</v>
      </c>
      <c r="H1413" s="22">
        <v>20.190000000000001</v>
      </c>
      <c r="I1413" s="20" t="s">
        <v>45</v>
      </c>
      <c r="J1413" s="20">
        <v>4</v>
      </c>
      <c r="K1413" s="20" t="s">
        <v>46</v>
      </c>
      <c r="L1413" s="23">
        <f t="shared" si="165"/>
        <v>45778</v>
      </c>
      <c r="M1413" s="20">
        <f t="shared" si="166"/>
        <v>12</v>
      </c>
      <c r="N1413" s="20">
        <f t="shared" si="167"/>
        <v>0</v>
      </c>
      <c r="O1413" s="20">
        <f t="shared" si="168"/>
        <v>1</v>
      </c>
      <c r="P1413" s="22">
        <f t="shared" si="169"/>
        <v>135.11000000000001</v>
      </c>
      <c r="Q1413" s="22">
        <f>G1413*INDEX(Assumptions!$B$8:$B$16,MATCH(F1413,Assumptions!$A$8:$A$16,0))</f>
        <v>66.653599999999997</v>
      </c>
      <c r="R1413" s="22">
        <f>H1413*Assumptions!$B$3</f>
        <v>12.114000000000001</v>
      </c>
      <c r="S1413" s="22">
        <f t="shared" si="170"/>
        <v>36.1524</v>
      </c>
      <c r="T1413" s="20" t="str">
        <f t="shared" si="171"/>
        <v>8-14 days</v>
      </c>
    </row>
    <row r="1414" spans="1:20" x14ac:dyDescent="0.3">
      <c r="A1414" s="20" t="s">
        <v>1480</v>
      </c>
      <c r="B1414" s="20" t="s">
        <v>55</v>
      </c>
      <c r="C1414" s="21">
        <v>45788</v>
      </c>
      <c r="D1414" s="21">
        <v>45803</v>
      </c>
      <c r="E1414" s="21">
        <v>45815</v>
      </c>
      <c r="F1414" s="20" t="s">
        <v>44</v>
      </c>
      <c r="G1414" s="22">
        <v>59.91</v>
      </c>
      <c r="H1414" s="22">
        <v>22.08</v>
      </c>
      <c r="I1414" s="20" t="s">
        <v>45</v>
      </c>
      <c r="J1414" s="20">
        <v>4</v>
      </c>
      <c r="K1414" s="20" t="s">
        <v>46</v>
      </c>
      <c r="L1414" s="23">
        <f t="shared" si="165"/>
        <v>45778</v>
      </c>
      <c r="M1414" s="20">
        <f t="shared" si="166"/>
        <v>15</v>
      </c>
      <c r="N1414" s="20">
        <f t="shared" si="167"/>
        <v>0</v>
      </c>
      <c r="O1414" s="20">
        <f t="shared" si="168"/>
        <v>1</v>
      </c>
      <c r="P1414" s="22">
        <f t="shared" si="169"/>
        <v>81.99</v>
      </c>
      <c r="Q1414" s="22">
        <f>G1414*INDEX(Assumptions!$B$8:$B$16,MATCH(F1414,Assumptions!$A$8:$A$16,0))</f>
        <v>35.945999999999998</v>
      </c>
      <c r="R1414" s="22">
        <f>H1414*Assumptions!$B$3</f>
        <v>13.247999999999999</v>
      </c>
      <c r="S1414" s="22">
        <f t="shared" si="170"/>
        <v>10.715999999999999</v>
      </c>
      <c r="T1414" s="20" t="str">
        <f t="shared" si="171"/>
        <v>15-21 days</v>
      </c>
    </row>
    <row r="1415" spans="1:20" x14ac:dyDescent="0.3">
      <c r="A1415" s="20" t="s">
        <v>1481</v>
      </c>
      <c r="B1415" s="20" t="s">
        <v>19</v>
      </c>
      <c r="C1415" s="21">
        <v>45788</v>
      </c>
      <c r="D1415" s="21">
        <v>45796</v>
      </c>
      <c r="E1415" s="21">
        <v>45805</v>
      </c>
      <c r="F1415" s="20" t="s">
        <v>49</v>
      </c>
      <c r="G1415" s="22">
        <v>75.55</v>
      </c>
      <c r="H1415" s="22">
        <v>12.07</v>
      </c>
      <c r="I1415" s="20" t="s">
        <v>45</v>
      </c>
      <c r="J1415" s="20">
        <v>5</v>
      </c>
      <c r="K1415" s="20" t="s">
        <v>46</v>
      </c>
      <c r="L1415" s="23">
        <f t="shared" si="165"/>
        <v>45778</v>
      </c>
      <c r="M1415" s="20">
        <f t="shared" si="166"/>
        <v>8</v>
      </c>
      <c r="N1415" s="20">
        <f t="shared" si="167"/>
        <v>0</v>
      </c>
      <c r="O1415" s="20">
        <f t="shared" si="168"/>
        <v>1</v>
      </c>
      <c r="P1415" s="22">
        <f t="shared" si="169"/>
        <v>87.62</v>
      </c>
      <c r="Q1415" s="22">
        <f>G1415*INDEX(Assumptions!$B$8:$B$16,MATCH(F1415,Assumptions!$A$8:$A$16,0))</f>
        <v>43.818999999999996</v>
      </c>
      <c r="R1415" s="22">
        <f>H1415*Assumptions!$B$3</f>
        <v>7.242</v>
      </c>
      <c r="S1415" s="22">
        <f t="shared" si="170"/>
        <v>24.489000000000001</v>
      </c>
      <c r="T1415" s="20" t="str">
        <f t="shared" si="171"/>
        <v>8-14 days</v>
      </c>
    </row>
    <row r="1416" spans="1:20" x14ac:dyDescent="0.3">
      <c r="A1416" s="20" t="s">
        <v>1482</v>
      </c>
      <c r="B1416" s="20" t="s">
        <v>48</v>
      </c>
      <c r="C1416" s="21">
        <v>45789</v>
      </c>
      <c r="D1416" s="21">
        <v>45805</v>
      </c>
      <c r="E1416" s="21">
        <v>45812</v>
      </c>
      <c r="F1416" s="20" t="s">
        <v>59</v>
      </c>
      <c r="G1416" s="22">
        <v>105.88</v>
      </c>
      <c r="H1416" s="22">
        <v>19.059999999999999</v>
      </c>
      <c r="I1416" s="20" t="s">
        <v>45</v>
      </c>
      <c r="J1416" s="20">
        <v>5</v>
      </c>
      <c r="K1416" s="20" t="s">
        <v>46</v>
      </c>
      <c r="L1416" s="23">
        <f t="shared" si="165"/>
        <v>45778</v>
      </c>
      <c r="M1416" s="20">
        <f t="shared" si="166"/>
        <v>16</v>
      </c>
      <c r="N1416" s="20">
        <f t="shared" si="167"/>
        <v>0</v>
      </c>
      <c r="O1416" s="20">
        <f t="shared" si="168"/>
        <v>1</v>
      </c>
      <c r="P1416" s="22">
        <f t="shared" si="169"/>
        <v>124.94</v>
      </c>
      <c r="Q1416" s="22">
        <f>G1416*INDEX(Assumptions!$B$8:$B$16,MATCH(F1416,Assumptions!$A$8:$A$16,0))</f>
        <v>67.763199999999998</v>
      </c>
      <c r="R1416" s="22">
        <f>H1416*Assumptions!$B$3</f>
        <v>11.435999999999998</v>
      </c>
      <c r="S1416" s="22">
        <f t="shared" si="170"/>
        <v>26.680799999999998</v>
      </c>
      <c r="T1416" s="20" t="str">
        <f t="shared" si="171"/>
        <v>15-21 days</v>
      </c>
    </row>
    <row r="1417" spans="1:20" x14ac:dyDescent="0.3">
      <c r="A1417" s="20" t="s">
        <v>1483</v>
      </c>
      <c r="B1417" s="20" t="s">
        <v>19</v>
      </c>
      <c r="C1417" s="21">
        <v>45789</v>
      </c>
      <c r="D1417" s="21">
        <v>45801</v>
      </c>
      <c r="E1417" s="21">
        <v>45803</v>
      </c>
      <c r="F1417" s="20" t="s">
        <v>49</v>
      </c>
      <c r="G1417" s="22">
        <v>88.87</v>
      </c>
      <c r="H1417" s="22">
        <v>13.39</v>
      </c>
      <c r="I1417" s="20" t="s">
        <v>45</v>
      </c>
      <c r="J1417" s="20">
        <v>4</v>
      </c>
      <c r="K1417" s="20" t="s">
        <v>46</v>
      </c>
      <c r="L1417" s="23">
        <f t="shared" si="165"/>
        <v>45778</v>
      </c>
      <c r="M1417" s="20">
        <f t="shared" si="166"/>
        <v>12</v>
      </c>
      <c r="N1417" s="20">
        <f t="shared" si="167"/>
        <v>0</v>
      </c>
      <c r="O1417" s="20">
        <f t="shared" si="168"/>
        <v>1</v>
      </c>
      <c r="P1417" s="22">
        <f t="shared" si="169"/>
        <v>102.26</v>
      </c>
      <c r="Q1417" s="22">
        <f>G1417*INDEX(Assumptions!$B$8:$B$16,MATCH(F1417,Assumptions!$A$8:$A$16,0))</f>
        <v>51.544600000000003</v>
      </c>
      <c r="R1417" s="22">
        <f>H1417*Assumptions!$B$3</f>
        <v>8.0340000000000007</v>
      </c>
      <c r="S1417" s="22">
        <f t="shared" si="170"/>
        <v>29.291400000000003</v>
      </c>
      <c r="T1417" s="20" t="str">
        <f t="shared" si="171"/>
        <v>8-14 days</v>
      </c>
    </row>
    <row r="1418" spans="1:20" x14ac:dyDescent="0.3">
      <c r="A1418" s="20" t="s">
        <v>1484</v>
      </c>
      <c r="B1418" s="20" t="s">
        <v>55</v>
      </c>
      <c r="C1418" s="21">
        <v>45789</v>
      </c>
      <c r="D1418" s="21">
        <v>45806</v>
      </c>
      <c r="E1418" s="21">
        <v>45813</v>
      </c>
      <c r="F1418" s="20" t="s">
        <v>64</v>
      </c>
      <c r="G1418" s="22">
        <v>184.73</v>
      </c>
      <c r="H1418" s="22">
        <v>22.26</v>
      </c>
      <c r="I1418" s="20" t="s">
        <v>45</v>
      </c>
      <c r="J1418" s="20">
        <v>5</v>
      </c>
      <c r="K1418" s="20" t="s">
        <v>46</v>
      </c>
      <c r="L1418" s="23">
        <f t="shared" si="165"/>
        <v>45778</v>
      </c>
      <c r="M1418" s="20">
        <f t="shared" si="166"/>
        <v>17</v>
      </c>
      <c r="N1418" s="20">
        <f t="shared" si="167"/>
        <v>0</v>
      </c>
      <c r="O1418" s="20">
        <f t="shared" si="168"/>
        <v>1</v>
      </c>
      <c r="P1418" s="22">
        <f t="shared" si="169"/>
        <v>206.98999999999998</v>
      </c>
      <c r="Q1418" s="22">
        <f>G1418*INDEX(Assumptions!$B$8:$B$16,MATCH(F1418,Assumptions!$A$8:$A$16,0))</f>
        <v>121.9218</v>
      </c>
      <c r="R1418" s="22">
        <f>H1418*Assumptions!$B$3</f>
        <v>13.356</v>
      </c>
      <c r="S1418" s="22">
        <f t="shared" si="170"/>
        <v>49.452199999999984</v>
      </c>
      <c r="T1418" s="20" t="str">
        <f t="shared" si="171"/>
        <v>15-21 days</v>
      </c>
    </row>
    <row r="1419" spans="1:20" x14ac:dyDescent="0.3">
      <c r="A1419" s="20" t="s">
        <v>1485</v>
      </c>
      <c r="B1419" s="20" t="s">
        <v>156</v>
      </c>
      <c r="C1419" s="21">
        <v>45789</v>
      </c>
      <c r="D1419" s="21">
        <v>45808</v>
      </c>
      <c r="E1419" s="21">
        <v>45816</v>
      </c>
      <c r="F1419" s="20" t="s">
        <v>111</v>
      </c>
      <c r="G1419" s="22">
        <v>67.88</v>
      </c>
      <c r="H1419" s="22">
        <v>19.260000000000002</v>
      </c>
      <c r="I1419" s="20" t="s">
        <v>60</v>
      </c>
      <c r="J1419" s="20">
        <v>5</v>
      </c>
      <c r="K1419" s="20" t="s">
        <v>46</v>
      </c>
      <c r="L1419" s="23">
        <f t="shared" si="165"/>
        <v>45778</v>
      </c>
      <c r="M1419" s="20">
        <f t="shared" si="166"/>
        <v>19</v>
      </c>
      <c r="N1419" s="20">
        <f t="shared" si="167"/>
        <v>0</v>
      </c>
      <c r="O1419" s="20">
        <f t="shared" si="168"/>
        <v>1</v>
      </c>
      <c r="P1419" s="22">
        <f t="shared" si="169"/>
        <v>87.14</v>
      </c>
      <c r="Q1419" s="22">
        <f>G1419*INDEX(Assumptions!$B$8:$B$16,MATCH(F1419,Assumptions!$A$8:$A$16,0))</f>
        <v>42.764399999999995</v>
      </c>
      <c r="R1419" s="22">
        <f>H1419*Assumptions!$B$3</f>
        <v>11.556000000000001</v>
      </c>
      <c r="S1419" s="22">
        <f t="shared" si="170"/>
        <v>13.5596</v>
      </c>
      <c r="T1419" s="20" t="str">
        <f t="shared" si="171"/>
        <v>15-21 days</v>
      </c>
    </row>
    <row r="1420" spans="1:20" x14ac:dyDescent="0.3">
      <c r="A1420" s="20" t="s">
        <v>1486</v>
      </c>
      <c r="B1420" s="20" t="s">
        <v>19</v>
      </c>
      <c r="C1420" s="21">
        <v>45789</v>
      </c>
      <c r="D1420" s="21">
        <v>45796</v>
      </c>
      <c r="E1420" s="21">
        <v>45807</v>
      </c>
      <c r="F1420" s="20" t="s">
        <v>67</v>
      </c>
      <c r="G1420" s="22">
        <v>123.64</v>
      </c>
      <c r="H1420" s="22">
        <v>22.3</v>
      </c>
      <c r="I1420" s="20" t="s">
        <v>45</v>
      </c>
      <c r="J1420" s="20">
        <v>4</v>
      </c>
      <c r="K1420" s="20" t="s">
        <v>46</v>
      </c>
      <c r="L1420" s="23">
        <f t="shared" si="165"/>
        <v>45778</v>
      </c>
      <c r="M1420" s="20">
        <f t="shared" si="166"/>
        <v>7</v>
      </c>
      <c r="N1420" s="20">
        <f t="shared" si="167"/>
        <v>0</v>
      </c>
      <c r="O1420" s="20">
        <f t="shared" si="168"/>
        <v>1</v>
      </c>
      <c r="P1420" s="22">
        <f t="shared" si="169"/>
        <v>145.94</v>
      </c>
      <c r="Q1420" s="22">
        <f>G1420*INDEX(Assumptions!$B$8:$B$16,MATCH(F1420,Assumptions!$A$8:$A$16,0))</f>
        <v>76.656800000000004</v>
      </c>
      <c r="R1420" s="22">
        <f>H1420*Assumptions!$B$3</f>
        <v>13.38</v>
      </c>
      <c r="S1420" s="22">
        <f t="shared" si="170"/>
        <v>33.603199999999994</v>
      </c>
      <c r="T1420" s="20" t="str">
        <f t="shared" si="171"/>
        <v>0-7 days</v>
      </c>
    </row>
    <row r="1421" spans="1:20" x14ac:dyDescent="0.3">
      <c r="A1421" s="20" t="s">
        <v>1487</v>
      </c>
      <c r="B1421" s="20" t="s">
        <v>19</v>
      </c>
      <c r="C1421" s="21">
        <v>45789</v>
      </c>
      <c r="D1421" s="21">
        <v>45798</v>
      </c>
      <c r="E1421" s="21">
        <v>45802</v>
      </c>
      <c r="F1421" s="20" t="s">
        <v>57</v>
      </c>
      <c r="G1421" s="22">
        <v>92.5</v>
      </c>
      <c r="H1421" s="22">
        <v>12.52</v>
      </c>
      <c r="I1421" s="20" t="s">
        <v>45</v>
      </c>
      <c r="J1421" s="20">
        <v>5</v>
      </c>
      <c r="K1421" s="20" t="s">
        <v>46</v>
      </c>
      <c r="L1421" s="23">
        <f t="shared" si="165"/>
        <v>45778</v>
      </c>
      <c r="M1421" s="20">
        <f t="shared" si="166"/>
        <v>9</v>
      </c>
      <c r="N1421" s="20">
        <f t="shared" si="167"/>
        <v>0</v>
      </c>
      <c r="O1421" s="20">
        <f t="shared" si="168"/>
        <v>1</v>
      </c>
      <c r="P1421" s="22">
        <f t="shared" si="169"/>
        <v>105.02</v>
      </c>
      <c r="Q1421" s="22">
        <f>G1421*INDEX(Assumptions!$B$8:$B$16,MATCH(F1421,Assumptions!$A$8:$A$16,0))</f>
        <v>62.900000000000006</v>
      </c>
      <c r="R1421" s="22">
        <f>H1421*Assumptions!$B$3</f>
        <v>7.5119999999999996</v>
      </c>
      <c r="S1421" s="22">
        <f t="shared" si="170"/>
        <v>22.087999999999994</v>
      </c>
      <c r="T1421" s="20" t="str">
        <f t="shared" si="171"/>
        <v>8-14 days</v>
      </c>
    </row>
    <row r="1422" spans="1:20" x14ac:dyDescent="0.3">
      <c r="A1422" s="20" t="s">
        <v>1488</v>
      </c>
      <c r="B1422" s="20" t="s">
        <v>19</v>
      </c>
      <c r="C1422" s="21">
        <v>45790</v>
      </c>
      <c r="D1422" s="21">
        <v>45796</v>
      </c>
      <c r="E1422" s="21">
        <v>45803</v>
      </c>
      <c r="F1422" s="20" t="s">
        <v>79</v>
      </c>
      <c r="G1422" s="22">
        <v>125.64</v>
      </c>
      <c r="H1422" s="22">
        <v>19.77</v>
      </c>
      <c r="I1422" s="20" t="s">
        <v>60</v>
      </c>
      <c r="J1422" s="20">
        <v>5</v>
      </c>
      <c r="K1422" s="20" t="s">
        <v>46</v>
      </c>
      <c r="L1422" s="23">
        <f t="shared" si="165"/>
        <v>45778</v>
      </c>
      <c r="M1422" s="20">
        <f t="shared" si="166"/>
        <v>6</v>
      </c>
      <c r="N1422" s="20">
        <f t="shared" si="167"/>
        <v>0</v>
      </c>
      <c r="O1422" s="20">
        <f t="shared" si="168"/>
        <v>1</v>
      </c>
      <c r="P1422" s="22">
        <f t="shared" si="169"/>
        <v>145.41</v>
      </c>
      <c r="Q1422" s="22">
        <f>G1422*INDEX(Assumptions!$B$8:$B$16,MATCH(F1422,Assumptions!$A$8:$A$16,0))</f>
        <v>87.947999999999993</v>
      </c>
      <c r="R1422" s="22">
        <f>H1422*Assumptions!$B$3</f>
        <v>11.862</v>
      </c>
      <c r="S1422" s="22">
        <f t="shared" si="170"/>
        <v>25.830000000000005</v>
      </c>
      <c r="T1422" s="20" t="str">
        <f t="shared" si="171"/>
        <v>0-7 days</v>
      </c>
    </row>
    <row r="1423" spans="1:20" x14ac:dyDescent="0.3">
      <c r="A1423" s="20" t="s">
        <v>1489</v>
      </c>
      <c r="B1423" s="20" t="s">
        <v>201</v>
      </c>
      <c r="C1423" s="21">
        <v>45790</v>
      </c>
      <c r="D1423" s="21">
        <v>45816</v>
      </c>
      <c r="E1423" s="21">
        <v>45821</v>
      </c>
      <c r="F1423" s="20" t="s">
        <v>53</v>
      </c>
      <c r="G1423" s="22">
        <v>94.78</v>
      </c>
      <c r="H1423" s="22">
        <v>30.64</v>
      </c>
      <c r="I1423" s="20" t="s">
        <v>45</v>
      </c>
      <c r="J1423" s="20">
        <v>4</v>
      </c>
      <c r="K1423" s="20" t="s">
        <v>46</v>
      </c>
      <c r="L1423" s="23">
        <f t="shared" si="165"/>
        <v>45778</v>
      </c>
      <c r="M1423" s="20">
        <f t="shared" si="166"/>
        <v>26</v>
      </c>
      <c r="N1423" s="20">
        <f t="shared" si="167"/>
        <v>0</v>
      </c>
      <c r="O1423" s="20">
        <f t="shared" si="168"/>
        <v>1</v>
      </c>
      <c r="P1423" s="22">
        <f t="shared" si="169"/>
        <v>125.42</v>
      </c>
      <c r="Q1423" s="22">
        <f>G1423*INDEX(Assumptions!$B$8:$B$16,MATCH(F1423,Assumptions!$A$8:$A$16,0))</f>
        <v>70.137200000000007</v>
      </c>
      <c r="R1423" s="22">
        <f>H1423*Assumptions!$B$3</f>
        <v>18.384</v>
      </c>
      <c r="S1423" s="22">
        <f t="shared" si="170"/>
        <v>6.2587999999999937</v>
      </c>
      <c r="T1423" s="20" t="str">
        <f t="shared" si="171"/>
        <v>22+ days</v>
      </c>
    </row>
    <row r="1424" spans="1:20" x14ac:dyDescent="0.3">
      <c r="A1424" s="20" t="s">
        <v>1490</v>
      </c>
      <c r="B1424" s="20" t="s">
        <v>52</v>
      </c>
      <c r="C1424" s="21">
        <v>45791</v>
      </c>
      <c r="D1424" s="21">
        <v>45801</v>
      </c>
      <c r="E1424" s="21">
        <v>45816</v>
      </c>
      <c r="F1424" s="20" t="s">
        <v>111</v>
      </c>
      <c r="G1424" s="22">
        <v>107.63</v>
      </c>
      <c r="H1424" s="22">
        <v>19.95</v>
      </c>
      <c r="I1424" s="20" t="s">
        <v>45</v>
      </c>
      <c r="J1424" s="20">
        <v>4</v>
      </c>
      <c r="K1424" s="20" t="s">
        <v>46</v>
      </c>
      <c r="L1424" s="23">
        <f t="shared" si="165"/>
        <v>45778</v>
      </c>
      <c r="M1424" s="20">
        <f t="shared" si="166"/>
        <v>10</v>
      </c>
      <c r="N1424" s="20">
        <f t="shared" si="167"/>
        <v>0</v>
      </c>
      <c r="O1424" s="20">
        <f t="shared" si="168"/>
        <v>1</v>
      </c>
      <c r="P1424" s="22">
        <f t="shared" si="169"/>
        <v>127.58</v>
      </c>
      <c r="Q1424" s="22">
        <f>G1424*INDEX(Assumptions!$B$8:$B$16,MATCH(F1424,Assumptions!$A$8:$A$16,0))</f>
        <v>67.806899999999999</v>
      </c>
      <c r="R1424" s="22">
        <f>H1424*Assumptions!$B$3</f>
        <v>11.969999999999999</v>
      </c>
      <c r="S1424" s="22">
        <f t="shared" si="170"/>
        <v>27.853099999999998</v>
      </c>
      <c r="T1424" s="20" t="str">
        <f t="shared" si="171"/>
        <v>8-14 days</v>
      </c>
    </row>
    <row r="1425" spans="1:20" x14ac:dyDescent="0.3">
      <c r="A1425" s="20" t="s">
        <v>1491</v>
      </c>
      <c r="B1425" s="20" t="s">
        <v>19</v>
      </c>
      <c r="C1425" s="21">
        <v>45791</v>
      </c>
      <c r="D1425" s="21">
        <v>45797</v>
      </c>
      <c r="E1425" s="21">
        <v>45803</v>
      </c>
      <c r="F1425" s="20" t="s">
        <v>79</v>
      </c>
      <c r="G1425" s="22">
        <v>36.4</v>
      </c>
      <c r="H1425" s="22">
        <v>15.58</v>
      </c>
      <c r="I1425" s="20" t="s">
        <v>60</v>
      </c>
      <c r="J1425" s="20">
        <v>5</v>
      </c>
      <c r="K1425" s="20" t="s">
        <v>46</v>
      </c>
      <c r="L1425" s="23">
        <f t="shared" si="165"/>
        <v>45778</v>
      </c>
      <c r="M1425" s="20">
        <f t="shared" si="166"/>
        <v>6</v>
      </c>
      <c r="N1425" s="20">
        <f t="shared" si="167"/>
        <v>0</v>
      </c>
      <c r="O1425" s="20">
        <f t="shared" si="168"/>
        <v>1</v>
      </c>
      <c r="P1425" s="22">
        <f t="shared" si="169"/>
        <v>51.98</v>
      </c>
      <c r="Q1425" s="22">
        <f>G1425*INDEX(Assumptions!$B$8:$B$16,MATCH(F1425,Assumptions!$A$8:$A$16,0))</f>
        <v>25.479999999999997</v>
      </c>
      <c r="R1425" s="22">
        <f>H1425*Assumptions!$B$3</f>
        <v>9.347999999999999</v>
      </c>
      <c r="S1425" s="22">
        <f t="shared" si="170"/>
        <v>1.5720000000000027</v>
      </c>
      <c r="T1425" s="20" t="str">
        <f t="shared" si="171"/>
        <v>0-7 days</v>
      </c>
    </row>
    <row r="1426" spans="1:20" x14ac:dyDescent="0.3">
      <c r="A1426" s="20" t="s">
        <v>1492</v>
      </c>
      <c r="B1426" s="20" t="s">
        <v>19</v>
      </c>
      <c r="C1426" s="21">
        <v>45791</v>
      </c>
      <c r="D1426" s="21">
        <v>45805</v>
      </c>
      <c r="E1426" s="21">
        <v>45804</v>
      </c>
      <c r="F1426" s="20" t="s">
        <v>59</v>
      </c>
      <c r="G1426" s="22">
        <v>39.17</v>
      </c>
      <c r="H1426" s="22">
        <v>17.77</v>
      </c>
      <c r="I1426" s="20" t="s">
        <v>45</v>
      </c>
      <c r="J1426" s="20">
        <v>3</v>
      </c>
      <c r="K1426" s="20" t="s">
        <v>46</v>
      </c>
      <c r="L1426" s="23">
        <f t="shared" si="165"/>
        <v>45778</v>
      </c>
      <c r="M1426" s="20">
        <f t="shared" si="166"/>
        <v>14</v>
      </c>
      <c r="N1426" s="20">
        <f t="shared" si="167"/>
        <v>1</v>
      </c>
      <c r="O1426" s="20">
        <f t="shared" si="168"/>
        <v>0</v>
      </c>
      <c r="P1426" s="22">
        <f t="shared" si="169"/>
        <v>56.94</v>
      </c>
      <c r="Q1426" s="22">
        <f>G1426*INDEX(Assumptions!$B$8:$B$16,MATCH(F1426,Assumptions!$A$8:$A$16,0))</f>
        <v>25.068800000000003</v>
      </c>
      <c r="R1426" s="22">
        <f>H1426*Assumptions!$B$3</f>
        <v>10.661999999999999</v>
      </c>
      <c r="S1426" s="22">
        <f t="shared" si="170"/>
        <v>3.4391999999999996</v>
      </c>
      <c r="T1426" s="20" t="str">
        <f t="shared" si="171"/>
        <v>8-14 days</v>
      </c>
    </row>
    <row r="1427" spans="1:20" x14ac:dyDescent="0.3">
      <c r="A1427" s="20" t="s">
        <v>1493</v>
      </c>
      <c r="B1427" s="20" t="s">
        <v>19</v>
      </c>
      <c r="C1427" s="21">
        <v>45791</v>
      </c>
      <c r="D1427" s="21">
        <v>45799</v>
      </c>
      <c r="E1427" s="21">
        <v>45806</v>
      </c>
      <c r="F1427" s="20" t="s">
        <v>49</v>
      </c>
      <c r="G1427" s="22">
        <v>74.959999999999994</v>
      </c>
      <c r="H1427" s="22">
        <v>17.46</v>
      </c>
      <c r="I1427" s="20" t="s">
        <v>45</v>
      </c>
      <c r="J1427" s="20">
        <v>5</v>
      </c>
      <c r="K1427" s="20" t="s">
        <v>46</v>
      </c>
      <c r="L1427" s="23">
        <f t="shared" si="165"/>
        <v>45778</v>
      </c>
      <c r="M1427" s="20">
        <f t="shared" si="166"/>
        <v>8</v>
      </c>
      <c r="N1427" s="20">
        <f t="shared" si="167"/>
        <v>0</v>
      </c>
      <c r="O1427" s="20">
        <f t="shared" si="168"/>
        <v>1</v>
      </c>
      <c r="P1427" s="22">
        <f t="shared" si="169"/>
        <v>92.419999999999987</v>
      </c>
      <c r="Q1427" s="22">
        <f>G1427*INDEX(Assumptions!$B$8:$B$16,MATCH(F1427,Assumptions!$A$8:$A$16,0))</f>
        <v>43.47679999999999</v>
      </c>
      <c r="R1427" s="22">
        <f>H1427*Assumptions!$B$3</f>
        <v>10.476000000000001</v>
      </c>
      <c r="S1427" s="22">
        <f t="shared" si="170"/>
        <v>21.007200000000005</v>
      </c>
      <c r="T1427" s="20" t="str">
        <f t="shared" si="171"/>
        <v>8-14 days</v>
      </c>
    </row>
    <row r="1428" spans="1:20" x14ac:dyDescent="0.3">
      <c r="A1428" s="20" t="s">
        <v>1494</v>
      </c>
      <c r="B1428" s="20" t="s">
        <v>134</v>
      </c>
      <c r="C1428" s="21">
        <v>45791</v>
      </c>
      <c r="D1428" s="21">
        <v>45800</v>
      </c>
      <c r="E1428" s="21">
        <v>45816</v>
      </c>
      <c r="F1428" s="20" t="s">
        <v>59</v>
      </c>
      <c r="G1428" s="22">
        <v>86.8</v>
      </c>
      <c r="H1428" s="22">
        <v>24.16</v>
      </c>
      <c r="I1428" s="20" t="s">
        <v>45</v>
      </c>
      <c r="J1428" s="20">
        <v>5</v>
      </c>
      <c r="K1428" s="20" t="s">
        <v>46</v>
      </c>
      <c r="L1428" s="23">
        <f t="shared" si="165"/>
        <v>45778</v>
      </c>
      <c r="M1428" s="20">
        <f t="shared" si="166"/>
        <v>9</v>
      </c>
      <c r="N1428" s="20">
        <f t="shared" si="167"/>
        <v>0</v>
      </c>
      <c r="O1428" s="20">
        <f t="shared" si="168"/>
        <v>1</v>
      </c>
      <c r="P1428" s="22">
        <f t="shared" si="169"/>
        <v>110.96</v>
      </c>
      <c r="Q1428" s="22">
        <f>G1428*INDEX(Assumptions!$B$8:$B$16,MATCH(F1428,Assumptions!$A$8:$A$16,0))</f>
        <v>55.552</v>
      </c>
      <c r="R1428" s="22">
        <f>H1428*Assumptions!$B$3</f>
        <v>14.495999999999999</v>
      </c>
      <c r="S1428" s="22">
        <f t="shared" si="170"/>
        <v>16.751999999999999</v>
      </c>
      <c r="T1428" s="20" t="str">
        <f t="shared" si="171"/>
        <v>8-14 days</v>
      </c>
    </row>
    <row r="1429" spans="1:20" x14ac:dyDescent="0.3">
      <c r="A1429" s="20" t="s">
        <v>1495</v>
      </c>
      <c r="B1429" s="20" t="s">
        <v>156</v>
      </c>
      <c r="C1429" s="21">
        <v>45791</v>
      </c>
      <c r="D1429" s="21">
        <v>45808</v>
      </c>
      <c r="E1429" s="21">
        <v>45813</v>
      </c>
      <c r="F1429" s="20" t="s">
        <v>79</v>
      </c>
      <c r="G1429" s="22">
        <v>168.13</v>
      </c>
      <c r="H1429" s="22">
        <v>26.79</v>
      </c>
      <c r="I1429" s="20" t="s">
        <v>45</v>
      </c>
      <c r="J1429" s="20">
        <v>5</v>
      </c>
      <c r="K1429" s="20" t="s">
        <v>46</v>
      </c>
      <c r="L1429" s="23">
        <f t="shared" si="165"/>
        <v>45778</v>
      </c>
      <c r="M1429" s="20">
        <f t="shared" si="166"/>
        <v>17</v>
      </c>
      <c r="N1429" s="20">
        <f t="shared" si="167"/>
        <v>0</v>
      </c>
      <c r="O1429" s="20">
        <f t="shared" si="168"/>
        <v>1</v>
      </c>
      <c r="P1429" s="22">
        <f t="shared" si="169"/>
        <v>194.92</v>
      </c>
      <c r="Q1429" s="22">
        <f>G1429*INDEX(Assumptions!$B$8:$B$16,MATCH(F1429,Assumptions!$A$8:$A$16,0))</f>
        <v>117.69099999999999</v>
      </c>
      <c r="R1429" s="22">
        <f>H1429*Assumptions!$B$3</f>
        <v>16.073999999999998</v>
      </c>
      <c r="S1429" s="22">
        <f t="shared" si="170"/>
        <v>34.365000000000009</v>
      </c>
      <c r="T1429" s="20" t="str">
        <f t="shared" si="171"/>
        <v>15-21 days</v>
      </c>
    </row>
    <row r="1430" spans="1:20" x14ac:dyDescent="0.3">
      <c r="A1430" s="20" t="s">
        <v>1496</v>
      </c>
      <c r="B1430" s="20" t="s">
        <v>19</v>
      </c>
      <c r="C1430" s="21">
        <v>45791</v>
      </c>
      <c r="D1430" s="21">
        <v>45800</v>
      </c>
      <c r="E1430" s="21">
        <v>45809</v>
      </c>
      <c r="F1430" s="20" t="s">
        <v>111</v>
      </c>
      <c r="G1430" s="22">
        <v>68.42</v>
      </c>
      <c r="H1430" s="22">
        <v>22.04</v>
      </c>
      <c r="I1430" s="20" t="s">
        <v>45</v>
      </c>
      <c r="J1430" s="20">
        <v>3</v>
      </c>
      <c r="K1430" s="20" t="s">
        <v>46</v>
      </c>
      <c r="L1430" s="23">
        <f t="shared" si="165"/>
        <v>45778</v>
      </c>
      <c r="M1430" s="20">
        <f t="shared" si="166"/>
        <v>9</v>
      </c>
      <c r="N1430" s="20">
        <f t="shared" si="167"/>
        <v>0</v>
      </c>
      <c r="O1430" s="20">
        <f t="shared" si="168"/>
        <v>1</v>
      </c>
      <c r="P1430" s="22">
        <f t="shared" si="169"/>
        <v>90.460000000000008</v>
      </c>
      <c r="Q1430" s="22">
        <f>G1430*INDEX(Assumptions!$B$8:$B$16,MATCH(F1430,Assumptions!$A$8:$A$16,0))</f>
        <v>43.104600000000005</v>
      </c>
      <c r="R1430" s="22">
        <f>H1430*Assumptions!$B$3</f>
        <v>13.223999999999998</v>
      </c>
      <c r="S1430" s="22">
        <f t="shared" si="170"/>
        <v>12.091399999999998</v>
      </c>
      <c r="T1430" s="20" t="str">
        <f t="shared" si="171"/>
        <v>8-14 days</v>
      </c>
    </row>
    <row r="1431" spans="1:20" x14ac:dyDescent="0.3">
      <c r="A1431" s="20" t="s">
        <v>1497</v>
      </c>
      <c r="B1431" s="20" t="s">
        <v>19</v>
      </c>
      <c r="C1431" s="21">
        <v>45791</v>
      </c>
      <c r="D1431" s="21">
        <v>45799</v>
      </c>
      <c r="E1431" s="21">
        <v>45804</v>
      </c>
      <c r="F1431" s="20" t="s">
        <v>64</v>
      </c>
      <c r="G1431" s="22">
        <v>175.44</v>
      </c>
      <c r="H1431" s="22">
        <v>22.96</v>
      </c>
      <c r="I1431" s="20" t="s">
        <v>45</v>
      </c>
      <c r="J1431" s="20">
        <v>5</v>
      </c>
      <c r="K1431" s="20" t="s">
        <v>46</v>
      </c>
      <c r="L1431" s="23">
        <f t="shared" si="165"/>
        <v>45778</v>
      </c>
      <c r="M1431" s="20">
        <f t="shared" si="166"/>
        <v>8</v>
      </c>
      <c r="N1431" s="20">
        <f t="shared" si="167"/>
        <v>0</v>
      </c>
      <c r="O1431" s="20">
        <f t="shared" si="168"/>
        <v>1</v>
      </c>
      <c r="P1431" s="22">
        <f t="shared" si="169"/>
        <v>198.4</v>
      </c>
      <c r="Q1431" s="22">
        <f>G1431*INDEX(Assumptions!$B$8:$B$16,MATCH(F1431,Assumptions!$A$8:$A$16,0))</f>
        <v>115.79040000000001</v>
      </c>
      <c r="R1431" s="22">
        <f>H1431*Assumptions!$B$3</f>
        <v>13.776</v>
      </c>
      <c r="S1431" s="22">
        <f t="shared" si="170"/>
        <v>45.873599999999996</v>
      </c>
      <c r="T1431" s="20" t="str">
        <f t="shared" si="171"/>
        <v>8-14 days</v>
      </c>
    </row>
    <row r="1432" spans="1:20" x14ac:dyDescent="0.3">
      <c r="A1432" s="20" t="s">
        <v>1498</v>
      </c>
      <c r="B1432" s="20" t="s">
        <v>19</v>
      </c>
      <c r="C1432" s="21">
        <v>45792</v>
      </c>
      <c r="D1432" s="21">
        <v>45800</v>
      </c>
      <c r="E1432" s="21">
        <v>45804</v>
      </c>
      <c r="F1432" s="20" t="s">
        <v>59</v>
      </c>
      <c r="G1432" s="22">
        <v>201.64</v>
      </c>
      <c r="H1432" s="22">
        <v>15.08</v>
      </c>
      <c r="I1432" s="20" t="s">
        <v>45</v>
      </c>
      <c r="J1432" s="20">
        <v>5</v>
      </c>
      <c r="K1432" s="20" t="s">
        <v>46</v>
      </c>
      <c r="L1432" s="23">
        <f t="shared" si="165"/>
        <v>45778</v>
      </c>
      <c r="M1432" s="20">
        <f t="shared" si="166"/>
        <v>8</v>
      </c>
      <c r="N1432" s="20">
        <f t="shared" si="167"/>
        <v>0</v>
      </c>
      <c r="O1432" s="20">
        <f t="shared" si="168"/>
        <v>1</v>
      </c>
      <c r="P1432" s="22">
        <f t="shared" si="169"/>
        <v>216.72</v>
      </c>
      <c r="Q1432" s="22">
        <f>G1432*INDEX(Assumptions!$B$8:$B$16,MATCH(F1432,Assumptions!$A$8:$A$16,0))</f>
        <v>129.0496</v>
      </c>
      <c r="R1432" s="22">
        <f>H1432*Assumptions!$B$3</f>
        <v>9.048</v>
      </c>
      <c r="S1432" s="22">
        <f t="shared" si="170"/>
        <v>63.542399999999986</v>
      </c>
      <c r="T1432" s="20" t="str">
        <f t="shared" si="171"/>
        <v>8-14 days</v>
      </c>
    </row>
    <row r="1433" spans="1:20" x14ac:dyDescent="0.3">
      <c r="A1433" s="20" t="s">
        <v>1499</v>
      </c>
      <c r="B1433" s="20" t="s">
        <v>174</v>
      </c>
      <c r="C1433" s="21">
        <v>45792</v>
      </c>
      <c r="D1433" s="21">
        <v>45817</v>
      </c>
      <c r="E1433" s="21">
        <v>45826</v>
      </c>
      <c r="F1433" s="20" t="s">
        <v>44</v>
      </c>
      <c r="G1433" s="22">
        <v>62.76</v>
      </c>
      <c r="H1433" s="22">
        <v>30.58</v>
      </c>
      <c r="I1433" s="20" t="s">
        <v>45</v>
      </c>
      <c r="J1433" s="20">
        <v>4</v>
      </c>
      <c r="K1433" s="20" t="s">
        <v>46</v>
      </c>
      <c r="L1433" s="23">
        <f t="shared" si="165"/>
        <v>45778</v>
      </c>
      <c r="M1433" s="20">
        <f t="shared" si="166"/>
        <v>25</v>
      </c>
      <c r="N1433" s="20">
        <f t="shared" si="167"/>
        <v>0</v>
      </c>
      <c r="O1433" s="20">
        <f t="shared" si="168"/>
        <v>1</v>
      </c>
      <c r="P1433" s="22">
        <f t="shared" si="169"/>
        <v>93.34</v>
      </c>
      <c r="Q1433" s="22">
        <f>G1433*INDEX(Assumptions!$B$8:$B$16,MATCH(F1433,Assumptions!$A$8:$A$16,0))</f>
        <v>37.655999999999999</v>
      </c>
      <c r="R1433" s="22">
        <f>H1433*Assumptions!$B$3</f>
        <v>18.347999999999999</v>
      </c>
      <c r="S1433" s="22">
        <f t="shared" si="170"/>
        <v>6.7560000000000002</v>
      </c>
      <c r="T1433" s="20" t="str">
        <f t="shared" si="171"/>
        <v>22+ days</v>
      </c>
    </row>
    <row r="1434" spans="1:20" x14ac:dyDescent="0.3">
      <c r="A1434" s="20" t="s">
        <v>1500</v>
      </c>
      <c r="B1434" s="20" t="s">
        <v>19</v>
      </c>
      <c r="C1434" s="21">
        <v>45792</v>
      </c>
      <c r="D1434" s="21">
        <v>45798</v>
      </c>
      <c r="E1434" s="21">
        <v>45803</v>
      </c>
      <c r="F1434" s="20" t="s">
        <v>44</v>
      </c>
      <c r="G1434" s="22">
        <v>74.55</v>
      </c>
      <c r="H1434" s="22">
        <v>19.73</v>
      </c>
      <c r="I1434" s="20" t="s">
        <v>45</v>
      </c>
      <c r="J1434" s="20">
        <v>4</v>
      </c>
      <c r="K1434" s="20" t="s">
        <v>46</v>
      </c>
      <c r="L1434" s="23">
        <f t="shared" si="165"/>
        <v>45778</v>
      </c>
      <c r="M1434" s="20">
        <f t="shared" si="166"/>
        <v>6</v>
      </c>
      <c r="N1434" s="20">
        <f t="shared" si="167"/>
        <v>0</v>
      </c>
      <c r="O1434" s="20">
        <f t="shared" si="168"/>
        <v>1</v>
      </c>
      <c r="P1434" s="22">
        <f t="shared" si="169"/>
        <v>94.28</v>
      </c>
      <c r="Q1434" s="22">
        <f>G1434*INDEX(Assumptions!$B$8:$B$16,MATCH(F1434,Assumptions!$A$8:$A$16,0))</f>
        <v>44.73</v>
      </c>
      <c r="R1434" s="22">
        <f>H1434*Assumptions!$B$3</f>
        <v>11.837999999999999</v>
      </c>
      <c r="S1434" s="22">
        <f t="shared" si="170"/>
        <v>17.981999999999999</v>
      </c>
      <c r="T1434" s="20" t="str">
        <f t="shared" si="171"/>
        <v>0-7 days</v>
      </c>
    </row>
    <row r="1435" spans="1:20" x14ac:dyDescent="0.3">
      <c r="A1435" s="20" t="s">
        <v>1501</v>
      </c>
      <c r="B1435" s="20" t="s">
        <v>19</v>
      </c>
      <c r="C1435" s="21">
        <v>45792</v>
      </c>
      <c r="D1435" s="21">
        <v>45801</v>
      </c>
      <c r="E1435" s="21">
        <v>45811</v>
      </c>
      <c r="F1435" s="20" t="s">
        <v>49</v>
      </c>
      <c r="G1435" s="22">
        <v>54.57</v>
      </c>
      <c r="H1435" s="22">
        <v>17.559999999999999</v>
      </c>
      <c r="I1435" s="20" t="s">
        <v>50</v>
      </c>
      <c r="J1435" s="20">
        <v>4</v>
      </c>
      <c r="K1435" s="20" t="s">
        <v>46</v>
      </c>
      <c r="L1435" s="23">
        <f t="shared" si="165"/>
        <v>45778</v>
      </c>
      <c r="M1435" s="20">
        <f t="shared" si="166"/>
        <v>9</v>
      </c>
      <c r="N1435" s="20">
        <f t="shared" si="167"/>
        <v>0</v>
      </c>
      <c r="O1435" s="20">
        <f t="shared" si="168"/>
        <v>1</v>
      </c>
      <c r="P1435" s="22">
        <f t="shared" si="169"/>
        <v>72.13</v>
      </c>
      <c r="Q1435" s="22">
        <f>G1435*INDEX(Assumptions!$B$8:$B$16,MATCH(F1435,Assumptions!$A$8:$A$16,0))</f>
        <v>31.650599999999997</v>
      </c>
      <c r="R1435" s="22">
        <f>H1435*Assumptions!$B$3</f>
        <v>10.536</v>
      </c>
      <c r="S1435" s="22">
        <f t="shared" si="170"/>
        <v>12.383400000000004</v>
      </c>
      <c r="T1435" s="20" t="str">
        <f t="shared" si="171"/>
        <v>8-14 days</v>
      </c>
    </row>
    <row r="1436" spans="1:20" x14ac:dyDescent="0.3">
      <c r="A1436" s="20" t="s">
        <v>1502</v>
      </c>
      <c r="B1436" s="20" t="s">
        <v>52</v>
      </c>
      <c r="C1436" s="21">
        <v>45792</v>
      </c>
      <c r="D1436" s="21">
        <v>45813</v>
      </c>
      <c r="E1436" s="21">
        <v>45818</v>
      </c>
      <c r="F1436" s="20" t="s">
        <v>111</v>
      </c>
      <c r="G1436" s="22">
        <v>34.94</v>
      </c>
      <c r="H1436" s="22">
        <v>28.22</v>
      </c>
      <c r="I1436" s="20" t="s">
        <v>60</v>
      </c>
      <c r="J1436" s="20">
        <v>5</v>
      </c>
      <c r="K1436" s="20" t="s">
        <v>46</v>
      </c>
      <c r="L1436" s="23">
        <f t="shared" si="165"/>
        <v>45778</v>
      </c>
      <c r="M1436" s="20">
        <f t="shared" si="166"/>
        <v>21</v>
      </c>
      <c r="N1436" s="20">
        <f t="shared" si="167"/>
        <v>0</v>
      </c>
      <c r="O1436" s="20">
        <f t="shared" si="168"/>
        <v>1</v>
      </c>
      <c r="P1436" s="22">
        <f t="shared" si="169"/>
        <v>63.16</v>
      </c>
      <c r="Q1436" s="22">
        <f>G1436*INDEX(Assumptions!$B$8:$B$16,MATCH(F1436,Assumptions!$A$8:$A$16,0))</f>
        <v>22.0122</v>
      </c>
      <c r="R1436" s="22">
        <f>H1436*Assumptions!$B$3</f>
        <v>16.931999999999999</v>
      </c>
      <c r="S1436" s="22">
        <f t="shared" si="170"/>
        <v>-4.0042000000000009</v>
      </c>
      <c r="T1436" s="20" t="str">
        <f t="shared" si="171"/>
        <v>15-21 days</v>
      </c>
    </row>
    <row r="1437" spans="1:20" x14ac:dyDescent="0.3">
      <c r="A1437" s="20" t="s">
        <v>1503</v>
      </c>
      <c r="B1437" s="20" t="s">
        <v>55</v>
      </c>
      <c r="C1437" s="21">
        <v>45792</v>
      </c>
      <c r="D1437" s="21">
        <v>45804</v>
      </c>
      <c r="E1437" s="21">
        <v>45818</v>
      </c>
      <c r="F1437" s="20" t="s">
        <v>59</v>
      </c>
      <c r="G1437" s="22">
        <v>214.24</v>
      </c>
      <c r="H1437" s="22">
        <v>30.88</v>
      </c>
      <c r="I1437" s="20" t="s">
        <v>45</v>
      </c>
      <c r="J1437" s="20">
        <v>4</v>
      </c>
      <c r="K1437" s="20" t="s">
        <v>46</v>
      </c>
      <c r="L1437" s="23">
        <f t="shared" si="165"/>
        <v>45778</v>
      </c>
      <c r="M1437" s="20">
        <f t="shared" si="166"/>
        <v>12</v>
      </c>
      <c r="N1437" s="20">
        <f t="shared" si="167"/>
        <v>0</v>
      </c>
      <c r="O1437" s="20">
        <f t="shared" si="168"/>
        <v>1</v>
      </c>
      <c r="P1437" s="22">
        <f t="shared" si="169"/>
        <v>245.12</v>
      </c>
      <c r="Q1437" s="22">
        <f>G1437*INDEX(Assumptions!$B$8:$B$16,MATCH(F1437,Assumptions!$A$8:$A$16,0))</f>
        <v>137.11360000000002</v>
      </c>
      <c r="R1437" s="22">
        <f>H1437*Assumptions!$B$3</f>
        <v>18.527999999999999</v>
      </c>
      <c r="S1437" s="22">
        <f t="shared" si="170"/>
        <v>58.598399999999991</v>
      </c>
      <c r="T1437" s="20" t="str">
        <f t="shared" si="171"/>
        <v>8-14 days</v>
      </c>
    </row>
    <row r="1438" spans="1:20" x14ac:dyDescent="0.3">
      <c r="A1438" s="20" t="s">
        <v>1504</v>
      </c>
      <c r="B1438" s="20" t="s">
        <v>134</v>
      </c>
      <c r="C1438" s="21">
        <v>45792</v>
      </c>
      <c r="D1438" s="21">
        <v>45803</v>
      </c>
      <c r="E1438" s="21">
        <v>45814</v>
      </c>
      <c r="F1438" s="20" t="s">
        <v>53</v>
      </c>
      <c r="G1438" s="22">
        <v>157.19999999999999</v>
      </c>
      <c r="H1438" s="22">
        <v>26.25</v>
      </c>
      <c r="I1438" s="20" t="s">
        <v>45</v>
      </c>
      <c r="J1438" s="20">
        <v>4</v>
      </c>
      <c r="K1438" s="20" t="s">
        <v>46</v>
      </c>
      <c r="L1438" s="23">
        <f t="shared" si="165"/>
        <v>45778</v>
      </c>
      <c r="M1438" s="20">
        <f t="shared" si="166"/>
        <v>11</v>
      </c>
      <c r="N1438" s="20">
        <f t="shared" si="167"/>
        <v>0</v>
      </c>
      <c r="O1438" s="20">
        <f t="shared" si="168"/>
        <v>1</v>
      </c>
      <c r="P1438" s="22">
        <f t="shared" si="169"/>
        <v>183.45</v>
      </c>
      <c r="Q1438" s="22">
        <f>G1438*INDEX(Assumptions!$B$8:$B$16,MATCH(F1438,Assumptions!$A$8:$A$16,0))</f>
        <v>116.32799999999999</v>
      </c>
      <c r="R1438" s="22">
        <f>H1438*Assumptions!$B$3</f>
        <v>15.75</v>
      </c>
      <c r="S1438" s="22">
        <f t="shared" si="170"/>
        <v>25.122</v>
      </c>
      <c r="T1438" s="20" t="str">
        <f t="shared" si="171"/>
        <v>8-14 days</v>
      </c>
    </row>
    <row r="1439" spans="1:20" x14ac:dyDescent="0.3">
      <c r="A1439" s="20" t="s">
        <v>1505</v>
      </c>
      <c r="B1439" s="20" t="s">
        <v>19</v>
      </c>
      <c r="C1439" s="21">
        <v>45793</v>
      </c>
      <c r="D1439" s="21">
        <v>45799</v>
      </c>
      <c r="E1439" s="21">
        <v>45809</v>
      </c>
      <c r="F1439" s="20" t="s">
        <v>59</v>
      </c>
      <c r="G1439" s="22">
        <v>86.27</v>
      </c>
      <c r="H1439" s="22">
        <v>19.97</v>
      </c>
      <c r="I1439" s="20" t="s">
        <v>45</v>
      </c>
      <c r="J1439" s="20">
        <v>5</v>
      </c>
      <c r="K1439" s="20" t="s">
        <v>46</v>
      </c>
      <c r="L1439" s="23">
        <f t="shared" si="165"/>
        <v>45778</v>
      </c>
      <c r="M1439" s="20">
        <f t="shared" si="166"/>
        <v>6</v>
      </c>
      <c r="N1439" s="20">
        <f t="shared" si="167"/>
        <v>0</v>
      </c>
      <c r="O1439" s="20">
        <f t="shared" si="168"/>
        <v>1</v>
      </c>
      <c r="P1439" s="22">
        <f t="shared" si="169"/>
        <v>106.24</v>
      </c>
      <c r="Q1439" s="22">
        <f>G1439*INDEX(Assumptions!$B$8:$B$16,MATCH(F1439,Assumptions!$A$8:$A$16,0))</f>
        <v>55.212800000000001</v>
      </c>
      <c r="R1439" s="22">
        <f>H1439*Assumptions!$B$3</f>
        <v>11.981999999999999</v>
      </c>
      <c r="S1439" s="22">
        <f t="shared" si="170"/>
        <v>19.075199999999995</v>
      </c>
      <c r="T1439" s="20" t="str">
        <f t="shared" si="171"/>
        <v>0-7 days</v>
      </c>
    </row>
    <row r="1440" spans="1:20" x14ac:dyDescent="0.3">
      <c r="A1440" s="20" t="s">
        <v>1506</v>
      </c>
      <c r="B1440" s="20" t="s">
        <v>55</v>
      </c>
      <c r="C1440" s="21">
        <v>45793</v>
      </c>
      <c r="D1440" s="21">
        <v>45808</v>
      </c>
      <c r="E1440" s="21">
        <v>45816</v>
      </c>
      <c r="F1440" s="20" t="s">
        <v>67</v>
      </c>
      <c r="G1440" s="22">
        <v>58.24</v>
      </c>
      <c r="H1440" s="22">
        <v>20.94</v>
      </c>
      <c r="I1440" s="20" t="s">
        <v>60</v>
      </c>
      <c r="J1440" s="20">
        <v>3</v>
      </c>
      <c r="K1440" s="20" t="s">
        <v>46</v>
      </c>
      <c r="L1440" s="23">
        <f t="shared" si="165"/>
        <v>45778</v>
      </c>
      <c r="M1440" s="20">
        <f t="shared" si="166"/>
        <v>15</v>
      </c>
      <c r="N1440" s="20">
        <f t="shared" si="167"/>
        <v>0</v>
      </c>
      <c r="O1440" s="20">
        <f t="shared" si="168"/>
        <v>1</v>
      </c>
      <c r="P1440" s="22">
        <f t="shared" si="169"/>
        <v>79.180000000000007</v>
      </c>
      <c r="Q1440" s="22">
        <f>G1440*INDEX(Assumptions!$B$8:$B$16,MATCH(F1440,Assumptions!$A$8:$A$16,0))</f>
        <v>36.108800000000002</v>
      </c>
      <c r="R1440" s="22">
        <f>H1440*Assumptions!$B$3</f>
        <v>12.564</v>
      </c>
      <c r="S1440" s="22">
        <f t="shared" si="170"/>
        <v>9.5671999999999997</v>
      </c>
      <c r="T1440" s="20" t="str">
        <f t="shared" si="171"/>
        <v>15-21 days</v>
      </c>
    </row>
    <row r="1441" spans="1:20" x14ac:dyDescent="0.3">
      <c r="A1441" s="20" t="s">
        <v>1507</v>
      </c>
      <c r="B1441" s="20" t="s">
        <v>134</v>
      </c>
      <c r="C1441" s="21">
        <v>45793</v>
      </c>
      <c r="D1441" s="21">
        <v>45810</v>
      </c>
      <c r="E1441" s="21">
        <v>45817</v>
      </c>
      <c r="F1441" s="20" t="s">
        <v>49</v>
      </c>
      <c r="G1441" s="22">
        <v>115.03</v>
      </c>
      <c r="H1441" s="22">
        <v>24.93</v>
      </c>
      <c r="I1441" s="20" t="s">
        <v>45</v>
      </c>
      <c r="J1441" s="20">
        <v>4</v>
      </c>
      <c r="K1441" s="20" t="s">
        <v>46</v>
      </c>
      <c r="L1441" s="23">
        <f t="shared" si="165"/>
        <v>45778</v>
      </c>
      <c r="M1441" s="20">
        <f t="shared" si="166"/>
        <v>17</v>
      </c>
      <c r="N1441" s="20">
        <f t="shared" si="167"/>
        <v>0</v>
      </c>
      <c r="O1441" s="20">
        <f t="shared" si="168"/>
        <v>1</v>
      </c>
      <c r="P1441" s="22">
        <f t="shared" si="169"/>
        <v>139.96</v>
      </c>
      <c r="Q1441" s="22">
        <f>G1441*INDEX(Assumptions!$B$8:$B$16,MATCH(F1441,Assumptions!$A$8:$A$16,0))</f>
        <v>66.717399999999998</v>
      </c>
      <c r="R1441" s="22">
        <f>H1441*Assumptions!$B$3</f>
        <v>14.957999999999998</v>
      </c>
      <c r="S1441" s="22">
        <f t="shared" si="170"/>
        <v>33.354600000000005</v>
      </c>
      <c r="T1441" s="20" t="str">
        <f t="shared" si="171"/>
        <v>15-21 days</v>
      </c>
    </row>
    <row r="1442" spans="1:20" x14ac:dyDescent="0.3">
      <c r="A1442" s="20" t="s">
        <v>1508</v>
      </c>
      <c r="B1442" s="20" t="s">
        <v>55</v>
      </c>
      <c r="C1442" s="21">
        <v>45793</v>
      </c>
      <c r="D1442" s="21">
        <v>45812</v>
      </c>
      <c r="E1442" s="21">
        <v>45815</v>
      </c>
      <c r="F1442" s="20" t="s">
        <v>49</v>
      </c>
      <c r="G1442" s="22">
        <v>43.09</v>
      </c>
      <c r="H1442" s="22">
        <v>20.149999999999999</v>
      </c>
      <c r="I1442" s="20" t="s">
        <v>60</v>
      </c>
      <c r="J1442" s="20">
        <v>3</v>
      </c>
      <c r="K1442" s="20" t="s">
        <v>46</v>
      </c>
      <c r="L1442" s="23">
        <f t="shared" si="165"/>
        <v>45778</v>
      </c>
      <c r="M1442" s="20">
        <f t="shared" si="166"/>
        <v>19</v>
      </c>
      <c r="N1442" s="20">
        <f t="shared" si="167"/>
        <v>0</v>
      </c>
      <c r="O1442" s="20">
        <f t="shared" si="168"/>
        <v>1</v>
      </c>
      <c r="P1442" s="22">
        <f t="shared" si="169"/>
        <v>63.24</v>
      </c>
      <c r="Q1442" s="22">
        <f>G1442*INDEX(Assumptions!$B$8:$B$16,MATCH(F1442,Assumptions!$A$8:$A$16,0))</f>
        <v>24.9922</v>
      </c>
      <c r="R1442" s="22">
        <f>H1442*Assumptions!$B$3</f>
        <v>12.089999999999998</v>
      </c>
      <c r="S1442" s="22">
        <f t="shared" si="170"/>
        <v>6.0078000000000049</v>
      </c>
      <c r="T1442" s="20" t="str">
        <f t="shared" si="171"/>
        <v>15-21 days</v>
      </c>
    </row>
    <row r="1443" spans="1:20" x14ac:dyDescent="0.3">
      <c r="A1443" s="20" t="s">
        <v>1509</v>
      </c>
      <c r="B1443" s="20" t="s">
        <v>55</v>
      </c>
      <c r="C1443" s="21">
        <v>45794</v>
      </c>
      <c r="D1443" s="21">
        <v>45808</v>
      </c>
      <c r="E1443" s="21">
        <v>45817</v>
      </c>
      <c r="F1443" s="20" t="s">
        <v>67</v>
      </c>
      <c r="G1443" s="22">
        <v>250.69</v>
      </c>
      <c r="H1443" s="22">
        <v>25.9</v>
      </c>
      <c r="I1443" s="20" t="s">
        <v>45</v>
      </c>
      <c r="J1443" s="20">
        <v>5</v>
      </c>
      <c r="K1443" s="20" t="s">
        <v>46</v>
      </c>
      <c r="L1443" s="23">
        <f t="shared" si="165"/>
        <v>45778</v>
      </c>
      <c r="M1443" s="20">
        <f t="shared" si="166"/>
        <v>14</v>
      </c>
      <c r="N1443" s="20">
        <f t="shared" si="167"/>
        <v>0</v>
      </c>
      <c r="O1443" s="20">
        <f t="shared" si="168"/>
        <v>1</v>
      </c>
      <c r="P1443" s="22">
        <f t="shared" si="169"/>
        <v>276.58999999999997</v>
      </c>
      <c r="Q1443" s="22">
        <f>G1443*INDEX(Assumptions!$B$8:$B$16,MATCH(F1443,Assumptions!$A$8:$A$16,0))</f>
        <v>155.42779999999999</v>
      </c>
      <c r="R1443" s="22">
        <f>H1443*Assumptions!$B$3</f>
        <v>15.54</v>
      </c>
      <c r="S1443" s="22">
        <f t="shared" si="170"/>
        <v>79.722200000000015</v>
      </c>
      <c r="T1443" s="20" t="str">
        <f t="shared" si="171"/>
        <v>8-14 days</v>
      </c>
    </row>
    <row r="1444" spans="1:20" x14ac:dyDescent="0.3">
      <c r="A1444" s="20" t="s">
        <v>1510</v>
      </c>
      <c r="B1444" s="20" t="s">
        <v>19</v>
      </c>
      <c r="C1444" s="21">
        <v>45794</v>
      </c>
      <c r="D1444" s="21">
        <v>45800</v>
      </c>
      <c r="E1444" s="21">
        <v>45809</v>
      </c>
      <c r="F1444" s="20" t="s">
        <v>64</v>
      </c>
      <c r="G1444" s="22">
        <v>194.52</v>
      </c>
      <c r="H1444" s="22">
        <v>14.95</v>
      </c>
      <c r="I1444" s="20" t="s">
        <v>104</v>
      </c>
      <c r="J1444" s="20">
        <v>5</v>
      </c>
      <c r="K1444" s="20" t="s">
        <v>46</v>
      </c>
      <c r="L1444" s="23">
        <f t="shared" si="165"/>
        <v>45778</v>
      </c>
      <c r="M1444" s="20">
        <f t="shared" si="166"/>
        <v>6</v>
      </c>
      <c r="N1444" s="20">
        <f t="shared" si="167"/>
        <v>0</v>
      </c>
      <c r="O1444" s="20">
        <f t="shared" si="168"/>
        <v>1</v>
      </c>
      <c r="P1444" s="22">
        <f t="shared" si="169"/>
        <v>209.47</v>
      </c>
      <c r="Q1444" s="22">
        <f>G1444*INDEX(Assumptions!$B$8:$B$16,MATCH(F1444,Assumptions!$A$8:$A$16,0))</f>
        <v>128.38320000000002</v>
      </c>
      <c r="R1444" s="22">
        <f>H1444*Assumptions!$B$3</f>
        <v>8.9699999999999989</v>
      </c>
      <c r="S1444" s="22">
        <f t="shared" si="170"/>
        <v>57.166799999999995</v>
      </c>
      <c r="T1444" s="20" t="str">
        <f t="shared" si="171"/>
        <v>0-7 days</v>
      </c>
    </row>
    <row r="1445" spans="1:20" x14ac:dyDescent="0.3">
      <c r="A1445" s="20" t="s">
        <v>1511</v>
      </c>
      <c r="B1445" s="20" t="s">
        <v>19</v>
      </c>
      <c r="C1445" s="21">
        <v>45794</v>
      </c>
      <c r="D1445" s="21">
        <v>45800</v>
      </c>
      <c r="E1445" s="21">
        <v>45807</v>
      </c>
      <c r="F1445" s="20" t="s">
        <v>67</v>
      </c>
      <c r="G1445" s="22">
        <v>61.93</v>
      </c>
      <c r="H1445" s="22">
        <v>21.92</v>
      </c>
      <c r="I1445" s="20" t="s">
        <v>45</v>
      </c>
      <c r="J1445" s="20">
        <v>5</v>
      </c>
      <c r="K1445" s="20" t="s">
        <v>46</v>
      </c>
      <c r="L1445" s="23">
        <f t="shared" si="165"/>
        <v>45778</v>
      </c>
      <c r="M1445" s="20">
        <f t="shared" si="166"/>
        <v>6</v>
      </c>
      <c r="N1445" s="20">
        <f t="shared" si="167"/>
        <v>0</v>
      </c>
      <c r="O1445" s="20">
        <f t="shared" si="168"/>
        <v>1</v>
      </c>
      <c r="P1445" s="22">
        <f t="shared" si="169"/>
        <v>83.85</v>
      </c>
      <c r="Q1445" s="22">
        <f>G1445*INDEX(Assumptions!$B$8:$B$16,MATCH(F1445,Assumptions!$A$8:$A$16,0))</f>
        <v>38.396599999999999</v>
      </c>
      <c r="R1445" s="22">
        <f>H1445*Assumptions!$B$3</f>
        <v>13.152000000000001</v>
      </c>
      <c r="S1445" s="22">
        <f t="shared" si="170"/>
        <v>10.381399999999999</v>
      </c>
      <c r="T1445" s="20" t="str">
        <f t="shared" si="171"/>
        <v>0-7 days</v>
      </c>
    </row>
    <row r="1446" spans="1:20" x14ac:dyDescent="0.3">
      <c r="A1446" s="20" t="s">
        <v>1512</v>
      </c>
      <c r="B1446" s="20" t="s">
        <v>52</v>
      </c>
      <c r="C1446" s="21">
        <v>45795</v>
      </c>
      <c r="D1446" s="21">
        <v>45814</v>
      </c>
      <c r="E1446" s="21">
        <v>45819</v>
      </c>
      <c r="F1446" s="20" t="s">
        <v>67</v>
      </c>
      <c r="G1446" s="22">
        <v>47.54</v>
      </c>
      <c r="H1446" s="22">
        <v>21.08</v>
      </c>
      <c r="I1446" s="20" t="s">
        <v>45</v>
      </c>
      <c r="J1446" s="20">
        <v>4</v>
      </c>
      <c r="K1446" s="20" t="s">
        <v>46</v>
      </c>
      <c r="L1446" s="23">
        <f t="shared" si="165"/>
        <v>45778</v>
      </c>
      <c r="M1446" s="20">
        <f t="shared" si="166"/>
        <v>19</v>
      </c>
      <c r="N1446" s="20">
        <f t="shared" si="167"/>
        <v>0</v>
      </c>
      <c r="O1446" s="20">
        <f t="shared" si="168"/>
        <v>1</v>
      </c>
      <c r="P1446" s="22">
        <f t="shared" si="169"/>
        <v>68.62</v>
      </c>
      <c r="Q1446" s="22">
        <f>G1446*INDEX(Assumptions!$B$8:$B$16,MATCH(F1446,Assumptions!$A$8:$A$16,0))</f>
        <v>29.474799999999998</v>
      </c>
      <c r="R1446" s="22">
        <f>H1446*Assumptions!$B$3</f>
        <v>12.647999999999998</v>
      </c>
      <c r="S1446" s="22">
        <f t="shared" si="170"/>
        <v>5.4172000000000029</v>
      </c>
      <c r="T1446" s="20" t="str">
        <f t="shared" si="171"/>
        <v>15-21 days</v>
      </c>
    </row>
    <row r="1447" spans="1:20" x14ac:dyDescent="0.3">
      <c r="A1447" s="20" t="s">
        <v>1513</v>
      </c>
      <c r="B1447" s="20" t="s">
        <v>19</v>
      </c>
      <c r="C1447" s="21">
        <v>45795</v>
      </c>
      <c r="D1447" s="21">
        <v>45802</v>
      </c>
      <c r="E1447" s="21">
        <v>45812</v>
      </c>
      <c r="F1447" s="20" t="s">
        <v>57</v>
      </c>
      <c r="G1447" s="22">
        <v>59.98</v>
      </c>
      <c r="H1447" s="22">
        <v>14.64</v>
      </c>
      <c r="I1447" s="20" t="s">
        <v>45</v>
      </c>
      <c r="J1447" s="20">
        <v>4</v>
      </c>
      <c r="K1447" s="20" t="s">
        <v>46</v>
      </c>
      <c r="L1447" s="23">
        <f t="shared" si="165"/>
        <v>45778</v>
      </c>
      <c r="M1447" s="20">
        <f t="shared" si="166"/>
        <v>7</v>
      </c>
      <c r="N1447" s="20">
        <f t="shared" si="167"/>
        <v>0</v>
      </c>
      <c r="O1447" s="20">
        <f t="shared" si="168"/>
        <v>1</v>
      </c>
      <c r="P1447" s="22">
        <f t="shared" si="169"/>
        <v>74.62</v>
      </c>
      <c r="Q1447" s="22">
        <f>G1447*INDEX(Assumptions!$B$8:$B$16,MATCH(F1447,Assumptions!$A$8:$A$16,0))</f>
        <v>40.7864</v>
      </c>
      <c r="R1447" s="22">
        <f>H1447*Assumptions!$B$3</f>
        <v>8.7840000000000007</v>
      </c>
      <c r="S1447" s="22">
        <f t="shared" si="170"/>
        <v>10.409599999999996</v>
      </c>
      <c r="T1447" s="20" t="str">
        <f t="shared" si="171"/>
        <v>0-7 days</v>
      </c>
    </row>
    <row r="1448" spans="1:20" x14ac:dyDescent="0.3">
      <c r="A1448" s="20" t="s">
        <v>1514</v>
      </c>
      <c r="B1448" s="20" t="s">
        <v>55</v>
      </c>
      <c r="C1448" s="21">
        <v>45795</v>
      </c>
      <c r="D1448" s="21">
        <v>45814</v>
      </c>
      <c r="E1448" s="21">
        <v>45817</v>
      </c>
      <c r="F1448" s="20" t="s">
        <v>79</v>
      </c>
      <c r="G1448" s="22">
        <v>125.55</v>
      </c>
      <c r="H1448" s="22">
        <v>31</v>
      </c>
      <c r="I1448" s="20" t="s">
        <v>60</v>
      </c>
      <c r="J1448" s="20">
        <v>2</v>
      </c>
      <c r="K1448" s="20" t="s">
        <v>46</v>
      </c>
      <c r="L1448" s="23">
        <f t="shared" si="165"/>
        <v>45778</v>
      </c>
      <c r="M1448" s="20">
        <f t="shared" si="166"/>
        <v>19</v>
      </c>
      <c r="N1448" s="20">
        <f t="shared" si="167"/>
        <v>0</v>
      </c>
      <c r="O1448" s="20">
        <f t="shared" si="168"/>
        <v>1</v>
      </c>
      <c r="P1448" s="22">
        <f t="shared" si="169"/>
        <v>156.55000000000001</v>
      </c>
      <c r="Q1448" s="22">
        <f>G1448*INDEX(Assumptions!$B$8:$B$16,MATCH(F1448,Assumptions!$A$8:$A$16,0))</f>
        <v>87.884999999999991</v>
      </c>
      <c r="R1448" s="22">
        <f>H1448*Assumptions!$B$3</f>
        <v>18.599999999999998</v>
      </c>
      <c r="S1448" s="22">
        <f t="shared" si="170"/>
        <v>19.065000000000008</v>
      </c>
      <c r="T1448" s="20" t="str">
        <f t="shared" si="171"/>
        <v>15-21 days</v>
      </c>
    </row>
    <row r="1449" spans="1:20" x14ac:dyDescent="0.3">
      <c r="A1449" s="20" t="s">
        <v>1515</v>
      </c>
      <c r="B1449" s="20" t="s">
        <v>77</v>
      </c>
      <c r="C1449" s="21">
        <v>45795</v>
      </c>
      <c r="D1449" s="21">
        <v>45818</v>
      </c>
      <c r="E1449" s="21">
        <v>45820</v>
      </c>
      <c r="F1449" s="20" t="s">
        <v>59</v>
      </c>
      <c r="G1449" s="22">
        <v>49.6</v>
      </c>
      <c r="H1449" s="22">
        <v>20.190000000000001</v>
      </c>
      <c r="I1449" s="20" t="s">
        <v>45</v>
      </c>
      <c r="J1449" s="20">
        <v>5</v>
      </c>
      <c r="K1449" s="20" t="s">
        <v>46</v>
      </c>
      <c r="L1449" s="23">
        <f t="shared" si="165"/>
        <v>45778</v>
      </c>
      <c r="M1449" s="20">
        <f t="shared" si="166"/>
        <v>23</v>
      </c>
      <c r="N1449" s="20">
        <f t="shared" si="167"/>
        <v>0</v>
      </c>
      <c r="O1449" s="20">
        <f t="shared" si="168"/>
        <v>1</v>
      </c>
      <c r="P1449" s="22">
        <f t="shared" si="169"/>
        <v>69.790000000000006</v>
      </c>
      <c r="Q1449" s="22">
        <f>G1449*INDEX(Assumptions!$B$8:$B$16,MATCH(F1449,Assumptions!$A$8:$A$16,0))</f>
        <v>31.744000000000003</v>
      </c>
      <c r="R1449" s="22">
        <f>H1449*Assumptions!$B$3</f>
        <v>12.114000000000001</v>
      </c>
      <c r="S1449" s="22">
        <f t="shared" si="170"/>
        <v>5.7419999999999973</v>
      </c>
      <c r="T1449" s="20" t="str">
        <f t="shared" si="171"/>
        <v>22+ days</v>
      </c>
    </row>
    <row r="1450" spans="1:20" x14ac:dyDescent="0.3">
      <c r="A1450" s="20" t="s">
        <v>1516</v>
      </c>
      <c r="B1450" s="20" t="s">
        <v>55</v>
      </c>
      <c r="C1450" s="21">
        <v>45795</v>
      </c>
      <c r="D1450" s="21">
        <v>45809</v>
      </c>
      <c r="E1450" s="21">
        <v>45820</v>
      </c>
      <c r="F1450" s="20" t="s">
        <v>59</v>
      </c>
      <c r="G1450" s="22">
        <v>77.099999999999994</v>
      </c>
      <c r="H1450" s="22">
        <v>26.64</v>
      </c>
      <c r="I1450" s="20" t="s">
        <v>45</v>
      </c>
      <c r="J1450" s="20">
        <v>4</v>
      </c>
      <c r="K1450" s="20" t="s">
        <v>46</v>
      </c>
      <c r="L1450" s="23">
        <f t="shared" si="165"/>
        <v>45778</v>
      </c>
      <c r="M1450" s="20">
        <f t="shared" si="166"/>
        <v>14</v>
      </c>
      <c r="N1450" s="20">
        <f t="shared" si="167"/>
        <v>0</v>
      </c>
      <c r="O1450" s="20">
        <f t="shared" si="168"/>
        <v>1</v>
      </c>
      <c r="P1450" s="22">
        <f t="shared" si="169"/>
        <v>103.74</v>
      </c>
      <c r="Q1450" s="22">
        <f>G1450*INDEX(Assumptions!$B$8:$B$16,MATCH(F1450,Assumptions!$A$8:$A$16,0))</f>
        <v>49.343999999999994</v>
      </c>
      <c r="R1450" s="22">
        <f>H1450*Assumptions!$B$3</f>
        <v>15.984</v>
      </c>
      <c r="S1450" s="22">
        <f t="shared" si="170"/>
        <v>11.772</v>
      </c>
      <c r="T1450" s="20" t="str">
        <f t="shared" si="171"/>
        <v>8-14 days</v>
      </c>
    </row>
    <row r="1451" spans="1:20" x14ac:dyDescent="0.3">
      <c r="A1451" s="20" t="s">
        <v>1517</v>
      </c>
      <c r="B1451" s="20" t="s">
        <v>174</v>
      </c>
      <c r="C1451" s="21">
        <v>45796</v>
      </c>
      <c r="D1451" s="21">
        <v>45817</v>
      </c>
      <c r="E1451" s="21">
        <v>45828</v>
      </c>
      <c r="F1451" s="20" t="s">
        <v>67</v>
      </c>
      <c r="G1451" s="22">
        <v>33.81</v>
      </c>
      <c r="H1451" s="22">
        <v>24.92</v>
      </c>
      <c r="I1451" s="20" t="s">
        <v>45</v>
      </c>
      <c r="J1451" s="20">
        <v>5</v>
      </c>
      <c r="K1451" s="20" t="s">
        <v>46</v>
      </c>
      <c r="L1451" s="23">
        <f t="shared" si="165"/>
        <v>45778</v>
      </c>
      <c r="M1451" s="20">
        <f t="shared" si="166"/>
        <v>21</v>
      </c>
      <c r="N1451" s="20">
        <f t="shared" si="167"/>
        <v>0</v>
      </c>
      <c r="O1451" s="20">
        <f t="shared" si="168"/>
        <v>1</v>
      </c>
      <c r="P1451" s="22">
        <f t="shared" si="169"/>
        <v>58.730000000000004</v>
      </c>
      <c r="Q1451" s="22">
        <f>G1451*INDEX(Assumptions!$B$8:$B$16,MATCH(F1451,Assumptions!$A$8:$A$16,0))</f>
        <v>20.962200000000003</v>
      </c>
      <c r="R1451" s="22">
        <f>H1451*Assumptions!$B$3</f>
        <v>14.952</v>
      </c>
      <c r="S1451" s="22">
        <f t="shared" si="170"/>
        <v>-2.1042000000000005</v>
      </c>
      <c r="T1451" s="20" t="str">
        <f t="shared" si="171"/>
        <v>15-21 days</v>
      </c>
    </row>
    <row r="1452" spans="1:20" x14ac:dyDescent="0.3">
      <c r="A1452" s="20" t="s">
        <v>1518</v>
      </c>
      <c r="B1452" s="20" t="s">
        <v>19</v>
      </c>
      <c r="C1452" s="21">
        <v>45796</v>
      </c>
      <c r="D1452" s="21">
        <v>45801</v>
      </c>
      <c r="E1452" s="21">
        <v>45810</v>
      </c>
      <c r="F1452" s="20" t="s">
        <v>67</v>
      </c>
      <c r="G1452" s="22">
        <v>71.13</v>
      </c>
      <c r="H1452" s="22">
        <v>14.08</v>
      </c>
      <c r="I1452" s="20" t="s">
        <v>45</v>
      </c>
      <c r="J1452" s="20">
        <v>4</v>
      </c>
      <c r="K1452" s="20" t="s">
        <v>46</v>
      </c>
      <c r="L1452" s="23">
        <f t="shared" si="165"/>
        <v>45778</v>
      </c>
      <c r="M1452" s="20">
        <f t="shared" si="166"/>
        <v>5</v>
      </c>
      <c r="N1452" s="20">
        <f t="shared" si="167"/>
        <v>0</v>
      </c>
      <c r="O1452" s="20">
        <f t="shared" si="168"/>
        <v>1</v>
      </c>
      <c r="P1452" s="22">
        <f t="shared" si="169"/>
        <v>85.21</v>
      </c>
      <c r="Q1452" s="22">
        <f>G1452*INDEX(Assumptions!$B$8:$B$16,MATCH(F1452,Assumptions!$A$8:$A$16,0))</f>
        <v>44.1006</v>
      </c>
      <c r="R1452" s="22">
        <f>H1452*Assumptions!$B$3</f>
        <v>8.4480000000000004</v>
      </c>
      <c r="S1452" s="22">
        <f t="shared" si="170"/>
        <v>18.581399999999995</v>
      </c>
      <c r="T1452" s="20" t="str">
        <f t="shared" si="171"/>
        <v>0-7 days</v>
      </c>
    </row>
    <row r="1453" spans="1:20" x14ac:dyDescent="0.3">
      <c r="A1453" s="20" t="s">
        <v>1519</v>
      </c>
      <c r="B1453" s="20" t="s">
        <v>77</v>
      </c>
      <c r="C1453" s="21">
        <v>45796</v>
      </c>
      <c r="D1453" s="21">
        <v>45806</v>
      </c>
      <c r="E1453" s="21">
        <v>45824</v>
      </c>
      <c r="F1453" s="20" t="s">
        <v>79</v>
      </c>
      <c r="G1453" s="22">
        <v>27.35</v>
      </c>
      <c r="H1453" s="22">
        <v>25.98</v>
      </c>
      <c r="I1453" s="20" t="s">
        <v>45</v>
      </c>
      <c r="J1453" s="20">
        <v>5</v>
      </c>
      <c r="K1453" s="20" t="s">
        <v>46</v>
      </c>
      <c r="L1453" s="23">
        <f t="shared" si="165"/>
        <v>45778</v>
      </c>
      <c r="M1453" s="20">
        <f t="shared" si="166"/>
        <v>10</v>
      </c>
      <c r="N1453" s="20">
        <f t="shared" si="167"/>
        <v>0</v>
      </c>
      <c r="O1453" s="20">
        <f t="shared" si="168"/>
        <v>1</v>
      </c>
      <c r="P1453" s="22">
        <f t="shared" si="169"/>
        <v>53.33</v>
      </c>
      <c r="Q1453" s="22">
        <f>G1453*INDEX(Assumptions!$B$8:$B$16,MATCH(F1453,Assumptions!$A$8:$A$16,0))</f>
        <v>19.145</v>
      </c>
      <c r="R1453" s="22">
        <f>H1453*Assumptions!$B$3</f>
        <v>15.587999999999999</v>
      </c>
      <c r="S1453" s="22">
        <f t="shared" si="170"/>
        <v>-7.3829999999999973</v>
      </c>
      <c r="T1453" s="20" t="str">
        <f t="shared" si="171"/>
        <v>8-14 days</v>
      </c>
    </row>
    <row r="1454" spans="1:20" x14ac:dyDescent="0.3">
      <c r="A1454" s="20" t="s">
        <v>1520</v>
      </c>
      <c r="B1454" s="20" t="s">
        <v>156</v>
      </c>
      <c r="C1454" s="21">
        <v>45796</v>
      </c>
      <c r="D1454" s="21">
        <v>45817</v>
      </c>
      <c r="E1454" s="21">
        <v>45823</v>
      </c>
      <c r="F1454" s="20" t="s">
        <v>111</v>
      </c>
      <c r="G1454" s="22">
        <v>43.58</v>
      </c>
      <c r="H1454" s="22">
        <v>20.45</v>
      </c>
      <c r="I1454" s="20" t="s">
        <v>45</v>
      </c>
      <c r="J1454" s="20">
        <v>3</v>
      </c>
      <c r="K1454" s="20" t="s">
        <v>46</v>
      </c>
      <c r="L1454" s="23">
        <f t="shared" si="165"/>
        <v>45778</v>
      </c>
      <c r="M1454" s="20">
        <f t="shared" si="166"/>
        <v>21</v>
      </c>
      <c r="N1454" s="20">
        <f t="shared" si="167"/>
        <v>0</v>
      </c>
      <c r="O1454" s="20">
        <f t="shared" si="168"/>
        <v>1</v>
      </c>
      <c r="P1454" s="22">
        <f t="shared" si="169"/>
        <v>64.03</v>
      </c>
      <c r="Q1454" s="22">
        <f>G1454*INDEX(Assumptions!$B$8:$B$16,MATCH(F1454,Assumptions!$A$8:$A$16,0))</f>
        <v>27.455399999999997</v>
      </c>
      <c r="R1454" s="22">
        <f>H1454*Assumptions!$B$3</f>
        <v>12.27</v>
      </c>
      <c r="S1454" s="22">
        <f t="shared" si="170"/>
        <v>3.8546000000000014</v>
      </c>
      <c r="T1454" s="20" t="str">
        <f t="shared" si="171"/>
        <v>15-21 days</v>
      </c>
    </row>
    <row r="1455" spans="1:20" x14ac:dyDescent="0.3">
      <c r="A1455" s="20" t="s">
        <v>1521</v>
      </c>
      <c r="B1455" s="20" t="s">
        <v>19</v>
      </c>
      <c r="C1455" s="21">
        <v>45796</v>
      </c>
      <c r="D1455" s="21">
        <v>45802</v>
      </c>
      <c r="E1455" s="21">
        <v>45813</v>
      </c>
      <c r="F1455" s="20" t="s">
        <v>44</v>
      </c>
      <c r="G1455" s="22">
        <v>21.49</v>
      </c>
      <c r="H1455" s="22">
        <v>17.53</v>
      </c>
      <c r="I1455" s="20" t="s">
        <v>60</v>
      </c>
      <c r="J1455" s="20">
        <v>3</v>
      </c>
      <c r="K1455" s="20" t="s">
        <v>46</v>
      </c>
      <c r="L1455" s="23">
        <f t="shared" si="165"/>
        <v>45778</v>
      </c>
      <c r="M1455" s="20">
        <f t="shared" si="166"/>
        <v>6</v>
      </c>
      <c r="N1455" s="20">
        <f t="shared" si="167"/>
        <v>0</v>
      </c>
      <c r="O1455" s="20">
        <f t="shared" si="168"/>
        <v>1</v>
      </c>
      <c r="P1455" s="22">
        <f t="shared" si="169"/>
        <v>39.019999999999996</v>
      </c>
      <c r="Q1455" s="22">
        <f>G1455*INDEX(Assumptions!$B$8:$B$16,MATCH(F1455,Assumptions!$A$8:$A$16,0))</f>
        <v>12.893999999999998</v>
      </c>
      <c r="R1455" s="22">
        <f>H1455*Assumptions!$B$3</f>
        <v>10.518000000000001</v>
      </c>
      <c r="S1455" s="22">
        <f t="shared" si="170"/>
        <v>-1.9220000000000006</v>
      </c>
      <c r="T1455" s="20" t="str">
        <f t="shared" si="171"/>
        <v>0-7 days</v>
      </c>
    </row>
    <row r="1456" spans="1:20" x14ac:dyDescent="0.3">
      <c r="A1456" s="20" t="s">
        <v>1522</v>
      </c>
      <c r="B1456" s="20" t="s">
        <v>19</v>
      </c>
      <c r="C1456" s="21">
        <v>45797</v>
      </c>
      <c r="D1456" s="21">
        <v>45805</v>
      </c>
      <c r="E1456" s="21">
        <v>45812</v>
      </c>
      <c r="F1456" s="20" t="s">
        <v>57</v>
      </c>
      <c r="G1456" s="22">
        <v>95.86</v>
      </c>
      <c r="H1456" s="22">
        <v>14.15</v>
      </c>
      <c r="I1456" s="20" t="s">
        <v>45</v>
      </c>
      <c r="J1456" s="20">
        <v>4</v>
      </c>
      <c r="K1456" s="20" t="s">
        <v>46</v>
      </c>
      <c r="L1456" s="23">
        <f t="shared" si="165"/>
        <v>45778</v>
      </c>
      <c r="M1456" s="20">
        <f t="shared" si="166"/>
        <v>8</v>
      </c>
      <c r="N1456" s="20">
        <f t="shared" si="167"/>
        <v>0</v>
      </c>
      <c r="O1456" s="20">
        <f t="shared" si="168"/>
        <v>1</v>
      </c>
      <c r="P1456" s="22">
        <f t="shared" si="169"/>
        <v>110.01</v>
      </c>
      <c r="Q1456" s="22">
        <f>G1456*INDEX(Assumptions!$B$8:$B$16,MATCH(F1456,Assumptions!$A$8:$A$16,0))</f>
        <v>65.18480000000001</v>
      </c>
      <c r="R1456" s="22">
        <f>H1456*Assumptions!$B$3</f>
        <v>8.49</v>
      </c>
      <c r="S1456" s="22">
        <f t="shared" si="170"/>
        <v>22.185199999999988</v>
      </c>
      <c r="T1456" s="20" t="str">
        <f t="shared" si="171"/>
        <v>8-14 days</v>
      </c>
    </row>
    <row r="1457" spans="1:20" x14ac:dyDescent="0.3">
      <c r="A1457" s="20" t="s">
        <v>1523</v>
      </c>
      <c r="B1457" s="20" t="s">
        <v>55</v>
      </c>
      <c r="C1457" s="21">
        <v>45797</v>
      </c>
      <c r="D1457" s="21">
        <v>45804</v>
      </c>
      <c r="E1457" s="21">
        <v>45822</v>
      </c>
      <c r="F1457" s="20" t="s">
        <v>64</v>
      </c>
      <c r="G1457" s="22">
        <v>69.53</v>
      </c>
      <c r="H1457" s="22">
        <v>24.3</v>
      </c>
      <c r="I1457" s="20" t="s">
        <v>45</v>
      </c>
      <c r="J1457" s="20">
        <v>5</v>
      </c>
      <c r="K1457" s="20" t="s">
        <v>46</v>
      </c>
      <c r="L1457" s="23">
        <f t="shared" si="165"/>
        <v>45778</v>
      </c>
      <c r="M1457" s="20">
        <f t="shared" si="166"/>
        <v>7</v>
      </c>
      <c r="N1457" s="20">
        <f t="shared" si="167"/>
        <v>0</v>
      </c>
      <c r="O1457" s="20">
        <f t="shared" si="168"/>
        <v>1</v>
      </c>
      <c r="P1457" s="22">
        <f t="shared" si="169"/>
        <v>93.83</v>
      </c>
      <c r="Q1457" s="22">
        <f>G1457*INDEX(Assumptions!$B$8:$B$16,MATCH(F1457,Assumptions!$A$8:$A$16,0))</f>
        <v>45.889800000000001</v>
      </c>
      <c r="R1457" s="22">
        <f>H1457*Assumptions!$B$3</f>
        <v>14.58</v>
      </c>
      <c r="S1457" s="22">
        <f t="shared" si="170"/>
        <v>9.0602</v>
      </c>
      <c r="T1457" s="20" t="str">
        <f t="shared" si="171"/>
        <v>0-7 days</v>
      </c>
    </row>
    <row r="1458" spans="1:20" x14ac:dyDescent="0.3">
      <c r="A1458" s="20" t="s">
        <v>1524</v>
      </c>
      <c r="B1458" s="20" t="s">
        <v>19</v>
      </c>
      <c r="C1458" s="21">
        <v>45797</v>
      </c>
      <c r="D1458" s="21">
        <v>45807</v>
      </c>
      <c r="E1458" s="21">
        <v>45811</v>
      </c>
      <c r="F1458" s="20" t="s">
        <v>49</v>
      </c>
      <c r="G1458" s="22">
        <v>46.5</v>
      </c>
      <c r="H1458" s="22">
        <v>17.89</v>
      </c>
      <c r="I1458" s="20" t="s">
        <v>45</v>
      </c>
      <c r="J1458" s="20">
        <v>4</v>
      </c>
      <c r="K1458" s="20" t="s">
        <v>46</v>
      </c>
      <c r="L1458" s="23">
        <f t="shared" si="165"/>
        <v>45778</v>
      </c>
      <c r="M1458" s="20">
        <f t="shared" si="166"/>
        <v>10</v>
      </c>
      <c r="N1458" s="20">
        <f t="shared" si="167"/>
        <v>0</v>
      </c>
      <c r="O1458" s="20">
        <f t="shared" si="168"/>
        <v>1</v>
      </c>
      <c r="P1458" s="22">
        <f t="shared" si="169"/>
        <v>64.39</v>
      </c>
      <c r="Q1458" s="22">
        <f>G1458*INDEX(Assumptions!$B$8:$B$16,MATCH(F1458,Assumptions!$A$8:$A$16,0))</f>
        <v>26.97</v>
      </c>
      <c r="R1458" s="22">
        <f>H1458*Assumptions!$B$3</f>
        <v>10.734</v>
      </c>
      <c r="S1458" s="22">
        <f t="shared" si="170"/>
        <v>8.7960000000000012</v>
      </c>
      <c r="T1458" s="20" t="str">
        <f t="shared" si="171"/>
        <v>8-14 days</v>
      </c>
    </row>
    <row r="1459" spans="1:20" x14ac:dyDescent="0.3">
      <c r="A1459" s="20" t="s">
        <v>1525</v>
      </c>
      <c r="B1459" s="20" t="s">
        <v>19</v>
      </c>
      <c r="C1459" s="21">
        <v>45798</v>
      </c>
      <c r="D1459" s="21">
        <v>45806</v>
      </c>
      <c r="E1459" s="21">
        <v>45813</v>
      </c>
      <c r="F1459" s="20" t="s">
        <v>111</v>
      </c>
      <c r="G1459" s="22">
        <v>103.6</v>
      </c>
      <c r="H1459" s="22">
        <v>21.47</v>
      </c>
      <c r="I1459" s="20" t="s">
        <v>45</v>
      </c>
      <c r="J1459" s="20">
        <v>4</v>
      </c>
      <c r="K1459" s="20" t="s">
        <v>46</v>
      </c>
      <c r="L1459" s="23">
        <f t="shared" si="165"/>
        <v>45778</v>
      </c>
      <c r="M1459" s="20">
        <f t="shared" si="166"/>
        <v>8</v>
      </c>
      <c r="N1459" s="20">
        <f t="shared" si="167"/>
        <v>0</v>
      </c>
      <c r="O1459" s="20">
        <f t="shared" si="168"/>
        <v>1</v>
      </c>
      <c r="P1459" s="22">
        <f t="shared" si="169"/>
        <v>125.07</v>
      </c>
      <c r="Q1459" s="22">
        <f>G1459*INDEX(Assumptions!$B$8:$B$16,MATCH(F1459,Assumptions!$A$8:$A$16,0))</f>
        <v>65.268000000000001</v>
      </c>
      <c r="R1459" s="22">
        <f>H1459*Assumptions!$B$3</f>
        <v>12.882</v>
      </c>
      <c r="S1459" s="22">
        <f t="shared" si="170"/>
        <v>25.449999999999996</v>
      </c>
      <c r="T1459" s="20" t="str">
        <f t="shared" si="171"/>
        <v>8-14 days</v>
      </c>
    </row>
    <row r="1460" spans="1:20" x14ac:dyDescent="0.3">
      <c r="A1460" s="20" t="s">
        <v>1526</v>
      </c>
      <c r="B1460" s="20" t="s">
        <v>19</v>
      </c>
      <c r="C1460" s="21">
        <v>45798</v>
      </c>
      <c r="D1460" s="21">
        <v>45814</v>
      </c>
      <c r="E1460" s="21">
        <v>45814</v>
      </c>
      <c r="F1460" s="20" t="s">
        <v>49</v>
      </c>
      <c r="G1460" s="22">
        <v>96.88</v>
      </c>
      <c r="H1460" s="22">
        <v>17.57</v>
      </c>
      <c r="I1460" s="20" t="s">
        <v>60</v>
      </c>
      <c r="J1460" s="20">
        <v>4</v>
      </c>
      <c r="K1460" s="20" t="s">
        <v>46</v>
      </c>
      <c r="L1460" s="23">
        <f t="shared" si="165"/>
        <v>45778</v>
      </c>
      <c r="M1460" s="20">
        <f t="shared" si="166"/>
        <v>16</v>
      </c>
      <c r="N1460" s="20">
        <f t="shared" si="167"/>
        <v>0</v>
      </c>
      <c r="O1460" s="20">
        <f t="shared" si="168"/>
        <v>1</v>
      </c>
      <c r="P1460" s="22">
        <f t="shared" si="169"/>
        <v>114.44999999999999</v>
      </c>
      <c r="Q1460" s="22">
        <f>G1460*INDEX(Assumptions!$B$8:$B$16,MATCH(F1460,Assumptions!$A$8:$A$16,0))</f>
        <v>56.190399999999997</v>
      </c>
      <c r="R1460" s="22">
        <f>H1460*Assumptions!$B$3</f>
        <v>10.542</v>
      </c>
      <c r="S1460" s="22">
        <f t="shared" si="170"/>
        <v>30.147599999999997</v>
      </c>
      <c r="T1460" s="20" t="str">
        <f t="shared" si="171"/>
        <v>15-21 days</v>
      </c>
    </row>
    <row r="1461" spans="1:20" x14ac:dyDescent="0.3">
      <c r="A1461" s="20" t="s">
        <v>1527</v>
      </c>
      <c r="B1461" s="20" t="s">
        <v>55</v>
      </c>
      <c r="C1461" s="21">
        <v>45798</v>
      </c>
      <c r="D1461" s="21">
        <v>45817</v>
      </c>
      <c r="E1461" s="21">
        <v>45821</v>
      </c>
      <c r="F1461" s="20" t="s">
        <v>64</v>
      </c>
      <c r="G1461" s="22">
        <v>143.04</v>
      </c>
      <c r="H1461" s="22">
        <v>31.61</v>
      </c>
      <c r="I1461" s="20" t="s">
        <v>45</v>
      </c>
      <c r="J1461" s="20">
        <v>4</v>
      </c>
      <c r="K1461" s="20" t="s">
        <v>46</v>
      </c>
      <c r="L1461" s="23">
        <f t="shared" si="165"/>
        <v>45778</v>
      </c>
      <c r="M1461" s="20">
        <f t="shared" si="166"/>
        <v>19</v>
      </c>
      <c r="N1461" s="20">
        <f t="shared" si="167"/>
        <v>0</v>
      </c>
      <c r="O1461" s="20">
        <f t="shared" si="168"/>
        <v>1</v>
      </c>
      <c r="P1461" s="22">
        <f t="shared" si="169"/>
        <v>174.64999999999998</v>
      </c>
      <c r="Q1461" s="22">
        <f>G1461*INDEX(Assumptions!$B$8:$B$16,MATCH(F1461,Assumptions!$A$8:$A$16,0))</f>
        <v>94.406400000000005</v>
      </c>
      <c r="R1461" s="22">
        <f>H1461*Assumptions!$B$3</f>
        <v>18.965999999999998</v>
      </c>
      <c r="S1461" s="22">
        <f t="shared" si="170"/>
        <v>29.66759999999999</v>
      </c>
      <c r="T1461" s="20" t="str">
        <f t="shared" si="171"/>
        <v>15-21 days</v>
      </c>
    </row>
    <row r="1462" spans="1:20" x14ac:dyDescent="0.3">
      <c r="A1462" s="20" t="s">
        <v>1528</v>
      </c>
      <c r="B1462" s="20" t="s">
        <v>55</v>
      </c>
      <c r="C1462" s="21">
        <v>45798</v>
      </c>
      <c r="D1462" s="21">
        <v>45814</v>
      </c>
      <c r="E1462" s="21">
        <v>45825</v>
      </c>
      <c r="F1462" s="20" t="s">
        <v>64</v>
      </c>
      <c r="G1462" s="22">
        <v>395.33</v>
      </c>
      <c r="H1462" s="22">
        <v>29.58</v>
      </c>
      <c r="I1462" s="20" t="s">
        <v>60</v>
      </c>
      <c r="J1462" s="20">
        <v>4</v>
      </c>
      <c r="K1462" s="20" t="s">
        <v>46</v>
      </c>
      <c r="L1462" s="23">
        <f t="shared" si="165"/>
        <v>45778</v>
      </c>
      <c r="M1462" s="20">
        <f t="shared" si="166"/>
        <v>16</v>
      </c>
      <c r="N1462" s="20">
        <f t="shared" si="167"/>
        <v>0</v>
      </c>
      <c r="O1462" s="20">
        <f t="shared" si="168"/>
        <v>1</v>
      </c>
      <c r="P1462" s="22">
        <f t="shared" si="169"/>
        <v>424.90999999999997</v>
      </c>
      <c r="Q1462" s="22">
        <f>G1462*INDEX(Assumptions!$B$8:$B$16,MATCH(F1462,Assumptions!$A$8:$A$16,0))</f>
        <v>260.9178</v>
      </c>
      <c r="R1462" s="22">
        <f>H1462*Assumptions!$B$3</f>
        <v>17.747999999999998</v>
      </c>
      <c r="S1462" s="22">
        <f t="shared" si="170"/>
        <v>116.66419999999999</v>
      </c>
      <c r="T1462" s="20" t="str">
        <f t="shared" si="171"/>
        <v>15-21 days</v>
      </c>
    </row>
    <row r="1463" spans="1:20" x14ac:dyDescent="0.3">
      <c r="A1463" s="20" t="s">
        <v>1529</v>
      </c>
      <c r="B1463" s="20" t="s">
        <v>55</v>
      </c>
      <c r="C1463" s="21">
        <v>45798</v>
      </c>
      <c r="D1463" s="21">
        <v>45805</v>
      </c>
      <c r="E1463" s="21">
        <v>45822</v>
      </c>
      <c r="F1463" s="20" t="s">
        <v>57</v>
      </c>
      <c r="G1463" s="22">
        <v>95.18</v>
      </c>
      <c r="H1463" s="22">
        <v>21.28</v>
      </c>
      <c r="I1463" s="20" t="s">
        <v>60</v>
      </c>
      <c r="J1463" s="20">
        <v>5</v>
      </c>
      <c r="K1463" s="20" t="s">
        <v>46</v>
      </c>
      <c r="L1463" s="23">
        <f t="shared" si="165"/>
        <v>45778</v>
      </c>
      <c r="M1463" s="20">
        <f t="shared" si="166"/>
        <v>7</v>
      </c>
      <c r="N1463" s="20">
        <f t="shared" si="167"/>
        <v>0</v>
      </c>
      <c r="O1463" s="20">
        <f t="shared" si="168"/>
        <v>1</v>
      </c>
      <c r="P1463" s="22">
        <f t="shared" si="169"/>
        <v>116.46000000000001</v>
      </c>
      <c r="Q1463" s="22">
        <f>G1463*INDEX(Assumptions!$B$8:$B$16,MATCH(F1463,Assumptions!$A$8:$A$16,0))</f>
        <v>64.722400000000007</v>
      </c>
      <c r="R1463" s="22">
        <f>H1463*Assumptions!$B$3</f>
        <v>12.768000000000001</v>
      </c>
      <c r="S1463" s="22">
        <f t="shared" si="170"/>
        <v>17.689599999999999</v>
      </c>
      <c r="T1463" s="20" t="str">
        <f t="shared" si="171"/>
        <v>0-7 days</v>
      </c>
    </row>
    <row r="1464" spans="1:20" x14ac:dyDescent="0.3">
      <c r="A1464" s="20" t="s">
        <v>1530</v>
      </c>
      <c r="B1464" s="20" t="s">
        <v>62</v>
      </c>
      <c r="C1464" s="21">
        <v>45798</v>
      </c>
      <c r="D1464" s="21">
        <v>45811</v>
      </c>
      <c r="E1464" s="21">
        <v>45818</v>
      </c>
      <c r="F1464" s="20" t="s">
        <v>44</v>
      </c>
      <c r="G1464" s="22">
        <v>18.68</v>
      </c>
      <c r="H1464" s="22">
        <v>15.56</v>
      </c>
      <c r="I1464" s="20" t="s">
        <v>45</v>
      </c>
      <c r="J1464" s="20">
        <v>4</v>
      </c>
      <c r="K1464" s="20" t="s">
        <v>46</v>
      </c>
      <c r="L1464" s="23">
        <f t="shared" si="165"/>
        <v>45778</v>
      </c>
      <c r="M1464" s="20">
        <f t="shared" si="166"/>
        <v>13</v>
      </c>
      <c r="N1464" s="20">
        <f t="shared" si="167"/>
        <v>0</v>
      </c>
      <c r="O1464" s="20">
        <f t="shared" si="168"/>
        <v>1</v>
      </c>
      <c r="P1464" s="22">
        <f t="shared" si="169"/>
        <v>34.24</v>
      </c>
      <c r="Q1464" s="22">
        <f>G1464*INDEX(Assumptions!$B$8:$B$16,MATCH(F1464,Assumptions!$A$8:$A$16,0))</f>
        <v>11.208</v>
      </c>
      <c r="R1464" s="22">
        <f>H1464*Assumptions!$B$3</f>
        <v>9.3360000000000003</v>
      </c>
      <c r="S1464" s="22">
        <f t="shared" si="170"/>
        <v>-1.8640000000000008</v>
      </c>
      <c r="T1464" s="20" t="str">
        <f t="shared" si="171"/>
        <v>8-14 days</v>
      </c>
    </row>
    <row r="1465" spans="1:20" x14ac:dyDescent="0.3">
      <c r="A1465" s="20" t="s">
        <v>1531</v>
      </c>
      <c r="B1465" s="20" t="s">
        <v>156</v>
      </c>
      <c r="C1465" s="21">
        <v>45799</v>
      </c>
      <c r="D1465" s="21">
        <v>45841</v>
      </c>
      <c r="E1465" s="21">
        <v>45823</v>
      </c>
      <c r="F1465" s="20" t="s">
        <v>111</v>
      </c>
      <c r="G1465" s="22">
        <v>82.87</v>
      </c>
      <c r="H1465" s="22">
        <v>20.100000000000001</v>
      </c>
      <c r="I1465" s="20" t="s">
        <v>60</v>
      </c>
      <c r="J1465" s="20">
        <v>3</v>
      </c>
      <c r="K1465" s="20" t="s">
        <v>46</v>
      </c>
      <c r="L1465" s="23">
        <f t="shared" si="165"/>
        <v>45778</v>
      </c>
      <c r="M1465" s="20">
        <f t="shared" si="166"/>
        <v>42</v>
      </c>
      <c r="N1465" s="20">
        <f t="shared" si="167"/>
        <v>18</v>
      </c>
      <c r="O1465" s="20">
        <f t="shared" si="168"/>
        <v>0</v>
      </c>
      <c r="P1465" s="22">
        <f t="shared" si="169"/>
        <v>102.97</v>
      </c>
      <c r="Q1465" s="22">
        <f>G1465*INDEX(Assumptions!$B$8:$B$16,MATCH(F1465,Assumptions!$A$8:$A$16,0))</f>
        <v>52.208100000000002</v>
      </c>
      <c r="R1465" s="22">
        <f>H1465*Assumptions!$B$3</f>
        <v>12.06</v>
      </c>
      <c r="S1465" s="22">
        <f t="shared" si="170"/>
        <v>18.601900000000001</v>
      </c>
      <c r="T1465" s="20" t="str">
        <f t="shared" si="171"/>
        <v>22+ days</v>
      </c>
    </row>
    <row r="1466" spans="1:20" x14ac:dyDescent="0.3">
      <c r="A1466" s="20" t="s">
        <v>1532</v>
      </c>
      <c r="B1466" s="20" t="s">
        <v>134</v>
      </c>
      <c r="C1466" s="21">
        <v>45799</v>
      </c>
      <c r="D1466" s="21">
        <v>45816</v>
      </c>
      <c r="E1466" s="21">
        <v>45821</v>
      </c>
      <c r="F1466" s="20" t="s">
        <v>64</v>
      </c>
      <c r="G1466" s="22">
        <v>184.03</v>
      </c>
      <c r="H1466" s="22">
        <v>28.21</v>
      </c>
      <c r="I1466" s="20" t="s">
        <v>45</v>
      </c>
      <c r="J1466" s="20">
        <v>4</v>
      </c>
      <c r="K1466" s="20" t="s">
        <v>46</v>
      </c>
      <c r="L1466" s="23">
        <f t="shared" si="165"/>
        <v>45778</v>
      </c>
      <c r="M1466" s="20">
        <f t="shared" si="166"/>
        <v>17</v>
      </c>
      <c r="N1466" s="20">
        <f t="shared" si="167"/>
        <v>0</v>
      </c>
      <c r="O1466" s="20">
        <f t="shared" si="168"/>
        <v>1</v>
      </c>
      <c r="P1466" s="22">
        <f t="shared" si="169"/>
        <v>212.24</v>
      </c>
      <c r="Q1466" s="22">
        <f>G1466*INDEX(Assumptions!$B$8:$B$16,MATCH(F1466,Assumptions!$A$8:$A$16,0))</f>
        <v>121.4598</v>
      </c>
      <c r="R1466" s="22">
        <f>H1466*Assumptions!$B$3</f>
        <v>16.925999999999998</v>
      </c>
      <c r="S1466" s="22">
        <f t="shared" si="170"/>
        <v>45.644199999999998</v>
      </c>
      <c r="T1466" s="20" t="str">
        <f t="shared" si="171"/>
        <v>15-21 days</v>
      </c>
    </row>
    <row r="1467" spans="1:20" x14ac:dyDescent="0.3">
      <c r="A1467" s="20" t="s">
        <v>1533</v>
      </c>
      <c r="B1467" s="20" t="s">
        <v>19</v>
      </c>
      <c r="C1467" s="21">
        <v>45799</v>
      </c>
      <c r="D1467" s="21">
        <v>45811</v>
      </c>
      <c r="E1467" s="21">
        <v>45817</v>
      </c>
      <c r="F1467" s="20" t="s">
        <v>67</v>
      </c>
      <c r="G1467" s="22">
        <v>46.92</v>
      </c>
      <c r="H1467" s="22">
        <v>13.88</v>
      </c>
      <c r="I1467" s="20" t="s">
        <v>45</v>
      </c>
      <c r="J1467" s="20">
        <v>4</v>
      </c>
      <c r="K1467" s="20" t="s">
        <v>46</v>
      </c>
      <c r="L1467" s="23">
        <f t="shared" si="165"/>
        <v>45778</v>
      </c>
      <c r="M1467" s="20">
        <f t="shared" si="166"/>
        <v>12</v>
      </c>
      <c r="N1467" s="20">
        <f t="shared" si="167"/>
        <v>0</v>
      </c>
      <c r="O1467" s="20">
        <f t="shared" si="168"/>
        <v>1</v>
      </c>
      <c r="P1467" s="22">
        <f t="shared" si="169"/>
        <v>60.800000000000004</v>
      </c>
      <c r="Q1467" s="22">
        <f>G1467*INDEX(Assumptions!$B$8:$B$16,MATCH(F1467,Assumptions!$A$8:$A$16,0))</f>
        <v>29.090400000000002</v>
      </c>
      <c r="R1467" s="22">
        <f>H1467*Assumptions!$B$3</f>
        <v>8.3279999999999994</v>
      </c>
      <c r="S1467" s="22">
        <f t="shared" si="170"/>
        <v>9.5015999999999998</v>
      </c>
      <c r="T1467" s="20" t="str">
        <f t="shared" si="171"/>
        <v>8-14 days</v>
      </c>
    </row>
    <row r="1468" spans="1:20" x14ac:dyDescent="0.3">
      <c r="A1468" s="20" t="s">
        <v>1534</v>
      </c>
      <c r="B1468" s="20" t="s">
        <v>201</v>
      </c>
      <c r="C1468" s="21">
        <v>45799</v>
      </c>
      <c r="D1468" s="21">
        <v>45834</v>
      </c>
      <c r="E1468" s="21">
        <v>45833</v>
      </c>
      <c r="F1468" s="20" t="s">
        <v>79</v>
      </c>
      <c r="G1468" s="22">
        <v>116.99</v>
      </c>
      <c r="H1468" s="22">
        <v>38.28</v>
      </c>
      <c r="I1468" s="20" t="s">
        <v>45</v>
      </c>
      <c r="J1468" s="20">
        <v>1</v>
      </c>
      <c r="K1468" s="20" t="s">
        <v>46</v>
      </c>
      <c r="L1468" s="23">
        <f t="shared" si="165"/>
        <v>45778</v>
      </c>
      <c r="M1468" s="20">
        <f t="shared" si="166"/>
        <v>35</v>
      </c>
      <c r="N1468" s="20">
        <f t="shared" si="167"/>
        <v>1</v>
      </c>
      <c r="O1468" s="20">
        <f t="shared" si="168"/>
        <v>0</v>
      </c>
      <c r="P1468" s="22">
        <f t="shared" si="169"/>
        <v>155.26999999999998</v>
      </c>
      <c r="Q1468" s="22">
        <f>G1468*INDEX(Assumptions!$B$8:$B$16,MATCH(F1468,Assumptions!$A$8:$A$16,0))</f>
        <v>81.892999999999986</v>
      </c>
      <c r="R1468" s="22">
        <f>H1468*Assumptions!$B$3</f>
        <v>22.968</v>
      </c>
      <c r="S1468" s="22">
        <f t="shared" si="170"/>
        <v>12.129000000000008</v>
      </c>
      <c r="T1468" s="20" t="str">
        <f t="shared" si="171"/>
        <v>22+ days</v>
      </c>
    </row>
    <row r="1469" spans="1:20" x14ac:dyDescent="0.3">
      <c r="A1469" s="20" t="s">
        <v>1535</v>
      </c>
      <c r="B1469" s="20" t="s">
        <v>62</v>
      </c>
      <c r="C1469" s="21">
        <v>45799</v>
      </c>
      <c r="D1469" s="21">
        <v>45811</v>
      </c>
      <c r="E1469" s="21">
        <v>45817</v>
      </c>
      <c r="F1469" s="20" t="s">
        <v>67</v>
      </c>
      <c r="G1469" s="22">
        <v>141.78</v>
      </c>
      <c r="H1469" s="22">
        <v>17.16</v>
      </c>
      <c r="I1469" s="20" t="s">
        <v>45</v>
      </c>
      <c r="J1469" s="20">
        <v>5</v>
      </c>
      <c r="K1469" s="20" t="s">
        <v>46</v>
      </c>
      <c r="L1469" s="23">
        <f t="shared" si="165"/>
        <v>45778</v>
      </c>
      <c r="M1469" s="20">
        <f t="shared" si="166"/>
        <v>12</v>
      </c>
      <c r="N1469" s="20">
        <f t="shared" si="167"/>
        <v>0</v>
      </c>
      <c r="O1469" s="20">
        <f t="shared" si="168"/>
        <v>1</v>
      </c>
      <c r="P1469" s="22">
        <f t="shared" si="169"/>
        <v>158.94</v>
      </c>
      <c r="Q1469" s="22">
        <f>G1469*INDEX(Assumptions!$B$8:$B$16,MATCH(F1469,Assumptions!$A$8:$A$16,0))</f>
        <v>87.903599999999997</v>
      </c>
      <c r="R1469" s="22">
        <f>H1469*Assumptions!$B$3</f>
        <v>10.295999999999999</v>
      </c>
      <c r="S1469" s="22">
        <f t="shared" si="170"/>
        <v>43.580400000000004</v>
      </c>
      <c r="T1469" s="20" t="str">
        <f t="shared" si="171"/>
        <v>8-14 days</v>
      </c>
    </row>
    <row r="1470" spans="1:20" x14ac:dyDescent="0.3">
      <c r="A1470" s="20" t="s">
        <v>1536</v>
      </c>
      <c r="B1470" s="20" t="s">
        <v>103</v>
      </c>
      <c r="C1470" s="21">
        <v>45800</v>
      </c>
      <c r="D1470" s="21">
        <v>45816</v>
      </c>
      <c r="E1470" s="21">
        <v>45822</v>
      </c>
      <c r="F1470" s="20" t="s">
        <v>49</v>
      </c>
      <c r="G1470" s="22">
        <v>136.59</v>
      </c>
      <c r="H1470" s="22">
        <v>30.14</v>
      </c>
      <c r="I1470" s="20" t="s">
        <v>45</v>
      </c>
      <c r="J1470" s="20">
        <v>5</v>
      </c>
      <c r="K1470" s="20" t="s">
        <v>46</v>
      </c>
      <c r="L1470" s="23">
        <f t="shared" si="165"/>
        <v>45778</v>
      </c>
      <c r="M1470" s="20">
        <f t="shared" si="166"/>
        <v>16</v>
      </c>
      <c r="N1470" s="20">
        <f t="shared" si="167"/>
        <v>0</v>
      </c>
      <c r="O1470" s="20">
        <f t="shared" si="168"/>
        <v>1</v>
      </c>
      <c r="P1470" s="22">
        <f t="shared" si="169"/>
        <v>166.73000000000002</v>
      </c>
      <c r="Q1470" s="22">
        <f>G1470*INDEX(Assumptions!$B$8:$B$16,MATCH(F1470,Assumptions!$A$8:$A$16,0))</f>
        <v>79.222200000000001</v>
      </c>
      <c r="R1470" s="22">
        <f>H1470*Assumptions!$B$3</f>
        <v>18.084</v>
      </c>
      <c r="S1470" s="22">
        <f t="shared" si="170"/>
        <v>39.283799999999999</v>
      </c>
      <c r="T1470" s="20" t="str">
        <f t="shared" si="171"/>
        <v>15-21 days</v>
      </c>
    </row>
    <row r="1471" spans="1:20" x14ac:dyDescent="0.3">
      <c r="A1471" s="20" t="s">
        <v>1537</v>
      </c>
      <c r="B1471" s="20" t="s">
        <v>52</v>
      </c>
      <c r="C1471" s="21">
        <v>45800</v>
      </c>
      <c r="D1471" s="21">
        <v>45814</v>
      </c>
      <c r="E1471" s="21">
        <v>45825</v>
      </c>
      <c r="F1471" s="20" t="s">
        <v>44</v>
      </c>
      <c r="G1471" s="22">
        <v>47.38</v>
      </c>
      <c r="H1471" s="22">
        <v>26.25</v>
      </c>
      <c r="I1471" s="20" t="s">
        <v>45</v>
      </c>
      <c r="J1471" s="20">
        <v>3</v>
      </c>
      <c r="K1471" s="20" t="s">
        <v>46</v>
      </c>
      <c r="L1471" s="23">
        <f t="shared" si="165"/>
        <v>45778</v>
      </c>
      <c r="M1471" s="20">
        <f t="shared" si="166"/>
        <v>14</v>
      </c>
      <c r="N1471" s="20">
        <f t="shared" si="167"/>
        <v>0</v>
      </c>
      <c r="O1471" s="20">
        <f t="shared" si="168"/>
        <v>1</v>
      </c>
      <c r="P1471" s="22">
        <f t="shared" si="169"/>
        <v>73.63</v>
      </c>
      <c r="Q1471" s="22">
        <f>G1471*INDEX(Assumptions!$B$8:$B$16,MATCH(F1471,Assumptions!$A$8:$A$16,0))</f>
        <v>28.428000000000001</v>
      </c>
      <c r="R1471" s="22">
        <f>H1471*Assumptions!$B$3</f>
        <v>15.75</v>
      </c>
      <c r="S1471" s="22">
        <f t="shared" si="170"/>
        <v>3.2020000000000017</v>
      </c>
      <c r="T1471" s="20" t="str">
        <f t="shared" si="171"/>
        <v>8-14 days</v>
      </c>
    </row>
    <row r="1472" spans="1:20" x14ac:dyDescent="0.3">
      <c r="A1472" s="20" t="s">
        <v>1538</v>
      </c>
      <c r="B1472" s="20" t="s">
        <v>19</v>
      </c>
      <c r="C1472" s="21">
        <v>45801</v>
      </c>
      <c r="D1472" s="21">
        <v>45809</v>
      </c>
      <c r="E1472" s="21">
        <v>45816</v>
      </c>
      <c r="F1472" s="20" t="s">
        <v>111</v>
      </c>
      <c r="G1472" s="22">
        <v>125.2</v>
      </c>
      <c r="H1472" s="22">
        <v>18.29</v>
      </c>
      <c r="I1472" s="20" t="s">
        <v>45</v>
      </c>
      <c r="J1472" s="20">
        <v>5</v>
      </c>
      <c r="K1472" s="20" t="s">
        <v>46</v>
      </c>
      <c r="L1472" s="23">
        <f t="shared" si="165"/>
        <v>45778</v>
      </c>
      <c r="M1472" s="20">
        <f t="shared" si="166"/>
        <v>8</v>
      </c>
      <c r="N1472" s="20">
        <f t="shared" si="167"/>
        <v>0</v>
      </c>
      <c r="O1472" s="20">
        <f t="shared" si="168"/>
        <v>1</v>
      </c>
      <c r="P1472" s="22">
        <f t="shared" si="169"/>
        <v>143.49</v>
      </c>
      <c r="Q1472" s="22">
        <f>G1472*INDEX(Assumptions!$B$8:$B$16,MATCH(F1472,Assumptions!$A$8:$A$16,0))</f>
        <v>78.876000000000005</v>
      </c>
      <c r="R1472" s="22">
        <f>H1472*Assumptions!$B$3</f>
        <v>10.973999999999998</v>
      </c>
      <c r="S1472" s="22">
        <f t="shared" si="170"/>
        <v>35.35</v>
      </c>
      <c r="T1472" s="20" t="str">
        <f t="shared" si="171"/>
        <v>8-14 days</v>
      </c>
    </row>
    <row r="1473" spans="1:20" x14ac:dyDescent="0.3">
      <c r="A1473" s="20" t="s">
        <v>1539</v>
      </c>
      <c r="B1473" s="20" t="s">
        <v>55</v>
      </c>
      <c r="C1473" s="21">
        <v>45801</v>
      </c>
      <c r="D1473" s="21">
        <v>45815</v>
      </c>
      <c r="E1473" s="21">
        <v>45827</v>
      </c>
      <c r="F1473" s="20" t="s">
        <v>67</v>
      </c>
      <c r="G1473" s="22">
        <v>198.3</v>
      </c>
      <c r="H1473" s="22">
        <v>21.52</v>
      </c>
      <c r="I1473" s="20" t="s">
        <v>45</v>
      </c>
      <c r="J1473" s="20">
        <v>3</v>
      </c>
      <c r="K1473" s="20" t="s">
        <v>46</v>
      </c>
      <c r="L1473" s="23">
        <f t="shared" si="165"/>
        <v>45778</v>
      </c>
      <c r="M1473" s="20">
        <f t="shared" si="166"/>
        <v>14</v>
      </c>
      <c r="N1473" s="20">
        <f t="shared" si="167"/>
        <v>0</v>
      </c>
      <c r="O1473" s="20">
        <f t="shared" si="168"/>
        <v>1</v>
      </c>
      <c r="P1473" s="22">
        <f t="shared" si="169"/>
        <v>219.82000000000002</v>
      </c>
      <c r="Q1473" s="22">
        <f>G1473*INDEX(Assumptions!$B$8:$B$16,MATCH(F1473,Assumptions!$A$8:$A$16,0))</f>
        <v>122.94600000000001</v>
      </c>
      <c r="R1473" s="22">
        <f>H1473*Assumptions!$B$3</f>
        <v>12.911999999999999</v>
      </c>
      <c r="S1473" s="22">
        <f t="shared" si="170"/>
        <v>62.442</v>
      </c>
      <c r="T1473" s="20" t="str">
        <f t="shared" si="171"/>
        <v>8-14 days</v>
      </c>
    </row>
    <row r="1474" spans="1:20" x14ac:dyDescent="0.3">
      <c r="A1474" s="20" t="s">
        <v>1540</v>
      </c>
      <c r="B1474" s="20" t="s">
        <v>19</v>
      </c>
      <c r="C1474" s="21">
        <v>45801</v>
      </c>
      <c r="D1474" s="21">
        <v>45812</v>
      </c>
      <c r="E1474" s="21">
        <v>45817</v>
      </c>
      <c r="F1474" s="20" t="s">
        <v>44</v>
      </c>
      <c r="G1474" s="22">
        <v>66.73</v>
      </c>
      <c r="H1474" s="22">
        <v>14.4</v>
      </c>
      <c r="I1474" s="20" t="s">
        <v>45</v>
      </c>
      <c r="J1474" s="20">
        <v>5</v>
      </c>
      <c r="K1474" s="20" t="s">
        <v>46</v>
      </c>
      <c r="L1474" s="23">
        <f t="shared" ref="L1474:L1537" si="172">DATE(YEAR(C1474),MONTH(C1474),1)</f>
        <v>45778</v>
      </c>
      <c r="M1474" s="20">
        <f t="shared" ref="M1474:M1537" si="173">D1474-C1474</f>
        <v>11</v>
      </c>
      <c r="N1474" s="20">
        <f t="shared" ref="N1474:N1537" si="174">MAX(0,D1474-E1474)</f>
        <v>0</v>
      </c>
      <c r="O1474" s="20">
        <f t="shared" ref="O1474:O1537" si="175">IF(D1474&lt;=E1474,1,0)</f>
        <v>1</v>
      </c>
      <c r="P1474" s="22">
        <f t="shared" ref="P1474:P1537" si="176">G1474+H1474</f>
        <v>81.13000000000001</v>
      </c>
      <c r="Q1474" s="22">
        <f>G1474*INDEX(Assumptions!$B$8:$B$16,MATCH(F1474,Assumptions!$A$8:$A$16,0))</f>
        <v>40.038000000000004</v>
      </c>
      <c r="R1474" s="22">
        <f>H1474*Assumptions!$B$3</f>
        <v>8.64</v>
      </c>
      <c r="S1474" s="22">
        <f t="shared" ref="S1474:S1537" si="177">G1474-Q1474-R1474</f>
        <v>18.052</v>
      </c>
      <c r="T1474" s="20" t="str">
        <f t="shared" ref="T1474:T1537" si="178">IF(M1474&lt;=7,"0-7 days",IF(M1474&lt;=14,"8-14 days",IF(M1474&lt;=21,"15-21 days","22+ days")))</f>
        <v>8-14 days</v>
      </c>
    </row>
    <row r="1475" spans="1:20" x14ac:dyDescent="0.3">
      <c r="A1475" s="20" t="s">
        <v>1541</v>
      </c>
      <c r="B1475" s="20" t="s">
        <v>48</v>
      </c>
      <c r="C1475" s="21">
        <v>45801</v>
      </c>
      <c r="D1475" s="21">
        <v>45815</v>
      </c>
      <c r="E1475" s="21">
        <v>45825</v>
      </c>
      <c r="F1475" s="20" t="s">
        <v>59</v>
      </c>
      <c r="G1475" s="22">
        <v>130.72999999999999</v>
      </c>
      <c r="H1475" s="22">
        <v>17.77</v>
      </c>
      <c r="I1475" s="20" t="s">
        <v>45</v>
      </c>
      <c r="J1475" s="20">
        <v>4</v>
      </c>
      <c r="K1475" s="20" t="s">
        <v>46</v>
      </c>
      <c r="L1475" s="23">
        <f t="shared" si="172"/>
        <v>45778</v>
      </c>
      <c r="M1475" s="20">
        <f t="shared" si="173"/>
        <v>14</v>
      </c>
      <c r="N1475" s="20">
        <f t="shared" si="174"/>
        <v>0</v>
      </c>
      <c r="O1475" s="20">
        <f t="shared" si="175"/>
        <v>1</v>
      </c>
      <c r="P1475" s="22">
        <f t="shared" si="176"/>
        <v>148.5</v>
      </c>
      <c r="Q1475" s="22">
        <f>G1475*INDEX(Assumptions!$B$8:$B$16,MATCH(F1475,Assumptions!$A$8:$A$16,0))</f>
        <v>83.667199999999994</v>
      </c>
      <c r="R1475" s="22">
        <f>H1475*Assumptions!$B$3</f>
        <v>10.661999999999999</v>
      </c>
      <c r="S1475" s="22">
        <f t="shared" si="177"/>
        <v>36.400799999999997</v>
      </c>
      <c r="T1475" s="20" t="str">
        <f t="shared" si="178"/>
        <v>8-14 days</v>
      </c>
    </row>
    <row r="1476" spans="1:20" x14ac:dyDescent="0.3">
      <c r="A1476" s="20" t="s">
        <v>1542</v>
      </c>
      <c r="B1476" s="20" t="s">
        <v>19</v>
      </c>
      <c r="C1476" s="21">
        <v>45801</v>
      </c>
      <c r="D1476" s="21">
        <v>45806</v>
      </c>
      <c r="E1476" s="21">
        <v>45814</v>
      </c>
      <c r="F1476" s="20" t="s">
        <v>79</v>
      </c>
      <c r="G1476" s="22">
        <v>117.53</v>
      </c>
      <c r="H1476" s="22">
        <v>21.05</v>
      </c>
      <c r="I1476" s="20" t="s">
        <v>45</v>
      </c>
      <c r="J1476" s="20">
        <v>4</v>
      </c>
      <c r="K1476" s="20" t="s">
        <v>46</v>
      </c>
      <c r="L1476" s="23">
        <f t="shared" si="172"/>
        <v>45778</v>
      </c>
      <c r="M1476" s="20">
        <f t="shared" si="173"/>
        <v>5</v>
      </c>
      <c r="N1476" s="20">
        <f t="shared" si="174"/>
        <v>0</v>
      </c>
      <c r="O1476" s="20">
        <f t="shared" si="175"/>
        <v>1</v>
      </c>
      <c r="P1476" s="22">
        <f t="shared" si="176"/>
        <v>138.58000000000001</v>
      </c>
      <c r="Q1476" s="22">
        <f>G1476*INDEX(Assumptions!$B$8:$B$16,MATCH(F1476,Assumptions!$A$8:$A$16,0))</f>
        <v>82.271000000000001</v>
      </c>
      <c r="R1476" s="22">
        <f>H1476*Assumptions!$B$3</f>
        <v>12.63</v>
      </c>
      <c r="S1476" s="22">
        <f t="shared" si="177"/>
        <v>22.628999999999998</v>
      </c>
      <c r="T1476" s="20" t="str">
        <f t="shared" si="178"/>
        <v>0-7 days</v>
      </c>
    </row>
    <row r="1477" spans="1:20" x14ac:dyDescent="0.3">
      <c r="A1477" s="20" t="s">
        <v>1543</v>
      </c>
      <c r="B1477" s="20" t="s">
        <v>19</v>
      </c>
      <c r="C1477" s="21">
        <v>45801</v>
      </c>
      <c r="D1477" s="21">
        <v>45809</v>
      </c>
      <c r="E1477" s="21">
        <v>45818</v>
      </c>
      <c r="F1477" s="20" t="s">
        <v>57</v>
      </c>
      <c r="G1477" s="22">
        <v>49.31</v>
      </c>
      <c r="H1477" s="22">
        <v>15.75</v>
      </c>
      <c r="I1477" s="20" t="s">
        <v>45</v>
      </c>
      <c r="J1477" s="20">
        <v>5</v>
      </c>
      <c r="K1477" s="20" t="s">
        <v>46</v>
      </c>
      <c r="L1477" s="23">
        <f t="shared" si="172"/>
        <v>45778</v>
      </c>
      <c r="M1477" s="20">
        <f t="shared" si="173"/>
        <v>8</v>
      </c>
      <c r="N1477" s="20">
        <f t="shared" si="174"/>
        <v>0</v>
      </c>
      <c r="O1477" s="20">
        <f t="shared" si="175"/>
        <v>1</v>
      </c>
      <c r="P1477" s="22">
        <f t="shared" si="176"/>
        <v>65.06</v>
      </c>
      <c r="Q1477" s="22">
        <f>G1477*INDEX(Assumptions!$B$8:$B$16,MATCH(F1477,Assumptions!$A$8:$A$16,0))</f>
        <v>33.530800000000006</v>
      </c>
      <c r="R1477" s="22">
        <f>H1477*Assumptions!$B$3</f>
        <v>9.4499999999999993</v>
      </c>
      <c r="S1477" s="22">
        <f t="shared" si="177"/>
        <v>6.3291999999999966</v>
      </c>
      <c r="T1477" s="20" t="str">
        <f t="shared" si="178"/>
        <v>8-14 days</v>
      </c>
    </row>
    <row r="1478" spans="1:20" x14ac:dyDescent="0.3">
      <c r="A1478" s="20" t="s">
        <v>1544</v>
      </c>
      <c r="B1478" s="20" t="s">
        <v>52</v>
      </c>
      <c r="C1478" s="21">
        <v>45802</v>
      </c>
      <c r="D1478" s="21">
        <v>45829</v>
      </c>
      <c r="E1478" s="21">
        <v>45826</v>
      </c>
      <c r="F1478" s="20" t="s">
        <v>49</v>
      </c>
      <c r="G1478" s="22">
        <v>73.64</v>
      </c>
      <c r="H1478" s="22">
        <v>21.85</v>
      </c>
      <c r="I1478" s="20" t="s">
        <v>60</v>
      </c>
      <c r="J1478" s="20">
        <v>2</v>
      </c>
      <c r="K1478" s="20" t="s">
        <v>46</v>
      </c>
      <c r="L1478" s="23">
        <f t="shared" si="172"/>
        <v>45778</v>
      </c>
      <c r="M1478" s="20">
        <f t="shared" si="173"/>
        <v>27</v>
      </c>
      <c r="N1478" s="20">
        <f t="shared" si="174"/>
        <v>3</v>
      </c>
      <c r="O1478" s="20">
        <f t="shared" si="175"/>
        <v>0</v>
      </c>
      <c r="P1478" s="22">
        <f t="shared" si="176"/>
        <v>95.490000000000009</v>
      </c>
      <c r="Q1478" s="22">
        <f>G1478*INDEX(Assumptions!$B$8:$B$16,MATCH(F1478,Assumptions!$A$8:$A$16,0))</f>
        <v>42.711199999999998</v>
      </c>
      <c r="R1478" s="22">
        <f>H1478*Assumptions!$B$3</f>
        <v>13.110000000000001</v>
      </c>
      <c r="S1478" s="22">
        <f t="shared" si="177"/>
        <v>17.818800000000003</v>
      </c>
      <c r="T1478" s="20" t="str">
        <f t="shared" si="178"/>
        <v>22+ days</v>
      </c>
    </row>
    <row r="1479" spans="1:20" x14ac:dyDescent="0.3">
      <c r="A1479" s="20" t="s">
        <v>1545</v>
      </c>
      <c r="B1479" s="20" t="s">
        <v>62</v>
      </c>
      <c r="C1479" s="21">
        <v>45802</v>
      </c>
      <c r="D1479" s="21">
        <v>45816</v>
      </c>
      <c r="E1479" s="21">
        <v>45822</v>
      </c>
      <c r="F1479" s="20" t="s">
        <v>67</v>
      </c>
      <c r="G1479" s="22">
        <v>86.83</v>
      </c>
      <c r="H1479" s="22">
        <v>21.03</v>
      </c>
      <c r="I1479" s="20" t="s">
        <v>45</v>
      </c>
      <c r="J1479" s="20">
        <v>3</v>
      </c>
      <c r="K1479" s="20" t="s">
        <v>46</v>
      </c>
      <c r="L1479" s="23">
        <f t="shared" si="172"/>
        <v>45778</v>
      </c>
      <c r="M1479" s="20">
        <f t="shared" si="173"/>
        <v>14</v>
      </c>
      <c r="N1479" s="20">
        <f t="shared" si="174"/>
        <v>0</v>
      </c>
      <c r="O1479" s="20">
        <f t="shared" si="175"/>
        <v>1</v>
      </c>
      <c r="P1479" s="22">
        <f t="shared" si="176"/>
        <v>107.86</v>
      </c>
      <c r="Q1479" s="22">
        <f>G1479*INDEX(Assumptions!$B$8:$B$16,MATCH(F1479,Assumptions!$A$8:$A$16,0))</f>
        <v>53.834600000000002</v>
      </c>
      <c r="R1479" s="22">
        <f>H1479*Assumptions!$B$3</f>
        <v>12.618</v>
      </c>
      <c r="S1479" s="22">
        <f t="shared" si="177"/>
        <v>20.377399999999994</v>
      </c>
      <c r="T1479" s="20" t="str">
        <f t="shared" si="178"/>
        <v>8-14 days</v>
      </c>
    </row>
    <row r="1480" spans="1:20" x14ac:dyDescent="0.3">
      <c r="A1480" s="20" t="s">
        <v>1546</v>
      </c>
      <c r="B1480" s="20" t="s">
        <v>19</v>
      </c>
      <c r="C1480" s="21">
        <v>45803</v>
      </c>
      <c r="D1480" s="21">
        <v>45811</v>
      </c>
      <c r="E1480" s="21">
        <v>45819</v>
      </c>
      <c r="F1480" s="20" t="s">
        <v>59</v>
      </c>
      <c r="G1480" s="22">
        <v>47.14</v>
      </c>
      <c r="H1480" s="22">
        <v>17.59</v>
      </c>
      <c r="I1480" s="20" t="s">
        <v>45</v>
      </c>
      <c r="J1480" s="20">
        <v>5</v>
      </c>
      <c r="K1480" s="20" t="s">
        <v>46</v>
      </c>
      <c r="L1480" s="23">
        <f t="shared" si="172"/>
        <v>45778</v>
      </c>
      <c r="M1480" s="20">
        <f t="shared" si="173"/>
        <v>8</v>
      </c>
      <c r="N1480" s="20">
        <f t="shared" si="174"/>
        <v>0</v>
      </c>
      <c r="O1480" s="20">
        <f t="shared" si="175"/>
        <v>1</v>
      </c>
      <c r="P1480" s="22">
        <f t="shared" si="176"/>
        <v>64.73</v>
      </c>
      <c r="Q1480" s="22">
        <f>G1480*INDEX(Assumptions!$B$8:$B$16,MATCH(F1480,Assumptions!$A$8:$A$16,0))</f>
        <v>30.169600000000003</v>
      </c>
      <c r="R1480" s="22">
        <f>H1480*Assumptions!$B$3</f>
        <v>10.554</v>
      </c>
      <c r="S1480" s="22">
        <f t="shared" si="177"/>
        <v>6.4163999999999977</v>
      </c>
      <c r="T1480" s="20" t="str">
        <f t="shared" si="178"/>
        <v>8-14 days</v>
      </c>
    </row>
    <row r="1481" spans="1:20" x14ac:dyDescent="0.3">
      <c r="A1481" s="20" t="s">
        <v>1547</v>
      </c>
      <c r="B1481" s="20" t="s">
        <v>62</v>
      </c>
      <c r="C1481" s="21">
        <v>45803</v>
      </c>
      <c r="D1481" s="21">
        <v>45817</v>
      </c>
      <c r="E1481" s="21">
        <v>45821</v>
      </c>
      <c r="F1481" s="20" t="s">
        <v>59</v>
      </c>
      <c r="G1481" s="22">
        <v>83.8</v>
      </c>
      <c r="H1481" s="22">
        <v>26.43</v>
      </c>
      <c r="I1481" s="20" t="s">
        <v>45</v>
      </c>
      <c r="J1481" s="20">
        <v>5</v>
      </c>
      <c r="K1481" s="20" t="s">
        <v>46</v>
      </c>
      <c r="L1481" s="23">
        <f t="shared" si="172"/>
        <v>45778</v>
      </c>
      <c r="M1481" s="20">
        <f t="shared" si="173"/>
        <v>14</v>
      </c>
      <c r="N1481" s="20">
        <f t="shared" si="174"/>
        <v>0</v>
      </c>
      <c r="O1481" s="20">
        <f t="shared" si="175"/>
        <v>1</v>
      </c>
      <c r="P1481" s="22">
        <f t="shared" si="176"/>
        <v>110.22999999999999</v>
      </c>
      <c r="Q1481" s="22">
        <f>G1481*INDEX(Assumptions!$B$8:$B$16,MATCH(F1481,Assumptions!$A$8:$A$16,0))</f>
        <v>53.631999999999998</v>
      </c>
      <c r="R1481" s="22">
        <f>H1481*Assumptions!$B$3</f>
        <v>15.857999999999999</v>
      </c>
      <c r="S1481" s="22">
        <f t="shared" si="177"/>
        <v>14.31</v>
      </c>
      <c r="T1481" s="20" t="str">
        <f t="shared" si="178"/>
        <v>8-14 days</v>
      </c>
    </row>
    <row r="1482" spans="1:20" x14ac:dyDescent="0.3">
      <c r="A1482" s="20" t="s">
        <v>1548</v>
      </c>
      <c r="B1482" s="20" t="s">
        <v>55</v>
      </c>
      <c r="C1482" s="21">
        <v>45803</v>
      </c>
      <c r="D1482" s="21">
        <v>45814</v>
      </c>
      <c r="E1482" s="21">
        <v>45825</v>
      </c>
      <c r="F1482" s="20" t="s">
        <v>53</v>
      </c>
      <c r="G1482" s="22">
        <v>166.43</v>
      </c>
      <c r="H1482" s="22">
        <v>27.06</v>
      </c>
      <c r="I1482" s="20" t="s">
        <v>45</v>
      </c>
      <c r="J1482" s="20">
        <v>4</v>
      </c>
      <c r="K1482" s="20" t="s">
        <v>46</v>
      </c>
      <c r="L1482" s="23">
        <f t="shared" si="172"/>
        <v>45778</v>
      </c>
      <c r="M1482" s="20">
        <f t="shared" si="173"/>
        <v>11</v>
      </c>
      <c r="N1482" s="20">
        <f t="shared" si="174"/>
        <v>0</v>
      </c>
      <c r="O1482" s="20">
        <f t="shared" si="175"/>
        <v>1</v>
      </c>
      <c r="P1482" s="22">
        <f t="shared" si="176"/>
        <v>193.49</v>
      </c>
      <c r="Q1482" s="22">
        <f>G1482*INDEX(Assumptions!$B$8:$B$16,MATCH(F1482,Assumptions!$A$8:$A$16,0))</f>
        <v>123.15820000000001</v>
      </c>
      <c r="R1482" s="22">
        <f>H1482*Assumptions!$B$3</f>
        <v>16.235999999999997</v>
      </c>
      <c r="S1482" s="22">
        <f t="shared" si="177"/>
        <v>27.035800000000002</v>
      </c>
      <c r="T1482" s="20" t="str">
        <f t="shared" si="178"/>
        <v>8-14 days</v>
      </c>
    </row>
    <row r="1483" spans="1:20" x14ac:dyDescent="0.3">
      <c r="A1483" s="20" t="s">
        <v>1549</v>
      </c>
      <c r="B1483" s="20" t="s">
        <v>103</v>
      </c>
      <c r="C1483" s="21">
        <v>45804</v>
      </c>
      <c r="D1483" s="21">
        <v>45823</v>
      </c>
      <c r="E1483" s="21">
        <v>45827</v>
      </c>
      <c r="F1483" s="20" t="s">
        <v>59</v>
      </c>
      <c r="G1483" s="22">
        <v>158.09</v>
      </c>
      <c r="H1483" s="22">
        <v>27.82</v>
      </c>
      <c r="I1483" s="20" t="s">
        <v>60</v>
      </c>
      <c r="J1483" s="20">
        <v>3</v>
      </c>
      <c r="K1483" s="20" t="s">
        <v>46</v>
      </c>
      <c r="L1483" s="23">
        <f t="shared" si="172"/>
        <v>45778</v>
      </c>
      <c r="M1483" s="20">
        <f t="shared" si="173"/>
        <v>19</v>
      </c>
      <c r="N1483" s="20">
        <f t="shared" si="174"/>
        <v>0</v>
      </c>
      <c r="O1483" s="20">
        <f t="shared" si="175"/>
        <v>1</v>
      </c>
      <c r="P1483" s="22">
        <f t="shared" si="176"/>
        <v>185.91</v>
      </c>
      <c r="Q1483" s="22">
        <f>G1483*INDEX(Assumptions!$B$8:$B$16,MATCH(F1483,Assumptions!$A$8:$A$16,0))</f>
        <v>101.1776</v>
      </c>
      <c r="R1483" s="22">
        <f>H1483*Assumptions!$B$3</f>
        <v>16.692</v>
      </c>
      <c r="S1483" s="22">
        <f t="shared" si="177"/>
        <v>40.220400000000005</v>
      </c>
      <c r="T1483" s="20" t="str">
        <f t="shared" si="178"/>
        <v>15-21 days</v>
      </c>
    </row>
    <row r="1484" spans="1:20" x14ac:dyDescent="0.3">
      <c r="A1484" s="20" t="s">
        <v>1550</v>
      </c>
      <c r="B1484" s="20" t="s">
        <v>134</v>
      </c>
      <c r="C1484" s="21">
        <v>45804</v>
      </c>
      <c r="D1484" s="21">
        <v>45822</v>
      </c>
      <c r="E1484" s="21">
        <v>45828</v>
      </c>
      <c r="F1484" s="20" t="s">
        <v>67</v>
      </c>
      <c r="G1484" s="22">
        <v>171.11</v>
      </c>
      <c r="H1484" s="22">
        <v>25.78</v>
      </c>
      <c r="I1484" s="20" t="s">
        <v>60</v>
      </c>
      <c r="J1484" s="20">
        <v>5</v>
      </c>
      <c r="K1484" s="20" t="s">
        <v>46</v>
      </c>
      <c r="L1484" s="23">
        <f t="shared" si="172"/>
        <v>45778</v>
      </c>
      <c r="M1484" s="20">
        <f t="shared" si="173"/>
        <v>18</v>
      </c>
      <c r="N1484" s="20">
        <f t="shared" si="174"/>
        <v>0</v>
      </c>
      <c r="O1484" s="20">
        <f t="shared" si="175"/>
        <v>1</v>
      </c>
      <c r="P1484" s="22">
        <f t="shared" si="176"/>
        <v>196.89000000000001</v>
      </c>
      <c r="Q1484" s="22">
        <f>G1484*INDEX(Assumptions!$B$8:$B$16,MATCH(F1484,Assumptions!$A$8:$A$16,0))</f>
        <v>106.08820000000001</v>
      </c>
      <c r="R1484" s="22">
        <f>H1484*Assumptions!$B$3</f>
        <v>15.468</v>
      </c>
      <c r="S1484" s="22">
        <f t="shared" si="177"/>
        <v>49.553799999999995</v>
      </c>
      <c r="T1484" s="20" t="str">
        <f t="shared" si="178"/>
        <v>15-21 days</v>
      </c>
    </row>
    <row r="1485" spans="1:20" x14ac:dyDescent="0.3">
      <c r="A1485" s="20" t="s">
        <v>1551</v>
      </c>
      <c r="B1485" s="20" t="s">
        <v>62</v>
      </c>
      <c r="C1485" s="21">
        <v>45804</v>
      </c>
      <c r="D1485" s="21">
        <v>45812</v>
      </c>
      <c r="E1485" s="21">
        <v>45826</v>
      </c>
      <c r="F1485" s="20" t="s">
        <v>64</v>
      </c>
      <c r="G1485" s="22">
        <v>76.27</v>
      </c>
      <c r="H1485" s="22">
        <v>20.350000000000001</v>
      </c>
      <c r="I1485" s="20" t="s">
        <v>60</v>
      </c>
      <c r="J1485" s="20">
        <v>5</v>
      </c>
      <c r="K1485" s="20" t="s">
        <v>46</v>
      </c>
      <c r="L1485" s="23">
        <f t="shared" si="172"/>
        <v>45778</v>
      </c>
      <c r="M1485" s="20">
        <f t="shared" si="173"/>
        <v>8</v>
      </c>
      <c r="N1485" s="20">
        <f t="shared" si="174"/>
        <v>0</v>
      </c>
      <c r="O1485" s="20">
        <f t="shared" si="175"/>
        <v>1</v>
      </c>
      <c r="P1485" s="22">
        <f t="shared" si="176"/>
        <v>96.62</v>
      </c>
      <c r="Q1485" s="22">
        <f>G1485*INDEX(Assumptions!$B$8:$B$16,MATCH(F1485,Assumptions!$A$8:$A$16,0))</f>
        <v>50.338200000000001</v>
      </c>
      <c r="R1485" s="22">
        <f>H1485*Assumptions!$B$3</f>
        <v>12.21</v>
      </c>
      <c r="S1485" s="22">
        <f t="shared" si="177"/>
        <v>13.721799999999995</v>
      </c>
      <c r="T1485" s="20" t="str">
        <f t="shared" si="178"/>
        <v>8-14 days</v>
      </c>
    </row>
    <row r="1486" spans="1:20" x14ac:dyDescent="0.3">
      <c r="A1486" s="20" t="s">
        <v>1552</v>
      </c>
      <c r="B1486" s="20" t="s">
        <v>52</v>
      </c>
      <c r="C1486" s="21">
        <v>45805</v>
      </c>
      <c r="D1486" s="21">
        <v>45818</v>
      </c>
      <c r="E1486" s="21">
        <v>45830</v>
      </c>
      <c r="F1486" s="20" t="s">
        <v>67</v>
      </c>
      <c r="G1486" s="22">
        <v>61.41</v>
      </c>
      <c r="H1486" s="22">
        <v>23.55</v>
      </c>
      <c r="I1486" s="20" t="s">
        <v>50</v>
      </c>
      <c r="J1486" s="20">
        <v>3</v>
      </c>
      <c r="K1486" s="20" t="s">
        <v>46</v>
      </c>
      <c r="L1486" s="23">
        <f t="shared" si="172"/>
        <v>45778</v>
      </c>
      <c r="M1486" s="20">
        <f t="shared" si="173"/>
        <v>13</v>
      </c>
      <c r="N1486" s="20">
        <f t="shared" si="174"/>
        <v>0</v>
      </c>
      <c r="O1486" s="20">
        <f t="shared" si="175"/>
        <v>1</v>
      </c>
      <c r="P1486" s="22">
        <f t="shared" si="176"/>
        <v>84.96</v>
      </c>
      <c r="Q1486" s="22">
        <f>G1486*INDEX(Assumptions!$B$8:$B$16,MATCH(F1486,Assumptions!$A$8:$A$16,0))</f>
        <v>38.074199999999998</v>
      </c>
      <c r="R1486" s="22">
        <f>H1486*Assumptions!$B$3</f>
        <v>14.13</v>
      </c>
      <c r="S1486" s="22">
        <f t="shared" si="177"/>
        <v>9.2057999999999982</v>
      </c>
      <c r="T1486" s="20" t="str">
        <f t="shared" si="178"/>
        <v>8-14 days</v>
      </c>
    </row>
    <row r="1487" spans="1:20" x14ac:dyDescent="0.3">
      <c r="A1487" s="20" t="s">
        <v>1553</v>
      </c>
      <c r="B1487" s="20" t="s">
        <v>156</v>
      </c>
      <c r="C1487" s="21">
        <v>45806</v>
      </c>
      <c r="D1487" s="21">
        <v>45819</v>
      </c>
      <c r="E1487" s="21">
        <v>45833</v>
      </c>
      <c r="F1487" s="20" t="s">
        <v>57</v>
      </c>
      <c r="G1487" s="22">
        <v>135.55000000000001</v>
      </c>
      <c r="H1487" s="22">
        <v>25.47</v>
      </c>
      <c r="I1487" s="20" t="s">
        <v>45</v>
      </c>
      <c r="J1487" s="20">
        <v>5</v>
      </c>
      <c r="K1487" s="20" t="s">
        <v>46</v>
      </c>
      <c r="L1487" s="23">
        <f t="shared" si="172"/>
        <v>45778</v>
      </c>
      <c r="M1487" s="20">
        <f t="shared" si="173"/>
        <v>13</v>
      </c>
      <c r="N1487" s="20">
        <f t="shared" si="174"/>
        <v>0</v>
      </c>
      <c r="O1487" s="20">
        <f t="shared" si="175"/>
        <v>1</v>
      </c>
      <c r="P1487" s="22">
        <f t="shared" si="176"/>
        <v>161.02000000000001</v>
      </c>
      <c r="Q1487" s="22">
        <f>G1487*INDEX(Assumptions!$B$8:$B$16,MATCH(F1487,Assumptions!$A$8:$A$16,0))</f>
        <v>92.174000000000021</v>
      </c>
      <c r="R1487" s="22">
        <f>H1487*Assumptions!$B$3</f>
        <v>15.281999999999998</v>
      </c>
      <c r="S1487" s="22">
        <f t="shared" si="177"/>
        <v>28.093999999999994</v>
      </c>
      <c r="T1487" s="20" t="str">
        <f t="shared" si="178"/>
        <v>8-14 days</v>
      </c>
    </row>
    <row r="1488" spans="1:20" x14ac:dyDescent="0.3">
      <c r="A1488" s="20" t="s">
        <v>1554</v>
      </c>
      <c r="B1488" s="20" t="s">
        <v>19</v>
      </c>
      <c r="C1488" s="21">
        <v>45806</v>
      </c>
      <c r="D1488" s="21">
        <v>45820</v>
      </c>
      <c r="E1488" s="21">
        <v>45819</v>
      </c>
      <c r="F1488" s="20" t="s">
        <v>64</v>
      </c>
      <c r="G1488" s="22">
        <v>97.49</v>
      </c>
      <c r="H1488" s="22">
        <v>19.690000000000001</v>
      </c>
      <c r="I1488" s="20" t="s">
        <v>45</v>
      </c>
      <c r="J1488" s="20">
        <v>3</v>
      </c>
      <c r="K1488" s="20" t="s">
        <v>46</v>
      </c>
      <c r="L1488" s="23">
        <f t="shared" si="172"/>
        <v>45778</v>
      </c>
      <c r="M1488" s="20">
        <f t="shared" si="173"/>
        <v>14</v>
      </c>
      <c r="N1488" s="20">
        <f t="shared" si="174"/>
        <v>1</v>
      </c>
      <c r="O1488" s="20">
        <f t="shared" si="175"/>
        <v>0</v>
      </c>
      <c r="P1488" s="22">
        <f t="shared" si="176"/>
        <v>117.17999999999999</v>
      </c>
      <c r="Q1488" s="22">
        <f>G1488*INDEX(Assumptions!$B$8:$B$16,MATCH(F1488,Assumptions!$A$8:$A$16,0))</f>
        <v>64.343400000000003</v>
      </c>
      <c r="R1488" s="22">
        <f>H1488*Assumptions!$B$3</f>
        <v>11.814</v>
      </c>
      <c r="S1488" s="22">
        <f t="shared" si="177"/>
        <v>21.332599999999992</v>
      </c>
      <c r="T1488" s="20" t="str">
        <f t="shared" si="178"/>
        <v>8-14 days</v>
      </c>
    </row>
    <row r="1489" spans="1:20" x14ac:dyDescent="0.3">
      <c r="A1489" s="20" t="s">
        <v>1555</v>
      </c>
      <c r="B1489" s="20" t="s">
        <v>19</v>
      </c>
      <c r="C1489" s="21">
        <v>45806</v>
      </c>
      <c r="D1489" s="21">
        <v>45813</v>
      </c>
      <c r="E1489" s="21">
        <v>45820</v>
      </c>
      <c r="F1489" s="20" t="s">
        <v>67</v>
      </c>
      <c r="G1489" s="22">
        <v>49.22</v>
      </c>
      <c r="H1489" s="22">
        <v>19.809999999999999</v>
      </c>
      <c r="I1489" s="20" t="s">
        <v>50</v>
      </c>
      <c r="J1489" s="20">
        <v>5</v>
      </c>
      <c r="K1489" s="20" t="s">
        <v>46</v>
      </c>
      <c r="L1489" s="23">
        <f t="shared" si="172"/>
        <v>45778</v>
      </c>
      <c r="M1489" s="20">
        <f t="shared" si="173"/>
        <v>7</v>
      </c>
      <c r="N1489" s="20">
        <f t="shared" si="174"/>
        <v>0</v>
      </c>
      <c r="O1489" s="20">
        <f t="shared" si="175"/>
        <v>1</v>
      </c>
      <c r="P1489" s="22">
        <f t="shared" si="176"/>
        <v>69.03</v>
      </c>
      <c r="Q1489" s="22">
        <f>G1489*INDEX(Assumptions!$B$8:$B$16,MATCH(F1489,Assumptions!$A$8:$A$16,0))</f>
        <v>30.516399999999997</v>
      </c>
      <c r="R1489" s="22">
        <f>H1489*Assumptions!$B$3</f>
        <v>11.885999999999999</v>
      </c>
      <c r="S1489" s="22">
        <f t="shared" si="177"/>
        <v>6.8176000000000023</v>
      </c>
      <c r="T1489" s="20" t="str">
        <f t="shared" si="178"/>
        <v>0-7 days</v>
      </c>
    </row>
    <row r="1490" spans="1:20" x14ac:dyDescent="0.3">
      <c r="A1490" s="20" t="s">
        <v>1556</v>
      </c>
      <c r="B1490" s="20" t="s">
        <v>77</v>
      </c>
      <c r="C1490" s="21">
        <v>45806</v>
      </c>
      <c r="D1490" s="21">
        <v>45819</v>
      </c>
      <c r="E1490" s="21">
        <v>45831</v>
      </c>
      <c r="F1490" s="20" t="s">
        <v>67</v>
      </c>
      <c r="G1490" s="22">
        <v>26.67</v>
      </c>
      <c r="H1490" s="22">
        <v>27.67</v>
      </c>
      <c r="I1490" s="20" t="s">
        <v>60</v>
      </c>
      <c r="J1490" s="20">
        <v>5</v>
      </c>
      <c r="K1490" s="20" t="s">
        <v>46</v>
      </c>
      <c r="L1490" s="23">
        <f t="shared" si="172"/>
        <v>45778</v>
      </c>
      <c r="M1490" s="20">
        <f t="shared" si="173"/>
        <v>13</v>
      </c>
      <c r="N1490" s="20">
        <f t="shared" si="174"/>
        <v>0</v>
      </c>
      <c r="O1490" s="20">
        <f t="shared" si="175"/>
        <v>1</v>
      </c>
      <c r="P1490" s="22">
        <f t="shared" si="176"/>
        <v>54.34</v>
      </c>
      <c r="Q1490" s="22">
        <f>G1490*INDEX(Assumptions!$B$8:$B$16,MATCH(F1490,Assumptions!$A$8:$A$16,0))</f>
        <v>16.535399999999999</v>
      </c>
      <c r="R1490" s="22">
        <f>H1490*Assumptions!$B$3</f>
        <v>16.602</v>
      </c>
      <c r="S1490" s="22">
        <f t="shared" si="177"/>
        <v>-6.4673999999999978</v>
      </c>
      <c r="T1490" s="20" t="str">
        <f t="shared" si="178"/>
        <v>8-14 days</v>
      </c>
    </row>
    <row r="1491" spans="1:20" x14ac:dyDescent="0.3">
      <c r="A1491" s="20" t="s">
        <v>1557</v>
      </c>
      <c r="B1491" s="20" t="s">
        <v>62</v>
      </c>
      <c r="C1491" s="21">
        <v>45806</v>
      </c>
      <c r="D1491" s="21">
        <v>45816</v>
      </c>
      <c r="E1491" s="21">
        <v>45831</v>
      </c>
      <c r="F1491" s="20" t="s">
        <v>64</v>
      </c>
      <c r="G1491" s="22">
        <v>129.93</v>
      </c>
      <c r="H1491" s="22">
        <v>23.12</v>
      </c>
      <c r="I1491" s="20" t="s">
        <v>45</v>
      </c>
      <c r="J1491" s="20">
        <v>5</v>
      </c>
      <c r="K1491" s="20" t="s">
        <v>46</v>
      </c>
      <c r="L1491" s="23">
        <f t="shared" si="172"/>
        <v>45778</v>
      </c>
      <c r="M1491" s="20">
        <f t="shared" si="173"/>
        <v>10</v>
      </c>
      <c r="N1491" s="20">
        <f t="shared" si="174"/>
        <v>0</v>
      </c>
      <c r="O1491" s="20">
        <f t="shared" si="175"/>
        <v>1</v>
      </c>
      <c r="P1491" s="22">
        <f t="shared" si="176"/>
        <v>153.05000000000001</v>
      </c>
      <c r="Q1491" s="22">
        <f>G1491*INDEX(Assumptions!$B$8:$B$16,MATCH(F1491,Assumptions!$A$8:$A$16,0))</f>
        <v>85.753800000000012</v>
      </c>
      <c r="R1491" s="22">
        <f>H1491*Assumptions!$B$3</f>
        <v>13.872</v>
      </c>
      <c r="S1491" s="22">
        <f t="shared" si="177"/>
        <v>30.304199999999994</v>
      </c>
      <c r="T1491" s="20" t="str">
        <f t="shared" si="178"/>
        <v>8-14 days</v>
      </c>
    </row>
    <row r="1492" spans="1:20" x14ac:dyDescent="0.3">
      <c r="A1492" s="20" t="s">
        <v>1558</v>
      </c>
      <c r="B1492" s="20" t="s">
        <v>62</v>
      </c>
      <c r="C1492" s="21">
        <v>45806</v>
      </c>
      <c r="D1492" s="21">
        <v>45823</v>
      </c>
      <c r="E1492" s="21">
        <v>45827</v>
      </c>
      <c r="F1492" s="20" t="s">
        <v>79</v>
      </c>
      <c r="G1492" s="22">
        <v>82</v>
      </c>
      <c r="H1492" s="22">
        <v>18.72</v>
      </c>
      <c r="I1492" s="20" t="s">
        <v>45</v>
      </c>
      <c r="J1492" s="20">
        <v>5</v>
      </c>
      <c r="K1492" s="20" t="s">
        <v>46</v>
      </c>
      <c r="L1492" s="23">
        <f t="shared" si="172"/>
        <v>45778</v>
      </c>
      <c r="M1492" s="20">
        <f t="shared" si="173"/>
        <v>17</v>
      </c>
      <c r="N1492" s="20">
        <f t="shared" si="174"/>
        <v>0</v>
      </c>
      <c r="O1492" s="20">
        <f t="shared" si="175"/>
        <v>1</v>
      </c>
      <c r="P1492" s="22">
        <f t="shared" si="176"/>
        <v>100.72</v>
      </c>
      <c r="Q1492" s="22">
        <f>G1492*INDEX(Assumptions!$B$8:$B$16,MATCH(F1492,Assumptions!$A$8:$A$16,0))</f>
        <v>57.4</v>
      </c>
      <c r="R1492" s="22">
        <f>H1492*Assumptions!$B$3</f>
        <v>11.231999999999999</v>
      </c>
      <c r="S1492" s="22">
        <f t="shared" si="177"/>
        <v>13.368000000000002</v>
      </c>
      <c r="T1492" s="20" t="str">
        <f t="shared" si="178"/>
        <v>15-21 days</v>
      </c>
    </row>
    <row r="1493" spans="1:20" x14ac:dyDescent="0.3">
      <c r="A1493" s="20" t="s">
        <v>1559</v>
      </c>
      <c r="B1493" s="20" t="s">
        <v>103</v>
      </c>
      <c r="C1493" s="21">
        <v>45806</v>
      </c>
      <c r="D1493" s="21">
        <v>45820</v>
      </c>
      <c r="E1493" s="21">
        <v>45828</v>
      </c>
      <c r="F1493" s="20" t="s">
        <v>67</v>
      </c>
      <c r="G1493" s="22">
        <v>119.27</v>
      </c>
      <c r="H1493" s="22">
        <v>30.01</v>
      </c>
      <c r="I1493" s="20" t="s">
        <v>45</v>
      </c>
      <c r="J1493" s="20">
        <v>4</v>
      </c>
      <c r="K1493" s="20" t="s">
        <v>46</v>
      </c>
      <c r="L1493" s="23">
        <f t="shared" si="172"/>
        <v>45778</v>
      </c>
      <c r="M1493" s="20">
        <f t="shared" si="173"/>
        <v>14</v>
      </c>
      <c r="N1493" s="20">
        <f t="shared" si="174"/>
        <v>0</v>
      </c>
      <c r="O1493" s="20">
        <f t="shared" si="175"/>
        <v>1</v>
      </c>
      <c r="P1493" s="22">
        <f t="shared" si="176"/>
        <v>149.28</v>
      </c>
      <c r="Q1493" s="22">
        <f>G1493*INDEX(Assumptions!$B$8:$B$16,MATCH(F1493,Assumptions!$A$8:$A$16,0))</f>
        <v>73.947400000000002</v>
      </c>
      <c r="R1493" s="22">
        <f>H1493*Assumptions!$B$3</f>
        <v>18.006</v>
      </c>
      <c r="S1493" s="22">
        <f t="shared" si="177"/>
        <v>27.316599999999994</v>
      </c>
      <c r="T1493" s="20" t="str">
        <f t="shared" si="178"/>
        <v>8-14 days</v>
      </c>
    </row>
    <row r="1494" spans="1:20" x14ac:dyDescent="0.3">
      <c r="A1494" s="20" t="s">
        <v>1560</v>
      </c>
      <c r="B1494" s="20" t="s">
        <v>19</v>
      </c>
      <c r="C1494" s="21">
        <v>45807</v>
      </c>
      <c r="D1494" s="21">
        <v>45811</v>
      </c>
      <c r="E1494" s="21">
        <v>45819</v>
      </c>
      <c r="F1494" s="20" t="s">
        <v>79</v>
      </c>
      <c r="G1494" s="22">
        <v>99.12</v>
      </c>
      <c r="H1494" s="22">
        <v>18.78</v>
      </c>
      <c r="I1494" s="20" t="s">
        <v>60</v>
      </c>
      <c r="J1494" s="20">
        <v>4</v>
      </c>
      <c r="K1494" s="20" t="s">
        <v>46</v>
      </c>
      <c r="L1494" s="23">
        <f t="shared" si="172"/>
        <v>45778</v>
      </c>
      <c r="M1494" s="20">
        <f t="shared" si="173"/>
        <v>4</v>
      </c>
      <c r="N1494" s="20">
        <f t="shared" si="174"/>
        <v>0</v>
      </c>
      <c r="O1494" s="20">
        <f t="shared" si="175"/>
        <v>1</v>
      </c>
      <c r="P1494" s="22">
        <f t="shared" si="176"/>
        <v>117.9</v>
      </c>
      <c r="Q1494" s="22">
        <f>G1494*INDEX(Assumptions!$B$8:$B$16,MATCH(F1494,Assumptions!$A$8:$A$16,0))</f>
        <v>69.384</v>
      </c>
      <c r="R1494" s="22">
        <f>H1494*Assumptions!$B$3</f>
        <v>11.268000000000001</v>
      </c>
      <c r="S1494" s="22">
        <f t="shared" si="177"/>
        <v>18.468000000000004</v>
      </c>
      <c r="T1494" s="20" t="str">
        <f t="shared" si="178"/>
        <v>0-7 days</v>
      </c>
    </row>
    <row r="1495" spans="1:20" x14ac:dyDescent="0.3">
      <c r="A1495" s="20" t="s">
        <v>1561</v>
      </c>
      <c r="B1495" s="20" t="s">
        <v>62</v>
      </c>
      <c r="C1495" s="21">
        <v>45807</v>
      </c>
      <c r="D1495" s="21">
        <v>45815</v>
      </c>
      <c r="E1495" s="21">
        <v>45829</v>
      </c>
      <c r="F1495" s="20" t="s">
        <v>67</v>
      </c>
      <c r="G1495" s="22">
        <v>40.57</v>
      </c>
      <c r="H1495" s="22">
        <v>15.45</v>
      </c>
      <c r="I1495" s="20" t="s">
        <v>45</v>
      </c>
      <c r="J1495" s="20">
        <v>3</v>
      </c>
      <c r="K1495" s="20" t="s">
        <v>46</v>
      </c>
      <c r="L1495" s="23">
        <f t="shared" si="172"/>
        <v>45778</v>
      </c>
      <c r="M1495" s="20">
        <f t="shared" si="173"/>
        <v>8</v>
      </c>
      <c r="N1495" s="20">
        <f t="shared" si="174"/>
        <v>0</v>
      </c>
      <c r="O1495" s="20">
        <f t="shared" si="175"/>
        <v>1</v>
      </c>
      <c r="P1495" s="22">
        <f t="shared" si="176"/>
        <v>56.019999999999996</v>
      </c>
      <c r="Q1495" s="22">
        <f>G1495*INDEX(Assumptions!$B$8:$B$16,MATCH(F1495,Assumptions!$A$8:$A$16,0))</f>
        <v>25.153400000000001</v>
      </c>
      <c r="R1495" s="22">
        <f>H1495*Assumptions!$B$3</f>
        <v>9.27</v>
      </c>
      <c r="S1495" s="22">
        <f t="shared" si="177"/>
        <v>6.1465999999999994</v>
      </c>
      <c r="T1495" s="20" t="str">
        <f t="shared" si="178"/>
        <v>8-14 days</v>
      </c>
    </row>
    <row r="1496" spans="1:20" x14ac:dyDescent="0.3">
      <c r="A1496" s="20" t="s">
        <v>1562</v>
      </c>
      <c r="B1496" s="20" t="s">
        <v>62</v>
      </c>
      <c r="C1496" s="21">
        <v>45807</v>
      </c>
      <c r="D1496" s="21">
        <v>45822</v>
      </c>
      <c r="E1496" s="21">
        <v>45829</v>
      </c>
      <c r="F1496" s="20" t="s">
        <v>59</v>
      </c>
      <c r="G1496" s="22">
        <v>51.46</v>
      </c>
      <c r="H1496" s="22">
        <v>20.420000000000002</v>
      </c>
      <c r="I1496" s="20" t="s">
        <v>45</v>
      </c>
      <c r="J1496" s="20">
        <v>5</v>
      </c>
      <c r="K1496" s="20" t="s">
        <v>46</v>
      </c>
      <c r="L1496" s="23">
        <f t="shared" si="172"/>
        <v>45778</v>
      </c>
      <c r="M1496" s="20">
        <f t="shared" si="173"/>
        <v>15</v>
      </c>
      <c r="N1496" s="20">
        <f t="shared" si="174"/>
        <v>0</v>
      </c>
      <c r="O1496" s="20">
        <f t="shared" si="175"/>
        <v>1</v>
      </c>
      <c r="P1496" s="22">
        <f t="shared" si="176"/>
        <v>71.88</v>
      </c>
      <c r="Q1496" s="22">
        <f>G1496*INDEX(Assumptions!$B$8:$B$16,MATCH(F1496,Assumptions!$A$8:$A$16,0))</f>
        <v>32.934400000000004</v>
      </c>
      <c r="R1496" s="22">
        <f>H1496*Assumptions!$B$3</f>
        <v>12.252000000000001</v>
      </c>
      <c r="S1496" s="22">
        <f t="shared" si="177"/>
        <v>6.2735999999999965</v>
      </c>
      <c r="T1496" s="20" t="str">
        <f t="shared" si="178"/>
        <v>15-21 days</v>
      </c>
    </row>
    <row r="1497" spans="1:20" x14ac:dyDescent="0.3">
      <c r="A1497" s="20" t="s">
        <v>1563</v>
      </c>
      <c r="B1497" s="20" t="s">
        <v>62</v>
      </c>
      <c r="C1497" s="21">
        <v>45808</v>
      </c>
      <c r="D1497" s="21">
        <v>45821</v>
      </c>
      <c r="E1497" s="21">
        <v>45828</v>
      </c>
      <c r="F1497" s="20" t="s">
        <v>64</v>
      </c>
      <c r="G1497" s="22">
        <v>319.86</v>
      </c>
      <c r="H1497" s="22">
        <v>33.54</v>
      </c>
      <c r="I1497" s="20" t="s">
        <v>45</v>
      </c>
      <c r="J1497" s="20">
        <v>3</v>
      </c>
      <c r="K1497" s="20" t="s">
        <v>46</v>
      </c>
      <c r="L1497" s="23">
        <f t="shared" si="172"/>
        <v>45778</v>
      </c>
      <c r="M1497" s="20">
        <f t="shared" si="173"/>
        <v>13</v>
      </c>
      <c r="N1497" s="20">
        <f t="shared" si="174"/>
        <v>0</v>
      </c>
      <c r="O1497" s="20">
        <f t="shared" si="175"/>
        <v>1</v>
      </c>
      <c r="P1497" s="22">
        <f t="shared" si="176"/>
        <v>353.40000000000003</v>
      </c>
      <c r="Q1497" s="22">
        <f>G1497*INDEX(Assumptions!$B$8:$B$16,MATCH(F1497,Assumptions!$A$8:$A$16,0))</f>
        <v>211.10760000000002</v>
      </c>
      <c r="R1497" s="22">
        <f>H1497*Assumptions!$B$3</f>
        <v>20.123999999999999</v>
      </c>
      <c r="S1497" s="22">
        <f t="shared" si="177"/>
        <v>88.628399999999999</v>
      </c>
      <c r="T1497" s="20" t="str">
        <f t="shared" si="178"/>
        <v>8-14 days</v>
      </c>
    </row>
    <row r="1498" spans="1:20" x14ac:dyDescent="0.3">
      <c r="A1498" s="20" t="s">
        <v>1564</v>
      </c>
      <c r="B1498" s="20" t="s">
        <v>19</v>
      </c>
      <c r="C1498" s="21">
        <v>45808</v>
      </c>
      <c r="D1498" s="21">
        <v>45822</v>
      </c>
      <c r="E1498" s="21">
        <v>45821</v>
      </c>
      <c r="F1498" s="20" t="s">
        <v>64</v>
      </c>
      <c r="G1498" s="22">
        <v>215.16</v>
      </c>
      <c r="H1498" s="22">
        <v>15.34</v>
      </c>
      <c r="I1498" s="20" t="s">
        <v>45</v>
      </c>
      <c r="J1498" s="20">
        <v>4</v>
      </c>
      <c r="K1498" s="20" t="s">
        <v>46</v>
      </c>
      <c r="L1498" s="23">
        <f t="shared" si="172"/>
        <v>45778</v>
      </c>
      <c r="M1498" s="20">
        <f t="shared" si="173"/>
        <v>14</v>
      </c>
      <c r="N1498" s="20">
        <f t="shared" si="174"/>
        <v>1</v>
      </c>
      <c r="O1498" s="20">
        <f t="shared" si="175"/>
        <v>0</v>
      </c>
      <c r="P1498" s="22">
        <f t="shared" si="176"/>
        <v>230.5</v>
      </c>
      <c r="Q1498" s="22">
        <f>G1498*INDEX(Assumptions!$B$8:$B$16,MATCH(F1498,Assumptions!$A$8:$A$16,0))</f>
        <v>142.00560000000002</v>
      </c>
      <c r="R1498" s="22">
        <f>H1498*Assumptions!$B$3</f>
        <v>9.2039999999999988</v>
      </c>
      <c r="S1498" s="22">
        <f t="shared" si="177"/>
        <v>63.950399999999981</v>
      </c>
      <c r="T1498" s="20" t="str">
        <f t="shared" si="178"/>
        <v>8-14 days</v>
      </c>
    </row>
    <row r="1499" spans="1:20" x14ac:dyDescent="0.3">
      <c r="A1499" s="20" t="s">
        <v>1565</v>
      </c>
      <c r="B1499" s="20" t="s">
        <v>103</v>
      </c>
      <c r="C1499" s="21">
        <v>45808</v>
      </c>
      <c r="D1499" s="21">
        <v>45816</v>
      </c>
      <c r="E1499" s="21">
        <v>45828</v>
      </c>
      <c r="F1499" s="20" t="s">
        <v>67</v>
      </c>
      <c r="G1499" s="22">
        <v>114.74</v>
      </c>
      <c r="H1499" s="22">
        <v>21.39</v>
      </c>
      <c r="I1499" s="20" t="s">
        <v>45</v>
      </c>
      <c r="J1499" s="20">
        <v>5</v>
      </c>
      <c r="K1499" s="20" t="s">
        <v>46</v>
      </c>
      <c r="L1499" s="23">
        <f t="shared" si="172"/>
        <v>45778</v>
      </c>
      <c r="M1499" s="20">
        <f t="shared" si="173"/>
        <v>8</v>
      </c>
      <c r="N1499" s="20">
        <f t="shared" si="174"/>
        <v>0</v>
      </c>
      <c r="O1499" s="20">
        <f t="shared" si="175"/>
        <v>1</v>
      </c>
      <c r="P1499" s="22">
        <f t="shared" si="176"/>
        <v>136.13</v>
      </c>
      <c r="Q1499" s="22">
        <f>G1499*INDEX(Assumptions!$B$8:$B$16,MATCH(F1499,Assumptions!$A$8:$A$16,0))</f>
        <v>71.138800000000003</v>
      </c>
      <c r="R1499" s="22">
        <f>H1499*Assumptions!$B$3</f>
        <v>12.834</v>
      </c>
      <c r="S1499" s="22">
        <f t="shared" si="177"/>
        <v>30.767199999999992</v>
      </c>
      <c r="T1499" s="20" t="str">
        <f t="shared" si="178"/>
        <v>8-14 days</v>
      </c>
    </row>
    <row r="1500" spans="1:20" x14ac:dyDescent="0.3">
      <c r="A1500" s="20" t="s">
        <v>1566</v>
      </c>
      <c r="B1500" s="20" t="s">
        <v>19</v>
      </c>
      <c r="C1500" s="21">
        <v>45809</v>
      </c>
      <c r="D1500" s="21">
        <v>45816</v>
      </c>
      <c r="E1500" s="21">
        <v>45825</v>
      </c>
      <c r="F1500" s="20" t="s">
        <v>79</v>
      </c>
      <c r="G1500" s="22">
        <v>222.21</v>
      </c>
      <c r="H1500" s="22">
        <v>18.64</v>
      </c>
      <c r="I1500" s="20" t="s">
        <v>50</v>
      </c>
      <c r="J1500" s="20">
        <v>4</v>
      </c>
      <c r="K1500" s="20" t="s">
        <v>46</v>
      </c>
      <c r="L1500" s="23">
        <f t="shared" si="172"/>
        <v>45809</v>
      </c>
      <c r="M1500" s="20">
        <f t="shared" si="173"/>
        <v>7</v>
      </c>
      <c r="N1500" s="20">
        <f t="shared" si="174"/>
        <v>0</v>
      </c>
      <c r="O1500" s="20">
        <f t="shared" si="175"/>
        <v>1</v>
      </c>
      <c r="P1500" s="22">
        <f t="shared" si="176"/>
        <v>240.85000000000002</v>
      </c>
      <c r="Q1500" s="22">
        <f>G1500*INDEX(Assumptions!$B$8:$B$16,MATCH(F1500,Assumptions!$A$8:$A$16,0))</f>
        <v>155.547</v>
      </c>
      <c r="R1500" s="22">
        <f>H1500*Assumptions!$B$3</f>
        <v>11.183999999999999</v>
      </c>
      <c r="S1500" s="22">
        <f t="shared" si="177"/>
        <v>55.479000000000013</v>
      </c>
      <c r="T1500" s="20" t="str">
        <f t="shared" si="178"/>
        <v>0-7 days</v>
      </c>
    </row>
    <row r="1501" spans="1:20" x14ac:dyDescent="0.3">
      <c r="A1501" s="20" t="s">
        <v>1567</v>
      </c>
      <c r="B1501" s="20" t="s">
        <v>62</v>
      </c>
      <c r="C1501" s="21">
        <v>45809</v>
      </c>
      <c r="D1501" s="21">
        <v>45816</v>
      </c>
      <c r="E1501" s="21">
        <v>45829</v>
      </c>
      <c r="F1501" s="20" t="s">
        <v>49</v>
      </c>
      <c r="G1501" s="22">
        <v>72.67</v>
      </c>
      <c r="H1501" s="22">
        <v>21.98</v>
      </c>
      <c r="I1501" s="20" t="s">
        <v>60</v>
      </c>
      <c r="J1501" s="20">
        <v>5</v>
      </c>
      <c r="K1501" s="20" t="s">
        <v>46</v>
      </c>
      <c r="L1501" s="23">
        <f t="shared" si="172"/>
        <v>45809</v>
      </c>
      <c r="M1501" s="20">
        <f t="shared" si="173"/>
        <v>7</v>
      </c>
      <c r="N1501" s="20">
        <f t="shared" si="174"/>
        <v>0</v>
      </c>
      <c r="O1501" s="20">
        <f t="shared" si="175"/>
        <v>1</v>
      </c>
      <c r="P1501" s="22">
        <f t="shared" si="176"/>
        <v>94.65</v>
      </c>
      <c r="Q1501" s="22">
        <f>G1501*INDEX(Assumptions!$B$8:$B$16,MATCH(F1501,Assumptions!$A$8:$A$16,0))</f>
        <v>42.148599999999995</v>
      </c>
      <c r="R1501" s="22">
        <f>H1501*Assumptions!$B$3</f>
        <v>13.188000000000001</v>
      </c>
      <c r="S1501" s="22">
        <f t="shared" si="177"/>
        <v>17.333400000000005</v>
      </c>
      <c r="T1501" s="20" t="str">
        <f t="shared" si="178"/>
        <v>0-7 days</v>
      </c>
    </row>
    <row r="1502" spans="1:20" x14ac:dyDescent="0.3">
      <c r="A1502" s="20" t="s">
        <v>1568</v>
      </c>
      <c r="B1502" s="20" t="s">
        <v>19</v>
      </c>
      <c r="C1502" s="21">
        <v>45809</v>
      </c>
      <c r="D1502" s="21">
        <v>45819</v>
      </c>
      <c r="E1502" s="21">
        <v>45827</v>
      </c>
      <c r="F1502" s="20" t="s">
        <v>44</v>
      </c>
      <c r="G1502" s="22">
        <v>300.18</v>
      </c>
      <c r="H1502" s="22">
        <v>19.8</v>
      </c>
      <c r="I1502" s="20" t="s">
        <v>45</v>
      </c>
      <c r="J1502" s="20">
        <v>5</v>
      </c>
      <c r="K1502" s="20" t="s">
        <v>46</v>
      </c>
      <c r="L1502" s="23">
        <f t="shared" si="172"/>
        <v>45809</v>
      </c>
      <c r="M1502" s="20">
        <f t="shared" si="173"/>
        <v>10</v>
      </c>
      <c r="N1502" s="20">
        <f t="shared" si="174"/>
        <v>0</v>
      </c>
      <c r="O1502" s="20">
        <f t="shared" si="175"/>
        <v>1</v>
      </c>
      <c r="P1502" s="22">
        <f t="shared" si="176"/>
        <v>319.98</v>
      </c>
      <c r="Q1502" s="22">
        <f>G1502*INDEX(Assumptions!$B$8:$B$16,MATCH(F1502,Assumptions!$A$8:$A$16,0))</f>
        <v>180.108</v>
      </c>
      <c r="R1502" s="22">
        <f>H1502*Assumptions!$B$3</f>
        <v>11.88</v>
      </c>
      <c r="S1502" s="22">
        <f t="shared" si="177"/>
        <v>108.19200000000001</v>
      </c>
      <c r="T1502" s="20" t="str">
        <f t="shared" si="178"/>
        <v>8-14 days</v>
      </c>
    </row>
    <row r="1503" spans="1:20" x14ac:dyDescent="0.3">
      <c r="A1503" s="20" t="s">
        <v>1569</v>
      </c>
      <c r="B1503" s="20" t="s">
        <v>134</v>
      </c>
      <c r="C1503" s="21">
        <v>45809</v>
      </c>
      <c r="D1503" s="21">
        <v>45824</v>
      </c>
      <c r="E1503" s="21">
        <v>45832</v>
      </c>
      <c r="F1503" s="20" t="s">
        <v>53</v>
      </c>
      <c r="G1503" s="22">
        <v>198.91</v>
      </c>
      <c r="H1503" s="22">
        <v>25.34</v>
      </c>
      <c r="I1503" s="20" t="s">
        <v>45</v>
      </c>
      <c r="J1503" s="20">
        <v>5</v>
      </c>
      <c r="K1503" s="20" t="s">
        <v>46</v>
      </c>
      <c r="L1503" s="23">
        <f t="shared" si="172"/>
        <v>45809</v>
      </c>
      <c r="M1503" s="20">
        <f t="shared" si="173"/>
        <v>15</v>
      </c>
      <c r="N1503" s="20">
        <f t="shared" si="174"/>
        <v>0</v>
      </c>
      <c r="O1503" s="20">
        <f t="shared" si="175"/>
        <v>1</v>
      </c>
      <c r="P1503" s="22">
        <f t="shared" si="176"/>
        <v>224.25</v>
      </c>
      <c r="Q1503" s="22">
        <f>G1503*INDEX(Assumptions!$B$8:$B$16,MATCH(F1503,Assumptions!$A$8:$A$16,0))</f>
        <v>147.1934</v>
      </c>
      <c r="R1503" s="22">
        <f>H1503*Assumptions!$B$3</f>
        <v>15.203999999999999</v>
      </c>
      <c r="S1503" s="22">
        <f t="shared" si="177"/>
        <v>36.512599999999999</v>
      </c>
      <c r="T1503" s="20" t="str">
        <f t="shared" si="178"/>
        <v>15-21 days</v>
      </c>
    </row>
    <row r="1504" spans="1:20" x14ac:dyDescent="0.3">
      <c r="A1504" s="20" t="s">
        <v>1570</v>
      </c>
      <c r="B1504" s="20" t="s">
        <v>62</v>
      </c>
      <c r="C1504" s="21">
        <v>45809</v>
      </c>
      <c r="D1504" s="21">
        <v>45824</v>
      </c>
      <c r="E1504" s="21">
        <v>45828</v>
      </c>
      <c r="F1504" s="20" t="s">
        <v>67</v>
      </c>
      <c r="G1504" s="22">
        <v>142.59</v>
      </c>
      <c r="H1504" s="22">
        <v>18.7</v>
      </c>
      <c r="I1504" s="20" t="s">
        <v>45</v>
      </c>
      <c r="J1504" s="20">
        <v>5</v>
      </c>
      <c r="K1504" s="20" t="s">
        <v>46</v>
      </c>
      <c r="L1504" s="23">
        <f t="shared" si="172"/>
        <v>45809</v>
      </c>
      <c r="M1504" s="20">
        <f t="shared" si="173"/>
        <v>15</v>
      </c>
      <c r="N1504" s="20">
        <f t="shared" si="174"/>
        <v>0</v>
      </c>
      <c r="O1504" s="20">
        <f t="shared" si="175"/>
        <v>1</v>
      </c>
      <c r="P1504" s="22">
        <f t="shared" si="176"/>
        <v>161.29</v>
      </c>
      <c r="Q1504" s="22">
        <f>G1504*INDEX(Assumptions!$B$8:$B$16,MATCH(F1504,Assumptions!$A$8:$A$16,0))</f>
        <v>88.405799999999999</v>
      </c>
      <c r="R1504" s="22">
        <f>H1504*Assumptions!$B$3</f>
        <v>11.219999999999999</v>
      </c>
      <c r="S1504" s="22">
        <f t="shared" si="177"/>
        <v>42.964200000000005</v>
      </c>
      <c r="T1504" s="20" t="str">
        <f t="shared" si="178"/>
        <v>15-21 days</v>
      </c>
    </row>
    <row r="1505" spans="1:20" x14ac:dyDescent="0.3">
      <c r="A1505" s="20" t="s">
        <v>1571</v>
      </c>
      <c r="B1505" s="20" t="s">
        <v>174</v>
      </c>
      <c r="C1505" s="21">
        <v>45809</v>
      </c>
      <c r="D1505" s="21">
        <v>45839</v>
      </c>
      <c r="E1505" s="21">
        <v>45842</v>
      </c>
      <c r="F1505" s="20" t="s">
        <v>44</v>
      </c>
      <c r="G1505" s="22">
        <v>123.23</v>
      </c>
      <c r="H1505" s="22">
        <v>29.89</v>
      </c>
      <c r="I1505" s="20" t="s">
        <v>45</v>
      </c>
      <c r="J1505" s="20">
        <v>3</v>
      </c>
      <c r="K1505" s="20" t="s">
        <v>46</v>
      </c>
      <c r="L1505" s="23">
        <f t="shared" si="172"/>
        <v>45809</v>
      </c>
      <c r="M1505" s="20">
        <f t="shared" si="173"/>
        <v>30</v>
      </c>
      <c r="N1505" s="20">
        <f t="shared" si="174"/>
        <v>0</v>
      </c>
      <c r="O1505" s="20">
        <f t="shared" si="175"/>
        <v>1</v>
      </c>
      <c r="P1505" s="22">
        <f t="shared" si="176"/>
        <v>153.12</v>
      </c>
      <c r="Q1505" s="22">
        <f>G1505*INDEX(Assumptions!$B$8:$B$16,MATCH(F1505,Assumptions!$A$8:$A$16,0))</f>
        <v>73.938000000000002</v>
      </c>
      <c r="R1505" s="22">
        <f>H1505*Assumptions!$B$3</f>
        <v>17.934000000000001</v>
      </c>
      <c r="S1505" s="22">
        <f t="shared" si="177"/>
        <v>31.358000000000001</v>
      </c>
      <c r="T1505" s="20" t="str">
        <f t="shared" si="178"/>
        <v>22+ days</v>
      </c>
    </row>
    <row r="1506" spans="1:20" x14ac:dyDescent="0.3">
      <c r="A1506" s="20" t="s">
        <v>1572</v>
      </c>
      <c r="B1506" s="20" t="s">
        <v>62</v>
      </c>
      <c r="C1506" s="21">
        <v>45810</v>
      </c>
      <c r="D1506" s="21">
        <v>45819</v>
      </c>
      <c r="E1506" s="21">
        <v>45829</v>
      </c>
      <c r="F1506" s="20" t="s">
        <v>57</v>
      </c>
      <c r="G1506" s="22">
        <v>87.67</v>
      </c>
      <c r="H1506" s="22">
        <v>21.97</v>
      </c>
      <c r="I1506" s="20" t="s">
        <v>45</v>
      </c>
      <c r="J1506" s="20">
        <v>4</v>
      </c>
      <c r="K1506" s="20" t="s">
        <v>46</v>
      </c>
      <c r="L1506" s="23">
        <f t="shared" si="172"/>
        <v>45809</v>
      </c>
      <c r="M1506" s="20">
        <f t="shared" si="173"/>
        <v>9</v>
      </c>
      <c r="N1506" s="20">
        <f t="shared" si="174"/>
        <v>0</v>
      </c>
      <c r="O1506" s="20">
        <f t="shared" si="175"/>
        <v>1</v>
      </c>
      <c r="P1506" s="22">
        <f t="shared" si="176"/>
        <v>109.64</v>
      </c>
      <c r="Q1506" s="22">
        <f>G1506*INDEX(Assumptions!$B$8:$B$16,MATCH(F1506,Assumptions!$A$8:$A$16,0))</f>
        <v>59.615600000000008</v>
      </c>
      <c r="R1506" s="22">
        <f>H1506*Assumptions!$B$3</f>
        <v>13.181999999999999</v>
      </c>
      <c r="S1506" s="22">
        <f t="shared" si="177"/>
        <v>14.872399999999995</v>
      </c>
      <c r="T1506" s="20" t="str">
        <f t="shared" si="178"/>
        <v>8-14 days</v>
      </c>
    </row>
    <row r="1507" spans="1:20" x14ac:dyDescent="0.3">
      <c r="A1507" s="20" t="s">
        <v>1573</v>
      </c>
      <c r="B1507" s="20" t="s">
        <v>48</v>
      </c>
      <c r="C1507" s="21">
        <v>45810</v>
      </c>
      <c r="D1507" s="21">
        <v>45826</v>
      </c>
      <c r="E1507" s="21">
        <v>45826</v>
      </c>
      <c r="F1507" s="20" t="s">
        <v>67</v>
      </c>
      <c r="G1507" s="22">
        <v>104.19</v>
      </c>
      <c r="H1507" s="22">
        <v>18.88</v>
      </c>
      <c r="I1507" s="20" t="s">
        <v>45</v>
      </c>
      <c r="J1507" s="20">
        <v>5</v>
      </c>
      <c r="K1507" s="20" t="s">
        <v>46</v>
      </c>
      <c r="L1507" s="23">
        <f t="shared" si="172"/>
        <v>45809</v>
      </c>
      <c r="M1507" s="20">
        <f t="shared" si="173"/>
        <v>16</v>
      </c>
      <c r="N1507" s="20">
        <f t="shared" si="174"/>
        <v>0</v>
      </c>
      <c r="O1507" s="20">
        <f t="shared" si="175"/>
        <v>1</v>
      </c>
      <c r="P1507" s="22">
        <f t="shared" si="176"/>
        <v>123.07</v>
      </c>
      <c r="Q1507" s="22">
        <f>G1507*INDEX(Assumptions!$B$8:$B$16,MATCH(F1507,Assumptions!$A$8:$A$16,0))</f>
        <v>64.597799999999992</v>
      </c>
      <c r="R1507" s="22">
        <f>H1507*Assumptions!$B$3</f>
        <v>11.327999999999999</v>
      </c>
      <c r="S1507" s="22">
        <f t="shared" si="177"/>
        <v>28.264200000000006</v>
      </c>
      <c r="T1507" s="20" t="str">
        <f t="shared" si="178"/>
        <v>15-21 days</v>
      </c>
    </row>
    <row r="1508" spans="1:20" x14ac:dyDescent="0.3">
      <c r="A1508" s="20" t="s">
        <v>1574</v>
      </c>
      <c r="B1508" s="20" t="s">
        <v>55</v>
      </c>
      <c r="C1508" s="21">
        <v>45810</v>
      </c>
      <c r="D1508" s="21">
        <v>45834</v>
      </c>
      <c r="E1508" s="21">
        <v>45833</v>
      </c>
      <c r="F1508" s="20" t="s">
        <v>59</v>
      </c>
      <c r="G1508" s="22">
        <v>137.97999999999999</v>
      </c>
      <c r="H1508" s="22">
        <v>23.36</v>
      </c>
      <c r="I1508" s="20" t="s">
        <v>45</v>
      </c>
      <c r="J1508" s="20">
        <v>4</v>
      </c>
      <c r="K1508" s="20" t="s">
        <v>46</v>
      </c>
      <c r="L1508" s="23">
        <f t="shared" si="172"/>
        <v>45809</v>
      </c>
      <c r="M1508" s="20">
        <f t="shared" si="173"/>
        <v>24</v>
      </c>
      <c r="N1508" s="20">
        <f t="shared" si="174"/>
        <v>1</v>
      </c>
      <c r="O1508" s="20">
        <f t="shared" si="175"/>
        <v>0</v>
      </c>
      <c r="P1508" s="22">
        <f t="shared" si="176"/>
        <v>161.33999999999997</v>
      </c>
      <c r="Q1508" s="22">
        <f>G1508*INDEX(Assumptions!$B$8:$B$16,MATCH(F1508,Assumptions!$A$8:$A$16,0))</f>
        <v>88.307199999999995</v>
      </c>
      <c r="R1508" s="22">
        <f>H1508*Assumptions!$B$3</f>
        <v>14.016</v>
      </c>
      <c r="S1508" s="22">
        <f t="shared" si="177"/>
        <v>35.656799999999997</v>
      </c>
      <c r="T1508" s="20" t="str">
        <f t="shared" si="178"/>
        <v>22+ days</v>
      </c>
    </row>
    <row r="1509" spans="1:20" x14ac:dyDescent="0.3">
      <c r="A1509" s="20" t="s">
        <v>1575</v>
      </c>
      <c r="B1509" s="20" t="s">
        <v>19</v>
      </c>
      <c r="C1509" s="21">
        <v>45811</v>
      </c>
      <c r="D1509" s="21">
        <v>45818</v>
      </c>
      <c r="E1509" s="21">
        <v>45828</v>
      </c>
      <c r="F1509" s="20" t="s">
        <v>111</v>
      </c>
      <c r="G1509" s="22">
        <v>102.54</v>
      </c>
      <c r="H1509" s="22">
        <v>20.48</v>
      </c>
      <c r="I1509" s="20" t="s">
        <v>104</v>
      </c>
      <c r="J1509" s="20">
        <v>4</v>
      </c>
      <c r="K1509" s="20" t="s">
        <v>46</v>
      </c>
      <c r="L1509" s="23">
        <f t="shared" si="172"/>
        <v>45809</v>
      </c>
      <c r="M1509" s="20">
        <f t="shared" si="173"/>
        <v>7</v>
      </c>
      <c r="N1509" s="20">
        <f t="shared" si="174"/>
        <v>0</v>
      </c>
      <c r="O1509" s="20">
        <f t="shared" si="175"/>
        <v>1</v>
      </c>
      <c r="P1509" s="22">
        <f t="shared" si="176"/>
        <v>123.02000000000001</v>
      </c>
      <c r="Q1509" s="22">
        <f>G1509*INDEX(Assumptions!$B$8:$B$16,MATCH(F1509,Assumptions!$A$8:$A$16,0))</f>
        <v>64.600200000000001</v>
      </c>
      <c r="R1509" s="22">
        <f>H1509*Assumptions!$B$3</f>
        <v>12.288</v>
      </c>
      <c r="S1509" s="22">
        <f t="shared" si="177"/>
        <v>25.651800000000005</v>
      </c>
      <c r="T1509" s="20" t="str">
        <f t="shared" si="178"/>
        <v>0-7 days</v>
      </c>
    </row>
    <row r="1510" spans="1:20" x14ac:dyDescent="0.3">
      <c r="A1510" s="20" t="s">
        <v>1576</v>
      </c>
      <c r="B1510" s="20" t="s">
        <v>19</v>
      </c>
      <c r="C1510" s="21">
        <v>45811</v>
      </c>
      <c r="D1510" s="21">
        <v>45817</v>
      </c>
      <c r="E1510" s="21">
        <v>45826</v>
      </c>
      <c r="F1510" s="20" t="s">
        <v>59</v>
      </c>
      <c r="G1510" s="22">
        <v>65.84</v>
      </c>
      <c r="H1510" s="22">
        <v>13.25</v>
      </c>
      <c r="I1510" s="20" t="s">
        <v>60</v>
      </c>
      <c r="J1510" s="20">
        <v>4</v>
      </c>
      <c r="K1510" s="20" t="s">
        <v>46</v>
      </c>
      <c r="L1510" s="23">
        <f t="shared" si="172"/>
        <v>45809</v>
      </c>
      <c r="M1510" s="20">
        <f t="shared" si="173"/>
        <v>6</v>
      </c>
      <c r="N1510" s="20">
        <f t="shared" si="174"/>
        <v>0</v>
      </c>
      <c r="O1510" s="20">
        <f t="shared" si="175"/>
        <v>1</v>
      </c>
      <c r="P1510" s="22">
        <f t="shared" si="176"/>
        <v>79.09</v>
      </c>
      <c r="Q1510" s="22">
        <f>G1510*INDEX(Assumptions!$B$8:$B$16,MATCH(F1510,Assumptions!$A$8:$A$16,0))</f>
        <v>42.137600000000006</v>
      </c>
      <c r="R1510" s="22">
        <f>H1510*Assumptions!$B$3</f>
        <v>7.9499999999999993</v>
      </c>
      <c r="S1510" s="22">
        <f t="shared" si="177"/>
        <v>15.752399999999998</v>
      </c>
      <c r="T1510" s="20" t="str">
        <f t="shared" si="178"/>
        <v>0-7 days</v>
      </c>
    </row>
    <row r="1511" spans="1:20" x14ac:dyDescent="0.3">
      <c r="A1511" s="20" t="s">
        <v>1577</v>
      </c>
      <c r="B1511" s="20" t="s">
        <v>201</v>
      </c>
      <c r="C1511" s="21">
        <v>45811</v>
      </c>
      <c r="D1511" s="21">
        <v>45831</v>
      </c>
      <c r="E1511" s="21">
        <v>45845</v>
      </c>
      <c r="F1511" s="20" t="s">
        <v>49</v>
      </c>
      <c r="G1511" s="22">
        <v>236.9</v>
      </c>
      <c r="H1511" s="22">
        <v>50.35</v>
      </c>
      <c r="I1511" s="20" t="s">
        <v>45</v>
      </c>
      <c r="J1511" s="20">
        <v>5</v>
      </c>
      <c r="K1511" s="20" t="s">
        <v>46</v>
      </c>
      <c r="L1511" s="23">
        <f t="shared" si="172"/>
        <v>45809</v>
      </c>
      <c r="M1511" s="20">
        <f t="shared" si="173"/>
        <v>20</v>
      </c>
      <c r="N1511" s="20">
        <f t="shared" si="174"/>
        <v>0</v>
      </c>
      <c r="O1511" s="20">
        <f t="shared" si="175"/>
        <v>1</v>
      </c>
      <c r="P1511" s="22">
        <f t="shared" si="176"/>
        <v>287.25</v>
      </c>
      <c r="Q1511" s="22">
        <f>G1511*INDEX(Assumptions!$B$8:$B$16,MATCH(F1511,Assumptions!$A$8:$A$16,0))</f>
        <v>137.40199999999999</v>
      </c>
      <c r="R1511" s="22">
        <f>H1511*Assumptions!$B$3</f>
        <v>30.21</v>
      </c>
      <c r="S1511" s="22">
        <f t="shared" si="177"/>
        <v>69.288000000000011</v>
      </c>
      <c r="T1511" s="20" t="str">
        <f t="shared" si="178"/>
        <v>15-21 days</v>
      </c>
    </row>
    <row r="1512" spans="1:20" x14ac:dyDescent="0.3">
      <c r="A1512" s="20" t="s">
        <v>1578</v>
      </c>
      <c r="B1512" s="20" t="s">
        <v>103</v>
      </c>
      <c r="C1512" s="21">
        <v>45811</v>
      </c>
      <c r="D1512" s="21">
        <v>45833</v>
      </c>
      <c r="E1512" s="21">
        <v>45835</v>
      </c>
      <c r="F1512" s="20" t="s">
        <v>67</v>
      </c>
      <c r="G1512" s="22">
        <v>187.84</v>
      </c>
      <c r="H1512" s="22">
        <v>19.12</v>
      </c>
      <c r="I1512" s="20" t="s">
        <v>45</v>
      </c>
      <c r="J1512" s="20">
        <v>4</v>
      </c>
      <c r="K1512" s="20" t="s">
        <v>46</v>
      </c>
      <c r="L1512" s="23">
        <f t="shared" si="172"/>
        <v>45809</v>
      </c>
      <c r="M1512" s="20">
        <f t="shared" si="173"/>
        <v>22</v>
      </c>
      <c r="N1512" s="20">
        <f t="shared" si="174"/>
        <v>0</v>
      </c>
      <c r="O1512" s="20">
        <f t="shared" si="175"/>
        <v>1</v>
      </c>
      <c r="P1512" s="22">
        <f t="shared" si="176"/>
        <v>206.96</v>
      </c>
      <c r="Q1512" s="22">
        <f>G1512*INDEX(Assumptions!$B$8:$B$16,MATCH(F1512,Assumptions!$A$8:$A$16,0))</f>
        <v>116.46080000000001</v>
      </c>
      <c r="R1512" s="22">
        <f>H1512*Assumptions!$B$3</f>
        <v>11.472</v>
      </c>
      <c r="S1512" s="22">
        <f t="shared" si="177"/>
        <v>59.907199999999996</v>
      </c>
      <c r="T1512" s="20" t="str">
        <f t="shared" si="178"/>
        <v>22+ days</v>
      </c>
    </row>
    <row r="1513" spans="1:20" x14ac:dyDescent="0.3">
      <c r="A1513" s="20" t="s">
        <v>1579</v>
      </c>
      <c r="B1513" s="20" t="s">
        <v>62</v>
      </c>
      <c r="C1513" s="21">
        <v>45811</v>
      </c>
      <c r="D1513" s="21">
        <v>45816</v>
      </c>
      <c r="E1513" s="21">
        <v>45830</v>
      </c>
      <c r="F1513" s="20" t="s">
        <v>49</v>
      </c>
      <c r="G1513" s="22">
        <v>134.22</v>
      </c>
      <c r="H1513" s="22">
        <v>26.41</v>
      </c>
      <c r="I1513" s="20" t="s">
        <v>60</v>
      </c>
      <c r="J1513" s="20">
        <v>5</v>
      </c>
      <c r="K1513" s="20" t="s">
        <v>46</v>
      </c>
      <c r="L1513" s="23">
        <f t="shared" si="172"/>
        <v>45809</v>
      </c>
      <c r="M1513" s="20">
        <f t="shared" si="173"/>
        <v>5</v>
      </c>
      <c r="N1513" s="20">
        <f t="shared" si="174"/>
        <v>0</v>
      </c>
      <c r="O1513" s="20">
        <f t="shared" si="175"/>
        <v>1</v>
      </c>
      <c r="P1513" s="22">
        <f t="shared" si="176"/>
        <v>160.63</v>
      </c>
      <c r="Q1513" s="22">
        <f>G1513*INDEX(Assumptions!$B$8:$B$16,MATCH(F1513,Assumptions!$A$8:$A$16,0))</f>
        <v>77.8476</v>
      </c>
      <c r="R1513" s="22">
        <f>H1513*Assumptions!$B$3</f>
        <v>15.846</v>
      </c>
      <c r="S1513" s="22">
        <f t="shared" si="177"/>
        <v>40.526399999999995</v>
      </c>
      <c r="T1513" s="20" t="str">
        <f t="shared" si="178"/>
        <v>0-7 days</v>
      </c>
    </row>
    <row r="1514" spans="1:20" x14ac:dyDescent="0.3">
      <c r="A1514" s="20" t="s">
        <v>1580</v>
      </c>
      <c r="B1514" s="20" t="s">
        <v>52</v>
      </c>
      <c r="C1514" s="21">
        <v>45812</v>
      </c>
      <c r="D1514" s="21">
        <v>45828</v>
      </c>
      <c r="E1514" s="21">
        <v>45836</v>
      </c>
      <c r="F1514" s="20" t="s">
        <v>67</v>
      </c>
      <c r="G1514" s="22">
        <v>36.99</v>
      </c>
      <c r="H1514" s="22">
        <v>22.55</v>
      </c>
      <c r="I1514" s="20" t="s">
        <v>45</v>
      </c>
      <c r="J1514" s="20">
        <v>3</v>
      </c>
      <c r="K1514" s="20" t="s">
        <v>46</v>
      </c>
      <c r="L1514" s="23">
        <f t="shared" si="172"/>
        <v>45809</v>
      </c>
      <c r="M1514" s="20">
        <f t="shared" si="173"/>
        <v>16</v>
      </c>
      <c r="N1514" s="20">
        <f t="shared" si="174"/>
        <v>0</v>
      </c>
      <c r="O1514" s="20">
        <f t="shared" si="175"/>
        <v>1</v>
      </c>
      <c r="P1514" s="22">
        <f t="shared" si="176"/>
        <v>59.540000000000006</v>
      </c>
      <c r="Q1514" s="22">
        <f>G1514*INDEX(Assumptions!$B$8:$B$16,MATCH(F1514,Assumptions!$A$8:$A$16,0))</f>
        <v>22.933800000000002</v>
      </c>
      <c r="R1514" s="22">
        <f>H1514*Assumptions!$B$3</f>
        <v>13.53</v>
      </c>
      <c r="S1514" s="22">
        <f t="shared" si="177"/>
        <v>0.52620000000000111</v>
      </c>
      <c r="T1514" s="20" t="str">
        <f t="shared" si="178"/>
        <v>15-21 days</v>
      </c>
    </row>
    <row r="1515" spans="1:20" x14ac:dyDescent="0.3">
      <c r="A1515" s="20" t="s">
        <v>1581</v>
      </c>
      <c r="B1515" s="20" t="s">
        <v>93</v>
      </c>
      <c r="C1515" s="21">
        <v>45812</v>
      </c>
      <c r="D1515" s="21">
        <v>45823</v>
      </c>
      <c r="E1515" s="21">
        <v>45842</v>
      </c>
      <c r="F1515" s="20" t="s">
        <v>49</v>
      </c>
      <c r="G1515" s="22">
        <v>42.46</v>
      </c>
      <c r="H1515" s="22">
        <v>28.47</v>
      </c>
      <c r="I1515" s="20" t="s">
        <v>45</v>
      </c>
      <c r="J1515" s="20">
        <v>5</v>
      </c>
      <c r="K1515" s="20" t="s">
        <v>46</v>
      </c>
      <c r="L1515" s="23">
        <f t="shared" si="172"/>
        <v>45809</v>
      </c>
      <c r="M1515" s="20">
        <f t="shared" si="173"/>
        <v>11</v>
      </c>
      <c r="N1515" s="20">
        <f t="shared" si="174"/>
        <v>0</v>
      </c>
      <c r="O1515" s="20">
        <f t="shared" si="175"/>
        <v>1</v>
      </c>
      <c r="P1515" s="22">
        <f t="shared" si="176"/>
        <v>70.930000000000007</v>
      </c>
      <c r="Q1515" s="22">
        <f>G1515*INDEX(Assumptions!$B$8:$B$16,MATCH(F1515,Assumptions!$A$8:$A$16,0))</f>
        <v>24.626799999999999</v>
      </c>
      <c r="R1515" s="22">
        <f>H1515*Assumptions!$B$3</f>
        <v>17.081999999999997</v>
      </c>
      <c r="S1515" s="22">
        <f t="shared" si="177"/>
        <v>0.75120000000000431</v>
      </c>
      <c r="T1515" s="20" t="str">
        <f t="shared" si="178"/>
        <v>8-14 days</v>
      </c>
    </row>
    <row r="1516" spans="1:20" x14ac:dyDescent="0.3">
      <c r="A1516" s="20" t="s">
        <v>1582</v>
      </c>
      <c r="B1516" s="20" t="s">
        <v>174</v>
      </c>
      <c r="C1516" s="21">
        <v>45812</v>
      </c>
      <c r="D1516" s="21">
        <v>45827</v>
      </c>
      <c r="E1516" s="21">
        <v>45845</v>
      </c>
      <c r="F1516" s="20" t="s">
        <v>49</v>
      </c>
      <c r="G1516" s="22">
        <v>57.58</v>
      </c>
      <c r="H1516" s="22">
        <v>31.38</v>
      </c>
      <c r="I1516" s="20" t="s">
        <v>45</v>
      </c>
      <c r="J1516" s="20">
        <v>5</v>
      </c>
      <c r="K1516" s="20" t="s">
        <v>46</v>
      </c>
      <c r="L1516" s="23">
        <f t="shared" si="172"/>
        <v>45809</v>
      </c>
      <c r="M1516" s="20">
        <f t="shared" si="173"/>
        <v>15</v>
      </c>
      <c r="N1516" s="20">
        <f t="shared" si="174"/>
        <v>0</v>
      </c>
      <c r="O1516" s="20">
        <f t="shared" si="175"/>
        <v>1</v>
      </c>
      <c r="P1516" s="22">
        <f t="shared" si="176"/>
        <v>88.96</v>
      </c>
      <c r="Q1516" s="22">
        <f>G1516*INDEX(Assumptions!$B$8:$B$16,MATCH(F1516,Assumptions!$A$8:$A$16,0))</f>
        <v>33.3964</v>
      </c>
      <c r="R1516" s="22">
        <f>H1516*Assumptions!$B$3</f>
        <v>18.827999999999999</v>
      </c>
      <c r="S1516" s="22">
        <f t="shared" si="177"/>
        <v>5.355599999999999</v>
      </c>
      <c r="T1516" s="20" t="str">
        <f t="shared" si="178"/>
        <v>15-21 days</v>
      </c>
    </row>
    <row r="1517" spans="1:20" x14ac:dyDescent="0.3">
      <c r="A1517" s="20" t="s">
        <v>1583</v>
      </c>
      <c r="B1517" s="20" t="s">
        <v>52</v>
      </c>
      <c r="C1517" s="21">
        <v>45812</v>
      </c>
      <c r="D1517" s="21">
        <v>45831</v>
      </c>
      <c r="E1517" s="21">
        <v>45837</v>
      </c>
      <c r="F1517" s="20" t="s">
        <v>67</v>
      </c>
      <c r="G1517" s="22">
        <v>115.59</v>
      </c>
      <c r="H1517" s="22">
        <v>20.69</v>
      </c>
      <c r="I1517" s="20" t="s">
        <v>45</v>
      </c>
      <c r="J1517" s="20">
        <v>5</v>
      </c>
      <c r="K1517" s="20" t="s">
        <v>46</v>
      </c>
      <c r="L1517" s="23">
        <f t="shared" si="172"/>
        <v>45809</v>
      </c>
      <c r="M1517" s="20">
        <f t="shared" si="173"/>
        <v>19</v>
      </c>
      <c r="N1517" s="20">
        <f t="shared" si="174"/>
        <v>0</v>
      </c>
      <c r="O1517" s="20">
        <f t="shared" si="175"/>
        <v>1</v>
      </c>
      <c r="P1517" s="22">
        <f t="shared" si="176"/>
        <v>136.28</v>
      </c>
      <c r="Q1517" s="22">
        <f>G1517*INDEX(Assumptions!$B$8:$B$16,MATCH(F1517,Assumptions!$A$8:$A$16,0))</f>
        <v>71.665800000000004</v>
      </c>
      <c r="R1517" s="22">
        <f>H1517*Assumptions!$B$3</f>
        <v>12.414</v>
      </c>
      <c r="S1517" s="22">
        <f t="shared" si="177"/>
        <v>31.510199999999998</v>
      </c>
      <c r="T1517" s="20" t="str">
        <f t="shared" si="178"/>
        <v>15-21 days</v>
      </c>
    </row>
    <row r="1518" spans="1:20" x14ac:dyDescent="0.3">
      <c r="A1518" s="20" t="s">
        <v>1584</v>
      </c>
      <c r="B1518" s="20" t="s">
        <v>48</v>
      </c>
      <c r="C1518" s="21">
        <v>45812</v>
      </c>
      <c r="D1518" s="21">
        <v>45825</v>
      </c>
      <c r="E1518" s="21">
        <v>45833</v>
      </c>
      <c r="F1518" s="20" t="s">
        <v>67</v>
      </c>
      <c r="G1518" s="22">
        <v>113.64</v>
      </c>
      <c r="H1518" s="22">
        <v>26.56</v>
      </c>
      <c r="I1518" s="20" t="s">
        <v>45</v>
      </c>
      <c r="J1518" s="20">
        <v>4</v>
      </c>
      <c r="K1518" s="20" t="s">
        <v>46</v>
      </c>
      <c r="L1518" s="23">
        <f t="shared" si="172"/>
        <v>45809</v>
      </c>
      <c r="M1518" s="20">
        <f t="shared" si="173"/>
        <v>13</v>
      </c>
      <c r="N1518" s="20">
        <f t="shared" si="174"/>
        <v>0</v>
      </c>
      <c r="O1518" s="20">
        <f t="shared" si="175"/>
        <v>1</v>
      </c>
      <c r="P1518" s="22">
        <f t="shared" si="176"/>
        <v>140.19999999999999</v>
      </c>
      <c r="Q1518" s="22">
        <f>G1518*INDEX(Assumptions!$B$8:$B$16,MATCH(F1518,Assumptions!$A$8:$A$16,0))</f>
        <v>70.456800000000001</v>
      </c>
      <c r="R1518" s="22">
        <f>H1518*Assumptions!$B$3</f>
        <v>15.935999999999998</v>
      </c>
      <c r="S1518" s="22">
        <f t="shared" si="177"/>
        <v>27.247199999999999</v>
      </c>
      <c r="T1518" s="20" t="str">
        <f t="shared" si="178"/>
        <v>8-14 days</v>
      </c>
    </row>
    <row r="1519" spans="1:20" x14ac:dyDescent="0.3">
      <c r="A1519" s="20" t="s">
        <v>1585</v>
      </c>
      <c r="B1519" s="20" t="s">
        <v>19</v>
      </c>
      <c r="C1519" s="21">
        <v>45813</v>
      </c>
      <c r="D1519" s="21">
        <v>45819</v>
      </c>
      <c r="E1519" s="21">
        <v>45830</v>
      </c>
      <c r="F1519" s="20" t="s">
        <v>59</v>
      </c>
      <c r="G1519" s="22">
        <v>77.27</v>
      </c>
      <c r="H1519" s="22">
        <v>16.38</v>
      </c>
      <c r="I1519" s="20" t="s">
        <v>60</v>
      </c>
      <c r="J1519" s="20">
        <v>5</v>
      </c>
      <c r="K1519" s="20" t="s">
        <v>46</v>
      </c>
      <c r="L1519" s="23">
        <f t="shared" si="172"/>
        <v>45809</v>
      </c>
      <c r="M1519" s="20">
        <f t="shared" si="173"/>
        <v>6</v>
      </c>
      <c r="N1519" s="20">
        <f t="shared" si="174"/>
        <v>0</v>
      </c>
      <c r="O1519" s="20">
        <f t="shared" si="175"/>
        <v>1</v>
      </c>
      <c r="P1519" s="22">
        <f t="shared" si="176"/>
        <v>93.649999999999991</v>
      </c>
      <c r="Q1519" s="22">
        <f>G1519*INDEX(Assumptions!$B$8:$B$16,MATCH(F1519,Assumptions!$A$8:$A$16,0))</f>
        <v>49.452799999999996</v>
      </c>
      <c r="R1519" s="22">
        <f>H1519*Assumptions!$B$3</f>
        <v>9.8279999999999994</v>
      </c>
      <c r="S1519" s="22">
        <f t="shared" si="177"/>
        <v>17.9892</v>
      </c>
      <c r="T1519" s="20" t="str">
        <f t="shared" si="178"/>
        <v>0-7 days</v>
      </c>
    </row>
    <row r="1520" spans="1:20" x14ac:dyDescent="0.3">
      <c r="A1520" s="20" t="s">
        <v>1586</v>
      </c>
      <c r="B1520" s="20" t="s">
        <v>19</v>
      </c>
      <c r="C1520" s="21">
        <v>45813</v>
      </c>
      <c r="D1520" s="21">
        <v>45825</v>
      </c>
      <c r="E1520" s="21">
        <v>45831</v>
      </c>
      <c r="F1520" s="20" t="s">
        <v>64</v>
      </c>
      <c r="G1520" s="22">
        <v>241.73</v>
      </c>
      <c r="H1520" s="22">
        <v>18.920000000000002</v>
      </c>
      <c r="I1520" s="20" t="s">
        <v>45</v>
      </c>
      <c r="J1520" s="20">
        <v>4</v>
      </c>
      <c r="K1520" s="20" t="s">
        <v>46</v>
      </c>
      <c r="L1520" s="23">
        <f t="shared" si="172"/>
        <v>45809</v>
      </c>
      <c r="M1520" s="20">
        <f t="shared" si="173"/>
        <v>12</v>
      </c>
      <c r="N1520" s="20">
        <f t="shared" si="174"/>
        <v>0</v>
      </c>
      <c r="O1520" s="20">
        <f t="shared" si="175"/>
        <v>1</v>
      </c>
      <c r="P1520" s="22">
        <f t="shared" si="176"/>
        <v>260.64999999999998</v>
      </c>
      <c r="Q1520" s="22">
        <f>G1520*INDEX(Assumptions!$B$8:$B$16,MATCH(F1520,Assumptions!$A$8:$A$16,0))</f>
        <v>159.54179999999999</v>
      </c>
      <c r="R1520" s="22">
        <f>H1520*Assumptions!$B$3</f>
        <v>11.352</v>
      </c>
      <c r="S1520" s="22">
        <f t="shared" si="177"/>
        <v>70.836199999999991</v>
      </c>
      <c r="T1520" s="20" t="str">
        <f t="shared" si="178"/>
        <v>8-14 days</v>
      </c>
    </row>
    <row r="1521" spans="1:20" x14ac:dyDescent="0.3">
      <c r="A1521" s="20" t="s">
        <v>1587</v>
      </c>
      <c r="B1521" s="20" t="s">
        <v>52</v>
      </c>
      <c r="C1521" s="21">
        <v>45813</v>
      </c>
      <c r="D1521" s="21">
        <v>45834</v>
      </c>
      <c r="E1521" s="21">
        <v>45835</v>
      </c>
      <c r="F1521" s="20" t="s">
        <v>67</v>
      </c>
      <c r="G1521" s="22">
        <v>123.25</v>
      </c>
      <c r="H1521" s="22">
        <v>17.91</v>
      </c>
      <c r="I1521" s="20" t="s">
        <v>45</v>
      </c>
      <c r="J1521" s="20">
        <v>4</v>
      </c>
      <c r="K1521" s="20" t="s">
        <v>46</v>
      </c>
      <c r="L1521" s="23">
        <f t="shared" si="172"/>
        <v>45809</v>
      </c>
      <c r="M1521" s="20">
        <f t="shared" si="173"/>
        <v>21</v>
      </c>
      <c r="N1521" s="20">
        <f t="shared" si="174"/>
        <v>0</v>
      </c>
      <c r="O1521" s="20">
        <f t="shared" si="175"/>
        <v>1</v>
      </c>
      <c r="P1521" s="22">
        <f t="shared" si="176"/>
        <v>141.16</v>
      </c>
      <c r="Q1521" s="22">
        <f>G1521*INDEX(Assumptions!$B$8:$B$16,MATCH(F1521,Assumptions!$A$8:$A$16,0))</f>
        <v>76.415000000000006</v>
      </c>
      <c r="R1521" s="22">
        <f>H1521*Assumptions!$B$3</f>
        <v>10.746</v>
      </c>
      <c r="S1521" s="22">
        <f t="shared" si="177"/>
        <v>36.088999999999992</v>
      </c>
      <c r="T1521" s="20" t="str">
        <f t="shared" si="178"/>
        <v>15-21 days</v>
      </c>
    </row>
    <row r="1522" spans="1:20" x14ac:dyDescent="0.3">
      <c r="A1522" s="20" t="s">
        <v>1588</v>
      </c>
      <c r="B1522" s="20" t="s">
        <v>62</v>
      </c>
      <c r="C1522" s="21">
        <v>45813</v>
      </c>
      <c r="D1522" s="21">
        <v>45823</v>
      </c>
      <c r="E1522" s="21">
        <v>45832</v>
      </c>
      <c r="F1522" s="20" t="s">
        <v>59</v>
      </c>
      <c r="G1522" s="22">
        <v>67.2</v>
      </c>
      <c r="H1522" s="22">
        <v>24.83</v>
      </c>
      <c r="I1522" s="20" t="s">
        <v>50</v>
      </c>
      <c r="J1522" s="20">
        <v>5</v>
      </c>
      <c r="K1522" s="20" t="s">
        <v>46</v>
      </c>
      <c r="L1522" s="23">
        <f t="shared" si="172"/>
        <v>45809</v>
      </c>
      <c r="M1522" s="20">
        <f t="shared" si="173"/>
        <v>10</v>
      </c>
      <c r="N1522" s="20">
        <f t="shared" si="174"/>
        <v>0</v>
      </c>
      <c r="O1522" s="20">
        <f t="shared" si="175"/>
        <v>1</v>
      </c>
      <c r="P1522" s="22">
        <f t="shared" si="176"/>
        <v>92.03</v>
      </c>
      <c r="Q1522" s="22">
        <f>G1522*INDEX(Assumptions!$B$8:$B$16,MATCH(F1522,Assumptions!$A$8:$A$16,0))</f>
        <v>43.008000000000003</v>
      </c>
      <c r="R1522" s="22">
        <f>H1522*Assumptions!$B$3</f>
        <v>14.897999999999998</v>
      </c>
      <c r="S1522" s="22">
        <f t="shared" si="177"/>
        <v>9.2940000000000023</v>
      </c>
      <c r="T1522" s="20" t="str">
        <f t="shared" si="178"/>
        <v>8-14 days</v>
      </c>
    </row>
    <row r="1523" spans="1:20" x14ac:dyDescent="0.3">
      <c r="A1523" s="20" t="s">
        <v>1589</v>
      </c>
      <c r="B1523" s="20" t="s">
        <v>19</v>
      </c>
      <c r="C1523" s="21">
        <v>45813</v>
      </c>
      <c r="D1523" s="21">
        <v>45820</v>
      </c>
      <c r="E1523" s="21">
        <v>45831</v>
      </c>
      <c r="F1523" s="20" t="s">
        <v>67</v>
      </c>
      <c r="G1523" s="22">
        <v>117.97</v>
      </c>
      <c r="H1523" s="22">
        <v>21.89</v>
      </c>
      <c r="I1523" s="20" t="s">
        <v>45</v>
      </c>
      <c r="J1523" s="20">
        <v>5</v>
      </c>
      <c r="K1523" s="20" t="s">
        <v>46</v>
      </c>
      <c r="L1523" s="23">
        <f t="shared" si="172"/>
        <v>45809</v>
      </c>
      <c r="M1523" s="20">
        <f t="shared" si="173"/>
        <v>7</v>
      </c>
      <c r="N1523" s="20">
        <f t="shared" si="174"/>
        <v>0</v>
      </c>
      <c r="O1523" s="20">
        <f t="shared" si="175"/>
        <v>1</v>
      </c>
      <c r="P1523" s="22">
        <f t="shared" si="176"/>
        <v>139.86000000000001</v>
      </c>
      <c r="Q1523" s="22">
        <f>G1523*INDEX(Assumptions!$B$8:$B$16,MATCH(F1523,Assumptions!$A$8:$A$16,0))</f>
        <v>73.141400000000004</v>
      </c>
      <c r="R1523" s="22">
        <f>H1523*Assumptions!$B$3</f>
        <v>13.134</v>
      </c>
      <c r="S1523" s="22">
        <f t="shared" si="177"/>
        <v>31.694599999999994</v>
      </c>
      <c r="T1523" s="20" t="str">
        <f t="shared" si="178"/>
        <v>0-7 days</v>
      </c>
    </row>
    <row r="1524" spans="1:20" x14ac:dyDescent="0.3">
      <c r="A1524" s="20" t="s">
        <v>1590</v>
      </c>
      <c r="B1524" s="20" t="s">
        <v>103</v>
      </c>
      <c r="C1524" s="21">
        <v>45814</v>
      </c>
      <c r="D1524" s="21">
        <v>45825</v>
      </c>
      <c r="E1524" s="21">
        <v>45836</v>
      </c>
      <c r="F1524" s="20" t="s">
        <v>53</v>
      </c>
      <c r="G1524" s="22">
        <v>72.27</v>
      </c>
      <c r="H1524" s="22">
        <v>21.2</v>
      </c>
      <c r="I1524" s="20" t="s">
        <v>45</v>
      </c>
      <c r="J1524" s="20">
        <v>5</v>
      </c>
      <c r="K1524" s="20" t="s">
        <v>46</v>
      </c>
      <c r="L1524" s="23">
        <f t="shared" si="172"/>
        <v>45809</v>
      </c>
      <c r="M1524" s="20">
        <f t="shared" si="173"/>
        <v>11</v>
      </c>
      <c r="N1524" s="20">
        <f t="shared" si="174"/>
        <v>0</v>
      </c>
      <c r="O1524" s="20">
        <f t="shared" si="175"/>
        <v>1</v>
      </c>
      <c r="P1524" s="22">
        <f t="shared" si="176"/>
        <v>93.47</v>
      </c>
      <c r="Q1524" s="22">
        <f>G1524*INDEX(Assumptions!$B$8:$B$16,MATCH(F1524,Assumptions!$A$8:$A$16,0))</f>
        <v>53.479799999999997</v>
      </c>
      <c r="R1524" s="22">
        <f>H1524*Assumptions!$B$3</f>
        <v>12.719999999999999</v>
      </c>
      <c r="S1524" s="22">
        <f t="shared" si="177"/>
        <v>6.0701999999999998</v>
      </c>
      <c r="T1524" s="20" t="str">
        <f t="shared" si="178"/>
        <v>8-14 days</v>
      </c>
    </row>
    <row r="1525" spans="1:20" x14ac:dyDescent="0.3">
      <c r="A1525" s="20" t="s">
        <v>1591</v>
      </c>
      <c r="B1525" s="20" t="s">
        <v>55</v>
      </c>
      <c r="C1525" s="21">
        <v>45814</v>
      </c>
      <c r="D1525" s="21">
        <v>45837</v>
      </c>
      <c r="E1525" s="21">
        <v>45839</v>
      </c>
      <c r="F1525" s="20" t="s">
        <v>59</v>
      </c>
      <c r="G1525" s="22">
        <v>40.56</v>
      </c>
      <c r="H1525" s="22">
        <v>20.84</v>
      </c>
      <c r="I1525" s="20" t="s">
        <v>45</v>
      </c>
      <c r="J1525" s="20">
        <v>5</v>
      </c>
      <c r="K1525" s="20" t="s">
        <v>46</v>
      </c>
      <c r="L1525" s="23">
        <f t="shared" si="172"/>
        <v>45809</v>
      </c>
      <c r="M1525" s="20">
        <f t="shared" si="173"/>
        <v>23</v>
      </c>
      <c r="N1525" s="20">
        <f t="shared" si="174"/>
        <v>0</v>
      </c>
      <c r="O1525" s="20">
        <f t="shared" si="175"/>
        <v>1</v>
      </c>
      <c r="P1525" s="22">
        <f t="shared" si="176"/>
        <v>61.400000000000006</v>
      </c>
      <c r="Q1525" s="22">
        <f>G1525*INDEX(Assumptions!$B$8:$B$16,MATCH(F1525,Assumptions!$A$8:$A$16,0))</f>
        <v>25.958400000000001</v>
      </c>
      <c r="R1525" s="22">
        <f>H1525*Assumptions!$B$3</f>
        <v>12.504</v>
      </c>
      <c r="S1525" s="22">
        <f t="shared" si="177"/>
        <v>2.0976000000000017</v>
      </c>
      <c r="T1525" s="20" t="str">
        <f t="shared" si="178"/>
        <v>22+ days</v>
      </c>
    </row>
    <row r="1526" spans="1:20" x14ac:dyDescent="0.3">
      <c r="A1526" s="20" t="s">
        <v>1592</v>
      </c>
      <c r="B1526" s="20" t="s">
        <v>19</v>
      </c>
      <c r="C1526" s="21">
        <v>45814</v>
      </c>
      <c r="D1526" s="21">
        <v>45820</v>
      </c>
      <c r="E1526" s="21">
        <v>45830</v>
      </c>
      <c r="F1526" s="20" t="s">
        <v>67</v>
      </c>
      <c r="G1526" s="22">
        <v>60.73</v>
      </c>
      <c r="H1526" s="22">
        <v>13.74</v>
      </c>
      <c r="I1526" s="20" t="s">
        <v>45</v>
      </c>
      <c r="J1526" s="20">
        <v>5</v>
      </c>
      <c r="K1526" s="20" t="s">
        <v>46</v>
      </c>
      <c r="L1526" s="23">
        <f t="shared" si="172"/>
        <v>45809</v>
      </c>
      <c r="M1526" s="20">
        <f t="shared" si="173"/>
        <v>6</v>
      </c>
      <c r="N1526" s="20">
        <f t="shared" si="174"/>
        <v>0</v>
      </c>
      <c r="O1526" s="20">
        <f t="shared" si="175"/>
        <v>1</v>
      </c>
      <c r="P1526" s="22">
        <f t="shared" si="176"/>
        <v>74.47</v>
      </c>
      <c r="Q1526" s="22">
        <f>G1526*INDEX(Assumptions!$B$8:$B$16,MATCH(F1526,Assumptions!$A$8:$A$16,0))</f>
        <v>37.6526</v>
      </c>
      <c r="R1526" s="22">
        <f>H1526*Assumptions!$B$3</f>
        <v>8.2439999999999998</v>
      </c>
      <c r="S1526" s="22">
        <f t="shared" si="177"/>
        <v>14.833399999999997</v>
      </c>
      <c r="T1526" s="20" t="str">
        <f t="shared" si="178"/>
        <v>0-7 days</v>
      </c>
    </row>
    <row r="1527" spans="1:20" x14ac:dyDescent="0.3">
      <c r="A1527" s="20" t="s">
        <v>1593</v>
      </c>
      <c r="B1527" s="20" t="s">
        <v>62</v>
      </c>
      <c r="C1527" s="21">
        <v>45814</v>
      </c>
      <c r="D1527" s="21">
        <v>45835</v>
      </c>
      <c r="E1527" s="21">
        <v>45836</v>
      </c>
      <c r="F1527" s="20" t="s">
        <v>67</v>
      </c>
      <c r="G1527" s="22">
        <v>95.8</v>
      </c>
      <c r="H1527" s="22">
        <v>18.350000000000001</v>
      </c>
      <c r="I1527" s="20" t="s">
        <v>45</v>
      </c>
      <c r="J1527" s="20">
        <v>5</v>
      </c>
      <c r="K1527" s="20" t="s">
        <v>46</v>
      </c>
      <c r="L1527" s="23">
        <f t="shared" si="172"/>
        <v>45809</v>
      </c>
      <c r="M1527" s="20">
        <f t="shared" si="173"/>
        <v>21</v>
      </c>
      <c r="N1527" s="20">
        <f t="shared" si="174"/>
        <v>0</v>
      </c>
      <c r="O1527" s="20">
        <f t="shared" si="175"/>
        <v>1</v>
      </c>
      <c r="P1527" s="22">
        <f t="shared" si="176"/>
        <v>114.15</v>
      </c>
      <c r="Q1527" s="22">
        <f>G1527*INDEX(Assumptions!$B$8:$B$16,MATCH(F1527,Assumptions!$A$8:$A$16,0))</f>
        <v>59.396000000000001</v>
      </c>
      <c r="R1527" s="22">
        <f>H1527*Assumptions!$B$3</f>
        <v>11.01</v>
      </c>
      <c r="S1527" s="22">
        <f t="shared" si="177"/>
        <v>25.393999999999998</v>
      </c>
      <c r="T1527" s="20" t="str">
        <f t="shared" si="178"/>
        <v>15-21 days</v>
      </c>
    </row>
    <row r="1528" spans="1:20" x14ac:dyDescent="0.3">
      <c r="A1528" s="20" t="s">
        <v>1594</v>
      </c>
      <c r="B1528" s="20" t="s">
        <v>19</v>
      </c>
      <c r="C1528" s="21">
        <v>45815</v>
      </c>
      <c r="D1528" s="21">
        <v>45821</v>
      </c>
      <c r="E1528" s="21">
        <v>45830</v>
      </c>
      <c r="F1528" s="20" t="s">
        <v>111</v>
      </c>
      <c r="G1528" s="22">
        <v>71.36</v>
      </c>
      <c r="H1528" s="22">
        <v>19.940000000000001</v>
      </c>
      <c r="I1528" s="20" t="s">
        <v>45</v>
      </c>
      <c r="J1528" s="20">
        <v>5</v>
      </c>
      <c r="K1528" s="20" t="s">
        <v>46</v>
      </c>
      <c r="L1528" s="23">
        <f t="shared" si="172"/>
        <v>45809</v>
      </c>
      <c r="M1528" s="20">
        <f t="shared" si="173"/>
        <v>6</v>
      </c>
      <c r="N1528" s="20">
        <f t="shared" si="174"/>
        <v>0</v>
      </c>
      <c r="O1528" s="20">
        <f t="shared" si="175"/>
        <v>1</v>
      </c>
      <c r="P1528" s="22">
        <f t="shared" si="176"/>
        <v>91.3</v>
      </c>
      <c r="Q1528" s="22">
        <f>G1528*INDEX(Assumptions!$B$8:$B$16,MATCH(F1528,Assumptions!$A$8:$A$16,0))</f>
        <v>44.956800000000001</v>
      </c>
      <c r="R1528" s="22">
        <f>H1528*Assumptions!$B$3</f>
        <v>11.964</v>
      </c>
      <c r="S1528" s="22">
        <f t="shared" si="177"/>
        <v>14.439199999999998</v>
      </c>
      <c r="T1528" s="20" t="str">
        <f t="shared" si="178"/>
        <v>0-7 days</v>
      </c>
    </row>
    <row r="1529" spans="1:20" x14ac:dyDescent="0.3">
      <c r="A1529" s="20" t="s">
        <v>1595</v>
      </c>
      <c r="B1529" s="20" t="s">
        <v>19</v>
      </c>
      <c r="C1529" s="21">
        <v>45815</v>
      </c>
      <c r="D1529" s="21">
        <v>45821</v>
      </c>
      <c r="E1529" s="21">
        <v>45831</v>
      </c>
      <c r="F1529" s="20" t="s">
        <v>67</v>
      </c>
      <c r="G1529" s="22">
        <v>58.81</v>
      </c>
      <c r="H1529" s="22">
        <v>16.59</v>
      </c>
      <c r="I1529" s="20" t="s">
        <v>45</v>
      </c>
      <c r="J1529" s="20">
        <v>5</v>
      </c>
      <c r="K1529" s="20" t="s">
        <v>46</v>
      </c>
      <c r="L1529" s="23">
        <f t="shared" si="172"/>
        <v>45809</v>
      </c>
      <c r="M1529" s="20">
        <f t="shared" si="173"/>
        <v>6</v>
      </c>
      <c r="N1529" s="20">
        <f t="shared" si="174"/>
        <v>0</v>
      </c>
      <c r="O1529" s="20">
        <f t="shared" si="175"/>
        <v>1</v>
      </c>
      <c r="P1529" s="22">
        <f t="shared" si="176"/>
        <v>75.400000000000006</v>
      </c>
      <c r="Q1529" s="22">
        <f>G1529*INDEX(Assumptions!$B$8:$B$16,MATCH(F1529,Assumptions!$A$8:$A$16,0))</f>
        <v>36.462200000000003</v>
      </c>
      <c r="R1529" s="22">
        <f>H1529*Assumptions!$B$3</f>
        <v>9.9539999999999988</v>
      </c>
      <c r="S1529" s="22">
        <f t="shared" si="177"/>
        <v>12.393800000000001</v>
      </c>
      <c r="T1529" s="20" t="str">
        <f t="shared" si="178"/>
        <v>0-7 days</v>
      </c>
    </row>
    <row r="1530" spans="1:20" x14ac:dyDescent="0.3">
      <c r="A1530" s="20" t="s">
        <v>1596</v>
      </c>
      <c r="B1530" s="20" t="s">
        <v>93</v>
      </c>
      <c r="C1530" s="21">
        <v>45815</v>
      </c>
      <c r="D1530" s="21">
        <v>45826</v>
      </c>
      <c r="E1530" s="21">
        <v>45845</v>
      </c>
      <c r="F1530" s="20" t="s">
        <v>79</v>
      </c>
      <c r="G1530" s="22">
        <v>43.4</v>
      </c>
      <c r="H1530" s="22">
        <v>40.99</v>
      </c>
      <c r="I1530" s="20" t="s">
        <v>60</v>
      </c>
      <c r="J1530" s="20">
        <v>4</v>
      </c>
      <c r="K1530" s="20" t="s">
        <v>46</v>
      </c>
      <c r="L1530" s="23">
        <f t="shared" si="172"/>
        <v>45809</v>
      </c>
      <c r="M1530" s="20">
        <f t="shared" si="173"/>
        <v>11</v>
      </c>
      <c r="N1530" s="20">
        <f t="shared" si="174"/>
        <v>0</v>
      </c>
      <c r="O1530" s="20">
        <f t="shared" si="175"/>
        <v>1</v>
      </c>
      <c r="P1530" s="22">
        <f t="shared" si="176"/>
        <v>84.39</v>
      </c>
      <c r="Q1530" s="22">
        <f>G1530*INDEX(Assumptions!$B$8:$B$16,MATCH(F1530,Assumptions!$A$8:$A$16,0))</f>
        <v>30.379999999999995</v>
      </c>
      <c r="R1530" s="22">
        <f>H1530*Assumptions!$B$3</f>
        <v>24.594000000000001</v>
      </c>
      <c r="S1530" s="22">
        <f t="shared" si="177"/>
        <v>-11.573999999999998</v>
      </c>
      <c r="T1530" s="20" t="str">
        <f t="shared" si="178"/>
        <v>8-14 days</v>
      </c>
    </row>
    <row r="1531" spans="1:20" x14ac:dyDescent="0.3">
      <c r="A1531" s="20" t="s">
        <v>1597</v>
      </c>
      <c r="B1531" s="20" t="s">
        <v>19</v>
      </c>
      <c r="C1531" s="21">
        <v>45815</v>
      </c>
      <c r="D1531" s="21">
        <v>45826</v>
      </c>
      <c r="E1531" s="21">
        <v>45829</v>
      </c>
      <c r="F1531" s="20" t="s">
        <v>59</v>
      </c>
      <c r="G1531" s="22">
        <v>71.17</v>
      </c>
      <c r="H1531" s="22">
        <v>13.49</v>
      </c>
      <c r="I1531" s="20" t="s">
        <v>45</v>
      </c>
      <c r="J1531" s="20">
        <v>5</v>
      </c>
      <c r="K1531" s="20" t="s">
        <v>46</v>
      </c>
      <c r="L1531" s="23">
        <f t="shared" si="172"/>
        <v>45809</v>
      </c>
      <c r="M1531" s="20">
        <f t="shared" si="173"/>
        <v>11</v>
      </c>
      <c r="N1531" s="20">
        <f t="shared" si="174"/>
        <v>0</v>
      </c>
      <c r="O1531" s="20">
        <f t="shared" si="175"/>
        <v>1</v>
      </c>
      <c r="P1531" s="22">
        <f t="shared" si="176"/>
        <v>84.66</v>
      </c>
      <c r="Q1531" s="22">
        <f>G1531*INDEX(Assumptions!$B$8:$B$16,MATCH(F1531,Assumptions!$A$8:$A$16,0))</f>
        <v>45.5488</v>
      </c>
      <c r="R1531" s="22">
        <f>H1531*Assumptions!$B$3</f>
        <v>8.0939999999999994</v>
      </c>
      <c r="S1531" s="22">
        <f t="shared" si="177"/>
        <v>17.527200000000001</v>
      </c>
      <c r="T1531" s="20" t="str">
        <f t="shared" si="178"/>
        <v>8-14 days</v>
      </c>
    </row>
    <row r="1532" spans="1:20" x14ac:dyDescent="0.3">
      <c r="A1532" s="20" t="s">
        <v>1598</v>
      </c>
      <c r="B1532" s="20" t="s">
        <v>174</v>
      </c>
      <c r="C1532" s="21">
        <v>45816</v>
      </c>
      <c r="D1532" s="21">
        <v>45836</v>
      </c>
      <c r="E1532" s="21">
        <v>45851</v>
      </c>
      <c r="F1532" s="20" t="s">
        <v>79</v>
      </c>
      <c r="G1532" s="22">
        <v>31.63</v>
      </c>
      <c r="H1532" s="22">
        <v>27.69</v>
      </c>
      <c r="I1532" s="20" t="s">
        <v>45</v>
      </c>
      <c r="J1532" s="20">
        <v>4</v>
      </c>
      <c r="K1532" s="20" t="s">
        <v>46</v>
      </c>
      <c r="L1532" s="23">
        <f t="shared" si="172"/>
        <v>45809</v>
      </c>
      <c r="M1532" s="20">
        <f t="shared" si="173"/>
        <v>20</v>
      </c>
      <c r="N1532" s="20">
        <f t="shared" si="174"/>
        <v>0</v>
      </c>
      <c r="O1532" s="20">
        <f t="shared" si="175"/>
        <v>1</v>
      </c>
      <c r="P1532" s="22">
        <f t="shared" si="176"/>
        <v>59.32</v>
      </c>
      <c r="Q1532" s="22">
        <f>G1532*INDEX(Assumptions!$B$8:$B$16,MATCH(F1532,Assumptions!$A$8:$A$16,0))</f>
        <v>22.140999999999998</v>
      </c>
      <c r="R1532" s="22">
        <f>H1532*Assumptions!$B$3</f>
        <v>16.614000000000001</v>
      </c>
      <c r="S1532" s="22">
        <f t="shared" si="177"/>
        <v>-7.125</v>
      </c>
      <c r="T1532" s="20" t="str">
        <f t="shared" si="178"/>
        <v>15-21 days</v>
      </c>
    </row>
    <row r="1533" spans="1:20" x14ac:dyDescent="0.3">
      <c r="A1533" s="20" t="s">
        <v>1599</v>
      </c>
      <c r="B1533" s="20" t="s">
        <v>55</v>
      </c>
      <c r="C1533" s="21">
        <v>45816</v>
      </c>
      <c r="D1533" s="21">
        <v>45834</v>
      </c>
      <c r="E1533" s="21">
        <v>45838</v>
      </c>
      <c r="F1533" s="20" t="s">
        <v>49</v>
      </c>
      <c r="G1533" s="22">
        <v>88.01</v>
      </c>
      <c r="H1533" s="22">
        <v>26.66</v>
      </c>
      <c r="I1533" s="20" t="s">
        <v>60</v>
      </c>
      <c r="J1533" s="20">
        <v>2</v>
      </c>
      <c r="K1533" s="20" t="s">
        <v>46</v>
      </c>
      <c r="L1533" s="23">
        <f t="shared" si="172"/>
        <v>45809</v>
      </c>
      <c r="M1533" s="20">
        <f t="shared" si="173"/>
        <v>18</v>
      </c>
      <c r="N1533" s="20">
        <f t="shared" si="174"/>
        <v>0</v>
      </c>
      <c r="O1533" s="20">
        <f t="shared" si="175"/>
        <v>1</v>
      </c>
      <c r="P1533" s="22">
        <f t="shared" si="176"/>
        <v>114.67</v>
      </c>
      <c r="Q1533" s="22">
        <f>G1533*INDEX(Assumptions!$B$8:$B$16,MATCH(F1533,Assumptions!$A$8:$A$16,0))</f>
        <v>51.0458</v>
      </c>
      <c r="R1533" s="22">
        <f>H1533*Assumptions!$B$3</f>
        <v>15.995999999999999</v>
      </c>
      <c r="S1533" s="22">
        <f t="shared" si="177"/>
        <v>20.968200000000007</v>
      </c>
      <c r="T1533" s="20" t="str">
        <f t="shared" si="178"/>
        <v>15-21 days</v>
      </c>
    </row>
    <row r="1534" spans="1:20" x14ac:dyDescent="0.3">
      <c r="A1534" s="20" t="s">
        <v>1600</v>
      </c>
      <c r="B1534" s="20" t="s">
        <v>19</v>
      </c>
      <c r="C1534" s="21">
        <v>45816</v>
      </c>
      <c r="D1534" s="21">
        <v>45829</v>
      </c>
      <c r="E1534" s="21">
        <v>45829</v>
      </c>
      <c r="F1534" s="20" t="s">
        <v>53</v>
      </c>
      <c r="G1534" s="22">
        <v>125.86</v>
      </c>
      <c r="H1534" s="22">
        <v>21.08</v>
      </c>
      <c r="I1534" s="20" t="s">
        <v>104</v>
      </c>
      <c r="J1534" s="20">
        <v>5</v>
      </c>
      <c r="K1534" s="20" t="s">
        <v>46</v>
      </c>
      <c r="L1534" s="23">
        <f t="shared" si="172"/>
        <v>45809</v>
      </c>
      <c r="M1534" s="20">
        <f t="shared" si="173"/>
        <v>13</v>
      </c>
      <c r="N1534" s="20">
        <f t="shared" si="174"/>
        <v>0</v>
      </c>
      <c r="O1534" s="20">
        <f t="shared" si="175"/>
        <v>1</v>
      </c>
      <c r="P1534" s="22">
        <f t="shared" si="176"/>
        <v>146.94</v>
      </c>
      <c r="Q1534" s="22">
        <f>G1534*INDEX(Assumptions!$B$8:$B$16,MATCH(F1534,Assumptions!$A$8:$A$16,0))</f>
        <v>93.136399999999995</v>
      </c>
      <c r="R1534" s="22">
        <f>H1534*Assumptions!$B$3</f>
        <v>12.647999999999998</v>
      </c>
      <c r="S1534" s="22">
        <f t="shared" si="177"/>
        <v>20.075600000000009</v>
      </c>
      <c r="T1534" s="20" t="str">
        <f t="shared" si="178"/>
        <v>8-14 days</v>
      </c>
    </row>
    <row r="1535" spans="1:20" x14ac:dyDescent="0.3">
      <c r="A1535" s="20" t="s">
        <v>1601</v>
      </c>
      <c r="B1535" s="20" t="s">
        <v>19</v>
      </c>
      <c r="C1535" s="21">
        <v>45816</v>
      </c>
      <c r="D1535" s="21">
        <v>45827</v>
      </c>
      <c r="E1535" s="21">
        <v>45829</v>
      </c>
      <c r="F1535" s="20" t="s">
        <v>59</v>
      </c>
      <c r="G1535" s="22">
        <v>49.38</v>
      </c>
      <c r="H1535" s="22">
        <v>17.34</v>
      </c>
      <c r="I1535" s="20" t="s">
        <v>60</v>
      </c>
      <c r="J1535" s="20">
        <v>5</v>
      </c>
      <c r="K1535" s="20" t="s">
        <v>46</v>
      </c>
      <c r="L1535" s="23">
        <f t="shared" si="172"/>
        <v>45809</v>
      </c>
      <c r="M1535" s="20">
        <f t="shared" si="173"/>
        <v>11</v>
      </c>
      <c r="N1535" s="20">
        <f t="shared" si="174"/>
        <v>0</v>
      </c>
      <c r="O1535" s="20">
        <f t="shared" si="175"/>
        <v>1</v>
      </c>
      <c r="P1535" s="22">
        <f t="shared" si="176"/>
        <v>66.72</v>
      </c>
      <c r="Q1535" s="22">
        <f>G1535*INDEX(Assumptions!$B$8:$B$16,MATCH(F1535,Assumptions!$A$8:$A$16,0))</f>
        <v>31.603200000000001</v>
      </c>
      <c r="R1535" s="22">
        <f>H1535*Assumptions!$B$3</f>
        <v>10.404</v>
      </c>
      <c r="S1535" s="22">
        <f t="shared" si="177"/>
        <v>7.3728000000000016</v>
      </c>
      <c r="T1535" s="20" t="str">
        <f t="shared" si="178"/>
        <v>8-14 days</v>
      </c>
    </row>
    <row r="1536" spans="1:20" x14ac:dyDescent="0.3">
      <c r="A1536" s="20" t="s">
        <v>1602</v>
      </c>
      <c r="B1536" s="20" t="s">
        <v>55</v>
      </c>
      <c r="C1536" s="21">
        <v>45816</v>
      </c>
      <c r="D1536" s="21">
        <v>45826</v>
      </c>
      <c r="E1536" s="21">
        <v>45843</v>
      </c>
      <c r="F1536" s="20" t="s">
        <v>67</v>
      </c>
      <c r="G1536" s="22">
        <v>52.35</v>
      </c>
      <c r="H1536" s="22">
        <v>18.940000000000001</v>
      </c>
      <c r="I1536" s="20" t="s">
        <v>45</v>
      </c>
      <c r="J1536" s="20">
        <v>3</v>
      </c>
      <c r="K1536" s="20" t="s">
        <v>46</v>
      </c>
      <c r="L1536" s="23">
        <f t="shared" si="172"/>
        <v>45809</v>
      </c>
      <c r="M1536" s="20">
        <f t="shared" si="173"/>
        <v>10</v>
      </c>
      <c r="N1536" s="20">
        <f t="shared" si="174"/>
        <v>0</v>
      </c>
      <c r="O1536" s="20">
        <f t="shared" si="175"/>
        <v>1</v>
      </c>
      <c r="P1536" s="22">
        <f t="shared" si="176"/>
        <v>71.290000000000006</v>
      </c>
      <c r="Q1536" s="22">
        <f>G1536*INDEX(Assumptions!$B$8:$B$16,MATCH(F1536,Assumptions!$A$8:$A$16,0))</f>
        <v>32.457000000000001</v>
      </c>
      <c r="R1536" s="22">
        <f>H1536*Assumptions!$B$3</f>
        <v>11.364000000000001</v>
      </c>
      <c r="S1536" s="22">
        <f t="shared" si="177"/>
        <v>8.5289999999999999</v>
      </c>
      <c r="T1536" s="20" t="str">
        <f t="shared" si="178"/>
        <v>8-14 days</v>
      </c>
    </row>
    <row r="1537" spans="1:20" x14ac:dyDescent="0.3">
      <c r="A1537" s="20" t="s">
        <v>1603</v>
      </c>
      <c r="B1537" s="20" t="s">
        <v>55</v>
      </c>
      <c r="C1537" s="21">
        <v>45817</v>
      </c>
      <c r="D1537" s="21">
        <v>45835</v>
      </c>
      <c r="E1537" s="21">
        <v>45842</v>
      </c>
      <c r="F1537" s="20" t="s">
        <v>79</v>
      </c>
      <c r="G1537" s="22">
        <v>83.67</v>
      </c>
      <c r="H1537" s="22">
        <v>16.78</v>
      </c>
      <c r="I1537" s="20" t="s">
        <v>45</v>
      </c>
      <c r="J1537" s="20">
        <v>2</v>
      </c>
      <c r="K1537" s="20" t="s">
        <v>46</v>
      </c>
      <c r="L1537" s="23">
        <f t="shared" si="172"/>
        <v>45809</v>
      </c>
      <c r="M1537" s="20">
        <f t="shared" si="173"/>
        <v>18</v>
      </c>
      <c r="N1537" s="20">
        <f t="shared" si="174"/>
        <v>0</v>
      </c>
      <c r="O1537" s="20">
        <f t="shared" si="175"/>
        <v>1</v>
      </c>
      <c r="P1537" s="22">
        <f t="shared" si="176"/>
        <v>100.45</v>
      </c>
      <c r="Q1537" s="22">
        <f>G1537*INDEX(Assumptions!$B$8:$B$16,MATCH(F1537,Assumptions!$A$8:$A$16,0))</f>
        <v>58.568999999999996</v>
      </c>
      <c r="R1537" s="22">
        <f>H1537*Assumptions!$B$3</f>
        <v>10.068</v>
      </c>
      <c r="S1537" s="22">
        <f t="shared" si="177"/>
        <v>15.033000000000007</v>
      </c>
      <c r="T1537" s="20" t="str">
        <f t="shared" si="178"/>
        <v>15-21 days</v>
      </c>
    </row>
    <row r="1538" spans="1:20" x14ac:dyDescent="0.3">
      <c r="A1538" s="20" t="s">
        <v>1604</v>
      </c>
      <c r="B1538" s="20" t="s">
        <v>62</v>
      </c>
      <c r="C1538" s="21">
        <v>45817</v>
      </c>
      <c r="D1538" s="21">
        <v>45825</v>
      </c>
      <c r="E1538" s="21">
        <v>45834</v>
      </c>
      <c r="F1538" s="20" t="s">
        <v>44</v>
      </c>
      <c r="G1538" s="22">
        <v>97.87</v>
      </c>
      <c r="H1538" s="22">
        <v>27.74</v>
      </c>
      <c r="I1538" s="20" t="s">
        <v>45</v>
      </c>
      <c r="J1538" s="20">
        <v>4</v>
      </c>
      <c r="K1538" s="20" t="s">
        <v>46</v>
      </c>
      <c r="L1538" s="23">
        <f t="shared" ref="L1538:L1601" si="179">DATE(YEAR(C1538),MONTH(C1538),1)</f>
        <v>45809</v>
      </c>
      <c r="M1538" s="20">
        <f t="shared" ref="M1538:M1601" si="180">D1538-C1538</f>
        <v>8</v>
      </c>
      <c r="N1538" s="20">
        <f t="shared" ref="N1538:N1601" si="181">MAX(0,D1538-E1538)</f>
        <v>0</v>
      </c>
      <c r="O1538" s="20">
        <f t="shared" ref="O1538:O1601" si="182">IF(D1538&lt;=E1538,1,0)</f>
        <v>1</v>
      </c>
      <c r="P1538" s="22">
        <f t="shared" ref="P1538:P1601" si="183">G1538+H1538</f>
        <v>125.61</v>
      </c>
      <c r="Q1538" s="22">
        <f>G1538*INDEX(Assumptions!$B$8:$B$16,MATCH(F1538,Assumptions!$A$8:$A$16,0))</f>
        <v>58.722000000000001</v>
      </c>
      <c r="R1538" s="22">
        <f>H1538*Assumptions!$B$3</f>
        <v>16.643999999999998</v>
      </c>
      <c r="S1538" s="22">
        <f t="shared" ref="S1538:S1601" si="184">G1538-Q1538-R1538</f>
        <v>22.504000000000005</v>
      </c>
      <c r="T1538" s="20" t="str">
        <f t="shared" ref="T1538:T1601" si="185">IF(M1538&lt;=7,"0-7 days",IF(M1538&lt;=14,"8-14 days",IF(M1538&lt;=21,"15-21 days","22+ days")))</f>
        <v>8-14 days</v>
      </c>
    </row>
    <row r="1539" spans="1:20" x14ac:dyDescent="0.3">
      <c r="A1539" s="20" t="s">
        <v>1605</v>
      </c>
      <c r="B1539" s="20" t="s">
        <v>19</v>
      </c>
      <c r="C1539" s="21">
        <v>45817</v>
      </c>
      <c r="D1539" s="21">
        <v>45825</v>
      </c>
      <c r="E1539" s="21">
        <v>45834</v>
      </c>
      <c r="F1539" s="20" t="s">
        <v>59</v>
      </c>
      <c r="G1539" s="22">
        <v>104.62</v>
      </c>
      <c r="H1539" s="22">
        <v>16.47</v>
      </c>
      <c r="I1539" s="20" t="s">
        <v>45</v>
      </c>
      <c r="J1539" s="20">
        <v>4</v>
      </c>
      <c r="K1539" s="20" t="s">
        <v>46</v>
      </c>
      <c r="L1539" s="23">
        <f t="shared" si="179"/>
        <v>45809</v>
      </c>
      <c r="M1539" s="20">
        <f t="shared" si="180"/>
        <v>8</v>
      </c>
      <c r="N1539" s="20">
        <f t="shared" si="181"/>
        <v>0</v>
      </c>
      <c r="O1539" s="20">
        <f t="shared" si="182"/>
        <v>1</v>
      </c>
      <c r="P1539" s="22">
        <f t="shared" si="183"/>
        <v>121.09</v>
      </c>
      <c r="Q1539" s="22">
        <f>G1539*INDEX(Assumptions!$B$8:$B$16,MATCH(F1539,Assumptions!$A$8:$A$16,0))</f>
        <v>66.956800000000001</v>
      </c>
      <c r="R1539" s="22">
        <f>H1539*Assumptions!$B$3</f>
        <v>9.8819999999999997</v>
      </c>
      <c r="S1539" s="22">
        <f t="shared" si="184"/>
        <v>27.781200000000005</v>
      </c>
      <c r="T1539" s="20" t="str">
        <f t="shared" si="185"/>
        <v>8-14 days</v>
      </c>
    </row>
    <row r="1540" spans="1:20" x14ac:dyDescent="0.3">
      <c r="A1540" s="20" t="s">
        <v>1606</v>
      </c>
      <c r="B1540" s="20" t="s">
        <v>19</v>
      </c>
      <c r="C1540" s="21">
        <v>45818</v>
      </c>
      <c r="D1540" s="21">
        <v>45825</v>
      </c>
      <c r="E1540" s="21">
        <v>45833</v>
      </c>
      <c r="F1540" s="20" t="s">
        <v>64</v>
      </c>
      <c r="G1540" s="22">
        <v>102.93</v>
      </c>
      <c r="H1540" s="22">
        <v>18.96</v>
      </c>
      <c r="I1540" s="20" t="s">
        <v>45</v>
      </c>
      <c r="J1540" s="20">
        <v>5</v>
      </c>
      <c r="K1540" s="20" t="s">
        <v>46</v>
      </c>
      <c r="L1540" s="23">
        <f t="shared" si="179"/>
        <v>45809</v>
      </c>
      <c r="M1540" s="20">
        <f t="shared" si="180"/>
        <v>7</v>
      </c>
      <c r="N1540" s="20">
        <f t="shared" si="181"/>
        <v>0</v>
      </c>
      <c r="O1540" s="20">
        <f t="shared" si="182"/>
        <v>1</v>
      </c>
      <c r="P1540" s="22">
        <f t="shared" si="183"/>
        <v>121.89000000000001</v>
      </c>
      <c r="Q1540" s="22">
        <f>G1540*INDEX(Assumptions!$B$8:$B$16,MATCH(F1540,Assumptions!$A$8:$A$16,0))</f>
        <v>67.933800000000005</v>
      </c>
      <c r="R1540" s="22">
        <f>H1540*Assumptions!$B$3</f>
        <v>11.375999999999999</v>
      </c>
      <c r="S1540" s="22">
        <f t="shared" si="184"/>
        <v>23.620200000000004</v>
      </c>
      <c r="T1540" s="20" t="str">
        <f t="shared" si="185"/>
        <v>0-7 days</v>
      </c>
    </row>
    <row r="1541" spans="1:20" x14ac:dyDescent="0.3">
      <c r="A1541" s="20" t="s">
        <v>1607</v>
      </c>
      <c r="B1541" s="20" t="s">
        <v>19</v>
      </c>
      <c r="C1541" s="21">
        <v>45818</v>
      </c>
      <c r="D1541" s="21">
        <v>45825</v>
      </c>
      <c r="E1541" s="21">
        <v>45836</v>
      </c>
      <c r="F1541" s="20" t="s">
        <v>44</v>
      </c>
      <c r="G1541" s="22">
        <v>82.18</v>
      </c>
      <c r="H1541" s="22">
        <v>19.62</v>
      </c>
      <c r="I1541" s="20" t="s">
        <v>45</v>
      </c>
      <c r="J1541" s="20">
        <v>5</v>
      </c>
      <c r="K1541" s="20" t="s">
        <v>46</v>
      </c>
      <c r="L1541" s="23">
        <f t="shared" si="179"/>
        <v>45809</v>
      </c>
      <c r="M1541" s="20">
        <f t="shared" si="180"/>
        <v>7</v>
      </c>
      <c r="N1541" s="20">
        <f t="shared" si="181"/>
        <v>0</v>
      </c>
      <c r="O1541" s="20">
        <f t="shared" si="182"/>
        <v>1</v>
      </c>
      <c r="P1541" s="22">
        <f t="shared" si="183"/>
        <v>101.80000000000001</v>
      </c>
      <c r="Q1541" s="22">
        <f>G1541*INDEX(Assumptions!$B$8:$B$16,MATCH(F1541,Assumptions!$A$8:$A$16,0))</f>
        <v>49.308</v>
      </c>
      <c r="R1541" s="22">
        <f>H1541*Assumptions!$B$3</f>
        <v>11.772</v>
      </c>
      <c r="S1541" s="22">
        <f t="shared" si="184"/>
        <v>21.100000000000009</v>
      </c>
      <c r="T1541" s="20" t="str">
        <f t="shared" si="185"/>
        <v>0-7 days</v>
      </c>
    </row>
    <row r="1542" spans="1:20" x14ac:dyDescent="0.3">
      <c r="A1542" s="20" t="s">
        <v>1608</v>
      </c>
      <c r="B1542" s="20" t="s">
        <v>93</v>
      </c>
      <c r="C1542" s="21">
        <v>45818</v>
      </c>
      <c r="D1542" s="21">
        <v>45830</v>
      </c>
      <c r="E1542" s="21">
        <v>45845</v>
      </c>
      <c r="F1542" s="20" t="s">
        <v>57</v>
      </c>
      <c r="G1542" s="22">
        <v>39.450000000000003</v>
      </c>
      <c r="H1542" s="22">
        <v>30.69</v>
      </c>
      <c r="I1542" s="20" t="s">
        <v>45</v>
      </c>
      <c r="J1542" s="20">
        <v>5</v>
      </c>
      <c r="K1542" s="20" t="s">
        <v>46</v>
      </c>
      <c r="L1542" s="23">
        <f t="shared" si="179"/>
        <v>45809</v>
      </c>
      <c r="M1542" s="20">
        <f t="shared" si="180"/>
        <v>12</v>
      </c>
      <c r="N1542" s="20">
        <f t="shared" si="181"/>
        <v>0</v>
      </c>
      <c r="O1542" s="20">
        <f t="shared" si="182"/>
        <v>1</v>
      </c>
      <c r="P1542" s="22">
        <f t="shared" si="183"/>
        <v>70.14</v>
      </c>
      <c r="Q1542" s="22">
        <f>G1542*INDEX(Assumptions!$B$8:$B$16,MATCH(F1542,Assumptions!$A$8:$A$16,0))</f>
        <v>26.826000000000004</v>
      </c>
      <c r="R1542" s="22">
        <f>H1542*Assumptions!$B$3</f>
        <v>18.414000000000001</v>
      </c>
      <c r="S1542" s="22">
        <f t="shared" si="184"/>
        <v>-5.7900000000000027</v>
      </c>
      <c r="T1542" s="20" t="str">
        <f t="shared" si="185"/>
        <v>8-14 days</v>
      </c>
    </row>
    <row r="1543" spans="1:20" x14ac:dyDescent="0.3">
      <c r="A1543" s="20" t="s">
        <v>1609</v>
      </c>
      <c r="B1543" s="20" t="s">
        <v>52</v>
      </c>
      <c r="C1543" s="21">
        <v>45819</v>
      </c>
      <c r="D1543" s="21">
        <v>45838</v>
      </c>
      <c r="E1543" s="21">
        <v>45845</v>
      </c>
      <c r="F1543" s="20" t="s">
        <v>67</v>
      </c>
      <c r="G1543" s="22">
        <v>60.49</v>
      </c>
      <c r="H1543" s="22">
        <v>26.7</v>
      </c>
      <c r="I1543" s="20" t="s">
        <v>60</v>
      </c>
      <c r="J1543" s="20">
        <v>3</v>
      </c>
      <c r="K1543" s="20" t="s">
        <v>46</v>
      </c>
      <c r="L1543" s="23">
        <f t="shared" si="179"/>
        <v>45809</v>
      </c>
      <c r="M1543" s="20">
        <f t="shared" si="180"/>
        <v>19</v>
      </c>
      <c r="N1543" s="20">
        <f t="shared" si="181"/>
        <v>0</v>
      </c>
      <c r="O1543" s="20">
        <f t="shared" si="182"/>
        <v>1</v>
      </c>
      <c r="P1543" s="22">
        <f t="shared" si="183"/>
        <v>87.19</v>
      </c>
      <c r="Q1543" s="22">
        <f>G1543*INDEX(Assumptions!$B$8:$B$16,MATCH(F1543,Assumptions!$A$8:$A$16,0))</f>
        <v>37.503799999999998</v>
      </c>
      <c r="R1543" s="22">
        <f>H1543*Assumptions!$B$3</f>
        <v>16.02</v>
      </c>
      <c r="S1543" s="22">
        <f t="shared" si="184"/>
        <v>6.9662000000000042</v>
      </c>
      <c r="T1543" s="20" t="str">
        <f t="shared" si="185"/>
        <v>15-21 days</v>
      </c>
    </row>
    <row r="1544" spans="1:20" x14ac:dyDescent="0.3">
      <c r="A1544" s="20" t="s">
        <v>1610</v>
      </c>
      <c r="B1544" s="20" t="s">
        <v>52</v>
      </c>
      <c r="C1544" s="21">
        <v>45820</v>
      </c>
      <c r="D1544" s="21">
        <v>45836</v>
      </c>
      <c r="E1544" s="21">
        <v>45844</v>
      </c>
      <c r="F1544" s="20" t="s">
        <v>79</v>
      </c>
      <c r="G1544" s="22">
        <v>143.25</v>
      </c>
      <c r="H1544" s="22">
        <v>27.86</v>
      </c>
      <c r="I1544" s="20" t="s">
        <v>45</v>
      </c>
      <c r="J1544" s="20">
        <v>5</v>
      </c>
      <c r="K1544" s="20" t="s">
        <v>46</v>
      </c>
      <c r="L1544" s="23">
        <f t="shared" si="179"/>
        <v>45809</v>
      </c>
      <c r="M1544" s="20">
        <f t="shared" si="180"/>
        <v>16</v>
      </c>
      <c r="N1544" s="20">
        <f t="shared" si="181"/>
        <v>0</v>
      </c>
      <c r="O1544" s="20">
        <f t="shared" si="182"/>
        <v>1</v>
      </c>
      <c r="P1544" s="22">
        <f t="shared" si="183"/>
        <v>171.11</v>
      </c>
      <c r="Q1544" s="22">
        <f>G1544*INDEX(Assumptions!$B$8:$B$16,MATCH(F1544,Assumptions!$A$8:$A$16,0))</f>
        <v>100.27499999999999</v>
      </c>
      <c r="R1544" s="22">
        <f>H1544*Assumptions!$B$3</f>
        <v>16.715999999999998</v>
      </c>
      <c r="S1544" s="22">
        <f t="shared" si="184"/>
        <v>26.259000000000011</v>
      </c>
      <c r="T1544" s="20" t="str">
        <f t="shared" si="185"/>
        <v>15-21 days</v>
      </c>
    </row>
    <row r="1545" spans="1:20" x14ac:dyDescent="0.3">
      <c r="A1545" s="20" t="s">
        <v>1611</v>
      </c>
      <c r="B1545" s="20" t="s">
        <v>19</v>
      </c>
      <c r="C1545" s="21">
        <v>45820</v>
      </c>
      <c r="D1545" s="21">
        <v>45828</v>
      </c>
      <c r="E1545" s="21">
        <v>45834</v>
      </c>
      <c r="F1545" s="20" t="s">
        <v>67</v>
      </c>
      <c r="G1545" s="22">
        <v>87.5</v>
      </c>
      <c r="H1545" s="22">
        <v>14.21</v>
      </c>
      <c r="I1545" s="20" t="s">
        <v>45</v>
      </c>
      <c r="J1545" s="20">
        <v>4</v>
      </c>
      <c r="K1545" s="20" t="s">
        <v>46</v>
      </c>
      <c r="L1545" s="23">
        <f t="shared" si="179"/>
        <v>45809</v>
      </c>
      <c r="M1545" s="20">
        <f t="shared" si="180"/>
        <v>8</v>
      </c>
      <c r="N1545" s="20">
        <f t="shared" si="181"/>
        <v>0</v>
      </c>
      <c r="O1545" s="20">
        <f t="shared" si="182"/>
        <v>1</v>
      </c>
      <c r="P1545" s="22">
        <f t="shared" si="183"/>
        <v>101.71000000000001</v>
      </c>
      <c r="Q1545" s="22">
        <f>G1545*INDEX(Assumptions!$B$8:$B$16,MATCH(F1545,Assumptions!$A$8:$A$16,0))</f>
        <v>54.25</v>
      </c>
      <c r="R1545" s="22">
        <f>H1545*Assumptions!$B$3</f>
        <v>8.5259999999999998</v>
      </c>
      <c r="S1545" s="22">
        <f t="shared" si="184"/>
        <v>24.724</v>
      </c>
      <c r="T1545" s="20" t="str">
        <f t="shared" si="185"/>
        <v>8-14 days</v>
      </c>
    </row>
    <row r="1546" spans="1:20" x14ac:dyDescent="0.3">
      <c r="A1546" s="20" t="s">
        <v>1612</v>
      </c>
      <c r="B1546" s="20" t="s">
        <v>19</v>
      </c>
      <c r="C1546" s="21">
        <v>45820</v>
      </c>
      <c r="D1546" s="21">
        <v>45827</v>
      </c>
      <c r="E1546" s="21">
        <v>45835</v>
      </c>
      <c r="F1546" s="20" t="s">
        <v>111</v>
      </c>
      <c r="G1546" s="22">
        <v>33.31</v>
      </c>
      <c r="H1546" s="22">
        <v>18.03</v>
      </c>
      <c r="I1546" s="20" t="s">
        <v>45</v>
      </c>
      <c r="J1546" s="20">
        <v>4</v>
      </c>
      <c r="K1546" s="20" t="s">
        <v>46</v>
      </c>
      <c r="L1546" s="23">
        <f t="shared" si="179"/>
        <v>45809</v>
      </c>
      <c r="M1546" s="20">
        <f t="shared" si="180"/>
        <v>7</v>
      </c>
      <c r="N1546" s="20">
        <f t="shared" si="181"/>
        <v>0</v>
      </c>
      <c r="O1546" s="20">
        <f t="shared" si="182"/>
        <v>1</v>
      </c>
      <c r="P1546" s="22">
        <f t="shared" si="183"/>
        <v>51.34</v>
      </c>
      <c r="Q1546" s="22">
        <f>G1546*INDEX(Assumptions!$B$8:$B$16,MATCH(F1546,Assumptions!$A$8:$A$16,0))</f>
        <v>20.985300000000002</v>
      </c>
      <c r="R1546" s="22">
        <f>H1546*Assumptions!$B$3</f>
        <v>10.818</v>
      </c>
      <c r="S1546" s="22">
        <f t="shared" si="184"/>
        <v>1.5067000000000004</v>
      </c>
      <c r="T1546" s="20" t="str">
        <f t="shared" si="185"/>
        <v>0-7 days</v>
      </c>
    </row>
    <row r="1547" spans="1:20" x14ac:dyDescent="0.3">
      <c r="A1547" s="20" t="s">
        <v>1613</v>
      </c>
      <c r="B1547" s="20" t="s">
        <v>19</v>
      </c>
      <c r="C1547" s="21">
        <v>45820</v>
      </c>
      <c r="D1547" s="21">
        <v>45831</v>
      </c>
      <c r="E1547" s="21">
        <v>45835</v>
      </c>
      <c r="F1547" s="20" t="s">
        <v>49</v>
      </c>
      <c r="G1547" s="22">
        <v>225.47</v>
      </c>
      <c r="H1547" s="22">
        <v>22.77</v>
      </c>
      <c r="I1547" s="20" t="s">
        <v>45</v>
      </c>
      <c r="J1547" s="20">
        <v>5</v>
      </c>
      <c r="K1547" s="20" t="s">
        <v>46</v>
      </c>
      <c r="L1547" s="23">
        <f t="shared" si="179"/>
        <v>45809</v>
      </c>
      <c r="M1547" s="20">
        <f t="shared" si="180"/>
        <v>11</v>
      </c>
      <c r="N1547" s="20">
        <f t="shared" si="181"/>
        <v>0</v>
      </c>
      <c r="O1547" s="20">
        <f t="shared" si="182"/>
        <v>1</v>
      </c>
      <c r="P1547" s="22">
        <f t="shared" si="183"/>
        <v>248.24</v>
      </c>
      <c r="Q1547" s="22">
        <f>G1547*INDEX(Assumptions!$B$8:$B$16,MATCH(F1547,Assumptions!$A$8:$A$16,0))</f>
        <v>130.77259999999998</v>
      </c>
      <c r="R1547" s="22">
        <f>H1547*Assumptions!$B$3</f>
        <v>13.661999999999999</v>
      </c>
      <c r="S1547" s="22">
        <f t="shared" si="184"/>
        <v>81.03540000000001</v>
      </c>
      <c r="T1547" s="20" t="str">
        <f t="shared" si="185"/>
        <v>8-14 days</v>
      </c>
    </row>
    <row r="1548" spans="1:20" x14ac:dyDescent="0.3">
      <c r="A1548" s="20" t="s">
        <v>1614</v>
      </c>
      <c r="B1548" s="20" t="s">
        <v>19</v>
      </c>
      <c r="C1548" s="21">
        <v>45820</v>
      </c>
      <c r="D1548" s="21">
        <v>45829</v>
      </c>
      <c r="E1548" s="21">
        <v>45837</v>
      </c>
      <c r="F1548" s="20" t="s">
        <v>64</v>
      </c>
      <c r="G1548" s="22">
        <v>81.86</v>
      </c>
      <c r="H1548" s="22">
        <v>12.62</v>
      </c>
      <c r="I1548" s="20" t="s">
        <v>45</v>
      </c>
      <c r="J1548" s="20">
        <v>4</v>
      </c>
      <c r="K1548" s="20" t="s">
        <v>46</v>
      </c>
      <c r="L1548" s="23">
        <f t="shared" si="179"/>
        <v>45809</v>
      </c>
      <c r="M1548" s="20">
        <f t="shared" si="180"/>
        <v>9</v>
      </c>
      <c r="N1548" s="20">
        <f t="shared" si="181"/>
        <v>0</v>
      </c>
      <c r="O1548" s="20">
        <f t="shared" si="182"/>
        <v>1</v>
      </c>
      <c r="P1548" s="22">
        <f t="shared" si="183"/>
        <v>94.48</v>
      </c>
      <c r="Q1548" s="22">
        <f>G1548*INDEX(Assumptions!$B$8:$B$16,MATCH(F1548,Assumptions!$A$8:$A$16,0))</f>
        <v>54.0276</v>
      </c>
      <c r="R1548" s="22">
        <f>H1548*Assumptions!$B$3</f>
        <v>7.5719999999999992</v>
      </c>
      <c r="S1548" s="22">
        <f t="shared" si="184"/>
        <v>20.260400000000001</v>
      </c>
      <c r="T1548" s="20" t="str">
        <f t="shared" si="185"/>
        <v>8-14 days</v>
      </c>
    </row>
    <row r="1549" spans="1:20" x14ac:dyDescent="0.3">
      <c r="A1549" s="20" t="s">
        <v>1615</v>
      </c>
      <c r="B1549" s="20" t="s">
        <v>19</v>
      </c>
      <c r="C1549" s="21">
        <v>45820</v>
      </c>
      <c r="D1549" s="21">
        <v>45831</v>
      </c>
      <c r="E1549" s="21">
        <v>45837</v>
      </c>
      <c r="F1549" s="20" t="s">
        <v>49</v>
      </c>
      <c r="G1549" s="22">
        <v>54.58</v>
      </c>
      <c r="H1549" s="22">
        <v>18.670000000000002</v>
      </c>
      <c r="I1549" s="20" t="s">
        <v>60</v>
      </c>
      <c r="J1549" s="20">
        <v>5</v>
      </c>
      <c r="K1549" s="20" t="s">
        <v>46</v>
      </c>
      <c r="L1549" s="23">
        <f t="shared" si="179"/>
        <v>45809</v>
      </c>
      <c r="M1549" s="20">
        <f t="shared" si="180"/>
        <v>11</v>
      </c>
      <c r="N1549" s="20">
        <f t="shared" si="181"/>
        <v>0</v>
      </c>
      <c r="O1549" s="20">
        <f t="shared" si="182"/>
        <v>1</v>
      </c>
      <c r="P1549" s="22">
        <f t="shared" si="183"/>
        <v>73.25</v>
      </c>
      <c r="Q1549" s="22">
        <f>G1549*INDEX(Assumptions!$B$8:$B$16,MATCH(F1549,Assumptions!$A$8:$A$16,0))</f>
        <v>31.656399999999998</v>
      </c>
      <c r="R1549" s="22">
        <f>H1549*Assumptions!$B$3</f>
        <v>11.202</v>
      </c>
      <c r="S1549" s="22">
        <f t="shared" si="184"/>
        <v>11.7216</v>
      </c>
      <c r="T1549" s="20" t="str">
        <f t="shared" si="185"/>
        <v>8-14 days</v>
      </c>
    </row>
    <row r="1550" spans="1:20" x14ac:dyDescent="0.3">
      <c r="A1550" s="20" t="s">
        <v>1616</v>
      </c>
      <c r="B1550" s="20" t="s">
        <v>19</v>
      </c>
      <c r="C1550" s="21">
        <v>45821</v>
      </c>
      <c r="D1550" s="21">
        <v>45824</v>
      </c>
      <c r="E1550" s="21">
        <v>45837</v>
      </c>
      <c r="F1550" s="20" t="s">
        <v>57</v>
      </c>
      <c r="G1550" s="22">
        <v>62.49</v>
      </c>
      <c r="H1550" s="22">
        <v>18.53</v>
      </c>
      <c r="I1550" s="20" t="s">
        <v>45</v>
      </c>
      <c r="J1550" s="20">
        <v>5</v>
      </c>
      <c r="K1550" s="20" t="s">
        <v>46</v>
      </c>
      <c r="L1550" s="23">
        <f t="shared" si="179"/>
        <v>45809</v>
      </c>
      <c r="M1550" s="20">
        <f t="shared" si="180"/>
        <v>3</v>
      </c>
      <c r="N1550" s="20">
        <f t="shared" si="181"/>
        <v>0</v>
      </c>
      <c r="O1550" s="20">
        <f t="shared" si="182"/>
        <v>1</v>
      </c>
      <c r="P1550" s="22">
        <f t="shared" si="183"/>
        <v>81.02000000000001</v>
      </c>
      <c r="Q1550" s="22">
        <f>G1550*INDEX(Assumptions!$B$8:$B$16,MATCH(F1550,Assumptions!$A$8:$A$16,0))</f>
        <v>42.493200000000002</v>
      </c>
      <c r="R1550" s="22">
        <f>H1550*Assumptions!$B$3</f>
        <v>11.118</v>
      </c>
      <c r="S1550" s="22">
        <f t="shared" si="184"/>
        <v>8.8788</v>
      </c>
      <c r="T1550" s="20" t="str">
        <f t="shared" si="185"/>
        <v>0-7 days</v>
      </c>
    </row>
    <row r="1551" spans="1:20" x14ac:dyDescent="0.3">
      <c r="A1551" s="20" t="s">
        <v>1617</v>
      </c>
      <c r="B1551" s="20" t="s">
        <v>48</v>
      </c>
      <c r="C1551" s="21">
        <v>45821</v>
      </c>
      <c r="D1551" s="21">
        <v>45831</v>
      </c>
      <c r="E1551" s="21">
        <v>45839</v>
      </c>
      <c r="F1551" s="20" t="s">
        <v>111</v>
      </c>
      <c r="G1551" s="22">
        <v>38.92</v>
      </c>
      <c r="H1551" s="22">
        <v>27.56</v>
      </c>
      <c r="I1551" s="20" t="s">
        <v>45</v>
      </c>
      <c r="J1551" s="20">
        <v>3</v>
      </c>
      <c r="K1551" s="20" t="s">
        <v>46</v>
      </c>
      <c r="L1551" s="23">
        <f t="shared" si="179"/>
        <v>45809</v>
      </c>
      <c r="M1551" s="20">
        <f t="shared" si="180"/>
        <v>10</v>
      </c>
      <c r="N1551" s="20">
        <f t="shared" si="181"/>
        <v>0</v>
      </c>
      <c r="O1551" s="20">
        <f t="shared" si="182"/>
        <v>1</v>
      </c>
      <c r="P1551" s="22">
        <f t="shared" si="183"/>
        <v>66.48</v>
      </c>
      <c r="Q1551" s="22">
        <f>G1551*INDEX(Assumptions!$B$8:$B$16,MATCH(F1551,Assumptions!$A$8:$A$16,0))</f>
        <v>24.519600000000001</v>
      </c>
      <c r="R1551" s="22">
        <f>H1551*Assumptions!$B$3</f>
        <v>16.535999999999998</v>
      </c>
      <c r="S1551" s="22">
        <f t="shared" si="184"/>
        <v>-2.1355999999999966</v>
      </c>
      <c r="T1551" s="20" t="str">
        <f t="shared" si="185"/>
        <v>8-14 days</v>
      </c>
    </row>
    <row r="1552" spans="1:20" x14ac:dyDescent="0.3">
      <c r="A1552" s="20" t="s">
        <v>1618</v>
      </c>
      <c r="B1552" s="20" t="s">
        <v>134</v>
      </c>
      <c r="C1552" s="21">
        <v>45821</v>
      </c>
      <c r="D1552" s="21">
        <v>45836</v>
      </c>
      <c r="E1552" s="21">
        <v>45845</v>
      </c>
      <c r="F1552" s="20" t="s">
        <v>79</v>
      </c>
      <c r="G1552" s="22">
        <v>123.87</v>
      </c>
      <c r="H1552" s="22">
        <v>17.61</v>
      </c>
      <c r="I1552" s="20" t="s">
        <v>45</v>
      </c>
      <c r="J1552" s="20">
        <v>4</v>
      </c>
      <c r="K1552" s="20" t="s">
        <v>46</v>
      </c>
      <c r="L1552" s="23">
        <f t="shared" si="179"/>
        <v>45809</v>
      </c>
      <c r="M1552" s="20">
        <f t="shared" si="180"/>
        <v>15</v>
      </c>
      <c r="N1552" s="20">
        <f t="shared" si="181"/>
        <v>0</v>
      </c>
      <c r="O1552" s="20">
        <f t="shared" si="182"/>
        <v>1</v>
      </c>
      <c r="P1552" s="22">
        <f t="shared" si="183"/>
        <v>141.48000000000002</v>
      </c>
      <c r="Q1552" s="22">
        <f>G1552*INDEX(Assumptions!$B$8:$B$16,MATCH(F1552,Assumptions!$A$8:$A$16,0))</f>
        <v>86.709000000000003</v>
      </c>
      <c r="R1552" s="22">
        <f>H1552*Assumptions!$B$3</f>
        <v>10.565999999999999</v>
      </c>
      <c r="S1552" s="22">
        <f t="shared" si="184"/>
        <v>26.595000000000002</v>
      </c>
      <c r="T1552" s="20" t="str">
        <f t="shared" si="185"/>
        <v>15-21 days</v>
      </c>
    </row>
    <row r="1553" spans="1:20" x14ac:dyDescent="0.3">
      <c r="A1553" s="20" t="s">
        <v>1619</v>
      </c>
      <c r="B1553" s="20" t="s">
        <v>19</v>
      </c>
      <c r="C1553" s="21">
        <v>45821</v>
      </c>
      <c r="D1553" s="21">
        <v>45835</v>
      </c>
      <c r="E1553" s="21">
        <v>45835</v>
      </c>
      <c r="F1553" s="20" t="s">
        <v>67</v>
      </c>
      <c r="G1553" s="22">
        <v>55.56</v>
      </c>
      <c r="H1553" s="22">
        <v>16.28</v>
      </c>
      <c r="I1553" s="20" t="s">
        <v>45</v>
      </c>
      <c r="J1553" s="20">
        <v>5</v>
      </c>
      <c r="K1553" s="20" t="s">
        <v>46</v>
      </c>
      <c r="L1553" s="23">
        <f t="shared" si="179"/>
        <v>45809</v>
      </c>
      <c r="M1553" s="20">
        <f t="shared" si="180"/>
        <v>14</v>
      </c>
      <c r="N1553" s="20">
        <f t="shared" si="181"/>
        <v>0</v>
      </c>
      <c r="O1553" s="20">
        <f t="shared" si="182"/>
        <v>1</v>
      </c>
      <c r="P1553" s="22">
        <f t="shared" si="183"/>
        <v>71.84</v>
      </c>
      <c r="Q1553" s="22">
        <f>G1553*INDEX(Assumptions!$B$8:$B$16,MATCH(F1553,Assumptions!$A$8:$A$16,0))</f>
        <v>34.447200000000002</v>
      </c>
      <c r="R1553" s="22">
        <f>H1553*Assumptions!$B$3</f>
        <v>9.7680000000000007</v>
      </c>
      <c r="S1553" s="22">
        <f t="shared" si="184"/>
        <v>11.344799999999999</v>
      </c>
      <c r="T1553" s="20" t="str">
        <f t="shared" si="185"/>
        <v>8-14 days</v>
      </c>
    </row>
    <row r="1554" spans="1:20" x14ac:dyDescent="0.3">
      <c r="A1554" s="20" t="s">
        <v>1620</v>
      </c>
      <c r="B1554" s="20" t="s">
        <v>62</v>
      </c>
      <c r="C1554" s="21">
        <v>45821</v>
      </c>
      <c r="D1554" s="21">
        <v>45833</v>
      </c>
      <c r="E1554" s="21">
        <v>45839</v>
      </c>
      <c r="F1554" s="20" t="s">
        <v>64</v>
      </c>
      <c r="G1554" s="22">
        <v>116.79</v>
      </c>
      <c r="H1554" s="22">
        <v>24.74</v>
      </c>
      <c r="I1554" s="20" t="s">
        <v>45</v>
      </c>
      <c r="J1554" s="20">
        <v>4</v>
      </c>
      <c r="K1554" s="20" t="s">
        <v>46</v>
      </c>
      <c r="L1554" s="23">
        <f t="shared" si="179"/>
        <v>45809</v>
      </c>
      <c r="M1554" s="20">
        <f t="shared" si="180"/>
        <v>12</v>
      </c>
      <c r="N1554" s="20">
        <f t="shared" si="181"/>
        <v>0</v>
      </c>
      <c r="O1554" s="20">
        <f t="shared" si="182"/>
        <v>1</v>
      </c>
      <c r="P1554" s="22">
        <f t="shared" si="183"/>
        <v>141.53</v>
      </c>
      <c r="Q1554" s="22">
        <f>G1554*INDEX(Assumptions!$B$8:$B$16,MATCH(F1554,Assumptions!$A$8:$A$16,0))</f>
        <v>77.081400000000002</v>
      </c>
      <c r="R1554" s="22">
        <f>H1554*Assumptions!$B$3</f>
        <v>14.843999999999998</v>
      </c>
      <c r="S1554" s="22">
        <f t="shared" si="184"/>
        <v>24.864600000000006</v>
      </c>
      <c r="T1554" s="20" t="str">
        <f t="shared" si="185"/>
        <v>8-14 days</v>
      </c>
    </row>
    <row r="1555" spans="1:20" x14ac:dyDescent="0.3">
      <c r="A1555" s="20" t="s">
        <v>1621</v>
      </c>
      <c r="B1555" s="20" t="s">
        <v>62</v>
      </c>
      <c r="C1555" s="21">
        <v>45822</v>
      </c>
      <c r="D1555" s="21">
        <v>45828</v>
      </c>
      <c r="E1555" s="21">
        <v>45844</v>
      </c>
      <c r="F1555" s="20" t="s">
        <v>49</v>
      </c>
      <c r="G1555" s="22">
        <v>74.03</v>
      </c>
      <c r="H1555" s="22">
        <v>24.41</v>
      </c>
      <c r="I1555" s="20" t="s">
        <v>45</v>
      </c>
      <c r="J1555" s="20">
        <v>5</v>
      </c>
      <c r="K1555" s="20" t="s">
        <v>46</v>
      </c>
      <c r="L1555" s="23">
        <f t="shared" si="179"/>
        <v>45809</v>
      </c>
      <c r="M1555" s="20">
        <f t="shared" si="180"/>
        <v>6</v>
      </c>
      <c r="N1555" s="20">
        <f t="shared" si="181"/>
        <v>0</v>
      </c>
      <c r="O1555" s="20">
        <f t="shared" si="182"/>
        <v>1</v>
      </c>
      <c r="P1555" s="22">
        <f t="shared" si="183"/>
        <v>98.44</v>
      </c>
      <c r="Q1555" s="22">
        <f>G1555*INDEX(Assumptions!$B$8:$B$16,MATCH(F1555,Assumptions!$A$8:$A$16,0))</f>
        <v>42.937399999999997</v>
      </c>
      <c r="R1555" s="22">
        <f>H1555*Assumptions!$B$3</f>
        <v>14.645999999999999</v>
      </c>
      <c r="S1555" s="22">
        <f t="shared" si="184"/>
        <v>16.446600000000004</v>
      </c>
      <c r="T1555" s="20" t="str">
        <f t="shared" si="185"/>
        <v>0-7 days</v>
      </c>
    </row>
    <row r="1556" spans="1:20" x14ac:dyDescent="0.3">
      <c r="A1556" s="20" t="s">
        <v>1622</v>
      </c>
      <c r="B1556" s="20" t="s">
        <v>19</v>
      </c>
      <c r="C1556" s="21">
        <v>45822</v>
      </c>
      <c r="D1556" s="21">
        <v>45830</v>
      </c>
      <c r="E1556" s="21">
        <v>45836</v>
      </c>
      <c r="F1556" s="20" t="s">
        <v>67</v>
      </c>
      <c r="G1556" s="22">
        <v>82.21</v>
      </c>
      <c r="H1556" s="22">
        <v>21.76</v>
      </c>
      <c r="I1556" s="20" t="s">
        <v>45</v>
      </c>
      <c r="J1556" s="20">
        <v>4</v>
      </c>
      <c r="K1556" s="20" t="s">
        <v>46</v>
      </c>
      <c r="L1556" s="23">
        <f t="shared" si="179"/>
        <v>45809</v>
      </c>
      <c r="M1556" s="20">
        <f t="shared" si="180"/>
        <v>8</v>
      </c>
      <c r="N1556" s="20">
        <f t="shared" si="181"/>
        <v>0</v>
      </c>
      <c r="O1556" s="20">
        <f t="shared" si="182"/>
        <v>1</v>
      </c>
      <c r="P1556" s="22">
        <f t="shared" si="183"/>
        <v>103.97</v>
      </c>
      <c r="Q1556" s="22">
        <f>G1556*INDEX(Assumptions!$B$8:$B$16,MATCH(F1556,Assumptions!$A$8:$A$16,0))</f>
        <v>50.970199999999998</v>
      </c>
      <c r="R1556" s="22">
        <f>H1556*Assumptions!$B$3</f>
        <v>13.056000000000001</v>
      </c>
      <c r="S1556" s="22">
        <f t="shared" si="184"/>
        <v>18.183799999999994</v>
      </c>
      <c r="T1556" s="20" t="str">
        <f t="shared" si="185"/>
        <v>8-14 days</v>
      </c>
    </row>
    <row r="1557" spans="1:20" x14ac:dyDescent="0.3">
      <c r="A1557" s="20" t="s">
        <v>1623</v>
      </c>
      <c r="B1557" s="20" t="s">
        <v>55</v>
      </c>
      <c r="C1557" s="21">
        <v>45822</v>
      </c>
      <c r="D1557" s="21">
        <v>45835</v>
      </c>
      <c r="E1557" s="21">
        <v>45845</v>
      </c>
      <c r="F1557" s="20" t="s">
        <v>53</v>
      </c>
      <c r="G1557" s="22">
        <v>63.1</v>
      </c>
      <c r="H1557" s="22">
        <v>30.01</v>
      </c>
      <c r="I1557" s="20" t="s">
        <v>45</v>
      </c>
      <c r="J1557" s="20">
        <v>5</v>
      </c>
      <c r="K1557" s="20" t="s">
        <v>46</v>
      </c>
      <c r="L1557" s="23">
        <f t="shared" si="179"/>
        <v>45809</v>
      </c>
      <c r="M1557" s="20">
        <f t="shared" si="180"/>
        <v>13</v>
      </c>
      <c r="N1557" s="20">
        <f t="shared" si="181"/>
        <v>0</v>
      </c>
      <c r="O1557" s="20">
        <f t="shared" si="182"/>
        <v>1</v>
      </c>
      <c r="P1557" s="22">
        <f t="shared" si="183"/>
        <v>93.11</v>
      </c>
      <c r="Q1557" s="22">
        <f>G1557*INDEX(Assumptions!$B$8:$B$16,MATCH(F1557,Assumptions!$A$8:$A$16,0))</f>
        <v>46.694000000000003</v>
      </c>
      <c r="R1557" s="22">
        <f>H1557*Assumptions!$B$3</f>
        <v>18.006</v>
      </c>
      <c r="S1557" s="22">
        <f t="shared" si="184"/>
        <v>-1.6000000000000014</v>
      </c>
      <c r="T1557" s="20" t="str">
        <f t="shared" si="185"/>
        <v>8-14 days</v>
      </c>
    </row>
    <row r="1558" spans="1:20" x14ac:dyDescent="0.3">
      <c r="A1558" s="20" t="s">
        <v>1624</v>
      </c>
      <c r="B1558" s="20" t="s">
        <v>48</v>
      </c>
      <c r="C1558" s="21">
        <v>45822</v>
      </c>
      <c r="D1558" s="21">
        <v>45833</v>
      </c>
      <c r="E1558" s="21">
        <v>45841</v>
      </c>
      <c r="F1558" s="20" t="s">
        <v>64</v>
      </c>
      <c r="G1558" s="22">
        <v>184.16</v>
      </c>
      <c r="H1558" s="22">
        <v>23.12</v>
      </c>
      <c r="I1558" s="20" t="s">
        <v>45</v>
      </c>
      <c r="J1558" s="20">
        <v>4</v>
      </c>
      <c r="K1558" s="20" t="s">
        <v>46</v>
      </c>
      <c r="L1558" s="23">
        <f t="shared" si="179"/>
        <v>45809</v>
      </c>
      <c r="M1558" s="20">
        <f t="shared" si="180"/>
        <v>11</v>
      </c>
      <c r="N1558" s="20">
        <f t="shared" si="181"/>
        <v>0</v>
      </c>
      <c r="O1558" s="20">
        <f t="shared" si="182"/>
        <v>1</v>
      </c>
      <c r="P1558" s="22">
        <f t="shared" si="183"/>
        <v>207.28</v>
      </c>
      <c r="Q1558" s="22">
        <f>G1558*INDEX(Assumptions!$B$8:$B$16,MATCH(F1558,Assumptions!$A$8:$A$16,0))</f>
        <v>121.54560000000001</v>
      </c>
      <c r="R1558" s="22">
        <f>H1558*Assumptions!$B$3</f>
        <v>13.872</v>
      </c>
      <c r="S1558" s="22">
        <f t="shared" si="184"/>
        <v>48.742399999999989</v>
      </c>
      <c r="T1558" s="20" t="str">
        <f t="shared" si="185"/>
        <v>8-14 days</v>
      </c>
    </row>
    <row r="1559" spans="1:20" x14ac:dyDescent="0.3">
      <c r="A1559" s="20" t="s">
        <v>1625</v>
      </c>
      <c r="B1559" s="20" t="s">
        <v>103</v>
      </c>
      <c r="C1559" s="21">
        <v>45822</v>
      </c>
      <c r="D1559" s="21">
        <v>45835</v>
      </c>
      <c r="E1559" s="21">
        <v>45843</v>
      </c>
      <c r="F1559" s="20" t="s">
        <v>49</v>
      </c>
      <c r="G1559" s="22">
        <v>212.37</v>
      </c>
      <c r="H1559" s="22">
        <v>31.76</v>
      </c>
      <c r="I1559" s="20" t="s">
        <v>45</v>
      </c>
      <c r="J1559" s="20">
        <v>5</v>
      </c>
      <c r="K1559" s="20" t="s">
        <v>46</v>
      </c>
      <c r="L1559" s="23">
        <f t="shared" si="179"/>
        <v>45809</v>
      </c>
      <c r="M1559" s="20">
        <f t="shared" si="180"/>
        <v>13</v>
      </c>
      <c r="N1559" s="20">
        <f t="shared" si="181"/>
        <v>0</v>
      </c>
      <c r="O1559" s="20">
        <f t="shared" si="182"/>
        <v>1</v>
      </c>
      <c r="P1559" s="22">
        <f t="shared" si="183"/>
        <v>244.13</v>
      </c>
      <c r="Q1559" s="22">
        <f>G1559*INDEX(Assumptions!$B$8:$B$16,MATCH(F1559,Assumptions!$A$8:$A$16,0))</f>
        <v>123.1746</v>
      </c>
      <c r="R1559" s="22">
        <f>H1559*Assumptions!$B$3</f>
        <v>19.056000000000001</v>
      </c>
      <c r="S1559" s="22">
        <f t="shared" si="184"/>
        <v>70.139400000000009</v>
      </c>
      <c r="T1559" s="20" t="str">
        <f t="shared" si="185"/>
        <v>8-14 days</v>
      </c>
    </row>
    <row r="1560" spans="1:20" x14ac:dyDescent="0.3">
      <c r="A1560" s="20" t="s">
        <v>1626</v>
      </c>
      <c r="B1560" s="20" t="s">
        <v>19</v>
      </c>
      <c r="C1560" s="21">
        <v>45822</v>
      </c>
      <c r="D1560" s="21">
        <v>45837</v>
      </c>
      <c r="E1560" s="21">
        <v>45835</v>
      </c>
      <c r="F1560" s="20" t="s">
        <v>49</v>
      </c>
      <c r="G1560" s="22">
        <v>50.28</v>
      </c>
      <c r="H1560" s="22">
        <v>20.68</v>
      </c>
      <c r="I1560" s="20" t="s">
        <v>50</v>
      </c>
      <c r="J1560" s="20">
        <v>4</v>
      </c>
      <c r="K1560" s="20" t="s">
        <v>46</v>
      </c>
      <c r="L1560" s="23">
        <f t="shared" si="179"/>
        <v>45809</v>
      </c>
      <c r="M1560" s="20">
        <f t="shared" si="180"/>
        <v>15</v>
      </c>
      <c r="N1560" s="20">
        <f t="shared" si="181"/>
        <v>2</v>
      </c>
      <c r="O1560" s="20">
        <f t="shared" si="182"/>
        <v>0</v>
      </c>
      <c r="P1560" s="22">
        <f t="shared" si="183"/>
        <v>70.960000000000008</v>
      </c>
      <c r="Q1560" s="22">
        <f>G1560*INDEX(Assumptions!$B$8:$B$16,MATCH(F1560,Assumptions!$A$8:$A$16,0))</f>
        <v>29.162399999999998</v>
      </c>
      <c r="R1560" s="22">
        <f>H1560*Assumptions!$B$3</f>
        <v>12.407999999999999</v>
      </c>
      <c r="S1560" s="22">
        <f t="shared" si="184"/>
        <v>8.7096000000000036</v>
      </c>
      <c r="T1560" s="20" t="str">
        <f t="shared" si="185"/>
        <v>15-21 days</v>
      </c>
    </row>
    <row r="1561" spans="1:20" x14ac:dyDescent="0.3">
      <c r="A1561" s="20" t="s">
        <v>1627</v>
      </c>
      <c r="B1561" s="20" t="s">
        <v>48</v>
      </c>
      <c r="C1561" s="21">
        <v>45823</v>
      </c>
      <c r="D1561" s="21">
        <v>45835</v>
      </c>
      <c r="E1561" s="21">
        <v>45844</v>
      </c>
      <c r="F1561" s="20" t="s">
        <v>59</v>
      </c>
      <c r="G1561" s="22">
        <v>66.59</v>
      </c>
      <c r="H1561" s="22">
        <v>18.68</v>
      </c>
      <c r="I1561" s="20" t="s">
        <v>45</v>
      </c>
      <c r="J1561" s="20">
        <v>3</v>
      </c>
      <c r="K1561" s="20" t="s">
        <v>46</v>
      </c>
      <c r="L1561" s="23">
        <f t="shared" si="179"/>
        <v>45809</v>
      </c>
      <c r="M1561" s="20">
        <f t="shared" si="180"/>
        <v>12</v>
      </c>
      <c r="N1561" s="20">
        <f t="shared" si="181"/>
        <v>0</v>
      </c>
      <c r="O1561" s="20">
        <f t="shared" si="182"/>
        <v>1</v>
      </c>
      <c r="P1561" s="22">
        <f t="shared" si="183"/>
        <v>85.27000000000001</v>
      </c>
      <c r="Q1561" s="22">
        <f>G1561*INDEX(Assumptions!$B$8:$B$16,MATCH(F1561,Assumptions!$A$8:$A$16,0))</f>
        <v>42.617600000000003</v>
      </c>
      <c r="R1561" s="22">
        <f>H1561*Assumptions!$B$3</f>
        <v>11.208</v>
      </c>
      <c r="S1561" s="22">
        <f t="shared" si="184"/>
        <v>12.7644</v>
      </c>
      <c r="T1561" s="20" t="str">
        <f t="shared" si="185"/>
        <v>8-14 days</v>
      </c>
    </row>
    <row r="1562" spans="1:20" x14ac:dyDescent="0.3">
      <c r="A1562" s="20" t="s">
        <v>1628</v>
      </c>
      <c r="B1562" s="20" t="s">
        <v>19</v>
      </c>
      <c r="C1562" s="21">
        <v>45823</v>
      </c>
      <c r="D1562" s="21">
        <v>45836</v>
      </c>
      <c r="E1562" s="21">
        <v>45840</v>
      </c>
      <c r="F1562" s="20" t="s">
        <v>67</v>
      </c>
      <c r="G1562" s="22">
        <v>55.47</v>
      </c>
      <c r="H1562" s="22">
        <v>20.57</v>
      </c>
      <c r="I1562" s="20" t="s">
        <v>45</v>
      </c>
      <c r="J1562" s="20">
        <v>5</v>
      </c>
      <c r="K1562" s="20" t="s">
        <v>46</v>
      </c>
      <c r="L1562" s="23">
        <f t="shared" si="179"/>
        <v>45809</v>
      </c>
      <c r="M1562" s="20">
        <f t="shared" si="180"/>
        <v>13</v>
      </c>
      <c r="N1562" s="20">
        <f t="shared" si="181"/>
        <v>0</v>
      </c>
      <c r="O1562" s="20">
        <f t="shared" si="182"/>
        <v>1</v>
      </c>
      <c r="P1562" s="22">
        <f t="shared" si="183"/>
        <v>76.039999999999992</v>
      </c>
      <c r="Q1562" s="22">
        <f>G1562*INDEX(Assumptions!$B$8:$B$16,MATCH(F1562,Assumptions!$A$8:$A$16,0))</f>
        <v>34.391399999999997</v>
      </c>
      <c r="R1562" s="22">
        <f>H1562*Assumptions!$B$3</f>
        <v>12.342000000000001</v>
      </c>
      <c r="S1562" s="22">
        <f t="shared" si="184"/>
        <v>8.736600000000001</v>
      </c>
      <c r="T1562" s="20" t="str">
        <f t="shared" si="185"/>
        <v>8-14 days</v>
      </c>
    </row>
    <row r="1563" spans="1:20" x14ac:dyDescent="0.3">
      <c r="A1563" s="20" t="s">
        <v>1629</v>
      </c>
      <c r="B1563" s="20" t="s">
        <v>19</v>
      </c>
      <c r="C1563" s="21">
        <v>45823</v>
      </c>
      <c r="D1563" s="21">
        <v>45826</v>
      </c>
      <c r="E1563" s="21">
        <v>45839</v>
      </c>
      <c r="F1563" s="20" t="s">
        <v>53</v>
      </c>
      <c r="G1563" s="22">
        <v>101.19</v>
      </c>
      <c r="H1563" s="22">
        <v>13.69</v>
      </c>
      <c r="I1563" s="20" t="s">
        <v>45</v>
      </c>
      <c r="J1563" s="20">
        <v>3</v>
      </c>
      <c r="K1563" s="20" t="s">
        <v>46</v>
      </c>
      <c r="L1563" s="23">
        <f t="shared" si="179"/>
        <v>45809</v>
      </c>
      <c r="M1563" s="20">
        <f t="shared" si="180"/>
        <v>3</v>
      </c>
      <c r="N1563" s="20">
        <f t="shared" si="181"/>
        <v>0</v>
      </c>
      <c r="O1563" s="20">
        <f t="shared" si="182"/>
        <v>1</v>
      </c>
      <c r="P1563" s="22">
        <f t="shared" si="183"/>
        <v>114.88</v>
      </c>
      <c r="Q1563" s="22">
        <f>G1563*INDEX(Assumptions!$B$8:$B$16,MATCH(F1563,Assumptions!$A$8:$A$16,0))</f>
        <v>74.880600000000001</v>
      </c>
      <c r="R1563" s="22">
        <f>H1563*Assumptions!$B$3</f>
        <v>8.2139999999999986</v>
      </c>
      <c r="S1563" s="22">
        <f t="shared" si="184"/>
        <v>18.095399999999998</v>
      </c>
      <c r="T1563" s="20" t="str">
        <f t="shared" si="185"/>
        <v>0-7 days</v>
      </c>
    </row>
    <row r="1564" spans="1:20" x14ac:dyDescent="0.3">
      <c r="A1564" s="20" t="s">
        <v>1630</v>
      </c>
      <c r="B1564" s="20" t="s">
        <v>19</v>
      </c>
      <c r="C1564" s="21">
        <v>45823</v>
      </c>
      <c r="D1564" s="21">
        <v>45833</v>
      </c>
      <c r="E1564" s="21">
        <v>45836</v>
      </c>
      <c r="F1564" s="20" t="s">
        <v>111</v>
      </c>
      <c r="G1564" s="22">
        <v>41.29</v>
      </c>
      <c r="H1564" s="22">
        <v>15.21</v>
      </c>
      <c r="I1564" s="20" t="s">
        <v>45</v>
      </c>
      <c r="J1564" s="20">
        <v>5</v>
      </c>
      <c r="K1564" s="20" t="s">
        <v>46</v>
      </c>
      <c r="L1564" s="23">
        <f t="shared" si="179"/>
        <v>45809</v>
      </c>
      <c r="M1564" s="20">
        <f t="shared" si="180"/>
        <v>10</v>
      </c>
      <c r="N1564" s="20">
        <f t="shared" si="181"/>
        <v>0</v>
      </c>
      <c r="O1564" s="20">
        <f t="shared" si="182"/>
        <v>1</v>
      </c>
      <c r="P1564" s="22">
        <f t="shared" si="183"/>
        <v>56.5</v>
      </c>
      <c r="Q1564" s="22">
        <f>G1564*INDEX(Assumptions!$B$8:$B$16,MATCH(F1564,Assumptions!$A$8:$A$16,0))</f>
        <v>26.012699999999999</v>
      </c>
      <c r="R1564" s="22">
        <f>H1564*Assumptions!$B$3</f>
        <v>9.1259999999999994</v>
      </c>
      <c r="S1564" s="22">
        <f t="shared" si="184"/>
        <v>6.1513000000000009</v>
      </c>
      <c r="T1564" s="20" t="str">
        <f t="shared" si="185"/>
        <v>8-14 days</v>
      </c>
    </row>
    <row r="1565" spans="1:20" x14ac:dyDescent="0.3">
      <c r="A1565" s="20" t="s">
        <v>1631</v>
      </c>
      <c r="B1565" s="20" t="s">
        <v>48</v>
      </c>
      <c r="C1565" s="21">
        <v>45823</v>
      </c>
      <c r="D1565" s="21">
        <v>45834</v>
      </c>
      <c r="E1565" s="21">
        <v>45843</v>
      </c>
      <c r="F1565" s="20" t="s">
        <v>53</v>
      </c>
      <c r="G1565" s="22">
        <v>179.02</v>
      </c>
      <c r="H1565" s="22">
        <v>29.37</v>
      </c>
      <c r="I1565" s="20" t="s">
        <v>45</v>
      </c>
      <c r="J1565" s="20">
        <v>5</v>
      </c>
      <c r="K1565" s="20" t="s">
        <v>46</v>
      </c>
      <c r="L1565" s="23">
        <f t="shared" si="179"/>
        <v>45809</v>
      </c>
      <c r="M1565" s="20">
        <f t="shared" si="180"/>
        <v>11</v>
      </c>
      <c r="N1565" s="20">
        <f t="shared" si="181"/>
        <v>0</v>
      </c>
      <c r="O1565" s="20">
        <f t="shared" si="182"/>
        <v>1</v>
      </c>
      <c r="P1565" s="22">
        <f t="shared" si="183"/>
        <v>208.39000000000001</v>
      </c>
      <c r="Q1565" s="22">
        <f>G1565*INDEX(Assumptions!$B$8:$B$16,MATCH(F1565,Assumptions!$A$8:$A$16,0))</f>
        <v>132.47480000000002</v>
      </c>
      <c r="R1565" s="22">
        <f>H1565*Assumptions!$B$3</f>
        <v>17.622</v>
      </c>
      <c r="S1565" s="22">
        <f t="shared" si="184"/>
        <v>28.923199999999994</v>
      </c>
      <c r="T1565" s="20" t="str">
        <f t="shared" si="185"/>
        <v>8-14 days</v>
      </c>
    </row>
    <row r="1566" spans="1:20" x14ac:dyDescent="0.3">
      <c r="A1566" s="20" t="s">
        <v>1632</v>
      </c>
      <c r="B1566" s="20" t="s">
        <v>93</v>
      </c>
      <c r="C1566" s="21">
        <v>45823</v>
      </c>
      <c r="D1566" s="21">
        <v>45844</v>
      </c>
      <c r="E1566" s="21">
        <v>45852</v>
      </c>
      <c r="F1566" s="20" t="s">
        <v>59</v>
      </c>
      <c r="G1566" s="22">
        <v>50.11</v>
      </c>
      <c r="H1566" s="22">
        <v>32.619999999999997</v>
      </c>
      <c r="I1566" s="20" t="s">
        <v>60</v>
      </c>
      <c r="J1566" s="20">
        <v>3</v>
      </c>
      <c r="K1566" s="20" t="s">
        <v>46</v>
      </c>
      <c r="L1566" s="23">
        <f t="shared" si="179"/>
        <v>45809</v>
      </c>
      <c r="M1566" s="20">
        <f t="shared" si="180"/>
        <v>21</v>
      </c>
      <c r="N1566" s="20">
        <f t="shared" si="181"/>
        <v>0</v>
      </c>
      <c r="O1566" s="20">
        <f t="shared" si="182"/>
        <v>1</v>
      </c>
      <c r="P1566" s="22">
        <f t="shared" si="183"/>
        <v>82.72999999999999</v>
      </c>
      <c r="Q1566" s="22">
        <f>G1566*INDEX(Assumptions!$B$8:$B$16,MATCH(F1566,Assumptions!$A$8:$A$16,0))</f>
        <v>32.070399999999999</v>
      </c>
      <c r="R1566" s="22">
        <f>H1566*Assumptions!$B$3</f>
        <v>19.571999999999999</v>
      </c>
      <c r="S1566" s="22">
        <f t="shared" si="184"/>
        <v>-1.5323999999999991</v>
      </c>
      <c r="T1566" s="20" t="str">
        <f t="shared" si="185"/>
        <v>15-21 days</v>
      </c>
    </row>
    <row r="1567" spans="1:20" x14ac:dyDescent="0.3">
      <c r="A1567" s="20" t="s">
        <v>1633</v>
      </c>
      <c r="B1567" s="20" t="s">
        <v>52</v>
      </c>
      <c r="C1567" s="21">
        <v>45824</v>
      </c>
      <c r="D1567" s="21">
        <v>45842</v>
      </c>
      <c r="E1567" s="21">
        <v>45847</v>
      </c>
      <c r="F1567" s="20" t="s">
        <v>67</v>
      </c>
      <c r="G1567" s="22">
        <v>145.72999999999999</v>
      </c>
      <c r="H1567" s="22">
        <v>24.72</v>
      </c>
      <c r="I1567" s="20" t="s">
        <v>60</v>
      </c>
      <c r="J1567" s="20">
        <v>4</v>
      </c>
      <c r="K1567" s="20" t="s">
        <v>46</v>
      </c>
      <c r="L1567" s="23">
        <f t="shared" si="179"/>
        <v>45809</v>
      </c>
      <c r="M1567" s="20">
        <f t="shared" si="180"/>
        <v>18</v>
      </c>
      <c r="N1567" s="20">
        <f t="shared" si="181"/>
        <v>0</v>
      </c>
      <c r="O1567" s="20">
        <f t="shared" si="182"/>
        <v>1</v>
      </c>
      <c r="P1567" s="22">
        <f t="shared" si="183"/>
        <v>170.45</v>
      </c>
      <c r="Q1567" s="22">
        <f>G1567*INDEX(Assumptions!$B$8:$B$16,MATCH(F1567,Assumptions!$A$8:$A$16,0))</f>
        <v>90.352599999999995</v>
      </c>
      <c r="R1567" s="22">
        <f>H1567*Assumptions!$B$3</f>
        <v>14.831999999999999</v>
      </c>
      <c r="S1567" s="22">
        <f t="shared" si="184"/>
        <v>40.545399999999994</v>
      </c>
      <c r="T1567" s="20" t="str">
        <f t="shared" si="185"/>
        <v>15-21 days</v>
      </c>
    </row>
    <row r="1568" spans="1:20" x14ac:dyDescent="0.3">
      <c r="A1568" s="20" t="s">
        <v>1634</v>
      </c>
      <c r="B1568" s="20" t="s">
        <v>174</v>
      </c>
      <c r="C1568" s="21">
        <v>45824</v>
      </c>
      <c r="D1568" s="21">
        <v>45855</v>
      </c>
      <c r="E1568" s="21">
        <v>45853</v>
      </c>
      <c r="F1568" s="20" t="s">
        <v>53</v>
      </c>
      <c r="G1568" s="22">
        <v>81.510000000000005</v>
      </c>
      <c r="H1568" s="22">
        <v>42.66</v>
      </c>
      <c r="I1568" s="20" t="s">
        <v>50</v>
      </c>
      <c r="J1568" s="20">
        <v>3</v>
      </c>
      <c r="K1568" s="20" t="s">
        <v>46</v>
      </c>
      <c r="L1568" s="23">
        <f t="shared" si="179"/>
        <v>45809</v>
      </c>
      <c r="M1568" s="20">
        <f t="shared" si="180"/>
        <v>31</v>
      </c>
      <c r="N1568" s="20">
        <f t="shared" si="181"/>
        <v>2</v>
      </c>
      <c r="O1568" s="20">
        <f t="shared" si="182"/>
        <v>0</v>
      </c>
      <c r="P1568" s="22">
        <f t="shared" si="183"/>
        <v>124.17</v>
      </c>
      <c r="Q1568" s="22">
        <f>G1568*INDEX(Assumptions!$B$8:$B$16,MATCH(F1568,Assumptions!$A$8:$A$16,0))</f>
        <v>60.317400000000006</v>
      </c>
      <c r="R1568" s="22">
        <f>H1568*Assumptions!$B$3</f>
        <v>25.595999999999997</v>
      </c>
      <c r="S1568" s="22">
        <f t="shared" si="184"/>
        <v>-4.4033999999999978</v>
      </c>
      <c r="T1568" s="20" t="str">
        <f t="shared" si="185"/>
        <v>22+ days</v>
      </c>
    </row>
    <row r="1569" spans="1:20" x14ac:dyDescent="0.3">
      <c r="A1569" s="20" t="s">
        <v>1635</v>
      </c>
      <c r="B1569" s="20" t="s">
        <v>19</v>
      </c>
      <c r="C1569" s="21">
        <v>45824</v>
      </c>
      <c r="D1569" s="21">
        <v>45830</v>
      </c>
      <c r="E1569" s="21">
        <v>45836</v>
      </c>
      <c r="F1569" s="20" t="s">
        <v>67</v>
      </c>
      <c r="G1569" s="22">
        <v>46.71</v>
      </c>
      <c r="H1569" s="22">
        <v>17.79</v>
      </c>
      <c r="I1569" s="20" t="s">
        <v>45</v>
      </c>
      <c r="J1569" s="20">
        <v>3</v>
      </c>
      <c r="K1569" s="20" t="s">
        <v>46</v>
      </c>
      <c r="L1569" s="23">
        <f t="shared" si="179"/>
        <v>45809</v>
      </c>
      <c r="M1569" s="20">
        <f t="shared" si="180"/>
        <v>6</v>
      </c>
      <c r="N1569" s="20">
        <f t="shared" si="181"/>
        <v>0</v>
      </c>
      <c r="O1569" s="20">
        <f t="shared" si="182"/>
        <v>1</v>
      </c>
      <c r="P1569" s="22">
        <f t="shared" si="183"/>
        <v>64.5</v>
      </c>
      <c r="Q1569" s="22">
        <f>G1569*INDEX(Assumptions!$B$8:$B$16,MATCH(F1569,Assumptions!$A$8:$A$16,0))</f>
        <v>28.9602</v>
      </c>
      <c r="R1569" s="22">
        <f>H1569*Assumptions!$B$3</f>
        <v>10.673999999999999</v>
      </c>
      <c r="S1569" s="22">
        <f t="shared" si="184"/>
        <v>7.075800000000001</v>
      </c>
      <c r="T1569" s="20" t="str">
        <f t="shared" si="185"/>
        <v>0-7 days</v>
      </c>
    </row>
    <row r="1570" spans="1:20" x14ac:dyDescent="0.3">
      <c r="A1570" s="20" t="s">
        <v>1636</v>
      </c>
      <c r="B1570" s="20" t="s">
        <v>19</v>
      </c>
      <c r="C1570" s="21">
        <v>45825</v>
      </c>
      <c r="D1570" s="21">
        <v>45832</v>
      </c>
      <c r="E1570" s="21">
        <v>45840</v>
      </c>
      <c r="F1570" s="20" t="s">
        <v>111</v>
      </c>
      <c r="G1570" s="22">
        <v>70.489999999999995</v>
      </c>
      <c r="H1570" s="22">
        <v>17.190000000000001</v>
      </c>
      <c r="I1570" s="20" t="s">
        <v>45</v>
      </c>
      <c r="J1570" s="20">
        <v>4</v>
      </c>
      <c r="K1570" s="20" t="s">
        <v>46</v>
      </c>
      <c r="L1570" s="23">
        <f t="shared" si="179"/>
        <v>45809</v>
      </c>
      <c r="M1570" s="20">
        <f t="shared" si="180"/>
        <v>7</v>
      </c>
      <c r="N1570" s="20">
        <f t="shared" si="181"/>
        <v>0</v>
      </c>
      <c r="O1570" s="20">
        <f t="shared" si="182"/>
        <v>1</v>
      </c>
      <c r="P1570" s="22">
        <f t="shared" si="183"/>
        <v>87.679999999999993</v>
      </c>
      <c r="Q1570" s="22">
        <f>G1570*INDEX(Assumptions!$B$8:$B$16,MATCH(F1570,Assumptions!$A$8:$A$16,0))</f>
        <v>44.408699999999996</v>
      </c>
      <c r="R1570" s="22">
        <f>H1570*Assumptions!$B$3</f>
        <v>10.314</v>
      </c>
      <c r="S1570" s="22">
        <f t="shared" si="184"/>
        <v>15.767299999999999</v>
      </c>
      <c r="T1570" s="20" t="str">
        <f t="shared" si="185"/>
        <v>0-7 days</v>
      </c>
    </row>
    <row r="1571" spans="1:20" x14ac:dyDescent="0.3">
      <c r="A1571" s="20" t="s">
        <v>1637</v>
      </c>
      <c r="B1571" s="20" t="s">
        <v>19</v>
      </c>
      <c r="C1571" s="21">
        <v>45825</v>
      </c>
      <c r="D1571" s="21">
        <v>45831</v>
      </c>
      <c r="E1571" s="21">
        <v>45839</v>
      </c>
      <c r="F1571" s="20" t="s">
        <v>49</v>
      </c>
      <c r="G1571" s="22">
        <v>234.26</v>
      </c>
      <c r="H1571" s="22">
        <v>17.239999999999998</v>
      </c>
      <c r="I1571" s="20" t="s">
        <v>45</v>
      </c>
      <c r="J1571" s="20">
        <v>5</v>
      </c>
      <c r="K1571" s="20" t="s">
        <v>46</v>
      </c>
      <c r="L1571" s="23">
        <f t="shared" si="179"/>
        <v>45809</v>
      </c>
      <c r="M1571" s="20">
        <f t="shared" si="180"/>
        <v>6</v>
      </c>
      <c r="N1571" s="20">
        <f t="shared" si="181"/>
        <v>0</v>
      </c>
      <c r="O1571" s="20">
        <f t="shared" si="182"/>
        <v>1</v>
      </c>
      <c r="P1571" s="22">
        <f t="shared" si="183"/>
        <v>251.5</v>
      </c>
      <c r="Q1571" s="22">
        <f>G1571*INDEX(Assumptions!$B$8:$B$16,MATCH(F1571,Assumptions!$A$8:$A$16,0))</f>
        <v>135.87079999999997</v>
      </c>
      <c r="R1571" s="22">
        <f>H1571*Assumptions!$B$3</f>
        <v>10.343999999999999</v>
      </c>
      <c r="S1571" s="22">
        <f t="shared" si="184"/>
        <v>88.045200000000023</v>
      </c>
      <c r="T1571" s="20" t="str">
        <f t="shared" si="185"/>
        <v>0-7 days</v>
      </c>
    </row>
    <row r="1572" spans="1:20" x14ac:dyDescent="0.3">
      <c r="A1572" s="20" t="s">
        <v>1638</v>
      </c>
      <c r="B1572" s="20" t="s">
        <v>19</v>
      </c>
      <c r="C1572" s="21">
        <v>45825</v>
      </c>
      <c r="D1572" s="21">
        <v>45831</v>
      </c>
      <c r="E1572" s="21">
        <v>45841</v>
      </c>
      <c r="F1572" s="20" t="s">
        <v>79</v>
      </c>
      <c r="G1572" s="22">
        <v>72.31</v>
      </c>
      <c r="H1572" s="22">
        <v>15.08</v>
      </c>
      <c r="I1572" s="20" t="s">
        <v>60</v>
      </c>
      <c r="J1572" s="20">
        <v>5</v>
      </c>
      <c r="K1572" s="20" t="s">
        <v>46</v>
      </c>
      <c r="L1572" s="23">
        <f t="shared" si="179"/>
        <v>45809</v>
      </c>
      <c r="M1572" s="20">
        <f t="shared" si="180"/>
        <v>6</v>
      </c>
      <c r="N1572" s="20">
        <f t="shared" si="181"/>
        <v>0</v>
      </c>
      <c r="O1572" s="20">
        <f t="shared" si="182"/>
        <v>1</v>
      </c>
      <c r="P1572" s="22">
        <f t="shared" si="183"/>
        <v>87.39</v>
      </c>
      <c r="Q1572" s="22">
        <f>G1572*INDEX(Assumptions!$B$8:$B$16,MATCH(F1572,Assumptions!$A$8:$A$16,0))</f>
        <v>50.616999999999997</v>
      </c>
      <c r="R1572" s="22">
        <f>H1572*Assumptions!$B$3</f>
        <v>9.048</v>
      </c>
      <c r="S1572" s="22">
        <f t="shared" si="184"/>
        <v>12.645000000000005</v>
      </c>
      <c r="T1572" s="20" t="str">
        <f t="shared" si="185"/>
        <v>0-7 days</v>
      </c>
    </row>
    <row r="1573" spans="1:20" x14ac:dyDescent="0.3">
      <c r="A1573" s="20" t="s">
        <v>1639</v>
      </c>
      <c r="B1573" s="20" t="s">
        <v>19</v>
      </c>
      <c r="C1573" s="21">
        <v>45826</v>
      </c>
      <c r="D1573" s="21">
        <v>45836</v>
      </c>
      <c r="E1573" s="21">
        <v>45842</v>
      </c>
      <c r="F1573" s="20" t="s">
        <v>64</v>
      </c>
      <c r="G1573" s="22">
        <v>163.87</v>
      </c>
      <c r="H1573" s="22">
        <v>17.96</v>
      </c>
      <c r="I1573" s="20" t="s">
        <v>45</v>
      </c>
      <c r="J1573" s="20">
        <v>5</v>
      </c>
      <c r="K1573" s="20" t="s">
        <v>46</v>
      </c>
      <c r="L1573" s="23">
        <f t="shared" si="179"/>
        <v>45809</v>
      </c>
      <c r="M1573" s="20">
        <f t="shared" si="180"/>
        <v>10</v>
      </c>
      <c r="N1573" s="20">
        <f t="shared" si="181"/>
        <v>0</v>
      </c>
      <c r="O1573" s="20">
        <f t="shared" si="182"/>
        <v>1</v>
      </c>
      <c r="P1573" s="22">
        <f t="shared" si="183"/>
        <v>181.83</v>
      </c>
      <c r="Q1573" s="22">
        <f>G1573*INDEX(Assumptions!$B$8:$B$16,MATCH(F1573,Assumptions!$A$8:$A$16,0))</f>
        <v>108.1542</v>
      </c>
      <c r="R1573" s="22">
        <f>H1573*Assumptions!$B$3</f>
        <v>10.776</v>
      </c>
      <c r="S1573" s="22">
        <f t="shared" si="184"/>
        <v>44.939800000000005</v>
      </c>
      <c r="T1573" s="20" t="str">
        <f t="shared" si="185"/>
        <v>8-14 days</v>
      </c>
    </row>
    <row r="1574" spans="1:20" x14ac:dyDescent="0.3">
      <c r="A1574" s="20" t="s">
        <v>1640</v>
      </c>
      <c r="B1574" s="20" t="s">
        <v>19</v>
      </c>
      <c r="C1574" s="21">
        <v>45826</v>
      </c>
      <c r="D1574" s="21">
        <v>45835</v>
      </c>
      <c r="E1574" s="21">
        <v>45843</v>
      </c>
      <c r="F1574" s="20" t="s">
        <v>57</v>
      </c>
      <c r="G1574" s="22">
        <v>100.39</v>
      </c>
      <c r="H1574" s="22">
        <v>15.63</v>
      </c>
      <c r="I1574" s="20" t="s">
        <v>60</v>
      </c>
      <c r="J1574" s="20">
        <v>5</v>
      </c>
      <c r="K1574" s="20" t="s">
        <v>46</v>
      </c>
      <c r="L1574" s="23">
        <f t="shared" si="179"/>
        <v>45809</v>
      </c>
      <c r="M1574" s="20">
        <f t="shared" si="180"/>
        <v>9</v>
      </c>
      <c r="N1574" s="20">
        <f t="shared" si="181"/>
        <v>0</v>
      </c>
      <c r="O1574" s="20">
        <f t="shared" si="182"/>
        <v>1</v>
      </c>
      <c r="P1574" s="22">
        <f t="shared" si="183"/>
        <v>116.02</v>
      </c>
      <c r="Q1574" s="22">
        <f>G1574*INDEX(Assumptions!$B$8:$B$16,MATCH(F1574,Assumptions!$A$8:$A$16,0))</f>
        <v>68.265200000000007</v>
      </c>
      <c r="R1574" s="22">
        <f>H1574*Assumptions!$B$3</f>
        <v>9.3780000000000001</v>
      </c>
      <c r="S1574" s="22">
        <f t="shared" si="184"/>
        <v>22.746799999999993</v>
      </c>
      <c r="T1574" s="20" t="str">
        <f t="shared" si="185"/>
        <v>8-14 days</v>
      </c>
    </row>
    <row r="1575" spans="1:20" x14ac:dyDescent="0.3">
      <c r="A1575" s="20" t="s">
        <v>1641</v>
      </c>
      <c r="B1575" s="20" t="s">
        <v>55</v>
      </c>
      <c r="C1575" s="21">
        <v>45826</v>
      </c>
      <c r="D1575" s="21">
        <v>45845</v>
      </c>
      <c r="E1575" s="21">
        <v>45847</v>
      </c>
      <c r="F1575" s="20" t="s">
        <v>64</v>
      </c>
      <c r="G1575" s="22">
        <v>205.13</v>
      </c>
      <c r="H1575" s="22">
        <v>28.51</v>
      </c>
      <c r="I1575" s="20" t="s">
        <v>60</v>
      </c>
      <c r="J1575" s="20">
        <v>5</v>
      </c>
      <c r="K1575" s="20" t="s">
        <v>46</v>
      </c>
      <c r="L1575" s="23">
        <f t="shared" si="179"/>
        <v>45809</v>
      </c>
      <c r="M1575" s="20">
        <f t="shared" si="180"/>
        <v>19</v>
      </c>
      <c r="N1575" s="20">
        <f t="shared" si="181"/>
        <v>0</v>
      </c>
      <c r="O1575" s="20">
        <f t="shared" si="182"/>
        <v>1</v>
      </c>
      <c r="P1575" s="22">
        <f t="shared" si="183"/>
        <v>233.64</v>
      </c>
      <c r="Q1575" s="22">
        <f>G1575*INDEX(Assumptions!$B$8:$B$16,MATCH(F1575,Assumptions!$A$8:$A$16,0))</f>
        <v>135.38580000000002</v>
      </c>
      <c r="R1575" s="22">
        <f>H1575*Assumptions!$B$3</f>
        <v>17.106000000000002</v>
      </c>
      <c r="S1575" s="22">
        <f t="shared" si="184"/>
        <v>52.638199999999976</v>
      </c>
      <c r="T1575" s="20" t="str">
        <f t="shared" si="185"/>
        <v>15-21 days</v>
      </c>
    </row>
    <row r="1576" spans="1:20" x14ac:dyDescent="0.3">
      <c r="A1576" s="20" t="s">
        <v>1642</v>
      </c>
      <c r="B1576" s="20" t="s">
        <v>93</v>
      </c>
      <c r="C1576" s="21">
        <v>45826</v>
      </c>
      <c r="D1576" s="21">
        <v>45845</v>
      </c>
      <c r="E1576" s="21">
        <v>45859</v>
      </c>
      <c r="F1576" s="20" t="s">
        <v>79</v>
      </c>
      <c r="G1576" s="22">
        <v>78.53</v>
      </c>
      <c r="H1576" s="22">
        <v>25.56</v>
      </c>
      <c r="I1576" s="20" t="s">
        <v>45</v>
      </c>
      <c r="J1576" s="20">
        <v>4</v>
      </c>
      <c r="K1576" s="20" t="s">
        <v>46</v>
      </c>
      <c r="L1576" s="23">
        <f t="shared" si="179"/>
        <v>45809</v>
      </c>
      <c r="M1576" s="20">
        <f t="shared" si="180"/>
        <v>19</v>
      </c>
      <c r="N1576" s="20">
        <f t="shared" si="181"/>
        <v>0</v>
      </c>
      <c r="O1576" s="20">
        <f t="shared" si="182"/>
        <v>1</v>
      </c>
      <c r="P1576" s="22">
        <f t="shared" si="183"/>
        <v>104.09</v>
      </c>
      <c r="Q1576" s="22">
        <f>G1576*INDEX(Assumptions!$B$8:$B$16,MATCH(F1576,Assumptions!$A$8:$A$16,0))</f>
        <v>54.970999999999997</v>
      </c>
      <c r="R1576" s="22">
        <f>H1576*Assumptions!$B$3</f>
        <v>15.335999999999999</v>
      </c>
      <c r="S1576" s="22">
        <f t="shared" si="184"/>
        <v>8.2230000000000061</v>
      </c>
      <c r="T1576" s="20" t="str">
        <f t="shared" si="185"/>
        <v>15-21 days</v>
      </c>
    </row>
    <row r="1577" spans="1:20" x14ac:dyDescent="0.3">
      <c r="A1577" s="20" t="s">
        <v>1643</v>
      </c>
      <c r="B1577" s="20" t="s">
        <v>19</v>
      </c>
      <c r="C1577" s="21">
        <v>45826</v>
      </c>
      <c r="D1577" s="21">
        <v>45828</v>
      </c>
      <c r="E1577" s="21">
        <v>45839</v>
      </c>
      <c r="F1577" s="20" t="s">
        <v>67</v>
      </c>
      <c r="G1577" s="22">
        <v>65.8</v>
      </c>
      <c r="H1577" s="22">
        <v>13.41</v>
      </c>
      <c r="I1577" s="20" t="s">
        <v>45</v>
      </c>
      <c r="J1577" s="20">
        <v>4</v>
      </c>
      <c r="K1577" s="20" t="s">
        <v>46</v>
      </c>
      <c r="L1577" s="23">
        <f t="shared" si="179"/>
        <v>45809</v>
      </c>
      <c r="M1577" s="20">
        <f t="shared" si="180"/>
        <v>2</v>
      </c>
      <c r="N1577" s="20">
        <f t="shared" si="181"/>
        <v>0</v>
      </c>
      <c r="O1577" s="20">
        <f t="shared" si="182"/>
        <v>1</v>
      </c>
      <c r="P1577" s="22">
        <f t="shared" si="183"/>
        <v>79.209999999999994</v>
      </c>
      <c r="Q1577" s="22">
        <f>G1577*INDEX(Assumptions!$B$8:$B$16,MATCH(F1577,Assumptions!$A$8:$A$16,0))</f>
        <v>40.795999999999999</v>
      </c>
      <c r="R1577" s="22">
        <f>H1577*Assumptions!$B$3</f>
        <v>8.0459999999999994</v>
      </c>
      <c r="S1577" s="22">
        <f t="shared" si="184"/>
        <v>16.957999999999998</v>
      </c>
      <c r="T1577" s="20" t="str">
        <f t="shared" si="185"/>
        <v>0-7 days</v>
      </c>
    </row>
    <row r="1578" spans="1:20" x14ac:dyDescent="0.3">
      <c r="A1578" s="20" t="s">
        <v>1644</v>
      </c>
      <c r="B1578" s="20" t="s">
        <v>52</v>
      </c>
      <c r="C1578" s="21">
        <v>45827</v>
      </c>
      <c r="D1578" s="21">
        <v>45840</v>
      </c>
      <c r="E1578" s="21">
        <v>45849</v>
      </c>
      <c r="F1578" s="20" t="s">
        <v>49</v>
      </c>
      <c r="G1578" s="22">
        <v>54.13</v>
      </c>
      <c r="H1578" s="22">
        <v>21.68</v>
      </c>
      <c r="I1578" s="20" t="s">
        <v>45</v>
      </c>
      <c r="J1578" s="20">
        <v>3</v>
      </c>
      <c r="K1578" s="20" t="s">
        <v>46</v>
      </c>
      <c r="L1578" s="23">
        <f t="shared" si="179"/>
        <v>45809</v>
      </c>
      <c r="M1578" s="20">
        <f t="shared" si="180"/>
        <v>13</v>
      </c>
      <c r="N1578" s="20">
        <f t="shared" si="181"/>
        <v>0</v>
      </c>
      <c r="O1578" s="20">
        <f t="shared" si="182"/>
        <v>1</v>
      </c>
      <c r="P1578" s="22">
        <f t="shared" si="183"/>
        <v>75.81</v>
      </c>
      <c r="Q1578" s="22">
        <f>G1578*INDEX(Assumptions!$B$8:$B$16,MATCH(F1578,Assumptions!$A$8:$A$16,0))</f>
        <v>31.395399999999999</v>
      </c>
      <c r="R1578" s="22">
        <f>H1578*Assumptions!$B$3</f>
        <v>13.007999999999999</v>
      </c>
      <c r="S1578" s="22">
        <f t="shared" si="184"/>
        <v>9.7266000000000048</v>
      </c>
      <c r="T1578" s="20" t="str">
        <f t="shared" si="185"/>
        <v>8-14 days</v>
      </c>
    </row>
    <row r="1579" spans="1:20" x14ac:dyDescent="0.3">
      <c r="A1579" s="20" t="s">
        <v>1645</v>
      </c>
      <c r="B1579" s="20" t="s">
        <v>19</v>
      </c>
      <c r="C1579" s="21">
        <v>45827</v>
      </c>
      <c r="D1579" s="21">
        <v>45836</v>
      </c>
      <c r="E1579" s="21">
        <v>45843</v>
      </c>
      <c r="F1579" s="20" t="s">
        <v>111</v>
      </c>
      <c r="G1579" s="22">
        <v>98.35</v>
      </c>
      <c r="H1579" s="22">
        <v>20.91</v>
      </c>
      <c r="I1579" s="20" t="s">
        <v>45</v>
      </c>
      <c r="J1579" s="20">
        <v>5</v>
      </c>
      <c r="K1579" s="20" t="s">
        <v>46</v>
      </c>
      <c r="L1579" s="23">
        <f t="shared" si="179"/>
        <v>45809</v>
      </c>
      <c r="M1579" s="20">
        <f t="shared" si="180"/>
        <v>9</v>
      </c>
      <c r="N1579" s="20">
        <f t="shared" si="181"/>
        <v>0</v>
      </c>
      <c r="O1579" s="20">
        <f t="shared" si="182"/>
        <v>1</v>
      </c>
      <c r="P1579" s="22">
        <f t="shared" si="183"/>
        <v>119.25999999999999</v>
      </c>
      <c r="Q1579" s="22">
        <f>G1579*INDEX(Assumptions!$B$8:$B$16,MATCH(F1579,Assumptions!$A$8:$A$16,0))</f>
        <v>61.960499999999996</v>
      </c>
      <c r="R1579" s="22">
        <f>H1579*Assumptions!$B$3</f>
        <v>12.545999999999999</v>
      </c>
      <c r="S1579" s="22">
        <f t="shared" si="184"/>
        <v>23.843499999999999</v>
      </c>
      <c r="T1579" s="20" t="str">
        <f t="shared" si="185"/>
        <v>8-14 days</v>
      </c>
    </row>
    <row r="1580" spans="1:20" x14ac:dyDescent="0.3">
      <c r="A1580" s="20" t="s">
        <v>1646</v>
      </c>
      <c r="B1580" s="20" t="s">
        <v>52</v>
      </c>
      <c r="C1580" s="21">
        <v>45827</v>
      </c>
      <c r="D1580" s="21">
        <v>45840</v>
      </c>
      <c r="E1580" s="21">
        <v>45849</v>
      </c>
      <c r="F1580" s="20" t="s">
        <v>53</v>
      </c>
      <c r="G1580" s="22">
        <v>97.27</v>
      </c>
      <c r="H1580" s="22">
        <v>30.01</v>
      </c>
      <c r="I1580" s="20" t="s">
        <v>45</v>
      </c>
      <c r="J1580" s="20">
        <v>4</v>
      </c>
      <c r="K1580" s="20" t="s">
        <v>46</v>
      </c>
      <c r="L1580" s="23">
        <f t="shared" si="179"/>
        <v>45809</v>
      </c>
      <c r="M1580" s="20">
        <f t="shared" si="180"/>
        <v>13</v>
      </c>
      <c r="N1580" s="20">
        <f t="shared" si="181"/>
        <v>0</v>
      </c>
      <c r="O1580" s="20">
        <f t="shared" si="182"/>
        <v>1</v>
      </c>
      <c r="P1580" s="22">
        <f t="shared" si="183"/>
        <v>127.28</v>
      </c>
      <c r="Q1580" s="22">
        <f>G1580*INDEX(Assumptions!$B$8:$B$16,MATCH(F1580,Assumptions!$A$8:$A$16,0))</f>
        <v>71.979799999999997</v>
      </c>
      <c r="R1580" s="22">
        <f>H1580*Assumptions!$B$3</f>
        <v>18.006</v>
      </c>
      <c r="S1580" s="22">
        <f t="shared" si="184"/>
        <v>7.2841999999999985</v>
      </c>
      <c r="T1580" s="20" t="str">
        <f t="shared" si="185"/>
        <v>8-14 days</v>
      </c>
    </row>
    <row r="1581" spans="1:20" x14ac:dyDescent="0.3">
      <c r="A1581" s="20" t="s">
        <v>1647</v>
      </c>
      <c r="B1581" s="20" t="s">
        <v>62</v>
      </c>
      <c r="C1581" s="21">
        <v>45827</v>
      </c>
      <c r="D1581" s="21">
        <v>45844</v>
      </c>
      <c r="E1581" s="21">
        <v>45848</v>
      </c>
      <c r="F1581" s="20" t="s">
        <v>59</v>
      </c>
      <c r="G1581" s="22">
        <v>38.15</v>
      </c>
      <c r="H1581" s="22">
        <v>27.99</v>
      </c>
      <c r="I1581" s="20" t="s">
        <v>45</v>
      </c>
      <c r="J1581" s="20">
        <v>5</v>
      </c>
      <c r="K1581" s="20" t="s">
        <v>46</v>
      </c>
      <c r="L1581" s="23">
        <f t="shared" si="179"/>
        <v>45809</v>
      </c>
      <c r="M1581" s="20">
        <f t="shared" si="180"/>
        <v>17</v>
      </c>
      <c r="N1581" s="20">
        <f t="shared" si="181"/>
        <v>0</v>
      </c>
      <c r="O1581" s="20">
        <f t="shared" si="182"/>
        <v>1</v>
      </c>
      <c r="P1581" s="22">
        <f t="shared" si="183"/>
        <v>66.14</v>
      </c>
      <c r="Q1581" s="22">
        <f>G1581*INDEX(Assumptions!$B$8:$B$16,MATCH(F1581,Assumptions!$A$8:$A$16,0))</f>
        <v>24.416</v>
      </c>
      <c r="R1581" s="22">
        <f>H1581*Assumptions!$B$3</f>
        <v>16.793999999999997</v>
      </c>
      <c r="S1581" s="22">
        <f t="shared" si="184"/>
        <v>-3.0599999999999987</v>
      </c>
      <c r="T1581" s="20" t="str">
        <f t="shared" si="185"/>
        <v>15-21 days</v>
      </c>
    </row>
    <row r="1582" spans="1:20" x14ac:dyDescent="0.3">
      <c r="A1582" s="20" t="s">
        <v>1648</v>
      </c>
      <c r="B1582" s="20" t="s">
        <v>55</v>
      </c>
      <c r="C1582" s="21">
        <v>45827</v>
      </c>
      <c r="D1582" s="21">
        <v>45852</v>
      </c>
      <c r="E1582" s="21">
        <v>45852</v>
      </c>
      <c r="F1582" s="20" t="s">
        <v>49</v>
      </c>
      <c r="G1582" s="22">
        <v>184.19</v>
      </c>
      <c r="H1582" s="22">
        <v>23.89</v>
      </c>
      <c r="I1582" s="20" t="s">
        <v>45</v>
      </c>
      <c r="J1582" s="20">
        <v>3</v>
      </c>
      <c r="K1582" s="20" t="s">
        <v>46</v>
      </c>
      <c r="L1582" s="23">
        <f t="shared" si="179"/>
        <v>45809</v>
      </c>
      <c r="M1582" s="20">
        <f t="shared" si="180"/>
        <v>25</v>
      </c>
      <c r="N1582" s="20">
        <f t="shared" si="181"/>
        <v>0</v>
      </c>
      <c r="O1582" s="20">
        <f t="shared" si="182"/>
        <v>1</v>
      </c>
      <c r="P1582" s="22">
        <f t="shared" si="183"/>
        <v>208.07999999999998</v>
      </c>
      <c r="Q1582" s="22">
        <f>G1582*INDEX(Assumptions!$B$8:$B$16,MATCH(F1582,Assumptions!$A$8:$A$16,0))</f>
        <v>106.83019999999999</v>
      </c>
      <c r="R1582" s="22">
        <f>H1582*Assumptions!$B$3</f>
        <v>14.334</v>
      </c>
      <c r="S1582" s="22">
        <f t="shared" si="184"/>
        <v>63.025800000000004</v>
      </c>
      <c r="T1582" s="20" t="str">
        <f t="shared" si="185"/>
        <v>22+ days</v>
      </c>
    </row>
    <row r="1583" spans="1:20" x14ac:dyDescent="0.3">
      <c r="A1583" s="20" t="s">
        <v>1649</v>
      </c>
      <c r="B1583" s="20" t="s">
        <v>19</v>
      </c>
      <c r="C1583" s="21">
        <v>45827</v>
      </c>
      <c r="D1583" s="21">
        <v>45833</v>
      </c>
      <c r="E1583" s="21">
        <v>45843</v>
      </c>
      <c r="F1583" s="20" t="s">
        <v>79</v>
      </c>
      <c r="G1583" s="22">
        <v>62.1</v>
      </c>
      <c r="H1583" s="22">
        <v>21.98</v>
      </c>
      <c r="I1583" s="20" t="s">
        <v>45</v>
      </c>
      <c r="J1583" s="20">
        <v>5</v>
      </c>
      <c r="K1583" s="20" t="s">
        <v>46</v>
      </c>
      <c r="L1583" s="23">
        <f t="shared" si="179"/>
        <v>45809</v>
      </c>
      <c r="M1583" s="20">
        <f t="shared" si="180"/>
        <v>6</v>
      </c>
      <c r="N1583" s="20">
        <f t="shared" si="181"/>
        <v>0</v>
      </c>
      <c r="O1583" s="20">
        <f t="shared" si="182"/>
        <v>1</v>
      </c>
      <c r="P1583" s="22">
        <f t="shared" si="183"/>
        <v>84.08</v>
      </c>
      <c r="Q1583" s="22">
        <f>G1583*INDEX(Assumptions!$B$8:$B$16,MATCH(F1583,Assumptions!$A$8:$A$16,0))</f>
        <v>43.47</v>
      </c>
      <c r="R1583" s="22">
        <f>H1583*Assumptions!$B$3</f>
        <v>13.188000000000001</v>
      </c>
      <c r="S1583" s="22">
        <f t="shared" si="184"/>
        <v>5.4420000000000019</v>
      </c>
      <c r="T1583" s="20" t="str">
        <f t="shared" si="185"/>
        <v>0-7 days</v>
      </c>
    </row>
    <row r="1584" spans="1:20" x14ac:dyDescent="0.3">
      <c r="A1584" s="20" t="s">
        <v>1650</v>
      </c>
      <c r="B1584" s="20" t="s">
        <v>134</v>
      </c>
      <c r="C1584" s="21">
        <v>45827</v>
      </c>
      <c r="D1584" s="21">
        <v>45837</v>
      </c>
      <c r="E1584" s="21">
        <v>45850</v>
      </c>
      <c r="F1584" s="20" t="s">
        <v>59</v>
      </c>
      <c r="G1584" s="22">
        <v>67.84</v>
      </c>
      <c r="H1584" s="22">
        <v>26.71</v>
      </c>
      <c r="I1584" s="20" t="s">
        <v>45</v>
      </c>
      <c r="J1584" s="20">
        <v>4</v>
      </c>
      <c r="K1584" s="20" t="s">
        <v>46</v>
      </c>
      <c r="L1584" s="23">
        <f t="shared" si="179"/>
        <v>45809</v>
      </c>
      <c r="M1584" s="20">
        <f t="shared" si="180"/>
        <v>10</v>
      </c>
      <c r="N1584" s="20">
        <f t="shared" si="181"/>
        <v>0</v>
      </c>
      <c r="O1584" s="20">
        <f t="shared" si="182"/>
        <v>1</v>
      </c>
      <c r="P1584" s="22">
        <f t="shared" si="183"/>
        <v>94.550000000000011</v>
      </c>
      <c r="Q1584" s="22">
        <f>G1584*INDEX(Assumptions!$B$8:$B$16,MATCH(F1584,Assumptions!$A$8:$A$16,0))</f>
        <v>43.4176</v>
      </c>
      <c r="R1584" s="22">
        <f>H1584*Assumptions!$B$3</f>
        <v>16.026</v>
      </c>
      <c r="S1584" s="22">
        <f t="shared" si="184"/>
        <v>8.3964000000000034</v>
      </c>
      <c r="T1584" s="20" t="str">
        <f t="shared" si="185"/>
        <v>8-14 days</v>
      </c>
    </row>
    <row r="1585" spans="1:20" x14ac:dyDescent="0.3">
      <c r="A1585" s="20" t="s">
        <v>1651</v>
      </c>
      <c r="B1585" s="20" t="s">
        <v>93</v>
      </c>
      <c r="C1585" s="21">
        <v>45827</v>
      </c>
      <c r="D1585" s="21">
        <v>45843</v>
      </c>
      <c r="E1585" s="21">
        <v>45855</v>
      </c>
      <c r="F1585" s="20" t="s">
        <v>49</v>
      </c>
      <c r="G1585" s="22">
        <v>132.07</v>
      </c>
      <c r="H1585" s="22">
        <v>41</v>
      </c>
      <c r="I1585" s="20" t="s">
        <v>60</v>
      </c>
      <c r="J1585" s="20">
        <v>3</v>
      </c>
      <c r="K1585" s="20" t="s">
        <v>46</v>
      </c>
      <c r="L1585" s="23">
        <f t="shared" si="179"/>
        <v>45809</v>
      </c>
      <c r="M1585" s="20">
        <f t="shared" si="180"/>
        <v>16</v>
      </c>
      <c r="N1585" s="20">
        <f t="shared" si="181"/>
        <v>0</v>
      </c>
      <c r="O1585" s="20">
        <f t="shared" si="182"/>
        <v>1</v>
      </c>
      <c r="P1585" s="22">
        <f t="shared" si="183"/>
        <v>173.07</v>
      </c>
      <c r="Q1585" s="22">
        <f>G1585*INDEX(Assumptions!$B$8:$B$16,MATCH(F1585,Assumptions!$A$8:$A$16,0))</f>
        <v>76.600599999999986</v>
      </c>
      <c r="R1585" s="22">
        <f>H1585*Assumptions!$B$3</f>
        <v>24.599999999999998</v>
      </c>
      <c r="S1585" s="22">
        <f t="shared" si="184"/>
        <v>30.869400000000009</v>
      </c>
      <c r="T1585" s="20" t="str">
        <f t="shared" si="185"/>
        <v>15-21 days</v>
      </c>
    </row>
    <row r="1586" spans="1:20" x14ac:dyDescent="0.3">
      <c r="A1586" s="20" t="s">
        <v>1652</v>
      </c>
      <c r="B1586" s="20" t="s">
        <v>134</v>
      </c>
      <c r="C1586" s="21">
        <v>45828</v>
      </c>
      <c r="D1586" s="21">
        <v>45851</v>
      </c>
      <c r="E1586" s="21">
        <v>45852</v>
      </c>
      <c r="F1586" s="20" t="s">
        <v>53</v>
      </c>
      <c r="G1586" s="22">
        <v>196.6</v>
      </c>
      <c r="H1586" s="22">
        <v>20.78</v>
      </c>
      <c r="I1586" s="20" t="s">
        <v>45</v>
      </c>
      <c r="J1586" s="20">
        <v>4</v>
      </c>
      <c r="K1586" s="20" t="s">
        <v>46</v>
      </c>
      <c r="L1586" s="23">
        <f t="shared" si="179"/>
        <v>45809</v>
      </c>
      <c r="M1586" s="20">
        <f t="shared" si="180"/>
        <v>23</v>
      </c>
      <c r="N1586" s="20">
        <f t="shared" si="181"/>
        <v>0</v>
      </c>
      <c r="O1586" s="20">
        <f t="shared" si="182"/>
        <v>1</v>
      </c>
      <c r="P1586" s="22">
        <f t="shared" si="183"/>
        <v>217.38</v>
      </c>
      <c r="Q1586" s="22">
        <f>G1586*INDEX(Assumptions!$B$8:$B$16,MATCH(F1586,Assumptions!$A$8:$A$16,0))</f>
        <v>145.48399999999998</v>
      </c>
      <c r="R1586" s="22">
        <f>H1586*Assumptions!$B$3</f>
        <v>12.468</v>
      </c>
      <c r="S1586" s="22">
        <f t="shared" si="184"/>
        <v>38.64800000000001</v>
      </c>
      <c r="T1586" s="20" t="str">
        <f t="shared" si="185"/>
        <v>22+ days</v>
      </c>
    </row>
    <row r="1587" spans="1:20" x14ac:dyDescent="0.3">
      <c r="A1587" s="20" t="s">
        <v>1653</v>
      </c>
      <c r="B1587" s="20" t="s">
        <v>19</v>
      </c>
      <c r="C1587" s="21">
        <v>45828</v>
      </c>
      <c r="D1587" s="21">
        <v>45833</v>
      </c>
      <c r="E1587" s="21">
        <v>45844</v>
      </c>
      <c r="F1587" s="20" t="s">
        <v>79</v>
      </c>
      <c r="G1587" s="22">
        <v>36.700000000000003</v>
      </c>
      <c r="H1587" s="22">
        <v>20.92</v>
      </c>
      <c r="I1587" s="20" t="s">
        <v>45</v>
      </c>
      <c r="J1587" s="20">
        <v>3</v>
      </c>
      <c r="K1587" s="20" t="s">
        <v>46</v>
      </c>
      <c r="L1587" s="23">
        <f t="shared" si="179"/>
        <v>45809</v>
      </c>
      <c r="M1587" s="20">
        <f t="shared" si="180"/>
        <v>5</v>
      </c>
      <c r="N1587" s="20">
        <f t="shared" si="181"/>
        <v>0</v>
      </c>
      <c r="O1587" s="20">
        <f t="shared" si="182"/>
        <v>1</v>
      </c>
      <c r="P1587" s="22">
        <f t="shared" si="183"/>
        <v>57.620000000000005</v>
      </c>
      <c r="Q1587" s="22">
        <f>G1587*INDEX(Assumptions!$B$8:$B$16,MATCH(F1587,Assumptions!$A$8:$A$16,0))</f>
        <v>25.69</v>
      </c>
      <c r="R1587" s="22">
        <f>H1587*Assumptions!$B$3</f>
        <v>12.552000000000001</v>
      </c>
      <c r="S1587" s="22">
        <f t="shared" si="184"/>
        <v>-1.5419999999999998</v>
      </c>
      <c r="T1587" s="20" t="str">
        <f t="shared" si="185"/>
        <v>0-7 days</v>
      </c>
    </row>
    <row r="1588" spans="1:20" x14ac:dyDescent="0.3">
      <c r="A1588" s="20" t="s">
        <v>1654</v>
      </c>
      <c r="B1588" s="20" t="s">
        <v>19</v>
      </c>
      <c r="C1588" s="21">
        <v>45828</v>
      </c>
      <c r="D1588" s="21">
        <v>45837</v>
      </c>
      <c r="E1588" s="21">
        <v>45845</v>
      </c>
      <c r="F1588" s="20" t="s">
        <v>79</v>
      </c>
      <c r="G1588" s="22">
        <v>53.73</v>
      </c>
      <c r="H1588" s="22">
        <v>12.55</v>
      </c>
      <c r="I1588" s="20" t="s">
        <v>45</v>
      </c>
      <c r="J1588" s="20">
        <v>5</v>
      </c>
      <c r="K1588" s="20" t="s">
        <v>46</v>
      </c>
      <c r="L1588" s="23">
        <f t="shared" si="179"/>
        <v>45809</v>
      </c>
      <c r="M1588" s="20">
        <f t="shared" si="180"/>
        <v>9</v>
      </c>
      <c r="N1588" s="20">
        <f t="shared" si="181"/>
        <v>0</v>
      </c>
      <c r="O1588" s="20">
        <f t="shared" si="182"/>
        <v>1</v>
      </c>
      <c r="P1588" s="22">
        <f t="shared" si="183"/>
        <v>66.28</v>
      </c>
      <c r="Q1588" s="22">
        <f>G1588*INDEX(Assumptions!$B$8:$B$16,MATCH(F1588,Assumptions!$A$8:$A$16,0))</f>
        <v>37.610999999999997</v>
      </c>
      <c r="R1588" s="22">
        <f>H1588*Assumptions!$B$3</f>
        <v>7.53</v>
      </c>
      <c r="S1588" s="22">
        <f t="shared" si="184"/>
        <v>8.5889999999999986</v>
      </c>
      <c r="T1588" s="20" t="str">
        <f t="shared" si="185"/>
        <v>8-14 days</v>
      </c>
    </row>
    <row r="1589" spans="1:20" x14ac:dyDescent="0.3">
      <c r="A1589" s="20" t="s">
        <v>1655</v>
      </c>
      <c r="B1589" s="20" t="s">
        <v>19</v>
      </c>
      <c r="C1589" s="21">
        <v>45828</v>
      </c>
      <c r="D1589" s="21">
        <v>45835</v>
      </c>
      <c r="E1589" s="21">
        <v>45843</v>
      </c>
      <c r="F1589" s="20" t="s">
        <v>67</v>
      </c>
      <c r="G1589" s="22">
        <v>119.4</v>
      </c>
      <c r="H1589" s="22">
        <v>15.4</v>
      </c>
      <c r="I1589" s="20" t="s">
        <v>45</v>
      </c>
      <c r="J1589" s="20">
        <v>5</v>
      </c>
      <c r="K1589" s="20" t="s">
        <v>46</v>
      </c>
      <c r="L1589" s="23">
        <f t="shared" si="179"/>
        <v>45809</v>
      </c>
      <c r="M1589" s="20">
        <f t="shared" si="180"/>
        <v>7</v>
      </c>
      <c r="N1589" s="20">
        <f t="shared" si="181"/>
        <v>0</v>
      </c>
      <c r="O1589" s="20">
        <f t="shared" si="182"/>
        <v>1</v>
      </c>
      <c r="P1589" s="22">
        <f t="shared" si="183"/>
        <v>134.80000000000001</v>
      </c>
      <c r="Q1589" s="22">
        <f>G1589*INDEX(Assumptions!$B$8:$B$16,MATCH(F1589,Assumptions!$A$8:$A$16,0))</f>
        <v>74.028000000000006</v>
      </c>
      <c r="R1589" s="22">
        <f>H1589*Assumptions!$B$3</f>
        <v>9.24</v>
      </c>
      <c r="S1589" s="22">
        <f t="shared" si="184"/>
        <v>36.131999999999998</v>
      </c>
      <c r="T1589" s="20" t="str">
        <f t="shared" si="185"/>
        <v>0-7 days</v>
      </c>
    </row>
    <row r="1590" spans="1:20" x14ac:dyDescent="0.3">
      <c r="A1590" s="20" t="s">
        <v>1656</v>
      </c>
      <c r="B1590" s="20" t="s">
        <v>62</v>
      </c>
      <c r="C1590" s="21">
        <v>45828</v>
      </c>
      <c r="D1590" s="21">
        <v>45851</v>
      </c>
      <c r="E1590" s="21">
        <v>45848</v>
      </c>
      <c r="F1590" s="20" t="s">
        <v>57</v>
      </c>
      <c r="G1590" s="22">
        <v>452.84</v>
      </c>
      <c r="H1590" s="22">
        <v>34.49</v>
      </c>
      <c r="I1590" s="20" t="s">
        <v>45</v>
      </c>
      <c r="J1590" s="20">
        <v>2</v>
      </c>
      <c r="K1590" s="20" t="s">
        <v>46</v>
      </c>
      <c r="L1590" s="23">
        <f t="shared" si="179"/>
        <v>45809</v>
      </c>
      <c r="M1590" s="20">
        <f t="shared" si="180"/>
        <v>23</v>
      </c>
      <c r="N1590" s="20">
        <f t="shared" si="181"/>
        <v>3</v>
      </c>
      <c r="O1590" s="20">
        <f t="shared" si="182"/>
        <v>0</v>
      </c>
      <c r="P1590" s="22">
        <f t="shared" si="183"/>
        <v>487.33</v>
      </c>
      <c r="Q1590" s="22">
        <f>G1590*INDEX(Assumptions!$B$8:$B$16,MATCH(F1590,Assumptions!$A$8:$A$16,0))</f>
        <v>307.93119999999999</v>
      </c>
      <c r="R1590" s="22">
        <f>H1590*Assumptions!$B$3</f>
        <v>20.693999999999999</v>
      </c>
      <c r="S1590" s="22">
        <f t="shared" si="184"/>
        <v>124.21479999999998</v>
      </c>
      <c r="T1590" s="20" t="str">
        <f t="shared" si="185"/>
        <v>22+ days</v>
      </c>
    </row>
    <row r="1591" spans="1:20" x14ac:dyDescent="0.3">
      <c r="A1591" s="20" t="s">
        <v>1657</v>
      </c>
      <c r="B1591" s="20" t="s">
        <v>52</v>
      </c>
      <c r="C1591" s="21">
        <v>45829</v>
      </c>
      <c r="D1591" s="21">
        <v>45848</v>
      </c>
      <c r="E1591" s="21">
        <v>45854</v>
      </c>
      <c r="F1591" s="20" t="s">
        <v>59</v>
      </c>
      <c r="G1591" s="22">
        <v>118.12</v>
      </c>
      <c r="H1591" s="22">
        <v>19.03</v>
      </c>
      <c r="I1591" s="20" t="s">
        <v>50</v>
      </c>
      <c r="J1591" s="20">
        <v>4</v>
      </c>
      <c r="K1591" s="20" t="s">
        <v>46</v>
      </c>
      <c r="L1591" s="23">
        <f t="shared" si="179"/>
        <v>45809</v>
      </c>
      <c r="M1591" s="20">
        <f t="shared" si="180"/>
        <v>19</v>
      </c>
      <c r="N1591" s="20">
        <f t="shared" si="181"/>
        <v>0</v>
      </c>
      <c r="O1591" s="20">
        <f t="shared" si="182"/>
        <v>1</v>
      </c>
      <c r="P1591" s="22">
        <f t="shared" si="183"/>
        <v>137.15</v>
      </c>
      <c r="Q1591" s="22">
        <f>G1591*INDEX(Assumptions!$B$8:$B$16,MATCH(F1591,Assumptions!$A$8:$A$16,0))</f>
        <v>75.596800000000002</v>
      </c>
      <c r="R1591" s="22">
        <f>H1591*Assumptions!$B$3</f>
        <v>11.418000000000001</v>
      </c>
      <c r="S1591" s="22">
        <f t="shared" si="184"/>
        <v>31.105200000000004</v>
      </c>
      <c r="T1591" s="20" t="str">
        <f t="shared" si="185"/>
        <v>15-21 days</v>
      </c>
    </row>
    <row r="1592" spans="1:20" x14ac:dyDescent="0.3">
      <c r="A1592" s="20" t="s">
        <v>1658</v>
      </c>
      <c r="B1592" s="20" t="s">
        <v>19</v>
      </c>
      <c r="C1592" s="21">
        <v>45829</v>
      </c>
      <c r="D1592" s="21">
        <v>45838</v>
      </c>
      <c r="E1592" s="21">
        <v>45846</v>
      </c>
      <c r="F1592" s="20" t="s">
        <v>111</v>
      </c>
      <c r="G1592" s="22">
        <v>70.67</v>
      </c>
      <c r="H1592" s="22">
        <v>19.39</v>
      </c>
      <c r="I1592" s="20" t="s">
        <v>45</v>
      </c>
      <c r="J1592" s="20">
        <v>4</v>
      </c>
      <c r="K1592" s="20" t="s">
        <v>46</v>
      </c>
      <c r="L1592" s="23">
        <f t="shared" si="179"/>
        <v>45809</v>
      </c>
      <c r="M1592" s="20">
        <f t="shared" si="180"/>
        <v>9</v>
      </c>
      <c r="N1592" s="20">
        <f t="shared" si="181"/>
        <v>0</v>
      </c>
      <c r="O1592" s="20">
        <f t="shared" si="182"/>
        <v>1</v>
      </c>
      <c r="P1592" s="22">
        <f t="shared" si="183"/>
        <v>90.06</v>
      </c>
      <c r="Q1592" s="22">
        <f>G1592*INDEX(Assumptions!$B$8:$B$16,MATCH(F1592,Assumptions!$A$8:$A$16,0))</f>
        <v>44.522100000000002</v>
      </c>
      <c r="R1592" s="22">
        <f>H1592*Assumptions!$B$3</f>
        <v>11.634</v>
      </c>
      <c r="S1592" s="22">
        <f t="shared" si="184"/>
        <v>14.5139</v>
      </c>
      <c r="T1592" s="20" t="str">
        <f t="shared" si="185"/>
        <v>8-14 days</v>
      </c>
    </row>
    <row r="1593" spans="1:20" x14ac:dyDescent="0.3">
      <c r="A1593" s="20" t="s">
        <v>1659</v>
      </c>
      <c r="B1593" s="20" t="s">
        <v>19</v>
      </c>
      <c r="C1593" s="21">
        <v>45829</v>
      </c>
      <c r="D1593" s="21">
        <v>45844</v>
      </c>
      <c r="E1593" s="21">
        <v>45844</v>
      </c>
      <c r="F1593" s="20" t="s">
        <v>111</v>
      </c>
      <c r="G1593" s="22">
        <v>67.91</v>
      </c>
      <c r="H1593" s="22">
        <v>14.43</v>
      </c>
      <c r="I1593" s="20" t="s">
        <v>45</v>
      </c>
      <c r="J1593" s="20">
        <v>5</v>
      </c>
      <c r="K1593" s="20" t="s">
        <v>46</v>
      </c>
      <c r="L1593" s="23">
        <f t="shared" si="179"/>
        <v>45809</v>
      </c>
      <c r="M1593" s="20">
        <f t="shared" si="180"/>
        <v>15</v>
      </c>
      <c r="N1593" s="20">
        <f t="shared" si="181"/>
        <v>0</v>
      </c>
      <c r="O1593" s="20">
        <f t="shared" si="182"/>
        <v>1</v>
      </c>
      <c r="P1593" s="22">
        <f t="shared" si="183"/>
        <v>82.34</v>
      </c>
      <c r="Q1593" s="22">
        <f>G1593*INDEX(Assumptions!$B$8:$B$16,MATCH(F1593,Assumptions!$A$8:$A$16,0))</f>
        <v>42.783299999999997</v>
      </c>
      <c r="R1593" s="22">
        <f>H1593*Assumptions!$B$3</f>
        <v>8.6579999999999995</v>
      </c>
      <c r="S1593" s="22">
        <f t="shared" si="184"/>
        <v>16.468699999999998</v>
      </c>
      <c r="T1593" s="20" t="str">
        <f t="shared" si="185"/>
        <v>15-21 days</v>
      </c>
    </row>
    <row r="1594" spans="1:20" x14ac:dyDescent="0.3">
      <c r="A1594" s="20" t="s">
        <v>1660</v>
      </c>
      <c r="B1594" s="20" t="s">
        <v>19</v>
      </c>
      <c r="C1594" s="21">
        <v>45829</v>
      </c>
      <c r="D1594" s="21">
        <v>45836</v>
      </c>
      <c r="E1594" s="21">
        <v>45844</v>
      </c>
      <c r="F1594" s="20" t="s">
        <v>49</v>
      </c>
      <c r="G1594" s="22">
        <v>58.01</v>
      </c>
      <c r="H1594" s="22">
        <v>17.809999999999999</v>
      </c>
      <c r="I1594" s="20" t="s">
        <v>45</v>
      </c>
      <c r="J1594" s="20">
        <v>5</v>
      </c>
      <c r="K1594" s="20" t="s">
        <v>46</v>
      </c>
      <c r="L1594" s="23">
        <f t="shared" si="179"/>
        <v>45809</v>
      </c>
      <c r="M1594" s="20">
        <f t="shared" si="180"/>
        <v>7</v>
      </c>
      <c r="N1594" s="20">
        <f t="shared" si="181"/>
        <v>0</v>
      </c>
      <c r="O1594" s="20">
        <f t="shared" si="182"/>
        <v>1</v>
      </c>
      <c r="P1594" s="22">
        <f t="shared" si="183"/>
        <v>75.819999999999993</v>
      </c>
      <c r="Q1594" s="22">
        <f>G1594*INDEX(Assumptions!$B$8:$B$16,MATCH(F1594,Assumptions!$A$8:$A$16,0))</f>
        <v>33.645799999999994</v>
      </c>
      <c r="R1594" s="22">
        <f>H1594*Assumptions!$B$3</f>
        <v>10.685999999999998</v>
      </c>
      <c r="S1594" s="22">
        <f t="shared" si="184"/>
        <v>13.678200000000006</v>
      </c>
      <c r="T1594" s="20" t="str">
        <f t="shared" si="185"/>
        <v>0-7 days</v>
      </c>
    </row>
    <row r="1595" spans="1:20" x14ac:dyDescent="0.3">
      <c r="A1595" s="20" t="s">
        <v>1661</v>
      </c>
      <c r="B1595" s="20" t="s">
        <v>52</v>
      </c>
      <c r="C1595" s="21">
        <v>45829</v>
      </c>
      <c r="D1595" s="21">
        <v>45837</v>
      </c>
      <c r="E1595" s="21">
        <v>45855</v>
      </c>
      <c r="F1595" s="20" t="s">
        <v>64</v>
      </c>
      <c r="G1595" s="22">
        <v>430.02</v>
      </c>
      <c r="H1595" s="22">
        <v>35.44</v>
      </c>
      <c r="I1595" s="20" t="s">
        <v>45</v>
      </c>
      <c r="J1595" s="20">
        <v>4</v>
      </c>
      <c r="K1595" s="20" t="s">
        <v>46</v>
      </c>
      <c r="L1595" s="23">
        <f t="shared" si="179"/>
        <v>45809</v>
      </c>
      <c r="M1595" s="20">
        <f t="shared" si="180"/>
        <v>8</v>
      </c>
      <c r="N1595" s="20">
        <f t="shared" si="181"/>
        <v>0</v>
      </c>
      <c r="O1595" s="20">
        <f t="shared" si="182"/>
        <v>1</v>
      </c>
      <c r="P1595" s="22">
        <f t="shared" si="183"/>
        <v>465.46</v>
      </c>
      <c r="Q1595" s="22">
        <f>G1595*INDEX(Assumptions!$B$8:$B$16,MATCH(F1595,Assumptions!$A$8:$A$16,0))</f>
        <v>283.81319999999999</v>
      </c>
      <c r="R1595" s="22">
        <f>H1595*Assumptions!$B$3</f>
        <v>21.263999999999999</v>
      </c>
      <c r="S1595" s="22">
        <f t="shared" si="184"/>
        <v>124.94279999999999</v>
      </c>
      <c r="T1595" s="20" t="str">
        <f t="shared" si="185"/>
        <v>8-14 days</v>
      </c>
    </row>
    <row r="1596" spans="1:20" x14ac:dyDescent="0.3">
      <c r="A1596" s="20" t="s">
        <v>1662</v>
      </c>
      <c r="B1596" s="20" t="s">
        <v>62</v>
      </c>
      <c r="C1596" s="21">
        <v>45829</v>
      </c>
      <c r="D1596" s="21">
        <v>45841</v>
      </c>
      <c r="E1596" s="21">
        <v>45850</v>
      </c>
      <c r="F1596" s="20" t="s">
        <v>49</v>
      </c>
      <c r="G1596" s="22">
        <v>71.040000000000006</v>
      </c>
      <c r="H1596" s="22">
        <v>27.51</v>
      </c>
      <c r="I1596" s="20" t="s">
        <v>60</v>
      </c>
      <c r="J1596" s="20">
        <v>5</v>
      </c>
      <c r="K1596" s="20" t="s">
        <v>46</v>
      </c>
      <c r="L1596" s="23">
        <f t="shared" si="179"/>
        <v>45809</v>
      </c>
      <c r="M1596" s="20">
        <f t="shared" si="180"/>
        <v>12</v>
      </c>
      <c r="N1596" s="20">
        <f t="shared" si="181"/>
        <v>0</v>
      </c>
      <c r="O1596" s="20">
        <f t="shared" si="182"/>
        <v>1</v>
      </c>
      <c r="P1596" s="22">
        <f t="shared" si="183"/>
        <v>98.550000000000011</v>
      </c>
      <c r="Q1596" s="22">
        <f>G1596*INDEX(Assumptions!$B$8:$B$16,MATCH(F1596,Assumptions!$A$8:$A$16,0))</f>
        <v>41.203200000000002</v>
      </c>
      <c r="R1596" s="22">
        <f>H1596*Assumptions!$B$3</f>
        <v>16.506</v>
      </c>
      <c r="S1596" s="22">
        <f t="shared" si="184"/>
        <v>13.330800000000004</v>
      </c>
      <c r="T1596" s="20" t="str">
        <f t="shared" si="185"/>
        <v>8-14 days</v>
      </c>
    </row>
    <row r="1597" spans="1:20" x14ac:dyDescent="0.3">
      <c r="A1597" s="20" t="s">
        <v>1663</v>
      </c>
      <c r="B1597" s="20" t="s">
        <v>19</v>
      </c>
      <c r="C1597" s="21">
        <v>45829</v>
      </c>
      <c r="D1597" s="21">
        <v>45833</v>
      </c>
      <c r="E1597" s="21">
        <v>45841</v>
      </c>
      <c r="F1597" s="20" t="s">
        <v>111</v>
      </c>
      <c r="G1597" s="22">
        <v>60.4</v>
      </c>
      <c r="H1597" s="22">
        <v>13.98</v>
      </c>
      <c r="I1597" s="20" t="s">
        <v>60</v>
      </c>
      <c r="J1597" s="20">
        <v>5</v>
      </c>
      <c r="K1597" s="20" t="s">
        <v>46</v>
      </c>
      <c r="L1597" s="23">
        <f t="shared" si="179"/>
        <v>45809</v>
      </c>
      <c r="M1597" s="20">
        <f t="shared" si="180"/>
        <v>4</v>
      </c>
      <c r="N1597" s="20">
        <f t="shared" si="181"/>
        <v>0</v>
      </c>
      <c r="O1597" s="20">
        <f t="shared" si="182"/>
        <v>1</v>
      </c>
      <c r="P1597" s="22">
        <f t="shared" si="183"/>
        <v>74.38</v>
      </c>
      <c r="Q1597" s="22">
        <f>G1597*INDEX(Assumptions!$B$8:$B$16,MATCH(F1597,Assumptions!$A$8:$A$16,0))</f>
        <v>38.052</v>
      </c>
      <c r="R1597" s="22">
        <f>H1597*Assumptions!$B$3</f>
        <v>8.3879999999999999</v>
      </c>
      <c r="S1597" s="22">
        <f t="shared" si="184"/>
        <v>13.959999999999999</v>
      </c>
      <c r="T1597" s="20" t="str">
        <f t="shared" si="185"/>
        <v>0-7 days</v>
      </c>
    </row>
    <row r="1598" spans="1:20" x14ac:dyDescent="0.3">
      <c r="A1598" s="20" t="s">
        <v>1664</v>
      </c>
      <c r="B1598" s="20" t="s">
        <v>19</v>
      </c>
      <c r="C1598" s="21">
        <v>45829</v>
      </c>
      <c r="D1598" s="21">
        <v>45832</v>
      </c>
      <c r="E1598" s="21">
        <v>45843</v>
      </c>
      <c r="F1598" s="20" t="s">
        <v>53</v>
      </c>
      <c r="G1598" s="22">
        <v>77.989999999999995</v>
      </c>
      <c r="H1598" s="22">
        <v>20.67</v>
      </c>
      <c r="I1598" s="20" t="s">
        <v>60</v>
      </c>
      <c r="J1598" s="20">
        <v>5</v>
      </c>
      <c r="K1598" s="20" t="s">
        <v>46</v>
      </c>
      <c r="L1598" s="23">
        <f t="shared" si="179"/>
        <v>45809</v>
      </c>
      <c r="M1598" s="20">
        <f t="shared" si="180"/>
        <v>3</v>
      </c>
      <c r="N1598" s="20">
        <f t="shared" si="181"/>
        <v>0</v>
      </c>
      <c r="O1598" s="20">
        <f t="shared" si="182"/>
        <v>1</v>
      </c>
      <c r="P1598" s="22">
        <f t="shared" si="183"/>
        <v>98.66</v>
      </c>
      <c r="Q1598" s="22">
        <f>G1598*INDEX(Assumptions!$B$8:$B$16,MATCH(F1598,Assumptions!$A$8:$A$16,0))</f>
        <v>57.712599999999995</v>
      </c>
      <c r="R1598" s="22">
        <f>H1598*Assumptions!$B$3</f>
        <v>12.402000000000001</v>
      </c>
      <c r="S1598" s="22">
        <f t="shared" si="184"/>
        <v>7.8753999999999991</v>
      </c>
      <c r="T1598" s="20" t="str">
        <f t="shared" si="185"/>
        <v>0-7 days</v>
      </c>
    </row>
    <row r="1599" spans="1:20" x14ac:dyDescent="0.3">
      <c r="A1599" s="20" t="s">
        <v>1665</v>
      </c>
      <c r="B1599" s="20" t="s">
        <v>52</v>
      </c>
      <c r="C1599" s="21">
        <v>45830</v>
      </c>
      <c r="D1599" s="21">
        <v>45848</v>
      </c>
      <c r="E1599" s="21">
        <v>45853</v>
      </c>
      <c r="F1599" s="20" t="s">
        <v>53</v>
      </c>
      <c r="G1599" s="22">
        <v>141.63999999999999</v>
      </c>
      <c r="H1599" s="22">
        <v>19.11</v>
      </c>
      <c r="I1599" s="20" t="s">
        <v>60</v>
      </c>
      <c r="J1599" s="20">
        <v>5</v>
      </c>
      <c r="K1599" s="20" t="s">
        <v>46</v>
      </c>
      <c r="L1599" s="23">
        <f t="shared" si="179"/>
        <v>45809</v>
      </c>
      <c r="M1599" s="20">
        <f t="shared" si="180"/>
        <v>18</v>
      </c>
      <c r="N1599" s="20">
        <f t="shared" si="181"/>
        <v>0</v>
      </c>
      <c r="O1599" s="20">
        <f t="shared" si="182"/>
        <v>1</v>
      </c>
      <c r="P1599" s="22">
        <f t="shared" si="183"/>
        <v>160.75</v>
      </c>
      <c r="Q1599" s="22">
        <f>G1599*INDEX(Assumptions!$B$8:$B$16,MATCH(F1599,Assumptions!$A$8:$A$16,0))</f>
        <v>104.81359999999999</v>
      </c>
      <c r="R1599" s="22">
        <f>H1599*Assumptions!$B$3</f>
        <v>11.465999999999999</v>
      </c>
      <c r="S1599" s="22">
        <f t="shared" si="184"/>
        <v>25.360399999999991</v>
      </c>
      <c r="T1599" s="20" t="str">
        <f t="shared" si="185"/>
        <v>15-21 days</v>
      </c>
    </row>
    <row r="1600" spans="1:20" x14ac:dyDescent="0.3">
      <c r="A1600" s="20" t="s">
        <v>1666</v>
      </c>
      <c r="B1600" s="20" t="s">
        <v>19</v>
      </c>
      <c r="C1600" s="21">
        <v>45830</v>
      </c>
      <c r="D1600" s="21">
        <v>45836</v>
      </c>
      <c r="E1600" s="21">
        <v>45848</v>
      </c>
      <c r="F1600" s="20" t="s">
        <v>79</v>
      </c>
      <c r="G1600" s="22">
        <v>51.32</v>
      </c>
      <c r="H1600" s="22">
        <v>13.73</v>
      </c>
      <c r="I1600" s="20" t="s">
        <v>60</v>
      </c>
      <c r="J1600" s="20">
        <v>3</v>
      </c>
      <c r="K1600" s="20" t="s">
        <v>46</v>
      </c>
      <c r="L1600" s="23">
        <f t="shared" si="179"/>
        <v>45809</v>
      </c>
      <c r="M1600" s="20">
        <f t="shared" si="180"/>
        <v>6</v>
      </c>
      <c r="N1600" s="20">
        <f t="shared" si="181"/>
        <v>0</v>
      </c>
      <c r="O1600" s="20">
        <f t="shared" si="182"/>
        <v>1</v>
      </c>
      <c r="P1600" s="22">
        <f t="shared" si="183"/>
        <v>65.05</v>
      </c>
      <c r="Q1600" s="22">
        <f>G1600*INDEX(Assumptions!$B$8:$B$16,MATCH(F1600,Assumptions!$A$8:$A$16,0))</f>
        <v>35.923999999999999</v>
      </c>
      <c r="R1600" s="22">
        <f>H1600*Assumptions!$B$3</f>
        <v>8.2379999999999995</v>
      </c>
      <c r="S1600" s="22">
        <f t="shared" si="184"/>
        <v>7.1580000000000013</v>
      </c>
      <c r="T1600" s="20" t="str">
        <f t="shared" si="185"/>
        <v>0-7 days</v>
      </c>
    </row>
    <row r="1601" spans="1:20" x14ac:dyDescent="0.3">
      <c r="A1601" s="20" t="s">
        <v>1667</v>
      </c>
      <c r="B1601" s="20" t="s">
        <v>19</v>
      </c>
      <c r="C1601" s="21">
        <v>45830</v>
      </c>
      <c r="D1601" s="21">
        <v>45835</v>
      </c>
      <c r="E1601" s="21">
        <v>45846</v>
      </c>
      <c r="F1601" s="20" t="s">
        <v>79</v>
      </c>
      <c r="G1601" s="22">
        <v>124.68</v>
      </c>
      <c r="H1601" s="22">
        <v>22.26</v>
      </c>
      <c r="I1601" s="20" t="s">
        <v>45</v>
      </c>
      <c r="J1601" s="20">
        <v>4</v>
      </c>
      <c r="K1601" s="20" t="s">
        <v>46</v>
      </c>
      <c r="L1601" s="23">
        <f t="shared" si="179"/>
        <v>45809</v>
      </c>
      <c r="M1601" s="20">
        <f t="shared" si="180"/>
        <v>5</v>
      </c>
      <c r="N1601" s="20">
        <f t="shared" si="181"/>
        <v>0</v>
      </c>
      <c r="O1601" s="20">
        <f t="shared" si="182"/>
        <v>1</v>
      </c>
      <c r="P1601" s="22">
        <f t="shared" si="183"/>
        <v>146.94</v>
      </c>
      <c r="Q1601" s="22">
        <f>G1601*INDEX(Assumptions!$B$8:$B$16,MATCH(F1601,Assumptions!$A$8:$A$16,0))</f>
        <v>87.275999999999996</v>
      </c>
      <c r="R1601" s="22">
        <f>H1601*Assumptions!$B$3</f>
        <v>13.356</v>
      </c>
      <c r="S1601" s="22">
        <f t="shared" si="184"/>
        <v>24.048000000000009</v>
      </c>
      <c r="T1601" s="20" t="str">
        <f t="shared" si="185"/>
        <v>0-7 days</v>
      </c>
    </row>
    <row r="1602" spans="1:20" x14ac:dyDescent="0.3">
      <c r="A1602" s="20" t="s">
        <v>1668</v>
      </c>
      <c r="B1602" s="20" t="s">
        <v>62</v>
      </c>
      <c r="C1602" s="21">
        <v>45830</v>
      </c>
      <c r="D1602" s="21">
        <v>45836</v>
      </c>
      <c r="E1602" s="21">
        <v>45850</v>
      </c>
      <c r="F1602" s="20" t="s">
        <v>53</v>
      </c>
      <c r="G1602" s="22">
        <v>127.33</v>
      </c>
      <c r="H1602" s="22">
        <v>17.420000000000002</v>
      </c>
      <c r="I1602" s="20" t="s">
        <v>45</v>
      </c>
      <c r="J1602" s="20">
        <v>5</v>
      </c>
      <c r="K1602" s="20" t="s">
        <v>46</v>
      </c>
      <c r="L1602" s="23">
        <f t="shared" ref="L1602:L1665" si="186">DATE(YEAR(C1602),MONTH(C1602),1)</f>
        <v>45809</v>
      </c>
      <c r="M1602" s="20">
        <f t="shared" ref="M1602:M1665" si="187">D1602-C1602</f>
        <v>6</v>
      </c>
      <c r="N1602" s="20">
        <f t="shared" ref="N1602:N1665" si="188">MAX(0,D1602-E1602)</f>
        <v>0</v>
      </c>
      <c r="O1602" s="20">
        <f t="shared" ref="O1602:O1665" si="189">IF(D1602&lt;=E1602,1,0)</f>
        <v>1</v>
      </c>
      <c r="P1602" s="22">
        <f t="shared" ref="P1602:P1665" si="190">G1602+H1602</f>
        <v>144.75</v>
      </c>
      <c r="Q1602" s="22">
        <f>G1602*INDEX(Assumptions!$B$8:$B$16,MATCH(F1602,Assumptions!$A$8:$A$16,0))</f>
        <v>94.224199999999996</v>
      </c>
      <c r="R1602" s="22">
        <f>H1602*Assumptions!$B$3</f>
        <v>10.452</v>
      </c>
      <c r="S1602" s="22">
        <f t="shared" ref="S1602:S1665" si="191">G1602-Q1602-R1602</f>
        <v>22.653800000000004</v>
      </c>
      <c r="T1602" s="20" t="str">
        <f t="shared" ref="T1602:T1665" si="192">IF(M1602&lt;=7,"0-7 days",IF(M1602&lt;=14,"8-14 days",IF(M1602&lt;=21,"15-21 days","22+ days")))</f>
        <v>0-7 days</v>
      </c>
    </row>
    <row r="1603" spans="1:20" x14ac:dyDescent="0.3">
      <c r="A1603" s="20" t="s">
        <v>1669</v>
      </c>
      <c r="B1603" s="20" t="s">
        <v>48</v>
      </c>
      <c r="C1603" s="21">
        <v>45830</v>
      </c>
      <c r="D1603" s="21">
        <v>45844</v>
      </c>
      <c r="E1603" s="21">
        <v>45850</v>
      </c>
      <c r="F1603" s="20" t="s">
        <v>79</v>
      </c>
      <c r="G1603" s="22">
        <v>337.19</v>
      </c>
      <c r="H1603" s="22">
        <v>26.41</v>
      </c>
      <c r="I1603" s="20" t="s">
        <v>45</v>
      </c>
      <c r="J1603" s="20">
        <v>5</v>
      </c>
      <c r="K1603" s="20" t="s">
        <v>46</v>
      </c>
      <c r="L1603" s="23">
        <f t="shared" si="186"/>
        <v>45809</v>
      </c>
      <c r="M1603" s="20">
        <f t="shared" si="187"/>
        <v>14</v>
      </c>
      <c r="N1603" s="20">
        <f t="shared" si="188"/>
        <v>0</v>
      </c>
      <c r="O1603" s="20">
        <f t="shared" si="189"/>
        <v>1</v>
      </c>
      <c r="P1603" s="22">
        <f t="shared" si="190"/>
        <v>363.6</v>
      </c>
      <c r="Q1603" s="22">
        <f>G1603*INDEX(Assumptions!$B$8:$B$16,MATCH(F1603,Assumptions!$A$8:$A$16,0))</f>
        <v>236.03299999999999</v>
      </c>
      <c r="R1603" s="22">
        <f>H1603*Assumptions!$B$3</f>
        <v>15.846</v>
      </c>
      <c r="S1603" s="22">
        <f t="shared" si="191"/>
        <v>85.311000000000007</v>
      </c>
      <c r="T1603" s="20" t="str">
        <f t="shared" si="192"/>
        <v>8-14 days</v>
      </c>
    </row>
    <row r="1604" spans="1:20" x14ac:dyDescent="0.3">
      <c r="A1604" s="20" t="s">
        <v>1670</v>
      </c>
      <c r="B1604" s="20" t="s">
        <v>103</v>
      </c>
      <c r="C1604" s="21">
        <v>45830</v>
      </c>
      <c r="D1604" s="21">
        <v>45847</v>
      </c>
      <c r="E1604" s="21">
        <v>45852</v>
      </c>
      <c r="F1604" s="20" t="s">
        <v>59</v>
      </c>
      <c r="G1604" s="22">
        <v>111.24</v>
      </c>
      <c r="H1604" s="22">
        <v>20.92</v>
      </c>
      <c r="I1604" s="20" t="s">
        <v>45</v>
      </c>
      <c r="J1604" s="20">
        <v>4</v>
      </c>
      <c r="K1604" s="20" t="s">
        <v>46</v>
      </c>
      <c r="L1604" s="23">
        <f t="shared" si="186"/>
        <v>45809</v>
      </c>
      <c r="M1604" s="20">
        <f t="shared" si="187"/>
        <v>17</v>
      </c>
      <c r="N1604" s="20">
        <f t="shared" si="188"/>
        <v>0</v>
      </c>
      <c r="O1604" s="20">
        <f t="shared" si="189"/>
        <v>1</v>
      </c>
      <c r="P1604" s="22">
        <f t="shared" si="190"/>
        <v>132.16</v>
      </c>
      <c r="Q1604" s="22">
        <f>G1604*INDEX(Assumptions!$B$8:$B$16,MATCH(F1604,Assumptions!$A$8:$A$16,0))</f>
        <v>71.193600000000004</v>
      </c>
      <c r="R1604" s="22">
        <f>H1604*Assumptions!$B$3</f>
        <v>12.552000000000001</v>
      </c>
      <c r="S1604" s="22">
        <f t="shared" si="191"/>
        <v>27.494399999999992</v>
      </c>
      <c r="T1604" s="20" t="str">
        <f t="shared" si="192"/>
        <v>15-21 days</v>
      </c>
    </row>
    <row r="1605" spans="1:20" x14ac:dyDescent="0.3">
      <c r="A1605" s="20" t="s">
        <v>1671</v>
      </c>
      <c r="B1605" s="20" t="s">
        <v>19</v>
      </c>
      <c r="C1605" s="21">
        <v>45831</v>
      </c>
      <c r="D1605" s="21">
        <v>45843</v>
      </c>
      <c r="E1605" s="21">
        <v>45845</v>
      </c>
      <c r="F1605" s="20" t="s">
        <v>44</v>
      </c>
      <c r="G1605" s="22">
        <v>106.79</v>
      </c>
      <c r="H1605" s="22">
        <v>15.59</v>
      </c>
      <c r="I1605" s="20" t="s">
        <v>45</v>
      </c>
      <c r="J1605" s="20">
        <v>4</v>
      </c>
      <c r="K1605" s="20" t="s">
        <v>46</v>
      </c>
      <c r="L1605" s="23">
        <f t="shared" si="186"/>
        <v>45809</v>
      </c>
      <c r="M1605" s="20">
        <f t="shared" si="187"/>
        <v>12</v>
      </c>
      <c r="N1605" s="20">
        <f t="shared" si="188"/>
        <v>0</v>
      </c>
      <c r="O1605" s="20">
        <f t="shared" si="189"/>
        <v>1</v>
      </c>
      <c r="P1605" s="22">
        <f t="shared" si="190"/>
        <v>122.38000000000001</v>
      </c>
      <c r="Q1605" s="22">
        <f>G1605*INDEX(Assumptions!$B$8:$B$16,MATCH(F1605,Assumptions!$A$8:$A$16,0))</f>
        <v>64.073999999999998</v>
      </c>
      <c r="R1605" s="22">
        <f>H1605*Assumptions!$B$3</f>
        <v>9.3539999999999992</v>
      </c>
      <c r="S1605" s="22">
        <f t="shared" si="191"/>
        <v>33.362000000000009</v>
      </c>
      <c r="T1605" s="20" t="str">
        <f t="shared" si="192"/>
        <v>8-14 days</v>
      </c>
    </row>
    <row r="1606" spans="1:20" x14ac:dyDescent="0.3">
      <c r="A1606" s="20" t="s">
        <v>1672</v>
      </c>
      <c r="B1606" s="20" t="s">
        <v>55</v>
      </c>
      <c r="C1606" s="21">
        <v>45831</v>
      </c>
      <c r="D1606" s="21">
        <v>45841</v>
      </c>
      <c r="E1606" s="21">
        <v>45857</v>
      </c>
      <c r="F1606" s="20" t="s">
        <v>57</v>
      </c>
      <c r="G1606" s="22">
        <v>175.88</v>
      </c>
      <c r="H1606" s="22">
        <v>26.33</v>
      </c>
      <c r="I1606" s="20" t="s">
        <v>45</v>
      </c>
      <c r="J1606" s="20">
        <v>4</v>
      </c>
      <c r="K1606" s="20" t="s">
        <v>46</v>
      </c>
      <c r="L1606" s="23">
        <f t="shared" si="186"/>
        <v>45809</v>
      </c>
      <c r="M1606" s="20">
        <f t="shared" si="187"/>
        <v>10</v>
      </c>
      <c r="N1606" s="20">
        <f t="shared" si="188"/>
        <v>0</v>
      </c>
      <c r="O1606" s="20">
        <f t="shared" si="189"/>
        <v>1</v>
      </c>
      <c r="P1606" s="22">
        <f t="shared" si="190"/>
        <v>202.20999999999998</v>
      </c>
      <c r="Q1606" s="22">
        <f>G1606*INDEX(Assumptions!$B$8:$B$16,MATCH(F1606,Assumptions!$A$8:$A$16,0))</f>
        <v>119.59840000000001</v>
      </c>
      <c r="R1606" s="22">
        <f>H1606*Assumptions!$B$3</f>
        <v>15.797999999999998</v>
      </c>
      <c r="S1606" s="22">
        <f t="shared" si="191"/>
        <v>40.483599999999981</v>
      </c>
      <c r="T1606" s="20" t="str">
        <f t="shared" si="192"/>
        <v>8-14 days</v>
      </c>
    </row>
    <row r="1607" spans="1:20" x14ac:dyDescent="0.3">
      <c r="A1607" s="20" t="s">
        <v>1673</v>
      </c>
      <c r="B1607" s="20" t="s">
        <v>19</v>
      </c>
      <c r="C1607" s="21">
        <v>45831</v>
      </c>
      <c r="D1607" s="21">
        <v>45835</v>
      </c>
      <c r="E1607" s="21">
        <v>45845</v>
      </c>
      <c r="F1607" s="20" t="s">
        <v>67</v>
      </c>
      <c r="G1607" s="22">
        <v>228.47</v>
      </c>
      <c r="H1607" s="22">
        <v>18.760000000000002</v>
      </c>
      <c r="I1607" s="20" t="s">
        <v>45</v>
      </c>
      <c r="J1607" s="20">
        <v>4</v>
      </c>
      <c r="K1607" s="20" t="s">
        <v>46</v>
      </c>
      <c r="L1607" s="23">
        <f t="shared" si="186"/>
        <v>45809</v>
      </c>
      <c r="M1607" s="20">
        <f t="shared" si="187"/>
        <v>4</v>
      </c>
      <c r="N1607" s="20">
        <f t="shared" si="188"/>
        <v>0</v>
      </c>
      <c r="O1607" s="20">
        <f t="shared" si="189"/>
        <v>1</v>
      </c>
      <c r="P1607" s="22">
        <f t="shared" si="190"/>
        <v>247.23</v>
      </c>
      <c r="Q1607" s="22">
        <f>G1607*INDEX(Assumptions!$B$8:$B$16,MATCH(F1607,Assumptions!$A$8:$A$16,0))</f>
        <v>141.6514</v>
      </c>
      <c r="R1607" s="22">
        <f>H1607*Assumptions!$B$3</f>
        <v>11.256</v>
      </c>
      <c r="S1607" s="22">
        <f t="shared" si="191"/>
        <v>75.562600000000003</v>
      </c>
      <c r="T1607" s="20" t="str">
        <f t="shared" si="192"/>
        <v>0-7 days</v>
      </c>
    </row>
    <row r="1608" spans="1:20" x14ac:dyDescent="0.3">
      <c r="A1608" s="20" t="s">
        <v>1674</v>
      </c>
      <c r="B1608" s="20" t="s">
        <v>19</v>
      </c>
      <c r="C1608" s="21">
        <v>45831</v>
      </c>
      <c r="D1608" s="21">
        <v>45838</v>
      </c>
      <c r="E1608" s="21">
        <v>45844</v>
      </c>
      <c r="F1608" s="20" t="s">
        <v>44</v>
      </c>
      <c r="G1608" s="22">
        <v>132.1</v>
      </c>
      <c r="H1608" s="22">
        <v>20.8</v>
      </c>
      <c r="I1608" s="20" t="s">
        <v>60</v>
      </c>
      <c r="J1608" s="20">
        <v>5</v>
      </c>
      <c r="K1608" s="20" t="s">
        <v>46</v>
      </c>
      <c r="L1608" s="23">
        <f t="shared" si="186"/>
        <v>45809</v>
      </c>
      <c r="M1608" s="20">
        <f t="shared" si="187"/>
        <v>7</v>
      </c>
      <c r="N1608" s="20">
        <f t="shared" si="188"/>
        <v>0</v>
      </c>
      <c r="O1608" s="20">
        <f t="shared" si="189"/>
        <v>1</v>
      </c>
      <c r="P1608" s="22">
        <f t="shared" si="190"/>
        <v>152.9</v>
      </c>
      <c r="Q1608" s="22">
        <f>G1608*INDEX(Assumptions!$B$8:$B$16,MATCH(F1608,Assumptions!$A$8:$A$16,0))</f>
        <v>79.259999999999991</v>
      </c>
      <c r="R1608" s="22">
        <f>H1608*Assumptions!$B$3</f>
        <v>12.48</v>
      </c>
      <c r="S1608" s="22">
        <f t="shared" si="191"/>
        <v>40.36</v>
      </c>
      <c r="T1608" s="20" t="str">
        <f t="shared" si="192"/>
        <v>0-7 days</v>
      </c>
    </row>
    <row r="1609" spans="1:20" x14ac:dyDescent="0.3">
      <c r="A1609" s="20" t="s">
        <v>1675</v>
      </c>
      <c r="B1609" s="20" t="s">
        <v>55</v>
      </c>
      <c r="C1609" s="21">
        <v>45831</v>
      </c>
      <c r="D1609" s="21">
        <v>45847</v>
      </c>
      <c r="E1609" s="21">
        <v>45854</v>
      </c>
      <c r="F1609" s="20" t="s">
        <v>57</v>
      </c>
      <c r="G1609" s="22">
        <v>93.3</v>
      </c>
      <c r="H1609" s="22">
        <v>29.78</v>
      </c>
      <c r="I1609" s="20" t="s">
        <v>50</v>
      </c>
      <c r="J1609" s="20">
        <v>4</v>
      </c>
      <c r="K1609" s="20" t="s">
        <v>46</v>
      </c>
      <c r="L1609" s="23">
        <f t="shared" si="186"/>
        <v>45809</v>
      </c>
      <c r="M1609" s="20">
        <f t="shared" si="187"/>
        <v>16</v>
      </c>
      <c r="N1609" s="20">
        <f t="shared" si="188"/>
        <v>0</v>
      </c>
      <c r="O1609" s="20">
        <f t="shared" si="189"/>
        <v>1</v>
      </c>
      <c r="P1609" s="22">
        <f t="shared" si="190"/>
        <v>123.08</v>
      </c>
      <c r="Q1609" s="22">
        <f>G1609*INDEX(Assumptions!$B$8:$B$16,MATCH(F1609,Assumptions!$A$8:$A$16,0))</f>
        <v>63.444000000000003</v>
      </c>
      <c r="R1609" s="22">
        <f>H1609*Assumptions!$B$3</f>
        <v>17.867999999999999</v>
      </c>
      <c r="S1609" s="22">
        <f t="shared" si="191"/>
        <v>11.987999999999996</v>
      </c>
      <c r="T1609" s="20" t="str">
        <f t="shared" si="192"/>
        <v>15-21 days</v>
      </c>
    </row>
    <row r="1610" spans="1:20" x14ac:dyDescent="0.3">
      <c r="A1610" s="20" t="s">
        <v>1676</v>
      </c>
      <c r="B1610" s="20" t="s">
        <v>55</v>
      </c>
      <c r="C1610" s="21">
        <v>45831</v>
      </c>
      <c r="D1610" s="21">
        <v>45843</v>
      </c>
      <c r="E1610" s="21">
        <v>45854</v>
      </c>
      <c r="F1610" s="20" t="s">
        <v>53</v>
      </c>
      <c r="G1610" s="22">
        <v>106.47</v>
      </c>
      <c r="H1610" s="22">
        <v>23.74</v>
      </c>
      <c r="I1610" s="20" t="s">
        <v>45</v>
      </c>
      <c r="J1610" s="20">
        <v>5</v>
      </c>
      <c r="K1610" s="20" t="s">
        <v>46</v>
      </c>
      <c r="L1610" s="23">
        <f t="shared" si="186"/>
        <v>45809</v>
      </c>
      <c r="M1610" s="20">
        <f t="shared" si="187"/>
        <v>12</v>
      </c>
      <c r="N1610" s="20">
        <f t="shared" si="188"/>
        <v>0</v>
      </c>
      <c r="O1610" s="20">
        <f t="shared" si="189"/>
        <v>1</v>
      </c>
      <c r="P1610" s="22">
        <f t="shared" si="190"/>
        <v>130.21</v>
      </c>
      <c r="Q1610" s="22">
        <f>G1610*INDEX(Assumptions!$B$8:$B$16,MATCH(F1610,Assumptions!$A$8:$A$16,0))</f>
        <v>78.787800000000004</v>
      </c>
      <c r="R1610" s="22">
        <f>H1610*Assumptions!$B$3</f>
        <v>14.243999999999998</v>
      </c>
      <c r="S1610" s="22">
        <f t="shared" si="191"/>
        <v>13.438199999999997</v>
      </c>
      <c r="T1610" s="20" t="str">
        <f t="shared" si="192"/>
        <v>8-14 days</v>
      </c>
    </row>
    <row r="1611" spans="1:20" x14ac:dyDescent="0.3">
      <c r="A1611" s="20" t="s">
        <v>1677</v>
      </c>
      <c r="B1611" s="20" t="s">
        <v>19</v>
      </c>
      <c r="C1611" s="21">
        <v>45831</v>
      </c>
      <c r="D1611" s="21">
        <v>45838</v>
      </c>
      <c r="E1611" s="21">
        <v>45847</v>
      </c>
      <c r="F1611" s="20" t="s">
        <v>49</v>
      </c>
      <c r="G1611" s="22">
        <v>180.97</v>
      </c>
      <c r="H1611" s="22">
        <v>22.68</v>
      </c>
      <c r="I1611" s="20" t="s">
        <v>45</v>
      </c>
      <c r="J1611" s="20">
        <v>5</v>
      </c>
      <c r="K1611" s="20" t="s">
        <v>46</v>
      </c>
      <c r="L1611" s="23">
        <f t="shared" si="186"/>
        <v>45809</v>
      </c>
      <c r="M1611" s="20">
        <f t="shared" si="187"/>
        <v>7</v>
      </c>
      <c r="N1611" s="20">
        <f t="shared" si="188"/>
        <v>0</v>
      </c>
      <c r="O1611" s="20">
        <f t="shared" si="189"/>
        <v>1</v>
      </c>
      <c r="P1611" s="22">
        <f t="shared" si="190"/>
        <v>203.65</v>
      </c>
      <c r="Q1611" s="22">
        <f>G1611*INDEX(Assumptions!$B$8:$B$16,MATCH(F1611,Assumptions!$A$8:$A$16,0))</f>
        <v>104.96259999999999</v>
      </c>
      <c r="R1611" s="22">
        <f>H1611*Assumptions!$B$3</f>
        <v>13.607999999999999</v>
      </c>
      <c r="S1611" s="22">
        <f t="shared" si="191"/>
        <v>62.399400000000007</v>
      </c>
      <c r="T1611" s="20" t="str">
        <f t="shared" si="192"/>
        <v>0-7 days</v>
      </c>
    </row>
    <row r="1612" spans="1:20" x14ac:dyDescent="0.3">
      <c r="A1612" s="20" t="s">
        <v>1678</v>
      </c>
      <c r="B1612" s="20" t="s">
        <v>19</v>
      </c>
      <c r="C1612" s="21">
        <v>45831</v>
      </c>
      <c r="D1612" s="21">
        <v>45841</v>
      </c>
      <c r="E1612" s="21">
        <v>45847</v>
      </c>
      <c r="F1612" s="20" t="s">
        <v>111</v>
      </c>
      <c r="G1612" s="22">
        <v>46.61</v>
      </c>
      <c r="H1612" s="22">
        <v>15.85</v>
      </c>
      <c r="I1612" s="20" t="s">
        <v>60</v>
      </c>
      <c r="J1612" s="20">
        <v>4</v>
      </c>
      <c r="K1612" s="20" t="s">
        <v>46</v>
      </c>
      <c r="L1612" s="23">
        <f t="shared" si="186"/>
        <v>45809</v>
      </c>
      <c r="M1612" s="20">
        <f t="shared" si="187"/>
        <v>10</v>
      </c>
      <c r="N1612" s="20">
        <f t="shared" si="188"/>
        <v>0</v>
      </c>
      <c r="O1612" s="20">
        <f t="shared" si="189"/>
        <v>1</v>
      </c>
      <c r="P1612" s="22">
        <f t="shared" si="190"/>
        <v>62.46</v>
      </c>
      <c r="Q1612" s="22">
        <f>G1612*INDEX(Assumptions!$B$8:$B$16,MATCH(F1612,Assumptions!$A$8:$A$16,0))</f>
        <v>29.3643</v>
      </c>
      <c r="R1612" s="22">
        <f>H1612*Assumptions!$B$3</f>
        <v>9.51</v>
      </c>
      <c r="S1612" s="22">
        <f t="shared" si="191"/>
        <v>7.7356999999999996</v>
      </c>
      <c r="T1612" s="20" t="str">
        <f t="shared" si="192"/>
        <v>8-14 days</v>
      </c>
    </row>
    <row r="1613" spans="1:20" x14ac:dyDescent="0.3">
      <c r="A1613" s="20" t="s">
        <v>1679</v>
      </c>
      <c r="B1613" s="20" t="s">
        <v>55</v>
      </c>
      <c r="C1613" s="21">
        <v>45831</v>
      </c>
      <c r="D1613" s="21">
        <v>45844</v>
      </c>
      <c r="E1613" s="21">
        <v>45854</v>
      </c>
      <c r="F1613" s="20" t="s">
        <v>44</v>
      </c>
      <c r="G1613" s="22">
        <v>143.66</v>
      </c>
      <c r="H1613" s="22">
        <v>19.48</v>
      </c>
      <c r="I1613" s="20" t="s">
        <v>45</v>
      </c>
      <c r="J1613" s="20">
        <v>3</v>
      </c>
      <c r="K1613" s="20" t="s">
        <v>46</v>
      </c>
      <c r="L1613" s="23">
        <f t="shared" si="186"/>
        <v>45809</v>
      </c>
      <c r="M1613" s="20">
        <f t="shared" si="187"/>
        <v>13</v>
      </c>
      <c r="N1613" s="20">
        <f t="shared" si="188"/>
        <v>0</v>
      </c>
      <c r="O1613" s="20">
        <f t="shared" si="189"/>
        <v>1</v>
      </c>
      <c r="P1613" s="22">
        <f t="shared" si="190"/>
        <v>163.13999999999999</v>
      </c>
      <c r="Q1613" s="22">
        <f>G1613*INDEX(Assumptions!$B$8:$B$16,MATCH(F1613,Assumptions!$A$8:$A$16,0))</f>
        <v>86.195999999999998</v>
      </c>
      <c r="R1613" s="22">
        <f>H1613*Assumptions!$B$3</f>
        <v>11.688000000000001</v>
      </c>
      <c r="S1613" s="22">
        <f t="shared" si="191"/>
        <v>45.775999999999996</v>
      </c>
      <c r="T1613" s="20" t="str">
        <f t="shared" si="192"/>
        <v>8-14 days</v>
      </c>
    </row>
    <row r="1614" spans="1:20" x14ac:dyDescent="0.3">
      <c r="A1614" s="20" t="s">
        <v>1680</v>
      </c>
      <c r="B1614" s="20" t="s">
        <v>103</v>
      </c>
      <c r="C1614" s="21">
        <v>45831</v>
      </c>
      <c r="D1614" s="21">
        <v>45850</v>
      </c>
      <c r="E1614" s="21">
        <v>45851</v>
      </c>
      <c r="F1614" s="20" t="s">
        <v>67</v>
      </c>
      <c r="G1614" s="22">
        <v>115.9</v>
      </c>
      <c r="H1614" s="22">
        <v>30.89</v>
      </c>
      <c r="I1614" s="20" t="s">
        <v>45</v>
      </c>
      <c r="J1614" s="20">
        <v>5</v>
      </c>
      <c r="K1614" s="20" t="s">
        <v>46</v>
      </c>
      <c r="L1614" s="23">
        <f t="shared" si="186"/>
        <v>45809</v>
      </c>
      <c r="M1614" s="20">
        <f t="shared" si="187"/>
        <v>19</v>
      </c>
      <c r="N1614" s="20">
        <f t="shared" si="188"/>
        <v>0</v>
      </c>
      <c r="O1614" s="20">
        <f t="shared" si="189"/>
        <v>1</v>
      </c>
      <c r="P1614" s="22">
        <f t="shared" si="190"/>
        <v>146.79000000000002</v>
      </c>
      <c r="Q1614" s="22">
        <f>G1614*INDEX(Assumptions!$B$8:$B$16,MATCH(F1614,Assumptions!$A$8:$A$16,0))</f>
        <v>71.858000000000004</v>
      </c>
      <c r="R1614" s="22">
        <f>H1614*Assumptions!$B$3</f>
        <v>18.533999999999999</v>
      </c>
      <c r="S1614" s="22">
        <f t="shared" si="191"/>
        <v>25.508000000000003</v>
      </c>
      <c r="T1614" s="20" t="str">
        <f t="shared" si="192"/>
        <v>15-21 days</v>
      </c>
    </row>
    <row r="1615" spans="1:20" x14ac:dyDescent="0.3">
      <c r="A1615" s="20" t="s">
        <v>1681</v>
      </c>
      <c r="B1615" s="20" t="s">
        <v>55</v>
      </c>
      <c r="C1615" s="21">
        <v>45832</v>
      </c>
      <c r="D1615" s="21">
        <v>45846</v>
      </c>
      <c r="E1615" s="21">
        <v>45858</v>
      </c>
      <c r="F1615" s="20" t="s">
        <v>49</v>
      </c>
      <c r="G1615" s="22">
        <v>42.89</v>
      </c>
      <c r="H1615" s="22">
        <v>19.899999999999999</v>
      </c>
      <c r="I1615" s="20" t="s">
        <v>45</v>
      </c>
      <c r="J1615" s="20">
        <v>4</v>
      </c>
      <c r="K1615" s="20" t="s">
        <v>46</v>
      </c>
      <c r="L1615" s="23">
        <f t="shared" si="186"/>
        <v>45809</v>
      </c>
      <c r="M1615" s="20">
        <f t="shared" si="187"/>
        <v>14</v>
      </c>
      <c r="N1615" s="20">
        <f t="shared" si="188"/>
        <v>0</v>
      </c>
      <c r="O1615" s="20">
        <f t="shared" si="189"/>
        <v>1</v>
      </c>
      <c r="P1615" s="22">
        <f t="shared" si="190"/>
        <v>62.79</v>
      </c>
      <c r="Q1615" s="22">
        <f>G1615*INDEX(Assumptions!$B$8:$B$16,MATCH(F1615,Assumptions!$A$8:$A$16,0))</f>
        <v>24.876199999999997</v>
      </c>
      <c r="R1615" s="22">
        <f>H1615*Assumptions!$B$3</f>
        <v>11.94</v>
      </c>
      <c r="S1615" s="22">
        <f t="shared" si="191"/>
        <v>6.0738000000000039</v>
      </c>
      <c r="T1615" s="20" t="str">
        <f t="shared" si="192"/>
        <v>8-14 days</v>
      </c>
    </row>
    <row r="1616" spans="1:20" x14ac:dyDescent="0.3">
      <c r="A1616" s="20" t="s">
        <v>1682</v>
      </c>
      <c r="B1616" s="20" t="s">
        <v>62</v>
      </c>
      <c r="C1616" s="21">
        <v>45832</v>
      </c>
      <c r="D1616" s="21">
        <v>45855</v>
      </c>
      <c r="E1616" s="21">
        <v>45851</v>
      </c>
      <c r="F1616" s="20" t="s">
        <v>64</v>
      </c>
      <c r="G1616" s="22">
        <v>135.63</v>
      </c>
      <c r="H1616" s="22">
        <v>26.81</v>
      </c>
      <c r="I1616" s="20" t="s">
        <v>60</v>
      </c>
      <c r="J1616" s="20">
        <v>2</v>
      </c>
      <c r="K1616" s="20" t="s">
        <v>46</v>
      </c>
      <c r="L1616" s="23">
        <f t="shared" si="186"/>
        <v>45809</v>
      </c>
      <c r="M1616" s="20">
        <f t="shared" si="187"/>
        <v>23</v>
      </c>
      <c r="N1616" s="20">
        <f t="shared" si="188"/>
        <v>4</v>
      </c>
      <c r="O1616" s="20">
        <f t="shared" si="189"/>
        <v>0</v>
      </c>
      <c r="P1616" s="22">
        <f t="shared" si="190"/>
        <v>162.44</v>
      </c>
      <c r="Q1616" s="22">
        <f>G1616*INDEX(Assumptions!$B$8:$B$16,MATCH(F1616,Assumptions!$A$8:$A$16,0))</f>
        <v>89.515799999999999</v>
      </c>
      <c r="R1616" s="22">
        <f>H1616*Assumptions!$B$3</f>
        <v>16.085999999999999</v>
      </c>
      <c r="S1616" s="22">
        <f t="shared" si="191"/>
        <v>30.028199999999998</v>
      </c>
      <c r="T1616" s="20" t="str">
        <f t="shared" si="192"/>
        <v>22+ days</v>
      </c>
    </row>
    <row r="1617" spans="1:20" x14ac:dyDescent="0.3">
      <c r="A1617" s="20" t="s">
        <v>1683</v>
      </c>
      <c r="B1617" s="20" t="s">
        <v>19</v>
      </c>
      <c r="C1617" s="21">
        <v>45832</v>
      </c>
      <c r="D1617" s="21">
        <v>45837</v>
      </c>
      <c r="E1617" s="21">
        <v>45847</v>
      </c>
      <c r="F1617" s="20" t="s">
        <v>44</v>
      </c>
      <c r="G1617" s="22">
        <v>80.599999999999994</v>
      </c>
      <c r="H1617" s="22">
        <v>17.850000000000001</v>
      </c>
      <c r="I1617" s="20" t="s">
        <v>60</v>
      </c>
      <c r="J1617" s="20">
        <v>3</v>
      </c>
      <c r="K1617" s="20" t="s">
        <v>46</v>
      </c>
      <c r="L1617" s="23">
        <f t="shared" si="186"/>
        <v>45809</v>
      </c>
      <c r="M1617" s="20">
        <f t="shared" si="187"/>
        <v>5</v>
      </c>
      <c r="N1617" s="20">
        <f t="shared" si="188"/>
        <v>0</v>
      </c>
      <c r="O1617" s="20">
        <f t="shared" si="189"/>
        <v>1</v>
      </c>
      <c r="P1617" s="22">
        <f t="shared" si="190"/>
        <v>98.449999999999989</v>
      </c>
      <c r="Q1617" s="22">
        <f>G1617*INDEX(Assumptions!$B$8:$B$16,MATCH(F1617,Assumptions!$A$8:$A$16,0))</f>
        <v>48.359999999999992</v>
      </c>
      <c r="R1617" s="22">
        <f>H1617*Assumptions!$B$3</f>
        <v>10.71</v>
      </c>
      <c r="S1617" s="22">
        <f t="shared" si="191"/>
        <v>21.53</v>
      </c>
      <c r="T1617" s="20" t="str">
        <f t="shared" si="192"/>
        <v>0-7 days</v>
      </c>
    </row>
    <row r="1618" spans="1:20" x14ac:dyDescent="0.3">
      <c r="A1618" s="20" t="s">
        <v>1684</v>
      </c>
      <c r="B1618" s="20" t="s">
        <v>19</v>
      </c>
      <c r="C1618" s="21">
        <v>45832</v>
      </c>
      <c r="D1618" s="21">
        <v>45836</v>
      </c>
      <c r="E1618" s="21">
        <v>45845</v>
      </c>
      <c r="F1618" s="20" t="s">
        <v>64</v>
      </c>
      <c r="G1618" s="22">
        <v>132.80000000000001</v>
      </c>
      <c r="H1618" s="22">
        <v>14.5</v>
      </c>
      <c r="I1618" s="20" t="s">
        <v>45</v>
      </c>
      <c r="J1618" s="20">
        <v>5</v>
      </c>
      <c r="K1618" s="20" t="s">
        <v>46</v>
      </c>
      <c r="L1618" s="23">
        <f t="shared" si="186"/>
        <v>45809</v>
      </c>
      <c r="M1618" s="20">
        <f t="shared" si="187"/>
        <v>4</v>
      </c>
      <c r="N1618" s="20">
        <f t="shared" si="188"/>
        <v>0</v>
      </c>
      <c r="O1618" s="20">
        <f t="shared" si="189"/>
        <v>1</v>
      </c>
      <c r="P1618" s="22">
        <f t="shared" si="190"/>
        <v>147.30000000000001</v>
      </c>
      <c r="Q1618" s="22">
        <f>G1618*INDEX(Assumptions!$B$8:$B$16,MATCH(F1618,Assumptions!$A$8:$A$16,0))</f>
        <v>87.64800000000001</v>
      </c>
      <c r="R1618" s="22">
        <f>H1618*Assumptions!$B$3</f>
        <v>8.6999999999999993</v>
      </c>
      <c r="S1618" s="22">
        <f t="shared" si="191"/>
        <v>36.451999999999998</v>
      </c>
      <c r="T1618" s="20" t="str">
        <f t="shared" si="192"/>
        <v>0-7 days</v>
      </c>
    </row>
    <row r="1619" spans="1:20" x14ac:dyDescent="0.3">
      <c r="A1619" s="20" t="s">
        <v>1685</v>
      </c>
      <c r="B1619" s="20" t="s">
        <v>52</v>
      </c>
      <c r="C1619" s="21">
        <v>45832</v>
      </c>
      <c r="D1619" s="21">
        <v>45843</v>
      </c>
      <c r="E1619" s="21">
        <v>45857</v>
      </c>
      <c r="F1619" s="20" t="s">
        <v>57</v>
      </c>
      <c r="G1619" s="22">
        <v>101.36</v>
      </c>
      <c r="H1619" s="22">
        <v>26.51</v>
      </c>
      <c r="I1619" s="20" t="s">
        <v>50</v>
      </c>
      <c r="J1619" s="20">
        <v>5</v>
      </c>
      <c r="K1619" s="20" t="s">
        <v>46</v>
      </c>
      <c r="L1619" s="23">
        <f t="shared" si="186"/>
        <v>45809</v>
      </c>
      <c r="M1619" s="20">
        <f t="shared" si="187"/>
        <v>11</v>
      </c>
      <c r="N1619" s="20">
        <f t="shared" si="188"/>
        <v>0</v>
      </c>
      <c r="O1619" s="20">
        <f t="shared" si="189"/>
        <v>1</v>
      </c>
      <c r="P1619" s="22">
        <f t="shared" si="190"/>
        <v>127.87</v>
      </c>
      <c r="Q1619" s="22">
        <f>G1619*INDEX(Assumptions!$B$8:$B$16,MATCH(F1619,Assumptions!$A$8:$A$16,0))</f>
        <v>68.924800000000005</v>
      </c>
      <c r="R1619" s="22">
        <f>H1619*Assumptions!$B$3</f>
        <v>15.906000000000001</v>
      </c>
      <c r="S1619" s="22">
        <f t="shared" si="191"/>
        <v>16.529199999999996</v>
      </c>
      <c r="T1619" s="20" t="str">
        <f t="shared" si="192"/>
        <v>8-14 days</v>
      </c>
    </row>
    <row r="1620" spans="1:20" x14ac:dyDescent="0.3">
      <c r="A1620" s="20" t="s">
        <v>1686</v>
      </c>
      <c r="B1620" s="20" t="s">
        <v>19</v>
      </c>
      <c r="C1620" s="21">
        <v>45832</v>
      </c>
      <c r="D1620" s="21">
        <v>45842</v>
      </c>
      <c r="E1620" s="21">
        <v>45847</v>
      </c>
      <c r="F1620" s="20" t="s">
        <v>57</v>
      </c>
      <c r="G1620" s="22">
        <v>53.02</v>
      </c>
      <c r="H1620" s="22">
        <v>15.88</v>
      </c>
      <c r="I1620" s="20" t="s">
        <v>45</v>
      </c>
      <c r="J1620" s="20">
        <v>4</v>
      </c>
      <c r="K1620" s="20" t="s">
        <v>46</v>
      </c>
      <c r="L1620" s="23">
        <f t="shared" si="186"/>
        <v>45809</v>
      </c>
      <c r="M1620" s="20">
        <f t="shared" si="187"/>
        <v>10</v>
      </c>
      <c r="N1620" s="20">
        <f t="shared" si="188"/>
        <v>0</v>
      </c>
      <c r="O1620" s="20">
        <f t="shared" si="189"/>
        <v>1</v>
      </c>
      <c r="P1620" s="22">
        <f t="shared" si="190"/>
        <v>68.900000000000006</v>
      </c>
      <c r="Q1620" s="22">
        <f>G1620*INDEX(Assumptions!$B$8:$B$16,MATCH(F1620,Assumptions!$A$8:$A$16,0))</f>
        <v>36.053600000000003</v>
      </c>
      <c r="R1620" s="22">
        <f>H1620*Assumptions!$B$3</f>
        <v>9.5280000000000005</v>
      </c>
      <c r="S1620" s="22">
        <f t="shared" si="191"/>
        <v>7.4383999999999997</v>
      </c>
      <c r="T1620" s="20" t="str">
        <f t="shared" si="192"/>
        <v>8-14 days</v>
      </c>
    </row>
    <row r="1621" spans="1:20" x14ac:dyDescent="0.3">
      <c r="A1621" s="20" t="s">
        <v>1687</v>
      </c>
      <c r="B1621" s="20" t="s">
        <v>19</v>
      </c>
      <c r="C1621" s="21">
        <v>45832</v>
      </c>
      <c r="D1621" s="21">
        <v>45839</v>
      </c>
      <c r="E1621" s="21">
        <v>45849</v>
      </c>
      <c r="F1621" s="20" t="s">
        <v>49</v>
      </c>
      <c r="G1621" s="22">
        <v>42.1</v>
      </c>
      <c r="H1621" s="22">
        <v>17.260000000000002</v>
      </c>
      <c r="I1621" s="20" t="s">
        <v>45</v>
      </c>
      <c r="J1621" s="20">
        <v>5</v>
      </c>
      <c r="K1621" s="20" t="s">
        <v>46</v>
      </c>
      <c r="L1621" s="23">
        <f t="shared" si="186"/>
        <v>45809</v>
      </c>
      <c r="M1621" s="20">
        <f t="shared" si="187"/>
        <v>7</v>
      </c>
      <c r="N1621" s="20">
        <f t="shared" si="188"/>
        <v>0</v>
      </c>
      <c r="O1621" s="20">
        <f t="shared" si="189"/>
        <v>1</v>
      </c>
      <c r="P1621" s="22">
        <f t="shared" si="190"/>
        <v>59.36</v>
      </c>
      <c r="Q1621" s="22">
        <f>G1621*INDEX(Assumptions!$B$8:$B$16,MATCH(F1621,Assumptions!$A$8:$A$16,0))</f>
        <v>24.417999999999999</v>
      </c>
      <c r="R1621" s="22">
        <f>H1621*Assumptions!$B$3</f>
        <v>10.356</v>
      </c>
      <c r="S1621" s="22">
        <f t="shared" si="191"/>
        <v>7.3260000000000023</v>
      </c>
      <c r="T1621" s="20" t="str">
        <f t="shared" si="192"/>
        <v>0-7 days</v>
      </c>
    </row>
    <row r="1622" spans="1:20" x14ac:dyDescent="0.3">
      <c r="A1622" s="20" t="s">
        <v>1688</v>
      </c>
      <c r="B1622" s="20" t="s">
        <v>62</v>
      </c>
      <c r="C1622" s="21">
        <v>45832</v>
      </c>
      <c r="D1622" s="21">
        <v>45843</v>
      </c>
      <c r="E1622" s="21">
        <v>45853</v>
      </c>
      <c r="F1622" s="20" t="s">
        <v>64</v>
      </c>
      <c r="G1622" s="22">
        <v>99.53</v>
      </c>
      <c r="H1622" s="22">
        <v>20.96</v>
      </c>
      <c r="I1622" s="20" t="s">
        <v>45</v>
      </c>
      <c r="J1622" s="20">
        <v>4</v>
      </c>
      <c r="K1622" s="20" t="s">
        <v>46</v>
      </c>
      <c r="L1622" s="23">
        <f t="shared" si="186"/>
        <v>45809</v>
      </c>
      <c r="M1622" s="20">
        <f t="shared" si="187"/>
        <v>11</v>
      </c>
      <c r="N1622" s="20">
        <f t="shared" si="188"/>
        <v>0</v>
      </c>
      <c r="O1622" s="20">
        <f t="shared" si="189"/>
        <v>1</v>
      </c>
      <c r="P1622" s="22">
        <f t="shared" si="190"/>
        <v>120.49000000000001</v>
      </c>
      <c r="Q1622" s="22">
        <f>G1622*INDEX(Assumptions!$B$8:$B$16,MATCH(F1622,Assumptions!$A$8:$A$16,0))</f>
        <v>65.689800000000005</v>
      </c>
      <c r="R1622" s="22">
        <f>H1622*Assumptions!$B$3</f>
        <v>12.576000000000001</v>
      </c>
      <c r="S1622" s="22">
        <f t="shared" si="191"/>
        <v>21.264199999999995</v>
      </c>
      <c r="T1622" s="20" t="str">
        <f t="shared" si="192"/>
        <v>8-14 days</v>
      </c>
    </row>
    <row r="1623" spans="1:20" x14ac:dyDescent="0.3">
      <c r="A1623" s="20" t="s">
        <v>1689</v>
      </c>
      <c r="B1623" s="20" t="s">
        <v>52</v>
      </c>
      <c r="C1623" s="21">
        <v>45832</v>
      </c>
      <c r="D1623" s="21">
        <v>45852</v>
      </c>
      <c r="E1623" s="21">
        <v>45857</v>
      </c>
      <c r="F1623" s="20" t="s">
        <v>59</v>
      </c>
      <c r="G1623" s="22">
        <v>158.52000000000001</v>
      </c>
      <c r="H1623" s="22">
        <v>28.29</v>
      </c>
      <c r="I1623" s="20" t="s">
        <v>45</v>
      </c>
      <c r="J1623" s="20">
        <v>4</v>
      </c>
      <c r="K1623" s="20" t="s">
        <v>46</v>
      </c>
      <c r="L1623" s="23">
        <f t="shared" si="186"/>
        <v>45809</v>
      </c>
      <c r="M1623" s="20">
        <f t="shared" si="187"/>
        <v>20</v>
      </c>
      <c r="N1623" s="20">
        <f t="shared" si="188"/>
        <v>0</v>
      </c>
      <c r="O1623" s="20">
        <f t="shared" si="189"/>
        <v>1</v>
      </c>
      <c r="P1623" s="22">
        <f t="shared" si="190"/>
        <v>186.81</v>
      </c>
      <c r="Q1623" s="22">
        <f>G1623*INDEX(Assumptions!$B$8:$B$16,MATCH(F1623,Assumptions!$A$8:$A$16,0))</f>
        <v>101.45280000000001</v>
      </c>
      <c r="R1623" s="22">
        <f>H1623*Assumptions!$B$3</f>
        <v>16.974</v>
      </c>
      <c r="S1623" s="22">
        <f t="shared" si="191"/>
        <v>40.093199999999996</v>
      </c>
      <c r="T1623" s="20" t="str">
        <f t="shared" si="192"/>
        <v>15-21 days</v>
      </c>
    </row>
    <row r="1624" spans="1:20" x14ac:dyDescent="0.3">
      <c r="A1624" s="20" t="s">
        <v>1690</v>
      </c>
      <c r="B1624" s="20" t="s">
        <v>19</v>
      </c>
      <c r="C1624" s="21">
        <v>45833</v>
      </c>
      <c r="D1624" s="21">
        <v>45844</v>
      </c>
      <c r="E1624" s="21">
        <v>45852</v>
      </c>
      <c r="F1624" s="20" t="s">
        <v>53</v>
      </c>
      <c r="G1624" s="22">
        <v>168.98</v>
      </c>
      <c r="H1624" s="22">
        <v>18.91</v>
      </c>
      <c r="I1624" s="20" t="s">
        <v>45</v>
      </c>
      <c r="J1624" s="20">
        <v>5</v>
      </c>
      <c r="K1624" s="20" t="s">
        <v>46</v>
      </c>
      <c r="L1624" s="23">
        <f t="shared" si="186"/>
        <v>45809</v>
      </c>
      <c r="M1624" s="20">
        <f t="shared" si="187"/>
        <v>11</v>
      </c>
      <c r="N1624" s="20">
        <f t="shared" si="188"/>
        <v>0</v>
      </c>
      <c r="O1624" s="20">
        <f t="shared" si="189"/>
        <v>1</v>
      </c>
      <c r="P1624" s="22">
        <f t="shared" si="190"/>
        <v>187.89</v>
      </c>
      <c r="Q1624" s="22">
        <f>G1624*INDEX(Assumptions!$B$8:$B$16,MATCH(F1624,Assumptions!$A$8:$A$16,0))</f>
        <v>125.04519999999999</v>
      </c>
      <c r="R1624" s="22">
        <f>H1624*Assumptions!$B$3</f>
        <v>11.346</v>
      </c>
      <c r="S1624" s="22">
        <f t="shared" si="191"/>
        <v>32.588799999999992</v>
      </c>
      <c r="T1624" s="20" t="str">
        <f t="shared" si="192"/>
        <v>8-14 days</v>
      </c>
    </row>
    <row r="1625" spans="1:20" x14ac:dyDescent="0.3">
      <c r="A1625" s="20" t="s">
        <v>1691</v>
      </c>
      <c r="B1625" s="20" t="s">
        <v>62</v>
      </c>
      <c r="C1625" s="21">
        <v>45833</v>
      </c>
      <c r="D1625" s="21">
        <v>45849</v>
      </c>
      <c r="E1625" s="21">
        <v>45854</v>
      </c>
      <c r="F1625" s="20" t="s">
        <v>53</v>
      </c>
      <c r="G1625" s="22">
        <v>99.17</v>
      </c>
      <c r="H1625" s="22">
        <v>21.39</v>
      </c>
      <c r="I1625" s="20" t="s">
        <v>60</v>
      </c>
      <c r="J1625" s="20">
        <v>4</v>
      </c>
      <c r="K1625" s="20" t="s">
        <v>46</v>
      </c>
      <c r="L1625" s="23">
        <f t="shared" si="186"/>
        <v>45809</v>
      </c>
      <c r="M1625" s="20">
        <f t="shared" si="187"/>
        <v>16</v>
      </c>
      <c r="N1625" s="20">
        <f t="shared" si="188"/>
        <v>0</v>
      </c>
      <c r="O1625" s="20">
        <f t="shared" si="189"/>
        <v>1</v>
      </c>
      <c r="P1625" s="22">
        <f t="shared" si="190"/>
        <v>120.56</v>
      </c>
      <c r="Q1625" s="22">
        <f>G1625*INDEX(Assumptions!$B$8:$B$16,MATCH(F1625,Assumptions!$A$8:$A$16,0))</f>
        <v>73.385800000000003</v>
      </c>
      <c r="R1625" s="22">
        <f>H1625*Assumptions!$B$3</f>
        <v>12.834</v>
      </c>
      <c r="S1625" s="22">
        <f t="shared" si="191"/>
        <v>12.950199999999999</v>
      </c>
      <c r="T1625" s="20" t="str">
        <f t="shared" si="192"/>
        <v>15-21 days</v>
      </c>
    </row>
    <row r="1626" spans="1:20" x14ac:dyDescent="0.3">
      <c r="A1626" s="20" t="s">
        <v>1692</v>
      </c>
      <c r="B1626" s="20" t="s">
        <v>201</v>
      </c>
      <c r="C1626" s="21">
        <v>45833</v>
      </c>
      <c r="D1626" s="21">
        <v>45862</v>
      </c>
      <c r="E1626" s="21">
        <v>45867</v>
      </c>
      <c r="F1626" s="20" t="s">
        <v>67</v>
      </c>
      <c r="G1626" s="22">
        <v>41.03</v>
      </c>
      <c r="H1626" s="22">
        <v>44.49</v>
      </c>
      <c r="I1626" s="20" t="s">
        <v>45</v>
      </c>
      <c r="J1626" s="20">
        <v>4</v>
      </c>
      <c r="K1626" s="20" t="s">
        <v>46</v>
      </c>
      <c r="L1626" s="23">
        <f t="shared" si="186"/>
        <v>45809</v>
      </c>
      <c r="M1626" s="20">
        <f t="shared" si="187"/>
        <v>29</v>
      </c>
      <c r="N1626" s="20">
        <f t="shared" si="188"/>
        <v>0</v>
      </c>
      <c r="O1626" s="20">
        <f t="shared" si="189"/>
        <v>1</v>
      </c>
      <c r="P1626" s="22">
        <f t="shared" si="190"/>
        <v>85.52000000000001</v>
      </c>
      <c r="Q1626" s="22">
        <f>G1626*INDEX(Assumptions!$B$8:$B$16,MATCH(F1626,Assumptions!$A$8:$A$16,0))</f>
        <v>25.438600000000001</v>
      </c>
      <c r="R1626" s="22">
        <f>H1626*Assumptions!$B$3</f>
        <v>26.693999999999999</v>
      </c>
      <c r="S1626" s="22">
        <f t="shared" si="191"/>
        <v>-11.102599999999999</v>
      </c>
      <c r="T1626" s="20" t="str">
        <f t="shared" si="192"/>
        <v>22+ days</v>
      </c>
    </row>
    <row r="1627" spans="1:20" x14ac:dyDescent="0.3">
      <c r="A1627" s="20" t="s">
        <v>1693</v>
      </c>
      <c r="B1627" s="20" t="s">
        <v>201</v>
      </c>
      <c r="C1627" s="21">
        <v>45833</v>
      </c>
      <c r="D1627" s="21">
        <v>45846</v>
      </c>
      <c r="E1627" s="21">
        <v>45865</v>
      </c>
      <c r="F1627" s="20" t="s">
        <v>111</v>
      </c>
      <c r="G1627" s="22">
        <v>105.25</v>
      </c>
      <c r="H1627" s="22">
        <v>47.35</v>
      </c>
      <c r="I1627" s="20" t="s">
        <v>45</v>
      </c>
      <c r="J1627" s="20">
        <v>5</v>
      </c>
      <c r="K1627" s="20" t="s">
        <v>46</v>
      </c>
      <c r="L1627" s="23">
        <f t="shared" si="186"/>
        <v>45809</v>
      </c>
      <c r="M1627" s="20">
        <f t="shared" si="187"/>
        <v>13</v>
      </c>
      <c r="N1627" s="20">
        <f t="shared" si="188"/>
        <v>0</v>
      </c>
      <c r="O1627" s="20">
        <f t="shared" si="189"/>
        <v>1</v>
      </c>
      <c r="P1627" s="22">
        <f t="shared" si="190"/>
        <v>152.6</v>
      </c>
      <c r="Q1627" s="22">
        <f>G1627*INDEX(Assumptions!$B$8:$B$16,MATCH(F1627,Assumptions!$A$8:$A$16,0))</f>
        <v>66.307500000000005</v>
      </c>
      <c r="R1627" s="22">
        <f>H1627*Assumptions!$B$3</f>
        <v>28.41</v>
      </c>
      <c r="S1627" s="22">
        <f t="shared" si="191"/>
        <v>10.532499999999995</v>
      </c>
      <c r="T1627" s="20" t="str">
        <f t="shared" si="192"/>
        <v>8-14 days</v>
      </c>
    </row>
    <row r="1628" spans="1:20" x14ac:dyDescent="0.3">
      <c r="A1628" s="20" t="s">
        <v>1694</v>
      </c>
      <c r="B1628" s="20" t="s">
        <v>55</v>
      </c>
      <c r="C1628" s="21">
        <v>45833</v>
      </c>
      <c r="D1628" s="21">
        <v>45843</v>
      </c>
      <c r="E1628" s="21">
        <v>45857</v>
      </c>
      <c r="F1628" s="20" t="s">
        <v>111</v>
      </c>
      <c r="G1628" s="22">
        <v>53.17</v>
      </c>
      <c r="H1628" s="22">
        <v>17.5</v>
      </c>
      <c r="I1628" s="20" t="s">
        <v>45</v>
      </c>
      <c r="J1628" s="20">
        <v>5</v>
      </c>
      <c r="K1628" s="20" t="s">
        <v>46</v>
      </c>
      <c r="L1628" s="23">
        <f t="shared" si="186"/>
        <v>45809</v>
      </c>
      <c r="M1628" s="20">
        <f t="shared" si="187"/>
        <v>10</v>
      </c>
      <c r="N1628" s="20">
        <f t="shared" si="188"/>
        <v>0</v>
      </c>
      <c r="O1628" s="20">
        <f t="shared" si="189"/>
        <v>1</v>
      </c>
      <c r="P1628" s="22">
        <f t="shared" si="190"/>
        <v>70.67</v>
      </c>
      <c r="Q1628" s="22">
        <f>G1628*INDEX(Assumptions!$B$8:$B$16,MATCH(F1628,Assumptions!$A$8:$A$16,0))</f>
        <v>33.497100000000003</v>
      </c>
      <c r="R1628" s="22">
        <f>H1628*Assumptions!$B$3</f>
        <v>10.5</v>
      </c>
      <c r="S1628" s="22">
        <f t="shared" si="191"/>
        <v>9.1728999999999985</v>
      </c>
      <c r="T1628" s="20" t="str">
        <f t="shared" si="192"/>
        <v>8-14 days</v>
      </c>
    </row>
    <row r="1629" spans="1:20" x14ac:dyDescent="0.3">
      <c r="A1629" s="20" t="s">
        <v>1695</v>
      </c>
      <c r="B1629" s="20" t="s">
        <v>19</v>
      </c>
      <c r="C1629" s="21">
        <v>45833</v>
      </c>
      <c r="D1629" s="21">
        <v>45839</v>
      </c>
      <c r="E1629" s="21">
        <v>45847</v>
      </c>
      <c r="F1629" s="20" t="s">
        <v>57</v>
      </c>
      <c r="G1629" s="22">
        <v>86.27</v>
      </c>
      <c r="H1629" s="22">
        <v>18.7</v>
      </c>
      <c r="I1629" s="20" t="s">
        <v>45</v>
      </c>
      <c r="J1629" s="20">
        <v>4</v>
      </c>
      <c r="K1629" s="20" t="s">
        <v>46</v>
      </c>
      <c r="L1629" s="23">
        <f t="shared" si="186"/>
        <v>45809</v>
      </c>
      <c r="M1629" s="20">
        <f t="shared" si="187"/>
        <v>6</v>
      </c>
      <c r="N1629" s="20">
        <f t="shared" si="188"/>
        <v>0</v>
      </c>
      <c r="O1629" s="20">
        <f t="shared" si="189"/>
        <v>1</v>
      </c>
      <c r="P1629" s="22">
        <f t="shared" si="190"/>
        <v>104.97</v>
      </c>
      <c r="Q1629" s="22">
        <f>G1629*INDEX(Assumptions!$B$8:$B$16,MATCH(F1629,Assumptions!$A$8:$A$16,0))</f>
        <v>58.663600000000002</v>
      </c>
      <c r="R1629" s="22">
        <f>H1629*Assumptions!$B$3</f>
        <v>11.219999999999999</v>
      </c>
      <c r="S1629" s="22">
        <f t="shared" si="191"/>
        <v>16.386399999999995</v>
      </c>
      <c r="T1629" s="20" t="str">
        <f t="shared" si="192"/>
        <v>0-7 days</v>
      </c>
    </row>
    <row r="1630" spans="1:20" x14ac:dyDescent="0.3">
      <c r="A1630" s="20" t="s">
        <v>1696</v>
      </c>
      <c r="B1630" s="20" t="s">
        <v>19</v>
      </c>
      <c r="C1630" s="21">
        <v>45833</v>
      </c>
      <c r="D1630" s="21">
        <v>45839</v>
      </c>
      <c r="E1630" s="21">
        <v>45848</v>
      </c>
      <c r="F1630" s="20" t="s">
        <v>67</v>
      </c>
      <c r="G1630" s="22">
        <v>44.22</v>
      </c>
      <c r="H1630" s="22">
        <v>13.04</v>
      </c>
      <c r="I1630" s="20" t="s">
        <v>104</v>
      </c>
      <c r="J1630" s="20">
        <v>4</v>
      </c>
      <c r="K1630" s="20" t="s">
        <v>46</v>
      </c>
      <c r="L1630" s="23">
        <f t="shared" si="186"/>
        <v>45809</v>
      </c>
      <c r="M1630" s="20">
        <f t="shared" si="187"/>
        <v>6</v>
      </c>
      <c r="N1630" s="20">
        <f t="shared" si="188"/>
        <v>0</v>
      </c>
      <c r="O1630" s="20">
        <f t="shared" si="189"/>
        <v>1</v>
      </c>
      <c r="P1630" s="22">
        <f t="shared" si="190"/>
        <v>57.26</v>
      </c>
      <c r="Q1630" s="22">
        <f>G1630*INDEX(Assumptions!$B$8:$B$16,MATCH(F1630,Assumptions!$A$8:$A$16,0))</f>
        <v>27.416399999999999</v>
      </c>
      <c r="R1630" s="22">
        <f>H1630*Assumptions!$B$3</f>
        <v>7.823999999999999</v>
      </c>
      <c r="S1630" s="22">
        <f t="shared" si="191"/>
        <v>8.9796000000000014</v>
      </c>
      <c r="T1630" s="20" t="str">
        <f t="shared" si="192"/>
        <v>0-7 days</v>
      </c>
    </row>
    <row r="1631" spans="1:20" x14ac:dyDescent="0.3">
      <c r="A1631" s="20" t="s">
        <v>1697</v>
      </c>
      <c r="B1631" s="20" t="s">
        <v>19</v>
      </c>
      <c r="C1631" s="21">
        <v>45833</v>
      </c>
      <c r="D1631" s="21">
        <v>45841</v>
      </c>
      <c r="E1631" s="21">
        <v>45851</v>
      </c>
      <c r="F1631" s="20" t="s">
        <v>111</v>
      </c>
      <c r="G1631" s="22">
        <v>73.47</v>
      </c>
      <c r="H1631" s="22">
        <v>15.51</v>
      </c>
      <c r="I1631" s="20" t="s">
        <v>45</v>
      </c>
      <c r="J1631" s="20">
        <v>4</v>
      </c>
      <c r="K1631" s="20" t="s">
        <v>46</v>
      </c>
      <c r="L1631" s="23">
        <f t="shared" si="186"/>
        <v>45809</v>
      </c>
      <c r="M1631" s="20">
        <f t="shared" si="187"/>
        <v>8</v>
      </c>
      <c r="N1631" s="20">
        <f t="shared" si="188"/>
        <v>0</v>
      </c>
      <c r="O1631" s="20">
        <f t="shared" si="189"/>
        <v>1</v>
      </c>
      <c r="P1631" s="22">
        <f t="shared" si="190"/>
        <v>88.98</v>
      </c>
      <c r="Q1631" s="22">
        <f>G1631*INDEX(Assumptions!$B$8:$B$16,MATCH(F1631,Assumptions!$A$8:$A$16,0))</f>
        <v>46.286099999999998</v>
      </c>
      <c r="R1631" s="22">
        <f>H1631*Assumptions!$B$3</f>
        <v>9.3059999999999992</v>
      </c>
      <c r="S1631" s="22">
        <f t="shared" si="191"/>
        <v>17.877900000000004</v>
      </c>
      <c r="T1631" s="20" t="str">
        <f t="shared" si="192"/>
        <v>8-14 days</v>
      </c>
    </row>
    <row r="1632" spans="1:20" x14ac:dyDescent="0.3">
      <c r="A1632" s="20" t="s">
        <v>1698</v>
      </c>
      <c r="B1632" s="20" t="s">
        <v>55</v>
      </c>
      <c r="C1632" s="21">
        <v>45834</v>
      </c>
      <c r="D1632" s="21">
        <v>45848</v>
      </c>
      <c r="E1632" s="21">
        <v>45857</v>
      </c>
      <c r="F1632" s="20" t="s">
        <v>59</v>
      </c>
      <c r="G1632" s="22">
        <v>124.69</v>
      </c>
      <c r="H1632" s="22">
        <v>18.079999999999998</v>
      </c>
      <c r="I1632" s="20" t="s">
        <v>45</v>
      </c>
      <c r="J1632" s="20">
        <v>4</v>
      </c>
      <c r="K1632" s="20" t="s">
        <v>46</v>
      </c>
      <c r="L1632" s="23">
        <f t="shared" si="186"/>
        <v>45809</v>
      </c>
      <c r="M1632" s="20">
        <f t="shared" si="187"/>
        <v>14</v>
      </c>
      <c r="N1632" s="20">
        <f t="shared" si="188"/>
        <v>0</v>
      </c>
      <c r="O1632" s="20">
        <f t="shared" si="189"/>
        <v>1</v>
      </c>
      <c r="P1632" s="22">
        <f t="shared" si="190"/>
        <v>142.76999999999998</v>
      </c>
      <c r="Q1632" s="22">
        <f>G1632*INDEX(Assumptions!$B$8:$B$16,MATCH(F1632,Assumptions!$A$8:$A$16,0))</f>
        <v>79.801599999999993</v>
      </c>
      <c r="R1632" s="22">
        <f>H1632*Assumptions!$B$3</f>
        <v>10.847999999999999</v>
      </c>
      <c r="S1632" s="22">
        <f t="shared" si="191"/>
        <v>34.040400000000005</v>
      </c>
      <c r="T1632" s="20" t="str">
        <f t="shared" si="192"/>
        <v>8-14 days</v>
      </c>
    </row>
    <row r="1633" spans="1:20" x14ac:dyDescent="0.3">
      <c r="A1633" s="20" t="s">
        <v>1699</v>
      </c>
      <c r="B1633" s="20" t="s">
        <v>19</v>
      </c>
      <c r="C1633" s="21">
        <v>45834</v>
      </c>
      <c r="D1633" s="21">
        <v>45852</v>
      </c>
      <c r="E1633" s="21">
        <v>45849</v>
      </c>
      <c r="F1633" s="20" t="s">
        <v>67</v>
      </c>
      <c r="G1633" s="22">
        <v>69.760000000000005</v>
      </c>
      <c r="H1633" s="22">
        <v>19.079999999999998</v>
      </c>
      <c r="I1633" s="20" t="s">
        <v>45</v>
      </c>
      <c r="J1633" s="20">
        <v>2</v>
      </c>
      <c r="K1633" s="20" t="s">
        <v>46</v>
      </c>
      <c r="L1633" s="23">
        <f t="shared" si="186"/>
        <v>45809</v>
      </c>
      <c r="M1633" s="20">
        <f t="shared" si="187"/>
        <v>18</v>
      </c>
      <c r="N1633" s="20">
        <f t="shared" si="188"/>
        <v>3</v>
      </c>
      <c r="O1633" s="20">
        <f t="shared" si="189"/>
        <v>0</v>
      </c>
      <c r="P1633" s="22">
        <f t="shared" si="190"/>
        <v>88.84</v>
      </c>
      <c r="Q1633" s="22">
        <f>G1633*INDEX(Assumptions!$B$8:$B$16,MATCH(F1633,Assumptions!$A$8:$A$16,0))</f>
        <v>43.251200000000004</v>
      </c>
      <c r="R1633" s="22">
        <f>H1633*Assumptions!$B$3</f>
        <v>11.447999999999999</v>
      </c>
      <c r="S1633" s="22">
        <f t="shared" si="191"/>
        <v>15.060800000000002</v>
      </c>
      <c r="T1633" s="20" t="str">
        <f t="shared" si="192"/>
        <v>15-21 days</v>
      </c>
    </row>
    <row r="1634" spans="1:20" x14ac:dyDescent="0.3">
      <c r="A1634" s="20" t="s">
        <v>1700</v>
      </c>
      <c r="B1634" s="20" t="s">
        <v>19</v>
      </c>
      <c r="C1634" s="21">
        <v>45834</v>
      </c>
      <c r="D1634" s="21">
        <v>45844</v>
      </c>
      <c r="E1634" s="21">
        <v>45849</v>
      </c>
      <c r="F1634" s="20" t="s">
        <v>79</v>
      </c>
      <c r="G1634" s="22">
        <v>88.6</v>
      </c>
      <c r="H1634" s="22">
        <v>18.59</v>
      </c>
      <c r="I1634" s="20" t="s">
        <v>45</v>
      </c>
      <c r="J1634" s="20">
        <v>4</v>
      </c>
      <c r="K1634" s="20" t="s">
        <v>46</v>
      </c>
      <c r="L1634" s="23">
        <f t="shared" si="186"/>
        <v>45809</v>
      </c>
      <c r="M1634" s="20">
        <f t="shared" si="187"/>
        <v>10</v>
      </c>
      <c r="N1634" s="20">
        <f t="shared" si="188"/>
        <v>0</v>
      </c>
      <c r="O1634" s="20">
        <f t="shared" si="189"/>
        <v>1</v>
      </c>
      <c r="P1634" s="22">
        <f t="shared" si="190"/>
        <v>107.19</v>
      </c>
      <c r="Q1634" s="22">
        <f>G1634*INDEX(Assumptions!$B$8:$B$16,MATCH(F1634,Assumptions!$A$8:$A$16,0))</f>
        <v>62.019999999999989</v>
      </c>
      <c r="R1634" s="22">
        <f>H1634*Assumptions!$B$3</f>
        <v>11.154</v>
      </c>
      <c r="S1634" s="22">
        <f t="shared" si="191"/>
        <v>15.426000000000005</v>
      </c>
      <c r="T1634" s="20" t="str">
        <f t="shared" si="192"/>
        <v>8-14 days</v>
      </c>
    </row>
    <row r="1635" spans="1:20" x14ac:dyDescent="0.3">
      <c r="A1635" s="20" t="s">
        <v>1701</v>
      </c>
      <c r="B1635" s="20" t="s">
        <v>103</v>
      </c>
      <c r="C1635" s="21">
        <v>45834</v>
      </c>
      <c r="D1635" s="21">
        <v>45846</v>
      </c>
      <c r="E1635" s="21">
        <v>45855</v>
      </c>
      <c r="F1635" s="20" t="s">
        <v>59</v>
      </c>
      <c r="G1635" s="22">
        <v>54.33</v>
      </c>
      <c r="H1635" s="22">
        <v>29.13</v>
      </c>
      <c r="I1635" s="20" t="s">
        <v>45</v>
      </c>
      <c r="J1635" s="20">
        <v>5</v>
      </c>
      <c r="K1635" s="20" t="s">
        <v>46</v>
      </c>
      <c r="L1635" s="23">
        <f t="shared" si="186"/>
        <v>45809</v>
      </c>
      <c r="M1635" s="20">
        <f t="shared" si="187"/>
        <v>12</v>
      </c>
      <c r="N1635" s="20">
        <f t="shared" si="188"/>
        <v>0</v>
      </c>
      <c r="O1635" s="20">
        <f t="shared" si="189"/>
        <v>1</v>
      </c>
      <c r="P1635" s="22">
        <f t="shared" si="190"/>
        <v>83.46</v>
      </c>
      <c r="Q1635" s="22">
        <f>G1635*INDEX(Assumptions!$B$8:$B$16,MATCH(F1635,Assumptions!$A$8:$A$16,0))</f>
        <v>34.7712</v>
      </c>
      <c r="R1635" s="22">
        <f>H1635*Assumptions!$B$3</f>
        <v>17.477999999999998</v>
      </c>
      <c r="S1635" s="22">
        <f t="shared" si="191"/>
        <v>2.0808</v>
      </c>
      <c r="T1635" s="20" t="str">
        <f t="shared" si="192"/>
        <v>8-14 days</v>
      </c>
    </row>
    <row r="1636" spans="1:20" x14ac:dyDescent="0.3">
      <c r="A1636" s="20" t="s">
        <v>1702</v>
      </c>
      <c r="B1636" s="20" t="s">
        <v>55</v>
      </c>
      <c r="C1636" s="21">
        <v>45834</v>
      </c>
      <c r="D1636" s="21">
        <v>45845</v>
      </c>
      <c r="E1636" s="21">
        <v>45859</v>
      </c>
      <c r="F1636" s="20" t="s">
        <v>59</v>
      </c>
      <c r="G1636" s="22">
        <v>66.569999999999993</v>
      </c>
      <c r="H1636" s="22">
        <v>22.1</v>
      </c>
      <c r="I1636" s="20" t="s">
        <v>50</v>
      </c>
      <c r="J1636" s="20">
        <v>4</v>
      </c>
      <c r="K1636" s="20" t="s">
        <v>46</v>
      </c>
      <c r="L1636" s="23">
        <f t="shared" si="186"/>
        <v>45809</v>
      </c>
      <c r="M1636" s="20">
        <f t="shared" si="187"/>
        <v>11</v>
      </c>
      <c r="N1636" s="20">
        <f t="shared" si="188"/>
        <v>0</v>
      </c>
      <c r="O1636" s="20">
        <f t="shared" si="189"/>
        <v>1</v>
      </c>
      <c r="P1636" s="22">
        <f t="shared" si="190"/>
        <v>88.669999999999987</v>
      </c>
      <c r="Q1636" s="22">
        <f>G1636*INDEX(Assumptions!$B$8:$B$16,MATCH(F1636,Assumptions!$A$8:$A$16,0))</f>
        <v>42.604799999999997</v>
      </c>
      <c r="R1636" s="22">
        <f>H1636*Assumptions!$B$3</f>
        <v>13.26</v>
      </c>
      <c r="S1636" s="22">
        <f t="shared" si="191"/>
        <v>10.705199999999996</v>
      </c>
      <c r="T1636" s="20" t="str">
        <f t="shared" si="192"/>
        <v>8-14 days</v>
      </c>
    </row>
    <row r="1637" spans="1:20" x14ac:dyDescent="0.3">
      <c r="A1637" s="20" t="s">
        <v>1703</v>
      </c>
      <c r="B1637" s="20" t="s">
        <v>19</v>
      </c>
      <c r="C1637" s="21">
        <v>45834</v>
      </c>
      <c r="D1637" s="21">
        <v>45843</v>
      </c>
      <c r="E1637" s="21">
        <v>45849</v>
      </c>
      <c r="F1637" s="20" t="s">
        <v>59</v>
      </c>
      <c r="G1637" s="22">
        <v>59.14</v>
      </c>
      <c r="H1637" s="22">
        <v>19.510000000000002</v>
      </c>
      <c r="I1637" s="20" t="s">
        <v>45</v>
      </c>
      <c r="J1637" s="20">
        <v>4</v>
      </c>
      <c r="K1637" s="20" t="s">
        <v>46</v>
      </c>
      <c r="L1637" s="23">
        <f t="shared" si="186"/>
        <v>45809</v>
      </c>
      <c r="M1637" s="20">
        <f t="shared" si="187"/>
        <v>9</v>
      </c>
      <c r="N1637" s="20">
        <f t="shared" si="188"/>
        <v>0</v>
      </c>
      <c r="O1637" s="20">
        <f t="shared" si="189"/>
        <v>1</v>
      </c>
      <c r="P1637" s="22">
        <f t="shared" si="190"/>
        <v>78.650000000000006</v>
      </c>
      <c r="Q1637" s="22">
        <f>G1637*INDEX(Assumptions!$B$8:$B$16,MATCH(F1637,Assumptions!$A$8:$A$16,0))</f>
        <v>37.849600000000002</v>
      </c>
      <c r="R1637" s="22">
        <f>H1637*Assumptions!$B$3</f>
        <v>11.706000000000001</v>
      </c>
      <c r="S1637" s="22">
        <f t="shared" si="191"/>
        <v>9.5843999999999969</v>
      </c>
      <c r="T1637" s="20" t="str">
        <f t="shared" si="192"/>
        <v>8-14 days</v>
      </c>
    </row>
    <row r="1638" spans="1:20" x14ac:dyDescent="0.3">
      <c r="A1638" s="20" t="s">
        <v>1704</v>
      </c>
      <c r="B1638" s="20" t="s">
        <v>19</v>
      </c>
      <c r="C1638" s="21">
        <v>45835</v>
      </c>
      <c r="D1638" s="21">
        <v>45846</v>
      </c>
      <c r="E1638" s="21">
        <v>45848</v>
      </c>
      <c r="F1638" s="20" t="s">
        <v>49</v>
      </c>
      <c r="G1638" s="22">
        <v>101.54</v>
      </c>
      <c r="H1638" s="22">
        <v>17.690000000000001</v>
      </c>
      <c r="I1638" s="20" t="s">
        <v>45</v>
      </c>
      <c r="J1638" s="20">
        <v>3</v>
      </c>
      <c r="K1638" s="20" t="s">
        <v>46</v>
      </c>
      <c r="L1638" s="23">
        <f t="shared" si="186"/>
        <v>45809</v>
      </c>
      <c r="M1638" s="20">
        <f t="shared" si="187"/>
        <v>11</v>
      </c>
      <c r="N1638" s="20">
        <f t="shared" si="188"/>
        <v>0</v>
      </c>
      <c r="O1638" s="20">
        <f t="shared" si="189"/>
        <v>1</v>
      </c>
      <c r="P1638" s="22">
        <f t="shared" si="190"/>
        <v>119.23</v>
      </c>
      <c r="Q1638" s="22">
        <f>G1638*INDEX(Assumptions!$B$8:$B$16,MATCH(F1638,Assumptions!$A$8:$A$16,0))</f>
        <v>58.8932</v>
      </c>
      <c r="R1638" s="22">
        <f>H1638*Assumptions!$B$3</f>
        <v>10.614000000000001</v>
      </c>
      <c r="S1638" s="22">
        <f t="shared" si="191"/>
        <v>32.032800000000009</v>
      </c>
      <c r="T1638" s="20" t="str">
        <f t="shared" si="192"/>
        <v>8-14 days</v>
      </c>
    </row>
    <row r="1639" spans="1:20" x14ac:dyDescent="0.3">
      <c r="A1639" s="20" t="s">
        <v>1705</v>
      </c>
      <c r="B1639" s="20" t="s">
        <v>55</v>
      </c>
      <c r="C1639" s="21">
        <v>45835</v>
      </c>
      <c r="D1639" s="21">
        <v>45857</v>
      </c>
      <c r="E1639" s="21">
        <v>45858</v>
      </c>
      <c r="F1639" s="20" t="s">
        <v>59</v>
      </c>
      <c r="G1639" s="22">
        <v>186.7</v>
      </c>
      <c r="H1639" s="22">
        <v>19.579999999999998</v>
      </c>
      <c r="I1639" s="20" t="s">
        <v>45</v>
      </c>
      <c r="J1639" s="20">
        <v>4</v>
      </c>
      <c r="K1639" s="20" t="s">
        <v>46</v>
      </c>
      <c r="L1639" s="23">
        <f t="shared" si="186"/>
        <v>45809</v>
      </c>
      <c r="M1639" s="20">
        <f t="shared" si="187"/>
        <v>22</v>
      </c>
      <c r="N1639" s="20">
        <f t="shared" si="188"/>
        <v>0</v>
      </c>
      <c r="O1639" s="20">
        <f t="shared" si="189"/>
        <v>1</v>
      </c>
      <c r="P1639" s="22">
        <f t="shared" si="190"/>
        <v>206.27999999999997</v>
      </c>
      <c r="Q1639" s="22">
        <f>G1639*INDEX(Assumptions!$B$8:$B$16,MATCH(F1639,Assumptions!$A$8:$A$16,0))</f>
        <v>119.488</v>
      </c>
      <c r="R1639" s="22">
        <f>H1639*Assumptions!$B$3</f>
        <v>11.747999999999999</v>
      </c>
      <c r="S1639" s="22">
        <f t="shared" si="191"/>
        <v>55.463999999999992</v>
      </c>
      <c r="T1639" s="20" t="str">
        <f t="shared" si="192"/>
        <v>22+ days</v>
      </c>
    </row>
    <row r="1640" spans="1:20" x14ac:dyDescent="0.3">
      <c r="A1640" s="20" t="s">
        <v>1706</v>
      </c>
      <c r="B1640" s="20" t="s">
        <v>62</v>
      </c>
      <c r="C1640" s="21">
        <v>45835</v>
      </c>
      <c r="D1640" s="21">
        <v>45846</v>
      </c>
      <c r="E1640" s="21">
        <v>45856</v>
      </c>
      <c r="F1640" s="20" t="s">
        <v>67</v>
      </c>
      <c r="G1640" s="22">
        <v>87.64</v>
      </c>
      <c r="H1640" s="22">
        <v>25.72</v>
      </c>
      <c r="I1640" s="20" t="s">
        <v>60</v>
      </c>
      <c r="J1640" s="20">
        <v>5</v>
      </c>
      <c r="K1640" s="20" t="s">
        <v>46</v>
      </c>
      <c r="L1640" s="23">
        <f t="shared" si="186"/>
        <v>45809</v>
      </c>
      <c r="M1640" s="20">
        <f t="shared" si="187"/>
        <v>11</v>
      </c>
      <c r="N1640" s="20">
        <f t="shared" si="188"/>
        <v>0</v>
      </c>
      <c r="O1640" s="20">
        <f t="shared" si="189"/>
        <v>1</v>
      </c>
      <c r="P1640" s="22">
        <f t="shared" si="190"/>
        <v>113.36</v>
      </c>
      <c r="Q1640" s="22">
        <f>G1640*INDEX(Assumptions!$B$8:$B$16,MATCH(F1640,Assumptions!$A$8:$A$16,0))</f>
        <v>54.336799999999997</v>
      </c>
      <c r="R1640" s="22">
        <f>H1640*Assumptions!$B$3</f>
        <v>15.431999999999999</v>
      </c>
      <c r="S1640" s="22">
        <f t="shared" si="191"/>
        <v>17.871200000000005</v>
      </c>
      <c r="T1640" s="20" t="str">
        <f t="shared" si="192"/>
        <v>8-14 days</v>
      </c>
    </row>
    <row r="1641" spans="1:20" x14ac:dyDescent="0.3">
      <c r="A1641" s="20" t="s">
        <v>1707</v>
      </c>
      <c r="B1641" s="20" t="s">
        <v>19</v>
      </c>
      <c r="C1641" s="21">
        <v>45835</v>
      </c>
      <c r="D1641" s="21">
        <v>45843</v>
      </c>
      <c r="E1641" s="21">
        <v>45850</v>
      </c>
      <c r="F1641" s="20" t="s">
        <v>53</v>
      </c>
      <c r="G1641" s="22">
        <v>339.04</v>
      </c>
      <c r="H1641" s="22">
        <v>18.34</v>
      </c>
      <c r="I1641" s="20" t="s">
        <v>45</v>
      </c>
      <c r="J1641" s="20">
        <v>5</v>
      </c>
      <c r="K1641" s="20" t="s">
        <v>46</v>
      </c>
      <c r="L1641" s="23">
        <f t="shared" si="186"/>
        <v>45809</v>
      </c>
      <c r="M1641" s="20">
        <f t="shared" si="187"/>
        <v>8</v>
      </c>
      <c r="N1641" s="20">
        <f t="shared" si="188"/>
        <v>0</v>
      </c>
      <c r="O1641" s="20">
        <f t="shared" si="189"/>
        <v>1</v>
      </c>
      <c r="P1641" s="22">
        <f t="shared" si="190"/>
        <v>357.38</v>
      </c>
      <c r="Q1641" s="22">
        <f>G1641*INDEX(Assumptions!$B$8:$B$16,MATCH(F1641,Assumptions!$A$8:$A$16,0))</f>
        <v>250.8896</v>
      </c>
      <c r="R1641" s="22">
        <f>H1641*Assumptions!$B$3</f>
        <v>11.004</v>
      </c>
      <c r="S1641" s="22">
        <f t="shared" si="191"/>
        <v>77.146400000000014</v>
      </c>
      <c r="T1641" s="20" t="str">
        <f t="shared" si="192"/>
        <v>8-14 days</v>
      </c>
    </row>
    <row r="1642" spans="1:20" x14ac:dyDescent="0.3">
      <c r="A1642" s="20" t="s">
        <v>1708</v>
      </c>
      <c r="B1642" s="20" t="s">
        <v>19</v>
      </c>
      <c r="C1642" s="21">
        <v>45835</v>
      </c>
      <c r="D1642" s="21">
        <v>45855</v>
      </c>
      <c r="E1642" s="21">
        <v>45848</v>
      </c>
      <c r="F1642" s="20" t="s">
        <v>79</v>
      </c>
      <c r="G1642" s="22">
        <v>127.37</v>
      </c>
      <c r="H1642" s="22">
        <v>14.35</v>
      </c>
      <c r="I1642" s="20" t="s">
        <v>60</v>
      </c>
      <c r="J1642" s="20">
        <v>4</v>
      </c>
      <c r="K1642" s="20" t="s">
        <v>46</v>
      </c>
      <c r="L1642" s="23">
        <f t="shared" si="186"/>
        <v>45809</v>
      </c>
      <c r="M1642" s="20">
        <f t="shared" si="187"/>
        <v>20</v>
      </c>
      <c r="N1642" s="20">
        <f t="shared" si="188"/>
        <v>7</v>
      </c>
      <c r="O1642" s="20">
        <f t="shared" si="189"/>
        <v>0</v>
      </c>
      <c r="P1642" s="22">
        <f t="shared" si="190"/>
        <v>141.72</v>
      </c>
      <c r="Q1642" s="22">
        <f>G1642*INDEX(Assumptions!$B$8:$B$16,MATCH(F1642,Assumptions!$A$8:$A$16,0))</f>
        <v>89.158999999999992</v>
      </c>
      <c r="R1642" s="22">
        <f>H1642*Assumptions!$B$3</f>
        <v>8.61</v>
      </c>
      <c r="S1642" s="22">
        <f t="shared" si="191"/>
        <v>29.601000000000013</v>
      </c>
      <c r="T1642" s="20" t="str">
        <f t="shared" si="192"/>
        <v>15-21 days</v>
      </c>
    </row>
    <row r="1643" spans="1:20" x14ac:dyDescent="0.3">
      <c r="A1643" s="20" t="s">
        <v>1709</v>
      </c>
      <c r="B1643" s="20" t="s">
        <v>19</v>
      </c>
      <c r="C1643" s="21">
        <v>45835</v>
      </c>
      <c r="D1643" s="21">
        <v>45839</v>
      </c>
      <c r="E1643" s="21">
        <v>45851</v>
      </c>
      <c r="F1643" s="20" t="s">
        <v>53</v>
      </c>
      <c r="G1643" s="22">
        <v>123.72</v>
      </c>
      <c r="H1643" s="22">
        <v>18.829999999999998</v>
      </c>
      <c r="I1643" s="20" t="s">
        <v>45</v>
      </c>
      <c r="J1643" s="20">
        <v>4</v>
      </c>
      <c r="K1643" s="20" t="s">
        <v>46</v>
      </c>
      <c r="L1643" s="23">
        <f t="shared" si="186"/>
        <v>45809</v>
      </c>
      <c r="M1643" s="20">
        <f t="shared" si="187"/>
        <v>4</v>
      </c>
      <c r="N1643" s="20">
        <f t="shared" si="188"/>
        <v>0</v>
      </c>
      <c r="O1643" s="20">
        <f t="shared" si="189"/>
        <v>1</v>
      </c>
      <c r="P1643" s="22">
        <f t="shared" si="190"/>
        <v>142.55000000000001</v>
      </c>
      <c r="Q1643" s="22">
        <f>G1643*INDEX(Assumptions!$B$8:$B$16,MATCH(F1643,Assumptions!$A$8:$A$16,0))</f>
        <v>91.552800000000005</v>
      </c>
      <c r="R1643" s="22">
        <f>H1643*Assumptions!$B$3</f>
        <v>11.297999999999998</v>
      </c>
      <c r="S1643" s="22">
        <f t="shared" si="191"/>
        <v>20.869199999999996</v>
      </c>
      <c r="T1643" s="20" t="str">
        <f t="shared" si="192"/>
        <v>0-7 days</v>
      </c>
    </row>
    <row r="1644" spans="1:20" x14ac:dyDescent="0.3">
      <c r="A1644" s="20" t="s">
        <v>1710</v>
      </c>
      <c r="B1644" s="20" t="s">
        <v>156</v>
      </c>
      <c r="C1644" s="21">
        <v>45835</v>
      </c>
      <c r="D1644" s="21">
        <v>45854</v>
      </c>
      <c r="E1644" s="21">
        <v>45859</v>
      </c>
      <c r="F1644" s="20" t="s">
        <v>44</v>
      </c>
      <c r="G1644" s="22">
        <v>187.84</v>
      </c>
      <c r="H1644" s="22">
        <v>33.630000000000003</v>
      </c>
      <c r="I1644" s="20" t="s">
        <v>45</v>
      </c>
      <c r="J1644" s="20">
        <v>5</v>
      </c>
      <c r="K1644" s="20" t="s">
        <v>46</v>
      </c>
      <c r="L1644" s="23">
        <f t="shared" si="186"/>
        <v>45809</v>
      </c>
      <c r="M1644" s="20">
        <f t="shared" si="187"/>
        <v>19</v>
      </c>
      <c r="N1644" s="20">
        <f t="shared" si="188"/>
        <v>0</v>
      </c>
      <c r="O1644" s="20">
        <f t="shared" si="189"/>
        <v>1</v>
      </c>
      <c r="P1644" s="22">
        <f t="shared" si="190"/>
        <v>221.47</v>
      </c>
      <c r="Q1644" s="22">
        <f>G1644*INDEX(Assumptions!$B$8:$B$16,MATCH(F1644,Assumptions!$A$8:$A$16,0))</f>
        <v>112.70399999999999</v>
      </c>
      <c r="R1644" s="22">
        <f>H1644*Assumptions!$B$3</f>
        <v>20.178000000000001</v>
      </c>
      <c r="S1644" s="22">
        <f t="shared" si="191"/>
        <v>54.958000000000013</v>
      </c>
      <c r="T1644" s="20" t="str">
        <f t="shared" si="192"/>
        <v>15-21 days</v>
      </c>
    </row>
    <row r="1645" spans="1:20" x14ac:dyDescent="0.3">
      <c r="A1645" s="20" t="s">
        <v>1711</v>
      </c>
      <c r="B1645" s="20" t="s">
        <v>55</v>
      </c>
      <c r="C1645" s="21">
        <v>45835</v>
      </c>
      <c r="D1645" s="21">
        <v>45854</v>
      </c>
      <c r="E1645" s="21">
        <v>45858</v>
      </c>
      <c r="F1645" s="20" t="s">
        <v>53</v>
      </c>
      <c r="G1645" s="22">
        <v>212</v>
      </c>
      <c r="H1645" s="22">
        <v>21.9</v>
      </c>
      <c r="I1645" s="20" t="s">
        <v>45</v>
      </c>
      <c r="J1645" s="20">
        <v>4</v>
      </c>
      <c r="K1645" s="20" t="s">
        <v>46</v>
      </c>
      <c r="L1645" s="23">
        <f t="shared" si="186"/>
        <v>45809</v>
      </c>
      <c r="M1645" s="20">
        <f t="shared" si="187"/>
        <v>19</v>
      </c>
      <c r="N1645" s="20">
        <f t="shared" si="188"/>
        <v>0</v>
      </c>
      <c r="O1645" s="20">
        <f t="shared" si="189"/>
        <v>1</v>
      </c>
      <c r="P1645" s="22">
        <f t="shared" si="190"/>
        <v>233.9</v>
      </c>
      <c r="Q1645" s="22">
        <f>G1645*INDEX(Assumptions!$B$8:$B$16,MATCH(F1645,Assumptions!$A$8:$A$16,0))</f>
        <v>156.88</v>
      </c>
      <c r="R1645" s="22">
        <f>H1645*Assumptions!$B$3</f>
        <v>13.139999999999999</v>
      </c>
      <c r="S1645" s="22">
        <f t="shared" si="191"/>
        <v>41.980000000000004</v>
      </c>
      <c r="T1645" s="20" t="str">
        <f t="shared" si="192"/>
        <v>15-21 days</v>
      </c>
    </row>
    <row r="1646" spans="1:20" x14ac:dyDescent="0.3">
      <c r="A1646" s="20" t="s">
        <v>1712</v>
      </c>
      <c r="B1646" s="20" t="s">
        <v>55</v>
      </c>
      <c r="C1646" s="21">
        <v>45835</v>
      </c>
      <c r="D1646" s="21">
        <v>45856</v>
      </c>
      <c r="E1646" s="21">
        <v>45858</v>
      </c>
      <c r="F1646" s="20" t="s">
        <v>49</v>
      </c>
      <c r="G1646" s="22">
        <v>78.02</v>
      </c>
      <c r="H1646" s="22">
        <v>29.28</v>
      </c>
      <c r="I1646" s="20" t="s">
        <v>45</v>
      </c>
      <c r="J1646" s="20">
        <v>3</v>
      </c>
      <c r="K1646" s="20" t="s">
        <v>46</v>
      </c>
      <c r="L1646" s="23">
        <f t="shared" si="186"/>
        <v>45809</v>
      </c>
      <c r="M1646" s="20">
        <f t="shared" si="187"/>
        <v>21</v>
      </c>
      <c r="N1646" s="20">
        <f t="shared" si="188"/>
        <v>0</v>
      </c>
      <c r="O1646" s="20">
        <f t="shared" si="189"/>
        <v>1</v>
      </c>
      <c r="P1646" s="22">
        <f t="shared" si="190"/>
        <v>107.3</v>
      </c>
      <c r="Q1646" s="22">
        <f>G1646*INDEX(Assumptions!$B$8:$B$16,MATCH(F1646,Assumptions!$A$8:$A$16,0))</f>
        <v>45.251599999999996</v>
      </c>
      <c r="R1646" s="22">
        <f>H1646*Assumptions!$B$3</f>
        <v>17.568000000000001</v>
      </c>
      <c r="S1646" s="22">
        <f t="shared" si="191"/>
        <v>15.200399999999998</v>
      </c>
      <c r="T1646" s="20" t="str">
        <f t="shared" si="192"/>
        <v>15-21 days</v>
      </c>
    </row>
    <row r="1647" spans="1:20" x14ac:dyDescent="0.3">
      <c r="A1647" s="20" t="s">
        <v>1713</v>
      </c>
      <c r="B1647" s="20" t="s">
        <v>134</v>
      </c>
      <c r="C1647" s="21">
        <v>45836</v>
      </c>
      <c r="D1647" s="21">
        <v>45852</v>
      </c>
      <c r="E1647" s="21">
        <v>45861</v>
      </c>
      <c r="F1647" s="20" t="s">
        <v>44</v>
      </c>
      <c r="G1647" s="22">
        <v>58.96</v>
      </c>
      <c r="H1647" s="22">
        <v>24.6</v>
      </c>
      <c r="I1647" s="20" t="s">
        <v>45</v>
      </c>
      <c r="J1647" s="20">
        <v>4</v>
      </c>
      <c r="K1647" s="20" t="s">
        <v>46</v>
      </c>
      <c r="L1647" s="23">
        <f t="shared" si="186"/>
        <v>45809</v>
      </c>
      <c r="M1647" s="20">
        <f t="shared" si="187"/>
        <v>16</v>
      </c>
      <c r="N1647" s="20">
        <f t="shared" si="188"/>
        <v>0</v>
      </c>
      <c r="O1647" s="20">
        <f t="shared" si="189"/>
        <v>1</v>
      </c>
      <c r="P1647" s="22">
        <f t="shared" si="190"/>
        <v>83.56</v>
      </c>
      <c r="Q1647" s="22">
        <f>G1647*INDEX(Assumptions!$B$8:$B$16,MATCH(F1647,Assumptions!$A$8:$A$16,0))</f>
        <v>35.375999999999998</v>
      </c>
      <c r="R1647" s="22">
        <f>H1647*Assumptions!$B$3</f>
        <v>14.76</v>
      </c>
      <c r="S1647" s="22">
        <f t="shared" si="191"/>
        <v>8.8240000000000034</v>
      </c>
      <c r="T1647" s="20" t="str">
        <f t="shared" si="192"/>
        <v>15-21 days</v>
      </c>
    </row>
    <row r="1648" spans="1:20" x14ac:dyDescent="0.3">
      <c r="A1648" s="20" t="s">
        <v>1714</v>
      </c>
      <c r="B1648" s="20" t="s">
        <v>55</v>
      </c>
      <c r="C1648" s="21">
        <v>45836</v>
      </c>
      <c r="D1648" s="21">
        <v>45856</v>
      </c>
      <c r="E1648" s="21">
        <v>45862</v>
      </c>
      <c r="F1648" s="20" t="s">
        <v>53</v>
      </c>
      <c r="G1648" s="22">
        <v>223.09</v>
      </c>
      <c r="H1648" s="22">
        <v>24.14</v>
      </c>
      <c r="I1648" s="20" t="s">
        <v>45</v>
      </c>
      <c r="J1648" s="20">
        <v>5</v>
      </c>
      <c r="K1648" s="20" t="s">
        <v>46</v>
      </c>
      <c r="L1648" s="23">
        <f t="shared" si="186"/>
        <v>45809</v>
      </c>
      <c r="M1648" s="20">
        <f t="shared" si="187"/>
        <v>20</v>
      </c>
      <c r="N1648" s="20">
        <f t="shared" si="188"/>
        <v>0</v>
      </c>
      <c r="O1648" s="20">
        <f t="shared" si="189"/>
        <v>1</v>
      </c>
      <c r="P1648" s="22">
        <f t="shared" si="190"/>
        <v>247.23000000000002</v>
      </c>
      <c r="Q1648" s="22">
        <f>G1648*INDEX(Assumptions!$B$8:$B$16,MATCH(F1648,Assumptions!$A$8:$A$16,0))</f>
        <v>165.0866</v>
      </c>
      <c r="R1648" s="22">
        <f>H1648*Assumptions!$B$3</f>
        <v>14.484</v>
      </c>
      <c r="S1648" s="22">
        <f t="shared" si="191"/>
        <v>43.519399999999997</v>
      </c>
      <c r="T1648" s="20" t="str">
        <f t="shared" si="192"/>
        <v>15-21 days</v>
      </c>
    </row>
    <row r="1649" spans="1:20" x14ac:dyDescent="0.3">
      <c r="A1649" s="20" t="s">
        <v>1715</v>
      </c>
      <c r="B1649" s="20" t="s">
        <v>134</v>
      </c>
      <c r="C1649" s="21">
        <v>45836</v>
      </c>
      <c r="D1649" s="21">
        <v>45847</v>
      </c>
      <c r="E1649" s="21">
        <v>45859</v>
      </c>
      <c r="F1649" s="20" t="s">
        <v>67</v>
      </c>
      <c r="G1649" s="22">
        <v>160.05000000000001</v>
      </c>
      <c r="H1649" s="22">
        <v>25.85</v>
      </c>
      <c r="I1649" s="20" t="s">
        <v>104</v>
      </c>
      <c r="J1649" s="20">
        <v>4</v>
      </c>
      <c r="K1649" s="20" t="s">
        <v>46</v>
      </c>
      <c r="L1649" s="23">
        <f t="shared" si="186"/>
        <v>45809</v>
      </c>
      <c r="M1649" s="20">
        <f t="shared" si="187"/>
        <v>11</v>
      </c>
      <c r="N1649" s="20">
        <f t="shared" si="188"/>
        <v>0</v>
      </c>
      <c r="O1649" s="20">
        <f t="shared" si="189"/>
        <v>1</v>
      </c>
      <c r="P1649" s="22">
        <f t="shared" si="190"/>
        <v>185.9</v>
      </c>
      <c r="Q1649" s="22">
        <f>G1649*INDEX(Assumptions!$B$8:$B$16,MATCH(F1649,Assumptions!$A$8:$A$16,0))</f>
        <v>99.231000000000009</v>
      </c>
      <c r="R1649" s="22">
        <f>H1649*Assumptions!$B$3</f>
        <v>15.51</v>
      </c>
      <c r="S1649" s="22">
        <f t="shared" si="191"/>
        <v>45.309000000000005</v>
      </c>
      <c r="T1649" s="20" t="str">
        <f t="shared" si="192"/>
        <v>8-14 days</v>
      </c>
    </row>
    <row r="1650" spans="1:20" x14ac:dyDescent="0.3">
      <c r="A1650" s="20" t="s">
        <v>1716</v>
      </c>
      <c r="B1650" s="20" t="s">
        <v>19</v>
      </c>
      <c r="C1650" s="21">
        <v>45836</v>
      </c>
      <c r="D1650" s="21">
        <v>45845</v>
      </c>
      <c r="E1650" s="21">
        <v>45854</v>
      </c>
      <c r="F1650" s="20" t="s">
        <v>49</v>
      </c>
      <c r="G1650" s="22">
        <v>83.15</v>
      </c>
      <c r="H1650" s="22">
        <v>12.84</v>
      </c>
      <c r="I1650" s="20" t="s">
        <v>45</v>
      </c>
      <c r="J1650" s="20">
        <v>5</v>
      </c>
      <c r="K1650" s="20" t="s">
        <v>46</v>
      </c>
      <c r="L1650" s="23">
        <f t="shared" si="186"/>
        <v>45809</v>
      </c>
      <c r="M1650" s="20">
        <f t="shared" si="187"/>
        <v>9</v>
      </c>
      <c r="N1650" s="20">
        <f t="shared" si="188"/>
        <v>0</v>
      </c>
      <c r="O1650" s="20">
        <f t="shared" si="189"/>
        <v>1</v>
      </c>
      <c r="P1650" s="22">
        <f t="shared" si="190"/>
        <v>95.990000000000009</v>
      </c>
      <c r="Q1650" s="22">
        <f>G1650*INDEX(Assumptions!$B$8:$B$16,MATCH(F1650,Assumptions!$A$8:$A$16,0))</f>
        <v>48.226999999999997</v>
      </c>
      <c r="R1650" s="22">
        <f>H1650*Assumptions!$B$3</f>
        <v>7.7039999999999997</v>
      </c>
      <c r="S1650" s="22">
        <f t="shared" si="191"/>
        <v>27.219000000000008</v>
      </c>
      <c r="T1650" s="20" t="str">
        <f t="shared" si="192"/>
        <v>8-14 days</v>
      </c>
    </row>
    <row r="1651" spans="1:20" x14ac:dyDescent="0.3">
      <c r="A1651" s="20" t="s">
        <v>1717</v>
      </c>
      <c r="B1651" s="20" t="s">
        <v>19</v>
      </c>
      <c r="C1651" s="21">
        <v>45836</v>
      </c>
      <c r="D1651" s="21">
        <v>45847</v>
      </c>
      <c r="E1651" s="21">
        <v>45849</v>
      </c>
      <c r="F1651" s="20" t="s">
        <v>67</v>
      </c>
      <c r="G1651" s="22">
        <v>167.81</v>
      </c>
      <c r="H1651" s="22">
        <v>13.87</v>
      </c>
      <c r="I1651" s="20" t="s">
        <v>60</v>
      </c>
      <c r="J1651" s="20">
        <v>4</v>
      </c>
      <c r="K1651" s="20" t="s">
        <v>46</v>
      </c>
      <c r="L1651" s="23">
        <f t="shared" si="186"/>
        <v>45809</v>
      </c>
      <c r="M1651" s="20">
        <f t="shared" si="187"/>
        <v>11</v>
      </c>
      <c r="N1651" s="20">
        <f t="shared" si="188"/>
        <v>0</v>
      </c>
      <c r="O1651" s="20">
        <f t="shared" si="189"/>
        <v>1</v>
      </c>
      <c r="P1651" s="22">
        <f t="shared" si="190"/>
        <v>181.68</v>
      </c>
      <c r="Q1651" s="22">
        <f>G1651*INDEX(Assumptions!$B$8:$B$16,MATCH(F1651,Assumptions!$A$8:$A$16,0))</f>
        <v>104.04219999999999</v>
      </c>
      <c r="R1651" s="22">
        <f>H1651*Assumptions!$B$3</f>
        <v>8.3219999999999992</v>
      </c>
      <c r="S1651" s="22">
        <f t="shared" si="191"/>
        <v>55.445800000000006</v>
      </c>
      <c r="T1651" s="20" t="str">
        <f t="shared" si="192"/>
        <v>8-14 days</v>
      </c>
    </row>
    <row r="1652" spans="1:20" x14ac:dyDescent="0.3">
      <c r="A1652" s="20" t="s">
        <v>1718</v>
      </c>
      <c r="B1652" s="20" t="s">
        <v>174</v>
      </c>
      <c r="C1652" s="21">
        <v>45836</v>
      </c>
      <c r="D1652" s="21">
        <v>45856</v>
      </c>
      <c r="E1652" s="21">
        <v>45868</v>
      </c>
      <c r="F1652" s="20" t="s">
        <v>111</v>
      </c>
      <c r="G1652" s="22">
        <v>116.57</v>
      </c>
      <c r="H1652" s="22">
        <v>37.76</v>
      </c>
      <c r="I1652" s="20" t="s">
        <v>60</v>
      </c>
      <c r="J1652" s="20">
        <v>3</v>
      </c>
      <c r="K1652" s="20" t="s">
        <v>46</v>
      </c>
      <c r="L1652" s="23">
        <f t="shared" si="186"/>
        <v>45809</v>
      </c>
      <c r="M1652" s="20">
        <f t="shared" si="187"/>
        <v>20</v>
      </c>
      <c r="N1652" s="20">
        <f t="shared" si="188"/>
        <v>0</v>
      </c>
      <c r="O1652" s="20">
        <f t="shared" si="189"/>
        <v>1</v>
      </c>
      <c r="P1652" s="22">
        <f t="shared" si="190"/>
        <v>154.32999999999998</v>
      </c>
      <c r="Q1652" s="22">
        <f>G1652*INDEX(Assumptions!$B$8:$B$16,MATCH(F1652,Assumptions!$A$8:$A$16,0))</f>
        <v>73.439099999999996</v>
      </c>
      <c r="R1652" s="22">
        <f>H1652*Assumptions!$B$3</f>
        <v>22.655999999999999</v>
      </c>
      <c r="S1652" s="22">
        <f t="shared" si="191"/>
        <v>20.474899999999998</v>
      </c>
      <c r="T1652" s="20" t="str">
        <f t="shared" si="192"/>
        <v>15-21 days</v>
      </c>
    </row>
    <row r="1653" spans="1:20" x14ac:dyDescent="0.3">
      <c r="A1653" s="20" t="s">
        <v>1719</v>
      </c>
      <c r="B1653" s="20" t="s">
        <v>93</v>
      </c>
      <c r="C1653" s="21">
        <v>45837</v>
      </c>
      <c r="D1653" s="21">
        <v>45855</v>
      </c>
      <c r="E1653" s="21">
        <v>45864</v>
      </c>
      <c r="F1653" s="20" t="s">
        <v>49</v>
      </c>
      <c r="G1653" s="22">
        <v>49.34</v>
      </c>
      <c r="H1653" s="22">
        <v>33.4</v>
      </c>
      <c r="I1653" s="20" t="s">
        <v>50</v>
      </c>
      <c r="J1653" s="20">
        <v>4</v>
      </c>
      <c r="K1653" s="20" t="s">
        <v>46</v>
      </c>
      <c r="L1653" s="23">
        <f t="shared" si="186"/>
        <v>45809</v>
      </c>
      <c r="M1653" s="20">
        <f t="shared" si="187"/>
        <v>18</v>
      </c>
      <c r="N1653" s="20">
        <f t="shared" si="188"/>
        <v>0</v>
      </c>
      <c r="O1653" s="20">
        <f t="shared" si="189"/>
        <v>1</v>
      </c>
      <c r="P1653" s="22">
        <f t="shared" si="190"/>
        <v>82.740000000000009</v>
      </c>
      <c r="Q1653" s="22">
        <f>G1653*INDEX(Assumptions!$B$8:$B$16,MATCH(F1653,Assumptions!$A$8:$A$16,0))</f>
        <v>28.6172</v>
      </c>
      <c r="R1653" s="22">
        <f>H1653*Assumptions!$B$3</f>
        <v>20.04</v>
      </c>
      <c r="S1653" s="22">
        <f t="shared" si="191"/>
        <v>0.68280000000000385</v>
      </c>
      <c r="T1653" s="20" t="str">
        <f t="shared" si="192"/>
        <v>15-21 days</v>
      </c>
    </row>
    <row r="1654" spans="1:20" x14ac:dyDescent="0.3">
      <c r="A1654" s="20" t="s">
        <v>1720</v>
      </c>
      <c r="B1654" s="20" t="s">
        <v>19</v>
      </c>
      <c r="C1654" s="21">
        <v>45837</v>
      </c>
      <c r="D1654" s="21">
        <v>45848</v>
      </c>
      <c r="E1654" s="21">
        <v>45855</v>
      </c>
      <c r="F1654" s="20" t="s">
        <v>67</v>
      </c>
      <c r="G1654" s="22">
        <v>79.819999999999993</v>
      </c>
      <c r="H1654" s="22">
        <v>12.22</v>
      </c>
      <c r="I1654" s="20" t="s">
        <v>45</v>
      </c>
      <c r="J1654" s="20">
        <v>5</v>
      </c>
      <c r="K1654" s="20" t="s">
        <v>46</v>
      </c>
      <c r="L1654" s="23">
        <f t="shared" si="186"/>
        <v>45809</v>
      </c>
      <c r="M1654" s="20">
        <f t="shared" si="187"/>
        <v>11</v>
      </c>
      <c r="N1654" s="20">
        <f t="shared" si="188"/>
        <v>0</v>
      </c>
      <c r="O1654" s="20">
        <f t="shared" si="189"/>
        <v>1</v>
      </c>
      <c r="P1654" s="22">
        <f t="shared" si="190"/>
        <v>92.039999999999992</v>
      </c>
      <c r="Q1654" s="22">
        <f>G1654*INDEX(Assumptions!$B$8:$B$16,MATCH(F1654,Assumptions!$A$8:$A$16,0))</f>
        <v>49.488399999999999</v>
      </c>
      <c r="R1654" s="22">
        <f>H1654*Assumptions!$B$3</f>
        <v>7.3319999999999999</v>
      </c>
      <c r="S1654" s="22">
        <f t="shared" si="191"/>
        <v>22.999599999999994</v>
      </c>
      <c r="T1654" s="20" t="str">
        <f t="shared" si="192"/>
        <v>8-14 days</v>
      </c>
    </row>
    <row r="1655" spans="1:20" x14ac:dyDescent="0.3">
      <c r="A1655" s="20" t="s">
        <v>1721</v>
      </c>
      <c r="B1655" s="20" t="s">
        <v>62</v>
      </c>
      <c r="C1655" s="21">
        <v>45837</v>
      </c>
      <c r="D1655" s="21">
        <v>45844</v>
      </c>
      <c r="E1655" s="21">
        <v>45860</v>
      </c>
      <c r="F1655" s="20" t="s">
        <v>49</v>
      </c>
      <c r="G1655" s="22">
        <v>33.51</v>
      </c>
      <c r="H1655" s="22">
        <v>24.18</v>
      </c>
      <c r="I1655" s="20" t="s">
        <v>45</v>
      </c>
      <c r="J1655" s="20">
        <v>5</v>
      </c>
      <c r="K1655" s="20" t="s">
        <v>46</v>
      </c>
      <c r="L1655" s="23">
        <f t="shared" si="186"/>
        <v>45809</v>
      </c>
      <c r="M1655" s="20">
        <f t="shared" si="187"/>
        <v>7</v>
      </c>
      <c r="N1655" s="20">
        <f t="shared" si="188"/>
        <v>0</v>
      </c>
      <c r="O1655" s="20">
        <f t="shared" si="189"/>
        <v>1</v>
      </c>
      <c r="P1655" s="22">
        <f t="shared" si="190"/>
        <v>57.69</v>
      </c>
      <c r="Q1655" s="22">
        <f>G1655*INDEX(Assumptions!$B$8:$B$16,MATCH(F1655,Assumptions!$A$8:$A$16,0))</f>
        <v>19.435799999999997</v>
      </c>
      <c r="R1655" s="22">
        <f>H1655*Assumptions!$B$3</f>
        <v>14.507999999999999</v>
      </c>
      <c r="S1655" s="22">
        <f t="shared" si="191"/>
        <v>-0.43379999999999797</v>
      </c>
      <c r="T1655" s="20" t="str">
        <f t="shared" si="192"/>
        <v>0-7 days</v>
      </c>
    </row>
    <row r="1656" spans="1:20" x14ac:dyDescent="0.3">
      <c r="A1656" s="20" t="s">
        <v>1722</v>
      </c>
      <c r="B1656" s="20" t="s">
        <v>19</v>
      </c>
      <c r="C1656" s="21">
        <v>45837</v>
      </c>
      <c r="D1656" s="21">
        <v>45841</v>
      </c>
      <c r="E1656" s="21">
        <v>45851</v>
      </c>
      <c r="F1656" s="20" t="s">
        <v>53</v>
      </c>
      <c r="G1656" s="22">
        <v>65.44</v>
      </c>
      <c r="H1656" s="22">
        <v>15.29</v>
      </c>
      <c r="I1656" s="20" t="s">
        <v>45</v>
      </c>
      <c r="J1656" s="20">
        <v>5</v>
      </c>
      <c r="K1656" s="20" t="s">
        <v>46</v>
      </c>
      <c r="L1656" s="23">
        <f t="shared" si="186"/>
        <v>45809</v>
      </c>
      <c r="M1656" s="20">
        <f t="shared" si="187"/>
        <v>4</v>
      </c>
      <c r="N1656" s="20">
        <f t="shared" si="188"/>
        <v>0</v>
      </c>
      <c r="O1656" s="20">
        <f t="shared" si="189"/>
        <v>1</v>
      </c>
      <c r="P1656" s="22">
        <f t="shared" si="190"/>
        <v>80.72999999999999</v>
      </c>
      <c r="Q1656" s="22">
        <f>G1656*INDEX(Assumptions!$B$8:$B$16,MATCH(F1656,Assumptions!$A$8:$A$16,0))</f>
        <v>48.425599999999996</v>
      </c>
      <c r="R1656" s="22">
        <f>H1656*Assumptions!$B$3</f>
        <v>9.1739999999999995</v>
      </c>
      <c r="S1656" s="22">
        <f t="shared" si="191"/>
        <v>7.8404000000000025</v>
      </c>
      <c r="T1656" s="20" t="str">
        <f t="shared" si="192"/>
        <v>0-7 days</v>
      </c>
    </row>
    <row r="1657" spans="1:20" x14ac:dyDescent="0.3">
      <c r="A1657" s="20" t="s">
        <v>1723</v>
      </c>
      <c r="B1657" s="20" t="s">
        <v>19</v>
      </c>
      <c r="C1657" s="21">
        <v>45838</v>
      </c>
      <c r="D1657" s="21">
        <v>45844</v>
      </c>
      <c r="E1657" s="21">
        <v>45849</v>
      </c>
      <c r="F1657" s="20" t="s">
        <v>49</v>
      </c>
      <c r="G1657" s="22">
        <v>72.98</v>
      </c>
      <c r="H1657" s="22">
        <v>18.68</v>
      </c>
      <c r="I1657" s="20" t="s">
        <v>45</v>
      </c>
      <c r="J1657" s="20">
        <v>4</v>
      </c>
      <c r="K1657" s="20" t="s">
        <v>46</v>
      </c>
      <c r="L1657" s="23">
        <f t="shared" si="186"/>
        <v>45809</v>
      </c>
      <c r="M1657" s="20">
        <f t="shared" si="187"/>
        <v>6</v>
      </c>
      <c r="N1657" s="20">
        <f t="shared" si="188"/>
        <v>0</v>
      </c>
      <c r="O1657" s="20">
        <f t="shared" si="189"/>
        <v>1</v>
      </c>
      <c r="P1657" s="22">
        <f t="shared" si="190"/>
        <v>91.66</v>
      </c>
      <c r="Q1657" s="22">
        <f>G1657*INDEX(Assumptions!$B$8:$B$16,MATCH(F1657,Assumptions!$A$8:$A$16,0))</f>
        <v>42.328400000000002</v>
      </c>
      <c r="R1657" s="22">
        <f>H1657*Assumptions!$B$3</f>
        <v>11.208</v>
      </c>
      <c r="S1657" s="22">
        <f t="shared" si="191"/>
        <v>19.443600000000004</v>
      </c>
      <c r="T1657" s="20" t="str">
        <f t="shared" si="192"/>
        <v>0-7 days</v>
      </c>
    </row>
    <row r="1658" spans="1:20" x14ac:dyDescent="0.3">
      <c r="A1658" s="20" t="s">
        <v>1724</v>
      </c>
      <c r="B1658" s="20" t="s">
        <v>19</v>
      </c>
      <c r="C1658" s="21">
        <v>45838</v>
      </c>
      <c r="D1658" s="21">
        <v>45849</v>
      </c>
      <c r="E1658" s="21">
        <v>45851</v>
      </c>
      <c r="F1658" s="20" t="s">
        <v>111</v>
      </c>
      <c r="G1658" s="22">
        <v>79.19</v>
      </c>
      <c r="H1658" s="22">
        <v>20.23</v>
      </c>
      <c r="I1658" s="20" t="s">
        <v>60</v>
      </c>
      <c r="J1658" s="20">
        <v>4</v>
      </c>
      <c r="K1658" s="20" t="s">
        <v>46</v>
      </c>
      <c r="L1658" s="23">
        <f t="shared" si="186"/>
        <v>45809</v>
      </c>
      <c r="M1658" s="20">
        <f t="shared" si="187"/>
        <v>11</v>
      </c>
      <c r="N1658" s="20">
        <f t="shared" si="188"/>
        <v>0</v>
      </c>
      <c r="O1658" s="20">
        <f t="shared" si="189"/>
        <v>1</v>
      </c>
      <c r="P1658" s="22">
        <f t="shared" si="190"/>
        <v>99.42</v>
      </c>
      <c r="Q1658" s="22">
        <f>G1658*INDEX(Assumptions!$B$8:$B$16,MATCH(F1658,Assumptions!$A$8:$A$16,0))</f>
        <v>49.889699999999998</v>
      </c>
      <c r="R1658" s="22">
        <f>H1658*Assumptions!$B$3</f>
        <v>12.138</v>
      </c>
      <c r="S1658" s="22">
        <f t="shared" si="191"/>
        <v>17.162300000000002</v>
      </c>
      <c r="T1658" s="20" t="str">
        <f t="shared" si="192"/>
        <v>8-14 days</v>
      </c>
    </row>
    <row r="1659" spans="1:20" x14ac:dyDescent="0.3">
      <c r="A1659" s="20" t="s">
        <v>1725</v>
      </c>
      <c r="B1659" s="20" t="s">
        <v>55</v>
      </c>
      <c r="C1659" s="21">
        <v>45839</v>
      </c>
      <c r="D1659" s="21">
        <v>45852</v>
      </c>
      <c r="E1659" s="21">
        <v>45862</v>
      </c>
      <c r="F1659" s="20" t="s">
        <v>64</v>
      </c>
      <c r="G1659" s="22">
        <v>90.11</v>
      </c>
      <c r="H1659" s="22">
        <v>25.03</v>
      </c>
      <c r="I1659" s="20" t="s">
        <v>45</v>
      </c>
      <c r="J1659" s="20">
        <v>3</v>
      </c>
      <c r="K1659" s="20" t="s">
        <v>46</v>
      </c>
      <c r="L1659" s="23">
        <f t="shared" si="186"/>
        <v>45839</v>
      </c>
      <c r="M1659" s="20">
        <f t="shared" si="187"/>
        <v>13</v>
      </c>
      <c r="N1659" s="20">
        <f t="shared" si="188"/>
        <v>0</v>
      </c>
      <c r="O1659" s="20">
        <f t="shared" si="189"/>
        <v>1</v>
      </c>
      <c r="P1659" s="22">
        <f t="shared" si="190"/>
        <v>115.14</v>
      </c>
      <c r="Q1659" s="22">
        <f>G1659*INDEX(Assumptions!$B$8:$B$16,MATCH(F1659,Assumptions!$A$8:$A$16,0))</f>
        <v>59.4726</v>
      </c>
      <c r="R1659" s="22">
        <f>H1659*Assumptions!$B$3</f>
        <v>15.018000000000001</v>
      </c>
      <c r="S1659" s="22">
        <f t="shared" si="191"/>
        <v>15.619399999999999</v>
      </c>
      <c r="T1659" s="20" t="str">
        <f t="shared" si="192"/>
        <v>8-14 days</v>
      </c>
    </row>
    <row r="1660" spans="1:20" x14ac:dyDescent="0.3">
      <c r="A1660" s="20" t="s">
        <v>1726</v>
      </c>
      <c r="B1660" s="20" t="s">
        <v>19</v>
      </c>
      <c r="C1660" s="21">
        <v>45839</v>
      </c>
      <c r="D1660" s="21">
        <v>45844</v>
      </c>
      <c r="E1660" s="21">
        <v>45854</v>
      </c>
      <c r="F1660" s="20" t="s">
        <v>67</v>
      </c>
      <c r="G1660" s="22">
        <v>99.17</v>
      </c>
      <c r="H1660" s="22">
        <v>17.739999999999998</v>
      </c>
      <c r="I1660" s="20" t="s">
        <v>45</v>
      </c>
      <c r="J1660" s="20">
        <v>5</v>
      </c>
      <c r="K1660" s="20" t="s">
        <v>46</v>
      </c>
      <c r="L1660" s="23">
        <f t="shared" si="186"/>
        <v>45839</v>
      </c>
      <c r="M1660" s="20">
        <f t="shared" si="187"/>
        <v>5</v>
      </c>
      <c r="N1660" s="20">
        <f t="shared" si="188"/>
        <v>0</v>
      </c>
      <c r="O1660" s="20">
        <f t="shared" si="189"/>
        <v>1</v>
      </c>
      <c r="P1660" s="22">
        <f t="shared" si="190"/>
        <v>116.91</v>
      </c>
      <c r="Q1660" s="22">
        <f>G1660*INDEX(Assumptions!$B$8:$B$16,MATCH(F1660,Assumptions!$A$8:$A$16,0))</f>
        <v>61.485399999999998</v>
      </c>
      <c r="R1660" s="22">
        <f>H1660*Assumptions!$B$3</f>
        <v>10.643999999999998</v>
      </c>
      <c r="S1660" s="22">
        <f t="shared" si="191"/>
        <v>27.040600000000005</v>
      </c>
      <c r="T1660" s="20" t="str">
        <f t="shared" si="192"/>
        <v>0-7 days</v>
      </c>
    </row>
    <row r="1661" spans="1:20" x14ac:dyDescent="0.3">
      <c r="A1661" s="20" t="s">
        <v>1727</v>
      </c>
      <c r="B1661" s="20" t="s">
        <v>19</v>
      </c>
      <c r="C1661" s="21">
        <v>45841</v>
      </c>
      <c r="D1661" s="21">
        <v>45851</v>
      </c>
      <c r="E1661" s="21">
        <v>45857</v>
      </c>
      <c r="F1661" s="20" t="s">
        <v>59</v>
      </c>
      <c r="G1661" s="22">
        <v>154.69999999999999</v>
      </c>
      <c r="H1661" s="22">
        <v>15.34</v>
      </c>
      <c r="I1661" s="20" t="s">
        <v>45</v>
      </c>
      <c r="J1661" s="20">
        <v>4</v>
      </c>
      <c r="K1661" s="20" t="s">
        <v>46</v>
      </c>
      <c r="L1661" s="23">
        <f t="shared" si="186"/>
        <v>45839</v>
      </c>
      <c r="M1661" s="20">
        <f t="shared" si="187"/>
        <v>10</v>
      </c>
      <c r="N1661" s="20">
        <f t="shared" si="188"/>
        <v>0</v>
      </c>
      <c r="O1661" s="20">
        <f t="shared" si="189"/>
        <v>1</v>
      </c>
      <c r="P1661" s="22">
        <f t="shared" si="190"/>
        <v>170.04</v>
      </c>
      <c r="Q1661" s="22">
        <f>G1661*INDEX(Assumptions!$B$8:$B$16,MATCH(F1661,Assumptions!$A$8:$A$16,0))</f>
        <v>99.007999999999996</v>
      </c>
      <c r="R1661" s="22">
        <f>H1661*Assumptions!$B$3</f>
        <v>9.2039999999999988</v>
      </c>
      <c r="S1661" s="22">
        <f t="shared" si="191"/>
        <v>46.487999999999992</v>
      </c>
      <c r="T1661" s="20" t="str">
        <f t="shared" si="192"/>
        <v>8-14 days</v>
      </c>
    </row>
    <row r="1662" spans="1:20" x14ac:dyDescent="0.3">
      <c r="A1662" s="20" t="s">
        <v>1728</v>
      </c>
      <c r="B1662" s="20" t="s">
        <v>93</v>
      </c>
      <c r="C1662" s="21">
        <v>45841</v>
      </c>
      <c r="D1662" s="21">
        <v>45850</v>
      </c>
      <c r="E1662" s="21">
        <v>45867</v>
      </c>
      <c r="F1662" s="20" t="s">
        <v>53</v>
      </c>
      <c r="G1662" s="22">
        <v>164.35</v>
      </c>
      <c r="H1662" s="22">
        <v>40.14</v>
      </c>
      <c r="I1662" s="20" t="s">
        <v>60</v>
      </c>
      <c r="J1662" s="20">
        <v>5</v>
      </c>
      <c r="K1662" s="20" t="s">
        <v>46</v>
      </c>
      <c r="L1662" s="23">
        <f t="shared" si="186"/>
        <v>45839</v>
      </c>
      <c r="M1662" s="20">
        <f t="shared" si="187"/>
        <v>9</v>
      </c>
      <c r="N1662" s="20">
        <f t="shared" si="188"/>
        <v>0</v>
      </c>
      <c r="O1662" s="20">
        <f t="shared" si="189"/>
        <v>1</v>
      </c>
      <c r="P1662" s="22">
        <f t="shared" si="190"/>
        <v>204.49</v>
      </c>
      <c r="Q1662" s="22">
        <f>G1662*INDEX(Assumptions!$B$8:$B$16,MATCH(F1662,Assumptions!$A$8:$A$16,0))</f>
        <v>121.619</v>
      </c>
      <c r="R1662" s="22">
        <f>H1662*Assumptions!$B$3</f>
        <v>24.084</v>
      </c>
      <c r="S1662" s="22">
        <f t="shared" si="191"/>
        <v>18.646999999999995</v>
      </c>
      <c r="T1662" s="20" t="str">
        <f t="shared" si="192"/>
        <v>8-14 days</v>
      </c>
    </row>
    <row r="1663" spans="1:20" x14ac:dyDescent="0.3">
      <c r="A1663" s="20" t="s">
        <v>1729</v>
      </c>
      <c r="B1663" s="20" t="s">
        <v>174</v>
      </c>
      <c r="C1663" s="21">
        <v>45841</v>
      </c>
      <c r="D1663" s="21">
        <v>45860</v>
      </c>
      <c r="E1663" s="21">
        <v>45871</v>
      </c>
      <c r="F1663" s="20" t="s">
        <v>53</v>
      </c>
      <c r="G1663" s="22">
        <v>60.18</v>
      </c>
      <c r="H1663" s="22">
        <v>29.87</v>
      </c>
      <c r="I1663" s="20" t="s">
        <v>45</v>
      </c>
      <c r="J1663" s="20">
        <v>4</v>
      </c>
      <c r="K1663" s="20" t="s">
        <v>46</v>
      </c>
      <c r="L1663" s="23">
        <f t="shared" si="186"/>
        <v>45839</v>
      </c>
      <c r="M1663" s="20">
        <f t="shared" si="187"/>
        <v>19</v>
      </c>
      <c r="N1663" s="20">
        <f t="shared" si="188"/>
        <v>0</v>
      </c>
      <c r="O1663" s="20">
        <f t="shared" si="189"/>
        <v>1</v>
      </c>
      <c r="P1663" s="22">
        <f t="shared" si="190"/>
        <v>90.05</v>
      </c>
      <c r="Q1663" s="22">
        <f>G1663*INDEX(Assumptions!$B$8:$B$16,MATCH(F1663,Assumptions!$A$8:$A$16,0))</f>
        <v>44.533200000000001</v>
      </c>
      <c r="R1663" s="22">
        <f>H1663*Assumptions!$B$3</f>
        <v>17.922000000000001</v>
      </c>
      <c r="S1663" s="22">
        <f t="shared" si="191"/>
        <v>-2.2752000000000017</v>
      </c>
      <c r="T1663" s="20" t="str">
        <f t="shared" si="192"/>
        <v>15-21 days</v>
      </c>
    </row>
    <row r="1664" spans="1:20" x14ac:dyDescent="0.3">
      <c r="A1664" s="20" t="s">
        <v>1730</v>
      </c>
      <c r="B1664" s="20" t="s">
        <v>52</v>
      </c>
      <c r="C1664" s="21">
        <v>45841</v>
      </c>
      <c r="D1664" s="21">
        <v>45855</v>
      </c>
      <c r="E1664" s="21">
        <v>45865</v>
      </c>
      <c r="F1664" s="20" t="s">
        <v>67</v>
      </c>
      <c r="G1664" s="22">
        <v>123.18</v>
      </c>
      <c r="H1664" s="22">
        <v>30.29</v>
      </c>
      <c r="I1664" s="20" t="s">
        <v>45</v>
      </c>
      <c r="J1664" s="20">
        <v>5</v>
      </c>
      <c r="K1664" s="20" t="s">
        <v>46</v>
      </c>
      <c r="L1664" s="23">
        <f t="shared" si="186"/>
        <v>45839</v>
      </c>
      <c r="M1664" s="20">
        <f t="shared" si="187"/>
        <v>14</v>
      </c>
      <c r="N1664" s="20">
        <f t="shared" si="188"/>
        <v>0</v>
      </c>
      <c r="O1664" s="20">
        <f t="shared" si="189"/>
        <v>1</v>
      </c>
      <c r="P1664" s="22">
        <f t="shared" si="190"/>
        <v>153.47</v>
      </c>
      <c r="Q1664" s="22">
        <f>G1664*INDEX(Assumptions!$B$8:$B$16,MATCH(F1664,Assumptions!$A$8:$A$16,0))</f>
        <v>76.371600000000001</v>
      </c>
      <c r="R1664" s="22">
        <f>H1664*Assumptions!$B$3</f>
        <v>18.173999999999999</v>
      </c>
      <c r="S1664" s="22">
        <f t="shared" si="191"/>
        <v>28.634400000000007</v>
      </c>
      <c r="T1664" s="20" t="str">
        <f t="shared" si="192"/>
        <v>8-14 days</v>
      </c>
    </row>
    <row r="1665" spans="1:20" x14ac:dyDescent="0.3">
      <c r="A1665" s="20" t="s">
        <v>1731</v>
      </c>
      <c r="B1665" s="20" t="s">
        <v>19</v>
      </c>
      <c r="C1665" s="21">
        <v>45841</v>
      </c>
      <c r="D1665" s="21">
        <v>45846</v>
      </c>
      <c r="E1665" s="21">
        <v>45856</v>
      </c>
      <c r="F1665" s="20" t="s">
        <v>67</v>
      </c>
      <c r="G1665" s="22">
        <v>29.69</v>
      </c>
      <c r="H1665" s="22">
        <v>21.21</v>
      </c>
      <c r="I1665" s="20" t="s">
        <v>45</v>
      </c>
      <c r="J1665" s="20">
        <v>4</v>
      </c>
      <c r="K1665" s="20" t="s">
        <v>46</v>
      </c>
      <c r="L1665" s="23">
        <f t="shared" si="186"/>
        <v>45839</v>
      </c>
      <c r="M1665" s="20">
        <f t="shared" si="187"/>
        <v>5</v>
      </c>
      <c r="N1665" s="20">
        <f t="shared" si="188"/>
        <v>0</v>
      </c>
      <c r="O1665" s="20">
        <f t="shared" si="189"/>
        <v>1</v>
      </c>
      <c r="P1665" s="22">
        <f t="shared" si="190"/>
        <v>50.900000000000006</v>
      </c>
      <c r="Q1665" s="22">
        <f>G1665*INDEX(Assumptions!$B$8:$B$16,MATCH(F1665,Assumptions!$A$8:$A$16,0))</f>
        <v>18.407800000000002</v>
      </c>
      <c r="R1665" s="22">
        <f>H1665*Assumptions!$B$3</f>
        <v>12.726000000000001</v>
      </c>
      <c r="S1665" s="22">
        <f t="shared" si="191"/>
        <v>-1.4438000000000013</v>
      </c>
      <c r="T1665" s="20" t="str">
        <f t="shared" si="192"/>
        <v>0-7 days</v>
      </c>
    </row>
    <row r="1666" spans="1:20" x14ac:dyDescent="0.3">
      <c r="A1666" s="20" t="s">
        <v>1732</v>
      </c>
      <c r="B1666" s="20" t="s">
        <v>52</v>
      </c>
      <c r="C1666" s="21">
        <v>45841</v>
      </c>
      <c r="D1666" s="21">
        <v>45871</v>
      </c>
      <c r="E1666" s="21">
        <v>45866</v>
      </c>
      <c r="F1666" s="20" t="s">
        <v>67</v>
      </c>
      <c r="G1666" s="22">
        <v>59.46</v>
      </c>
      <c r="H1666" s="22">
        <v>19.04</v>
      </c>
      <c r="I1666" s="20" t="s">
        <v>45</v>
      </c>
      <c r="J1666" s="20">
        <v>2</v>
      </c>
      <c r="K1666" s="20" t="s">
        <v>46</v>
      </c>
      <c r="L1666" s="23">
        <f t="shared" ref="L1666:L1729" si="193">DATE(YEAR(C1666),MONTH(C1666),1)</f>
        <v>45839</v>
      </c>
      <c r="M1666" s="20">
        <f t="shared" ref="M1666:M1729" si="194">D1666-C1666</f>
        <v>30</v>
      </c>
      <c r="N1666" s="20">
        <f t="shared" ref="N1666:N1729" si="195">MAX(0,D1666-E1666)</f>
        <v>5</v>
      </c>
      <c r="O1666" s="20">
        <f t="shared" ref="O1666:O1729" si="196">IF(D1666&lt;=E1666,1,0)</f>
        <v>0</v>
      </c>
      <c r="P1666" s="22">
        <f t="shared" ref="P1666:P1729" si="197">G1666+H1666</f>
        <v>78.5</v>
      </c>
      <c r="Q1666" s="22">
        <f>G1666*INDEX(Assumptions!$B$8:$B$16,MATCH(F1666,Assumptions!$A$8:$A$16,0))</f>
        <v>36.865200000000002</v>
      </c>
      <c r="R1666" s="22">
        <f>H1666*Assumptions!$B$3</f>
        <v>11.423999999999999</v>
      </c>
      <c r="S1666" s="22">
        <f t="shared" ref="S1666:S1729" si="198">G1666-Q1666-R1666</f>
        <v>11.1708</v>
      </c>
      <c r="T1666" s="20" t="str">
        <f t="shared" ref="T1666:T1729" si="199">IF(M1666&lt;=7,"0-7 days",IF(M1666&lt;=14,"8-14 days",IF(M1666&lt;=21,"15-21 days","22+ days")))</f>
        <v>22+ days</v>
      </c>
    </row>
    <row r="1667" spans="1:20" x14ac:dyDescent="0.3">
      <c r="A1667" s="20" t="s">
        <v>1733</v>
      </c>
      <c r="B1667" s="20" t="s">
        <v>48</v>
      </c>
      <c r="C1667" s="21">
        <v>45842</v>
      </c>
      <c r="D1667" s="21">
        <v>45857</v>
      </c>
      <c r="E1667" s="21">
        <v>45862</v>
      </c>
      <c r="F1667" s="20" t="s">
        <v>111</v>
      </c>
      <c r="G1667" s="22">
        <v>60.84</v>
      </c>
      <c r="H1667" s="22">
        <v>26.48</v>
      </c>
      <c r="I1667" s="20" t="s">
        <v>45</v>
      </c>
      <c r="J1667" s="20">
        <v>4</v>
      </c>
      <c r="K1667" s="20" t="s">
        <v>46</v>
      </c>
      <c r="L1667" s="23">
        <f t="shared" si="193"/>
        <v>45839</v>
      </c>
      <c r="M1667" s="20">
        <f t="shared" si="194"/>
        <v>15</v>
      </c>
      <c r="N1667" s="20">
        <f t="shared" si="195"/>
        <v>0</v>
      </c>
      <c r="O1667" s="20">
        <f t="shared" si="196"/>
        <v>1</v>
      </c>
      <c r="P1667" s="22">
        <f t="shared" si="197"/>
        <v>87.320000000000007</v>
      </c>
      <c r="Q1667" s="22">
        <f>G1667*INDEX(Assumptions!$B$8:$B$16,MATCH(F1667,Assumptions!$A$8:$A$16,0))</f>
        <v>38.3292</v>
      </c>
      <c r="R1667" s="22">
        <f>H1667*Assumptions!$B$3</f>
        <v>15.888</v>
      </c>
      <c r="S1667" s="22">
        <f t="shared" si="198"/>
        <v>6.6228000000000034</v>
      </c>
      <c r="T1667" s="20" t="str">
        <f t="shared" si="199"/>
        <v>15-21 days</v>
      </c>
    </row>
    <row r="1668" spans="1:20" x14ac:dyDescent="0.3">
      <c r="A1668" s="20" t="s">
        <v>1734</v>
      </c>
      <c r="B1668" s="20" t="s">
        <v>52</v>
      </c>
      <c r="C1668" s="21">
        <v>45842</v>
      </c>
      <c r="D1668" s="21">
        <v>45889</v>
      </c>
      <c r="E1668" s="21">
        <v>45864</v>
      </c>
      <c r="F1668" s="20" t="s">
        <v>79</v>
      </c>
      <c r="G1668" s="22">
        <v>215.88</v>
      </c>
      <c r="H1668" s="22">
        <v>24.07</v>
      </c>
      <c r="I1668" s="20" t="s">
        <v>45</v>
      </c>
      <c r="J1668" s="20">
        <v>1</v>
      </c>
      <c r="K1668" s="20" t="s">
        <v>46</v>
      </c>
      <c r="L1668" s="23">
        <f t="shared" si="193"/>
        <v>45839</v>
      </c>
      <c r="M1668" s="20">
        <f t="shared" si="194"/>
        <v>47</v>
      </c>
      <c r="N1668" s="20">
        <f t="shared" si="195"/>
        <v>25</v>
      </c>
      <c r="O1668" s="20">
        <f t="shared" si="196"/>
        <v>0</v>
      </c>
      <c r="P1668" s="22">
        <f t="shared" si="197"/>
        <v>239.95</v>
      </c>
      <c r="Q1668" s="22">
        <f>G1668*INDEX(Assumptions!$B$8:$B$16,MATCH(F1668,Assumptions!$A$8:$A$16,0))</f>
        <v>151.11599999999999</v>
      </c>
      <c r="R1668" s="22">
        <f>H1668*Assumptions!$B$3</f>
        <v>14.442</v>
      </c>
      <c r="S1668" s="22">
        <f t="shared" si="198"/>
        <v>50.32200000000001</v>
      </c>
      <c r="T1668" s="20" t="str">
        <f t="shared" si="199"/>
        <v>22+ days</v>
      </c>
    </row>
    <row r="1669" spans="1:20" x14ac:dyDescent="0.3">
      <c r="A1669" s="20" t="s">
        <v>1735</v>
      </c>
      <c r="B1669" s="20" t="s">
        <v>62</v>
      </c>
      <c r="C1669" s="21">
        <v>45842</v>
      </c>
      <c r="D1669" s="21">
        <v>45854</v>
      </c>
      <c r="E1669" s="21">
        <v>45868</v>
      </c>
      <c r="F1669" s="20" t="s">
        <v>59</v>
      </c>
      <c r="G1669" s="22">
        <v>64.430000000000007</v>
      </c>
      <c r="H1669" s="22">
        <v>23.35</v>
      </c>
      <c r="I1669" s="20" t="s">
        <v>45</v>
      </c>
      <c r="J1669" s="20">
        <v>5</v>
      </c>
      <c r="K1669" s="20" t="s">
        <v>46</v>
      </c>
      <c r="L1669" s="23">
        <f t="shared" si="193"/>
        <v>45839</v>
      </c>
      <c r="M1669" s="20">
        <f t="shared" si="194"/>
        <v>12</v>
      </c>
      <c r="N1669" s="20">
        <f t="shared" si="195"/>
        <v>0</v>
      </c>
      <c r="O1669" s="20">
        <f t="shared" si="196"/>
        <v>1</v>
      </c>
      <c r="P1669" s="22">
        <f t="shared" si="197"/>
        <v>87.78</v>
      </c>
      <c r="Q1669" s="22">
        <f>G1669*INDEX(Assumptions!$B$8:$B$16,MATCH(F1669,Assumptions!$A$8:$A$16,0))</f>
        <v>41.235200000000006</v>
      </c>
      <c r="R1669" s="22">
        <f>H1669*Assumptions!$B$3</f>
        <v>14.01</v>
      </c>
      <c r="S1669" s="22">
        <f t="shared" si="198"/>
        <v>9.184800000000001</v>
      </c>
      <c r="T1669" s="20" t="str">
        <f t="shared" si="199"/>
        <v>8-14 days</v>
      </c>
    </row>
    <row r="1670" spans="1:20" x14ac:dyDescent="0.3">
      <c r="A1670" s="20" t="s">
        <v>1736</v>
      </c>
      <c r="B1670" s="20" t="s">
        <v>103</v>
      </c>
      <c r="C1670" s="21">
        <v>45843</v>
      </c>
      <c r="D1670" s="21">
        <v>45853</v>
      </c>
      <c r="E1670" s="21">
        <v>45866</v>
      </c>
      <c r="F1670" s="20" t="s">
        <v>49</v>
      </c>
      <c r="G1670" s="22">
        <v>108.77</v>
      </c>
      <c r="H1670" s="22">
        <v>17.87</v>
      </c>
      <c r="I1670" s="20" t="s">
        <v>45</v>
      </c>
      <c r="J1670" s="20">
        <v>4</v>
      </c>
      <c r="K1670" s="20" t="s">
        <v>46</v>
      </c>
      <c r="L1670" s="23">
        <f t="shared" si="193"/>
        <v>45839</v>
      </c>
      <c r="M1670" s="20">
        <f t="shared" si="194"/>
        <v>10</v>
      </c>
      <c r="N1670" s="20">
        <f t="shared" si="195"/>
        <v>0</v>
      </c>
      <c r="O1670" s="20">
        <f t="shared" si="196"/>
        <v>1</v>
      </c>
      <c r="P1670" s="22">
        <f t="shared" si="197"/>
        <v>126.64</v>
      </c>
      <c r="Q1670" s="22">
        <f>G1670*INDEX(Assumptions!$B$8:$B$16,MATCH(F1670,Assumptions!$A$8:$A$16,0))</f>
        <v>63.08659999999999</v>
      </c>
      <c r="R1670" s="22">
        <f>H1670*Assumptions!$B$3</f>
        <v>10.722</v>
      </c>
      <c r="S1670" s="22">
        <f t="shared" si="198"/>
        <v>34.961400000000005</v>
      </c>
      <c r="T1670" s="20" t="str">
        <f t="shared" si="199"/>
        <v>8-14 days</v>
      </c>
    </row>
    <row r="1671" spans="1:20" x14ac:dyDescent="0.3">
      <c r="A1671" s="20" t="s">
        <v>1737</v>
      </c>
      <c r="B1671" s="20" t="s">
        <v>62</v>
      </c>
      <c r="C1671" s="21">
        <v>45843</v>
      </c>
      <c r="D1671" s="21">
        <v>45861</v>
      </c>
      <c r="E1671" s="21">
        <v>45865</v>
      </c>
      <c r="F1671" s="20" t="s">
        <v>67</v>
      </c>
      <c r="G1671" s="22">
        <v>58.76</v>
      </c>
      <c r="H1671" s="22">
        <v>17.28</v>
      </c>
      <c r="I1671" s="20" t="s">
        <v>45</v>
      </c>
      <c r="J1671" s="20">
        <v>4</v>
      </c>
      <c r="K1671" s="20" t="s">
        <v>46</v>
      </c>
      <c r="L1671" s="23">
        <f t="shared" si="193"/>
        <v>45839</v>
      </c>
      <c r="M1671" s="20">
        <f t="shared" si="194"/>
        <v>18</v>
      </c>
      <c r="N1671" s="20">
        <f t="shared" si="195"/>
        <v>0</v>
      </c>
      <c r="O1671" s="20">
        <f t="shared" si="196"/>
        <v>1</v>
      </c>
      <c r="P1671" s="22">
        <f t="shared" si="197"/>
        <v>76.039999999999992</v>
      </c>
      <c r="Q1671" s="22">
        <f>G1671*INDEX(Assumptions!$B$8:$B$16,MATCH(F1671,Assumptions!$A$8:$A$16,0))</f>
        <v>36.431199999999997</v>
      </c>
      <c r="R1671" s="22">
        <f>H1671*Assumptions!$B$3</f>
        <v>10.368</v>
      </c>
      <c r="S1671" s="22">
        <f t="shared" si="198"/>
        <v>11.960800000000001</v>
      </c>
      <c r="T1671" s="20" t="str">
        <f t="shared" si="199"/>
        <v>15-21 days</v>
      </c>
    </row>
    <row r="1672" spans="1:20" x14ac:dyDescent="0.3">
      <c r="A1672" s="20" t="s">
        <v>1738</v>
      </c>
      <c r="B1672" s="20" t="s">
        <v>19</v>
      </c>
      <c r="C1672" s="21">
        <v>45843</v>
      </c>
      <c r="D1672" s="21">
        <v>45848</v>
      </c>
      <c r="E1672" s="21">
        <v>45860</v>
      </c>
      <c r="F1672" s="20" t="s">
        <v>49</v>
      </c>
      <c r="G1672" s="22">
        <v>95.78</v>
      </c>
      <c r="H1672" s="22">
        <v>20.440000000000001</v>
      </c>
      <c r="I1672" s="20" t="s">
        <v>45</v>
      </c>
      <c r="J1672" s="20">
        <v>4</v>
      </c>
      <c r="K1672" s="20" t="s">
        <v>46</v>
      </c>
      <c r="L1672" s="23">
        <f t="shared" si="193"/>
        <v>45839</v>
      </c>
      <c r="M1672" s="20">
        <f t="shared" si="194"/>
        <v>5</v>
      </c>
      <c r="N1672" s="20">
        <f t="shared" si="195"/>
        <v>0</v>
      </c>
      <c r="O1672" s="20">
        <f t="shared" si="196"/>
        <v>1</v>
      </c>
      <c r="P1672" s="22">
        <f t="shared" si="197"/>
        <v>116.22</v>
      </c>
      <c r="Q1672" s="22">
        <f>G1672*INDEX(Assumptions!$B$8:$B$16,MATCH(F1672,Assumptions!$A$8:$A$16,0))</f>
        <v>55.552399999999999</v>
      </c>
      <c r="R1672" s="22">
        <f>H1672*Assumptions!$B$3</f>
        <v>12.264000000000001</v>
      </c>
      <c r="S1672" s="22">
        <f t="shared" si="198"/>
        <v>27.9636</v>
      </c>
      <c r="T1672" s="20" t="str">
        <f t="shared" si="199"/>
        <v>0-7 days</v>
      </c>
    </row>
    <row r="1673" spans="1:20" x14ac:dyDescent="0.3">
      <c r="A1673" s="20" t="s">
        <v>1739</v>
      </c>
      <c r="B1673" s="20" t="s">
        <v>19</v>
      </c>
      <c r="C1673" s="21">
        <v>45843</v>
      </c>
      <c r="D1673" s="21">
        <v>45850</v>
      </c>
      <c r="E1673" s="21">
        <v>45859</v>
      </c>
      <c r="F1673" s="20" t="s">
        <v>111</v>
      </c>
      <c r="G1673" s="22">
        <v>34.75</v>
      </c>
      <c r="H1673" s="22">
        <v>14.38</v>
      </c>
      <c r="I1673" s="20" t="s">
        <v>60</v>
      </c>
      <c r="J1673" s="20">
        <v>4</v>
      </c>
      <c r="K1673" s="20" t="s">
        <v>46</v>
      </c>
      <c r="L1673" s="23">
        <f t="shared" si="193"/>
        <v>45839</v>
      </c>
      <c r="M1673" s="20">
        <f t="shared" si="194"/>
        <v>7</v>
      </c>
      <c r="N1673" s="20">
        <f t="shared" si="195"/>
        <v>0</v>
      </c>
      <c r="O1673" s="20">
        <f t="shared" si="196"/>
        <v>1</v>
      </c>
      <c r="P1673" s="22">
        <f t="shared" si="197"/>
        <v>49.13</v>
      </c>
      <c r="Q1673" s="22">
        <f>G1673*INDEX(Assumptions!$B$8:$B$16,MATCH(F1673,Assumptions!$A$8:$A$16,0))</f>
        <v>21.892500000000002</v>
      </c>
      <c r="R1673" s="22">
        <f>H1673*Assumptions!$B$3</f>
        <v>8.6280000000000001</v>
      </c>
      <c r="S1673" s="22">
        <f t="shared" si="198"/>
        <v>4.229499999999998</v>
      </c>
      <c r="T1673" s="20" t="str">
        <f t="shared" si="199"/>
        <v>0-7 days</v>
      </c>
    </row>
    <row r="1674" spans="1:20" x14ac:dyDescent="0.3">
      <c r="A1674" s="20" t="s">
        <v>1740</v>
      </c>
      <c r="B1674" s="20" t="s">
        <v>55</v>
      </c>
      <c r="C1674" s="21">
        <v>45843</v>
      </c>
      <c r="D1674" s="21">
        <v>45853</v>
      </c>
      <c r="E1674" s="21">
        <v>45866</v>
      </c>
      <c r="F1674" s="20" t="s">
        <v>44</v>
      </c>
      <c r="G1674" s="22">
        <v>187.66</v>
      </c>
      <c r="H1674" s="22">
        <v>32.22</v>
      </c>
      <c r="I1674" s="20" t="s">
        <v>45</v>
      </c>
      <c r="J1674" s="20">
        <v>5</v>
      </c>
      <c r="K1674" s="20" t="s">
        <v>46</v>
      </c>
      <c r="L1674" s="23">
        <f t="shared" si="193"/>
        <v>45839</v>
      </c>
      <c r="M1674" s="20">
        <f t="shared" si="194"/>
        <v>10</v>
      </c>
      <c r="N1674" s="20">
        <f t="shared" si="195"/>
        <v>0</v>
      </c>
      <c r="O1674" s="20">
        <f t="shared" si="196"/>
        <v>1</v>
      </c>
      <c r="P1674" s="22">
        <f t="shared" si="197"/>
        <v>219.88</v>
      </c>
      <c r="Q1674" s="22">
        <f>G1674*INDEX(Assumptions!$B$8:$B$16,MATCH(F1674,Assumptions!$A$8:$A$16,0))</f>
        <v>112.59599999999999</v>
      </c>
      <c r="R1674" s="22">
        <f>H1674*Assumptions!$B$3</f>
        <v>19.331999999999997</v>
      </c>
      <c r="S1674" s="22">
        <f t="shared" si="198"/>
        <v>55.732000000000014</v>
      </c>
      <c r="T1674" s="20" t="str">
        <f t="shared" si="199"/>
        <v>8-14 days</v>
      </c>
    </row>
    <row r="1675" spans="1:20" x14ac:dyDescent="0.3">
      <c r="A1675" s="20" t="s">
        <v>1741</v>
      </c>
      <c r="B1675" s="20" t="s">
        <v>19</v>
      </c>
      <c r="C1675" s="21">
        <v>45843</v>
      </c>
      <c r="D1675" s="21">
        <v>45852</v>
      </c>
      <c r="E1675" s="21">
        <v>45857</v>
      </c>
      <c r="F1675" s="20" t="s">
        <v>67</v>
      </c>
      <c r="G1675" s="22">
        <v>94.84</v>
      </c>
      <c r="H1675" s="22">
        <v>18.920000000000002</v>
      </c>
      <c r="I1675" s="20" t="s">
        <v>45</v>
      </c>
      <c r="J1675" s="20">
        <v>5</v>
      </c>
      <c r="K1675" s="20" t="s">
        <v>46</v>
      </c>
      <c r="L1675" s="23">
        <f t="shared" si="193"/>
        <v>45839</v>
      </c>
      <c r="M1675" s="20">
        <f t="shared" si="194"/>
        <v>9</v>
      </c>
      <c r="N1675" s="20">
        <f t="shared" si="195"/>
        <v>0</v>
      </c>
      <c r="O1675" s="20">
        <f t="shared" si="196"/>
        <v>1</v>
      </c>
      <c r="P1675" s="22">
        <f t="shared" si="197"/>
        <v>113.76</v>
      </c>
      <c r="Q1675" s="22">
        <f>G1675*INDEX(Assumptions!$B$8:$B$16,MATCH(F1675,Assumptions!$A$8:$A$16,0))</f>
        <v>58.800800000000002</v>
      </c>
      <c r="R1675" s="22">
        <f>H1675*Assumptions!$B$3</f>
        <v>11.352</v>
      </c>
      <c r="S1675" s="22">
        <f t="shared" si="198"/>
        <v>24.687200000000001</v>
      </c>
      <c r="T1675" s="20" t="str">
        <f t="shared" si="199"/>
        <v>8-14 days</v>
      </c>
    </row>
    <row r="1676" spans="1:20" x14ac:dyDescent="0.3">
      <c r="A1676" s="20" t="s">
        <v>1742</v>
      </c>
      <c r="B1676" s="20" t="s">
        <v>156</v>
      </c>
      <c r="C1676" s="21">
        <v>45844</v>
      </c>
      <c r="D1676" s="21">
        <v>45857</v>
      </c>
      <c r="E1676" s="21">
        <v>45871</v>
      </c>
      <c r="F1676" s="20" t="s">
        <v>49</v>
      </c>
      <c r="G1676" s="22">
        <v>41.46</v>
      </c>
      <c r="H1676" s="22">
        <v>31.85</v>
      </c>
      <c r="I1676" s="20" t="s">
        <v>45</v>
      </c>
      <c r="J1676" s="20">
        <v>3</v>
      </c>
      <c r="K1676" s="20" t="s">
        <v>46</v>
      </c>
      <c r="L1676" s="23">
        <f t="shared" si="193"/>
        <v>45839</v>
      </c>
      <c r="M1676" s="20">
        <f t="shared" si="194"/>
        <v>13</v>
      </c>
      <c r="N1676" s="20">
        <f t="shared" si="195"/>
        <v>0</v>
      </c>
      <c r="O1676" s="20">
        <f t="shared" si="196"/>
        <v>1</v>
      </c>
      <c r="P1676" s="22">
        <f t="shared" si="197"/>
        <v>73.31</v>
      </c>
      <c r="Q1676" s="22">
        <f>G1676*INDEX(Assumptions!$B$8:$B$16,MATCH(F1676,Assumptions!$A$8:$A$16,0))</f>
        <v>24.046799999999998</v>
      </c>
      <c r="R1676" s="22">
        <f>H1676*Assumptions!$B$3</f>
        <v>19.11</v>
      </c>
      <c r="S1676" s="22">
        <f t="shared" si="198"/>
        <v>-1.6967999999999961</v>
      </c>
      <c r="T1676" s="20" t="str">
        <f t="shared" si="199"/>
        <v>8-14 days</v>
      </c>
    </row>
    <row r="1677" spans="1:20" x14ac:dyDescent="0.3">
      <c r="A1677" s="20" t="s">
        <v>1743</v>
      </c>
      <c r="B1677" s="20" t="s">
        <v>19</v>
      </c>
      <c r="C1677" s="21">
        <v>45844</v>
      </c>
      <c r="D1677" s="21">
        <v>45851</v>
      </c>
      <c r="E1677" s="21">
        <v>45861</v>
      </c>
      <c r="F1677" s="20" t="s">
        <v>64</v>
      </c>
      <c r="G1677" s="22">
        <v>88.08</v>
      </c>
      <c r="H1677" s="22">
        <v>12.72</v>
      </c>
      <c r="I1677" s="20" t="s">
        <v>45</v>
      </c>
      <c r="J1677" s="20">
        <v>5</v>
      </c>
      <c r="K1677" s="20" t="s">
        <v>46</v>
      </c>
      <c r="L1677" s="23">
        <f t="shared" si="193"/>
        <v>45839</v>
      </c>
      <c r="M1677" s="20">
        <f t="shared" si="194"/>
        <v>7</v>
      </c>
      <c r="N1677" s="20">
        <f t="shared" si="195"/>
        <v>0</v>
      </c>
      <c r="O1677" s="20">
        <f t="shared" si="196"/>
        <v>1</v>
      </c>
      <c r="P1677" s="22">
        <f t="shared" si="197"/>
        <v>100.8</v>
      </c>
      <c r="Q1677" s="22">
        <f>G1677*INDEX(Assumptions!$B$8:$B$16,MATCH(F1677,Assumptions!$A$8:$A$16,0))</f>
        <v>58.132800000000003</v>
      </c>
      <c r="R1677" s="22">
        <f>H1677*Assumptions!$B$3</f>
        <v>7.6319999999999997</v>
      </c>
      <c r="S1677" s="22">
        <f t="shared" si="198"/>
        <v>22.315199999999997</v>
      </c>
      <c r="T1677" s="20" t="str">
        <f t="shared" si="199"/>
        <v>0-7 days</v>
      </c>
    </row>
    <row r="1678" spans="1:20" x14ac:dyDescent="0.3">
      <c r="A1678" s="20" t="s">
        <v>1744</v>
      </c>
      <c r="B1678" s="20" t="s">
        <v>19</v>
      </c>
      <c r="C1678" s="21">
        <v>45844</v>
      </c>
      <c r="D1678" s="21">
        <v>45853</v>
      </c>
      <c r="E1678" s="21">
        <v>45860</v>
      </c>
      <c r="F1678" s="20" t="s">
        <v>111</v>
      </c>
      <c r="G1678" s="22">
        <v>44.65</v>
      </c>
      <c r="H1678" s="22">
        <v>17.739999999999998</v>
      </c>
      <c r="I1678" s="20" t="s">
        <v>60</v>
      </c>
      <c r="J1678" s="20">
        <v>5</v>
      </c>
      <c r="K1678" s="20" t="s">
        <v>46</v>
      </c>
      <c r="L1678" s="23">
        <f t="shared" si="193"/>
        <v>45839</v>
      </c>
      <c r="M1678" s="20">
        <f t="shared" si="194"/>
        <v>9</v>
      </c>
      <c r="N1678" s="20">
        <f t="shared" si="195"/>
        <v>0</v>
      </c>
      <c r="O1678" s="20">
        <f t="shared" si="196"/>
        <v>1</v>
      </c>
      <c r="P1678" s="22">
        <f t="shared" si="197"/>
        <v>62.39</v>
      </c>
      <c r="Q1678" s="22">
        <f>G1678*INDEX(Assumptions!$B$8:$B$16,MATCH(F1678,Assumptions!$A$8:$A$16,0))</f>
        <v>28.1295</v>
      </c>
      <c r="R1678" s="22">
        <f>H1678*Assumptions!$B$3</f>
        <v>10.643999999999998</v>
      </c>
      <c r="S1678" s="22">
        <f t="shared" si="198"/>
        <v>5.8765000000000001</v>
      </c>
      <c r="T1678" s="20" t="str">
        <f t="shared" si="199"/>
        <v>8-14 days</v>
      </c>
    </row>
    <row r="1679" spans="1:20" x14ac:dyDescent="0.3">
      <c r="A1679" s="20" t="s">
        <v>1745</v>
      </c>
      <c r="B1679" s="20" t="s">
        <v>93</v>
      </c>
      <c r="C1679" s="21">
        <v>45844</v>
      </c>
      <c r="D1679" s="21">
        <v>45863</v>
      </c>
      <c r="E1679" s="21">
        <v>45874</v>
      </c>
      <c r="F1679" s="20" t="s">
        <v>57</v>
      </c>
      <c r="G1679" s="22">
        <v>273.66000000000003</v>
      </c>
      <c r="H1679" s="22">
        <v>31.84</v>
      </c>
      <c r="I1679" s="20" t="s">
        <v>45</v>
      </c>
      <c r="J1679" s="20">
        <v>3</v>
      </c>
      <c r="K1679" s="20" t="s">
        <v>46</v>
      </c>
      <c r="L1679" s="23">
        <f t="shared" si="193"/>
        <v>45839</v>
      </c>
      <c r="M1679" s="20">
        <f t="shared" si="194"/>
        <v>19</v>
      </c>
      <c r="N1679" s="20">
        <f t="shared" si="195"/>
        <v>0</v>
      </c>
      <c r="O1679" s="20">
        <f t="shared" si="196"/>
        <v>1</v>
      </c>
      <c r="P1679" s="22">
        <f t="shared" si="197"/>
        <v>305.5</v>
      </c>
      <c r="Q1679" s="22">
        <f>G1679*INDEX(Assumptions!$B$8:$B$16,MATCH(F1679,Assumptions!$A$8:$A$16,0))</f>
        <v>186.08880000000002</v>
      </c>
      <c r="R1679" s="22">
        <f>H1679*Assumptions!$B$3</f>
        <v>19.103999999999999</v>
      </c>
      <c r="S1679" s="22">
        <f t="shared" si="198"/>
        <v>68.467200000000005</v>
      </c>
      <c r="T1679" s="20" t="str">
        <f t="shared" si="199"/>
        <v>15-21 days</v>
      </c>
    </row>
    <row r="1680" spans="1:20" x14ac:dyDescent="0.3">
      <c r="A1680" s="20" t="s">
        <v>1746</v>
      </c>
      <c r="B1680" s="20" t="s">
        <v>201</v>
      </c>
      <c r="C1680" s="21">
        <v>45845</v>
      </c>
      <c r="D1680" s="21">
        <v>45859</v>
      </c>
      <c r="E1680" s="21">
        <v>45876</v>
      </c>
      <c r="F1680" s="20" t="s">
        <v>111</v>
      </c>
      <c r="G1680" s="22">
        <v>69.47</v>
      </c>
      <c r="H1680" s="22">
        <v>48.59</v>
      </c>
      <c r="I1680" s="20" t="s">
        <v>45</v>
      </c>
      <c r="J1680" s="20">
        <v>5</v>
      </c>
      <c r="K1680" s="20" t="s">
        <v>46</v>
      </c>
      <c r="L1680" s="23">
        <f t="shared" si="193"/>
        <v>45839</v>
      </c>
      <c r="M1680" s="20">
        <f t="shared" si="194"/>
        <v>14</v>
      </c>
      <c r="N1680" s="20">
        <f t="shared" si="195"/>
        <v>0</v>
      </c>
      <c r="O1680" s="20">
        <f t="shared" si="196"/>
        <v>1</v>
      </c>
      <c r="P1680" s="22">
        <f t="shared" si="197"/>
        <v>118.06</v>
      </c>
      <c r="Q1680" s="22">
        <f>G1680*INDEX(Assumptions!$B$8:$B$16,MATCH(F1680,Assumptions!$A$8:$A$16,0))</f>
        <v>43.766100000000002</v>
      </c>
      <c r="R1680" s="22">
        <f>H1680*Assumptions!$B$3</f>
        <v>29.154</v>
      </c>
      <c r="S1680" s="22">
        <f t="shared" si="198"/>
        <v>-3.4501000000000026</v>
      </c>
      <c r="T1680" s="20" t="str">
        <f t="shared" si="199"/>
        <v>8-14 days</v>
      </c>
    </row>
    <row r="1681" spans="1:20" x14ac:dyDescent="0.3">
      <c r="A1681" s="20" t="s">
        <v>1747</v>
      </c>
      <c r="B1681" s="20" t="s">
        <v>19</v>
      </c>
      <c r="C1681" s="21">
        <v>45845</v>
      </c>
      <c r="D1681" s="21">
        <v>45855</v>
      </c>
      <c r="E1681" s="21">
        <v>45860</v>
      </c>
      <c r="F1681" s="20" t="s">
        <v>53</v>
      </c>
      <c r="G1681" s="22">
        <v>75.66</v>
      </c>
      <c r="H1681" s="22">
        <v>16.059999999999999</v>
      </c>
      <c r="I1681" s="20" t="s">
        <v>45</v>
      </c>
      <c r="J1681" s="20">
        <v>4</v>
      </c>
      <c r="K1681" s="20" t="s">
        <v>46</v>
      </c>
      <c r="L1681" s="23">
        <f t="shared" si="193"/>
        <v>45839</v>
      </c>
      <c r="M1681" s="20">
        <f t="shared" si="194"/>
        <v>10</v>
      </c>
      <c r="N1681" s="20">
        <f t="shared" si="195"/>
        <v>0</v>
      </c>
      <c r="O1681" s="20">
        <f t="shared" si="196"/>
        <v>1</v>
      </c>
      <c r="P1681" s="22">
        <f t="shared" si="197"/>
        <v>91.72</v>
      </c>
      <c r="Q1681" s="22">
        <f>G1681*INDEX(Assumptions!$B$8:$B$16,MATCH(F1681,Assumptions!$A$8:$A$16,0))</f>
        <v>55.988399999999999</v>
      </c>
      <c r="R1681" s="22">
        <f>H1681*Assumptions!$B$3</f>
        <v>9.6359999999999992</v>
      </c>
      <c r="S1681" s="22">
        <f t="shared" si="198"/>
        <v>10.035599999999999</v>
      </c>
      <c r="T1681" s="20" t="str">
        <f t="shared" si="199"/>
        <v>8-14 days</v>
      </c>
    </row>
    <row r="1682" spans="1:20" x14ac:dyDescent="0.3">
      <c r="A1682" s="20" t="s">
        <v>1748</v>
      </c>
      <c r="B1682" s="20" t="s">
        <v>19</v>
      </c>
      <c r="C1682" s="21">
        <v>45845</v>
      </c>
      <c r="D1682" s="21">
        <v>45852</v>
      </c>
      <c r="E1682" s="21">
        <v>45861</v>
      </c>
      <c r="F1682" s="20" t="s">
        <v>111</v>
      </c>
      <c r="G1682" s="22">
        <v>63.42</v>
      </c>
      <c r="H1682" s="22">
        <v>18.57</v>
      </c>
      <c r="I1682" s="20" t="s">
        <v>45</v>
      </c>
      <c r="J1682" s="20">
        <v>4</v>
      </c>
      <c r="K1682" s="20" t="s">
        <v>46</v>
      </c>
      <c r="L1682" s="23">
        <f t="shared" si="193"/>
        <v>45839</v>
      </c>
      <c r="M1682" s="20">
        <f t="shared" si="194"/>
        <v>7</v>
      </c>
      <c r="N1682" s="20">
        <f t="shared" si="195"/>
        <v>0</v>
      </c>
      <c r="O1682" s="20">
        <f t="shared" si="196"/>
        <v>1</v>
      </c>
      <c r="P1682" s="22">
        <f t="shared" si="197"/>
        <v>81.990000000000009</v>
      </c>
      <c r="Q1682" s="22">
        <f>G1682*INDEX(Assumptions!$B$8:$B$16,MATCH(F1682,Assumptions!$A$8:$A$16,0))</f>
        <v>39.954599999999999</v>
      </c>
      <c r="R1682" s="22">
        <f>H1682*Assumptions!$B$3</f>
        <v>11.141999999999999</v>
      </c>
      <c r="S1682" s="22">
        <f t="shared" si="198"/>
        <v>12.323400000000003</v>
      </c>
      <c r="T1682" s="20" t="str">
        <f t="shared" si="199"/>
        <v>0-7 days</v>
      </c>
    </row>
    <row r="1683" spans="1:20" x14ac:dyDescent="0.3">
      <c r="A1683" s="20" t="s">
        <v>1749</v>
      </c>
      <c r="B1683" s="20" t="s">
        <v>19</v>
      </c>
      <c r="C1683" s="21">
        <v>45845</v>
      </c>
      <c r="D1683" s="21">
        <v>45852</v>
      </c>
      <c r="E1683" s="21">
        <v>45864</v>
      </c>
      <c r="F1683" s="20" t="s">
        <v>67</v>
      </c>
      <c r="G1683" s="22">
        <v>49.68</v>
      </c>
      <c r="H1683" s="22">
        <v>13.55</v>
      </c>
      <c r="I1683" s="20" t="s">
        <v>45</v>
      </c>
      <c r="J1683" s="20">
        <v>5</v>
      </c>
      <c r="K1683" s="20" t="s">
        <v>46</v>
      </c>
      <c r="L1683" s="23">
        <f t="shared" si="193"/>
        <v>45839</v>
      </c>
      <c r="M1683" s="20">
        <f t="shared" si="194"/>
        <v>7</v>
      </c>
      <c r="N1683" s="20">
        <f t="shared" si="195"/>
        <v>0</v>
      </c>
      <c r="O1683" s="20">
        <f t="shared" si="196"/>
        <v>1</v>
      </c>
      <c r="P1683" s="22">
        <f t="shared" si="197"/>
        <v>63.230000000000004</v>
      </c>
      <c r="Q1683" s="22">
        <f>G1683*INDEX(Assumptions!$B$8:$B$16,MATCH(F1683,Assumptions!$A$8:$A$16,0))</f>
        <v>30.801600000000001</v>
      </c>
      <c r="R1683" s="22">
        <f>H1683*Assumptions!$B$3</f>
        <v>8.1300000000000008</v>
      </c>
      <c r="S1683" s="22">
        <f t="shared" si="198"/>
        <v>10.748399999999998</v>
      </c>
      <c r="T1683" s="20" t="str">
        <f t="shared" si="199"/>
        <v>0-7 days</v>
      </c>
    </row>
    <row r="1684" spans="1:20" x14ac:dyDescent="0.3">
      <c r="A1684" s="20" t="s">
        <v>1750</v>
      </c>
      <c r="B1684" s="20" t="s">
        <v>19</v>
      </c>
      <c r="C1684" s="21">
        <v>45845</v>
      </c>
      <c r="D1684" s="21">
        <v>45848</v>
      </c>
      <c r="E1684" s="21">
        <v>45857</v>
      </c>
      <c r="F1684" s="20" t="s">
        <v>49</v>
      </c>
      <c r="G1684" s="22">
        <v>80.709999999999994</v>
      </c>
      <c r="H1684" s="22">
        <v>22.54</v>
      </c>
      <c r="I1684" s="20" t="s">
        <v>45</v>
      </c>
      <c r="J1684" s="20">
        <v>5</v>
      </c>
      <c r="K1684" s="20" t="s">
        <v>46</v>
      </c>
      <c r="L1684" s="23">
        <f t="shared" si="193"/>
        <v>45839</v>
      </c>
      <c r="M1684" s="20">
        <f t="shared" si="194"/>
        <v>3</v>
      </c>
      <c r="N1684" s="20">
        <f t="shared" si="195"/>
        <v>0</v>
      </c>
      <c r="O1684" s="20">
        <f t="shared" si="196"/>
        <v>1</v>
      </c>
      <c r="P1684" s="22">
        <f t="shared" si="197"/>
        <v>103.25</v>
      </c>
      <c r="Q1684" s="22">
        <f>G1684*INDEX(Assumptions!$B$8:$B$16,MATCH(F1684,Assumptions!$A$8:$A$16,0))</f>
        <v>46.811799999999991</v>
      </c>
      <c r="R1684" s="22">
        <f>H1684*Assumptions!$B$3</f>
        <v>13.523999999999999</v>
      </c>
      <c r="S1684" s="22">
        <f t="shared" si="198"/>
        <v>20.374200000000002</v>
      </c>
      <c r="T1684" s="20" t="str">
        <f t="shared" si="199"/>
        <v>0-7 days</v>
      </c>
    </row>
    <row r="1685" spans="1:20" x14ac:dyDescent="0.3">
      <c r="A1685" s="20" t="s">
        <v>1751</v>
      </c>
      <c r="B1685" s="20" t="s">
        <v>77</v>
      </c>
      <c r="C1685" s="21">
        <v>45846</v>
      </c>
      <c r="D1685" s="21">
        <v>45877</v>
      </c>
      <c r="E1685" s="21">
        <v>45873</v>
      </c>
      <c r="F1685" s="20" t="s">
        <v>79</v>
      </c>
      <c r="G1685" s="22">
        <v>274.49</v>
      </c>
      <c r="H1685" s="22">
        <v>25.2</v>
      </c>
      <c r="I1685" s="20" t="s">
        <v>45</v>
      </c>
      <c r="J1685" s="20">
        <v>1</v>
      </c>
      <c r="K1685" s="20" t="s">
        <v>46</v>
      </c>
      <c r="L1685" s="23">
        <f t="shared" si="193"/>
        <v>45839</v>
      </c>
      <c r="M1685" s="20">
        <f t="shared" si="194"/>
        <v>31</v>
      </c>
      <c r="N1685" s="20">
        <f t="shared" si="195"/>
        <v>4</v>
      </c>
      <c r="O1685" s="20">
        <f t="shared" si="196"/>
        <v>0</v>
      </c>
      <c r="P1685" s="22">
        <f t="shared" si="197"/>
        <v>299.69</v>
      </c>
      <c r="Q1685" s="22">
        <f>G1685*INDEX(Assumptions!$B$8:$B$16,MATCH(F1685,Assumptions!$A$8:$A$16,0))</f>
        <v>192.143</v>
      </c>
      <c r="R1685" s="22">
        <f>H1685*Assumptions!$B$3</f>
        <v>15.12</v>
      </c>
      <c r="S1685" s="22">
        <f t="shared" si="198"/>
        <v>67.227000000000004</v>
      </c>
      <c r="T1685" s="20" t="str">
        <f t="shared" si="199"/>
        <v>22+ days</v>
      </c>
    </row>
    <row r="1686" spans="1:20" x14ac:dyDescent="0.3">
      <c r="A1686" s="20" t="s">
        <v>1752</v>
      </c>
      <c r="B1686" s="20" t="s">
        <v>19</v>
      </c>
      <c r="C1686" s="21">
        <v>45846</v>
      </c>
      <c r="D1686" s="21">
        <v>45852</v>
      </c>
      <c r="E1686" s="21">
        <v>45865</v>
      </c>
      <c r="F1686" s="20" t="s">
        <v>49</v>
      </c>
      <c r="G1686" s="22">
        <v>86.48</v>
      </c>
      <c r="H1686" s="22">
        <v>21.51</v>
      </c>
      <c r="I1686" s="20" t="s">
        <v>60</v>
      </c>
      <c r="J1686" s="20">
        <v>4</v>
      </c>
      <c r="K1686" s="20" t="s">
        <v>46</v>
      </c>
      <c r="L1686" s="23">
        <f t="shared" si="193"/>
        <v>45839</v>
      </c>
      <c r="M1686" s="20">
        <f t="shared" si="194"/>
        <v>6</v>
      </c>
      <c r="N1686" s="20">
        <f t="shared" si="195"/>
        <v>0</v>
      </c>
      <c r="O1686" s="20">
        <f t="shared" si="196"/>
        <v>1</v>
      </c>
      <c r="P1686" s="22">
        <f t="shared" si="197"/>
        <v>107.99000000000001</v>
      </c>
      <c r="Q1686" s="22">
        <f>G1686*INDEX(Assumptions!$B$8:$B$16,MATCH(F1686,Assumptions!$A$8:$A$16,0))</f>
        <v>50.1584</v>
      </c>
      <c r="R1686" s="22">
        <f>H1686*Assumptions!$B$3</f>
        <v>12.906000000000001</v>
      </c>
      <c r="S1686" s="22">
        <f t="shared" si="198"/>
        <v>23.415600000000005</v>
      </c>
      <c r="T1686" s="20" t="str">
        <f t="shared" si="199"/>
        <v>0-7 days</v>
      </c>
    </row>
    <row r="1687" spans="1:20" x14ac:dyDescent="0.3">
      <c r="A1687" s="20" t="s">
        <v>1753</v>
      </c>
      <c r="B1687" s="20" t="s">
        <v>134</v>
      </c>
      <c r="C1687" s="21">
        <v>45846</v>
      </c>
      <c r="D1687" s="21">
        <v>45862</v>
      </c>
      <c r="E1687" s="21">
        <v>45868</v>
      </c>
      <c r="F1687" s="20" t="s">
        <v>64</v>
      </c>
      <c r="G1687" s="22">
        <v>127.39</v>
      </c>
      <c r="H1687" s="22">
        <v>21.28</v>
      </c>
      <c r="I1687" s="20" t="s">
        <v>45</v>
      </c>
      <c r="J1687" s="20">
        <v>5</v>
      </c>
      <c r="K1687" s="20" t="s">
        <v>46</v>
      </c>
      <c r="L1687" s="23">
        <f t="shared" si="193"/>
        <v>45839</v>
      </c>
      <c r="M1687" s="20">
        <f t="shared" si="194"/>
        <v>16</v>
      </c>
      <c r="N1687" s="20">
        <f t="shared" si="195"/>
        <v>0</v>
      </c>
      <c r="O1687" s="20">
        <f t="shared" si="196"/>
        <v>1</v>
      </c>
      <c r="P1687" s="22">
        <f t="shared" si="197"/>
        <v>148.67000000000002</v>
      </c>
      <c r="Q1687" s="22">
        <f>G1687*INDEX(Assumptions!$B$8:$B$16,MATCH(F1687,Assumptions!$A$8:$A$16,0))</f>
        <v>84.077399999999997</v>
      </c>
      <c r="R1687" s="22">
        <f>H1687*Assumptions!$B$3</f>
        <v>12.768000000000001</v>
      </c>
      <c r="S1687" s="22">
        <f t="shared" si="198"/>
        <v>30.544600000000003</v>
      </c>
      <c r="T1687" s="20" t="str">
        <f t="shared" si="199"/>
        <v>15-21 days</v>
      </c>
    </row>
    <row r="1688" spans="1:20" x14ac:dyDescent="0.3">
      <c r="A1688" s="20" t="s">
        <v>1754</v>
      </c>
      <c r="B1688" s="20" t="s">
        <v>19</v>
      </c>
      <c r="C1688" s="21">
        <v>45847</v>
      </c>
      <c r="D1688" s="21">
        <v>45868</v>
      </c>
      <c r="E1688" s="21">
        <v>45862</v>
      </c>
      <c r="F1688" s="20" t="s">
        <v>67</v>
      </c>
      <c r="G1688" s="22">
        <v>49.17</v>
      </c>
      <c r="H1688" s="22">
        <v>19.690000000000001</v>
      </c>
      <c r="I1688" s="20" t="s">
        <v>50</v>
      </c>
      <c r="J1688" s="20">
        <v>3</v>
      </c>
      <c r="K1688" s="20" t="s">
        <v>46</v>
      </c>
      <c r="L1688" s="23">
        <f t="shared" si="193"/>
        <v>45839</v>
      </c>
      <c r="M1688" s="20">
        <f t="shared" si="194"/>
        <v>21</v>
      </c>
      <c r="N1688" s="20">
        <f t="shared" si="195"/>
        <v>6</v>
      </c>
      <c r="O1688" s="20">
        <f t="shared" si="196"/>
        <v>0</v>
      </c>
      <c r="P1688" s="22">
        <f t="shared" si="197"/>
        <v>68.86</v>
      </c>
      <c r="Q1688" s="22">
        <f>G1688*INDEX(Assumptions!$B$8:$B$16,MATCH(F1688,Assumptions!$A$8:$A$16,0))</f>
        <v>30.485400000000002</v>
      </c>
      <c r="R1688" s="22">
        <f>H1688*Assumptions!$B$3</f>
        <v>11.814</v>
      </c>
      <c r="S1688" s="22">
        <f t="shared" si="198"/>
        <v>6.8705999999999996</v>
      </c>
      <c r="T1688" s="20" t="str">
        <f t="shared" si="199"/>
        <v>15-21 days</v>
      </c>
    </row>
    <row r="1689" spans="1:20" x14ac:dyDescent="0.3">
      <c r="A1689" s="20" t="s">
        <v>1755</v>
      </c>
      <c r="B1689" s="20" t="s">
        <v>19</v>
      </c>
      <c r="C1689" s="21">
        <v>45847</v>
      </c>
      <c r="D1689" s="21">
        <v>45858</v>
      </c>
      <c r="E1689" s="21">
        <v>45862</v>
      </c>
      <c r="F1689" s="20" t="s">
        <v>49</v>
      </c>
      <c r="G1689" s="22">
        <v>79.63</v>
      </c>
      <c r="H1689" s="22">
        <v>15.76</v>
      </c>
      <c r="I1689" s="20" t="s">
        <v>45</v>
      </c>
      <c r="J1689" s="20">
        <v>5</v>
      </c>
      <c r="K1689" s="20" t="s">
        <v>46</v>
      </c>
      <c r="L1689" s="23">
        <f t="shared" si="193"/>
        <v>45839</v>
      </c>
      <c r="M1689" s="20">
        <f t="shared" si="194"/>
        <v>11</v>
      </c>
      <c r="N1689" s="20">
        <f t="shared" si="195"/>
        <v>0</v>
      </c>
      <c r="O1689" s="20">
        <f t="shared" si="196"/>
        <v>1</v>
      </c>
      <c r="P1689" s="22">
        <f t="shared" si="197"/>
        <v>95.39</v>
      </c>
      <c r="Q1689" s="22">
        <f>G1689*INDEX(Assumptions!$B$8:$B$16,MATCH(F1689,Assumptions!$A$8:$A$16,0))</f>
        <v>46.185399999999994</v>
      </c>
      <c r="R1689" s="22">
        <f>H1689*Assumptions!$B$3</f>
        <v>9.4559999999999995</v>
      </c>
      <c r="S1689" s="22">
        <f t="shared" si="198"/>
        <v>23.988600000000002</v>
      </c>
      <c r="T1689" s="20" t="str">
        <f t="shared" si="199"/>
        <v>8-14 days</v>
      </c>
    </row>
    <row r="1690" spans="1:20" x14ac:dyDescent="0.3">
      <c r="A1690" s="20" t="s">
        <v>1756</v>
      </c>
      <c r="B1690" s="20" t="s">
        <v>93</v>
      </c>
      <c r="C1690" s="21">
        <v>45847</v>
      </c>
      <c r="D1690" s="21">
        <v>45872</v>
      </c>
      <c r="E1690" s="21">
        <v>45881</v>
      </c>
      <c r="F1690" s="20" t="s">
        <v>111</v>
      </c>
      <c r="G1690" s="22">
        <v>58.63</v>
      </c>
      <c r="H1690" s="22">
        <v>35.56</v>
      </c>
      <c r="I1690" s="20" t="s">
        <v>60</v>
      </c>
      <c r="J1690" s="20">
        <v>3</v>
      </c>
      <c r="K1690" s="20" t="s">
        <v>46</v>
      </c>
      <c r="L1690" s="23">
        <f t="shared" si="193"/>
        <v>45839</v>
      </c>
      <c r="M1690" s="20">
        <f t="shared" si="194"/>
        <v>25</v>
      </c>
      <c r="N1690" s="20">
        <f t="shared" si="195"/>
        <v>0</v>
      </c>
      <c r="O1690" s="20">
        <f t="shared" si="196"/>
        <v>1</v>
      </c>
      <c r="P1690" s="22">
        <f t="shared" si="197"/>
        <v>94.19</v>
      </c>
      <c r="Q1690" s="22">
        <f>G1690*INDEX(Assumptions!$B$8:$B$16,MATCH(F1690,Assumptions!$A$8:$A$16,0))</f>
        <v>36.936900000000001</v>
      </c>
      <c r="R1690" s="22">
        <f>H1690*Assumptions!$B$3</f>
        <v>21.336000000000002</v>
      </c>
      <c r="S1690" s="22">
        <f t="shared" si="198"/>
        <v>0.35709999999999908</v>
      </c>
      <c r="T1690" s="20" t="str">
        <f t="shared" si="199"/>
        <v>22+ days</v>
      </c>
    </row>
    <row r="1691" spans="1:20" x14ac:dyDescent="0.3">
      <c r="A1691" s="20" t="s">
        <v>1757</v>
      </c>
      <c r="B1691" s="20" t="s">
        <v>19</v>
      </c>
      <c r="C1691" s="21">
        <v>45848</v>
      </c>
      <c r="D1691" s="21">
        <v>45859</v>
      </c>
      <c r="E1691" s="21">
        <v>45865</v>
      </c>
      <c r="F1691" s="20" t="s">
        <v>53</v>
      </c>
      <c r="G1691" s="22">
        <v>92.88</v>
      </c>
      <c r="H1691" s="22">
        <v>16.36</v>
      </c>
      <c r="I1691" s="20" t="s">
        <v>45</v>
      </c>
      <c r="J1691" s="20">
        <v>4</v>
      </c>
      <c r="K1691" s="20" t="s">
        <v>46</v>
      </c>
      <c r="L1691" s="23">
        <f t="shared" si="193"/>
        <v>45839</v>
      </c>
      <c r="M1691" s="20">
        <f t="shared" si="194"/>
        <v>11</v>
      </c>
      <c r="N1691" s="20">
        <f t="shared" si="195"/>
        <v>0</v>
      </c>
      <c r="O1691" s="20">
        <f t="shared" si="196"/>
        <v>1</v>
      </c>
      <c r="P1691" s="22">
        <f t="shared" si="197"/>
        <v>109.24</v>
      </c>
      <c r="Q1691" s="22">
        <f>G1691*INDEX(Assumptions!$B$8:$B$16,MATCH(F1691,Assumptions!$A$8:$A$16,0))</f>
        <v>68.731200000000001</v>
      </c>
      <c r="R1691" s="22">
        <f>H1691*Assumptions!$B$3</f>
        <v>9.8159999999999989</v>
      </c>
      <c r="S1691" s="22">
        <f t="shared" si="198"/>
        <v>14.332799999999995</v>
      </c>
      <c r="T1691" s="20" t="str">
        <f t="shared" si="199"/>
        <v>8-14 days</v>
      </c>
    </row>
    <row r="1692" spans="1:20" x14ac:dyDescent="0.3">
      <c r="A1692" s="20" t="s">
        <v>1758</v>
      </c>
      <c r="B1692" s="20" t="s">
        <v>55</v>
      </c>
      <c r="C1692" s="21">
        <v>45848</v>
      </c>
      <c r="D1692" s="21">
        <v>45866</v>
      </c>
      <c r="E1692" s="21">
        <v>45875</v>
      </c>
      <c r="F1692" s="20" t="s">
        <v>57</v>
      </c>
      <c r="G1692" s="22">
        <v>110.93</v>
      </c>
      <c r="H1692" s="22">
        <v>27.57</v>
      </c>
      <c r="I1692" s="20" t="s">
        <v>45</v>
      </c>
      <c r="J1692" s="20">
        <v>3</v>
      </c>
      <c r="K1692" s="20" t="s">
        <v>46</v>
      </c>
      <c r="L1692" s="23">
        <f t="shared" si="193"/>
        <v>45839</v>
      </c>
      <c r="M1692" s="20">
        <f t="shared" si="194"/>
        <v>18</v>
      </c>
      <c r="N1692" s="20">
        <f t="shared" si="195"/>
        <v>0</v>
      </c>
      <c r="O1692" s="20">
        <f t="shared" si="196"/>
        <v>1</v>
      </c>
      <c r="P1692" s="22">
        <f t="shared" si="197"/>
        <v>138.5</v>
      </c>
      <c r="Q1692" s="22">
        <f>G1692*INDEX(Assumptions!$B$8:$B$16,MATCH(F1692,Assumptions!$A$8:$A$16,0))</f>
        <v>75.432400000000015</v>
      </c>
      <c r="R1692" s="22">
        <f>H1692*Assumptions!$B$3</f>
        <v>16.541999999999998</v>
      </c>
      <c r="S1692" s="22">
        <f t="shared" si="198"/>
        <v>18.955599999999993</v>
      </c>
      <c r="T1692" s="20" t="str">
        <f t="shared" si="199"/>
        <v>15-21 days</v>
      </c>
    </row>
    <row r="1693" spans="1:20" x14ac:dyDescent="0.3">
      <c r="A1693" s="20" t="s">
        <v>1759</v>
      </c>
      <c r="B1693" s="20" t="s">
        <v>19</v>
      </c>
      <c r="C1693" s="21">
        <v>45848</v>
      </c>
      <c r="D1693" s="21">
        <v>45857</v>
      </c>
      <c r="E1693" s="21">
        <v>45860</v>
      </c>
      <c r="F1693" s="20" t="s">
        <v>59</v>
      </c>
      <c r="G1693" s="22">
        <v>24.63</v>
      </c>
      <c r="H1693" s="22">
        <v>20.92</v>
      </c>
      <c r="I1693" s="20" t="s">
        <v>45</v>
      </c>
      <c r="J1693" s="20">
        <v>4</v>
      </c>
      <c r="K1693" s="20" t="s">
        <v>46</v>
      </c>
      <c r="L1693" s="23">
        <f t="shared" si="193"/>
        <v>45839</v>
      </c>
      <c r="M1693" s="20">
        <f t="shared" si="194"/>
        <v>9</v>
      </c>
      <c r="N1693" s="20">
        <f t="shared" si="195"/>
        <v>0</v>
      </c>
      <c r="O1693" s="20">
        <f t="shared" si="196"/>
        <v>1</v>
      </c>
      <c r="P1693" s="22">
        <f t="shared" si="197"/>
        <v>45.55</v>
      </c>
      <c r="Q1693" s="22">
        <f>G1693*INDEX(Assumptions!$B$8:$B$16,MATCH(F1693,Assumptions!$A$8:$A$16,0))</f>
        <v>15.763199999999999</v>
      </c>
      <c r="R1693" s="22">
        <f>H1693*Assumptions!$B$3</f>
        <v>12.552000000000001</v>
      </c>
      <c r="S1693" s="22">
        <f t="shared" si="198"/>
        <v>-3.6852000000000018</v>
      </c>
      <c r="T1693" s="20" t="str">
        <f t="shared" si="199"/>
        <v>8-14 days</v>
      </c>
    </row>
    <row r="1694" spans="1:20" x14ac:dyDescent="0.3">
      <c r="A1694" s="20" t="s">
        <v>1760</v>
      </c>
      <c r="B1694" s="20" t="s">
        <v>19</v>
      </c>
      <c r="C1694" s="21">
        <v>45848</v>
      </c>
      <c r="D1694" s="21">
        <v>45859</v>
      </c>
      <c r="E1694" s="21">
        <v>45860</v>
      </c>
      <c r="F1694" s="20" t="s">
        <v>111</v>
      </c>
      <c r="G1694" s="22">
        <v>41.02</v>
      </c>
      <c r="H1694" s="22">
        <v>14.58</v>
      </c>
      <c r="I1694" s="20" t="s">
        <v>45</v>
      </c>
      <c r="J1694" s="20">
        <v>5</v>
      </c>
      <c r="K1694" s="20" t="s">
        <v>46</v>
      </c>
      <c r="L1694" s="23">
        <f t="shared" si="193"/>
        <v>45839</v>
      </c>
      <c r="M1694" s="20">
        <f t="shared" si="194"/>
        <v>11</v>
      </c>
      <c r="N1694" s="20">
        <f t="shared" si="195"/>
        <v>0</v>
      </c>
      <c r="O1694" s="20">
        <f t="shared" si="196"/>
        <v>1</v>
      </c>
      <c r="P1694" s="22">
        <f t="shared" si="197"/>
        <v>55.6</v>
      </c>
      <c r="Q1694" s="22">
        <f>G1694*INDEX(Assumptions!$B$8:$B$16,MATCH(F1694,Assumptions!$A$8:$A$16,0))</f>
        <v>25.842600000000001</v>
      </c>
      <c r="R1694" s="22">
        <f>H1694*Assumptions!$B$3</f>
        <v>8.7479999999999993</v>
      </c>
      <c r="S1694" s="22">
        <f t="shared" si="198"/>
        <v>6.4294000000000029</v>
      </c>
      <c r="T1694" s="20" t="str">
        <f t="shared" si="199"/>
        <v>8-14 days</v>
      </c>
    </row>
    <row r="1695" spans="1:20" x14ac:dyDescent="0.3">
      <c r="A1695" s="20" t="s">
        <v>1761</v>
      </c>
      <c r="B1695" s="20" t="s">
        <v>19</v>
      </c>
      <c r="C1695" s="21">
        <v>45848</v>
      </c>
      <c r="D1695" s="21">
        <v>45854</v>
      </c>
      <c r="E1695" s="21">
        <v>45860</v>
      </c>
      <c r="F1695" s="20" t="s">
        <v>44</v>
      </c>
      <c r="G1695" s="22">
        <v>147.46</v>
      </c>
      <c r="H1695" s="22">
        <v>15.61</v>
      </c>
      <c r="I1695" s="20" t="s">
        <v>45</v>
      </c>
      <c r="J1695" s="20">
        <v>5</v>
      </c>
      <c r="K1695" s="20" t="s">
        <v>46</v>
      </c>
      <c r="L1695" s="23">
        <f t="shared" si="193"/>
        <v>45839</v>
      </c>
      <c r="M1695" s="20">
        <f t="shared" si="194"/>
        <v>6</v>
      </c>
      <c r="N1695" s="20">
        <f t="shared" si="195"/>
        <v>0</v>
      </c>
      <c r="O1695" s="20">
        <f t="shared" si="196"/>
        <v>1</v>
      </c>
      <c r="P1695" s="22">
        <f t="shared" si="197"/>
        <v>163.07</v>
      </c>
      <c r="Q1695" s="22">
        <f>G1695*INDEX(Assumptions!$B$8:$B$16,MATCH(F1695,Assumptions!$A$8:$A$16,0))</f>
        <v>88.475999999999999</v>
      </c>
      <c r="R1695" s="22">
        <f>H1695*Assumptions!$B$3</f>
        <v>9.3659999999999997</v>
      </c>
      <c r="S1695" s="22">
        <f t="shared" si="198"/>
        <v>49.618000000000009</v>
      </c>
      <c r="T1695" s="20" t="str">
        <f t="shared" si="199"/>
        <v>0-7 days</v>
      </c>
    </row>
    <row r="1696" spans="1:20" x14ac:dyDescent="0.3">
      <c r="A1696" s="20" t="s">
        <v>1762</v>
      </c>
      <c r="B1696" s="20" t="s">
        <v>62</v>
      </c>
      <c r="C1696" s="21">
        <v>45849</v>
      </c>
      <c r="D1696" s="21">
        <v>45860</v>
      </c>
      <c r="E1696" s="21">
        <v>45869</v>
      </c>
      <c r="F1696" s="20" t="s">
        <v>111</v>
      </c>
      <c r="G1696" s="22">
        <v>53.76</v>
      </c>
      <c r="H1696" s="22">
        <v>25.89</v>
      </c>
      <c r="I1696" s="20" t="s">
        <v>45</v>
      </c>
      <c r="J1696" s="20">
        <v>4</v>
      </c>
      <c r="K1696" s="20" t="s">
        <v>46</v>
      </c>
      <c r="L1696" s="23">
        <f t="shared" si="193"/>
        <v>45839</v>
      </c>
      <c r="M1696" s="20">
        <f t="shared" si="194"/>
        <v>11</v>
      </c>
      <c r="N1696" s="20">
        <f t="shared" si="195"/>
        <v>0</v>
      </c>
      <c r="O1696" s="20">
        <f t="shared" si="196"/>
        <v>1</v>
      </c>
      <c r="P1696" s="22">
        <f t="shared" si="197"/>
        <v>79.650000000000006</v>
      </c>
      <c r="Q1696" s="22">
        <f>G1696*INDEX(Assumptions!$B$8:$B$16,MATCH(F1696,Assumptions!$A$8:$A$16,0))</f>
        <v>33.8688</v>
      </c>
      <c r="R1696" s="22">
        <f>H1696*Assumptions!$B$3</f>
        <v>15.533999999999999</v>
      </c>
      <c r="S1696" s="22">
        <f t="shared" si="198"/>
        <v>4.3571999999999989</v>
      </c>
      <c r="T1696" s="20" t="str">
        <f t="shared" si="199"/>
        <v>8-14 days</v>
      </c>
    </row>
    <row r="1697" spans="1:20" x14ac:dyDescent="0.3">
      <c r="A1697" s="20" t="s">
        <v>1763</v>
      </c>
      <c r="B1697" s="20" t="s">
        <v>19</v>
      </c>
      <c r="C1697" s="21">
        <v>45849</v>
      </c>
      <c r="D1697" s="21">
        <v>45859</v>
      </c>
      <c r="E1697" s="21">
        <v>45866</v>
      </c>
      <c r="F1697" s="20" t="s">
        <v>111</v>
      </c>
      <c r="G1697" s="22">
        <v>42.81</v>
      </c>
      <c r="H1697" s="22">
        <v>14.72</v>
      </c>
      <c r="I1697" s="20" t="s">
        <v>45</v>
      </c>
      <c r="J1697" s="20">
        <v>5</v>
      </c>
      <c r="K1697" s="20" t="s">
        <v>46</v>
      </c>
      <c r="L1697" s="23">
        <f t="shared" si="193"/>
        <v>45839</v>
      </c>
      <c r="M1697" s="20">
        <f t="shared" si="194"/>
        <v>10</v>
      </c>
      <c r="N1697" s="20">
        <f t="shared" si="195"/>
        <v>0</v>
      </c>
      <c r="O1697" s="20">
        <f t="shared" si="196"/>
        <v>1</v>
      </c>
      <c r="P1697" s="22">
        <f t="shared" si="197"/>
        <v>57.53</v>
      </c>
      <c r="Q1697" s="22">
        <f>G1697*INDEX(Assumptions!$B$8:$B$16,MATCH(F1697,Assumptions!$A$8:$A$16,0))</f>
        <v>26.970300000000002</v>
      </c>
      <c r="R1697" s="22">
        <f>H1697*Assumptions!$B$3</f>
        <v>8.8320000000000007</v>
      </c>
      <c r="S1697" s="22">
        <f t="shared" si="198"/>
        <v>7.0076999999999998</v>
      </c>
      <c r="T1697" s="20" t="str">
        <f t="shared" si="199"/>
        <v>8-14 days</v>
      </c>
    </row>
    <row r="1698" spans="1:20" x14ac:dyDescent="0.3">
      <c r="A1698" s="20" t="s">
        <v>1764</v>
      </c>
      <c r="B1698" s="20" t="s">
        <v>174</v>
      </c>
      <c r="C1698" s="21">
        <v>45849</v>
      </c>
      <c r="D1698" s="21">
        <v>45863</v>
      </c>
      <c r="E1698" s="21">
        <v>45880</v>
      </c>
      <c r="F1698" s="20" t="s">
        <v>64</v>
      </c>
      <c r="G1698" s="22">
        <v>334.43</v>
      </c>
      <c r="H1698" s="22">
        <v>36.51</v>
      </c>
      <c r="I1698" s="20" t="s">
        <v>45</v>
      </c>
      <c r="J1698" s="20">
        <v>5</v>
      </c>
      <c r="K1698" s="20" t="s">
        <v>46</v>
      </c>
      <c r="L1698" s="23">
        <f t="shared" si="193"/>
        <v>45839</v>
      </c>
      <c r="M1698" s="20">
        <f t="shared" si="194"/>
        <v>14</v>
      </c>
      <c r="N1698" s="20">
        <f t="shared" si="195"/>
        <v>0</v>
      </c>
      <c r="O1698" s="20">
        <f t="shared" si="196"/>
        <v>1</v>
      </c>
      <c r="P1698" s="22">
        <f t="shared" si="197"/>
        <v>370.94</v>
      </c>
      <c r="Q1698" s="22">
        <f>G1698*INDEX(Assumptions!$B$8:$B$16,MATCH(F1698,Assumptions!$A$8:$A$16,0))</f>
        <v>220.72380000000001</v>
      </c>
      <c r="R1698" s="22">
        <f>H1698*Assumptions!$B$3</f>
        <v>21.905999999999999</v>
      </c>
      <c r="S1698" s="22">
        <f t="shared" si="198"/>
        <v>91.80019999999999</v>
      </c>
      <c r="T1698" s="20" t="str">
        <f t="shared" si="199"/>
        <v>8-14 days</v>
      </c>
    </row>
    <row r="1699" spans="1:20" x14ac:dyDescent="0.3">
      <c r="A1699" s="20" t="s">
        <v>1765</v>
      </c>
      <c r="B1699" s="20" t="s">
        <v>52</v>
      </c>
      <c r="C1699" s="21">
        <v>45849</v>
      </c>
      <c r="D1699" s="21">
        <v>45860</v>
      </c>
      <c r="E1699" s="21">
        <v>45872</v>
      </c>
      <c r="F1699" s="20" t="s">
        <v>111</v>
      </c>
      <c r="G1699" s="22">
        <v>31.16</v>
      </c>
      <c r="H1699" s="22">
        <v>31.02</v>
      </c>
      <c r="I1699" s="20" t="s">
        <v>45</v>
      </c>
      <c r="J1699" s="20">
        <v>4</v>
      </c>
      <c r="K1699" s="20" t="s">
        <v>46</v>
      </c>
      <c r="L1699" s="23">
        <f t="shared" si="193"/>
        <v>45839</v>
      </c>
      <c r="M1699" s="20">
        <f t="shared" si="194"/>
        <v>11</v>
      </c>
      <c r="N1699" s="20">
        <f t="shared" si="195"/>
        <v>0</v>
      </c>
      <c r="O1699" s="20">
        <f t="shared" si="196"/>
        <v>1</v>
      </c>
      <c r="P1699" s="22">
        <f t="shared" si="197"/>
        <v>62.18</v>
      </c>
      <c r="Q1699" s="22">
        <f>G1699*INDEX(Assumptions!$B$8:$B$16,MATCH(F1699,Assumptions!$A$8:$A$16,0))</f>
        <v>19.630800000000001</v>
      </c>
      <c r="R1699" s="22">
        <f>H1699*Assumptions!$B$3</f>
        <v>18.611999999999998</v>
      </c>
      <c r="S1699" s="22">
        <f t="shared" si="198"/>
        <v>-7.0827999999999989</v>
      </c>
      <c r="T1699" s="20" t="str">
        <f t="shared" si="199"/>
        <v>8-14 days</v>
      </c>
    </row>
    <row r="1700" spans="1:20" x14ac:dyDescent="0.3">
      <c r="A1700" s="20" t="s">
        <v>1766</v>
      </c>
      <c r="B1700" s="20" t="s">
        <v>55</v>
      </c>
      <c r="C1700" s="21">
        <v>45849</v>
      </c>
      <c r="D1700" s="21">
        <v>45859</v>
      </c>
      <c r="E1700" s="21">
        <v>45872</v>
      </c>
      <c r="F1700" s="20" t="s">
        <v>49</v>
      </c>
      <c r="G1700" s="22">
        <v>155.41999999999999</v>
      </c>
      <c r="H1700" s="22">
        <v>23.01</v>
      </c>
      <c r="I1700" s="20" t="s">
        <v>45</v>
      </c>
      <c r="J1700" s="20">
        <v>4</v>
      </c>
      <c r="K1700" s="20" t="s">
        <v>46</v>
      </c>
      <c r="L1700" s="23">
        <f t="shared" si="193"/>
        <v>45839</v>
      </c>
      <c r="M1700" s="20">
        <f t="shared" si="194"/>
        <v>10</v>
      </c>
      <c r="N1700" s="20">
        <f t="shared" si="195"/>
        <v>0</v>
      </c>
      <c r="O1700" s="20">
        <f t="shared" si="196"/>
        <v>1</v>
      </c>
      <c r="P1700" s="22">
        <f t="shared" si="197"/>
        <v>178.42999999999998</v>
      </c>
      <c r="Q1700" s="22">
        <f>G1700*INDEX(Assumptions!$B$8:$B$16,MATCH(F1700,Assumptions!$A$8:$A$16,0))</f>
        <v>90.143599999999992</v>
      </c>
      <c r="R1700" s="22">
        <f>H1700*Assumptions!$B$3</f>
        <v>13.806000000000001</v>
      </c>
      <c r="S1700" s="22">
        <f t="shared" si="198"/>
        <v>51.470399999999998</v>
      </c>
      <c r="T1700" s="20" t="str">
        <f t="shared" si="199"/>
        <v>8-14 days</v>
      </c>
    </row>
    <row r="1701" spans="1:20" x14ac:dyDescent="0.3">
      <c r="A1701" s="20" t="s">
        <v>1767</v>
      </c>
      <c r="B1701" s="20" t="s">
        <v>62</v>
      </c>
      <c r="C1701" s="21">
        <v>45850</v>
      </c>
      <c r="D1701" s="21">
        <v>45857</v>
      </c>
      <c r="E1701" s="21">
        <v>45870</v>
      </c>
      <c r="F1701" s="20" t="s">
        <v>79</v>
      </c>
      <c r="G1701" s="22">
        <v>76.03</v>
      </c>
      <c r="H1701" s="22">
        <v>18.920000000000002</v>
      </c>
      <c r="I1701" s="20" t="s">
        <v>45</v>
      </c>
      <c r="J1701" s="20">
        <v>5</v>
      </c>
      <c r="K1701" s="20" t="s">
        <v>46</v>
      </c>
      <c r="L1701" s="23">
        <f t="shared" si="193"/>
        <v>45839</v>
      </c>
      <c r="M1701" s="20">
        <f t="shared" si="194"/>
        <v>7</v>
      </c>
      <c r="N1701" s="20">
        <f t="shared" si="195"/>
        <v>0</v>
      </c>
      <c r="O1701" s="20">
        <f t="shared" si="196"/>
        <v>1</v>
      </c>
      <c r="P1701" s="22">
        <f t="shared" si="197"/>
        <v>94.95</v>
      </c>
      <c r="Q1701" s="22">
        <f>G1701*INDEX(Assumptions!$B$8:$B$16,MATCH(F1701,Assumptions!$A$8:$A$16,0))</f>
        <v>53.220999999999997</v>
      </c>
      <c r="R1701" s="22">
        <f>H1701*Assumptions!$B$3</f>
        <v>11.352</v>
      </c>
      <c r="S1701" s="22">
        <f t="shared" si="198"/>
        <v>11.457000000000004</v>
      </c>
      <c r="T1701" s="20" t="str">
        <f t="shared" si="199"/>
        <v>0-7 days</v>
      </c>
    </row>
    <row r="1702" spans="1:20" x14ac:dyDescent="0.3">
      <c r="A1702" s="20" t="s">
        <v>1768</v>
      </c>
      <c r="B1702" s="20" t="s">
        <v>19</v>
      </c>
      <c r="C1702" s="21">
        <v>45850</v>
      </c>
      <c r="D1702" s="21">
        <v>45857</v>
      </c>
      <c r="E1702" s="21">
        <v>45870</v>
      </c>
      <c r="F1702" s="20" t="s">
        <v>64</v>
      </c>
      <c r="G1702" s="22">
        <v>63.14</v>
      </c>
      <c r="H1702" s="22">
        <v>18.59</v>
      </c>
      <c r="I1702" s="20" t="s">
        <v>45</v>
      </c>
      <c r="J1702" s="20">
        <v>5</v>
      </c>
      <c r="K1702" s="20" t="s">
        <v>46</v>
      </c>
      <c r="L1702" s="23">
        <f t="shared" si="193"/>
        <v>45839</v>
      </c>
      <c r="M1702" s="20">
        <f t="shared" si="194"/>
        <v>7</v>
      </c>
      <c r="N1702" s="20">
        <f t="shared" si="195"/>
        <v>0</v>
      </c>
      <c r="O1702" s="20">
        <f t="shared" si="196"/>
        <v>1</v>
      </c>
      <c r="P1702" s="22">
        <f t="shared" si="197"/>
        <v>81.73</v>
      </c>
      <c r="Q1702" s="22">
        <f>G1702*INDEX(Assumptions!$B$8:$B$16,MATCH(F1702,Assumptions!$A$8:$A$16,0))</f>
        <v>41.672400000000003</v>
      </c>
      <c r="R1702" s="22">
        <f>H1702*Assumptions!$B$3</f>
        <v>11.154</v>
      </c>
      <c r="S1702" s="22">
        <f t="shared" si="198"/>
        <v>10.313599999999997</v>
      </c>
      <c r="T1702" s="20" t="str">
        <f t="shared" si="199"/>
        <v>0-7 days</v>
      </c>
    </row>
    <row r="1703" spans="1:20" x14ac:dyDescent="0.3">
      <c r="A1703" s="20" t="s">
        <v>1769</v>
      </c>
      <c r="B1703" s="20" t="s">
        <v>156</v>
      </c>
      <c r="C1703" s="21">
        <v>45850</v>
      </c>
      <c r="D1703" s="21">
        <v>45868</v>
      </c>
      <c r="E1703" s="21">
        <v>45873</v>
      </c>
      <c r="F1703" s="20" t="s">
        <v>67</v>
      </c>
      <c r="G1703" s="22">
        <v>78.61</v>
      </c>
      <c r="H1703" s="22">
        <v>29.01</v>
      </c>
      <c r="I1703" s="20" t="s">
        <v>45</v>
      </c>
      <c r="J1703" s="20">
        <v>3</v>
      </c>
      <c r="K1703" s="20" t="s">
        <v>46</v>
      </c>
      <c r="L1703" s="23">
        <f t="shared" si="193"/>
        <v>45839</v>
      </c>
      <c r="M1703" s="20">
        <f t="shared" si="194"/>
        <v>18</v>
      </c>
      <c r="N1703" s="20">
        <f t="shared" si="195"/>
        <v>0</v>
      </c>
      <c r="O1703" s="20">
        <f t="shared" si="196"/>
        <v>1</v>
      </c>
      <c r="P1703" s="22">
        <f t="shared" si="197"/>
        <v>107.62</v>
      </c>
      <c r="Q1703" s="22">
        <f>G1703*INDEX(Assumptions!$B$8:$B$16,MATCH(F1703,Assumptions!$A$8:$A$16,0))</f>
        <v>48.738199999999999</v>
      </c>
      <c r="R1703" s="22">
        <f>H1703*Assumptions!$B$3</f>
        <v>17.405999999999999</v>
      </c>
      <c r="S1703" s="22">
        <f t="shared" si="198"/>
        <v>12.465800000000002</v>
      </c>
      <c r="T1703" s="20" t="str">
        <f t="shared" si="199"/>
        <v>15-21 days</v>
      </c>
    </row>
    <row r="1704" spans="1:20" x14ac:dyDescent="0.3">
      <c r="A1704" s="20" t="s">
        <v>1770</v>
      </c>
      <c r="B1704" s="20" t="s">
        <v>19</v>
      </c>
      <c r="C1704" s="21">
        <v>45850</v>
      </c>
      <c r="D1704" s="21">
        <v>45857</v>
      </c>
      <c r="E1704" s="21">
        <v>45863</v>
      </c>
      <c r="F1704" s="20" t="s">
        <v>79</v>
      </c>
      <c r="G1704" s="22">
        <v>166.18</v>
      </c>
      <c r="H1704" s="22">
        <v>21.18</v>
      </c>
      <c r="I1704" s="20" t="s">
        <v>45</v>
      </c>
      <c r="J1704" s="20">
        <v>5</v>
      </c>
      <c r="K1704" s="20" t="s">
        <v>46</v>
      </c>
      <c r="L1704" s="23">
        <f t="shared" si="193"/>
        <v>45839</v>
      </c>
      <c r="M1704" s="20">
        <f t="shared" si="194"/>
        <v>7</v>
      </c>
      <c r="N1704" s="20">
        <f t="shared" si="195"/>
        <v>0</v>
      </c>
      <c r="O1704" s="20">
        <f t="shared" si="196"/>
        <v>1</v>
      </c>
      <c r="P1704" s="22">
        <f t="shared" si="197"/>
        <v>187.36</v>
      </c>
      <c r="Q1704" s="22">
        <f>G1704*INDEX(Assumptions!$B$8:$B$16,MATCH(F1704,Assumptions!$A$8:$A$16,0))</f>
        <v>116.32599999999999</v>
      </c>
      <c r="R1704" s="22">
        <f>H1704*Assumptions!$B$3</f>
        <v>12.708</v>
      </c>
      <c r="S1704" s="22">
        <f t="shared" si="198"/>
        <v>37.146000000000015</v>
      </c>
      <c r="T1704" s="20" t="str">
        <f t="shared" si="199"/>
        <v>0-7 days</v>
      </c>
    </row>
    <row r="1705" spans="1:20" x14ac:dyDescent="0.3">
      <c r="A1705" s="20" t="s">
        <v>1771</v>
      </c>
      <c r="B1705" s="20" t="s">
        <v>19</v>
      </c>
      <c r="C1705" s="21">
        <v>45850</v>
      </c>
      <c r="D1705" s="21">
        <v>45856</v>
      </c>
      <c r="E1705" s="21">
        <v>45866</v>
      </c>
      <c r="F1705" s="20" t="s">
        <v>44</v>
      </c>
      <c r="G1705" s="22">
        <v>177.65</v>
      </c>
      <c r="H1705" s="22">
        <v>20.95</v>
      </c>
      <c r="I1705" s="20" t="s">
        <v>45</v>
      </c>
      <c r="J1705" s="20">
        <v>5</v>
      </c>
      <c r="K1705" s="20" t="s">
        <v>46</v>
      </c>
      <c r="L1705" s="23">
        <f t="shared" si="193"/>
        <v>45839</v>
      </c>
      <c r="M1705" s="20">
        <f t="shared" si="194"/>
        <v>6</v>
      </c>
      <c r="N1705" s="20">
        <f t="shared" si="195"/>
        <v>0</v>
      </c>
      <c r="O1705" s="20">
        <f t="shared" si="196"/>
        <v>1</v>
      </c>
      <c r="P1705" s="22">
        <f t="shared" si="197"/>
        <v>198.6</v>
      </c>
      <c r="Q1705" s="22">
        <f>G1705*INDEX(Assumptions!$B$8:$B$16,MATCH(F1705,Assumptions!$A$8:$A$16,0))</f>
        <v>106.59</v>
      </c>
      <c r="R1705" s="22">
        <f>H1705*Assumptions!$B$3</f>
        <v>12.569999999999999</v>
      </c>
      <c r="S1705" s="22">
        <f t="shared" si="198"/>
        <v>58.49</v>
      </c>
      <c r="T1705" s="20" t="str">
        <f t="shared" si="199"/>
        <v>0-7 days</v>
      </c>
    </row>
    <row r="1706" spans="1:20" x14ac:dyDescent="0.3">
      <c r="A1706" s="20" t="s">
        <v>1772</v>
      </c>
      <c r="B1706" s="20" t="s">
        <v>62</v>
      </c>
      <c r="C1706" s="21">
        <v>45850</v>
      </c>
      <c r="D1706" s="21">
        <v>45868</v>
      </c>
      <c r="E1706" s="21">
        <v>45875</v>
      </c>
      <c r="F1706" s="20" t="s">
        <v>111</v>
      </c>
      <c r="G1706" s="22">
        <v>99.36</v>
      </c>
      <c r="H1706" s="22">
        <v>26.64</v>
      </c>
      <c r="I1706" s="20" t="s">
        <v>45</v>
      </c>
      <c r="J1706" s="20">
        <v>4</v>
      </c>
      <c r="K1706" s="20" t="s">
        <v>46</v>
      </c>
      <c r="L1706" s="23">
        <f t="shared" si="193"/>
        <v>45839</v>
      </c>
      <c r="M1706" s="20">
        <f t="shared" si="194"/>
        <v>18</v>
      </c>
      <c r="N1706" s="20">
        <f t="shared" si="195"/>
        <v>0</v>
      </c>
      <c r="O1706" s="20">
        <f t="shared" si="196"/>
        <v>1</v>
      </c>
      <c r="P1706" s="22">
        <f t="shared" si="197"/>
        <v>126</v>
      </c>
      <c r="Q1706" s="22">
        <f>G1706*INDEX(Assumptions!$B$8:$B$16,MATCH(F1706,Assumptions!$A$8:$A$16,0))</f>
        <v>62.596800000000002</v>
      </c>
      <c r="R1706" s="22">
        <f>H1706*Assumptions!$B$3</f>
        <v>15.984</v>
      </c>
      <c r="S1706" s="22">
        <f t="shared" si="198"/>
        <v>20.779199999999996</v>
      </c>
      <c r="T1706" s="20" t="str">
        <f t="shared" si="199"/>
        <v>15-21 days</v>
      </c>
    </row>
    <row r="1707" spans="1:20" x14ac:dyDescent="0.3">
      <c r="A1707" s="20" t="s">
        <v>1773</v>
      </c>
      <c r="B1707" s="20" t="s">
        <v>77</v>
      </c>
      <c r="C1707" s="21">
        <v>45851</v>
      </c>
      <c r="D1707" s="21">
        <v>45867</v>
      </c>
      <c r="E1707" s="21">
        <v>45876</v>
      </c>
      <c r="F1707" s="20" t="s">
        <v>49</v>
      </c>
      <c r="G1707" s="22">
        <v>77.95</v>
      </c>
      <c r="H1707" s="22">
        <v>20.39</v>
      </c>
      <c r="I1707" s="20" t="s">
        <v>45</v>
      </c>
      <c r="J1707" s="20">
        <v>4</v>
      </c>
      <c r="K1707" s="20" t="s">
        <v>46</v>
      </c>
      <c r="L1707" s="23">
        <f t="shared" si="193"/>
        <v>45839</v>
      </c>
      <c r="M1707" s="20">
        <f t="shared" si="194"/>
        <v>16</v>
      </c>
      <c r="N1707" s="20">
        <f t="shared" si="195"/>
        <v>0</v>
      </c>
      <c r="O1707" s="20">
        <f t="shared" si="196"/>
        <v>1</v>
      </c>
      <c r="P1707" s="22">
        <f t="shared" si="197"/>
        <v>98.34</v>
      </c>
      <c r="Q1707" s="22">
        <f>G1707*INDEX(Assumptions!$B$8:$B$16,MATCH(F1707,Assumptions!$A$8:$A$16,0))</f>
        <v>45.210999999999999</v>
      </c>
      <c r="R1707" s="22">
        <f>H1707*Assumptions!$B$3</f>
        <v>12.234</v>
      </c>
      <c r="S1707" s="22">
        <f t="shared" si="198"/>
        <v>20.505000000000003</v>
      </c>
      <c r="T1707" s="20" t="str">
        <f t="shared" si="199"/>
        <v>15-21 days</v>
      </c>
    </row>
    <row r="1708" spans="1:20" x14ac:dyDescent="0.3">
      <c r="A1708" s="20" t="s">
        <v>1774</v>
      </c>
      <c r="B1708" s="20" t="s">
        <v>55</v>
      </c>
      <c r="C1708" s="21">
        <v>45851</v>
      </c>
      <c r="D1708" s="21">
        <v>45867</v>
      </c>
      <c r="E1708" s="21">
        <v>45880</v>
      </c>
      <c r="F1708" s="20" t="s">
        <v>59</v>
      </c>
      <c r="G1708" s="22">
        <v>78.349999999999994</v>
      </c>
      <c r="H1708" s="22">
        <v>20.89</v>
      </c>
      <c r="I1708" s="20" t="s">
        <v>45</v>
      </c>
      <c r="J1708" s="20">
        <v>4</v>
      </c>
      <c r="K1708" s="20" t="s">
        <v>46</v>
      </c>
      <c r="L1708" s="23">
        <f t="shared" si="193"/>
        <v>45839</v>
      </c>
      <c r="M1708" s="20">
        <f t="shared" si="194"/>
        <v>16</v>
      </c>
      <c r="N1708" s="20">
        <f t="shared" si="195"/>
        <v>0</v>
      </c>
      <c r="O1708" s="20">
        <f t="shared" si="196"/>
        <v>1</v>
      </c>
      <c r="P1708" s="22">
        <f t="shared" si="197"/>
        <v>99.24</v>
      </c>
      <c r="Q1708" s="22">
        <f>G1708*INDEX(Assumptions!$B$8:$B$16,MATCH(F1708,Assumptions!$A$8:$A$16,0))</f>
        <v>50.143999999999998</v>
      </c>
      <c r="R1708" s="22">
        <f>H1708*Assumptions!$B$3</f>
        <v>12.534000000000001</v>
      </c>
      <c r="S1708" s="22">
        <f t="shared" si="198"/>
        <v>15.671999999999995</v>
      </c>
      <c r="T1708" s="20" t="str">
        <f t="shared" si="199"/>
        <v>15-21 days</v>
      </c>
    </row>
    <row r="1709" spans="1:20" x14ac:dyDescent="0.3">
      <c r="A1709" s="20" t="s">
        <v>1775</v>
      </c>
      <c r="B1709" s="20" t="s">
        <v>19</v>
      </c>
      <c r="C1709" s="21">
        <v>45851</v>
      </c>
      <c r="D1709" s="21">
        <v>45854</v>
      </c>
      <c r="E1709" s="21">
        <v>45866</v>
      </c>
      <c r="F1709" s="20" t="s">
        <v>49</v>
      </c>
      <c r="G1709" s="22">
        <v>71.56</v>
      </c>
      <c r="H1709" s="22">
        <v>20.3</v>
      </c>
      <c r="I1709" s="20" t="s">
        <v>45</v>
      </c>
      <c r="J1709" s="20">
        <v>5</v>
      </c>
      <c r="K1709" s="20" t="s">
        <v>46</v>
      </c>
      <c r="L1709" s="23">
        <f t="shared" si="193"/>
        <v>45839</v>
      </c>
      <c r="M1709" s="20">
        <f t="shared" si="194"/>
        <v>3</v>
      </c>
      <c r="N1709" s="20">
        <f t="shared" si="195"/>
        <v>0</v>
      </c>
      <c r="O1709" s="20">
        <f t="shared" si="196"/>
        <v>1</v>
      </c>
      <c r="P1709" s="22">
        <f t="shared" si="197"/>
        <v>91.86</v>
      </c>
      <c r="Q1709" s="22">
        <f>G1709*INDEX(Assumptions!$B$8:$B$16,MATCH(F1709,Assumptions!$A$8:$A$16,0))</f>
        <v>41.504799999999996</v>
      </c>
      <c r="R1709" s="22">
        <f>H1709*Assumptions!$B$3</f>
        <v>12.18</v>
      </c>
      <c r="S1709" s="22">
        <f t="shared" si="198"/>
        <v>17.875200000000007</v>
      </c>
      <c r="T1709" s="20" t="str">
        <f t="shared" si="199"/>
        <v>0-7 days</v>
      </c>
    </row>
    <row r="1710" spans="1:20" x14ac:dyDescent="0.3">
      <c r="A1710" s="20" t="s">
        <v>1776</v>
      </c>
      <c r="B1710" s="20" t="s">
        <v>156</v>
      </c>
      <c r="C1710" s="21">
        <v>45851</v>
      </c>
      <c r="D1710" s="21">
        <v>45867</v>
      </c>
      <c r="E1710" s="21">
        <v>45875</v>
      </c>
      <c r="F1710" s="20" t="s">
        <v>49</v>
      </c>
      <c r="G1710" s="22">
        <v>88.45</v>
      </c>
      <c r="H1710" s="22">
        <v>26.88</v>
      </c>
      <c r="I1710" s="20" t="s">
        <v>45</v>
      </c>
      <c r="J1710" s="20">
        <v>5</v>
      </c>
      <c r="K1710" s="20" t="s">
        <v>46</v>
      </c>
      <c r="L1710" s="23">
        <f t="shared" si="193"/>
        <v>45839</v>
      </c>
      <c r="M1710" s="20">
        <f t="shared" si="194"/>
        <v>16</v>
      </c>
      <c r="N1710" s="20">
        <f t="shared" si="195"/>
        <v>0</v>
      </c>
      <c r="O1710" s="20">
        <f t="shared" si="196"/>
        <v>1</v>
      </c>
      <c r="P1710" s="22">
        <f t="shared" si="197"/>
        <v>115.33</v>
      </c>
      <c r="Q1710" s="22">
        <f>G1710*INDEX(Assumptions!$B$8:$B$16,MATCH(F1710,Assumptions!$A$8:$A$16,0))</f>
        <v>51.300999999999995</v>
      </c>
      <c r="R1710" s="22">
        <f>H1710*Assumptions!$B$3</f>
        <v>16.128</v>
      </c>
      <c r="S1710" s="22">
        <f t="shared" si="198"/>
        <v>21.021000000000008</v>
      </c>
      <c r="T1710" s="20" t="str">
        <f t="shared" si="199"/>
        <v>15-21 days</v>
      </c>
    </row>
    <row r="1711" spans="1:20" x14ac:dyDescent="0.3">
      <c r="A1711" s="20" t="s">
        <v>1777</v>
      </c>
      <c r="B1711" s="20" t="s">
        <v>55</v>
      </c>
      <c r="C1711" s="21">
        <v>45852</v>
      </c>
      <c r="D1711" s="21">
        <v>45863</v>
      </c>
      <c r="E1711" s="21">
        <v>45874</v>
      </c>
      <c r="F1711" s="20" t="s">
        <v>57</v>
      </c>
      <c r="G1711" s="22">
        <v>64.53</v>
      </c>
      <c r="H1711" s="22">
        <v>25.7</v>
      </c>
      <c r="I1711" s="20" t="s">
        <v>45</v>
      </c>
      <c r="J1711" s="20">
        <v>4</v>
      </c>
      <c r="K1711" s="20" t="s">
        <v>46</v>
      </c>
      <c r="L1711" s="23">
        <f t="shared" si="193"/>
        <v>45839</v>
      </c>
      <c r="M1711" s="20">
        <f t="shared" si="194"/>
        <v>11</v>
      </c>
      <c r="N1711" s="20">
        <f t="shared" si="195"/>
        <v>0</v>
      </c>
      <c r="O1711" s="20">
        <f t="shared" si="196"/>
        <v>1</v>
      </c>
      <c r="P1711" s="22">
        <f t="shared" si="197"/>
        <v>90.23</v>
      </c>
      <c r="Q1711" s="22">
        <f>G1711*INDEX(Assumptions!$B$8:$B$16,MATCH(F1711,Assumptions!$A$8:$A$16,0))</f>
        <v>43.880400000000002</v>
      </c>
      <c r="R1711" s="22">
        <f>H1711*Assumptions!$B$3</f>
        <v>15.419999999999998</v>
      </c>
      <c r="S1711" s="22">
        <f t="shared" si="198"/>
        <v>5.2296000000000014</v>
      </c>
      <c r="T1711" s="20" t="str">
        <f t="shared" si="199"/>
        <v>8-14 days</v>
      </c>
    </row>
    <row r="1712" spans="1:20" x14ac:dyDescent="0.3">
      <c r="A1712" s="20" t="s">
        <v>1778</v>
      </c>
      <c r="B1712" s="20" t="s">
        <v>19</v>
      </c>
      <c r="C1712" s="21">
        <v>45852</v>
      </c>
      <c r="D1712" s="21">
        <v>45857</v>
      </c>
      <c r="E1712" s="21">
        <v>45867</v>
      </c>
      <c r="F1712" s="20" t="s">
        <v>44</v>
      </c>
      <c r="G1712" s="22">
        <v>30.4</v>
      </c>
      <c r="H1712" s="22">
        <v>18.09</v>
      </c>
      <c r="I1712" s="20" t="s">
        <v>45</v>
      </c>
      <c r="J1712" s="20">
        <v>4</v>
      </c>
      <c r="K1712" s="20" t="s">
        <v>46</v>
      </c>
      <c r="L1712" s="23">
        <f t="shared" si="193"/>
        <v>45839</v>
      </c>
      <c r="M1712" s="20">
        <f t="shared" si="194"/>
        <v>5</v>
      </c>
      <c r="N1712" s="20">
        <f t="shared" si="195"/>
        <v>0</v>
      </c>
      <c r="O1712" s="20">
        <f t="shared" si="196"/>
        <v>1</v>
      </c>
      <c r="P1712" s="22">
        <f t="shared" si="197"/>
        <v>48.489999999999995</v>
      </c>
      <c r="Q1712" s="22">
        <f>G1712*INDEX(Assumptions!$B$8:$B$16,MATCH(F1712,Assumptions!$A$8:$A$16,0))</f>
        <v>18.239999999999998</v>
      </c>
      <c r="R1712" s="22">
        <f>H1712*Assumptions!$B$3</f>
        <v>10.853999999999999</v>
      </c>
      <c r="S1712" s="22">
        <f t="shared" si="198"/>
        <v>1.3060000000000009</v>
      </c>
      <c r="T1712" s="20" t="str">
        <f t="shared" si="199"/>
        <v>0-7 days</v>
      </c>
    </row>
    <row r="1713" spans="1:20" x14ac:dyDescent="0.3">
      <c r="A1713" s="20" t="s">
        <v>1779</v>
      </c>
      <c r="B1713" s="20" t="s">
        <v>19</v>
      </c>
      <c r="C1713" s="21">
        <v>45852</v>
      </c>
      <c r="D1713" s="21">
        <v>45868</v>
      </c>
      <c r="E1713" s="21">
        <v>45862</v>
      </c>
      <c r="F1713" s="20" t="s">
        <v>67</v>
      </c>
      <c r="G1713" s="22">
        <v>154.24</v>
      </c>
      <c r="H1713" s="22">
        <v>15.71</v>
      </c>
      <c r="I1713" s="20" t="s">
        <v>45</v>
      </c>
      <c r="J1713" s="20">
        <v>5</v>
      </c>
      <c r="K1713" s="20" t="s">
        <v>46</v>
      </c>
      <c r="L1713" s="23">
        <f t="shared" si="193"/>
        <v>45839</v>
      </c>
      <c r="M1713" s="20">
        <f t="shared" si="194"/>
        <v>16</v>
      </c>
      <c r="N1713" s="20">
        <f t="shared" si="195"/>
        <v>6</v>
      </c>
      <c r="O1713" s="20">
        <f t="shared" si="196"/>
        <v>0</v>
      </c>
      <c r="P1713" s="22">
        <f t="shared" si="197"/>
        <v>169.95000000000002</v>
      </c>
      <c r="Q1713" s="22">
        <f>G1713*INDEX(Assumptions!$B$8:$B$16,MATCH(F1713,Assumptions!$A$8:$A$16,0))</f>
        <v>95.628799999999998</v>
      </c>
      <c r="R1713" s="22">
        <f>H1713*Assumptions!$B$3</f>
        <v>9.4260000000000002</v>
      </c>
      <c r="S1713" s="22">
        <f t="shared" si="198"/>
        <v>49.185200000000009</v>
      </c>
      <c r="T1713" s="20" t="str">
        <f t="shared" si="199"/>
        <v>15-21 days</v>
      </c>
    </row>
    <row r="1714" spans="1:20" x14ac:dyDescent="0.3">
      <c r="A1714" s="20" t="s">
        <v>1780</v>
      </c>
      <c r="B1714" s="20" t="s">
        <v>19</v>
      </c>
      <c r="C1714" s="21">
        <v>45852</v>
      </c>
      <c r="D1714" s="21">
        <v>45858</v>
      </c>
      <c r="E1714" s="21">
        <v>45865</v>
      </c>
      <c r="F1714" s="20" t="s">
        <v>53</v>
      </c>
      <c r="G1714" s="22">
        <v>60.57</v>
      </c>
      <c r="H1714" s="22">
        <v>19.899999999999999</v>
      </c>
      <c r="I1714" s="20" t="s">
        <v>45</v>
      </c>
      <c r="J1714" s="20">
        <v>4</v>
      </c>
      <c r="K1714" s="20" t="s">
        <v>46</v>
      </c>
      <c r="L1714" s="23">
        <f t="shared" si="193"/>
        <v>45839</v>
      </c>
      <c r="M1714" s="20">
        <f t="shared" si="194"/>
        <v>6</v>
      </c>
      <c r="N1714" s="20">
        <f t="shared" si="195"/>
        <v>0</v>
      </c>
      <c r="O1714" s="20">
        <f t="shared" si="196"/>
        <v>1</v>
      </c>
      <c r="P1714" s="22">
        <f t="shared" si="197"/>
        <v>80.47</v>
      </c>
      <c r="Q1714" s="22">
        <f>G1714*INDEX(Assumptions!$B$8:$B$16,MATCH(F1714,Assumptions!$A$8:$A$16,0))</f>
        <v>44.821800000000003</v>
      </c>
      <c r="R1714" s="22">
        <f>H1714*Assumptions!$B$3</f>
        <v>11.94</v>
      </c>
      <c r="S1714" s="22">
        <f t="shared" si="198"/>
        <v>3.8081999999999976</v>
      </c>
      <c r="T1714" s="20" t="str">
        <f t="shared" si="199"/>
        <v>0-7 days</v>
      </c>
    </row>
    <row r="1715" spans="1:20" x14ac:dyDescent="0.3">
      <c r="A1715" s="20" t="s">
        <v>1781</v>
      </c>
      <c r="B1715" s="20" t="s">
        <v>62</v>
      </c>
      <c r="C1715" s="21">
        <v>45852</v>
      </c>
      <c r="D1715" s="21">
        <v>45857</v>
      </c>
      <c r="E1715" s="21">
        <v>45876</v>
      </c>
      <c r="F1715" s="20" t="s">
        <v>49</v>
      </c>
      <c r="G1715" s="22">
        <v>112.65</v>
      </c>
      <c r="H1715" s="22">
        <v>21.62</v>
      </c>
      <c r="I1715" s="20" t="s">
        <v>60</v>
      </c>
      <c r="J1715" s="20">
        <v>4</v>
      </c>
      <c r="K1715" s="20" t="s">
        <v>46</v>
      </c>
      <c r="L1715" s="23">
        <f t="shared" si="193"/>
        <v>45839</v>
      </c>
      <c r="M1715" s="20">
        <f t="shared" si="194"/>
        <v>5</v>
      </c>
      <c r="N1715" s="20">
        <f t="shared" si="195"/>
        <v>0</v>
      </c>
      <c r="O1715" s="20">
        <f t="shared" si="196"/>
        <v>1</v>
      </c>
      <c r="P1715" s="22">
        <f t="shared" si="197"/>
        <v>134.27000000000001</v>
      </c>
      <c r="Q1715" s="22">
        <f>G1715*INDEX(Assumptions!$B$8:$B$16,MATCH(F1715,Assumptions!$A$8:$A$16,0))</f>
        <v>65.337000000000003</v>
      </c>
      <c r="R1715" s="22">
        <f>H1715*Assumptions!$B$3</f>
        <v>12.972</v>
      </c>
      <c r="S1715" s="22">
        <f t="shared" si="198"/>
        <v>34.341000000000001</v>
      </c>
      <c r="T1715" s="20" t="str">
        <f t="shared" si="199"/>
        <v>0-7 days</v>
      </c>
    </row>
    <row r="1716" spans="1:20" x14ac:dyDescent="0.3">
      <c r="A1716" s="20" t="s">
        <v>1782</v>
      </c>
      <c r="B1716" s="20" t="s">
        <v>52</v>
      </c>
      <c r="C1716" s="21">
        <v>45852</v>
      </c>
      <c r="D1716" s="21">
        <v>45868</v>
      </c>
      <c r="E1716" s="21">
        <v>45875</v>
      </c>
      <c r="F1716" s="20" t="s">
        <v>67</v>
      </c>
      <c r="G1716" s="22">
        <v>109.19</v>
      </c>
      <c r="H1716" s="22">
        <v>29.49</v>
      </c>
      <c r="I1716" s="20" t="s">
        <v>45</v>
      </c>
      <c r="J1716" s="20">
        <v>4</v>
      </c>
      <c r="K1716" s="20" t="s">
        <v>46</v>
      </c>
      <c r="L1716" s="23">
        <f t="shared" si="193"/>
        <v>45839</v>
      </c>
      <c r="M1716" s="20">
        <f t="shared" si="194"/>
        <v>16</v>
      </c>
      <c r="N1716" s="20">
        <f t="shared" si="195"/>
        <v>0</v>
      </c>
      <c r="O1716" s="20">
        <f t="shared" si="196"/>
        <v>1</v>
      </c>
      <c r="P1716" s="22">
        <f t="shared" si="197"/>
        <v>138.68</v>
      </c>
      <c r="Q1716" s="22">
        <f>G1716*INDEX(Assumptions!$B$8:$B$16,MATCH(F1716,Assumptions!$A$8:$A$16,0))</f>
        <v>67.697800000000001</v>
      </c>
      <c r="R1716" s="22">
        <f>H1716*Assumptions!$B$3</f>
        <v>17.693999999999999</v>
      </c>
      <c r="S1716" s="22">
        <f t="shared" si="198"/>
        <v>23.798199999999998</v>
      </c>
      <c r="T1716" s="20" t="str">
        <f t="shared" si="199"/>
        <v>15-21 days</v>
      </c>
    </row>
    <row r="1717" spans="1:20" x14ac:dyDescent="0.3">
      <c r="A1717" s="20" t="s">
        <v>1783</v>
      </c>
      <c r="B1717" s="20" t="s">
        <v>134</v>
      </c>
      <c r="C1717" s="21">
        <v>45853</v>
      </c>
      <c r="D1717" s="21">
        <v>45874</v>
      </c>
      <c r="E1717" s="21">
        <v>45880</v>
      </c>
      <c r="F1717" s="20" t="s">
        <v>57</v>
      </c>
      <c r="G1717" s="22">
        <v>104.8</v>
      </c>
      <c r="H1717" s="22">
        <v>30</v>
      </c>
      <c r="I1717" s="20" t="s">
        <v>45</v>
      </c>
      <c r="J1717" s="20">
        <v>4</v>
      </c>
      <c r="K1717" s="20" t="s">
        <v>46</v>
      </c>
      <c r="L1717" s="23">
        <f t="shared" si="193"/>
        <v>45839</v>
      </c>
      <c r="M1717" s="20">
        <f t="shared" si="194"/>
        <v>21</v>
      </c>
      <c r="N1717" s="20">
        <f t="shared" si="195"/>
        <v>0</v>
      </c>
      <c r="O1717" s="20">
        <f t="shared" si="196"/>
        <v>1</v>
      </c>
      <c r="P1717" s="22">
        <f t="shared" si="197"/>
        <v>134.80000000000001</v>
      </c>
      <c r="Q1717" s="22">
        <f>G1717*INDEX(Assumptions!$B$8:$B$16,MATCH(F1717,Assumptions!$A$8:$A$16,0))</f>
        <v>71.26400000000001</v>
      </c>
      <c r="R1717" s="22">
        <f>H1717*Assumptions!$B$3</f>
        <v>18</v>
      </c>
      <c r="S1717" s="22">
        <f t="shared" si="198"/>
        <v>15.535999999999987</v>
      </c>
      <c r="T1717" s="20" t="str">
        <f t="shared" si="199"/>
        <v>15-21 days</v>
      </c>
    </row>
    <row r="1718" spans="1:20" x14ac:dyDescent="0.3">
      <c r="A1718" s="20" t="s">
        <v>1784</v>
      </c>
      <c r="B1718" s="20" t="s">
        <v>62</v>
      </c>
      <c r="C1718" s="21">
        <v>45853</v>
      </c>
      <c r="D1718" s="21">
        <v>45862</v>
      </c>
      <c r="E1718" s="21">
        <v>45874</v>
      </c>
      <c r="F1718" s="20" t="s">
        <v>111</v>
      </c>
      <c r="G1718" s="22">
        <v>93.98</v>
      </c>
      <c r="H1718" s="22">
        <v>23.34</v>
      </c>
      <c r="I1718" s="20" t="s">
        <v>50</v>
      </c>
      <c r="J1718" s="20">
        <v>5</v>
      </c>
      <c r="K1718" s="20" t="s">
        <v>46</v>
      </c>
      <c r="L1718" s="23">
        <f t="shared" si="193"/>
        <v>45839</v>
      </c>
      <c r="M1718" s="20">
        <f t="shared" si="194"/>
        <v>9</v>
      </c>
      <c r="N1718" s="20">
        <f t="shared" si="195"/>
        <v>0</v>
      </c>
      <c r="O1718" s="20">
        <f t="shared" si="196"/>
        <v>1</v>
      </c>
      <c r="P1718" s="22">
        <f t="shared" si="197"/>
        <v>117.32000000000001</v>
      </c>
      <c r="Q1718" s="22">
        <f>G1718*INDEX(Assumptions!$B$8:$B$16,MATCH(F1718,Assumptions!$A$8:$A$16,0))</f>
        <v>59.2074</v>
      </c>
      <c r="R1718" s="22">
        <f>H1718*Assumptions!$B$3</f>
        <v>14.004</v>
      </c>
      <c r="S1718" s="22">
        <f t="shared" si="198"/>
        <v>20.768600000000006</v>
      </c>
      <c r="T1718" s="20" t="str">
        <f t="shared" si="199"/>
        <v>8-14 days</v>
      </c>
    </row>
    <row r="1719" spans="1:20" x14ac:dyDescent="0.3">
      <c r="A1719" s="20" t="s">
        <v>1785</v>
      </c>
      <c r="B1719" s="20" t="s">
        <v>55</v>
      </c>
      <c r="C1719" s="21">
        <v>45853</v>
      </c>
      <c r="D1719" s="21">
        <v>45868</v>
      </c>
      <c r="E1719" s="21">
        <v>45878</v>
      </c>
      <c r="F1719" s="20" t="s">
        <v>67</v>
      </c>
      <c r="G1719" s="22">
        <v>31.13</v>
      </c>
      <c r="H1719" s="22">
        <v>20.82</v>
      </c>
      <c r="I1719" s="20" t="s">
        <v>50</v>
      </c>
      <c r="J1719" s="20">
        <v>5</v>
      </c>
      <c r="K1719" s="20" t="s">
        <v>46</v>
      </c>
      <c r="L1719" s="23">
        <f t="shared" si="193"/>
        <v>45839</v>
      </c>
      <c r="M1719" s="20">
        <f t="shared" si="194"/>
        <v>15</v>
      </c>
      <c r="N1719" s="20">
        <f t="shared" si="195"/>
        <v>0</v>
      </c>
      <c r="O1719" s="20">
        <f t="shared" si="196"/>
        <v>1</v>
      </c>
      <c r="P1719" s="22">
        <f t="shared" si="197"/>
        <v>51.95</v>
      </c>
      <c r="Q1719" s="22">
        <f>G1719*INDEX(Assumptions!$B$8:$B$16,MATCH(F1719,Assumptions!$A$8:$A$16,0))</f>
        <v>19.300599999999999</v>
      </c>
      <c r="R1719" s="22">
        <f>H1719*Assumptions!$B$3</f>
        <v>12.491999999999999</v>
      </c>
      <c r="S1719" s="22">
        <f t="shared" si="198"/>
        <v>-0.66259999999999941</v>
      </c>
      <c r="T1719" s="20" t="str">
        <f t="shared" si="199"/>
        <v>15-21 days</v>
      </c>
    </row>
    <row r="1720" spans="1:20" x14ac:dyDescent="0.3">
      <c r="A1720" s="20" t="s">
        <v>1786</v>
      </c>
      <c r="B1720" s="20" t="s">
        <v>62</v>
      </c>
      <c r="C1720" s="21">
        <v>45854</v>
      </c>
      <c r="D1720" s="21">
        <v>45866</v>
      </c>
      <c r="E1720" s="21">
        <v>45876</v>
      </c>
      <c r="F1720" s="20" t="s">
        <v>64</v>
      </c>
      <c r="G1720" s="22">
        <v>163.89</v>
      </c>
      <c r="H1720" s="22">
        <v>27.4</v>
      </c>
      <c r="I1720" s="20" t="s">
        <v>45</v>
      </c>
      <c r="J1720" s="20">
        <v>4</v>
      </c>
      <c r="K1720" s="20" t="s">
        <v>46</v>
      </c>
      <c r="L1720" s="23">
        <f t="shared" si="193"/>
        <v>45839</v>
      </c>
      <c r="M1720" s="20">
        <f t="shared" si="194"/>
        <v>12</v>
      </c>
      <c r="N1720" s="20">
        <f t="shared" si="195"/>
        <v>0</v>
      </c>
      <c r="O1720" s="20">
        <f t="shared" si="196"/>
        <v>1</v>
      </c>
      <c r="P1720" s="22">
        <f t="shared" si="197"/>
        <v>191.29</v>
      </c>
      <c r="Q1720" s="22">
        <f>G1720*INDEX(Assumptions!$B$8:$B$16,MATCH(F1720,Assumptions!$A$8:$A$16,0))</f>
        <v>108.1674</v>
      </c>
      <c r="R1720" s="22">
        <f>H1720*Assumptions!$B$3</f>
        <v>16.439999999999998</v>
      </c>
      <c r="S1720" s="22">
        <f t="shared" si="198"/>
        <v>39.282599999999988</v>
      </c>
      <c r="T1720" s="20" t="str">
        <f t="shared" si="199"/>
        <v>8-14 days</v>
      </c>
    </row>
    <row r="1721" spans="1:20" x14ac:dyDescent="0.3">
      <c r="A1721" s="20" t="s">
        <v>1787</v>
      </c>
      <c r="B1721" s="20" t="s">
        <v>19</v>
      </c>
      <c r="C1721" s="21">
        <v>45854</v>
      </c>
      <c r="D1721" s="21">
        <v>45863</v>
      </c>
      <c r="E1721" s="21">
        <v>45868</v>
      </c>
      <c r="F1721" s="20" t="s">
        <v>67</v>
      </c>
      <c r="G1721" s="22">
        <v>105.91</v>
      </c>
      <c r="H1721" s="22">
        <v>16.96</v>
      </c>
      <c r="I1721" s="20" t="s">
        <v>104</v>
      </c>
      <c r="J1721" s="20">
        <v>5</v>
      </c>
      <c r="K1721" s="20" t="s">
        <v>46</v>
      </c>
      <c r="L1721" s="23">
        <f t="shared" si="193"/>
        <v>45839</v>
      </c>
      <c r="M1721" s="20">
        <f t="shared" si="194"/>
        <v>9</v>
      </c>
      <c r="N1721" s="20">
        <f t="shared" si="195"/>
        <v>0</v>
      </c>
      <c r="O1721" s="20">
        <f t="shared" si="196"/>
        <v>1</v>
      </c>
      <c r="P1721" s="22">
        <f t="shared" si="197"/>
        <v>122.87</v>
      </c>
      <c r="Q1721" s="22">
        <f>G1721*INDEX(Assumptions!$B$8:$B$16,MATCH(F1721,Assumptions!$A$8:$A$16,0))</f>
        <v>65.664199999999994</v>
      </c>
      <c r="R1721" s="22">
        <f>H1721*Assumptions!$B$3</f>
        <v>10.176</v>
      </c>
      <c r="S1721" s="22">
        <f t="shared" si="198"/>
        <v>30.069800000000001</v>
      </c>
      <c r="T1721" s="20" t="str">
        <f t="shared" si="199"/>
        <v>8-14 days</v>
      </c>
    </row>
    <row r="1722" spans="1:20" x14ac:dyDescent="0.3">
      <c r="A1722" s="20" t="s">
        <v>1788</v>
      </c>
      <c r="B1722" s="20" t="s">
        <v>48</v>
      </c>
      <c r="C1722" s="21">
        <v>45855</v>
      </c>
      <c r="D1722" s="21">
        <v>45869</v>
      </c>
      <c r="E1722" s="21">
        <v>45874</v>
      </c>
      <c r="F1722" s="20" t="s">
        <v>59</v>
      </c>
      <c r="G1722" s="22">
        <v>134.82</v>
      </c>
      <c r="H1722" s="22">
        <v>28.48</v>
      </c>
      <c r="I1722" s="20" t="s">
        <v>45</v>
      </c>
      <c r="J1722" s="20">
        <v>5</v>
      </c>
      <c r="K1722" s="20" t="s">
        <v>46</v>
      </c>
      <c r="L1722" s="23">
        <f t="shared" si="193"/>
        <v>45839</v>
      </c>
      <c r="M1722" s="20">
        <f t="shared" si="194"/>
        <v>14</v>
      </c>
      <c r="N1722" s="20">
        <f t="shared" si="195"/>
        <v>0</v>
      </c>
      <c r="O1722" s="20">
        <f t="shared" si="196"/>
        <v>1</v>
      </c>
      <c r="P1722" s="22">
        <f t="shared" si="197"/>
        <v>163.29999999999998</v>
      </c>
      <c r="Q1722" s="22">
        <f>G1722*INDEX(Assumptions!$B$8:$B$16,MATCH(F1722,Assumptions!$A$8:$A$16,0))</f>
        <v>86.284800000000004</v>
      </c>
      <c r="R1722" s="22">
        <f>H1722*Assumptions!$B$3</f>
        <v>17.088000000000001</v>
      </c>
      <c r="S1722" s="22">
        <f t="shared" si="198"/>
        <v>31.447199999999988</v>
      </c>
      <c r="T1722" s="20" t="str">
        <f t="shared" si="199"/>
        <v>8-14 days</v>
      </c>
    </row>
    <row r="1723" spans="1:20" x14ac:dyDescent="0.3">
      <c r="A1723" s="20" t="s">
        <v>1789</v>
      </c>
      <c r="B1723" s="20" t="s">
        <v>52</v>
      </c>
      <c r="C1723" s="21">
        <v>45855</v>
      </c>
      <c r="D1723" s="21">
        <v>45880</v>
      </c>
      <c r="E1723" s="21">
        <v>45878</v>
      </c>
      <c r="F1723" s="20" t="s">
        <v>59</v>
      </c>
      <c r="G1723" s="22">
        <v>50.29</v>
      </c>
      <c r="H1723" s="22">
        <v>30.44</v>
      </c>
      <c r="I1723" s="20" t="s">
        <v>50</v>
      </c>
      <c r="J1723" s="20">
        <v>2</v>
      </c>
      <c r="K1723" s="20" t="s">
        <v>46</v>
      </c>
      <c r="L1723" s="23">
        <f t="shared" si="193"/>
        <v>45839</v>
      </c>
      <c r="M1723" s="20">
        <f t="shared" si="194"/>
        <v>25</v>
      </c>
      <c r="N1723" s="20">
        <f t="shared" si="195"/>
        <v>2</v>
      </c>
      <c r="O1723" s="20">
        <f t="shared" si="196"/>
        <v>0</v>
      </c>
      <c r="P1723" s="22">
        <f t="shared" si="197"/>
        <v>80.73</v>
      </c>
      <c r="Q1723" s="22">
        <f>G1723*INDEX(Assumptions!$B$8:$B$16,MATCH(F1723,Assumptions!$A$8:$A$16,0))</f>
        <v>32.185600000000001</v>
      </c>
      <c r="R1723" s="22">
        <f>H1723*Assumptions!$B$3</f>
        <v>18.263999999999999</v>
      </c>
      <c r="S1723" s="22">
        <f t="shared" si="198"/>
        <v>-0.15960000000000107</v>
      </c>
      <c r="T1723" s="20" t="str">
        <f t="shared" si="199"/>
        <v>22+ days</v>
      </c>
    </row>
    <row r="1724" spans="1:20" x14ac:dyDescent="0.3">
      <c r="A1724" s="20" t="s">
        <v>1790</v>
      </c>
      <c r="B1724" s="20" t="s">
        <v>156</v>
      </c>
      <c r="C1724" s="21">
        <v>45855</v>
      </c>
      <c r="D1724" s="21">
        <v>45870</v>
      </c>
      <c r="E1724" s="21">
        <v>45877</v>
      </c>
      <c r="F1724" s="20" t="s">
        <v>64</v>
      </c>
      <c r="G1724" s="22">
        <v>208.72</v>
      </c>
      <c r="H1724" s="22">
        <v>24.09</v>
      </c>
      <c r="I1724" s="20" t="s">
        <v>60</v>
      </c>
      <c r="J1724" s="20">
        <v>5</v>
      </c>
      <c r="K1724" s="20" t="s">
        <v>46</v>
      </c>
      <c r="L1724" s="23">
        <f t="shared" si="193"/>
        <v>45839</v>
      </c>
      <c r="M1724" s="20">
        <f t="shared" si="194"/>
        <v>15</v>
      </c>
      <c r="N1724" s="20">
        <f t="shared" si="195"/>
        <v>0</v>
      </c>
      <c r="O1724" s="20">
        <f t="shared" si="196"/>
        <v>1</v>
      </c>
      <c r="P1724" s="22">
        <f t="shared" si="197"/>
        <v>232.81</v>
      </c>
      <c r="Q1724" s="22">
        <f>G1724*INDEX(Assumptions!$B$8:$B$16,MATCH(F1724,Assumptions!$A$8:$A$16,0))</f>
        <v>137.7552</v>
      </c>
      <c r="R1724" s="22">
        <f>H1724*Assumptions!$B$3</f>
        <v>14.453999999999999</v>
      </c>
      <c r="S1724" s="22">
        <f t="shared" si="198"/>
        <v>56.510799999999996</v>
      </c>
      <c r="T1724" s="20" t="str">
        <f t="shared" si="199"/>
        <v>15-21 days</v>
      </c>
    </row>
    <row r="1725" spans="1:20" x14ac:dyDescent="0.3">
      <c r="A1725" s="20" t="s">
        <v>1791</v>
      </c>
      <c r="B1725" s="20" t="s">
        <v>19</v>
      </c>
      <c r="C1725" s="21">
        <v>45855</v>
      </c>
      <c r="D1725" s="21">
        <v>45862</v>
      </c>
      <c r="E1725" s="21">
        <v>45871</v>
      </c>
      <c r="F1725" s="20" t="s">
        <v>67</v>
      </c>
      <c r="G1725" s="22">
        <v>61.95</v>
      </c>
      <c r="H1725" s="22">
        <v>11.83</v>
      </c>
      <c r="I1725" s="20" t="s">
        <v>60</v>
      </c>
      <c r="J1725" s="20">
        <v>4</v>
      </c>
      <c r="K1725" s="20" t="s">
        <v>46</v>
      </c>
      <c r="L1725" s="23">
        <f t="shared" si="193"/>
        <v>45839</v>
      </c>
      <c r="M1725" s="20">
        <f t="shared" si="194"/>
        <v>7</v>
      </c>
      <c r="N1725" s="20">
        <f t="shared" si="195"/>
        <v>0</v>
      </c>
      <c r="O1725" s="20">
        <f t="shared" si="196"/>
        <v>1</v>
      </c>
      <c r="P1725" s="22">
        <f t="shared" si="197"/>
        <v>73.78</v>
      </c>
      <c r="Q1725" s="22">
        <f>G1725*INDEX(Assumptions!$B$8:$B$16,MATCH(F1725,Assumptions!$A$8:$A$16,0))</f>
        <v>38.408999999999999</v>
      </c>
      <c r="R1725" s="22">
        <f>H1725*Assumptions!$B$3</f>
        <v>7.0979999999999999</v>
      </c>
      <c r="S1725" s="22">
        <f t="shared" si="198"/>
        <v>16.443000000000005</v>
      </c>
      <c r="T1725" s="20" t="str">
        <f t="shared" si="199"/>
        <v>0-7 days</v>
      </c>
    </row>
    <row r="1726" spans="1:20" x14ac:dyDescent="0.3">
      <c r="A1726" s="20" t="s">
        <v>1792</v>
      </c>
      <c r="B1726" s="20" t="s">
        <v>19</v>
      </c>
      <c r="C1726" s="21">
        <v>45855</v>
      </c>
      <c r="D1726" s="21">
        <v>45866</v>
      </c>
      <c r="E1726" s="21">
        <v>45872</v>
      </c>
      <c r="F1726" s="20" t="s">
        <v>79</v>
      </c>
      <c r="G1726" s="22">
        <v>72.48</v>
      </c>
      <c r="H1726" s="22">
        <v>12.57</v>
      </c>
      <c r="I1726" s="20" t="s">
        <v>60</v>
      </c>
      <c r="J1726" s="20">
        <v>5</v>
      </c>
      <c r="K1726" s="20" t="s">
        <v>46</v>
      </c>
      <c r="L1726" s="23">
        <f t="shared" si="193"/>
        <v>45839</v>
      </c>
      <c r="M1726" s="20">
        <f t="shared" si="194"/>
        <v>11</v>
      </c>
      <c r="N1726" s="20">
        <f t="shared" si="195"/>
        <v>0</v>
      </c>
      <c r="O1726" s="20">
        <f t="shared" si="196"/>
        <v>1</v>
      </c>
      <c r="P1726" s="22">
        <f t="shared" si="197"/>
        <v>85.050000000000011</v>
      </c>
      <c r="Q1726" s="22">
        <f>G1726*INDEX(Assumptions!$B$8:$B$16,MATCH(F1726,Assumptions!$A$8:$A$16,0))</f>
        <v>50.735999999999997</v>
      </c>
      <c r="R1726" s="22">
        <f>H1726*Assumptions!$B$3</f>
        <v>7.5419999999999998</v>
      </c>
      <c r="S1726" s="22">
        <f t="shared" si="198"/>
        <v>14.202000000000007</v>
      </c>
      <c r="T1726" s="20" t="str">
        <f t="shared" si="199"/>
        <v>8-14 days</v>
      </c>
    </row>
    <row r="1727" spans="1:20" x14ac:dyDescent="0.3">
      <c r="A1727" s="20" t="s">
        <v>1793</v>
      </c>
      <c r="B1727" s="20" t="s">
        <v>55</v>
      </c>
      <c r="C1727" s="21">
        <v>45855</v>
      </c>
      <c r="D1727" s="21">
        <v>45870</v>
      </c>
      <c r="E1727" s="21">
        <v>45882</v>
      </c>
      <c r="F1727" s="20" t="s">
        <v>53</v>
      </c>
      <c r="G1727" s="22">
        <v>210.26</v>
      </c>
      <c r="H1727" s="22">
        <v>22.38</v>
      </c>
      <c r="I1727" s="20" t="s">
        <v>45</v>
      </c>
      <c r="J1727" s="20">
        <v>4</v>
      </c>
      <c r="K1727" s="20" t="s">
        <v>46</v>
      </c>
      <c r="L1727" s="23">
        <f t="shared" si="193"/>
        <v>45839</v>
      </c>
      <c r="M1727" s="20">
        <f t="shared" si="194"/>
        <v>15</v>
      </c>
      <c r="N1727" s="20">
        <f t="shared" si="195"/>
        <v>0</v>
      </c>
      <c r="O1727" s="20">
        <f t="shared" si="196"/>
        <v>1</v>
      </c>
      <c r="P1727" s="22">
        <f t="shared" si="197"/>
        <v>232.64</v>
      </c>
      <c r="Q1727" s="22">
        <f>G1727*INDEX(Assumptions!$B$8:$B$16,MATCH(F1727,Assumptions!$A$8:$A$16,0))</f>
        <v>155.5924</v>
      </c>
      <c r="R1727" s="22">
        <f>H1727*Assumptions!$B$3</f>
        <v>13.427999999999999</v>
      </c>
      <c r="S1727" s="22">
        <f t="shared" si="198"/>
        <v>41.239599999999996</v>
      </c>
      <c r="T1727" s="20" t="str">
        <f t="shared" si="199"/>
        <v>15-21 days</v>
      </c>
    </row>
    <row r="1728" spans="1:20" x14ac:dyDescent="0.3">
      <c r="A1728" s="20" t="s">
        <v>1794</v>
      </c>
      <c r="B1728" s="20" t="s">
        <v>103</v>
      </c>
      <c r="C1728" s="21">
        <v>45856</v>
      </c>
      <c r="D1728" s="21">
        <v>45875</v>
      </c>
      <c r="E1728" s="21">
        <v>45877</v>
      </c>
      <c r="F1728" s="20" t="s">
        <v>49</v>
      </c>
      <c r="G1728" s="22">
        <v>95.66</v>
      </c>
      <c r="H1728" s="22">
        <v>21.55</v>
      </c>
      <c r="I1728" s="20" t="s">
        <v>45</v>
      </c>
      <c r="J1728" s="20">
        <v>4</v>
      </c>
      <c r="K1728" s="20" t="s">
        <v>46</v>
      </c>
      <c r="L1728" s="23">
        <f t="shared" si="193"/>
        <v>45839</v>
      </c>
      <c r="M1728" s="20">
        <f t="shared" si="194"/>
        <v>19</v>
      </c>
      <c r="N1728" s="20">
        <f t="shared" si="195"/>
        <v>0</v>
      </c>
      <c r="O1728" s="20">
        <f t="shared" si="196"/>
        <v>1</v>
      </c>
      <c r="P1728" s="22">
        <f t="shared" si="197"/>
        <v>117.21</v>
      </c>
      <c r="Q1728" s="22">
        <f>G1728*INDEX(Assumptions!$B$8:$B$16,MATCH(F1728,Assumptions!$A$8:$A$16,0))</f>
        <v>55.482799999999997</v>
      </c>
      <c r="R1728" s="22">
        <f>H1728*Assumptions!$B$3</f>
        <v>12.93</v>
      </c>
      <c r="S1728" s="22">
        <f t="shared" si="198"/>
        <v>27.247199999999999</v>
      </c>
      <c r="T1728" s="20" t="str">
        <f t="shared" si="199"/>
        <v>15-21 days</v>
      </c>
    </row>
    <row r="1729" spans="1:20" x14ac:dyDescent="0.3">
      <c r="A1729" s="20" t="s">
        <v>1795</v>
      </c>
      <c r="B1729" s="20" t="s">
        <v>62</v>
      </c>
      <c r="C1729" s="21">
        <v>45856</v>
      </c>
      <c r="D1729" s="21">
        <v>45870</v>
      </c>
      <c r="E1729" s="21">
        <v>45875</v>
      </c>
      <c r="F1729" s="20" t="s">
        <v>59</v>
      </c>
      <c r="G1729" s="22">
        <v>79.33</v>
      </c>
      <c r="H1729" s="22">
        <v>16.920000000000002</v>
      </c>
      <c r="I1729" s="20" t="s">
        <v>45</v>
      </c>
      <c r="J1729" s="20">
        <v>5</v>
      </c>
      <c r="K1729" s="20" t="s">
        <v>46</v>
      </c>
      <c r="L1729" s="23">
        <f t="shared" si="193"/>
        <v>45839</v>
      </c>
      <c r="M1729" s="20">
        <f t="shared" si="194"/>
        <v>14</v>
      </c>
      <c r="N1729" s="20">
        <f t="shared" si="195"/>
        <v>0</v>
      </c>
      <c r="O1729" s="20">
        <f t="shared" si="196"/>
        <v>1</v>
      </c>
      <c r="P1729" s="22">
        <f t="shared" si="197"/>
        <v>96.25</v>
      </c>
      <c r="Q1729" s="22">
        <f>G1729*INDEX(Assumptions!$B$8:$B$16,MATCH(F1729,Assumptions!$A$8:$A$16,0))</f>
        <v>50.7712</v>
      </c>
      <c r="R1729" s="22">
        <f>H1729*Assumptions!$B$3</f>
        <v>10.152000000000001</v>
      </c>
      <c r="S1729" s="22">
        <f t="shared" si="198"/>
        <v>18.406799999999997</v>
      </c>
      <c r="T1729" s="20" t="str">
        <f t="shared" si="199"/>
        <v>8-14 days</v>
      </c>
    </row>
    <row r="1730" spans="1:20" x14ac:dyDescent="0.3">
      <c r="A1730" s="20" t="s">
        <v>1796</v>
      </c>
      <c r="B1730" s="20" t="s">
        <v>19</v>
      </c>
      <c r="C1730" s="21">
        <v>45856</v>
      </c>
      <c r="D1730" s="21">
        <v>45868</v>
      </c>
      <c r="E1730" s="21">
        <v>45871</v>
      </c>
      <c r="F1730" s="20" t="s">
        <v>64</v>
      </c>
      <c r="G1730" s="22">
        <v>326.54000000000002</v>
      </c>
      <c r="H1730" s="22">
        <v>22.43</v>
      </c>
      <c r="I1730" s="20" t="s">
        <v>45</v>
      </c>
      <c r="J1730" s="20">
        <v>4</v>
      </c>
      <c r="K1730" s="20" t="s">
        <v>46</v>
      </c>
      <c r="L1730" s="23">
        <f t="shared" ref="L1730:L1793" si="200">DATE(YEAR(C1730),MONTH(C1730),1)</f>
        <v>45839</v>
      </c>
      <c r="M1730" s="20">
        <f t="shared" ref="M1730:M1793" si="201">D1730-C1730</f>
        <v>12</v>
      </c>
      <c r="N1730" s="20">
        <f t="shared" ref="N1730:N1793" si="202">MAX(0,D1730-E1730)</f>
        <v>0</v>
      </c>
      <c r="O1730" s="20">
        <f t="shared" ref="O1730:O1793" si="203">IF(D1730&lt;=E1730,1,0)</f>
        <v>1</v>
      </c>
      <c r="P1730" s="22">
        <f t="shared" ref="P1730:P1793" si="204">G1730+H1730</f>
        <v>348.97</v>
      </c>
      <c r="Q1730" s="22">
        <f>G1730*INDEX(Assumptions!$B$8:$B$16,MATCH(F1730,Assumptions!$A$8:$A$16,0))</f>
        <v>215.51640000000003</v>
      </c>
      <c r="R1730" s="22">
        <f>H1730*Assumptions!$B$3</f>
        <v>13.458</v>
      </c>
      <c r="S1730" s="22">
        <f t="shared" ref="S1730:S1793" si="205">G1730-Q1730-R1730</f>
        <v>97.565599999999989</v>
      </c>
      <c r="T1730" s="20" t="str">
        <f t="shared" ref="T1730:T1793" si="206">IF(M1730&lt;=7,"0-7 days",IF(M1730&lt;=14,"8-14 days",IF(M1730&lt;=21,"15-21 days","22+ days")))</f>
        <v>8-14 days</v>
      </c>
    </row>
    <row r="1731" spans="1:20" x14ac:dyDescent="0.3">
      <c r="A1731" s="20" t="s">
        <v>1797</v>
      </c>
      <c r="B1731" s="20" t="s">
        <v>134</v>
      </c>
      <c r="C1731" s="21">
        <v>45856</v>
      </c>
      <c r="D1731" s="21">
        <v>45876</v>
      </c>
      <c r="E1731" s="21">
        <v>45879</v>
      </c>
      <c r="F1731" s="20" t="s">
        <v>79</v>
      </c>
      <c r="G1731" s="22">
        <v>110.94</v>
      </c>
      <c r="H1731" s="22">
        <v>21.71</v>
      </c>
      <c r="I1731" s="20" t="s">
        <v>45</v>
      </c>
      <c r="J1731" s="20">
        <v>4</v>
      </c>
      <c r="K1731" s="20" t="s">
        <v>46</v>
      </c>
      <c r="L1731" s="23">
        <f t="shared" si="200"/>
        <v>45839</v>
      </c>
      <c r="M1731" s="20">
        <f t="shared" si="201"/>
        <v>20</v>
      </c>
      <c r="N1731" s="20">
        <f t="shared" si="202"/>
        <v>0</v>
      </c>
      <c r="O1731" s="20">
        <f t="shared" si="203"/>
        <v>1</v>
      </c>
      <c r="P1731" s="22">
        <f t="shared" si="204"/>
        <v>132.65</v>
      </c>
      <c r="Q1731" s="22">
        <f>G1731*INDEX(Assumptions!$B$8:$B$16,MATCH(F1731,Assumptions!$A$8:$A$16,0))</f>
        <v>77.657999999999987</v>
      </c>
      <c r="R1731" s="22">
        <f>H1731*Assumptions!$B$3</f>
        <v>13.026</v>
      </c>
      <c r="S1731" s="22">
        <f t="shared" si="205"/>
        <v>20.256000000000011</v>
      </c>
      <c r="T1731" s="20" t="str">
        <f t="shared" si="206"/>
        <v>15-21 days</v>
      </c>
    </row>
    <row r="1732" spans="1:20" x14ac:dyDescent="0.3">
      <c r="A1732" s="20" t="s">
        <v>1798</v>
      </c>
      <c r="B1732" s="20" t="s">
        <v>19</v>
      </c>
      <c r="C1732" s="21">
        <v>45856</v>
      </c>
      <c r="D1732" s="21">
        <v>45867</v>
      </c>
      <c r="E1732" s="21">
        <v>45871</v>
      </c>
      <c r="F1732" s="20" t="s">
        <v>59</v>
      </c>
      <c r="G1732" s="22">
        <v>162.5</v>
      </c>
      <c r="H1732" s="22">
        <v>22.97</v>
      </c>
      <c r="I1732" s="20" t="s">
        <v>60</v>
      </c>
      <c r="J1732" s="20">
        <v>4</v>
      </c>
      <c r="K1732" s="20" t="s">
        <v>46</v>
      </c>
      <c r="L1732" s="23">
        <f t="shared" si="200"/>
        <v>45839</v>
      </c>
      <c r="M1732" s="20">
        <f t="shared" si="201"/>
        <v>11</v>
      </c>
      <c r="N1732" s="20">
        <f t="shared" si="202"/>
        <v>0</v>
      </c>
      <c r="O1732" s="20">
        <f t="shared" si="203"/>
        <v>1</v>
      </c>
      <c r="P1732" s="22">
        <f t="shared" si="204"/>
        <v>185.47</v>
      </c>
      <c r="Q1732" s="22">
        <f>G1732*INDEX(Assumptions!$B$8:$B$16,MATCH(F1732,Assumptions!$A$8:$A$16,0))</f>
        <v>104</v>
      </c>
      <c r="R1732" s="22">
        <f>H1732*Assumptions!$B$3</f>
        <v>13.781999999999998</v>
      </c>
      <c r="S1732" s="22">
        <f t="shared" si="205"/>
        <v>44.718000000000004</v>
      </c>
      <c r="T1732" s="20" t="str">
        <f t="shared" si="206"/>
        <v>8-14 days</v>
      </c>
    </row>
    <row r="1733" spans="1:20" x14ac:dyDescent="0.3">
      <c r="A1733" s="20" t="s">
        <v>1799</v>
      </c>
      <c r="B1733" s="20" t="s">
        <v>19</v>
      </c>
      <c r="C1733" s="21">
        <v>45856</v>
      </c>
      <c r="D1733" s="21">
        <v>45863</v>
      </c>
      <c r="E1733" s="21">
        <v>45869</v>
      </c>
      <c r="F1733" s="20" t="s">
        <v>49</v>
      </c>
      <c r="G1733" s="22">
        <v>107.17</v>
      </c>
      <c r="H1733" s="22">
        <v>15.79</v>
      </c>
      <c r="I1733" s="20" t="s">
        <v>45</v>
      </c>
      <c r="J1733" s="20">
        <v>5</v>
      </c>
      <c r="K1733" s="20" t="s">
        <v>46</v>
      </c>
      <c r="L1733" s="23">
        <f t="shared" si="200"/>
        <v>45839</v>
      </c>
      <c r="M1733" s="20">
        <f t="shared" si="201"/>
        <v>7</v>
      </c>
      <c r="N1733" s="20">
        <f t="shared" si="202"/>
        <v>0</v>
      </c>
      <c r="O1733" s="20">
        <f t="shared" si="203"/>
        <v>1</v>
      </c>
      <c r="P1733" s="22">
        <f t="shared" si="204"/>
        <v>122.96000000000001</v>
      </c>
      <c r="Q1733" s="22">
        <f>G1733*INDEX(Assumptions!$B$8:$B$16,MATCH(F1733,Assumptions!$A$8:$A$16,0))</f>
        <v>62.1586</v>
      </c>
      <c r="R1733" s="22">
        <f>H1733*Assumptions!$B$3</f>
        <v>9.4739999999999984</v>
      </c>
      <c r="S1733" s="22">
        <f t="shared" si="205"/>
        <v>35.537400000000005</v>
      </c>
      <c r="T1733" s="20" t="str">
        <f t="shared" si="206"/>
        <v>0-7 days</v>
      </c>
    </row>
    <row r="1734" spans="1:20" x14ac:dyDescent="0.3">
      <c r="A1734" s="20" t="s">
        <v>1800</v>
      </c>
      <c r="B1734" s="20" t="s">
        <v>55</v>
      </c>
      <c r="C1734" s="21">
        <v>45856</v>
      </c>
      <c r="D1734" s="21">
        <v>45869</v>
      </c>
      <c r="E1734" s="21">
        <v>45877</v>
      </c>
      <c r="F1734" s="20" t="s">
        <v>67</v>
      </c>
      <c r="G1734" s="22">
        <v>80.099999999999994</v>
      </c>
      <c r="H1734" s="22">
        <v>20.16</v>
      </c>
      <c r="I1734" s="20" t="s">
        <v>104</v>
      </c>
      <c r="J1734" s="20">
        <v>5</v>
      </c>
      <c r="K1734" s="20" t="s">
        <v>46</v>
      </c>
      <c r="L1734" s="23">
        <f t="shared" si="200"/>
        <v>45839</v>
      </c>
      <c r="M1734" s="20">
        <f t="shared" si="201"/>
        <v>13</v>
      </c>
      <c r="N1734" s="20">
        <f t="shared" si="202"/>
        <v>0</v>
      </c>
      <c r="O1734" s="20">
        <f t="shared" si="203"/>
        <v>1</v>
      </c>
      <c r="P1734" s="22">
        <f t="shared" si="204"/>
        <v>100.25999999999999</v>
      </c>
      <c r="Q1734" s="22">
        <f>G1734*INDEX(Assumptions!$B$8:$B$16,MATCH(F1734,Assumptions!$A$8:$A$16,0))</f>
        <v>49.661999999999999</v>
      </c>
      <c r="R1734" s="22">
        <f>H1734*Assumptions!$B$3</f>
        <v>12.096</v>
      </c>
      <c r="S1734" s="22">
        <f t="shared" si="205"/>
        <v>18.341999999999995</v>
      </c>
      <c r="T1734" s="20" t="str">
        <f t="shared" si="206"/>
        <v>8-14 days</v>
      </c>
    </row>
    <row r="1735" spans="1:20" x14ac:dyDescent="0.3">
      <c r="A1735" s="20" t="s">
        <v>1801</v>
      </c>
      <c r="B1735" s="20" t="s">
        <v>48</v>
      </c>
      <c r="C1735" s="21">
        <v>45856</v>
      </c>
      <c r="D1735" s="21">
        <v>45860</v>
      </c>
      <c r="E1735" s="21">
        <v>45874</v>
      </c>
      <c r="F1735" s="20" t="s">
        <v>64</v>
      </c>
      <c r="G1735" s="22">
        <v>108.91</v>
      </c>
      <c r="H1735" s="22">
        <v>26.73</v>
      </c>
      <c r="I1735" s="20" t="s">
        <v>45</v>
      </c>
      <c r="J1735" s="20">
        <v>5</v>
      </c>
      <c r="K1735" s="20" t="s">
        <v>46</v>
      </c>
      <c r="L1735" s="23">
        <f t="shared" si="200"/>
        <v>45839</v>
      </c>
      <c r="M1735" s="20">
        <f t="shared" si="201"/>
        <v>4</v>
      </c>
      <c r="N1735" s="20">
        <f t="shared" si="202"/>
        <v>0</v>
      </c>
      <c r="O1735" s="20">
        <f t="shared" si="203"/>
        <v>1</v>
      </c>
      <c r="P1735" s="22">
        <f t="shared" si="204"/>
        <v>135.63999999999999</v>
      </c>
      <c r="Q1735" s="22">
        <f>G1735*INDEX(Assumptions!$B$8:$B$16,MATCH(F1735,Assumptions!$A$8:$A$16,0))</f>
        <v>71.880600000000001</v>
      </c>
      <c r="R1735" s="22">
        <f>H1735*Assumptions!$B$3</f>
        <v>16.038</v>
      </c>
      <c r="S1735" s="22">
        <f t="shared" si="205"/>
        <v>20.991399999999995</v>
      </c>
      <c r="T1735" s="20" t="str">
        <f t="shared" si="206"/>
        <v>0-7 days</v>
      </c>
    </row>
    <row r="1736" spans="1:20" x14ac:dyDescent="0.3">
      <c r="A1736" s="20" t="s">
        <v>1802</v>
      </c>
      <c r="B1736" s="20" t="s">
        <v>103</v>
      </c>
      <c r="C1736" s="21">
        <v>45856</v>
      </c>
      <c r="D1736" s="21">
        <v>45871</v>
      </c>
      <c r="E1736" s="21">
        <v>45879</v>
      </c>
      <c r="F1736" s="20" t="s">
        <v>111</v>
      </c>
      <c r="G1736" s="22">
        <v>110.7</v>
      </c>
      <c r="H1736" s="22">
        <v>18.510000000000002</v>
      </c>
      <c r="I1736" s="20" t="s">
        <v>45</v>
      </c>
      <c r="J1736" s="20">
        <v>5</v>
      </c>
      <c r="K1736" s="20" t="s">
        <v>46</v>
      </c>
      <c r="L1736" s="23">
        <f t="shared" si="200"/>
        <v>45839</v>
      </c>
      <c r="M1736" s="20">
        <f t="shared" si="201"/>
        <v>15</v>
      </c>
      <c r="N1736" s="20">
        <f t="shared" si="202"/>
        <v>0</v>
      </c>
      <c r="O1736" s="20">
        <f t="shared" si="203"/>
        <v>1</v>
      </c>
      <c r="P1736" s="22">
        <f t="shared" si="204"/>
        <v>129.21</v>
      </c>
      <c r="Q1736" s="22">
        <f>G1736*INDEX(Assumptions!$B$8:$B$16,MATCH(F1736,Assumptions!$A$8:$A$16,0))</f>
        <v>69.741</v>
      </c>
      <c r="R1736" s="22">
        <f>H1736*Assumptions!$B$3</f>
        <v>11.106</v>
      </c>
      <c r="S1736" s="22">
        <f t="shared" si="205"/>
        <v>29.853000000000002</v>
      </c>
      <c r="T1736" s="20" t="str">
        <f t="shared" si="206"/>
        <v>15-21 days</v>
      </c>
    </row>
    <row r="1737" spans="1:20" x14ac:dyDescent="0.3">
      <c r="A1737" s="20" t="s">
        <v>1803</v>
      </c>
      <c r="B1737" s="20" t="s">
        <v>19</v>
      </c>
      <c r="C1737" s="21">
        <v>45857</v>
      </c>
      <c r="D1737" s="21">
        <v>45868</v>
      </c>
      <c r="E1737" s="21">
        <v>45871</v>
      </c>
      <c r="F1737" s="20" t="s">
        <v>44</v>
      </c>
      <c r="G1737" s="22">
        <v>77.260000000000005</v>
      </c>
      <c r="H1737" s="22">
        <v>14.63</v>
      </c>
      <c r="I1737" s="20" t="s">
        <v>45</v>
      </c>
      <c r="J1737" s="20">
        <v>4</v>
      </c>
      <c r="K1737" s="20" t="s">
        <v>46</v>
      </c>
      <c r="L1737" s="23">
        <f t="shared" si="200"/>
        <v>45839</v>
      </c>
      <c r="M1737" s="20">
        <f t="shared" si="201"/>
        <v>11</v>
      </c>
      <c r="N1737" s="20">
        <f t="shared" si="202"/>
        <v>0</v>
      </c>
      <c r="O1737" s="20">
        <f t="shared" si="203"/>
        <v>1</v>
      </c>
      <c r="P1737" s="22">
        <f t="shared" si="204"/>
        <v>91.89</v>
      </c>
      <c r="Q1737" s="22">
        <f>G1737*INDEX(Assumptions!$B$8:$B$16,MATCH(F1737,Assumptions!$A$8:$A$16,0))</f>
        <v>46.356000000000002</v>
      </c>
      <c r="R1737" s="22">
        <f>H1737*Assumptions!$B$3</f>
        <v>8.7780000000000005</v>
      </c>
      <c r="S1737" s="22">
        <f t="shared" si="205"/>
        <v>22.126000000000005</v>
      </c>
      <c r="T1737" s="20" t="str">
        <f t="shared" si="206"/>
        <v>8-14 days</v>
      </c>
    </row>
    <row r="1738" spans="1:20" x14ac:dyDescent="0.3">
      <c r="A1738" s="20" t="s">
        <v>1804</v>
      </c>
      <c r="B1738" s="20" t="s">
        <v>19</v>
      </c>
      <c r="C1738" s="21">
        <v>45857</v>
      </c>
      <c r="D1738" s="21">
        <v>45866</v>
      </c>
      <c r="E1738" s="21">
        <v>45871</v>
      </c>
      <c r="F1738" s="20" t="s">
        <v>57</v>
      </c>
      <c r="G1738" s="22">
        <v>120.26</v>
      </c>
      <c r="H1738" s="22">
        <v>21.73</v>
      </c>
      <c r="I1738" s="20" t="s">
        <v>45</v>
      </c>
      <c r="J1738" s="20">
        <v>5</v>
      </c>
      <c r="K1738" s="20" t="s">
        <v>46</v>
      </c>
      <c r="L1738" s="23">
        <f t="shared" si="200"/>
        <v>45839</v>
      </c>
      <c r="M1738" s="20">
        <f t="shared" si="201"/>
        <v>9</v>
      </c>
      <c r="N1738" s="20">
        <f t="shared" si="202"/>
        <v>0</v>
      </c>
      <c r="O1738" s="20">
        <f t="shared" si="203"/>
        <v>1</v>
      </c>
      <c r="P1738" s="22">
        <f t="shared" si="204"/>
        <v>141.99</v>
      </c>
      <c r="Q1738" s="22">
        <f>G1738*INDEX(Assumptions!$B$8:$B$16,MATCH(F1738,Assumptions!$A$8:$A$16,0))</f>
        <v>81.776800000000009</v>
      </c>
      <c r="R1738" s="22">
        <f>H1738*Assumptions!$B$3</f>
        <v>13.038</v>
      </c>
      <c r="S1738" s="22">
        <f t="shared" si="205"/>
        <v>25.445199999999996</v>
      </c>
      <c r="T1738" s="20" t="str">
        <f t="shared" si="206"/>
        <v>8-14 days</v>
      </c>
    </row>
    <row r="1739" spans="1:20" x14ac:dyDescent="0.3">
      <c r="A1739" s="20" t="s">
        <v>1805</v>
      </c>
      <c r="B1739" s="20" t="s">
        <v>19</v>
      </c>
      <c r="C1739" s="21">
        <v>45857</v>
      </c>
      <c r="D1739" s="21">
        <v>45864</v>
      </c>
      <c r="E1739" s="21">
        <v>45874</v>
      </c>
      <c r="F1739" s="20" t="s">
        <v>53</v>
      </c>
      <c r="G1739" s="22">
        <v>153.68</v>
      </c>
      <c r="H1739" s="22">
        <v>14.64</v>
      </c>
      <c r="I1739" s="20" t="s">
        <v>45</v>
      </c>
      <c r="J1739" s="20">
        <v>5</v>
      </c>
      <c r="K1739" s="20" t="s">
        <v>46</v>
      </c>
      <c r="L1739" s="23">
        <f t="shared" si="200"/>
        <v>45839</v>
      </c>
      <c r="M1739" s="20">
        <f t="shared" si="201"/>
        <v>7</v>
      </c>
      <c r="N1739" s="20">
        <f t="shared" si="202"/>
        <v>0</v>
      </c>
      <c r="O1739" s="20">
        <f t="shared" si="203"/>
        <v>1</v>
      </c>
      <c r="P1739" s="22">
        <f t="shared" si="204"/>
        <v>168.32</v>
      </c>
      <c r="Q1739" s="22">
        <f>G1739*INDEX(Assumptions!$B$8:$B$16,MATCH(F1739,Assumptions!$A$8:$A$16,0))</f>
        <v>113.72320000000001</v>
      </c>
      <c r="R1739" s="22">
        <f>H1739*Assumptions!$B$3</f>
        <v>8.7840000000000007</v>
      </c>
      <c r="S1739" s="22">
        <f t="shared" si="205"/>
        <v>31.172800000000002</v>
      </c>
      <c r="T1739" s="20" t="str">
        <f t="shared" si="206"/>
        <v>0-7 days</v>
      </c>
    </row>
    <row r="1740" spans="1:20" x14ac:dyDescent="0.3">
      <c r="A1740" s="20" t="s">
        <v>1806</v>
      </c>
      <c r="B1740" s="20" t="s">
        <v>55</v>
      </c>
      <c r="C1740" s="21">
        <v>45857</v>
      </c>
      <c r="D1740" s="21">
        <v>45869</v>
      </c>
      <c r="E1740" s="21">
        <v>45881</v>
      </c>
      <c r="F1740" s="20" t="s">
        <v>59</v>
      </c>
      <c r="G1740" s="22">
        <v>59</v>
      </c>
      <c r="H1740" s="22">
        <v>27.12</v>
      </c>
      <c r="I1740" s="20" t="s">
        <v>45</v>
      </c>
      <c r="J1740" s="20">
        <v>5</v>
      </c>
      <c r="K1740" s="20" t="s">
        <v>46</v>
      </c>
      <c r="L1740" s="23">
        <f t="shared" si="200"/>
        <v>45839</v>
      </c>
      <c r="M1740" s="20">
        <f t="shared" si="201"/>
        <v>12</v>
      </c>
      <c r="N1740" s="20">
        <f t="shared" si="202"/>
        <v>0</v>
      </c>
      <c r="O1740" s="20">
        <f t="shared" si="203"/>
        <v>1</v>
      </c>
      <c r="P1740" s="22">
        <f t="shared" si="204"/>
        <v>86.12</v>
      </c>
      <c r="Q1740" s="22">
        <f>G1740*INDEX(Assumptions!$B$8:$B$16,MATCH(F1740,Assumptions!$A$8:$A$16,0))</f>
        <v>37.76</v>
      </c>
      <c r="R1740" s="22">
        <f>H1740*Assumptions!$B$3</f>
        <v>16.271999999999998</v>
      </c>
      <c r="S1740" s="22">
        <f t="shared" si="205"/>
        <v>4.9680000000000035</v>
      </c>
      <c r="T1740" s="20" t="str">
        <f t="shared" si="206"/>
        <v>8-14 days</v>
      </c>
    </row>
    <row r="1741" spans="1:20" x14ac:dyDescent="0.3">
      <c r="A1741" s="20" t="s">
        <v>1807</v>
      </c>
      <c r="B1741" s="20" t="s">
        <v>19</v>
      </c>
      <c r="C1741" s="21">
        <v>45857</v>
      </c>
      <c r="D1741" s="21">
        <v>45865</v>
      </c>
      <c r="E1741" s="21">
        <v>45869</v>
      </c>
      <c r="F1741" s="20" t="s">
        <v>64</v>
      </c>
      <c r="G1741" s="22">
        <v>151.51</v>
      </c>
      <c r="H1741" s="22">
        <v>24</v>
      </c>
      <c r="I1741" s="20" t="s">
        <v>60</v>
      </c>
      <c r="J1741" s="20">
        <v>5</v>
      </c>
      <c r="K1741" s="20" t="s">
        <v>46</v>
      </c>
      <c r="L1741" s="23">
        <f t="shared" si="200"/>
        <v>45839</v>
      </c>
      <c r="M1741" s="20">
        <f t="shared" si="201"/>
        <v>8</v>
      </c>
      <c r="N1741" s="20">
        <f t="shared" si="202"/>
        <v>0</v>
      </c>
      <c r="O1741" s="20">
        <f t="shared" si="203"/>
        <v>1</v>
      </c>
      <c r="P1741" s="22">
        <f t="shared" si="204"/>
        <v>175.51</v>
      </c>
      <c r="Q1741" s="22">
        <f>G1741*INDEX(Assumptions!$B$8:$B$16,MATCH(F1741,Assumptions!$A$8:$A$16,0))</f>
        <v>99.996600000000001</v>
      </c>
      <c r="R1741" s="22">
        <f>H1741*Assumptions!$B$3</f>
        <v>14.399999999999999</v>
      </c>
      <c r="S1741" s="22">
        <f t="shared" si="205"/>
        <v>37.113399999999992</v>
      </c>
      <c r="T1741" s="20" t="str">
        <f t="shared" si="206"/>
        <v>8-14 days</v>
      </c>
    </row>
    <row r="1742" spans="1:20" x14ac:dyDescent="0.3">
      <c r="A1742" s="20" t="s">
        <v>1808</v>
      </c>
      <c r="B1742" s="20" t="s">
        <v>19</v>
      </c>
      <c r="C1742" s="21">
        <v>45857</v>
      </c>
      <c r="D1742" s="21">
        <v>45865</v>
      </c>
      <c r="E1742" s="21">
        <v>45870</v>
      </c>
      <c r="F1742" s="20" t="s">
        <v>49</v>
      </c>
      <c r="G1742" s="22">
        <v>22.44</v>
      </c>
      <c r="H1742" s="22">
        <v>12.97</v>
      </c>
      <c r="I1742" s="20" t="s">
        <v>45</v>
      </c>
      <c r="J1742" s="20">
        <v>4</v>
      </c>
      <c r="K1742" s="20" t="s">
        <v>46</v>
      </c>
      <c r="L1742" s="23">
        <f t="shared" si="200"/>
        <v>45839</v>
      </c>
      <c r="M1742" s="20">
        <f t="shared" si="201"/>
        <v>8</v>
      </c>
      <c r="N1742" s="20">
        <f t="shared" si="202"/>
        <v>0</v>
      </c>
      <c r="O1742" s="20">
        <f t="shared" si="203"/>
        <v>1</v>
      </c>
      <c r="P1742" s="22">
        <f t="shared" si="204"/>
        <v>35.410000000000004</v>
      </c>
      <c r="Q1742" s="22">
        <f>G1742*INDEX(Assumptions!$B$8:$B$16,MATCH(F1742,Assumptions!$A$8:$A$16,0))</f>
        <v>13.0152</v>
      </c>
      <c r="R1742" s="22">
        <f>H1742*Assumptions!$B$3</f>
        <v>7.782</v>
      </c>
      <c r="S1742" s="22">
        <f t="shared" si="205"/>
        <v>1.6428000000000011</v>
      </c>
      <c r="T1742" s="20" t="str">
        <f t="shared" si="206"/>
        <v>8-14 days</v>
      </c>
    </row>
    <row r="1743" spans="1:20" x14ac:dyDescent="0.3">
      <c r="A1743" s="20" t="s">
        <v>1809</v>
      </c>
      <c r="B1743" s="20" t="s">
        <v>19</v>
      </c>
      <c r="C1743" s="21">
        <v>45857</v>
      </c>
      <c r="D1743" s="21">
        <v>45865</v>
      </c>
      <c r="E1743" s="21">
        <v>45876</v>
      </c>
      <c r="F1743" s="20" t="s">
        <v>64</v>
      </c>
      <c r="G1743" s="22">
        <v>283.44</v>
      </c>
      <c r="H1743" s="22">
        <v>16.39</v>
      </c>
      <c r="I1743" s="20" t="s">
        <v>45</v>
      </c>
      <c r="J1743" s="20">
        <v>5</v>
      </c>
      <c r="K1743" s="20" t="s">
        <v>46</v>
      </c>
      <c r="L1743" s="23">
        <f t="shared" si="200"/>
        <v>45839</v>
      </c>
      <c r="M1743" s="20">
        <f t="shared" si="201"/>
        <v>8</v>
      </c>
      <c r="N1743" s="20">
        <f t="shared" si="202"/>
        <v>0</v>
      </c>
      <c r="O1743" s="20">
        <f t="shared" si="203"/>
        <v>1</v>
      </c>
      <c r="P1743" s="22">
        <f t="shared" si="204"/>
        <v>299.83</v>
      </c>
      <c r="Q1743" s="22">
        <f>G1743*INDEX(Assumptions!$B$8:$B$16,MATCH(F1743,Assumptions!$A$8:$A$16,0))</f>
        <v>187.07040000000001</v>
      </c>
      <c r="R1743" s="22">
        <f>H1743*Assumptions!$B$3</f>
        <v>9.8339999999999996</v>
      </c>
      <c r="S1743" s="22">
        <f t="shared" si="205"/>
        <v>86.535599999999988</v>
      </c>
      <c r="T1743" s="20" t="str">
        <f t="shared" si="206"/>
        <v>8-14 days</v>
      </c>
    </row>
    <row r="1744" spans="1:20" x14ac:dyDescent="0.3">
      <c r="A1744" s="20" t="s">
        <v>1810</v>
      </c>
      <c r="B1744" s="20" t="s">
        <v>19</v>
      </c>
      <c r="C1744" s="21">
        <v>45857</v>
      </c>
      <c r="D1744" s="21">
        <v>45865</v>
      </c>
      <c r="E1744" s="21">
        <v>45872</v>
      </c>
      <c r="F1744" s="20" t="s">
        <v>53</v>
      </c>
      <c r="G1744" s="22">
        <v>199.52</v>
      </c>
      <c r="H1744" s="22">
        <v>16.34</v>
      </c>
      <c r="I1744" s="20" t="s">
        <v>60</v>
      </c>
      <c r="J1744" s="20">
        <v>5</v>
      </c>
      <c r="K1744" s="20" t="s">
        <v>46</v>
      </c>
      <c r="L1744" s="23">
        <f t="shared" si="200"/>
        <v>45839</v>
      </c>
      <c r="M1744" s="20">
        <f t="shared" si="201"/>
        <v>8</v>
      </c>
      <c r="N1744" s="20">
        <f t="shared" si="202"/>
        <v>0</v>
      </c>
      <c r="O1744" s="20">
        <f t="shared" si="203"/>
        <v>1</v>
      </c>
      <c r="P1744" s="22">
        <f t="shared" si="204"/>
        <v>215.86</v>
      </c>
      <c r="Q1744" s="22">
        <f>G1744*INDEX(Assumptions!$B$8:$B$16,MATCH(F1744,Assumptions!$A$8:$A$16,0))</f>
        <v>147.6448</v>
      </c>
      <c r="R1744" s="22">
        <f>H1744*Assumptions!$B$3</f>
        <v>9.8040000000000003</v>
      </c>
      <c r="S1744" s="22">
        <f t="shared" si="205"/>
        <v>42.071200000000005</v>
      </c>
      <c r="T1744" s="20" t="str">
        <f t="shared" si="206"/>
        <v>8-14 days</v>
      </c>
    </row>
    <row r="1745" spans="1:20" x14ac:dyDescent="0.3">
      <c r="A1745" s="20" t="s">
        <v>1811</v>
      </c>
      <c r="B1745" s="20" t="s">
        <v>19</v>
      </c>
      <c r="C1745" s="21">
        <v>45858</v>
      </c>
      <c r="D1745" s="21">
        <v>45866</v>
      </c>
      <c r="E1745" s="21">
        <v>45874</v>
      </c>
      <c r="F1745" s="20" t="s">
        <v>49</v>
      </c>
      <c r="G1745" s="22">
        <v>235.01</v>
      </c>
      <c r="H1745" s="22">
        <v>19</v>
      </c>
      <c r="I1745" s="20" t="s">
        <v>45</v>
      </c>
      <c r="J1745" s="20">
        <v>4</v>
      </c>
      <c r="K1745" s="20" t="s">
        <v>46</v>
      </c>
      <c r="L1745" s="23">
        <f t="shared" si="200"/>
        <v>45839</v>
      </c>
      <c r="M1745" s="20">
        <f t="shared" si="201"/>
        <v>8</v>
      </c>
      <c r="N1745" s="20">
        <f t="shared" si="202"/>
        <v>0</v>
      </c>
      <c r="O1745" s="20">
        <f t="shared" si="203"/>
        <v>1</v>
      </c>
      <c r="P1745" s="22">
        <f t="shared" si="204"/>
        <v>254.01</v>
      </c>
      <c r="Q1745" s="22">
        <f>G1745*INDEX(Assumptions!$B$8:$B$16,MATCH(F1745,Assumptions!$A$8:$A$16,0))</f>
        <v>136.30579999999998</v>
      </c>
      <c r="R1745" s="22">
        <f>H1745*Assumptions!$B$3</f>
        <v>11.4</v>
      </c>
      <c r="S1745" s="22">
        <f t="shared" si="205"/>
        <v>87.304200000000009</v>
      </c>
      <c r="T1745" s="20" t="str">
        <f t="shared" si="206"/>
        <v>8-14 days</v>
      </c>
    </row>
    <row r="1746" spans="1:20" x14ac:dyDescent="0.3">
      <c r="A1746" s="20" t="s">
        <v>1812</v>
      </c>
      <c r="B1746" s="20" t="s">
        <v>19</v>
      </c>
      <c r="C1746" s="21">
        <v>45858</v>
      </c>
      <c r="D1746" s="21">
        <v>45864</v>
      </c>
      <c r="E1746" s="21">
        <v>45875</v>
      </c>
      <c r="F1746" s="20" t="s">
        <v>59</v>
      </c>
      <c r="G1746" s="22">
        <v>149.03</v>
      </c>
      <c r="H1746" s="22">
        <v>18.600000000000001</v>
      </c>
      <c r="I1746" s="20" t="s">
        <v>45</v>
      </c>
      <c r="J1746" s="20">
        <v>5</v>
      </c>
      <c r="K1746" s="20" t="s">
        <v>46</v>
      </c>
      <c r="L1746" s="23">
        <f t="shared" si="200"/>
        <v>45839</v>
      </c>
      <c r="M1746" s="20">
        <f t="shared" si="201"/>
        <v>6</v>
      </c>
      <c r="N1746" s="20">
        <f t="shared" si="202"/>
        <v>0</v>
      </c>
      <c r="O1746" s="20">
        <f t="shared" si="203"/>
        <v>1</v>
      </c>
      <c r="P1746" s="22">
        <f t="shared" si="204"/>
        <v>167.63</v>
      </c>
      <c r="Q1746" s="22">
        <f>G1746*INDEX(Assumptions!$B$8:$B$16,MATCH(F1746,Assumptions!$A$8:$A$16,0))</f>
        <v>95.379199999999997</v>
      </c>
      <c r="R1746" s="22">
        <f>H1746*Assumptions!$B$3</f>
        <v>11.16</v>
      </c>
      <c r="S1746" s="22">
        <f t="shared" si="205"/>
        <v>42.490800000000007</v>
      </c>
      <c r="T1746" s="20" t="str">
        <f t="shared" si="206"/>
        <v>0-7 days</v>
      </c>
    </row>
    <row r="1747" spans="1:20" x14ac:dyDescent="0.3">
      <c r="A1747" s="20" t="s">
        <v>1813</v>
      </c>
      <c r="B1747" s="20" t="s">
        <v>52</v>
      </c>
      <c r="C1747" s="21">
        <v>45858</v>
      </c>
      <c r="D1747" s="21">
        <v>45872</v>
      </c>
      <c r="E1747" s="21">
        <v>45881</v>
      </c>
      <c r="F1747" s="20" t="s">
        <v>53</v>
      </c>
      <c r="G1747" s="22">
        <v>92.36</v>
      </c>
      <c r="H1747" s="22">
        <v>20.8</v>
      </c>
      <c r="I1747" s="20" t="s">
        <v>45</v>
      </c>
      <c r="J1747" s="20">
        <v>4</v>
      </c>
      <c r="K1747" s="20" t="s">
        <v>46</v>
      </c>
      <c r="L1747" s="23">
        <f t="shared" si="200"/>
        <v>45839</v>
      </c>
      <c r="M1747" s="20">
        <f t="shared" si="201"/>
        <v>14</v>
      </c>
      <c r="N1747" s="20">
        <f t="shared" si="202"/>
        <v>0</v>
      </c>
      <c r="O1747" s="20">
        <f t="shared" si="203"/>
        <v>1</v>
      </c>
      <c r="P1747" s="22">
        <f t="shared" si="204"/>
        <v>113.16</v>
      </c>
      <c r="Q1747" s="22">
        <f>G1747*INDEX(Assumptions!$B$8:$B$16,MATCH(F1747,Assumptions!$A$8:$A$16,0))</f>
        <v>68.346400000000003</v>
      </c>
      <c r="R1747" s="22">
        <f>H1747*Assumptions!$B$3</f>
        <v>12.48</v>
      </c>
      <c r="S1747" s="22">
        <f t="shared" si="205"/>
        <v>11.533599999999996</v>
      </c>
      <c r="T1747" s="20" t="str">
        <f t="shared" si="206"/>
        <v>8-14 days</v>
      </c>
    </row>
    <row r="1748" spans="1:20" x14ac:dyDescent="0.3">
      <c r="A1748" s="20" t="s">
        <v>1814</v>
      </c>
      <c r="B1748" s="20" t="s">
        <v>62</v>
      </c>
      <c r="C1748" s="21">
        <v>45859</v>
      </c>
      <c r="D1748" s="21">
        <v>45866</v>
      </c>
      <c r="E1748" s="21">
        <v>45883</v>
      </c>
      <c r="F1748" s="20" t="s">
        <v>59</v>
      </c>
      <c r="G1748" s="22">
        <v>77.400000000000006</v>
      </c>
      <c r="H1748" s="22">
        <v>26.56</v>
      </c>
      <c r="I1748" s="20" t="s">
        <v>45</v>
      </c>
      <c r="J1748" s="20">
        <v>5</v>
      </c>
      <c r="K1748" s="20" t="s">
        <v>46</v>
      </c>
      <c r="L1748" s="23">
        <f t="shared" si="200"/>
        <v>45839</v>
      </c>
      <c r="M1748" s="20">
        <f t="shared" si="201"/>
        <v>7</v>
      </c>
      <c r="N1748" s="20">
        <f t="shared" si="202"/>
        <v>0</v>
      </c>
      <c r="O1748" s="20">
        <f t="shared" si="203"/>
        <v>1</v>
      </c>
      <c r="P1748" s="22">
        <f t="shared" si="204"/>
        <v>103.96000000000001</v>
      </c>
      <c r="Q1748" s="22">
        <f>G1748*INDEX(Assumptions!$B$8:$B$16,MATCH(F1748,Assumptions!$A$8:$A$16,0))</f>
        <v>49.536000000000001</v>
      </c>
      <c r="R1748" s="22">
        <f>H1748*Assumptions!$B$3</f>
        <v>15.935999999999998</v>
      </c>
      <c r="S1748" s="22">
        <f t="shared" si="205"/>
        <v>11.928000000000006</v>
      </c>
      <c r="T1748" s="20" t="str">
        <f t="shared" si="206"/>
        <v>0-7 days</v>
      </c>
    </row>
    <row r="1749" spans="1:20" x14ac:dyDescent="0.3">
      <c r="A1749" s="20" t="s">
        <v>1815</v>
      </c>
      <c r="B1749" s="20" t="s">
        <v>19</v>
      </c>
      <c r="C1749" s="21">
        <v>45859</v>
      </c>
      <c r="D1749" s="21">
        <v>45871</v>
      </c>
      <c r="E1749" s="21">
        <v>45875</v>
      </c>
      <c r="F1749" s="20" t="s">
        <v>79</v>
      </c>
      <c r="G1749" s="22">
        <v>97.1</v>
      </c>
      <c r="H1749" s="22">
        <v>13.22</v>
      </c>
      <c r="I1749" s="20" t="s">
        <v>45</v>
      </c>
      <c r="J1749" s="20">
        <v>4</v>
      </c>
      <c r="K1749" s="20" t="s">
        <v>46</v>
      </c>
      <c r="L1749" s="23">
        <f t="shared" si="200"/>
        <v>45839</v>
      </c>
      <c r="M1749" s="20">
        <f t="shared" si="201"/>
        <v>12</v>
      </c>
      <c r="N1749" s="20">
        <f t="shared" si="202"/>
        <v>0</v>
      </c>
      <c r="O1749" s="20">
        <f t="shared" si="203"/>
        <v>1</v>
      </c>
      <c r="P1749" s="22">
        <f t="shared" si="204"/>
        <v>110.32</v>
      </c>
      <c r="Q1749" s="22">
        <f>G1749*INDEX(Assumptions!$B$8:$B$16,MATCH(F1749,Assumptions!$A$8:$A$16,0))</f>
        <v>67.969999999999985</v>
      </c>
      <c r="R1749" s="22">
        <f>H1749*Assumptions!$B$3</f>
        <v>7.9320000000000004</v>
      </c>
      <c r="S1749" s="22">
        <f t="shared" si="205"/>
        <v>21.198000000000008</v>
      </c>
      <c r="T1749" s="20" t="str">
        <f t="shared" si="206"/>
        <v>8-14 days</v>
      </c>
    </row>
    <row r="1750" spans="1:20" x14ac:dyDescent="0.3">
      <c r="A1750" s="20" t="s">
        <v>1816</v>
      </c>
      <c r="B1750" s="20" t="s">
        <v>19</v>
      </c>
      <c r="C1750" s="21">
        <v>45859</v>
      </c>
      <c r="D1750" s="21">
        <v>45868</v>
      </c>
      <c r="E1750" s="21">
        <v>45876</v>
      </c>
      <c r="F1750" s="20" t="s">
        <v>59</v>
      </c>
      <c r="G1750" s="22">
        <v>391.97</v>
      </c>
      <c r="H1750" s="22">
        <v>23.76</v>
      </c>
      <c r="I1750" s="20" t="s">
        <v>60</v>
      </c>
      <c r="J1750" s="20">
        <v>3</v>
      </c>
      <c r="K1750" s="20" t="s">
        <v>46</v>
      </c>
      <c r="L1750" s="23">
        <f t="shared" si="200"/>
        <v>45839</v>
      </c>
      <c r="M1750" s="20">
        <f t="shared" si="201"/>
        <v>9</v>
      </c>
      <c r="N1750" s="20">
        <f t="shared" si="202"/>
        <v>0</v>
      </c>
      <c r="O1750" s="20">
        <f t="shared" si="203"/>
        <v>1</v>
      </c>
      <c r="P1750" s="22">
        <f t="shared" si="204"/>
        <v>415.73</v>
      </c>
      <c r="Q1750" s="22">
        <f>G1750*INDEX(Assumptions!$B$8:$B$16,MATCH(F1750,Assumptions!$A$8:$A$16,0))</f>
        <v>250.86080000000001</v>
      </c>
      <c r="R1750" s="22">
        <f>H1750*Assumptions!$B$3</f>
        <v>14.256</v>
      </c>
      <c r="S1750" s="22">
        <f t="shared" si="205"/>
        <v>126.85320000000002</v>
      </c>
      <c r="T1750" s="20" t="str">
        <f t="shared" si="206"/>
        <v>8-14 days</v>
      </c>
    </row>
    <row r="1751" spans="1:20" x14ac:dyDescent="0.3">
      <c r="A1751" s="20" t="s">
        <v>1817</v>
      </c>
      <c r="B1751" s="20" t="s">
        <v>19</v>
      </c>
      <c r="C1751" s="21">
        <v>45859</v>
      </c>
      <c r="D1751" s="21">
        <v>45866</v>
      </c>
      <c r="E1751" s="21">
        <v>45873</v>
      </c>
      <c r="F1751" s="20" t="s">
        <v>64</v>
      </c>
      <c r="G1751" s="22">
        <v>152.05000000000001</v>
      </c>
      <c r="H1751" s="22">
        <v>20.58</v>
      </c>
      <c r="I1751" s="20" t="s">
        <v>45</v>
      </c>
      <c r="J1751" s="20">
        <v>5</v>
      </c>
      <c r="K1751" s="20" t="s">
        <v>46</v>
      </c>
      <c r="L1751" s="23">
        <f t="shared" si="200"/>
        <v>45839</v>
      </c>
      <c r="M1751" s="20">
        <f t="shared" si="201"/>
        <v>7</v>
      </c>
      <c r="N1751" s="20">
        <f t="shared" si="202"/>
        <v>0</v>
      </c>
      <c r="O1751" s="20">
        <f t="shared" si="203"/>
        <v>1</v>
      </c>
      <c r="P1751" s="22">
        <f t="shared" si="204"/>
        <v>172.63</v>
      </c>
      <c r="Q1751" s="22">
        <f>G1751*INDEX(Assumptions!$B$8:$B$16,MATCH(F1751,Assumptions!$A$8:$A$16,0))</f>
        <v>100.35300000000001</v>
      </c>
      <c r="R1751" s="22">
        <f>H1751*Assumptions!$B$3</f>
        <v>12.347999999999999</v>
      </c>
      <c r="S1751" s="22">
        <f t="shared" si="205"/>
        <v>39.349000000000004</v>
      </c>
      <c r="T1751" s="20" t="str">
        <f t="shared" si="206"/>
        <v>0-7 days</v>
      </c>
    </row>
    <row r="1752" spans="1:20" x14ac:dyDescent="0.3">
      <c r="A1752" s="20" t="s">
        <v>1818</v>
      </c>
      <c r="B1752" s="20" t="s">
        <v>19</v>
      </c>
      <c r="C1752" s="21">
        <v>45859</v>
      </c>
      <c r="D1752" s="21">
        <v>45865</v>
      </c>
      <c r="E1752" s="21">
        <v>45878</v>
      </c>
      <c r="F1752" s="20" t="s">
        <v>49</v>
      </c>
      <c r="G1752" s="22">
        <v>141.99</v>
      </c>
      <c r="H1752" s="22">
        <v>21.51</v>
      </c>
      <c r="I1752" s="20" t="s">
        <v>50</v>
      </c>
      <c r="J1752" s="20">
        <v>4</v>
      </c>
      <c r="K1752" s="20" t="s">
        <v>46</v>
      </c>
      <c r="L1752" s="23">
        <f t="shared" si="200"/>
        <v>45839</v>
      </c>
      <c r="M1752" s="20">
        <f t="shared" si="201"/>
        <v>6</v>
      </c>
      <c r="N1752" s="20">
        <f t="shared" si="202"/>
        <v>0</v>
      </c>
      <c r="O1752" s="20">
        <f t="shared" si="203"/>
        <v>1</v>
      </c>
      <c r="P1752" s="22">
        <f t="shared" si="204"/>
        <v>163.5</v>
      </c>
      <c r="Q1752" s="22">
        <f>G1752*INDEX(Assumptions!$B$8:$B$16,MATCH(F1752,Assumptions!$A$8:$A$16,0))</f>
        <v>82.354200000000006</v>
      </c>
      <c r="R1752" s="22">
        <f>H1752*Assumptions!$B$3</f>
        <v>12.906000000000001</v>
      </c>
      <c r="S1752" s="22">
        <f t="shared" si="205"/>
        <v>46.729800000000004</v>
      </c>
      <c r="T1752" s="20" t="str">
        <f t="shared" si="206"/>
        <v>0-7 days</v>
      </c>
    </row>
    <row r="1753" spans="1:20" x14ac:dyDescent="0.3">
      <c r="A1753" s="20" t="s">
        <v>1819</v>
      </c>
      <c r="B1753" s="20" t="s">
        <v>93</v>
      </c>
      <c r="C1753" s="21">
        <v>45859</v>
      </c>
      <c r="D1753" s="21">
        <v>45870</v>
      </c>
      <c r="E1753" s="21">
        <v>45884</v>
      </c>
      <c r="F1753" s="20" t="s">
        <v>44</v>
      </c>
      <c r="G1753" s="22">
        <v>25.84</v>
      </c>
      <c r="H1753" s="22">
        <v>25.65</v>
      </c>
      <c r="I1753" s="20" t="s">
        <v>45</v>
      </c>
      <c r="J1753" s="20">
        <v>4</v>
      </c>
      <c r="K1753" s="20" t="s">
        <v>46</v>
      </c>
      <c r="L1753" s="23">
        <f t="shared" si="200"/>
        <v>45839</v>
      </c>
      <c r="M1753" s="20">
        <f t="shared" si="201"/>
        <v>11</v>
      </c>
      <c r="N1753" s="20">
        <f t="shared" si="202"/>
        <v>0</v>
      </c>
      <c r="O1753" s="20">
        <f t="shared" si="203"/>
        <v>1</v>
      </c>
      <c r="P1753" s="22">
        <f t="shared" si="204"/>
        <v>51.489999999999995</v>
      </c>
      <c r="Q1753" s="22">
        <f>G1753*INDEX(Assumptions!$B$8:$B$16,MATCH(F1753,Assumptions!$A$8:$A$16,0))</f>
        <v>15.504</v>
      </c>
      <c r="R1753" s="22">
        <f>H1753*Assumptions!$B$3</f>
        <v>15.389999999999999</v>
      </c>
      <c r="S1753" s="22">
        <f t="shared" si="205"/>
        <v>-5.0539999999999985</v>
      </c>
      <c r="T1753" s="20" t="str">
        <f t="shared" si="206"/>
        <v>8-14 days</v>
      </c>
    </row>
    <row r="1754" spans="1:20" x14ac:dyDescent="0.3">
      <c r="A1754" s="20" t="s">
        <v>1820</v>
      </c>
      <c r="B1754" s="20" t="s">
        <v>134</v>
      </c>
      <c r="C1754" s="21">
        <v>45860</v>
      </c>
      <c r="D1754" s="21">
        <v>45871</v>
      </c>
      <c r="E1754" s="21">
        <v>45883</v>
      </c>
      <c r="F1754" s="20" t="s">
        <v>64</v>
      </c>
      <c r="G1754" s="22">
        <v>112.39</v>
      </c>
      <c r="H1754" s="22">
        <v>29.06</v>
      </c>
      <c r="I1754" s="20" t="s">
        <v>60</v>
      </c>
      <c r="J1754" s="20">
        <v>5</v>
      </c>
      <c r="K1754" s="20" t="s">
        <v>46</v>
      </c>
      <c r="L1754" s="23">
        <f t="shared" si="200"/>
        <v>45839</v>
      </c>
      <c r="M1754" s="20">
        <f t="shared" si="201"/>
        <v>11</v>
      </c>
      <c r="N1754" s="20">
        <f t="shared" si="202"/>
        <v>0</v>
      </c>
      <c r="O1754" s="20">
        <f t="shared" si="203"/>
        <v>1</v>
      </c>
      <c r="P1754" s="22">
        <f t="shared" si="204"/>
        <v>141.44999999999999</v>
      </c>
      <c r="Q1754" s="22">
        <f>G1754*INDEX(Assumptions!$B$8:$B$16,MATCH(F1754,Assumptions!$A$8:$A$16,0))</f>
        <v>74.177400000000006</v>
      </c>
      <c r="R1754" s="22">
        <f>H1754*Assumptions!$B$3</f>
        <v>17.436</v>
      </c>
      <c r="S1754" s="22">
        <f t="shared" si="205"/>
        <v>20.776599999999995</v>
      </c>
      <c r="T1754" s="20" t="str">
        <f t="shared" si="206"/>
        <v>8-14 days</v>
      </c>
    </row>
    <row r="1755" spans="1:20" x14ac:dyDescent="0.3">
      <c r="A1755" s="20" t="s">
        <v>1821</v>
      </c>
      <c r="B1755" s="20" t="s">
        <v>174</v>
      </c>
      <c r="C1755" s="21">
        <v>45860</v>
      </c>
      <c r="D1755" s="21">
        <v>45895</v>
      </c>
      <c r="E1755" s="21">
        <v>45895</v>
      </c>
      <c r="F1755" s="20" t="s">
        <v>64</v>
      </c>
      <c r="G1755" s="22">
        <v>157.18</v>
      </c>
      <c r="H1755" s="22">
        <v>28.31</v>
      </c>
      <c r="I1755" s="20" t="s">
        <v>45</v>
      </c>
      <c r="J1755" s="20">
        <v>4</v>
      </c>
      <c r="K1755" s="20" t="s">
        <v>46</v>
      </c>
      <c r="L1755" s="23">
        <f t="shared" si="200"/>
        <v>45839</v>
      </c>
      <c r="M1755" s="20">
        <f t="shared" si="201"/>
        <v>35</v>
      </c>
      <c r="N1755" s="20">
        <f t="shared" si="202"/>
        <v>0</v>
      </c>
      <c r="O1755" s="20">
        <f t="shared" si="203"/>
        <v>1</v>
      </c>
      <c r="P1755" s="22">
        <f t="shared" si="204"/>
        <v>185.49</v>
      </c>
      <c r="Q1755" s="22">
        <f>G1755*INDEX(Assumptions!$B$8:$B$16,MATCH(F1755,Assumptions!$A$8:$A$16,0))</f>
        <v>103.73880000000001</v>
      </c>
      <c r="R1755" s="22">
        <f>H1755*Assumptions!$B$3</f>
        <v>16.985999999999997</v>
      </c>
      <c r="S1755" s="22">
        <f t="shared" si="205"/>
        <v>36.455199999999998</v>
      </c>
      <c r="T1755" s="20" t="str">
        <f t="shared" si="206"/>
        <v>22+ days</v>
      </c>
    </row>
    <row r="1756" spans="1:20" x14ac:dyDescent="0.3">
      <c r="A1756" s="20" t="s">
        <v>1822</v>
      </c>
      <c r="B1756" s="20" t="s">
        <v>134</v>
      </c>
      <c r="C1756" s="21">
        <v>45860</v>
      </c>
      <c r="D1756" s="21">
        <v>45873</v>
      </c>
      <c r="E1756" s="21">
        <v>45882</v>
      </c>
      <c r="F1756" s="20" t="s">
        <v>79</v>
      </c>
      <c r="G1756" s="22">
        <v>67.17</v>
      </c>
      <c r="H1756" s="22">
        <v>17.75</v>
      </c>
      <c r="I1756" s="20" t="s">
        <v>45</v>
      </c>
      <c r="J1756" s="20">
        <v>5</v>
      </c>
      <c r="K1756" s="20" t="s">
        <v>46</v>
      </c>
      <c r="L1756" s="23">
        <f t="shared" si="200"/>
        <v>45839</v>
      </c>
      <c r="M1756" s="20">
        <f t="shared" si="201"/>
        <v>13</v>
      </c>
      <c r="N1756" s="20">
        <f t="shared" si="202"/>
        <v>0</v>
      </c>
      <c r="O1756" s="20">
        <f t="shared" si="203"/>
        <v>1</v>
      </c>
      <c r="P1756" s="22">
        <f t="shared" si="204"/>
        <v>84.92</v>
      </c>
      <c r="Q1756" s="22">
        <f>G1756*INDEX(Assumptions!$B$8:$B$16,MATCH(F1756,Assumptions!$A$8:$A$16,0))</f>
        <v>47.018999999999998</v>
      </c>
      <c r="R1756" s="22">
        <f>H1756*Assumptions!$B$3</f>
        <v>10.65</v>
      </c>
      <c r="S1756" s="22">
        <f t="shared" si="205"/>
        <v>9.501000000000003</v>
      </c>
      <c r="T1756" s="20" t="str">
        <f t="shared" si="206"/>
        <v>8-14 days</v>
      </c>
    </row>
    <row r="1757" spans="1:20" x14ac:dyDescent="0.3">
      <c r="A1757" s="20" t="s">
        <v>1823</v>
      </c>
      <c r="B1757" s="20" t="s">
        <v>19</v>
      </c>
      <c r="C1757" s="21">
        <v>45860</v>
      </c>
      <c r="D1757" s="21">
        <v>45867</v>
      </c>
      <c r="E1757" s="21">
        <v>45876</v>
      </c>
      <c r="F1757" s="20" t="s">
        <v>64</v>
      </c>
      <c r="G1757" s="22">
        <v>107.44</v>
      </c>
      <c r="H1757" s="22">
        <v>15.52</v>
      </c>
      <c r="I1757" s="20" t="s">
        <v>45</v>
      </c>
      <c r="J1757" s="20">
        <v>5</v>
      </c>
      <c r="K1757" s="20" t="s">
        <v>46</v>
      </c>
      <c r="L1757" s="23">
        <f t="shared" si="200"/>
        <v>45839</v>
      </c>
      <c r="M1757" s="20">
        <f t="shared" si="201"/>
        <v>7</v>
      </c>
      <c r="N1757" s="20">
        <f t="shared" si="202"/>
        <v>0</v>
      </c>
      <c r="O1757" s="20">
        <f t="shared" si="203"/>
        <v>1</v>
      </c>
      <c r="P1757" s="22">
        <f t="shared" si="204"/>
        <v>122.96</v>
      </c>
      <c r="Q1757" s="22">
        <f>G1757*INDEX(Assumptions!$B$8:$B$16,MATCH(F1757,Assumptions!$A$8:$A$16,0))</f>
        <v>70.910399999999996</v>
      </c>
      <c r="R1757" s="22">
        <f>H1757*Assumptions!$B$3</f>
        <v>9.3119999999999994</v>
      </c>
      <c r="S1757" s="22">
        <f t="shared" si="205"/>
        <v>27.217600000000004</v>
      </c>
      <c r="T1757" s="20" t="str">
        <f t="shared" si="206"/>
        <v>0-7 days</v>
      </c>
    </row>
    <row r="1758" spans="1:20" x14ac:dyDescent="0.3">
      <c r="A1758" s="20" t="s">
        <v>1824</v>
      </c>
      <c r="B1758" s="20" t="s">
        <v>19</v>
      </c>
      <c r="C1758" s="21">
        <v>45860</v>
      </c>
      <c r="D1758" s="21">
        <v>45864</v>
      </c>
      <c r="E1758" s="21">
        <v>45876</v>
      </c>
      <c r="F1758" s="20" t="s">
        <v>59</v>
      </c>
      <c r="G1758" s="22">
        <v>160.47</v>
      </c>
      <c r="H1758" s="22">
        <v>22.3</v>
      </c>
      <c r="I1758" s="20" t="s">
        <v>45</v>
      </c>
      <c r="J1758" s="20">
        <v>5</v>
      </c>
      <c r="K1758" s="20" t="s">
        <v>46</v>
      </c>
      <c r="L1758" s="23">
        <f t="shared" si="200"/>
        <v>45839</v>
      </c>
      <c r="M1758" s="20">
        <f t="shared" si="201"/>
        <v>4</v>
      </c>
      <c r="N1758" s="20">
        <f t="shared" si="202"/>
        <v>0</v>
      </c>
      <c r="O1758" s="20">
        <f t="shared" si="203"/>
        <v>1</v>
      </c>
      <c r="P1758" s="22">
        <f t="shared" si="204"/>
        <v>182.77</v>
      </c>
      <c r="Q1758" s="22">
        <f>G1758*INDEX(Assumptions!$B$8:$B$16,MATCH(F1758,Assumptions!$A$8:$A$16,0))</f>
        <v>102.7008</v>
      </c>
      <c r="R1758" s="22">
        <f>H1758*Assumptions!$B$3</f>
        <v>13.38</v>
      </c>
      <c r="S1758" s="22">
        <f t="shared" si="205"/>
        <v>44.389199999999995</v>
      </c>
      <c r="T1758" s="20" t="str">
        <f t="shared" si="206"/>
        <v>0-7 days</v>
      </c>
    </row>
    <row r="1759" spans="1:20" x14ac:dyDescent="0.3">
      <c r="A1759" s="20" t="s">
        <v>1825</v>
      </c>
      <c r="B1759" s="20" t="s">
        <v>62</v>
      </c>
      <c r="C1759" s="21">
        <v>45860</v>
      </c>
      <c r="D1759" s="21">
        <v>45874</v>
      </c>
      <c r="E1759" s="21">
        <v>45880</v>
      </c>
      <c r="F1759" s="20" t="s">
        <v>53</v>
      </c>
      <c r="G1759" s="22">
        <v>85.07</v>
      </c>
      <c r="H1759" s="22">
        <v>27.39</v>
      </c>
      <c r="I1759" s="20" t="s">
        <v>45</v>
      </c>
      <c r="J1759" s="20">
        <v>5</v>
      </c>
      <c r="K1759" s="20" t="s">
        <v>46</v>
      </c>
      <c r="L1759" s="23">
        <f t="shared" si="200"/>
        <v>45839</v>
      </c>
      <c r="M1759" s="20">
        <f t="shared" si="201"/>
        <v>14</v>
      </c>
      <c r="N1759" s="20">
        <f t="shared" si="202"/>
        <v>0</v>
      </c>
      <c r="O1759" s="20">
        <f t="shared" si="203"/>
        <v>1</v>
      </c>
      <c r="P1759" s="22">
        <f t="shared" si="204"/>
        <v>112.46</v>
      </c>
      <c r="Q1759" s="22">
        <f>G1759*INDEX(Assumptions!$B$8:$B$16,MATCH(F1759,Assumptions!$A$8:$A$16,0))</f>
        <v>62.951799999999992</v>
      </c>
      <c r="R1759" s="22">
        <f>H1759*Assumptions!$B$3</f>
        <v>16.434000000000001</v>
      </c>
      <c r="S1759" s="22">
        <f t="shared" si="205"/>
        <v>5.6842000000000006</v>
      </c>
      <c r="T1759" s="20" t="str">
        <f t="shared" si="206"/>
        <v>8-14 days</v>
      </c>
    </row>
    <row r="1760" spans="1:20" x14ac:dyDescent="0.3">
      <c r="A1760" s="20" t="s">
        <v>1826</v>
      </c>
      <c r="B1760" s="20" t="s">
        <v>52</v>
      </c>
      <c r="C1760" s="21">
        <v>45860</v>
      </c>
      <c r="D1760" s="21">
        <v>45886</v>
      </c>
      <c r="E1760" s="21">
        <v>45883</v>
      </c>
      <c r="F1760" s="20" t="s">
        <v>111</v>
      </c>
      <c r="G1760" s="22">
        <v>88.48</v>
      </c>
      <c r="H1760" s="22">
        <v>31.95</v>
      </c>
      <c r="I1760" s="20" t="s">
        <v>60</v>
      </c>
      <c r="J1760" s="20">
        <v>2</v>
      </c>
      <c r="K1760" s="20" t="s">
        <v>46</v>
      </c>
      <c r="L1760" s="23">
        <f t="shared" si="200"/>
        <v>45839</v>
      </c>
      <c r="M1760" s="20">
        <f t="shared" si="201"/>
        <v>26</v>
      </c>
      <c r="N1760" s="20">
        <f t="shared" si="202"/>
        <v>3</v>
      </c>
      <c r="O1760" s="20">
        <f t="shared" si="203"/>
        <v>0</v>
      </c>
      <c r="P1760" s="22">
        <f t="shared" si="204"/>
        <v>120.43</v>
      </c>
      <c r="Q1760" s="22">
        <f>G1760*INDEX(Assumptions!$B$8:$B$16,MATCH(F1760,Assumptions!$A$8:$A$16,0))</f>
        <v>55.742400000000004</v>
      </c>
      <c r="R1760" s="22">
        <f>H1760*Assumptions!$B$3</f>
        <v>19.169999999999998</v>
      </c>
      <c r="S1760" s="22">
        <f t="shared" si="205"/>
        <v>13.567600000000002</v>
      </c>
      <c r="T1760" s="20" t="str">
        <f t="shared" si="206"/>
        <v>22+ days</v>
      </c>
    </row>
    <row r="1761" spans="1:20" x14ac:dyDescent="0.3">
      <c r="A1761" s="20" t="s">
        <v>1827</v>
      </c>
      <c r="B1761" s="20" t="s">
        <v>19</v>
      </c>
      <c r="C1761" s="21">
        <v>45861</v>
      </c>
      <c r="D1761" s="21">
        <v>45865</v>
      </c>
      <c r="E1761" s="21">
        <v>45876</v>
      </c>
      <c r="F1761" s="20" t="s">
        <v>53</v>
      </c>
      <c r="G1761" s="22">
        <v>291.66000000000003</v>
      </c>
      <c r="H1761" s="22">
        <v>24.44</v>
      </c>
      <c r="I1761" s="20" t="s">
        <v>45</v>
      </c>
      <c r="J1761" s="20">
        <v>5</v>
      </c>
      <c r="K1761" s="20" t="s">
        <v>46</v>
      </c>
      <c r="L1761" s="23">
        <f t="shared" si="200"/>
        <v>45839</v>
      </c>
      <c r="M1761" s="20">
        <f t="shared" si="201"/>
        <v>4</v>
      </c>
      <c r="N1761" s="20">
        <f t="shared" si="202"/>
        <v>0</v>
      </c>
      <c r="O1761" s="20">
        <f t="shared" si="203"/>
        <v>1</v>
      </c>
      <c r="P1761" s="22">
        <f t="shared" si="204"/>
        <v>316.10000000000002</v>
      </c>
      <c r="Q1761" s="22">
        <f>G1761*INDEX(Assumptions!$B$8:$B$16,MATCH(F1761,Assumptions!$A$8:$A$16,0))</f>
        <v>215.82840000000002</v>
      </c>
      <c r="R1761" s="22">
        <f>H1761*Assumptions!$B$3</f>
        <v>14.664</v>
      </c>
      <c r="S1761" s="22">
        <f t="shared" si="205"/>
        <v>61.167600000000007</v>
      </c>
      <c r="T1761" s="20" t="str">
        <f t="shared" si="206"/>
        <v>0-7 days</v>
      </c>
    </row>
    <row r="1762" spans="1:20" x14ac:dyDescent="0.3">
      <c r="A1762" s="20" t="s">
        <v>1828</v>
      </c>
      <c r="B1762" s="20" t="s">
        <v>48</v>
      </c>
      <c r="C1762" s="21">
        <v>45861</v>
      </c>
      <c r="D1762" s="21">
        <v>45874</v>
      </c>
      <c r="E1762" s="21">
        <v>45883</v>
      </c>
      <c r="F1762" s="20" t="s">
        <v>59</v>
      </c>
      <c r="G1762" s="22">
        <v>121.94</v>
      </c>
      <c r="H1762" s="22">
        <v>29.53</v>
      </c>
      <c r="I1762" s="20" t="s">
        <v>45</v>
      </c>
      <c r="J1762" s="20">
        <v>5</v>
      </c>
      <c r="K1762" s="20" t="s">
        <v>46</v>
      </c>
      <c r="L1762" s="23">
        <f t="shared" si="200"/>
        <v>45839</v>
      </c>
      <c r="M1762" s="20">
        <f t="shared" si="201"/>
        <v>13</v>
      </c>
      <c r="N1762" s="20">
        <f t="shared" si="202"/>
        <v>0</v>
      </c>
      <c r="O1762" s="20">
        <f t="shared" si="203"/>
        <v>1</v>
      </c>
      <c r="P1762" s="22">
        <f t="shared" si="204"/>
        <v>151.47</v>
      </c>
      <c r="Q1762" s="22">
        <f>G1762*INDEX(Assumptions!$B$8:$B$16,MATCH(F1762,Assumptions!$A$8:$A$16,0))</f>
        <v>78.041600000000003</v>
      </c>
      <c r="R1762" s="22">
        <f>H1762*Assumptions!$B$3</f>
        <v>17.718</v>
      </c>
      <c r="S1762" s="22">
        <f t="shared" si="205"/>
        <v>26.180399999999995</v>
      </c>
      <c r="T1762" s="20" t="str">
        <f t="shared" si="206"/>
        <v>8-14 days</v>
      </c>
    </row>
    <row r="1763" spans="1:20" x14ac:dyDescent="0.3">
      <c r="A1763" s="20" t="s">
        <v>1829</v>
      </c>
      <c r="B1763" s="20" t="s">
        <v>48</v>
      </c>
      <c r="C1763" s="21">
        <v>45861</v>
      </c>
      <c r="D1763" s="21">
        <v>45874</v>
      </c>
      <c r="E1763" s="21">
        <v>45880</v>
      </c>
      <c r="F1763" s="20" t="s">
        <v>53</v>
      </c>
      <c r="G1763" s="22">
        <v>59.78</v>
      </c>
      <c r="H1763" s="22">
        <v>22.21</v>
      </c>
      <c r="I1763" s="20" t="s">
        <v>45</v>
      </c>
      <c r="J1763" s="20">
        <v>4</v>
      </c>
      <c r="K1763" s="20" t="s">
        <v>46</v>
      </c>
      <c r="L1763" s="23">
        <f t="shared" si="200"/>
        <v>45839</v>
      </c>
      <c r="M1763" s="20">
        <f t="shared" si="201"/>
        <v>13</v>
      </c>
      <c r="N1763" s="20">
        <f t="shared" si="202"/>
        <v>0</v>
      </c>
      <c r="O1763" s="20">
        <f t="shared" si="203"/>
        <v>1</v>
      </c>
      <c r="P1763" s="22">
        <f t="shared" si="204"/>
        <v>81.990000000000009</v>
      </c>
      <c r="Q1763" s="22">
        <f>G1763*INDEX(Assumptions!$B$8:$B$16,MATCH(F1763,Assumptions!$A$8:$A$16,0))</f>
        <v>44.237200000000001</v>
      </c>
      <c r="R1763" s="22">
        <f>H1763*Assumptions!$B$3</f>
        <v>13.326000000000001</v>
      </c>
      <c r="S1763" s="22">
        <f t="shared" si="205"/>
        <v>2.2167999999999992</v>
      </c>
      <c r="T1763" s="20" t="str">
        <f t="shared" si="206"/>
        <v>8-14 days</v>
      </c>
    </row>
    <row r="1764" spans="1:20" x14ac:dyDescent="0.3">
      <c r="A1764" s="20" t="s">
        <v>1830</v>
      </c>
      <c r="B1764" s="20" t="s">
        <v>19</v>
      </c>
      <c r="C1764" s="21">
        <v>45861</v>
      </c>
      <c r="D1764" s="21">
        <v>45866</v>
      </c>
      <c r="E1764" s="21">
        <v>45879</v>
      </c>
      <c r="F1764" s="20" t="s">
        <v>59</v>
      </c>
      <c r="G1764" s="22">
        <v>110.56</v>
      </c>
      <c r="H1764" s="22">
        <v>20</v>
      </c>
      <c r="I1764" s="20" t="s">
        <v>45</v>
      </c>
      <c r="J1764" s="20">
        <v>4</v>
      </c>
      <c r="K1764" s="20" t="s">
        <v>46</v>
      </c>
      <c r="L1764" s="23">
        <f t="shared" si="200"/>
        <v>45839</v>
      </c>
      <c r="M1764" s="20">
        <f t="shared" si="201"/>
        <v>5</v>
      </c>
      <c r="N1764" s="20">
        <f t="shared" si="202"/>
        <v>0</v>
      </c>
      <c r="O1764" s="20">
        <f t="shared" si="203"/>
        <v>1</v>
      </c>
      <c r="P1764" s="22">
        <f t="shared" si="204"/>
        <v>130.56</v>
      </c>
      <c r="Q1764" s="22">
        <f>G1764*INDEX(Assumptions!$B$8:$B$16,MATCH(F1764,Assumptions!$A$8:$A$16,0))</f>
        <v>70.758400000000009</v>
      </c>
      <c r="R1764" s="22">
        <f>H1764*Assumptions!$B$3</f>
        <v>12</v>
      </c>
      <c r="S1764" s="22">
        <f t="shared" si="205"/>
        <v>27.801599999999993</v>
      </c>
      <c r="T1764" s="20" t="str">
        <f t="shared" si="206"/>
        <v>0-7 days</v>
      </c>
    </row>
    <row r="1765" spans="1:20" x14ac:dyDescent="0.3">
      <c r="A1765" s="20" t="s">
        <v>1831</v>
      </c>
      <c r="B1765" s="20" t="s">
        <v>19</v>
      </c>
      <c r="C1765" s="21">
        <v>45861</v>
      </c>
      <c r="D1765" s="21">
        <v>45869</v>
      </c>
      <c r="E1765" s="21">
        <v>45875</v>
      </c>
      <c r="F1765" s="20" t="s">
        <v>44</v>
      </c>
      <c r="G1765" s="22">
        <v>67.91</v>
      </c>
      <c r="H1765" s="22">
        <v>12.4</v>
      </c>
      <c r="I1765" s="20" t="s">
        <v>45</v>
      </c>
      <c r="J1765" s="20">
        <v>5</v>
      </c>
      <c r="K1765" s="20" t="s">
        <v>46</v>
      </c>
      <c r="L1765" s="23">
        <f t="shared" si="200"/>
        <v>45839</v>
      </c>
      <c r="M1765" s="20">
        <f t="shared" si="201"/>
        <v>8</v>
      </c>
      <c r="N1765" s="20">
        <f t="shared" si="202"/>
        <v>0</v>
      </c>
      <c r="O1765" s="20">
        <f t="shared" si="203"/>
        <v>1</v>
      </c>
      <c r="P1765" s="22">
        <f t="shared" si="204"/>
        <v>80.31</v>
      </c>
      <c r="Q1765" s="22">
        <f>G1765*INDEX(Assumptions!$B$8:$B$16,MATCH(F1765,Assumptions!$A$8:$A$16,0))</f>
        <v>40.745999999999995</v>
      </c>
      <c r="R1765" s="22">
        <f>H1765*Assumptions!$B$3</f>
        <v>7.4399999999999995</v>
      </c>
      <c r="S1765" s="22">
        <f t="shared" si="205"/>
        <v>19.724000000000004</v>
      </c>
      <c r="T1765" s="20" t="str">
        <f t="shared" si="206"/>
        <v>8-14 days</v>
      </c>
    </row>
    <row r="1766" spans="1:20" x14ac:dyDescent="0.3">
      <c r="A1766" s="20" t="s">
        <v>1832</v>
      </c>
      <c r="B1766" s="20" t="s">
        <v>19</v>
      </c>
      <c r="C1766" s="21">
        <v>45861</v>
      </c>
      <c r="D1766" s="21">
        <v>45867</v>
      </c>
      <c r="E1766" s="21">
        <v>45877</v>
      </c>
      <c r="F1766" s="20" t="s">
        <v>44</v>
      </c>
      <c r="G1766" s="22">
        <v>141.13</v>
      </c>
      <c r="H1766" s="22">
        <v>22.25</v>
      </c>
      <c r="I1766" s="20" t="s">
        <v>45</v>
      </c>
      <c r="J1766" s="20">
        <v>4</v>
      </c>
      <c r="K1766" s="20" t="s">
        <v>46</v>
      </c>
      <c r="L1766" s="23">
        <f t="shared" si="200"/>
        <v>45839</v>
      </c>
      <c r="M1766" s="20">
        <f t="shared" si="201"/>
        <v>6</v>
      </c>
      <c r="N1766" s="20">
        <f t="shared" si="202"/>
        <v>0</v>
      </c>
      <c r="O1766" s="20">
        <f t="shared" si="203"/>
        <v>1</v>
      </c>
      <c r="P1766" s="22">
        <f t="shared" si="204"/>
        <v>163.38</v>
      </c>
      <c r="Q1766" s="22">
        <f>G1766*INDEX(Assumptions!$B$8:$B$16,MATCH(F1766,Assumptions!$A$8:$A$16,0))</f>
        <v>84.677999999999997</v>
      </c>
      <c r="R1766" s="22">
        <f>H1766*Assumptions!$B$3</f>
        <v>13.35</v>
      </c>
      <c r="S1766" s="22">
        <f t="shared" si="205"/>
        <v>43.101999999999997</v>
      </c>
      <c r="T1766" s="20" t="str">
        <f t="shared" si="206"/>
        <v>0-7 days</v>
      </c>
    </row>
    <row r="1767" spans="1:20" x14ac:dyDescent="0.3">
      <c r="A1767" s="20" t="s">
        <v>1833</v>
      </c>
      <c r="B1767" s="20" t="s">
        <v>19</v>
      </c>
      <c r="C1767" s="21">
        <v>45861</v>
      </c>
      <c r="D1767" s="21">
        <v>45870</v>
      </c>
      <c r="E1767" s="21">
        <v>45876</v>
      </c>
      <c r="F1767" s="20" t="s">
        <v>57</v>
      </c>
      <c r="G1767" s="22">
        <v>116.75</v>
      </c>
      <c r="H1767" s="22">
        <v>19.739999999999998</v>
      </c>
      <c r="I1767" s="20" t="s">
        <v>45</v>
      </c>
      <c r="J1767" s="20">
        <v>4</v>
      </c>
      <c r="K1767" s="20" t="s">
        <v>46</v>
      </c>
      <c r="L1767" s="23">
        <f t="shared" si="200"/>
        <v>45839</v>
      </c>
      <c r="M1767" s="20">
        <f t="shared" si="201"/>
        <v>9</v>
      </c>
      <c r="N1767" s="20">
        <f t="shared" si="202"/>
        <v>0</v>
      </c>
      <c r="O1767" s="20">
        <f t="shared" si="203"/>
        <v>1</v>
      </c>
      <c r="P1767" s="22">
        <f t="shared" si="204"/>
        <v>136.49</v>
      </c>
      <c r="Q1767" s="22">
        <f>G1767*INDEX(Assumptions!$B$8:$B$16,MATCH(F1767,Assumptions!$A$8:$A$16,0))</f>
        <v>79.39</v>
      </c>
      <c r="R1767" s="22">
        <f>H1767*Assumptions!$B$3</f>
        <v>11.843999999999999</v>
      </c>
      <c r="S1767" s="22">
        <f t="shared" si="205"/>
        <v>25.515999999999998</v>
      </c>
      <c r="T1767" s="20" t="str">
        <f t="shared" si="206"/>
        <v>8-14 days</v>
      </c>
    </row>
    <row r="1768" spans="1:20" x14ac:dyDescent="0.3">
      <c r="A1768" s="20" t="s">
        <v>1834</v>
      </c>
      <c r="B1768" s="20" t="s">
        <v>19</v>
      </c>
      <c r="C1768" s="21">
        <v>45862</v>
      </c>
      <c r="D1768" s="21">
        <v>45872</v>
      </c>
      <c r="E1768" s="21">
        <v>45880</v>
      </c>
      <c r="F1768" s="20" t="s">
        <v>67</v>
      </c>
      <c r="G1768" s="22">
        <v>136</v>
      </c>
      <c r="H1768" s="22">
        <v>16.739999999999998</v>
      </c>
      <c r="I1768" s="20" t="s">
        <v>45</v>
      </c>
      <c r="J1768" s="20">
        <v>4</v>
      </c>
      <c r="K1768" s="20" t="s">
        <v>46</v>
      </c>
      <c r="L1768" s="23">
        <f t="shared" si="200"/>
        <v>45839</v>
      </c>
      <c r="M1768" s="20">
        <f t="shared" si="201"/>
        <v>10</v>
      </c>
      <c r="N1768" s="20">
        <f t="shared" si="202"/>
        <v>0</v>
      </c>
      <c r="O1768" s="20">
        <f t="shared" si="203"/>
        <v>1</v>
      </c>
      <c r="P1768" s="22">
        <f t="shared" si="204"/>
        <v>152.74</v>
      </c>
      <c r="Q1768" s="22">
        <f>G1768*INDEX(Assumptions!$B$8:$B$16,MATCH(F1768,Assumptions!$A$8:$A$16,0))</f>
        <v>84.32</v>
      </c>
      <c r="R1768" s="22">
        <f>H1768*Assumptions!$B$3</f>
        <v>10.043999999999999</v>
      </c>
      <c r="S1768" s="22">
        <f t="shared" si="205"/>
        <v>41.63600000000001</v>
      </c>
      <c r="T1768" s="20" t="str">
        <f t="shared" si="206"/>
        <v>8-14 days</v>
      </c>
    </row>
    <row r="1769" spans="1:20" x14ac:dyDescent="0.3">
      <c r="A1769" s="20" t="s">
        <v>1835</v>
      </c>
      <c r="B1769" s="20" t="s">
        <v>19</v>
      </c>
      <c r="C1769" s="21">
        <v>45862</v>
      </c>
      <c r="D1769" s="21">
        <v>45870</v>
      </c>
      <c r="E1769" s="21">
        <v>45876</v>
      </c>
      <c r="F1769" s="20" t="s">
        <v>67</v>
      </c>
      <c r="G1769" s="22">
        <v>150.46</v>
      </c>
      <c r="H1769" s="22">
        <v>13.66</v>
      </c>
      <c r="I1769" s="20" t="s">
        <v>60</v>
      </c>
      <c r="J1769" s="20">
        <v>4</v>
      </c>
      <c r="K1769" s="20" t="s">
        <v>46</v>
      </c>
      <c r="L1769" s="23">
        <f t="shared" si="200"/>
        <v>45839</v>
      </c>
      <c r="M1769" s="20">
        <f t="shared" si="201"/>
        <v>8</v>
      </c>
      <c r="N1769" s="20">
        <f t="shared" si="202"/>
        <v>0</v>
      </c>
      <c r="O1769" s="20">
        <f t="shared" si="203"/>
        <v>1</v>
      </c>
      <c r="P1769" s="22">
        <f t="shared" si="204"/>
        <v>164.12</v>
      </c>
      <c r="Q1769" s="22">
        <f>G1769*INDEX(Assumptions!$B$8:$B$16,MATCH(F1769,Assumptions!$A$8:$A$16,0))</f>
        <v>93.285200000000003</v>
      </c>
      <c r="R1769" s="22">
        <f>H1769*Assumptions!$B$3</f>
        <v>8.1959999999999997</v>
      </c>
      <c r="S1769" s="22">
        <f t="shared" si="205"/>
        <v>48.978800000000007</v>
      </c>
      <c r="T1769" s="20" t="str">
        <f t="shared" si="206"/>
        <v>8-14 days</v>
      </c>
    </row>
    <row r="1770" spans="1:20" x14ac:dyDescent="0.3">
      <c r="A1770" s="20" t="s">
        <v>1836</v>
      </c>
      <c r="B1770" s="20" t="s">
        <v>134</v>
      </c>
      <c r="C1770" s="21">
        <v>45862</v>
      </c>
      <c r="D1770" s="21">
        <v>45876</v>
      </c>
      <c r="E1770" s="21">
        <v>45887</v>
      </c>
      <c r="F1770" s="20" t="s">
        <v>57</v>
      </c>
      <c r="G1770" s="22">
        <v>79.3</v>
      </c>
      <c r="H1770" s="22">
        <v>19.18</v>
      </c>
      <c r="I1770" s="20" t="s">
        <v>45</v>
      </c>
      <c r="J1770" s="20">
        <v>4</v>
      </c>
      <c r="K1770" s="20" t="s">
        <v>46</v>
      </c>
      <c r="L1770" s="23">
        <f t="shared" si="200"/>
        <v>45839</v>
      </c>
      <c r="M1770" s="20">
        <f t="shared" si="201"/>
        <v>14</v>
      </c>
      <c r="N1770" s="20">
        <f t="shared" si="202"/>
        <v>0</v>
      </c>
      <c r="O1770" s="20">
        <f t="shared" si="203"/>
        <v>1</v>
      </c>
      <c r="P1770" s="22">
        <f t="shared" si="204"/>
        <v>98.47999999999999</v>
      </c>
      <c r="Q1770" s="22">
        <f>G1770*INDEX(Assumptions!$B$8:$B$16,MATCH(F1770,Assumptions!$A$8:$A$16,0))</f>
        <v>53.923999999999999</v>
      </c>
      <c r="R1770" s="22">
        <f>H1770*Assumptions!$B$3</f>
        <v>11.507999999999999</v>
      </c>
      <c r="S1770" s="22">
        <f t="shared" si="205"/>
        <v>13.867999999999999</v>
      </c>
      <c r="T1770" s="20" t="str">
        <f t="shared" si="206"/>
        <v>8-14 days</v>
      </c>
    </row>
    <row r="1771" spans="1:20" x14ac:dyDescent="0.3">
      <c r="A1771" s="20" t="s">
        <v>1837</v>
      </c>
      <c r="B1771" s="20" t="s">
        <v>52</v>
      </c>
      <c r="C1771" s="21">
        <v>45862</v>
      </c>
      <c r="D1771" s="21">
        <v>45874</v>
      </c>
      <c r="E1771" s="21">
        <v>45888</v>
      </c>
      <c r="F1771" s="20" t="s">
        <v>53</v>
      </c>
      <c r="G1771" s="22">
        <v>126.53</v>
      </c>
      <c r="H1771" s="22">
        <v>22.26</v>
      </c>
      <c r="I1771" s="20" t="s">
        <v>45</v>
      </c>
      <c r="J1771" s="20">
        <v>4</v>
      </c>
      <c r="K1771" s="20" t="s">
        <v>46</v>
      </c>
      <c r="L1771" s="23">
        <f t="shared" si="200"/>
        <v>45839</v>
      </c>
      <c r="M1771" s="20">
        <f t="shared" si="201"/>
        <v>12</v>
      </c>
      <c r="N1771" s="20">
        <f t="shared" si="202"/>
        <v>0</v>
      </c>
      <c r="O1771" s="20">
        <f t="shared" si="203"/>
        <v>1</v>
      </c>
      <c r="P1771" s="22">
        <f t="shared" si="204"/>
        <v>148.79</v>
      </c>
      <c r="Q1771" s="22">
        <f>G1771*INDEX(Assumptions!$B$8:$B$16,MATCH(F1771,Assumptions!$A$8:$A$16,0))</f>
        <v>93.632199999999997</v>
      </c>
      <c r="R1771" s="22">
        <f>H1771*Assumptions!$B$3</f>
        <v>13.356</v>
      </c>
      <c r="S1771" s="22">
        <f t="shared" si="205"/>
        <v>19.541800000000002</v>
      </c>
      <c r="T1771" s="20" t="str">
        <f t="shared" si="206"/>
        <v>8-14 days</v>
      </c>
    </row>
    <row r="1772" spans="1:20" x14ac:dyDescent="0.3">
      <c r="A1772" s="20" t="s">
        <v>1838</v>
      </c>
      <c r="B1772" s="20" t="s">
        <v>93</v>
      </c>
      <c r="C1772" s="21">
        <v>45863</v>
      </c>
      <c r="D1772" s="21">
        <v>45881</v>
      </c>
      <c r="E1772" s="21">
        <v>45895</v>
      </c>
      <c r="F1772" s="20" t="s">
        <v>67</v>
      </c>
      <c r="G1772" s="22">
        <v>56.93</v>
      </c>
      <c r="H1772" s="22">
        <v>34.99</v>
      </c>
      <c r="I1772" s="20" t="s">
        <v>50</v>
      </c>
      <c r="J1772" s="20">
        <v>4</v>
      </c>
      <c r="K1772" s="20" t="s">
        <v>46</v>
      </c>
      <c r="L1772" s="23">
        <f t="shared" si="200"/>
        <v>45839</v>
      </c>
      <c r="M1772" s="20">
        <f t="shared" si="201"/>
        <v>18</v>
      </c>
      <c r="N1772" s="20">
        <f t="shared" si="202"/>
        <v>0</v>
      </c>
      <c r="O1772" s="20">
        <f t="shared" si="203"/>
        <v>1</v>
      </c>
      <c r="P1772" s="22">
        <f t="shared" si="204"/>
        <v>91.92</v>
      </c>
      <c r="Q1772" s="22">
        <f>G1772*INDEX(Assumptions!$B$8:$B$16,MATCH(F1772,Assumptions!$A$8:$A$16,0))</f>
        <v>35.296599999999998</v>
      </c>
      <c r="R1772" s="22">
        <f>H1772*Assumptions!$B$3</f>
        <v>20.994</v>
      </c>
      <c r="S1772" s="22">
        <f t="shared" si="205"/>
        <v>0.63940000000000197</v>
      </c>
      <c r="T1772" s="20" t="str">
        <f t="shared" si="206"/>
        <v>15-21 days</v>
      </c>
    </row>
    <row r="1773" spans="1:20" x14ac:dyDescent="0.3">
      <c r="A1773" s="20" t="s">
        <v>1839</v>
      </c>
      <c r="B1773" s="20" t="s">
        <v>62</v>
      </c>
      <c r="C1773" s="21">
        <v>45863</v>
      </c>
      <c r="D1773" s="21">
        <v>45879</v>
      </c>
      <c r="E1773" s="21">
        <v>45886</v>
      </c>
      <c r="F1773" s="20" t="s">
        <v>49</v>
      </c>
      <c r="G1773" s="22">
        <v>66.38</v>
      </c>
      <c r="H1773" s="22">
        <v>22.63</v>
      </c>
      <c r="I1773" s="20" t="s">
        <v>45</v>
      </c>
      <c r="J1773" s="20">
        <v>4</v>
      </c>
      <c r="K1773" s="20" t="s">
        <v>46</v>
      </c>
      <c r="L1773" s="23">
        <f t="shared" si="200"/>
        <v>45839</v>
      </c>
      <c r="M1773" s="20">
        <f t="shared" si="201"/>
        <v>16</v>
      </c>
      <c r="N1773" s="20">
        <f t="shared" si="202"/>
        <v>0</v>
      </c>
      <c r="O1773" s="20">
        <f t="shared" si="203"/>
        <v>1</v>
      </c>
      <c r="P1773" s="22">
        <f t="shared" si="204"/>
        <v>89.009999999999991</v>
      </c>
      <c r="Q1773" s="22">
        <f>G1773*INDEX(Assumptions!$B$8:$B$16,MATCH(F1773,Assumptions!$A$8:$A$16,0))</f>
        <v>38.500399999999992</v>
      </c>
      <c r="R1773" s="22">
        <f>H1773*Assumptions!$B$3</f>
        <v>13.577999999999999</v>
      </c>
      <c r="S1773" s="22">
        <f t="shared" si="205"/>
        <v>14.301600000000004</v>
      </c>
      <c r="T1773" s="20" t="str">
        <f t="shared" si="206"/>
        <v>15-21 days</v>
      </c>
    </row>
    <row r="1774" spans="1:20" x14ac:dyDescent="0.3">
      <c r="A1774" s="20" t="s">
        <v>1840</v>
      </c>
      <c r="B1774" s="20" t="s">
        <v>77</v>
      </c>
      <c r="C1774" s="21">
        <v>45863</v>
      </c>
      <c r="D1774" s="21">
        <v>45882</v>
      </c>
      <c r="E1774" s="21">
        <v>45888</v>
      </c>
      <c r="F1774" s="20" t="s">
        <v>49</v>
      </c>
      <c r="G1774" s="22">
        <v>114.99</v>
      </c>
      <c r="H1774" s="22">
        <v>19.670000000000002</v>
      </c>
      <c r="I1774" s="20" t="s">
        <v>45</v>
      </c>
      <c r="J1774" s="20">
        <v>4</v>
      </c>
      <c r="K1774" s="20" t="s">
        <v>46</v>
      </c>
      <c r="L1774" s="23">
        <f t="shared" si="200"/>
        <v>45839</v>
      </c>
      <c r="M1774" s="20">
        <f t="shared" si="201"/>
        <v>19</v>
      </c>
      <c r="N1774" s="20">
        <f t="shared" si="202"/>
        <v>0</v>
      </c>
      <c r="O1774" s="20">
        <f t="shared" si="203"/>
        <v>1</v>
      </c>
      <c r="P1774" s="22">
        <f t="shared" si="204"/>
        <v>134.66</v>
      </c>
      <c r="Q1774" s="22">
        <f>G1774*INDEX(Assumptions!$B$8:$B$16,MATCH(F1774,Assumptions!$A$8:$A$16,0))</f>
        <v>66.694199999999995</v>
      </c>
      <c r="R1774" s="22">
        <f>H1774*Assumptions!$B$3</f>
        <v>11.802000000000001</v>
      </c>
      <c r="S1774" s="22">
        <f t="shared" si="205"/>
        <v>36.4938</v>
      </c>
      <c r="T1774" s="20" t="str">
        <f t="shared" si="206"/>
        <v>15-21 days</v>
      </c>
    </row>
    <row r="1775" spans="1:20" x14ac:dyDescent="0.3">
      <c r="A1775" s="20" t="s">
        <v>1841</v>
      </c>
      <c r="B1775" s="20" t="s">
        <v>19</v>
      </c>
      <c r="C1775" s="21">
        <v>45863</v>
      </c>
      <c r="D1775" s="21">
        <v>45874</v>
      </c>
      <c r="E1775" s="21">
        <v>45878</v>
      </c>
      <c r="F1775" s="20" t="s">
        <v>49</v>
      </c>
      <c r="G1775" s="22">
        <v>104.03</v>
      </c>
      <c r="H1775" s="22">
        <v>22.3</v>
      </c>
      <c r="I1775" s="20" t="s">
        <v>60</v>
      </c>
      <c r="J1775" s="20">
        <v>5</v>
      </c>
      <c r="K1775" s="20" t="s">
        <v>46</v>
      </c>
      <c r="L1775" s="23">
        <f t="shared" si="200"/>
        <v>45839</v>
      </c>
      <c r="M1775" s="20">
        <f t="shared" si="201"/>
        <v>11</v>
      </c>
      <c r="N1775" s="20">
        <f t="shared" si="202"/>
        <v>0</v>
      </c>
      <c r="O1775" s="20">
        <f t="shared" si="203"/>
        <v>1</v>
      </c>
      <c r="P1775" s="22">
        <f t="shared" si="204"/>
        <v>126.33</v>
      </c>
      <c r="Q1775" s="22">
        <f>G1775*INDEX(Assumptions!$B$8:$B$16,MATCH(F1775,Assumptions!$A$8:$A$16,0))</f>
        <v>60.337399999999995</v>
      </c>
      <c r="R1775" s="22">
        <f>H1775*Assumptions!$B$3</f>
        <v>13.38</v>
      </c>
      <c r="S1775" s="22">
        <f t="shared" si="205"/>
        <v>30.312600000000003</v>
      </c>
      <c r="T1775" s="20" t="str">
        <f t="shared" si="206"/>
        <v>8-14 days</v>
      </c>
    </row>
    <row r="1776" spans="1:20" x14ac:dyDescent="0.3">
      <c r="A1776" s="20" t="s">
        <v>1842</v>
      </c>
      <c r="B1776" s="20" t="s">
        <v>19</v>
      </c>
      <c r="C1776" s="21">
        <v>45863</v>
      </c>
      <c r="D1776" s="21">
        <v>45870</v>
      </c>
      <c r="E1776" s="21">
        <v>45879</v>
      </c>
      <c r="F1776" s="20" t="s">
        <v>57</v>
      </c>
      <c r="G1776" s="22">
        <v>188.62</v>
      </c>
      <c r="H1776" s="22">
        <v>21.77</v>
      </c>
      <c r="I1776" s="20" t="s">
        <v>45</v>
      </c>
      <c r="J1776" s="20">
        <v>4</v>
      </c>
      <c r="K1776" s="20" t="s">
        <v>46</v>
      </c>
      <c r="L1776" s="23">
        <f t="shared" si="200"/>
        <v>45839</v>
      </c>
      <c r="M1776" s="20">
        <f t="shared" si="201"/>
        <v>7</v>
      </c>
      <c r="N1776" s="20">
        <f t="shared" si="202"/>
        <v>0</v>
      </c>
      <c r="O1776" s="20">
        <f t="shared" si="203"/>
        <v>1</v>
      </c>
      <c r="P1776" s="22">
        <f t="shared" si="204"/>
        <v>210.39000000000001</v>
      </c>
      <c r="Q1776" s="22">
        <f>G1776*INDEX(Assumptions!$B$8:$B$16,MATCH(F1776,Assumptions!$A$8:$A$16,0))</f>
        <v>128.26160000000002</v>
      </c>
      <c r="R1776" s="22">
        <f>H1776*Assumptions!$B$3</f>
        <v>13.061999999999999</v>
      </c>
      <c r="S1776" s="22">
        <f t="shared" si="205"/>
        <v>47.296399999999991</v>
      </c>
      <c r="T1776" s="20" t="str">
        <f t="shared" si="206"/>
        <v>0-7 days</v>
      </c>
    </row>
    <row r="1777" spans="1:20" x14ac:dyDescent="0.3">
      <c r="A1777" s="20" t="s">
        <v>1843</v>
      </c>
      <c r="B1777" s="20" t="s">
        <v>156</v>
      </c>
      <c r="C1777" s="21">
        <v>45863</v>
      </c>
      <c r="D1777" s="21">
        <v>45897</v>
      </c>
      <c r="E1777" s="21">
        <v>45889</v>
      </c>
      <c r="F1777" s="20" t="s">
        <v>59</v>
      </c>
      <c r="G1777" s="22">
        <v>24.56</v>
      </c>
      <c r="H1777" s="22">
        <v>26.42</v>
      </c>
      <c r="I1777" s="20" t="s">
        <v>60</v>
      </c>
      <c r="J1777" s="20">
        <v>3</v>
      </c>
      <c r="K1777" s="20" t="s">
        <v>46</v>
      </c>
      <c r="L1777" s="23">
        <f t="shared" si="200"/>
        <v>45839</v>
      </c>
      <c r="M1777" s="20">
        <f t="shared" si="201"/>
        <v>34</v>
      </c>
      <c r="N1777" s="20">
        <f t="shared" si="202"/>
        <v>8</v>
      </c>
      <c r="O1777" s="20">
        <f t="shared" si="203"/>
        <v>0</v>
      </c>
      <c r="P1777" s="22">
        <f t="shared" si="204"/>
        <v>50.980000000000004</v>
      </c>
      <c r="Q1777" s="22">
        <f>G1777*INDEX(Assumptions!$B$8:$B$16,MATCH(F1777,Assumptions!$A$8:$A$16,0))</f>
        <v>15.718399999999999</v>
      </c>
      <c r="R1777" s="22">
        <f>H1777*Assumptions!$B$3</f>
        <v>15.852</v>
      </c>
      <c r="S1777" s="22">
        <f t="shared" si="205"/>
        <v>-7.0104000000000006</v>
      </c>
      <c r="T1777" s="20" t="str">
        <f t="shared" si="206"/>
        <v>22+ days</v>
      </c>
    </row>
    <row r="1778" spans="1:20" x14ac:dyDescent="0.3">
      <c r="A1778" s="20" t="s">
        <v>1844</v>
      </c>
      <c r="B1778" s="20" t="s">
        <v>19</v>
      </c>
      <c r="C1778" s="21">
        <v>45864</v>
      </c>
      <c r="D1778" s="21">
        <v>45873</v>
      </c>
      <c r="E1778" s="21">
        <v>45880</v>
      </c>
      <c r="F1778" s="20" t="s">
        <v>57</v>
      </c>
      <c r="G1778" s="22">
        <v>82.59</v>
      </c>
      <c r="H1778" s="22">
        <v>14.02</v>
      </c>
      <c r="I1778" s="20" t="s">
        <v>45</v>
      </c>
      <c r="J1778" s="20">
        <v>5</v>
      </c>
      <c r="K1778" s="20" t="s">
        <v>46</v>
      </c>
      <c r="L1778" s="23">
        <f t="shared" si="200"/>
        <v>45839</v>
      </c>
      <c r="M1778" s="20">
        <f t="shared" si="201"/>
        <v>9</v>
      </c>
      <c r="N1778" s="20">
        <f t="shared" si="202"/>
        <v>0</v>
      </c>
      <c r="O1778" s="20">
        <f t="shared" si="203"/>
        <v>1</v>
      </c>
      <c r="P1778" s="22">
        <f t="shared" si="204"/>
        <v>96.61</v>
      </c>
      <c r="Q1778" s="22">
        <f>G1778*INDEX(Assumptions!$B$8:$B$16,MATCH(F1778,Assumptions!$A$8:$A$16,0))</f>
        <v>56.161200000000008</v>
      </c>
      <c r="R1778" s="22">
        <f>H1778*Assumptions!$B$3</f>
        <v>8.411999999999999</v>
      </c>
      <c r="S1778" s="22">
        <f t="shared" si="205"/>
        <v>18.016799999999996</v>
      </c>
      <c r="T1778" s="20" t="str">
        <f t="shared" si="206"/>
        <v>8-14 days</v>
      </c>
    </row>
    <row r="1779" spans="1:20" x14ac:dyDescent="0.3">
      <c r="A1779" s="20" t="s">
        <v>1845</v>
      </c>
      <c r="B1779" s="20" t="s">
        <v>93</v>
      </c>
      <c r="C1779" s="21">
        <v>45864</v>
      </c>
      <c r="D1779" s="21">
        <v>45894</v>
      </c>
      <c r="E1779" s="21">
        <v>45896</v>
      </c>
      <c r="F1779" s="20" t="s">
        <v>49</v>
      </c>
      <c r="G1779" s="22">
        <v>111.12</v>
      </c>
      <c r="H1779" s="22">
        <v>40.28</v>
      </c>
      <c r="I1779" s="20" t="s">
        <v>45</v>
      </c>
      <c r="J1779" s="20">
        <v>5</v>
      </c>
      <c r="K1779" s="20" t="s">
        <v>46</v>
      </c>
      <c r="L1779" s="23">
        <f t="shared" si="200"/>
        <v>45839</v>
      </c>
      <c r="M1779" s="20">
        <f t="shared" si="201"/>
        <v>30</v>
      </c>
      <c r="N1779" s="20">
        <f t="shared" si="202"/>
        <v>0</v>
      </c>
      <c r="O1779" s="20">
        <f t="shared" si="203"/>
        <v>1</v>
      </c>
      <c r="P1779" s="22">
        <f t="shared" si="204"/>
        <v>151.4</v>
      </c>
      <c r="Q1779" s="22">
        <f>G1779*INDEX(Assumptions!$B$8:$B$16,MATCH(F1779,Assumptions!$A$8:$A$16,0))</f>
        <v>64.449600000000004</v>
      </c>
      <c r="R1779" s="22">
        <f>H1779*Assumptions!$B$3</f>
        <v>24.167999999999999</v>
      </c>
      <c r="S1779" s="22">
        <f t="shared" si="205"/>
        <v>22.502400000000002</v>
      </c>
      <c r="T1779" s="20" t="str">
        <f t="shared" si="206"/>
        <v>22+ days</v>
      </c>
    </row>
    <row r="1780" spans="1:20" x14ac:dyDescent="0.3">
      <c r="A1780" s="20" t="s">
        <v>1846</v>
      </c>
      <c r="B1780" s="20" t="s">
        <v>19</v>
      </c>
      <c r="C1780" s="21">
        <v>45864</v>
      </c>
      <c r="D1780" s="21">
        <v>45887</v>
      </c>
      <c r="E1780" s="21">
        <v>45880</v>
      </c>
      <c r="F1780" s="20" t="s">
        <v>67</v>
      </c>
      <c r="G1780" s="22">
        <v>36.770000000000003</v>
      </c>
      <c r="H1780" s="22">
        <v>19.559999999999999</v>
      </c>
      <c r="I1780" s="20" t="s">
        <v>45</v>
      </c>
      <c r="J1780" s="20">
        <v>4</v>
      </c>
      <c r="K1780" s="20" t="s">
        <v>46</v>
      </c>
      <c r="L1780" s="23">
        <f t="shared" si="200"/>
        <v>45839</v>
      </c>
      <c r="M1780" s="20">
        <f t="shared" si="201"/>
        <v>23</v>
      </c>
      <c r="N1780" s="20">
        <f t="shared" si="202"/>
        <v>7</v>
      </c>
      <c r="O1780" s="20">
        <f t="shared" si="203"/>
        <v>0</v>
      </c>
      <c r="P1780" s="22">
        <f t="shared" si="204"/>
        <v>56.33</v>
      </c>
      <c r="Q1780" s="22">
        <f>G1780*INDEX(Assumptions!$B$8:$B$16,MATCH(F1780,Assumptions!$A$8:$A$16,0))</f>
        <v>22.797400000000003</v>
      </c>
      <c r="R1780" s="22">
        <f>H1780*Assumptions!$B$3</f>
        <v>11.735999999999999</v>
      </c>
      <c r="S1780" s="22">
        <f t="shared" si="205"/>
        <v>2.236600000000001</v>
      </c>
      <c r="T1780" s="20" t="str">
        <f t="shared" si="206"/>
        <v>22+ days</v>
      </c>
    </row>
    <row r="1781" spans="1:20" x14ac:dyDescent="0.3">
      <c r="A1781" s="20" t="s">
        <v>1847</v>
      </c>
      <c r="B1781" s="20" t="s">
        <v>62</v>
      </c>
      <c r="C1781" s="21">
        <v>45864</v>
      </c>
      <c r="D1781" s="21">
        <v>45878</v>
      </c>
      <c r="E1781" s="21">
        <v>45886</v>
      </c>
      <c r="F1781" s="20" t="s">
        <v>49</v>
      </c>
      <c r="G1781" s="22">
        <v>27.96</v>
      </c>
      <c r="H1781" s="22">
        <v>19.46</v>
      </c>
      <c r="I1781" s="20" t="s">
        <v>45</v>
      </c>
      <c r="J1781" s="20">
        <v>5</v>
      </c>
      <c r="K1781" s="20" t="s">
        <v>46</v>
      </c>
      <c r="L1781" s="23">
        <f t="shared" si="200"/>
        <v>45839</v>
      </c>
      <c r="M1781" s="20">
        <f t="shared" si="201"/>
        <v>14</v>
      </c>
      <c r="N1781" s="20">
        <f t="shared" si="202"/>
        <v>0</v>
      </c>
      <c r="O1781" s="20">
        <f t="shared" si="203"/>
        <v>1</v>
      </c>
      <c r="P1781" s="22">
        <f t="shared" si="204"/>
        <v>47.42</v>
      </c>
      <c r="Q1781" s="22">
        <f>G1781*INDEX(Assumptions!$B$8:$B$16,MATCH(F1781,Assumptions!$A$8:$A$16,0))</f>
        <v>16.216799999999999</v>
      </c>
      <c r="R1781" s="22">
        <f>H1781*Assumptions!$B$3</f>
        <v>11.676</v>
      </c>
      <c r="S1781" s="22">
        <f t="shared" si="205"/>
        <v>6.7200000000001481E-2</v>
      </c>
      <c r="T1781" s="20" t="str">
        <f t="shared" si="206"/>
        <v>8-14 days</v>
      </c>
    </row>
    <row r="1782" spans="1:20" x14ac:dyDescent="0.3">
      <c r="A1782" s="20" t="s">
        <v>1848</v>
      </c>
      <c r="B1782" s="20" t="s">
        <v>55</v>
      </c>
      <c r="C1782" s="21">
        <v>45864</v>
      </c>
      <c r="D1782" s="21">
        <v>45873</v>
      </c>
      <c r="E1782" s="21">
        <v>45890</v>
      </c>
      <c r="F1782" s="20" t="s">
        <v>67</v>
      </c>
      <c r="G1782" s="22">
        <v>98.97</v>
      </c>
      <c r="H1782" s="22">
        <v>26.88</v>
      </c>
      <c r="I1782" s="20" t="s">
        <v>104</v>
      </c>
      <c r="J1782" s="20">
        <v>5</v>
      </c>
      <c r="K1782" s="20" t="s">
        <v>46</v>
      </c>
      <c r="L1782" s="23">
        <f t="shared" si="200"/>
        <v>45839</v>
      </c>
      <c r="M1782" s="20">
        <f t="shared" si="201"/>
        <v>9</v>
      </c>
      <c r="N1782" s="20">
        <f t="shared" si="202"/>
        <v>0</v>
      </c>
      <c r="O1782" s="20">
        <f t="shared" si="203"/>
        <v>1</v>
      </c>
      <c r="P1782" s="22">
        <f t="shared" si="204"/>
        <v>125.85</v>
      </c>
      <c r="Q1782" s="22">
        <f>G1782*INDEX(Assumptions!$B$8:$B$16,MATCH(F1782,Assumptions!$A$8:$A$16,0))</f>
        <v>61.361399999999996</v>
      </c>
      <c r="R1782" s="22">
        <f>H1782*Assumptions!$B$3</f>
        <v>16.128</v>
      </c>
      <c r="S1782" s="22">
        <f t="shared" si="205"/>
        <v>21.480600000000003</v>
      </c>
      <c r="T1782" s="20" t="str">
        <f t="shared" si="206"/>
        <v>8-14 days</v>
      </c>
    </row>
    <row r="1783" spans="1:20" x14ac:dyDescent="0.3">
      <c r="A1783" s="20" t="s">
        <v>1849</v>
      </c>
      <c r="B1783" s="20" t="s">
        <v>48</v>
      </c>
      <c r="C1783" s="21">
        <v>45865</v>
      </c>
      <c r="D1783" s="21">
        <v>45872</v>
      </c>
      <c r="E1783" s="21">
        <v>45885</v>
      </c>
      <c r="F1783" s="20" t="s">
        <v>53</v>
      </c>
      <c r="G1783" s="22">
        <v>162.93</v>
      </c>
      <c r="H1783" s="22">
        <v>27.41</v>
      </c>
      <c r="I1783" s="20" t="s">
        <v>104</v>
      </c>
      <c r="J1783" s="20">
        <v>4</v>
      </c>
      <c r="K1783" s="20" t="s">
        <v>46</v>
      </c>
      <c r="L1783" s="23">
        <f t="shared" si="200"/>
        <v>45839</v>
      </c>
      <c r="M1783" s="20">
        <f t="shared" si="201"/>
        <v>7</v>
      </c>
      <c r="N1783" s="20">
        <f t="shared" si="202"/>
        <v>0</v>
      </c>
      <c r="O1783" s="20">
        <f t="shared" si="203"/>
        <v>1</v>
      </c>
      <c r="P1783" s="22">
        <f t="shared" si="204"/>
        <v>190.34</v>
      </c>
      <c r="Q1783" s="22">
        <f>G1783*INDEX(Assumptions!$B$8:$B$16,MATCH(F1783,Assumptions!$A$8:$A$16,0))</f>
        <v>120.5682</v>
      </c>
      <c r="R1783" s="22">
        <f>H1783*Assumptions!$B$3</f>
        <v>16.445999999999998</v>
      </c>
      <c r="S1783" s="22">
        <f t="shared" si="205"/>
        <v>25.915800000000004</v>
      </c>
      <c r="T1783" s="20" t="str">
        <f t="shared" si="206"/>
        <v>0-7 days</v>
      </c>
    </row>
    <row r="1784" spans="1:20" x14ac:dyDescent="0.3">
      <c r="A1784" s="20" t="s">
        <v>1850</v>
      </c>
      <c r="B1784" s="20" t="s">
        <v>19</v>
      </c>
      <c r="C1784" s="21">
        <v>45865</v>
      </c>
      <c r="D1784" s="21">
        <v>45870</v>
      </c>
      <c r="E1784" s="21">
        <v>45879</v>
      </c>
      <c r="F1784" s="20" t="s">
        <v>67</v>
      </c>
      <c r="G1784" s="22">
        <v>94.92</v>
      </c>
      <c r="H1784" s="22">
        <v>17.93</v>
      </c>
      <c r="I1784" s="20" t="s">
        <v>45</v>
      </c>
      <c r="J1784" s="20">
        <v>4</v>
      </c>
      <c r="K1784" s="20" t="s">
        <v>46</v>
      </c>
      <c r="L1784" s="23">
        <f t="shared" si="200"/>
        <v>45839</v>
      </c>
      <c r="M1784" s="20">
        <f t="shared" si="201"/>
        <v>5</v>
      </c>
      <c r="N1784" s="20">
        <f t="shared" si="202"/>
        <v>0</v>
      </c>
      <c r="O1784" s="20">
        <f t="shared" si="203"/>
        <v>1</v>
      </c>
      <c r="P1784" s="22">
        <f t="shared" si="204"/>
        <v>112.85</v>
      </c>
      <c r="Q1784" s="22">
        <f>G1784*INDEX(Assumptions!$B$8:$B$16,MATCH(F1784,Assumptions!$A$8:$A$16,0))</f>
        <v>58.8504</v>
      </c>
      <c r="R1784" s="22">
        <f>H1784*Assumptions!$B$3</f>
        <v>10.757999999999999</v>
      </c>
      <c r="S1784" s="22">
        <f t="shared" si="205"/>
        <v>25.311600000000002</v>
      </c>
      <c r="T1784" s="20" t="str">
        <f t="shared" si="206"/>
        <v>0-7 days</v>
      </c>
    </row>
    <row r="1785" spans="1:20" x14ac:dyDescent="0.3">
      <c r="A1785" s="20" t="s">
        <v>1851</v>
      </c>
      <c r="B1785" s="20" t="s">
        <v>174</v>
      </c>
      <c r="C1785" s="21">
        <v>45865</v>
      </c>
      <c r="D1785" s="21">
        <v>45876</v>
      </c>
      <c r="E1785" s="21">
        <v>45898</v>
      </c>
      <c r="F1785" s="20" t="s">
        <v>53</v>
      </c>
      <c r="G1785" s="22">
        <v>73.7</v>
      </c>
      <c r="H1785" s="22">
        <v>47.43</v>
      </c>
      <c r="I1785" s="20" t="s">
        <v>45</v>
      </c>
      <c r="J1785" s="20">
        <v>4</v>
      </c>
      <c r="K1785" s="20" t="s">
        <v>46</v>
      </c>
      <c r="L1785" s="23">
        <f t="shared" si="200"/>
        <v>45839</v>
      </c>
      <c r="M1785" s="20">
        <f t="shared" si="201"/>
        <v>11</v>
      </c>
      <c r="N1785" s="20">
        <f t="shared" si="202"/>
        <v>0</v>
      </c>
      <c r="O1785" s="20">
        <f t="shared" si="203"/>
        <v>1</v>
      </c>
      <c r="P1785" s="22">
        <f t="shared" si="204"/>
        <v>121.13</v>
      </c>
      <c r="Q1785" s="22">
        <f>G1785*INDEX(Assumptions!$B$8:$B$16,MATCH(F1785,Assumptions!$A$8:$A$16,0))</f>
        <v>54.538000000000004</v>
      </c>
      <c r="R1785" s="22">
        <f>H1785*Assumptions!$B$3</f>
        <v>28.457999999999998</v>
      </c>
      <c r="S1785" s="22">
        <f t="shared" si="205"/>
        <v>-9.2959999999999994</v>
      </c>
      <c r="T1785" s="20" t="str">
        <f t="shared" si="206"/>
        <v>8-14 days</v>
      </c>
    </row>
    <row r="1786" spans="1:20" x14ac:dyDescent="0.3">
      <c r="A1786" s="20" t="s">
        <v>1852</v>
      </c>
      <c r="B1786" s="20" t="s">
        <v>19</v>
      </c>
      <c r="C1786" s="21">
        <v>45865</v>
      </c>
      <c r="D1786" s="21">
        <v>45872</v>
      </c>
      <c r="E1786" s="21">
        <v>45881</v>
      </c>
      <c r="F1786" s="20" t="s">
        <v>49</v>
      </c>
      <c r="G1786" s="22">
        <v>36.71</v>
      </c>
      <c r="H1786" s="22">
        <v>18.87</v>
      </c>
      <c r="I1786" s="20" t="s">
        <v>45</v>
      </c>
      <c r="J1786" s="20">
        <v>5</v>
      </c>
      <c r="K1786" s="20" t="s">
        <v>46</v>
      </c>
      <c r="L1786" s="23">
        <f t="shared" si="200"/>
        <v>45839</v>
      </c>
      <c r="M1786" s="20">
        <f t="shared" si="201"/>
        <v>7</v>
      </c>
      <c r="N1786" s="20">
        <f t="shared" si="202"/>
        <v>0</v>
      </c>
      <c r="O1786" s="20">
        <f t="shared" si="203"/>
        <v>1</v>
      </c>
      <c r="P1786" s="22">
        <f t="shared" si="204"/>
        <v>55.58</v>
      </c>
      <c r="Q1786" s="22">
        <f>G1786*INDEX(Assumptions!$B$8:$B$16,MATCH(F1786,Assumptions!$A$8:$A$16,0))</f>
        <v>21.291799999999999</v>
      </c>
      <c r="R1786" s="22">
        <f>H1786*Assumptions!$B$3</f>
        <v>11.322000000000001</v>
      </c>
      <c r="S1786" s="22">
        <f t="shared" si="205"/>
        <v>4.0962000000000014</v>
      </c>
      <c r="T1786" s="20" t="str">
        <f t="shared" si="206"/>
        <v>0-7 days</v>
      </c>
    </row>
    <row r="1787" spans="1:20" x14ac:dyDescent="0.3">
      <c r="A1787" s="20" t="s">
        <v>1853</v>
      </c>
      <c r="B1787" s="20" t="s">
        <v>62</v>
      </c>
      <c r="C1787" s="21">
        <v>45865</v>
      </c>
      <c r="D1787" s="21">
        <v>45879</v>
      </c>
      <c r="E1787" s="21">
        <v>45889</v>
      </c>
      <c r="F1787" s="20" t="s">
        <v>53</v>
      </c>
      <c r="G1787" s="22">
        <v>231.76</v>
      </c>
      <c r="H1787" s="22">
        <v>22.04</v>
      </c>
      <c r="I1787" s="20" t="s">
        <v>45</v>
      </c>
      <c r="J1787" s="20">
        <v>4</v>
      </c>
      <c r="K1787" s="20" t="s">
        <v>46</v>
      </c>
      <c r="L1787" s="23">
        <f t="shared" si="200"/>
        <v>45839</v>
      </c>
      <c r="M1787" s="20">
        <f t="shared" si="201"/>
        <v>14</v>
      </c>
      <c r="N1787" s="20">
        <f t="shared" si="202"/>
        <v>0</v>
      </c>
      <c r="O1787" s="20">
        <f t="shared" si="203"/>
        <v>1</v>
      </c>
      <c r="P1787" s="22">
        <f t="shared" si="204"/>
        <v>253.79999999999998</v>
      </c>
      <c r="Q1787" s="22">
        <f>G1787*INDEX(Assumptions!$B$8:$B$16,MATCH(F1787,Assumptions!$A$8:$A$16,0))</f>
        <v>171.50239999999999</v>
      </c>
      <c r="R1787" s="22">
        <f>H1787*Assumptions!$B$3</f>
        <v>13.223999999999998</v>
      </c>
      <c r="S1787" s="22">
        <f t="shared" si="205"/>
        <v>47.0336</v>
      </c>
      <c r="T1787" s="20" t="str">
        <f t="shared" si="206"/>
        <v>8-14 days</v>
      </c>
    </row>
    <row r="1788" spans="1:20" x14ac:dyDescent="0.3">
      <c r="A1788" s="20" t="s">
        <v>1854</v>
      </c>
      <c r="B1788" s="20" t="s">
        <v>134</v>
      </c>
      <c r="C1788" s="21">
        <v>45865</v>
      </c>
      <c r="D1788" s="21">
        <v>45879</v>
      </c>
      <c r="E1788" s="21">
        <v>45888</v>
      </c>
      <c r="F1788" s="20" t="s">
        <v>57</v>
      </c>
      <c r="G1788" s="22">
        <v>203.32</v>
      </c>
      <c r="H1788" s="22">
        <v>22.56</v>
      </c>
      <c r="I1788" s="20" t="s">
        <v>45</v>
      </c>
      <c r="J1788" s="20">
        <v>5</v>
      </c>
      <c r="K1788" s="20" t="s">
        <v>46</v>
      </c>
      <c r="L1788" s="23">
        <f t="shared" si="200"/>
        <v>45839</v>
      </c>
      <c r="M1788" s="20">
        <f t="shared" si="201"/>
        <v>14</v>
      </c>
      <c r="N1788" s="20">
        <f t="shared" si="202"/>
        <v>0</v>
      </c>
      <c r="O1788" s="20">
        <f t="shared" si="203"/>
        <v>1</v>
      </c>
      <c r="P1788" s="22">
        <f t="shared" si="204"/>
        <v>225.88</v>
      </c>
      <c r="Q1788" s="22">
        <f>G1788*INDEX(Assumptions!$B$8:$B$16,MATCH(F1788,Assumptions!$A$8:$A$16,0))</f>
        <v>138.2576</v>
      </c>
      <c r="R1788" s="22">
        <f>H1788*Assumptions!$B$3</f>
        <v>13.536</v>
      </c>
      <c r="S1788" s="22">
        <f t="shared" si="205"/>
        <v>51.526399999999995</v>
      </c>
      <c r="T1788" s="20" t="str">
        <f t="shared" si="206"/>
        <v>8-14 days</v>
      </c>
    </row>
    <row r="1789" spans="1:20" x14ac:dyDescent="0.3">
      <c r="A1789" s="20" t="s">
        <v>1855</v>
      </c>
      <c r="B1789" s="20" t="s">
        <v>19</v>
      </c>
      <c r="C1789" s="21">
        <v>45865</v>
      </c>
      <c r="D1789" s="21">
        <v>45872</v>
      </c>
      <c r="E1789" s="21">
        <v>45880</v>
      </c>
      <c r="F1789" s="20" t="s">
        <v>49</v>
      </c>
      <c r="G1789" s="22">
        <v>63.42</v>
      </c>
      <c r="H1789" s="22">
        <v>14.08</v>
      </c>
      <c r="I1789" s="20" t="s">
        <v>45</v>
      </c>
      <c r="J1789" s="20">
        <v>4</v>
      </c>
      <c r="K1789" s="20" t="s">
        <v>46</v>
      </c>
      <c r="L1789" s="23">
        <f t="shared" si="200"/>
        <v>45839</v>
      </c>
      <c r="M1789" s="20">
        <f t="shared" si="201"/>
        <v>7</v>
      </c>
      <c r="N1789" s="20">
        <f t="shared" si="202"/>
        <v>0</v>
      </c>
      <c r="O1789" s="20">
        <f t="shared" si="203"/>
        <v>1</v>
      </c>
      <c r="P1789" s="22">
        <f t="shared" si="204"/>
        <v>77.5</v>
      </c>
      <c r="Q1789" s="22">
        <f>G1789*INDEX(Assumptions!$B$8:$B$16,MATCH(F1789,Assumptions!$A$8:$A$16,0))</f>
        <v>36.7836</v>
      </c>
      <c r="R1789" s="22">
        <f>H1789*Assumptions!$B$3</f>
        <v>8.4480000000000004</v>
      </c>
      <c r="S1789" s="22">
        <f t="shared" si="205"/>
        <v>18.188400000000001</v>
      </c>
      <c r="T1789" s="20" t="str">
        <f t="shared" si="206"/>
        <v>0-7 days</v>
      </c>
    </row>
    <row r="1790" spans="1:20" x14ac:dyDescent="0.3">
      <c r="A1790" s="20" t="s">
        <v>1856</v>
      </c>
      <c r="B1790" s="20" t="s">
        <v>134</v>
      </c>
      <c r="C1790" s="21">
        <v>45865</v>
      </c>
      <c r="D1790" s="21">
        <v>45886</v>
      </c>
      <c r="E1790" s="21">
        <v>45891</v>
      </c>
      <c r="F1790" s="20" t="s">
        <v>64</v>
      </c>
      <c r="G1790" s="22">
        <v>97.16</v>
      </c>
      <c r="H1790" s="22">
        <v>29.58</v>
      </c>
      <c r="I1790" s="20" t="s">
        <v>45</v>
      </c>
      <c r="J1790" s="20">
        <v>4</v>
      </c>
      <c r="K1790" s="20" t="s">
        <v>46</v>
      </c>
      <c r="L1790" s="23">
        <f t="shared" si="200"/>
        <v>45839</v>
      </c>
      <c r="M1790" s="20">
        <f t="shared" si="201"/>
        <v>21</v>
      </c>
      <c r="N1790" s="20">
        <f t="shared" si="202"/>
        <v>0</v>
      </c>
      <c r="O1790" s="20">
        <f t="shared" si="203"/>
        <v>1</v>
      </c>
      <c r="P1790" s="22">
        <f t="shared" si="204"/>
        <v>126.74</v>
      </c>
      <c r="Q1790" s="22">
        <f>G1790*INDEX(Assumptions!$B$8:$B$16,MATCH(F1790,Assumptions!$A$8:$A$16,0))</f>
        <v>64.125600000000006</v>
      </c>
      <c r="R1790" s="22">
        <f>H1790*Assumptions!$B$3</f>
        <v>17.747999999999998</v>
      </c>
      <c r="S1790" s="22">
        <f t="shared" si="205"/>
        <v>15.286399999999993</v>
      </c>
      <c r="T1790" s="20" t="str">
        <f t="shared" si="206"/>
        <v>15-21 days</v>
      </c>
    </row>
    <row r="1791" spans="1:20" x14ac:dyDescent="0.3">
      <c r="A1791" s="20" t="s">
        <v>1857</v>
      </c>
      <c r="B1791" s="20" t="s">
        <v>93</v>
      </c>
      <c r="C1791" s="21">
        <v>45865</v>
      </c>
      <c r="D1791" s="21">
        <v>45893</v>
      </c>
      <c r="E1791" s="21">
        <v>45893</v>
      </c>
      <c r="F1791" s="20" t="s">
        <v>49</v>
      </c>
      <c r="G1791" s="22">
        <v>20.350000000000001</v>
      </c>
      <c r="H1791" s="22">
        <v>25</v>
      </c>
      <c r="I1791" s="20" t="s">
        <v>50</v>
      </c>
      <c r="J1791" s="20">
        <v>4</v>
      </c>
      <c r="K1791" s="20" t="s">
        <v>46</v>
      </c>
      <c r="L1791" s="23">
        <f t="shared" si="200"/>
        <v>45839</v>
      </c>
      <c r="M1791" s="20">
        <f t="shared" si="201"/>
        <v>28</v>
      </c>
      <c r="N1791" s="20">
        <f t="shared" si="202"/>
        <v>0</v>
      </c>
      <c r="O1791" s="20">
        <f t="shared" si="203"/>
        <v>1</v>
      </c>
      <c r="P1791" s="22">
        <f t="shared" si="204"/>
        <v>45.35</v>
      </c>
      <c r="Q1791" s="22">
        <f>G1791*INDEX(Assumptions!$B$8:$B$16,MATCH(F1791,Assumptions!$A$8:$A$16,0))</f>
        <v>11.803000000000001</v>
      </c>
      <c r="R1791" s="22">
        <f>H1791*Assumptions!$B$3</f>
        <v>15</v>
      </c>
      <c r="S1791" s="22">
        <f t="shared" si="205"/>
        <v>-6.4529999999999994</v>
      </c>
      <c r="T1791" s="20" t="str">
        <f t="shared" si="206"/>
        <v>22+ days</v>
      </c>
    </row>
    <row r="1792" spans="1:20" x14ac:dyDescent="0.3">
      <c r="A1792" s="20" t="s">
        <v>1858</v>
      </c>
      <c r="B1792" s="20" t="s">
        <v>134</v>
      </c>
      <c r="C1792" s="21">
        <v>45866</v>
      </c>
      <c r="D1792" s="21">
        <v>45873</v>
      </c>
      <c r="E1792" s="21">
        <v>45888</v>
      </c>
      <c r="F1792" s="20" t="s">
        <v>67</v>
      </c>
      <c r="G1792" s="22">
        <v>217.43</v>
      </c>
      <c r="H1792" s="22">
        <v>21.56</v>
      </c>
      <c r="I1792" s="20" t="s">
        <v>45</v>
      </c>
      <c r="J1792" s="20">
        <v>5</v>
      </c>
      <c r="K1792" s="20" t="s">
        <v>46</v>
      </c>
      <c r="L1792" s="23">
        <f t="shared" si="200"/>
        <v>45839</v>
      </c>
      <c r="M1792" s="20">
        <f t="shared" si="201"/>
        <v>7</v>
      </c>
      <c r="N1792" s="20">
        <f t="shared" si="202"/>
        <v>0</v>
      </c>
      <c r="O1792" s="20">
        <f t="shared" si="203"/>
        <v>1</v>
      </c>
      <c r="P1792" s="22">
        <f t="shared" si="204"/>
        <v>238.99</v>
      </c>
      <c r="Q1792" s="22">
        <f>G1792*INDEX(Assumptions!$B$8:$B$16,MATCH(F1792,Assumptions!$A$8:$A$16,0))</f>
        <v>134.8066</v>
      </c>
      <c r="R1792" s="22">
        <f>H1792*Assumptions!$B$3</f>
        <v>12.935999999999998</v>
      </c>
      <c r="S1792" s="22">
        <f t="shared" si="205"/>
        <v>69.687400000000011</v>
      </c>
      <c r="T1792" s="20" t="str">
        <f t="shared" si="206"/>
        <v>0-7 days</v>
      </c>
    </row>
    <row r="1793" spans="1:20" x14ac:dyDescent="0.3">
      <c r="A1793" s="20" t="s">
        <v>1859</v>
      </c>
      <c r="B1793" s="20" t="s">
        <v>19</v>
      </c>
      <c r="C1793" s="21">
        <v>45866</v>
      </c>
      <c r="D1793" s="21">
        <v>45874</v>
      </c>
      <c r="E1793" s="21">
        <v>45881</v>
      </c>
      <c r="F1793" s="20" t="s">
        <v>59</v>
      </c>
      <c r="G1793" s="22">
        <v>58.88</v>
      </c>
      <c r="H1793" s="22">
        <v>17.46</v>
      </c>
      <c r="I1793" s="20" t="s">
        <v>45</v>
      </c>
      <c r="J1793" s="20">
        <v>4</v>
      </c>
      <c r="K1793" s="20" t="s">
        <v>46</v>
      </c>
      <c r="L1793" s="23">
        <f t="shared" si="200"/>
        <v>45839</v>
      </c>
      <c r="M1793" s="20">
        <f t="shared" si="201"/>
        <v>8</v>
      </c>
      <c r="N1793" s="20">
        <f t="shared" si="202"/>
        <v>0</v>
      </c>
      <c r="O1793" s="20">
        <f t="shared" si="203"/>
        <v>1</v>
      </c>
      <c r="P1793" s="22">
        <f t="shared" si="204"/>
        <v>76.34</v>
      </c>
      <c r="Q1793" s="22">
        <f>G1793*INDEX(Assumptions!$B$8:$B$16,MATCH(F1793,Assumptions!$A$8:$A$16,0))</f>
        <v>37.683199999999999</v>
      </c>
      <c r="R1793" s="22">
        <f>H1793*Assumptions!$B$3</f>
        <v>10.476000000000001</v>
      </c>
      <c r="S1793" s="22">
        <f t="shared" si="205"/>
        <v>10.720800000000002</v>
      </c>
      <c r="T1793" s="20" t="str">
        <f t="shared" si="206"/>
        <v>8-14 days</v>
      </c>
    </row>
    <row r="1794" spans="1:20" x14ac:dyDescent="0.3">
      <c r="A1794" s="20" t="s">
        <v>1860</v>
      </c>
      <c r="B1794" s="20" t="s">
        <v>62</v>
      </c>
      <c r="C1794" s="21">
        <v>45866</v>
      </c>
      <c r="D1794" s="21">
        <v>45872</v>
      </c>
      <c r="E1794" s="21">
        <v>45884</v>
      </c>
      <c r="F1794" s="20" t="s">
        <v>44</v>
      </c>
      <c r="G1794" s="22">
        <v>189.45</v>
      </c>
      <c r="H1794" s="22">
        <v>29.17</v>
      </c>
      <c r="I1794" s="20" t="s">
        <v>45</v>
      </c>
      <c r="J1794" s="20">
        <v>4</v>
      </c>
      <c r="K1794" s="20" t="s">
        <v>46</v>
      </c>
      <c r="L1794" s="23">
        <f t="shared" ref="L1794:L1857" si="207">DATE(YEAR(C1794),MONTH(C1794),1)</f>
        <v>45839</v>
      </c>
      <c r="M1794" s="20">
        <f t="shared" ref="M1794:M1857" si="208">D1794-C1794</f>
        <v>6</v>
      </c>
      <c r="N1794" s="20">
        <f t="shared" ref="N1794:N1857" si="209">MAX(0,D1794-E1794)</f>
        <v>0</v>
      </c>
      <c r="O1794" s="20">
        <f t="shared" ref="O1794:O1857" si="210">IF(D1794&lt;=E1794,1,0)</f>
        <v>1</v>
      </c>
      <c r="P1794" s="22">
        <f t="shared" ref="P1794:P1857" si="211">G1794+H1794</f>
        <v>218.62</v>
      </c>
      <c r="Q1794" s="22">
        <f>G1794*INDEX(Assumptions!$B$8:$B$16,MATCH(F1794,Assumptions!$A$8:$A$16,0))</f>
        <v>113.66999999999999</v>
      </c>
      <c r="R1794" s="22">
        <f>H1794*Assumptions!$B$3</f>
        <v>17.501999999999999</v>
      </c>
      <c r="S1794" s="22">
        <f t="shared" ref="S1794:S1857" si="212">G1794-Q1794-R1794</f>
        <v>58.278000000000006</v>
      </c>
      <c r="T1794" s="20" t="str">
        <f t="shared" ref="T1794:T1857" si="213">IF(M1794&lt;=7,"0-7 days",IF(M1794&lt;=14,"8-14 days",IF(M1794&lt;=21,"15-21 days","22+ days")))</f>
        <v>0-7 days</v>
      </c>
    </row>
    <row r="1795" spans="1:20" x14ac:dyDescent="0.3">
      <c r="A1795" s="20" t="s">
        <v>1861</v>
      </c>
      <c r="B1795" s="20" t="s">
        <v>55</v>
      </c>
      <c r="C1795" s="21">
        <v>45866</v>
      </c>
      <c r="D1795" s="21">
        <v>45876</v>
      </c>
      <c r="E1795" s="21">
        <v>45893</v>
      </c>
      <c r="F1795" s="20" t="s">
        <v>49</v>
      </c>
      <c r="G1795" s="22">
        <v>45.34</v>
      </c>
      <c r="H1795" s="22">
        <v>22.6</v>
      </c>
      <c r="I1795" s="20" t="s">
        <v>45</v>
      </c>
      <c r="J1795" s="20">
        <v>4</v>
      </c>
      <c r="K1795" s="20" t="s">
        <v>46</v>
      </c>
      <c r="L1795" s="23">
        <f t="shared" si="207"/>
        <v>45839</v>
      </c>
      <c r="M1795" s="20">
        <f t="shared" si="208"/>
        <v>10</v>
      </c>
      <c r="N1795" s="20">
        <f t="shared" si="209"/>
        <v>0</v>
      </c>
      <c r="O1795" s="20">
        <f t="shared" si="210"/>
        <v>1</v>
      </c>
      <c r="P1795" s="22">
        <f t="shared" si="211"/>
        <v>67.94</v>
      </c>
      <c r="Q1795" s="22">
        <f>G1795*INDEX(Assumptions!$B$8:$B$16,MATCH(F1795,Assumptions!$A$8:$A$16,0))</f>
        <v>26.2972</v>
      </c>
      <c r="R1795" s="22">
        <f>H1795*Assumptions!$B$3</f>
        <v>13.56</v>
      </c>
      <c r="S1795" s="22">
        <f t="shared" si="212"/>
        <v>5.4828000000000028</v>
      </c>
      <c r="T1795" s="20" t="str">
        <f t="shared" si="213"/>
        <v>8-14 days</v>
      </c>
    </row>
    <row r="1796" spans="1:20" x14ac:dyDescent="0.3">
      <c r="A1796" s="20" t="s">
        <v>1862</v>
      </c>
      <c r="B1796" s="20" t="s">
        <v>62</v>
      </c>
      <c r="C1796" s="21">
        <v>45866</v>
      </c>
      <c r="D1796" s="21">
        <v>45882</v>
      </c>
      <c r="E1796" s="21">
        <v>45885</v>
      </c>
      <c r="F1796" s="20" t="s">
        <v>79</v>
      </c>
      <c r="G1796" s="22">
        <v>136.66</v>
      </c>
      <c r="H1796" s="22">
        <v>17.43</v>
      </c>
      <c r="I1796" s="20" t="s">
        <v>45</v>
      </c>
      <c r="J1796" s="20">
        <v>3</v>
      </c>
      <c r="K1796" s="20" t="s">
        <v>46</v>
      </c>
      <c r="L1796" s="23">
        <f t="shared" si="207"/>
        <v>45839</v>
      </c>
      <c r="M1796" s="20">
        <f t="shared" si="208"/>
        <v>16</v>
      </c>
      <c r="N1796" s="20">
        <f t="shared" si="209"/>
        <v>0</v>
      </c>
      <c r="O1796" s="20">
        <f t="shared" si="210"/>
        <v>1</v>
      </c>
      <c r="P1796" s="22">
        <f t="shared" si="211"/>
        <v>154.09</v>
      </c>
      <c r="Q1796" s="22">
        <f>G1796*INDEX(Assumptions!$B$8:$B$16,MATCH(F1796,Assumptions!$A$8:$A$16,0))</f>
        <v>95.661999999999992</v>
      </c>
      <c r="R1796" s="22">
        <f>H1796*Assumptions!$B$3</f>
        <v>10.458</v>
      </c>
      <c r="S1796" s="22">
        <f t="shared" si="212"/>
        <v>30.540000000000006</v>
      </c>
      <c r="T1796" s="20" t="str">
        <f t="shared" si="213"/>
        <v>15-21 days</v>
      </c>
    </row>
    <row r="1797" spans="1:20" x14ac:dyDescent="0.3">
      <c r="A1797" s="20" t="s">
        <v>1863</v>
      </c>
      <c r="B1797" s="20" t="s">
        <v>19</v>
      </c>
      <c r="C1797" s="21">
        <v>45866</v>
      </c>
      <c r="D1797" s="21">
        <v>45873</v>
      </c>
      <c r="E1797" s="21">
        <v>45882</v>
      </c>
      <c r="F1797" s="20" t="s">
        <v>111</v>
      </c>
      <c r="G1797" s="22">
        <v>59.39</v>
      </c>
      <c r="H1797" s="22">
        <v>14.11</v>
      </c>
      <c r="I1797" s="20" t="s">
        <v>45</v>
      </c>
      <c r="J1797" s="20">
        <v>5</v>
      </c>
      <c r="K1797" s="20" t="s">
        <v>46</v>
      </c>
      <c r="L1797" s="23">
        <f t="shared" si="207"/>
        <v>45839</v>
      </c>
      <c r="M1797" s="20">
        <f t="shared" si="208"/>
        <v>7</v>
      </c>
      <c r="N1797" s="20">
        <f t="shared" si="209"/>
        <v>0</v>
      </c>
      <c r="O1797" s="20">
        <f t="shared" si="210"/>
        <v>1</v>
      </c>
      <c r="P1797" s="22">
        <f t="shared" si="211"/>
        <v>73.5</v>
      </c>
      <c r="Q1797" s="22">
        <f>G1797*INDEX(Assumptions!$B$8:$B$16,MATCH(F1797,Assumptions!$A$8:$A$16,0))</f>
        <v>37.415700000000001</v>
      </c>
      <c r="R1797" s="22">
        <f>H1797*Assumptions!$B$3</f>
        <v>8.4659999999999993</v>
      </c>
      <c r="S1797" s="22">
        <f t="shared" si="212"/>
        <v>13.5083</v>
      </c>
      <c r="T1797" s="20" t="str">
        <f t="shared" si="213"/>
        <v>0-7 days</v>
      </c>
    </row>
    <row r="1798" spans="1:20" x14ac:dyDescent="0.3">
      <c r="A1798" s="20" t="s">
        <v>1864</v>
      </c>
      <c r="B1798" s="20" t="s">
        <v>156</v>
      </c>
      <c r="C1798" s="21">
        <v>45866</v>
      </c>
      <c r="D1798" s="21">
        <v>45886</v>
      </c>
      <c r="E1798" s="21">
        <v>45889</v>
      </c>
      <c r="F1798" s="20" t="s">
        <v>44</v>
      </c>
      <c r="G1798" s="22">
        <v>370.12</v>
      </c>
      <c r="H1798" s="22">
        <v>25.85</v>
      </c>
      <c r="I1798" s="20" t="s">
        <v>50</v>
      </c>
      <c r="J1798" s="20">
        <v>3</v>
      </c>
      <c r="K1798" s="20" t="s">
        <v>46</v>
      </c>
      <c r="L1798" s="23">
        <f t="shared" si="207"/>
        <v>45839</v>
      </c>
      <c r="M1798" s="20">
        <f t="shared" si="208"/>
        <v>20</v>
      </c>
      <c r="N1798" s="20">
        <f t="shared" si="209"/>
        <v>0</v>
      </c>
      <c r="O1798" s="20">
        <f t="shared" si="210"/>
        <v>1</v>
      </c>
      <c r="P1798" s="22">
        <f t="shared" si="211"/>
        <v>395.97</v>
      </c>
      <c r="Q1798" s="22">
        <f>G1798*INDEX(Assumptions!$B$8:$B$16,MATCH(F1798,Assumptions!$A$8:$A$16,0))</f>
        <v>222.072</v>
      </c>
      <c r="R1798" s="22">
        <f>H1798*Assumptions!$B$3</f>
        <v>15.51</v>
      </c>
      <c r="S1798" s="22">
        <f t="shared" si="212"/>
        <v>132.53800000000001</v>
      </c>
      <c r="T1798" s="20" t="str">
        <f t="shared" si="213"/>
        <v>15-21 days</v>
      </c>
    </row>
    <row r="1799" spans="1:20" x14ac:dyDescent="0.3">
      <c r="A1799" s="20" t="s">
        <v>1865</v>
      </c>
      <c r="B1799" s="20" t="s">
        <v>19</v>
      </c>
      <c r="C1799" s="21">
        <v>45867</v>
      </c>
      <c r="D1799" s="21">
        <v>45874</v>
      </c>
      <c r="E1799" s="21">
        <v>45882</v>
      </c>
      <c r="F1799" s="20" t="s">
        <v>59</v>
      </c>
      <c r="G1799" s="22">
        <v>45.79</v>
      </c>
      <c r="H1799" s="22">
        <v>18.579999999999998</v>
      </c>
      <c r="I1799" s="20" t="s">
        <v>45</v>
      </c>
      <c r="J1799" s="20">
        <v>5</v>
      </c>
      <c r="K1799" s="20" t="s">
        <v>46</v>
      </c>
      <c r="L1799" s="23">
        <f t="shared" si="207"/>
        <v>45839</v>
      </c>
      <c r="M1799" s="20">
        <f t="shared" si="208"/>
        <v>7</v>
      </c>
      <c r="N1799" s="20">
        <f t="shared" si="209"/>
        <v>0</v>
      </c>
      <c r="O1799" s="20">
        <f t="shared" si="210"/>
        <v>1</v>
      </c>
      <c r="P1799" s="22">
        <f t="shared" si="211"/>
        <v>64.37</v>
      </c>
      <c r="Q1799" s="22">
        <f>G1799*INDEX(Assumptions!$B$8:$B$16,MATCH(F1799,Assumptions!$A$8:$A$16,0))</f>
        <v>29.305599999999998</v>
      </c>
      <c r="R1799" s="22">
        <f>H1799*Assumptions!$B$3</f>
        <v>11.147999999999998</v>
      </c>
      <c r="S1799" s="22">
        <f t="shared" si="212"/>
        <v>5.3364000000000029</v>
      </c>
      <c r="T1799" s="20" t="str">
        <f t="shared" si="213"/>
        <v>0-7 days</v>
      </c>
    </row>
    <row r="1800" spans="1:20" x14ac:dyDescent="0.3">
      <c r="A1800" s="20" t="s">
        <v>1866</v>
      </c>
      <c r="B1800" s="20" t="s">
        <v>19</v>
      </c>
      <c r="C1800" s="21">
        <v>45867</v>
      </c>
      <c r="D1800" s="21">
        <v>45874</v>
      </c>
      <c r="E1800" s="21">
        <v>45880</v>
      </c>
      <c r="F1800" s="20" t="s">
        <v>44</v>
      </c>
      <c r="G1800" s="22">
        <v>76.760000000000005</v>
      </c>
      <c r="H1800" s="22">
        <v>12.57</v>
      </c>
      <c r="I1800" s="20" t="s">
        <v>60</v>
      </c>
      <c r="J1800" s="20">
        <v>5</v>
      </c>
      <c r="K1800" s="20" t="s">
        <v>46</v>
      </c>
      <c r="L1800" s="23">
        <f t="shared" si="207"/>
        <v>45839</v>
      </c>
      <c r="M1800" s="20">
        <f t="shared" si="208"/>
        <v>7</v>
      </c>
      <c r="N1800" s="20">
        <f t="shared" si="209"/>
        <v>0</v>
      </c>
      <c r="O1800" s="20">
        <f t="shared" si="210"/>
        <v>1</v>
      </c>
      <c r="P1800" s="22">
        <f t="shared" si="211"/>
        <v>89.330000000000013</v>
      </c>
      <c r="Q1800" s="22">
        <f>G1800*INDEX(Assumptions!$B$8:$B$16,MATCH(F1800,Assumptions!$A$8:$A$16,0))</f>
        <v>46.056000000000004</v>
      </c>
      <c r="R1800" s="22">
        <f>H1800*Assumptions!$B$3</f>
        <v>7.5419999999999998</v>
      </c>
      <c r="S1800" s="22">
        <f t="shared" si="212"/>
        <v>23.161999999999999</v>
      </c>
      <c r="T1800" s="20" t="str">
        <f t="shared" si="213"/>
        <v>0-7 days</v>
      </c>
    </row>
    <row r="1801" spans="1:20" x14ac:dyDescent="0.3">
      <c r="A1801" s="20" t="s">
        <v>1867</v>
      </c>
      <c r="B1801" s="20" t="s">
        <v>19</v>
      </c>
      <c r="C1801" s="21">
        <v>45867</v>
      </c>
      <c r="D1801" s="21">
        <v>45876</v>
      </c>
      <c r="E1801" s="21">
        <v>45884</v>
      </c>
      <c r="F1801" s="20" t="s">
        <v>49</v>
      </c>
      <c r="G1801" s="22">
        <v>69.790000000000006</v>
      </c>
      <c r="H1801" s="22">
        <v>12.77</v>
      </c>
      <c r="I1801" s="20" t="s">
        <v>45</v>
      </c>
      <c r="J1801" s="20">
        <v>3</v>
      </c>
      <c r="K1801" s="20" t="s">
        <v>46</v>
      </c>
      <c r="L1801" s="23">
        <f t="shared" si="207"/>
        <v>45839</v>
      </c>
      <c r="M1801" s="20">
        <f t="shared" si="208"/>
        <v>9</v>
      </c>
      <c r="N1801" s="20">
        <f t="shared" si="209"/>
        <v>0</v>
      </c>
      <c r="O1801" s="20">
        <f t="shared" si="210"/>
        <v>1</v>
      </c>
      <c r="P1801" s="22">
        <f t="shared" si="211"/>
        <v>82.56</v>
      </c>
      <c r="Q1801" s="22">
        <f>G1801*INDEX(Assumptions!$B$8:$B$16,MATCH(F1801,Assumptions!$A$8:$A$16,0))</f>
        <v>40.478200000000001</v>
      </c>
      <c r="R1801" s="22">
        <f>H1801*Assumptions!$B$3</f>
        <v>7.661999999999999</v>
      </c>
      <c r="S1801" s="22">
        <f t="shared" si="212"/>
        <v>21.649800000000006</v>
      </c>
      <c r="T1801" s="20" t="str">
        <f t="shared" si="213"/>
        <v>8-14 days</v>
      </c>
    </row>
    <row r="1802" spans="1:20" x14ac:dyDescent="0.3">
      <c r="A1802" s="20" t="s">
        <v>1868</v>
      </c>
      <c r="B1802" s="20" t="s">
        <v>19</v>
      </c>
      <c r="C1802" s="21">
        <v>45867</v>
      </c>
      <c r="D1802" s="21">
        <v>45890</v>
      </c>
      <c r="E1802" s="21">
        <v>45882</v>
      </c>
      <c r="F1802" s="20" t="s">
        <v>67</v>
      </c>
      <c r="G1802" s="22">
        <v>82.33</v>
      </c>
      <c r="H1802" s="22">
        <v>18.77</v>
      </c>
      <c r="I1802" s="20" t="s">
        <v>45</v>
      </c>
      <c r="J1802" s="20">
        <v>2</v>
      </c>
      <c r="K1802" s="20" t="s">
        <v>46</v>
      </c>
      <c r="L1802" s="23">
        <f t="shared" si="207"/>
        <v>45839</v>
      </c>
      <c r="M1802" s="20">
        <f t="shared" si="208"/>
        <v>23</v>
      </c>
      <c r="N1802" s="20">
        <f t="shared" si="209"/>
        <v>8</v>
      </c>
      <c r="O1802" s="20">
        <f t="shared" si="210"/>
        <v>0</v>
      </c>
      <c r="P1802" s="22">
        <f t="shared" si="211"/>
        <v>101.1</v>
      </c>
      <c r="Q1802" s="22">
        <f>G1802*INDEX(Assumptions!$B$8:$B$16,MATCH(F1802,Assumptions!$A$8:$A$16,0))</f>
        <v>51.044599999999996</v>
      </c>
      <c r="R1802" s="22">
        <f>H1802*Assumptions!$B$3</f>
        <v>11.261999999999999</v>
      </c>
      <c r="S1802" s="22">
        <f t="shared" si="212"/>
        <v>20.023400000000002</v>
      </c>
      <c r="T1802" s="20" t="str">
        <f t="shared" si="213"/>
        <v>22+ days</v>
      </c>
    </row>
    <row r="1803" spans="1:20" x14ac:dyDescent="0.3">
      <c r="A1803" s="20" t="s">
        <v>1869</v>
      </c>
      <c r="B1803" s="20" t="s">
        <v>103</v>
      </c>
      <c r="C1803" s="21">
        <v>45867</v>
      </c>
      <c r="D1803" s="21">
        <v>45873</v>
      </c>
      <c r="E1803" s="21">
        <v>45890</v>
      </c>
      <c r="F1803" s="20" t="s">
        <v>79</v>
      </c>
      <c r="G1803" s="22">
        <v>133.22999999999999</v>
      </c>
      <c r="H1803" s="22">
        <v>23.01</v>
      </c>
      <c r="I1803" s="20" t="s">
        <v>50</v>
      </c>
      <c r="J1803" s="20">
        <v>4</v>
      </c>
      <c r="K1803" s="20" t="s">
        <v>46</v>
      </c>
      <c r="L1803" s="23">
        <f t="shared" si="207"/>
        <v>45839</v>
      </c>
      <c r="M1803" s="20">
        <f t="shared" si="208"/>
        <v>6</v>
      </c>
      <c r="N1803" s="20">
        <f t="shared" si="209"/>
        <v>0</v>
      </c>
      <c r="O1803" s="20">
        <f t="shared" si="210"/>
        <v>1</v>
      </c>
      <c r="P1803" s="22">
        <f t="shared" si="211"/>
        <v>156.23999999999998</v>
      </c>
      <c r="Q1803" s="22">
        <f>G1803*INDEX(Assumptions!$B$8:$B$16,MATCH(F1803,Assumptions!$A$8:$A$16,0))</f>
        <v>93.260999999999981</v>
      </c>
      <c r="R1803" s="22">
        <f>H1803*Assumptions!$B$3</f>
        <v>13.806000000000001</v>
      </c>
      <c r="S1803" s="22">
        <f t="shared" si="212"/>
        <v>26.163000000000007</v>
      </c>
      <c r="T1803" s="20" t="str">
        <f t="shared" si="213"/>
        <v>0-7 days</v>
      </c>
    </row>
    <row r="1804" spans="1:20" x14ac:dyDescent="0.3">
      <c r="A1804" s="20" t="s">
        <v>1870</v>
      </c>
      <c r="B1804" s="20" t="s">
        <v>19</v>
      </c>
      <c r="C1804" s="21">
        <v>45867</v>
      </c>
      <c r="D1804" s="21">
        <v>45875</v>
      </c>
      <c r="E1804" s="21">
        <v>45882</v>
      </c>
      <c r="F1804" s="20" t="s">
        <v>79</v>
      </c>
      <c r="G1804" s="22">
        <v>29.96</v>
      </c>
      <c r="H1804" s="22">
        <v>12.07</v>
      </c>
      <c r="I1804" s="20" t="s">
        <v>45</v>
      </c>
      <c r="J1804" s="20">
        <v>4</v>
      </c>
      <c r="K1804" s="20" t="s">
        <v>46</v>
      </c>
      <c r="L1804" s="23">
        <f t="shared" si="207"/>
        <v>45839</v>
      </c>
      <c r="M1804" s="20">
        <f t="shared" si="208"/>
        <v>8</v>
      </c>
      <c r="N1804" s="20">
        <f t="shared" si="209"/>
        <v>0</v>
      </c>
      <c r="O1804" s="20">
        <f t="shared" si="210"/>
        <v>1</v>
      </c>
      <c r="P1804" s="22">
        <f t="shared" si="211"/>
        <v>42.03</v>
      </c>
      <c r="Q1804" s="22">
        <f>G1804*INDEX(Assumptions!$B$8:$B$16,MATCH(F1804,Assumptions!$A$8:$A$16,0))</f>
        <v>20.971999999999998</v>
      </c>
      <c r="R1804" s="22">
        <f>H1804*Assumptions!$B$3</f>
        <v>7.242</v>
      </c>
      <c r="S1804" s="22">
        <f t="shared" si="212"/>
        <v>1.7460000000000031</v>
      </c>
      <c r="T1804" s="20" t="str">
        <f t="shared" si="213"/>
        <v>8-14 days</v>
      </c>
    </row>
    <row r="1805" spans="1:20" x14ac:dyDescent="0.3">
      <c r="A1805" s="20" t="s">
        <v>1871</v>
      </c>
      <c r="B1805" s="20" t="s">
        <v>134</v>
      </c>
      <c r="C1805" s="21">
        <v>45867</v>
      </c>
      <c r="D1805" s="21">
        <v>45898</v>
      </c>
      <c r="E1805" s="21">
        <v>45889</v>
      </c>
      <c r="F1805" s="20" t="s">
        <v>67</v>
      </c>
      <c r="G1805" s="22">
        <v>303.31</v>
      </c>
      <c r="H1805" s="22">
        <v>33.549999999999997</v>
      </c>
      <c r="I1805" s="20" t="s">
        <v>45</v>
      </c>
      <c r="J1805" s="20">
        <v>4</v>
      </c>
      <c r="K1805" s="20" t="s">
        <v>46</v>
      </c>
      <c r="L1805" s="23">
        <f t="shared" si="207"/>
        <v>45839</v>
      </c>
      <c r="M1805" s="20">
        <f t="shared" si="208"/>
        <v>31</v>
      </c>
      <c r="N1805" s="20">
        <f t="shared" si="209"/>
        <v>9</v>
      </c>
      <c r="O1805" s="20">
        <f t="shared" si="210"/>
        <v>0</v>
      </c>
      <c r="P1805" s="22">
        <f t="shared" si="211"/>
        <v>336.86</v>
      </c>
      <c r="Q1805" s="22">
        <f>G1805*INDEX(Assumptions!$B$8:$B$16,MATCH(F1805,Assumptions!$A$8:$A$16,0))</f>
        <v>188.0522</v>
      </c>
      <c r="R1805" s="22">
        <f>H1805*Assumptions!$B$3</f>
        <v>20.13</v>
      </c>
      <c r="S1805" s="22">
        <f t="shared" si="212"/>
        <v>95.127800000000008</v>
      </c>
      <c r="T1805" s="20" t="str">
        <f t="shared" si="213"/>
        <v>22+ days</v>
      </c>
    </row>
    <row r="1806" spans="1:20" x14ac:dyDescent="0.3">
      <c r="A1806" s="20" t="s">
        <v>1872</v>
      </c>
      <c r="B1806" s="20" t="s">
        <v>48</v>
      </c>
      <c r="C1806" s="21">
        <v>45867</v>
      </c>
      <c r="D1806" s="21">
        <v>45880</v>
      </c>
      <c r="E1806" s="21">
        <v>45885</v>
      </c>
      <c r="F1806" s="20" t="s">
        <v>111</v>
      </c>
      <c r="G1806" s="22">
        <v>344.74</v>
      </c>
      <c r="H1806" s="22">
        <v>30.11</v>
      </c>
      <c r="I1806" s="20" t="s">
        <v>45</v>
      </c>
      <c r="J1806" s="20">
        <v>5</v>
      </c>
      <c r="K1806" s="20" t="s">
        <v>46</v>
      </c>
      <c r="L1806" s="23">
        <f t="shared" si="207"/>
        <v>45839</v>
      </c>
      <c r="M1806" s="20">
        <f t="shared" si="208"/>
        <v>13</v>
      </c>
      <c r="N1806" s="20">
        <f t="shared" si="209"/>
        <v>0</v>
      </c>
      <c r="O1806" s="20">
        <f t="shared" si="210"/>
        <v>1</v>
      </c>
      <c r="P1806" s="22">
        <f t="shared" si="211"/>
        <v>374.85</v>
      </c>
      <c r="Q1806" s="22">
        <f>G1806*INDEX(Assumptions!$B$8:$B$16,MATCH(F1806,Assumptions!$A$8:$A$16,0))</f>
        <v>217.18620000000001</v>
      </c>
      <c r="R1806" s="22">
        <f>H1806*Assumptions!$B$3</f>
        <v>18.065999999999999</v>
      </c>
      <c r="S1806" s="22">
        <f t="shared" si="212"/>
        <v>109.48779999999999</v>
      </c>
      <c r="T1806" s="20" t="str">
        <f t="shared" si="213"/>
        <v>8-14 days</v>
      </c>
    </row>
    <row r="1807" spans="1:20" x14ac:dyDescent="0.3">
      <c r="A1807" s="20" t="s">
        <v>1873</v>
      </c>
      <c r="B1807" s="20" t="s">
        <v>62</v>
      </c>
      <c r="C1807" s="21">
        <v>45868</v>
      </c>
      <c r="D1807" s="21">
        <v>45884</v>
      </c>
      <c r="E1807" s="21">
        <v>45889</v>
      </c>
      <c r="F1807" s="20" t="s">
        <v>67</v>
      </c>
      <c r="G1807" s="22">
        <v>122.93</v>
      </c>
      <c r="H1807" s="22">
        <v>28.58</v>
      </c>
      <c r="I1807" s="20" t="s">
        <v>60</v>
      </c>
      <c r="J1807" s="20">
        <v>4</v>
      </c>
      <c r="K1807" s="20" t="s">
        <v>46</v>
      </c>
      <c r="L1807" s="23">
        <f t="shared" si="207"/>
        <v>45839</v>
      </c>
      <c r="M1807" s="20">
        <f t="shared" si="208"/>
        <v>16</v>
      </c>
      <c r="N1807" s="20">
        <f t="shared" si="209"/>
        <v>0</v>
      </c>
      <c r="O1807" s="20">
        <f t="shared" si="210"/>
        <v>1</v>
      </c>
      <c r="P1807" s="22">
        <f t="shared" si="211"/>
        <v>151.51</v>
      </c>
      <c r="Q1807" s="22">
        <f>G1807*INDEX(Assumptions!$B$8:$B$16,MATCH(F1807,Assumptions!$A$8:$A$16,0))</f>
        <v>76.2166</v>
      </c>
      <c r="R1807" s="22">
        <f>H1807*Assumptions!$B$3</f>
        <v>17.148</v>
      </c>
      <c r="S1807" s="22">
        <f t="shared" si="212"/>
        <v>29.565400000000007</v>
      </c>
      <c r="T1807" s="20" t="str">
        <f t="shared" si="213"/>
        <v>15-21 days</v>
      </c>
    </row>
    <row r="1808" spans="1:20" x14ac:dyDescent="0.3">
      <c r="A1808" s="20" t="s">
        <v>1874</v>
      </c>
      <c r="B1808" s="20" t="s">
        <v>19</v>
      </c>
      <c r="C1808" s="21">
        <v>45868</v>
      </c>
      <c r="D1808" s="21">
        <v>45874</v>
      </c>
      <c r="E1808" s="21">
        <v>45883</v>
      </c>
      <c r="F1808" s="20" t="s">
        <v>49</v>
      </c>
      <c r="G1808" s="22">
        <v>137.82</v>
      </c>
      <c r="H1808" s="22">
        <v>16.989999999999998</v>
      </c>
      <c r="I1808" s="20" t="s">
        <v>45</v>
      </c>
      <c r="J1808" s="20">
        <v>5</v>
      </c>
      <c r="K1808" s="20" t="s">
        <v>46</v>
      </c>
      <c r="L1808" s="23">
        <f t="shared" si="207"/>
        <v>45839</v>
      </c>
      <c r="M1808" s="20">
        <f t="shared" si="208"/>
        <v>6</v>
      </c>
      <c r="N1808" s="20">
        <f t="shared" si="209"/>
        <v>0</v>
      </c>
      <c r="O1808" s="20">
        <f t="shared" si="210"/>
        <v>1</v>
      </c>
      <c r="P1808" s="22">
        <f t="shared" si="211"/>
        <v>154.81</v>
      </c>
      <c r="Q1808" s="22">
        <f>G1808*INDEX(Assumptions!$B$8:$B$16,MATCH(F1808,Assumptions!$A$8:$A$16,0))</f>
        <v>79.935599999999994</v>
      </c>
      <c r="R1808" s="22">
        <f>H1808*Assumptions!$B$3</f>
        <v>10.193999999999999</v>
      </c>
      <c r="S1808" s="22">
        <f t="shared" si="212"/>
        <v>47.690399999999997</v>
      </c>
      <c r="T1808" s="20" t="str">
        <f t="shared" si="213"/>
        <v>0-7 days</v>
      </c>
    </row>
    <row r="1809" spans="1:20" x14ac:dyDescent="0.3">
      <c r="A1809" s="20" t="s">
        <v>1875</v>
      </c>
      <c r="B1809" s="20" t="s">
        <v>156</v>
      </c>
      <c r="C1809" s="21">
        <v>45868</v>
      </c>
      <c r="D1809" s="21">
        <v>45884</v>
      </c>
      <c r="E1809" s="21">
        <v>45889</v>
      </c>
      <c r="F1809" s="20" t="s">
        <v>53</v>
      </c>
      <c r="G1809" s="22">
        <v>146.69999999999999</v>
      </c>
      <c r="H1809" s="22">
        <v>26.26</v>
      </c>
      <c r="I1809" s="20" t="s">
        <v>45</v>
      </c>
      <c r="J1809" s="20">
        <v>5</v>
      </c>
      <c r="K1809" s="20" t="s">
        <v>46</v>
      </c>
      <c r="L1809" s="23">
        <f t="shared" si="207"/>
        <v>45839</v>
      </c>
      <c r="M1809" s="20">
        <f t="shared" si="208"/>
        <v>16</v>
      </c>
      <c r="N1809" s="20">
        <f t="shared" si="209"/>
        <v>0</v>
      </c>
      <c r="O1809" s="20">
        <f t="shared" si="210"/>
        <v>1</v>
      </c>
      <c r="P1809" s="22">
        <f t="shared" si="211"/>
        <v>172.95999999999998</v>
      </c>
      <c r="Q1809" s="22">
        <f>G1809*INDEX(Assumptions!$B$8:$B$16,MATCH(F1809,Assumptions!$A$8:$A$16,0))</f>
        <v>108.55799999999999</v>
      </c>
      <c r="R1809" s="22">
        <f>H1809*Assumptions!$B$3</f>
        <v>15.756</v>
      </c>
      <c r="S1809" s="22">
        <f t="shared" si="212"/>
        <v>22.385999999999996</v>
      </c>
      <c r="T1809" s="20" t="str">
        <f t="shared" si="213"/>
        <v>15-21 days</v>
      </c>
    </row>
    <row r="1810" spans="1:20" x14ac:dyDescent="0.3">
      <c r="A1810" s="20" t="s">
        <v>1876</v>
      </c>
      <c r="B1810" s="20" t="s">
        <v>55</v>
      </c>
      <c r="C1810" s="21">
        <v>45868</v>
      </c>
      <c r="D1810" s="21">
        <v>45879</v>
      </c>
      <c r="E1810" s="21">
        <v>45893</v>
      </c>
      <c r="F1810" s="20" t="s">
        <v>64</v>
      </c>
      <c r="G1810" s="22">
        <v>161.72</v>
      </c>
      <c r="H1810" s="22">
        <v>30.24</v>
      </c>
      <c r="I1810" s="20" t="s">
        <v>45</v>
      </c>
      <c r="J1810" s="20">
        <v>5</v>
      </c>
      <c r="K1810" s="20" t="s">
        <v>46</v>
      </c>
      <c r="L1810" s="23">
        <f t="shared" si="207"/>
        <v>45839</v>
      </c>
      <c r="M1810" s="20">
        <f t="shared" si="208"/>
        <v>11</v>
      </c>
      <c r="N1810" s="20">
        <f t="shared" si="209"/>
        <v>0</v>
      </c>
      <c r="O1810" s="20">
        <f t="shared" si="210"/>
        <v>1</v>
      </c>
      <c r="P1810" s="22">
        <f t="shared" si="211"/>
        <v>191.96</v>
      </c>
      <c r="Q1810" s="22">
        <f>G1810*INDEX(Assumptions!$B$8:$B$16,MATCH(F1810,Assumptions!$A$8:$A$16,0))</f>
        <v>106.73520000000001</v>
      </c>
      <c r="R1810" s="22">
        <f>H1810*Assumptions!$B$3</f>
        <v>18.143999999999998</v>
      </c>
      <c r="S1810" s="22">
        <f t="shared" si="212"/>
        <v>36.840799999999994</v>
      </c>
      <c r="T1810" s="20" t="str">
        <f t="shared" si="213"/>
        <v>8-14 days</v>
      </c>
    </row>
    <row r="1811" spans="1:20" x14ac:dyDescent="0.3">
      <c r="A1811" s="20" t="s">
        <v>1877</v>
      </c>
      <c r="B1811" s="20" t="s">
        <v>62</v>
      </c>
      <c r="C1811" s="21">
        <v>45868</v>
      </c>
      <c r="D1811" s="21">
        <v>45875</v>
      </c>
      <c r="E1811" s="21">
        <v>45883</v>
      </c>
      <c r="F1811" s="20" t="s">
        <v>64</v>
      </c>
      <c r="G1811" s="22">
        <v>111.98</v>
      </c>
      <c r="H1811" s="22">
        <v>25.46</v>
      </c>
      <c r="I1811" s="20" t="s">
        <v>45</v>
      </c>
      <c r="J1811" s="20">
        <v>5</v>
      </c>
      <c r="K1811" s="20" t="s">
        <v>46</v>
      </c>
      <c r="L1811" s="23">
        <f t="shared" si="207"/>
        <v>45839</v>
      </c>
      <c r="M1811" s="20">
        <f t="shared" si="208"/>
        <v>7</v>
      </c>
      <c r="N1811" s="20">
        <f t="shared" si="209"/>
        <v>0</v>
      </c>
      <c r="O1811" s="20">
        <f t="shared" si="210"/>
        <v>1</v>
      </c>
      <c r="P1811" s="22">
        <f t="shared" si="211"/>
        <v>137.44</v>
      </c>
      <c r="Q1811" s="22">
        <f>G1811*INDEX(Assumptions!$B$8:$B$16,MATCH(F1811,Assumptions!$A$8:$A$16,0))</f>
        <v>73.906800000000004</v>
      </c>
      <c r="R1811" s="22">
        <f>H1811*Assumptions!$B$3</f>
        <v>15.276</v>
      </c>
      <c r="S1811" s="22">
        <f t="shared" si="212"/>
        <v>22.7972</v>
      </c>
      <c r="T1811" s="20" t="str">
        <f t="shared" si="213"/>
        <v>0-7 days</v>
      </c>
    </row>
    <row r="1812" spans="1:20" x14ac:dyDescent="0.3">
      <c r="A1812" s="20" t="s">
        <v>1878</v>
      </c>
      <c r="B1812" s="20" t="s">
        <v>52</v>
      </c>
      <c r="C1812" s="21">
        <v>45869</v>
      </c>
      <c r="D1812" s="21">
        <v>45896</v>
      </c>
      <c r="E1812" s="21">
        <v>45892</v>
      </c>
      <c r="F1812" s="20" t="s">
        <v>53</v>
      </c>
      <c r="G1812" s="22">
        <v>281.75</v>
      </c>
      <c r="H1812" s="22">
        <v>22.38</v>
      </c>
      <c r="I1812" s="20" t="s">
        <v>60</v>
      </c>
      <c r="J1812" s="20">
        <v>4</v>
      </c>
      <c r="K1812" s="20" t="s">
        <v>46</v>
      </c>
      <c r="L1812" s="23">
        <f t="shared" si="207"/>
        <v>45839</v>
      </c>
      <c r="M1812" s="20">
        <f t="shared" si="208"/>
        <v>27</v>
      </c>
      <c r="N1812" s="20">
        <f t="shared" si="209"/>
        <v>4</v>
      </c>
      <c r="O1812" s="20">
        <f t="shared" si="210"/>
        <v>0</v>
      </c>
      <c r="P1812" s="22">
        <f t="shared" si="211"/>
        <v>304.13</v>
      </c>
      <c r="Q1812" s="22">
        <f>G1812*INDEX(Assumptions!$B$8:$B$16,MATCH(F1812,Assumptions!$A$8:$A$16,0))</f>
        <v>208.495</v>
      </c>
      <c r="R1812" s="22">
        <f>H1812*Assumptions!$B$3</f>
        <v>13.427999999999999</v>
      </c>
      <c r="S1812" s="22">
        <f t="shared" si="212"/>
        <v>59.826999999999998</v>
      </c>
      <c r="T1812" s="20" t="str">
        <f t="shared" si="213"/>
        <v>22+ days</v>
      </c>
    </row>
    <row r="1813" spans="1:20" x14ac:dyDescent="0.3">
      <c r="A1813" s="20" t="s">
        <v>1879</v>
      </c>
      <c r="B1813" s="20" t="s">
        <v>134</v>
      </c>
      <c r="C1813" s="21">
        <v>45869</v>
      </c>
      <c r="D1813" s="21">
        <v>45878</v>
      </c>
      <c r="E1813" s="21">
        <v>45894</v>
      </c>
      <c r="F1813" s="20" t="s">
        <v>67</v>
      </c>
      <c r="G1813" s="22">
        <v>39.770000000000003</v>
      </c>
      <c r="H1813" s="22">
        <v>16.72</v>
      </c>
      <c r="I1813" s="20" t="s">
        <v>45</v>
      </c>
      <c r="J1813" s="20">
        <v>5</v>
      </c>
      <c r="K1813" s="20" t="s">
        <v>46</v>
      </c>
      <c r="L1813" s="23">
        <f t="shared" si="207"/>
        <v>45839</v>
      </c>
      <c r="M1813" s="20">
        <f t="shared" si="208"/>
        <v>9</v>
      </c>
      <c r="N1813" s="20">
        <f t="shared" si="209"/>
        <v>0</v>
      </c>
      <c r="O1813" s="20">
        <f t="shared" si="210"/>
        <v>1</v>
      </c>
      <c r="P1813" s="22">
        <f t="shared" si="211"/>
        <v>56.49</v>
      </c>
      <c r="Q1813" s="22">
        <f>G1813*INDEX(Assumptions!$B$8:$B$16,MATCH(F1813,Assumptions!$A$8:$A$16,0))</f>
        <v>24.657400000000003</v>
      </c>
      <c r="R1813" s="22">
        <f>H1813*Assumptions!$B$3</f>
        <v>10.031999999999998</v>
      </c>
      <c r="S1813" s="22">
        <f t="shared" si="212"/>
        <v>5.0806000000000022</v>
      </c>
      <c r="T1813" s="20" t="str">
        <f t="shared" si="213"/>
        <v>8-14 days</v>
      </c>
    </row>
    <row r="1814" spans="1:20" x14ac:dyDescent="0.3">
      <c r="A1814" s="20" t="s">
        <v>1880</v>
      </c>
      <c r="B1814" s="20" t="s">
        <v>19</v>
      </c>
      <c r="C1814" s="21">
        <v>45870</v>
      </c>
      <c r="D1814" s="21">
        <v>45876</v>
      </c>
      <c r="E1814" s="21">
        <v>45885</v>
      </c>
      <c r="F1814" s="20" t="s">
        <v>111</v>
      </c>
      <c r="G1814" s="22">
        <v>101.36</v>
      </c>
      <c r="H1814" s="22">
        <v>15.04</v>
      </c>
      <c r="I1814" s="20" t="s">
        <v>45</v>
      </c>
      <c r="J1814" s="20">
        <v>3</v>
      </c>
      <c r="K1814" s="20" t="s">
        <v>46</v>
      </c>
      <c r="L1814" s="23">
        <f t="shared" si="207"/>
        <v>45870</v>
      </c>
      <c r="M1814" s="20">
        <f t="shared" si="208"/>
        <v>6</v>
      </c>
      <c r="N1814" s="20">
        <f t="shared" si="209"/>
        <v>0</v>
      </c>
      <c r="O1814" s="20">
        <f t="shared" si="210"/>
        <v>1</v>
      </c>
      <c r="P1814" s="22">
        <f t="shared" si="211"/>
        <v>116.4</v>
      </c>
      <c r="Q1814" s="22">
        <f>G1814*INDEX(Assumptions!$B$8:$B$16,MATCH(F1814,Assumptions!$A$8:$A$16,0))</f>
        <v>63.8568</v>
      </c>
      <c r="R1814" s="22">
        <f>H1814*Assumptions!$B$3</f>
        <v>9.0239999999999991</v>
      </c>
      <c r="S1814" s="22">
        <f t="shared" si="212"/>
        <v>28.479199999999999</v>
      </c>
      <c r="T1814" s="20" t="str">
        <f t="shared" si="213"/>
        <v>0-7 days</v>
      </c>
    </row>
    <row r="1815" spans="1:20" x14ac:dyDescent="0.3">
      <c r="A1815" s="20" t="s">
        <v>1881</v>
      </c>
      <c r="B1815" s="20" t="s">
        <v>55</v>
      </c>
      <c r="C1815" s="21">
        <v>45870</v>
      </c>
      <c r="D1815" s="21">
        <v>45887</v>
      </c>
      <c r="E1815" s="21">
        <v>45896</v>
      </c>
      <c r="F1815" s="20" t="s">
        <v>49</v>
      </c>
      <c r="G1815" s="22">
        <v>95.95</v>
      </c>
      <c r="H1815" s="22">
        <v>24.76</v>
      </c>
      <c r="I1815" s="20" t="s">
        <v>45</v>
      </c>
      <c r="J1815" s="20">
        <v>4</v>
      </c>
      <c r="K1815" s="20" t="s">
        <v>46</v>
      </c>
      <c r="L1815" s="23">
        <f t="shared" si="207"/>
        <v>45870</v>
      </c>
      <c r="M1815" s="20">
        <f t="shared" si="208"/>
        <v>17</v>
      </c>
      <c r="N1815" s="20">
        <f t="shared" si="209"/>
        <v>0</v>
      </c>
      <c r="O1815" s="20">
        <f t="shared" si="210"/>
        <v>1</v>
      </c>
      <c r="P1815" s="22">
        <f t="shared" si="211"/>
        <v>120.71000000000001</v>
      </c>
      <c r="Q1815" s="22">
        <f>G1815*INDEX(Assumptions!$B$8:$B$16,MATCH(F1815,Assumptions!$A$8:$A$16,0))</f>
        <v>55.650999999999996</v>
      </c>
      <c r="R1815" s="22">
        <f>H1815*Assumptions!$B$3</f>
        <v>14.856</v>
      </c>
      <c r="S1815" s="22">
        <f t="shared" si="212"/>
        <v>25.443000000000005</v>
      </c>
      <c r="T1815" s="20" t="str">
        <f t="shared" si="213"/>
        <v>15-21 days</v>
      </c>
    </row>
    <row r="1816" spans="1:20" x14ac:dyDescent="0.3">
      <c r="A1816" s="20" t="s">
        <v>1882</v>
      </c>
      <c r="B1816" s="20" t="s">
        <v>134</v>
      </c>
      <c r="C1816" s="21">
        <v>45870</v>
      </c>
      <c r="D1816" s="21">
        <v>45887</v>
      </c>
      <c r="E1816" s="21">
        <v>45891</v>
      </c>
      <c r="F1816" s="20" t="s">
        <v>67</v>
      </c>
      <c r="G1816" s="22">
        <v>219.44</v>
      </c>
      <c r="H1816" s="22">
        <v>19.63</v>
      </c>
      <c r="I1816" s="20" t="s">
        <v>45</v>
      </c>
      <c r="J1816" s="20">
        <v>3</v>
      </c>
      <c r="K1816" s="20" t="s">
        <v>46</v>
      </c>
      <c r="L1816" s="23">
        <f t="shared" si="207"/>
        <v>45870</v>
      </c>
      <c r="M1816" s="20">
        <f t="shared" si="208"/>
        <v>17</v>
      </c>
      <c r="N1816" s="20">
        <f t="shared" si="209"/>
        <v>0</v>
      </c>
      <c r="O1816" s="20">
        <f t="shared" si="210"/>
        <v>1</v>
      </c>
      <c r="P1816" s="22">
        <f t="shared" si="211"/>
        <v>239.07</v>
      </c>
      <c r="Q1816" s="22">
        <f>G1816*INDEX(Assumptions!$B$8:$B$16,MATCH(F1816,Assumptions!$A$8:$A$16,0))</f>
        <v>136.05279999999999</v>
      </c>
      <c r="R1816" s="22">
        <f>H1816*Assumptions!$B$3</f>
        <v>11.777999999999999</v>
      </c>
      <c r="S1816" s="22">
        <f t="shared" si="212"/>
        <v>71.609200000000016</v>
      </c>
      <c r="T1816" s="20" t="str">
        <f t="shared" si="213"/>
        <v>15-21 days</v>
      </c>
    </row>
    <row r="1817" spans="1:20" x14ac:dyDescent="0.3">
      <c r="A1817" s="20" t="s">
        <v>1883</v>
      </c>
      <c r="B1817" s="20" t="s">
        <v>19</v>
      </c>
      <c r="C1817" s="21">
        <v>45870</v>
      </c>
      <c r="D1817" s="21">
        <v>45880</v>
      </c>
      <c r="E1817" s="21">
        <v>45886</v>
      </c>
      <c r="F1817" s="20" t="s">
        <v>64</v>
      </c>
      <c r="G1817" s="22">
        <v>49.35</v>
      </c>
      <c r="H1817" s="22">
        <v>20.010000000000002</v>
      </c>
      <c r="I1817" s="20" t="s">
        <v>45</v>
      </c>
      <c r="J1817" s="20">
        <v>4</v>
      </c>
      <c r="K1817" s="20" t="s">
        <v>46</v>
      </c>
      <c r="L1817" s="23">
        <f t="shared" si="207"/>
        <v>45870</v>
      </c>
      <c r="M1817" s="20">
        <f t="shared" si="208"/>
        <v>10</v>
      </c>
      <c r="N1817" s="20">
        <f t="shared" si="209"/>
        <v>0</v>
      </c>
      <c r="O1817" s="20">
        <f t="shared" si="210"/>
        <v>1</v>
      </c>
      <c r="P1817" s="22">
        <f t="shared" si="211"/>
        <v>69.36</v>
      </c>
      <c r="Q1817" s="22">
        <f>G1817*INDEX(Assumptions!$B$8:$B$16,MATCH(F1817,Assumptions!$A$8:$A$16,0))</f>
        <v>32.571000000000005</v>
      </c>
      <c r="R1817" s="22">
        <f>H1817*Assumptions!$B$3</f>
        <v>12.006</v>
      </c>
      <c r="S1817" s="22">
        <f t="shared" si="212"/>
        <v>4.7729999999999961</v>
      </c>
      <c r="T1817" s="20" t="str">
        <f t="shared" si="213"/>
        <v>8-14 days</v>
      </c>
    </row>
    <row r="1818" spans="1:20" x14ac:dyDescent="0.3">
      <c r="A1818" s="20" t="s">
        <v>1884</v>
      </c>
      <c r="B1818" s="20" t="s">
        <v>62</v>
      </c>
      <c r="C1818" s="21">
        <v>45870</v>
      </c>
      <c r="D1818" s="21">
        <v>45878</v>
      </c>
      <c r="E1818" s="21">
        <v>45891</v>
      </c>
      <c r="F1818" s="20" t="s">
        <v>49</v>
      </c>
      <c r="G1818" s="22">
        <v>61.28</v>
      </c>
      <c r="H1818" s="22">
        <v>22.87</v>
      </c>
      <c r="I1818" s="20" t="s">
        <v>45</v>
      </c>
      <c r="J1818" s="20">
        <v>4</v>
      </c>
      <c r="K1818" s="20" t="s">
        <v>46</v>
      </c>
      <c r="L1818" s="23">
        <f t="shared" si="207"/>
        <v>45870</v>
      </c>
      <c r="M1818" s="20">
        <f t="shared" si="208"/>
        <v>8</v>
      </c>
      <c r="N1818" s="20">
        <f t="shared" si="209"/>
        <v>0</v>
      </c>
      <c r="O1818" s="20">
        <f t="shared" si="210"/>
        <v>1</v>
      </c>
      <c r="P1818" s="22">
        <f t="shared" si="211"/>
        <v>84.15</v>
      </c>
      <c r="Q1818" s="22">
        <f>G1818*INDEX(Assumptions!$B$8:$B$16,MATCH(F1818,Assumptions!$A$8:$A$16,0))</f>
        <v>35.542400000000001</v>
      </c>
      <c r="R1818" s="22">
        <f>H1818*Assumptions!$B$3</f>
        <v>13.722</v>
      </c>
      <c r="S1818" s="22">
        <f t="shared" si="212"/>
        <v>12.015600000000001</v>
      </c>
      <c r="T1818" s="20" t="str">
        <f t="shared" si="213"/>
        <v>8-14 days</v>
      </c>
    </row>
    <row r="1819" spans="1:20" x14ac:dyDescent="0.3">
      <c r="A1819" s="20" t="s">
        <v>1885</v>
      </c>
      <c r="B1819" s="20" t="s">
        <v>55</v>
      </c>
      <c r="C1819" s="21">
        <v>45870</v>
      </c>
      <c r="D1819" s="21">
        <v>45888</v>
      </c>
      <c r="E1819" s="21">
        <v>45891</v>
      </c>
      <c r="F1819" s="20" t="s">
        <v>111</v>
      </c>
      <c r="G1819" s="22">
        <v>27.06</v>
      </c>
      <c r="H1819" s="22">
        <v>25.78</v>
      </c>
      <c r="I1819" s="20" t="s">
        <v>45</v>
      </c>
      <c r="J1819" s="20">
        <v>5</v>
      </c>
      <c r="K1819" s="20" t="s">
        <v>46</v>
      </c>
      <c r="L1819" s="23">
        <f t="shared" si="207"/>
        <v>45870</v>
      </c>
      <c r="M1819" s="20">
        <f t="shared" si="208"/>
        <v>18</v>
      </c>
      <c r="N1819" s="20">
        <f t="shared" si="209"/>
        <v>0</v>
      </c>
      <c r="O1819" s="20">
        <f t="shared" si="210"/>
        <v>1</v>
      </c>
      <c r="P1819" s="22">
        <f t="shared" si="211"/>
        <v>52.84</v>
      </c>
      <c r="Q1819" s="22">
        <f>G1819*INDEX(Assumptions!$B$8:$B$16,MATCH(F1819,Assumptions!$A$8:$A$16,0))</f>
        <v>17.047799999999999</v>
      </c>
      <c r="R1819" s="22">
        <f>H1819*Assumptions!$B$3</f>
        <v>15.468</v>
      </c>
      <c r="S1819" s="22">
        <f t="shared" si="212"/>
        <v>-5.4558</v>
      </c>
      <c r="T1819" s="20" t="str">
        <f t="shared" si="213"/>
        <v>15-21 days</v>
      </c>
    </row>
    <row r="1820" spans="1:20" x14ac:dyDescent="0.3">
      <c r="A1820" s="20" t="s">
        <v>1886</v>
      </c>
      <c r="B1820" s="20" t="s">
        <v>201</v>
      </c>
      <c r="C1820" s="21">
        <v>45870</v>
      </c>
      <c r="D1820" s="21">
        <v>45893</v>
      </c>
      <c r="E1820" s="21">
        <v>45901</v>
      </c>
      <c r="F1820" s="20" t="s">
        <v>49</v>
      </c>
      <c r="G1820" s="22">
        <v>41.08</v>
      </c>
      <c r="H1820" s="22">
        <v>44.34</v>
      </c>
      <c r="I1820" s="20" t="s">
        <v>45</v>
      </c>
      <c r="J1820" s="20">
        <v>4</v>
      </c>
      <c r="K1820" s="20" t="s">
        <v>46</v>
      </c>
      <c r="L1820" s="23">
        <f t="shared" si="207"/>
        <v>45870</v>
      </c>
      <c r="M1820" s="20">
        <f t="shared" si="208"/>
        <v>23</v>
      </c>
      <c r="N1820" s="20">
        <f t="shared" si="209"/>
        <v>0</v>
      </c>
      <c r="O1820" s="20">
        <f t="shared" si="210"/>
        <v>1</v>
      </c>
      <c r="P1820" s="22">
        <f t="shared" si="211"/>
        <v>85.42</v>
      </c>
      <c r="Q1820" s="22">
        <f>G1820*INDEX(Assumptions!$B$8:$B$16,MATCH(F1820,Assumptions!$A$8:$A$16,0))</f>
        <v>23.826399999999996</v>
      </c>
      <c r="R1820" s="22">
        <f>H1820*Assumptions!$B$3</f>
        <v>26.604000000000003</v>
      </c>
      <c r="S1820" s="22">
        <f t="shared" si="212"/>
        <v>-9.3504000000000005</v>
      </c>
      <c r="T1820" s="20" t="str">
        <f t="shared" si="213"/>
        <v>22+ days</v>
      </c>
    </row>
    <row r="1821" spans="1:20" x14ac:dyDescent="0.3">
      <c r="A1821" s="20" t="s">
        <v>1887</v>
      </c>
      <c r="B1821" s="20" t="s">
        <v>62</v>
      </c>
      <c r="C1821" s="21">
        <v>45870</v>
      </c>
      <c r="D1821" s="21">
        <v>45880</v>
      </c>
      <c r="E1821" s="21">
        <v>45888</v>
      </c>
      <c r="F1821" s="20" t="s">
        <v>79</v>
      </c>
      <c r="G1821" s="22">
        <v>61.7</v>
      </c>
      <c r="H1821" s="22">
        <v>20.86</v>
      </c>
      <c r="I1821" s="20" t="s">
        <v>45</v>
      </c>
      <c r="J1821" s="20">
        <v>4</v>
      </c>
      <c r="K1821" s="20" t="s">
        <v>46</v>
      </c>
      <c r="L1821" s="23">
        <f t="shared" si="207"/>
        <v>45870</v>
      </c>
      <c r="M1821" s="20">
        <f t="shared" si="208"/>
        <v>10</v>
      </c>
      <c r="N1821" s="20">
        <f t="shared" si="209"/>
        <v>0</v>
      </c>
      <c r="O1821" s="20">
        <f t="shared" si="210"/>
        <v>1</v>
      </c>
      <c r="P1821" s="22">
        <f t="shared" si="211"/>
        <v>82.56</v>
      </c>
      <c r="Q1821" s="22">
        <f>G1821*INDEX(Assumptions!$B$8:$B$16,MATCH(F1821,Assumptions!$A$8:$A$16,0))</f>
        <v>43.19</v>
      </c>
      <c r="R1821" s="22">
        <f>H1821*Assumptions!$B$3</f>
        <v>12.516</v>
      </c>
      <c r="S1821" s="22">
        <f t="shared" si="212"/>
        <v>5.9940000000000051</v>
      </c>
      <c r="T1821" s="20" t="str">
        <f t="shared" si="213"/>
        <v>8-14 days</v>
      </c>
    </row>
    <row r="1822" spans="1:20" x14ac:dyDescent="0.3">
      <c r="A1822" s="20" t="s">
        <v>1888</v>
      </c>
      <c r="B1822" s="20" t="s">
        <v>62</v>
      </c>
      <c r="C1822" s="21">
        <v>45870</v>
      </c>
      <c r="D1822" s="21">
        <v>45883</v>
      </c>
      <c r="E1822" s="21">
        <v>45889</v>
      </c>
      <c r="F1822" s="20" t="s">
        <v>64</v>
      </c>
      <c r="G1822" s="22">
        <v>169.36</v>
      </c>
      <c r="H1822" s="22">
        <v>22.2</v>
      </c>
      <c r="I1822" s="20" t="s">
        <v>45</v>
      </c>
      <c r="J1822" s="20">
        <v>5</v>
      </c>
      <c r="K1822" s="20" t="s">
        <v>46</v>
      </c>
      <c r="L1822" s="23">
        <f t="shared" si="207"/>
        <v>45870</v>
      </c>
      <c r="M1822" s="20">
        <f t="shared" si="208"/>
        <v>13</v>
      </c>
      <c r="N1822" s="20">
        <f t="shared" si="209"/>
        <v>0</v>
      </c>
      <c r="O1822" s="20">
        <f t="shared" si="210"/>
        <v>1</v>
      </c>
      <c r="P1822" s="22">
        <f t="shared" si="211"/>
        <v>191.56</v>
      </c>
      <c r="Q1822" s="22">
        <f>G1822*INDEX(Assumptions!$B$8:$B$16,MATCH(F1822,Assumptions!$A$8:$A$16,0))</f>
        <v>111.77760000000002</v>
      </c>
      <c r="R1822" s="22">
        <f>H1822*Assumptions!$B$3</f>
        <v>13.319999999999999</v>
      </c>
      <c r="S1822" s="22">
        <f t="shared" si="212"/>
        <v>44.262399999999992</v>
      </c>
      <c r="T1822" s="20" t="str">
        <f t="shared" si="213"/>
        <v>8-14 days</v>
      </c>
    </row>
    <row r="1823" spans="1:20" x14ac:dyDescent="0.3">
      <c r="A1823" s="20" t="s">
        <v>1889</v>
      </c>
      <c r="B1823" s="20" t="s">
        <v>134</v>
      </c>
      <c r="C1823" s="21">
        <v>45870</v>
      </c>
      <c r="D1823" s="21">
        <v>45883</v>
      </c>
      <c r="E1823" s="21">
        <v>45895</v>
      </c>
      <c r="F1823" s="20" t="s">
        <v>67</v>
      </c>
      <c r="G1823" s="22">
        <v>90.35</v>
      </c>
      <c r="H1823" s="22">
        <v>18.57</v>
      </c>
      <c r="I1823" s="20" t="s">
        <v>45</v>
      </c>
      <c r="J1823" s="20">
        <v>5</v>
      </c>
      <c r="K1823" s="20" t="s">
        <v>46</v>
      </c>
      <c r="L1823" s="23">
        <f t="shared" si="207"/>
        <v>45870</v>
      </c>
      <c r="M1823" s="20">
        <f t="shared" si="208"/>
        <v>13</v>
      </c>
      <c r="N1823" s="20">
        <f t="shared" si="209"/>
        <v>0</v>
      </c>
      <c r="O1823" s="20">
        <f t="shared" si="210"/>
        <v>1</v>
      </c>
      <c r="P1823" s="22">
        <f t="shared" si="211"/>
        <v>108.91999999999999</v>
      </c>
      <c r="Q1823" s="22">
        <f>G1823*INDEX(Assumptions!$B$8:$B$16,MATCH(F1823,Assumptions!$A$8:$A$16,0))</f>
        <v>56.016999999999996</v>
      </c>
      <c r="R1823" s="22">
        <f>H1823*Assumptions!$B$3</f>
        <v>11.141999999999999</v>
      </c>
      <c r="S1823" s="22">
        <f t="shared" si="212"/>
        <v>23.190999999999999</v>
      </c>
      <c r="T1823" s="20" t="str">
        <f t="shared" si="213"/>
        <v>8-14 days</v>
      </c>
    </row>
    <row r="1824" spans="1:20" x14ac:dyDescent="0.3">
      <c r="A1824" s="20" t="s">
        <v>1890</v>
      </c>
      <c r="B1824" s="20" t="s">
        <v>19</v>
      </c>
      <c r="C1824" s="21">
        <v>45871</v>
      </c>
      <c r="D1824" s="21">
        <v>45877</v>
      </c>
      <c r="E1824" s="21">
        <v>45887</v>
      </c>
      <c r="F1824" s="20" t="s">
        <v>49</v>
      </c>
      <c r="G1824" s="22">
        <v>48.12</v>
      </c>
      <c r="H1824" s="22">
        <v>17.489999999999998</v>
      </c>
      <c r="I1824" s="20" t="s">
        <v>50</v>
      </c>
      <c r="J1824" s="20">
        <v>5</v>
      </c>
      <c r="K1824" s="20" t="s">
        <v>46</v>
      </c>
      <c r="L1824" s="23">
        <f t="shared" si="207"/>
        <v>45870</v>
      </c>
      <c r="M1824" s="20">
        <f t="shared" si="208"/>
        <v>6</v>
      </c>
      <c r="N1824" s="20">
        <f t="shared" si="209"/>
        <v>0</v>
      </c>
      <c r="O1824" s="20">
        <f t="shared" si="210"/>
        <v>1</v>
      </c>
      <c r="P1824" s="22">
        <f t="shared" si="211"/>
        <v>65.61</v>
      </c>
      <c r="Q1824" s="22">
        <f>G1824*INDEX(Assumptions!$B$8:$B$16,MATCH(F1824,Assumptions!$A$8:$A$16,0))</f>
        <v>27.909599999999998</v>
      </c>
      <c r="R1824" s="22">
        <f>H1824*Assumptions!$B$3</f>
        <v>10.493999999999998</v>
      </c>
      <c r="S1824" s="22">
        <f t="shared" si="212"/>
        <v>9.7164000000000019</v>
      </c>
      <c r="T1824" s="20" t="str">
        <f t="shared" si="213"/>
        <v>0-7 days</v>
      </c>
    </row>
    <row r="1825" spans="1:20" x14ac:dyDescent="0.3">
      <c r="A1825" s="20" t="s">
        <v>1891</v>
      </c>
      <c r="B1825" s="20" t="s">
        <v>19</v>
      </c>
      <c r="C1825" s="21">
        <v>45871</v>
      </c>
      <c r="D1825" s="21">
        <v>45877</v>
      </c>
      <c r="E1825" s="21">
        <v>45885</v>
      </c>
      <c r="F1825" s="20" t="s">
        <v>53</v>
      </c>
      <c r="G1825" s="22">
        <v>626.72</v>
      </c>
      <c r="H1825" s="22">
        <v>30.9</v>
      </c>
      <c r="I1825" s="20" t="s">
        <v>60</v>
      </c>
      <c r="J1825" s="20">
        <v>4</v>
      </c>
      <c r="K1825" s="20" t="s">
        <v>46</v>
      </c>
      <c r="L1825" s="23">
        <f t="shared" si="207"/>
        <v>45870</v>
      </c>
      <c r="M1825" s="20">
        <f t="shared" si="208"/>
        <v>6</v>
      </c>
      <c r="N1825" s="20">
        <f t="shared" si="209"/>
        <v>0</v>
      </c>
      <c r="O1825" s="20">
        <f t="shared" si="210"/>
        <v>1</v>
      </c>
      <c r="P1825" s="22">
        <f t="shared" si="211"/>
        <v>657.62</v>
      </c>
      <c r="Q1825" s="22">
        <f>G1825*INDEX(Assumptions!$B$8:$B$16,MATCH(F1825,Assumptions!$A$8:$A$16,0))</f>
        <v>463.77280000000002</v>
      </c>
      <c r="R1825" s="22">
        <f>H1825*Assumptions!$B$3</f>
        <v>18.54</v>
      </c>
      <c r="S1825" s="22">
        <f t="shared" si="212"/>
        <v>144.40720000000002</v>
      </c>
      <c r="T1825" s="20" t="str">
        <f t="shared" si="213"/>
        <v>0-7 days</v>
      </c>
    </row>
    <row r="1826" spans="1:20" x14ac:dyDescent="0.3">
      <c r="A1826" s="20" t="s">
        <v>1892</v>
      </c>
      <c r="B1826" s="20" t="s">
        <v>62</v>
      </c>
      <c r="C1826" s="21">
        <v>45871</v>
      </c>
      <c r="D1826" s="21">
        <v>45888</v>
      </c>
      <c r="E1826" s="21">
        <v>45893</v>
      </c>
      <c r="F1826" s="20" t="s">
        <v>67</v>
      </c>
      <c r="G1826" s="22">
        <v>72.45</v>
      </c>
      <c r="H1826" s="22">
        <v>22.69</v>
      </c>
      <c r="I1826" s="20" t="s">
        <v>45</v>
      </c>
      <c r="J1826" s="20">
        <v>4</v>
      </c>
      <c r="K1826" s="20" t="s">
        <v>46</v>
      </c>
      <c r="L1826" s="23">
        <f t="shared" si="207"/>
        <v>45870</v>
      </c>
      <c r="M1826" s="20">
        <f t="shared" si="208"/>
        <v>17</v>
      </c>
      <c r="N1826" s="20">
        <f t="shared" si="209"/>
        <v>0</v>
      </c>
      <c r="O1826" s="20">
        <f t="shared" si="210"/>
        <v>1</v>
      </c>
      <c r="P1826" s="22">
        <f t="shared" si="211"/>
        <v>95.14</v>
      </c>
      <c r="Q1826" s="22">
        <f>G1826*INDEX(Assumptions!$B$8:$B$16,MATCH(F1826,Assumptions!$A$8:$A$16,0))</f>
        <v>44.919000000000004</v>
      </c>
      <c r="R1826" s="22">
        <f>H1826*Assumptions!$B$3</f>
        <v>13.614000000000001</v>
      </c>
      <c r="S1826" s="22">
        <f t="shared" si="212"/>
        <v>13.916999999999998</v>
      </c>
      <c r="T1826" s="20" t="str">
        <f t="shared" si="213"/>
        <v>15-21 days</v>
      </c>
    </row>
    <row r="1827" spans="1:20" x14ac:dyDescent="0.3">
      <c r="A1827" s="20" t="s">
        <v>1893</v>
      </c>
      <c r="B1827" s="20" t="s">
        <v>174</v>
      </c>
      <c r="C1827" s="21">
        <v>45871</v>
      </c>
      <c r="D1827" s="21">
        <v>45884</v>
      </c>
      <c r="E1827" s="21">
        <v>45906</v>
      </c>
      <c r="F1827" s="20" t="s">
        <v>49</v>
      </c>
      <c r="G1827" s="22">
        <v>60.71</v>
      </c>
      <c r="H1827" s="22">
        <v>29.13</v>
      </c>
      <c r="I1827" s="20" t="s">
        <v>60</v>
      </c>
      <c r="J1827" s="20">
        <v>4</v>
      </c>
      <c r="K1827" s="20" t="s">
        <v>46</v>
      </c>
      <c r="L1827" s="23">
        <f t="shared" si="207"/>
        <v>45870</v>
      </c>
      <c r="M1827" s="20">
        <f t="shared" si="208"/>
        <v>13</v>
      </c>
      <c r="N1827" s="20">
        <f t="shared" si="209"/>
        <v>0</v>
      </c>
      <c r="O1827" s="20">
        <f t="shared" si="210"/>
        <v>1</v>
      </c>
      <c r="P1827" s="22">
        <f t="shared" si="211"/>
        <v>89.84</v>
      </c>
      <c r="Q1827" s="22">
        <f>G1827*INDEX(Assumptions!$B$8:$B$16,MATCH(F1827,Assumptions!$A$8:$A$16,0))</f>
        <v>35.211799999999997</v>
      </c>
      <c r="R1827" s="22">
        <f>H1827*Assumptions!$B$3</f>
        <v>17.477999999999998</v>
      </c>
      <c r="S1827" s="22">
        <f t="shared" si="212"/>
        <v>8.0202000000000062</v>
      </c>
      <c r="T1827" s="20" t="str">
        <f t="shared" si="213"/>
        <v>8-14 days</v>
      </c>
    </row>
    <row r="1828" spans="1:20" x14ac:dyDescent="0.3">
      <c r="A1828" s="20" t="s">
        <v>1894</v>
      </c>
      <c r="B1828" s="20" t="s">
        <v>19</v>
      </c>
      <c r="C1828" s="21">
        <v>45871</v>
      </c>
      <c r="D1828" s="21">
        <v>45878</v>
      </c>
      <c r="E1828" s="21">
        <v>45887</v>
      </c>
      <c r="F1828" s="20" t="s">
        <v>49</v>
      </c>
      <c r="G1828" s="22">
        <v>68.22</v>
      </c>
      <c r="H1828" s="22">
        <v>12.92</v>
      </c>
      <c r="I1828" s="20" t="s">
        <v>45</v>
      </c>
      <c r="J1828" s="20">
        <v>4</v>
      </c>
      <c r="K1828" s="20" t="s">
        <v>46</v>
      </c>
      <c r="L1828" s="23">
        <f t="shared" si="207"/>
        <v>45870</v>
      </c>
      <c r="M1828" s="20">
        <f t="shared" si="208"/>
        <v>7</v>
      </c>
      <c r="N1828" s="20">
        <f t="shared" si="209"/>
        <v>0</v>
      </c>
      <c r="O1828" s="20">
        <f t="shared" si="210"/>
        <v>1</v>
      </c>
      <c r="P1828" s="22">
        <f t="shared" si="211"/>
        <v>81.14</v>
      </c>
      <c r="Q1828" s="22">
        <f>G1828*INDEX(Assumptions!$B$8:$B$16,MATCH(F1828,Assumptions!$A$8:$A$16,0))</f>
        <v>39.567599999999999</v>
      </c>
      <c r="R1828" s="22">
        <f>H1828*Assumptions!$B$3</f>
        <v>7.7519999999999998</v>
      </c>
      <c r="S1828" s="22">
        <f t="shared" si="212"/>
        <v>20.900400000000001</v>
      </c>
      <c r="T1828" s="20" t="str">
        <f t="shared" si="213"/>
        <v>0-7 days</v>
      </c>
    </row>
    <row r="1829" spans="1:20" x14ac:dyDescent="0.3">
      <c r="A1829" s="20" t="s">
        <v>1895</v>
      </c>
      <c r="B1829" s="20" t="s">
        <v>19</v>
      </c>
      <c r="C1829" s="21">
        <v>45871</v>
      </c>
      <c r="D1829" s="21">
        <v>45878</v>
      </c>
      <c r="E1829" s="21">
        <v>45885</v>
      </c>
      <c r="F1829" s="20" t="s">
        <v>49</v>
      </c>
      <c r="G1829" s="22">
        <v>65.62</v>
      </c>
      <c r="H1829" s="22">
        <v>12.64</v>
      </c>
      <c r="I1829" s="20" t="s">
        <v>45</v>
      </c>
      <c r="J1829" s="20">
        <v>4</v>
      </c>
      <c r="K1829" s="20" t="s">
        <v>46</v>
      </c>
      <c r="L1829" s="23">
        <f t="shared" si="207"/>
        <v>45870</v>
      </c>
      <c r="M1829" s="20">
        <f t="shared" si="208"/>
        <v>7</v>
      </c>
      <c r="N1829" s="20">
        <f t="shared" si="209"/>
        <v>0</v>
      </c>
      <c r="O1829" s="20">
        <f t="shared" si="210"/>
        <v>1</v>
      </c>
      <c r="P1829" s="22">
        <f t="shared" si="211"/>
        <v>78.260000000000005</v>
      </c>
      <c r="Q1829" s="22">
        <f>G1829*INDEX(Assumptions!$B$8:$B$16,MATCH(F1829,Assumptions!$A$8:$A$16,0))</f>
        <v>38.059600000000003</v>
      </c>
      <c r="R1829" s="22">
        <f>H1829*Assumptions!$B$3</f>
        <v>7.5839999999999996</v>
      </c>
      <c r="S1829" s="22">
        <f t="shared" si="212"/>
        <v>19.976400000000002</v>
      </c>
      <c r="T1829" s="20" t="str">
        <f t="shared" si="213"/>
        <v>0-7 days</v>
      </c>
    </row>
    <row r="1830" spans="1:20" x14ac:dyDescent="0.3">
      <c r="A1830" s="20" t="s">
        <v>1896</v>
      </c>
      <c r="B1830" s="20" t="s">
        <v>55</v>
      </c>
      <c r="C1830" s="21">
        <v>45871</v>
      </c>
      <c r="D1830" s="21">
        <v>45879</v>
      </c>
      <c r="E1830" s="21">
        <v>45895</v>
      </c>
      <c r="F1830" s="20" t="s">
        <v>53</v>
      </c>
      <c r="G1830" s="22">
        <v>110.69</v>
      </c>
      <c r="H1830" s="22">
        <v>17.95</v>
      </c>
      <c r="I1830" s="20" t="s">
        <v>60</v>
      </c>
      <c r="J1830" s="20">
        <v>5</v>
      </c>
      <c r="K1830" s="20" t="s">
        <v>46</v>
      </c>
      <c r="L1830" s="23">
        <f t="shared" si="207"/>
        <v>45870</v>
      </c>
      <c r="M1830" s="20">
        <f t="shared" si="208"/>
        <v>8</v>
      </c>
      <c r="N1830" s="20">
        <f t="shared" si="209"/>
        <v>0</v>
      </c>
      <c r="O1830" s="20">
        <f t="shared" si="210"/>
        <v>1</v>
      </c>
      <c r="P1830" s="22">
        <f t="shared" si="211"/>
        <v>128.63999999999999</v>
      </c>
      <c r="Q1830" s="22">
        <f>G1830*INDEX(Assumptions!$B$8:$B$16,MATCH(F1830,Assumptions!$A$8:$A$16,0))</f>
        <v>81.910600000000002</v>
      </c>
      <c r="R1830" s="22">
        <f>H1830*Assumptions!$B$3</f>
        <v>10.77</v>
      </c>
      <c r="S1830" s="22">
        <f t="shared" si="212"/>
        <v>18.009399999999996</v>
      </c>
      <c r="T1830" s="20" t="str">
        <f t="shared" si="213"/>
        <v>8-14 days</v>
      </c>
    </row>
    <row r="1831" spans="1:20" x14ac:dyDescent="0.3">
      <c r="A1831" s="20" t="s">
        <v>1897</v>
      </c>
      <c r="B1831" s="20" t="s">
        <v>62</v>
      </c>
      <c r="C1831" s="21">
        <v>45871</v>
      </c>
      <c r="D1831" s="21">
        <v>45875</v>
      </c>
      <c r="E1831" s="21">
        <v>45892</v>
      </c>
      <c r="F1831" s="20" t="s">
        <v>57</v>
      </c>
      <c r="G1831" s="22">
        <v>105.65</v>
      </c>
      <c r="H1831" s="22">
        <v>26.91</v>
      </c>
      <c r="I1831" s="20" t="s">
        <v>45</v>
      </c>
      <c r="J1831" s="20">
        <v>2</v>
      </c>
      <c r="K1831" s="20" t="s">
        <v>46</v>
      </c>
      <c r="L1831" s="23">
        <f t="shared" si="207"/>
        <v>45870</v>
      </c>
      <c r="M1831" s="20">
        <f t="shared" si="208"/>
        <v>4</v>
      </c>
      <c r="N1831" s="20">
        <f t="shared" si="209"/>
        <v>0</v>
      </c>
      <c r="O1831" s="20">
        <f t="shared" si="210"/>
        <v>1</v>
      </c>
      <c r="P1831" s="22">
        <f t="shared" si="211"/>
        <v>132.56</v>
      </c>
      <c r="Q1831" s="22">
        <f>G1831*INDEX(Assumptions!$B$8:$B$16,MATCH(F1831,Assumptions!$A$8:$A$16,0))</f>
        <v>71.842000000000013</v>
      </c>
      <c r="R1831" s="22">
        <f>H1831*Assumptions!$B$3</f>
        <v>16.146000000000001</v>
      </c>
      <c r="S1831" s="22">
        <f t="shared" si="212"/>
        <v>17.661999999999992</v>
      </c>
      <c r="T1831" s="20" t="str">
        <f t="shared" si="213"/>
        <v>0-7 days</v>
      </c>
    </row>
    <row r="1832" spans="1:20" x14ac:dyDescent="0.3">
      <c r="A1832" s="20" t="s">
        <v>1898</v>
      </c>
      <c r="B1832" s="20" t="s">
        <v>19</v>
      </c>
      <c r="C1832" s="21">
        <v>45872</v>
      </c>
      <c r="D1832" s="21">
        <v>45875</v>
      </c>
      <c r="E1832" s="21">
        <v>45885</v>
      </c>
      <c r="F1832" s="20" t="s">
        <v>67</v>
      </c>
      <c r="G1832" s="22">
        <v>80.64</v>
      </c>
      <c r="H1832" s="22">
        <v>14.85</v>
      </c>
      <c r="I1832" s="20" t="s">
        <v>45</v>
      </c>
      <c r="J1832" s="20">
        <v>4</v>
      </c>
      <c r="K1832" s="20" t="s">
        <v>46</v>
      </c>
      <c r="L1832" s="23">
        <f t="shared" si="207"/>
        <v>45870</v>
      </c>
      <c r="M1832" s="20">
        <f t="shared" si="208"/>
        <v>3</v>
      </c>
      <c r="N1832" s="20">
        <f t="shared" si="209"/>
        <v>0</v>
      </c>
      <c r="O1832" s="20">
        <f t="shared" si="210"/>
        <v>1</v>
      </c>
      <c r="P1832" s="22">
        <f t="shared" si="211"/>
        <v>95.49</v>
      </c>
      <c r="Q1832" s="22">
        <f>G1832*INDEX(Assumptions!$B$8:$B$16,MATCH(F1832,Assumptions!$A$8:$A$16,0))</f>
        <v>49.9968</v>
      </c>
      <c r="R1832" s="22">
        <f>H1832*Assumptions!$B$3</f>
        <v>8.91</v>
      </c>
      <c r="S1832" s="22">
        <f t="shared" si="212"/>
        <v>21.7332</v>
      </c>
      <c r="T1832" s="20" t="str">
        <f t="shared" si="213"/>
        <v>0-7 days</v>
      </c>
    </row>
    <row r="1833" spans="1:20" x14ac:dyDescent="0.3">
      <c r="A1833" s="20" t="s">
        <v>1899</v>
      </c>
      <c r="B1833" s="20" t="s">
        <v>19</v>
      </c>
      <c r="C1833" s="21">
        <v>45872</v>
      </c>
      <c r="D1833" s="21">
        <v>45879</v>
      </c>
      <c r="E1833" s="21">
        <v>45887</v>
      </c>
      <c r="F1833" s="20" t="s">
        <v>67</v>
      </c>
      <c r="G1833" s="22">
        <v>196.95</v>
      </c>
      <c r="H1833" s="22">
        <v>21.47</v>
      </c>
      <c r="I1833" s="20" t="s">
        <v>50</v>
      </c>
      <c r="J1833" s="20">
        <v>5</v>
      </c>
      <c r="K1833" s="20" t="s">
        <v>46</v>
      </c>
      <c r="L1833" s="23">
        <f t="shared" si="207"/>
        <v>45870</v>
      </c>
      <c r="M1833" s="20">
        <f t="shared" si="208"/>
        <v>7</v>
      </c>
      <c r="N1833" s="20">
        <f t="shared" si="209"/>
        <v>0</v>
      </c>
      <c r="O1833" s="20">
        <f t="shared" si="210"/>
        <v>1</v>
      </c>
      <c r="P1833" s="22">
        <f t="shared" si="211"/>
        <v>218.42</v>
      </c>
      <c r="Q1833" s="22">
        <f>G1833*INDEX(Assumptions!$B$8:$B$16,MATCH(F1833,Assumptions!$A$8:$A$16,0))</f>
        <v>122.10899999999999</v>
      </c>
      <c r="R1833" s="22">
        <f>H1833*Assumptions!$B$3</f>
        <v>12.882</v>
      </c>
      <c r="S1833" s="22">
        <f t="shared" si="212"/>
        <v>61.958999999999996</v>
      </c>
      <c r="T1833" s="20" t="str">
        <f t="shared" si="213"/>
        <v>0-7 days</v>
      </c>
    </row>
    <row r="1834" spans="1:20" x14ac:dyDescent="0.3">
      <c r="A1834" s="20" t="s">
        <v>1900</v>
      </c>
      <c r="B1834" s="20" t="s">
        <v>19</v>
      </c>
      <c r="C1834" s="21">
        <v>45872</v>
      </c>
      <c r="D1834" s="21">
        <v>45881</v>
      </c>
      <c r="E1834" s="21">
        <v>45886</v>
      </c>
      <c r="F1834" s="20" t="s">
        <v>53</v>
      </c>
      <c r="G1834" s="22">
        <v>67.23</v>
      </c>
      <c r="H1834" s="22">
        <v>20.78</v>
      </c>
      <c r="I1834" s="20" t="s">
        <v>60</v>
      </c>
      <c r="J1834" s="20">
        <v>4</v>
      </c>
      <c r="K1834" s="20" t="s">
        <v>46</v>
      </c>
      <c r="L1834" s="23">
        <f t="shared" si="207"/>
        <v>45870</v>
      </c>
      <c r="M1834" s="20">
        <f t="shared" si="208"/>
        <v>9</v>
      </c>
      <c r="N1834" s="20">
        <f t="shared" si="209"/>
        <v>0</v>
      </c>
      <c r="O1834" s="20">
        <f t="shared" si="210"/>
        <v>1</v>
      </c>
      <c r="P1834" s="22">
        <f t="shared" si="211"/>
        <v>88.01</v>
      </c>
      <c r="Q1834" s="22">
        <f>G1834*INDEX(Assumptions!$B$8:$B$16,MATCH(F1834,Assumptions!$A$8:$A$16,0))</f>
        <v>49.7502</v>
      </c>
      <c r="R1834" s="22">
        <f>H1834*Assumptions!$B$3</f>
        <v>12.468</v>
      </c>
      <c r="S1834" s="22">
        <f t="shared" si="212"/>
        <v>5.0118000000000045</v>
      </c>
      <c r="T1834" s="20" t="str">
        <f t="shared" si="213"/>
        <v>8-14 days</v>
      </c>
    </row>
    <row r="1835" spans="1:20" x14ac:dyDescent="0.3">
      <c r="A1835" s="20" t="s">
        <v>1901</v>
      </c>
      <c r="B1835" s="20" t="s">
        <v>52</v>
      </c>
      <c r="C1835" s="21">
        <v>45872</v>
      </c>
      <c r="D1835" s="21">
        <v>45891</v>
      </c>
      <c r="E1835" s="21">
        <v>45894</v>
      </c>
      <c r="F1835" s="20" t="s">
        <v>44</v>
      </c>
      <c r="G1835" s="22">
        <v>92.64</v>
      </c>
      <c r="H1835" s="22">
        <v>24.24</v>
      </c>
      <c r="I1835" s="20" t="s">
        <v>45</v>
      </c>
      <c r="J1835" s="20">
        <v>4</v>
      </c>
      <c r="K1835" s="20" t="s">
        <v>46</v>
      </c>
      <c r="L1835" s="23">
        <f t="shared" si="207"/>
        <v>45870</v>
      </c>
      <c r="M1835" s="20">
        <f t="shared" si="208"/>
        <v>19</v>
      </c>
      <c r="N1835" s="20">
        <f t="shared" si="209"/>
        <v>0</v>
      </c>
      <c r="O1835" s="20">
        <f t="shared" si="210"/>
        <v>1</v>
      </c>
      <c r="P1835" s="22">
        <f t="shared" si="211"/>
        <v>116.88</v>
      </c>
      <c r="Q1835" s="22">
        <f>G1835*INDEX(Assumptions!$B$8:$B$16,MATCH(F1835,Assumptions!$A$8:$A$16,0))</f>
        <v>55.583999999999996</v>
      </c>
      <c r="R1835" s="22">
        <f>H1835*Assumptions!$B$3</f>
        <v>14.543999999999999</v>
      </c>
      <c r="S1835" s="22">
        <f t="shared" si="212"/>
        <v>22.512000000000008</v>
      </c>
      <c r="T1835" s="20" t="str">
        <f t="shared" si="213"/>
        <v>15-21 days</v>
      </c>
    </row>
    <row r="1836" spans="1:20" x14ac:dyDescent="0.3">
      <c r="A1836" s="20" t="s">
        <v>1902</v>
      </c>
      <c r="B1836" s="20" t="s">
        <v>55</v>
      </c>
      <c r="C1836" s="21">
        <v>45872</v>
      </c>
      <c r="D1836" s="21">
        <v>45881</v>
      </c>
      <c r="E1836" s="21">
        <v>45897</v>
      </c>
      <c r="F1836" s="20" t="s">
        <v>53</v>
      </c>
      <c r="G1836" s="22">
        <v>95.56</v>
      </c>
      <c r="H1836" s="22">
        <v>18.260000000000002</v>
      </c>
      <c r="I1836" s="20" t="s">
        <v>45</v>
      </c>
      <c r="J1836" s="20">
        <v>4</v>
      </c>
      <c r="K1836" s="20" t="s">
        <v>46</v>
      </c>
      <c r="L1836" s="23">
        <f t="shared" si="207"/>
        <v>45870</v>
      </c>
      <c r="M1836" s="20">
        <f t="shared" si="208"/>
        <v>9</v>
      </c>
      <c r="N1836" s="20">
        <f t="shared" si="209"/>
        <v>0</v>
      </c>
      <c r="O1836" s="20">
        <f t="shared" si="210"/>
        <v>1</v>
      </c>
      <c r="P1836" s="22">
        <f t="shared" si="211"/>
        <v>113.82000000000001</v>
      </c>
      <c r="Q1836" s="22">
        <f>G1836*INDEX(Assumptions!$B$8:$B$16,MATCH(F1836,Assumptions!$A$8:$A$16,0))</f>
        <v>70.714399999999998</v>
      </c>
      <c r="R1836" s="22">
        <f>H1836*Assumptions!$B$3</f>
        <v>10.956000000000001</v>
      </c>
      <c r="S1836" s="22">
        <f t="shared" si="212"/>
        <v>13.889600000000003</v>
      </c>
      <c r="T1836" s="20" t="str">
        <f t="shared" si="213"/>
        <v>8-14 days</v>
      </c>
    </row>
    <row r="1837" spans="1:20" x14ac:dyDescent="0.3">
      <c r="A1837" s="20" t="s">
        <v>1903</v>
      </c>
      <c r="B1837" s="20" t="s">
        <v>19</v>
      </c>
      <c r="C1837" s="21">
        <v>45872</v>
      </c>
      <c r="D1837" s="21">
        <v>45879</v>
      </c>
      <c r="E1837" s="21">
        <v>45888</v>
      </c>
      <c r="F1837" s="20" t="s">
        <v>57</v>
      </c>
      <c r="G1837" s="22">
        <v>171.38</v>
      </c>
      <c r="H1837" s="22">
        <v>17.010000000000002</v>
      </c>
      <c r="I1837" s="20" t="s">
        <v>45</v>
      </c>
      <c r="J1837" s="20">
        <v>3</v>
      </c>
      <c r="K1837" s="20" t="s">
        <v>46</v>
      </c>
      <c r="L1837" s="23">
        <f t="shared" si="207"/>
        <v>45870</v>
      </c>
      <c r="M1837" s="20">
        <f t="shared" si="208"/>
        <v>7</v>
      </c>
      <c r="N1837" s="20">
        <f t="shared" si="209"/>
        <v>0</v>
      </c>
      <c r="O1837" s="20">
        <f t="shared" si="210"/>
        <v>1</v>
      </c>
      <c r="P1837" s="22">
        <f t="shared" si="211"/>
        <v>188.39</v>
      </c>
      <c r="Q1837" s="22">
        <f>G1837*INDEX(Assumptions!$B$8:$B$16,MATCH(F1837,Assumptions!$A$8:$A$16,0))</f>
        <v>116.53840000000001</v>
      </c>
      <c r="R1837" s="22">
        <f>H1837*Assumptions!$B$3</f>
        <v>10.206000000000001</v>
      </c>
      <c r="S1837" s="22">
        <f t="shared" si="212"/>
        <v>44.635599999999982</v>
      </c>
      <c r="T1837" s="20" t="str">
        <f t="shared" si="213"/>
        <v>0-7 days</v>
      </c>
    </row>
    <row r="1838" spans="1:20" x14ac:dyDescent="0.3">
      <c r="A1838" s="20" t="s">
        <v>1904</v>
      </c>
      <c r="B1838" s="20" t="s">
        <v>52</v>
      </c>
      <c r="C1838" s="21">
        <v>45873</v>
      </c>
      <c r="D1838" s="21">
        <v>45887</v>
      </c>
      <c r="E1838" s="21">
        <v>45897</v>
      </c>
      <c r="F1838" s="20" t="s">
        <v>57</v>
      </c>
      <c r="G1838" s="22">
        <v>140.13999999999999</v>
      </c>
      <c r="H1838" s="22">
        <v>23.65</v>
      </c>
      <c r="I1838" s="20" t="s">
        <v>45</v>
      </c>
      <c r="J1838" s="20">
        <v>5</v>
      </c>
      <c r="K1838" s="20" t="s">
        <v>46</v>
      </c>
      <c r="L1838" s="23">
        <f t="shared" si="207"/>
        <v>45870</v>
      </c>
      <c r="M1838" s="20">
        <f t="shared" si="208"/>
        <v>14</v>
      </c>
      <c r="N1838" s="20">
        <f t="shared" si="209"/>
        <v>0</v>
      </c>
      <c r="O1838" s="20">
        <f t="shared" si="210"/>
        <v>1</v>
      </c>
      <c r="P1838" s="22">
        <f t="shared" si="211"/>
        <v>163.79</v>
      </c>
      <c r="Q1838" s="22">
        <f>G1838*INDEX(Assumptions!$B$8:$B$16,MATCH(F1838,Assumptions!$A$8:$A$16,0))</f>
        <v>95.295199999999994</v>
      </c>
      <c r="R1838" s="22">
        <f>H1838*Assumptions!$B$3</f>
        <v>14.19</v>
      </c>
      <c r="S1838" s="22">
        <f t="shared" si="212"/>
        <v>30.654799999999994</v>
      </c>
      <c r="T1838" s="20" t="str">
        <f t="shared" si="213"/>
        <v>8-14 days</v>
      </c>
    </row>
    <row r="1839" spans="1:20" x14ac:dyDescent="0.3">
      <c r="A1839" s="20" t="s">
        <v>1905</v>
      </c>
      <c r="B1839" s="20" t="s">
        <v>62</v>
      </c>
      <c r="C1839" s="21">
        <v>45873</v>
      </c>
      <c r="D1839" s="21">
        <v>45884</v>
      </c>
      <c r="E1839" s="21">
        <v>45898</v>
      </c>
      <c r="F1839" s="20" t="s">
        <v>59</v>
      </c>
      <c r="G1839" s="22">
        <v>217.66</v>
      </c>
      <c r="H1839" s="22">
        <v>25.93</v>
      </c>
      <c r="I1839" s="20" t="s">
        <v>45</v>
      </c>
      <c r="J1839" s="20">
        <v>5</v>
      </c>
      <c r="K1839" s="20" t="s">
        <v>46</v>
      </c>
      <c r="L1839" s="23">
        <f t="shared" si="207"/>
        <v>45870</v>
      </c>
      <c r="M1839" s="20">
        <f t="shared" si="208"/>
        <v>11</v>
      </c>
      <c r="N1839" s="20">
        <f t="shared" si="209"/>
        <v>0</v>
      </c>
      <c r="O1839" s="20">
        <f t="shared" si="210"/>
        <v>1</v>
      </c>
      <c r="P1839" s="22">
        <f t="shared" si="211"/>
        <v>243.59</v>
      </c>
      <c r="Q1839" s="22">
        <f>G1839*INDEX(Assumptions!$B$8:$B$16,MATCH(F1839,Assumptions!$A$8:$A$16,0))</f>
        <v>139.30240000000001</v>
      </c>
      <c r="R1839" s="22">
        <f>H1839*Assumptions!$B$3</f>
        <v>15.558</v>
      </c>
      <c r="S1839" s="22">
        <f t="shared" si="212"/>
        <v>62.799599999999991</v>
      </c>
      <c r="T1839" s="20" t="str">
        <f t="shared" si="213"/>
        <v>8-14 days</v>
      </c>
    </row>
    <row r="1840" spans="1:20" x14ac:dyDescent="0.3">
      <c r="A1840" s="20" t="s">
        <v>1906</v>
      </c>
      <c r="B1840" s="20" t="s">
        <v>174</v>
      </c>
      <c r="C1840" s="21">
        <v>45873</v>
      </c>
      <c r="D1840" s="21">
        <v>45896</v>
      </c>
      <c r="E1840" s="21">
        <v>45903</v>
      </c>
      <c r="F1840" s="20" t="s">
        <v>67</v>
      </c>
      <c r="G1840" s="22">
        <v>69.53</v>
      </c>
      <c r="H1840" s="22">
        <v>37.69</v>
      </c>
      <c r="I1840" s="20" t="s">
        <v>60</v>
      </c>
      <c r="J1840" s="20">
        <v>3</v>
      </c>
      <c r="K1840" s="20" t="s">
        <v>46</v>
      </c>
      <c r="L1840" s="23">
        <f t="shared" si="207"/>
        <v>45870</v>
      </c>
      <c r="M1840" s="20">
        <f t="shared" si="208"/>
        <v>23</v>
      </c>
      <c r="N1840" s="20">
        <f t="shared" si="209"/>
        <v>0</v>
      </c>
      <c r="O1840" s="20">
        <f t="shared" si="210"/>
        <v>1</v>
      </c>
      <c r="P1840" s="22">
        <f t="shared" si="211"/>
        <v>107.22</v>
      </c>
      <c r="Q1840" s="22">
        <f>G1840*INDEX(Assumptions!$B$8:$B$16,MATCH(F1840,Assumptions!$A$8:$A$16,0))</f>
        <v>43.108600000000003</v>
      </c>
      <c r="R1840" s="22">
        <f>H1840*Assumptions!$B$3</f>
        <v>22.613999999999997</v>
      </c>
      <c r="S1840" s="22">
        <f t="shared" si="212"/>
        <v>3.8074000000000012</v>
      </c>
      <c r="T1840" s="20" t="str">
        <f t="shared" si="213"/>
        <v>22+ days</v>
      </c>
    </row>
    <row r="1841" spans="1:20" x14ac:dyDescent="0.3">
      <c r="A1841" s="20" t="s">
        <v>1907</v>
      </c>
      <c r="B1841" s="20" t="s">
        <v>19</v>
      </c>
      <c r="C1841" s="21">
        <v>45873</v>
      </c>
      <c r="D1841" s="21">
        <v>45879</v>
      </c>
      <c r="E1841" s="21">
        <v>45894</v>
      </c>
      <c r="F1841" s="20" t="s">
        <v>49</v>
      </c>
      <c r="G1841" s="22">
        <v>81.739999999999995</v>
      </c>
      <c r="H1841" s="22">
        <v>12.86</v>
      </c>
      <c r="I1841" s="20" t="s">
        <v>45</v>
      </c>
      <c r="J1841" s="20">
        <v>4</v>
      </c>
      <c r="K1841" s="20" t="s">
        <v>46</v>
      </c>
      <c r="L1841" s="23">
        <f t="shared" si="207"/>
        <v>45870</v>
      </c>
      <c r="M1841" s="20">
        <f t="shared" si="208"/>
        <v>6</v>
      </c>
      <c r="N1841" s="20">
        <f t="shared" si="209"/>
        <v>0</v>
      </c>
      <c r="O1841" s="20">
        <f t="shared" si="210"/>
        <v>1</v>
      </c>
      <c r="P1841" s="22">
        <f t="shared" si="211"/>
        <v>94.6</v>
      </c>
      <c r="Q1841" s="22">
        <f>G1841*INDEX(Assumptions!$B$8:$B$16,MATCH(F1841,Assumptions!$A$8:$A$16,0))</f>
        <v>47.409199999999991</v>
      </c>
      <c r="R1841" s="22">
        <f>H1841*Assumptions!$B$3</f>
        <v>7.7159999999999993</v>
      </c>
      <c r="S1841" s="22">
        <f t="shared" si="212"/>
        <v>26.614800000000002</v>
      </c>
      <c r="T1841" s="20" t="str">
        <f t="shared" si="213"/>
        <v>0-7 days</v>
      </c>
    </row>
    <row r="1842" spans="1:20" x14ac:dyDescent="0.3">
      <c r="A1842" s="20" t="s">
        <v>1908</v>
      </c>
      <c r="B1842" s="20" t="s">
        <v>55</v>
      </c>
      <c r="C1842" s="21">
        <v>45873</v>
      </c>
      <c r="D1842" s="21">
        <v>45880</v>
      </c>
      <c r="E1842" s="21">
        <v>45901</v>
      </c>
      <c r="F1842" s="20" t="s">
        <v>64</v>
      </c>
      <c r="G1842" s="22">
        <v>91.39</v>
      </c>
      <c r="H1842" s="22">
        <v>25.05</v>
      </c>
      <c r="I1842" s="20" t="s">
        <v>45</v>
      </c>
      <c r="J1842" s="20">
        <v>4</v>
      </c>
      <c r="K1842" s="20" t="s">
        <v>46</v>
      </c>
      <c r="L1842" s="23">
        <f t="shared" si="207"/>
        <v>45870</v>
      </c>
      <c r="M1842" s="20">
        <f t="shared" si="208"/>
        <v>7</v>
      </c>
      <c r="N1842" s="20">
        <f t="shared" si="209"/>
        <v>0</v>
      </c>
      <c r="O1842" s="20">
        <f t="shared" si="210"/>
        <v>1</v>
      </c>
      <c r="P1842" s="22">
        <f t="shared" si="211"/>
        <v>116.44</v>
      </c>
      <c r="Q1842" s="22">
        <f>G1842*INDEX(Assumptions!$B$8:$B$16,MATCH(F1842,Assumptions!$A$8:$A$16,0))</f>
        <v>60.317400000000006</v>
      </c>
      <c r="R1842" s="22">
        <f>H1842*Assumptions!$B$3</f>
        <v>15.03</v>
      </c>
      <c r="S1842" s="22">
        <f t="shared" si="212"/>
        <v>16.042599999999993</v>
      </c>
      <c r="T1842" s="20" t="str">
        <f t="shared" si="213"/>
        <v>0-7 days</v>
      </c>
    </row>
    <row r="1843" spans="1:20" x14ac:dyDescent="0.3">
      <c r="A1843" s="20" t="s">
        <v>1909</v>
      </c>
      <c r="B1843" s="20" t="s">
        <v>19</v>
      </c>
      <c r="C1843" s="21">
        <v>45874</v>
      </c>
      <c r="D1843" s="21">
        <v>45881</v>
      </c>
      <c r="E1843" s="21">
        <v>45890</v>
      </c>
      <c r="F1843" s="20" t="s">
        <v>59</v>
      </c>
      <c r="G1843" s="22">
        <v>85.79</v>
      </c>
      <c r="H1843" s="22">
        <v>12.68</v>
      </c>
      <c r="I1843" s="20" t="s">
        <v>45</v>
      </c>
      <c r="J1843" s="20">
        <v>4</v>
      </c>
      <c r="K1843" s="20" t="s">
        <v>46</v>
      </c>
      <c r="L1843" s="23">
        <f t="shared" si="207"/>
        <v>45870</v>
      </c>
      <c r="M1843" s="20">
        <f t="shared" si="208"/>
        <v>7</v>
      </c>
      <c r="N1843" s="20">
        <f t="shared" si="209"/>
        <v>0</v>
      </c>
      <c r="O1843" s="20">
        <f t="shared" si="210"/>
        <v>1</v>
      </c>
      <c r="P1843" s="22">
        <f t="shared" si="211"/>
        <v>98.47</v>
      </c>
      <c r="Q1843" s="22">
        <f>G1843*INDEX(Assumptions!$B$8:$B$16,MATCH(F1843,Assumptions!$A$8:$A$16,0))</f>
        <v>54.905600000000007</v>
      </c>
      <c r="R1843" s="22">
        <f>H1843*Assumptions!$B$3</f>
        <v>7.6079999999999997</v>
      </c>
      <c r="S1843" s="22">
        <f t="shared" si="212"/>
        <v>23.276399999999999</v>
      </c>
      <c r="T1843" s="20" t="str">
        <f t="shared" si="213"/>
        <v>0-7 days</v>
      </c>
    </row>
    <row r="1844" spans="1:20" x14ac:dyDescent="0.3">
      <c r="A1844" s="20" t="s">
        <v>1910</v>
      </c>
      <c r="B1844" s="20" t="s">
        <v>19</v>
      </c>
      <c r="C1844" s="21">
        <v>45874</v>
      </c>
      <c r="D1844" s="21">
        <v>45878</v>
      </c>
      <c r="E1844" s="21">
        <v>45888</v>
      </c>
      <c r="F1844" s="20" t="s">
        <v>53</v>
      </c>
      <c r="G1844" s="22">
        <v>114.12</v>
      </c>
      <c r="H1844" s="22">
        <v>21.46</v>
      </c>
      <c r="I1844" s="20" t="s">
        <v>45</v>
      </c>
      <c r="J1844" s="20">
        <v>3</v>
      </c>
      <c r="K1844" s="20" t="s">
        <v>46</v>
      </c>
      <c r="L1844" s="23">
        <f t="shared" si="207"/>
        <v>45870</v>
      </c>
      <c r="M1844" s="20">
        <f t="shared" si="208"/>
        <v>4</v>
      </c>
      <c r="N1844" s="20">
        <f t="shared" si="209"/>
        <v>0</v>
      </c>
      <c r="O1844" s="20">
        <f t="shared" si="210"/>
        <v>1</v>
      </c>
      <c r="P1844" s="22">
        <f t="shared" si="211"/>
        <v>135.58000000000001</v>
      </c>
      <c r="Q1844" s="22">
        <f>G1844*INDEX(Assumptions!$B$8:$B$16,MATCH(F1844,Assumptions!$A$8:$A$16,0))</f>
        <v>84.448800000000006</v>
      </c>
      <c r="R1844" s="22">
        <f>H1844*Assumptions!$B$3</f>
        <v>12.875999999999999</v>
      </c>
      <c r="S1844" s="22">
        <f t="shared" si="212"/>
        <v>16.795200000000001</v>
      </c>
      <c r="T1844" s="20" t="str">
        <f t="shared" si="213"/>
        <v>0-7 days</v>
      </c>
    </row>
    <row r="1845" spans="1:20" x14ac:dyDescent="0.3">
      <c r="A1845" s="20" t="s">
        <v>1911</v>
      </c>
      <c r="B1845" s="20" t="s">
        <v>156</v>
      </c>
      <c r="C1845" s="21">
        <v>45874</v>
      </c>
      <c r="D1845" s="21">
        <v>45891</v>
      </c>
      <c r="E1845" s="21">
        <v>45899</v>
      </c>
      <c r="F1845" s="20" t="s">
        <v>111</v>
      </c>
      <c r="G1845" s="22">
        <v>32.799999999999997</v>
      </c>
      <c r="H1845" s="22">
        <v>18.07</v>
      </c>
      <c r="I1845" s="20" t="s">
        <v>45</v>
      </c>
      <c r="J1845" s="20">
        <v>4</v>
      </c>
      <c r="K1845" s="20" t="s">
        <v>46</v>
      </c>
      <c r="L1845" s="23">
        <f t="shared" si="207"/>
        <v>45870</v>
      </c>
      <c r="M1845" s="20">
        <f t="shared" si="208"/>
        <v>17</v>
      </c>
      <c r="N1845" s="20">
        <f t="shared" si="209"/>
        <v>0</v>
      </c>
      <c r="O1845" s="20">
        <f t="shared" si="210"/>
        <v>1</v>
      </c>
      <c r="P1845" s="22">
        <f t="shared" si="211"/>
        <v>50.87</v>
      </c>
      <c r="Q1845" s="22">
        <f>G1845*INDEX(Assumptions!$B$8:$B$16,MATCH(F1845,Assumptions!$A$8:$A$16,0))</f>
        <v>20.663999999999998</v>
      </c>
      <c r="R1845" s="22">
        <f>H1845*Assumptions!$B$3</f>
        <v>10.842000000000001</v>
      </c>
      <c r="S1845" s="22">
        <f t="shared" si="212"/>
        <v>1.2939999999999987</v>
      </c>
      <c r="T1845" s="20" t="str">
        <f t="shared" si="213"/>
        <v>15-21 days</v>
      </c>
    </row>
    <row r="1846" spans="1:20" x14ac:dyDescent="0.3">
      <c r="A1846" s="20" t="s">
        <v>1912</v>
      </c>
      <c r="B1846" s="20" t="s">
        <v>62</v>
      </c>
      <c r="C1846" s="21">
        <v>45874</v>
      </c>
      <c r="D1846" s="21">
        <v>45882</v>
      </c>
      <c r="E1846" s="21">
        <v>45897</v>
      </c>
      <c r="F1846" s="20" t="s">
        <v>67</v>
      </c>
      <c r="G1846" s="22">
        <v>71.73</v>
      </c>
      <c r="H1846" s="22">
        <v>25.2</v>
      </c>
      <c r="I1846" s="20" t="s">
        <v>45</v>
      </c>
      <c r="J1846" s="20">
        <v>5</v>
      </c>
      <c r="K1846" s="20" t="s">
        <v>46</v>
      </c>
      <c r="L1846" s="23">
        <f t="shared" si="207"/>
        <v>45870</v>
      </c>
      <c r="M1846" s="20">
        <f t="shared" si="208"/>
        <v>8</v>
      </c>
      <c r="N1846" s="20">
        <f t="shared" si="209"/>
        <v>0</v>
      </c>
      <c r="O1846" s="20">
        <f t="shared" si="210"/>
        <v>1</v>
      </c>
      <c r="P1846" s="22">
        <f t="shared" si="211"/>
        <v>96.93</v>
      </c>
      <c r="Q1846" s="22">
        <f>G1846*INDEX(Assumptions!$B$8:$B$16,MATCH(F1846,Assumptions!$A$8:$A$16,0))</f>
        <v>44.4726</v>
      </c>
      <c r="R1846" s="22">
        <f>H1846*Assumptions!$B$3</f>
        <v>15.12</v>
      </c>
      <c r="S1846" s="22">
        <f t="shared" si="212"/>
        <v>12.137400000000005</v>
      </c>
      <c r="T1846" s="20" t="str">
        <f t="shared" si="213"/>
        <v>8-14 days</v>
      </c>
    </row>
    <row r="1847" spans="1:20" x14ac:dyDescent="0.3">
      <c r="A1847" s="20" t="s">
        <v>1913</v>
      </c>
      <c r="B1847" s="20" t="s">
        <v>55</v>
      </c>
      <c r="C1847" s="21">
        <v>45875</v>
      </c>
      <c r="D1847" s="21">
        <v>45885</v>
      </c>
      <c r="E1847" s="21">
        <v>45902</v>
      </c>
      <c r="F1847" s="20" t="s">
        <v>57</v>
      </c>
      <c r="G1847" s="22">
        <v>188.72</v>
      </c>
      <c r="H1847" s="22">
        <v>22.27</v>
      </c>
      <c r="I1847" s="20" t="s">
        <v>45</v>
      </c>
      <c r="J1847" s="20">
        <v>4</v>
      </c>
      <c r="K1847" s="20" t="s">
        <v>46</v>
      </c>
      <c r="L1847" s="23">
        <f t="shared" si="207"/>
        <v>45870</v>
      </c>
      <c r="M1847" s="20">
        <f t="shared" si="208"/>
        <v>10</v>
      </c>
      <c r="N1847" s="20">
        <f t="shared" si="209"/>
        <v>0</v>
      </c>
      <c r="O1847" s="20">
        <f t="shared" si="210"/>
        <v>1</v>
      </c>
      <c r="P1847" s="22">
        <f t="shared" si="211"/>
        <v>210.99</v>
      </c>
      <c r="Q1847" s="22">
        <f>G1847*INDEX(Assumptions!$B$8:$B$16,MATCH(F1847,Assumptions!$A$8:$A$16,0))</f>
        <v>128.3296</v>
      </c>
      <c r="R1847" s="22">
        <f>H1847*Assumptions!$B$3</f>
        <v>13.362</v>
      </c>
      <c r="S1847" s="22">
        <f t="shared" si="212"/>
        <v>47.028399999999998</v>
      </c>
      <c r="T1847" s="20" t="str">
        <f t="shared" si="213"/>
        <v>8-14 days</v>
      </c>
    </row>
    <row r="1848" spans="1:20" x14ac:dyDescent="0.3">
      <c r="A1848" s="20" t="s">
        <v>1914</v>
      </c>
      <c r="B1848" s="20" t="s">
        <v>55</v>
      </c>
      <c r="C1848" s="21">
        <v>45875</v>
      </c>
      <c r="D1848" s="21">
        <v>45895</v>
      </c>
      <c r="E1848" s="21">
        <v>45900</v>
      </c>
      <c r="F1848" s="20" t="s">
        <v>49</v>
      </c>
      <c r="G1848" s="22">
        <v>49.91</v>
      </c>
      <c r="H1848" s="22">
        <v>16.850000000000001</v>
      </c>
      <c r="I1848" s="20" t="s">
        <v>45</v>
      </c>
      <c r="J1848" s="20">
        <v>4</v>
      </c>
      <c r="K1848" s="20" t="s">
        <v>46</v>
      </c>
      <c r="L1848" s="23">
        <f t="shared" si="207"/>
        <v>45870</v>
      </c>
      <c r="M1848" s="20">
        <f t="shared" si="208"/>
        <v>20</v>
      </c>
      <c r="N1848" s="20">
        <f t="shared" si="209"/>
        <v>0</v>
      </c>
      <c r="O1848" s="20">
        <f t="shared" si="210"/>
        <v>1</v>
      </c>
      <c r="P1848" s="22">
        <f t="shared" si="211"/>
        <v>66.759999999999991</v>
      </c>
      <c r="Q1848" s="22">
        <f>G1848*INDEX(Assumptions!$B$8:$B$16,MATCH(F1848,Assumptions!$A$8:$A$16,0))</f>
        <v>28.947799999999997</v>
      </c>
      <c r="R1848" s="22">
        <f>H1848*Assumptions!$B$3</f>
        <v>10.110000000000001</v>
      </c>
      <c r="S1848" s="22">
        <f t="shared" si="212"/>
        <v>10.852199999999998</v>
      </c>
      <c r="T1848" s="20" t="str">
        <f t="shared" si="213"/>
        <v>15-21 days</v>
      </c>
    </row>
    <row r="1849" spans="1:20" x14ac:dyDescent="0.3">
      <c r="A1849" s="20" t="s">
        <v>1915</v>
      </c>
      <c r="B1849" s="20" t="s">
        <v>19</v>
      </c>
      <c r="C1849" s="21">
        <v>45875</v>
      </c>
      <c r="D1849" s="21">
        <v>45881</v>
      </c>
      <c r="E1849" s="21">
        <v>45890</v>
      </c>
      <c r="F1849" s="20" t="s">
        <v>64</v>
      </c>
      <c r="G1849" s="22">
        <v>151.07</v>
      </c>
      <c r="H1849" s="22">
        <v>20.75</v>
      </c>
      <c r="I1849" s="20" t="s">
        <v>60</v>
      </c>
      <c r="J1849" s="20">
        <v>5</v>
      </c>
      <c r="K1849" s="20" t="s">
        <v>46</v>
      </c>
      <c r="L1849" s="23">
        <f t="shared" si="207"/>
        <v>45870</v>
      </c>
      <c r="M1849" s="20">
        <f t="shared" si="208"/>
        <v>6</v>
      </c>
      <c r="N1849" s="20">
        <f t="shared" si="209"/>
        <v>0</v>
      </c>
      <c r="O1849" s="20">
        <f t="shared" si="210"/>
        <v>1</v>
      </c>
      <c r="P1849" s="22">
        <f t="shared" si="211"/>
        <v>171.82</v>
      </c>
      <c r="Q1849" s="22">
        <f>G1849*INDEX(Assumptions!$B$8:$B$16,MATCH(F1849,Assumptions!$A$8:$A$16,0))</f>
        <v>99.706199999999995</v>
      </c>
      <c r="R1849" s="22">
        <f>H1849*Assumptions!$B$3</f>
        <v>12.45</v>
      </c>
      <c r="S1849" s="22">
        <f t="shared" si="212"/>
        <v>38.913799999999995</v>
      </c>
      <c r="T1849" s="20" t="str">
        <f t="shared" si="213"/>
        <v>0-7 days</v>
      </c>
    </row>
    <row r="1850" spans="1:20" x14ac:dyDescent="0.3">
      <c r="A1850" s="20" t="s">
        <v>1916</v>
      </c>
      <c r="B1850" s="20" t="s">
        <v>19</v>
      </c>
      <c r="C1850" s="21">
        <v>45875</v>
      </c>
      <c r="D1850" s="21">
        <v>45884</v>
      </c>
      <c r="E1850" s="21">
        <v>45890</v>
      </c>
      <c r="F1850" s="20" t="s">
        <v>67</v>
      </c>
      <c r="G1850" s="22">
        <v>102.56</v>
      </c>
      <c r="H1850" s="22">
        <v>18.93</v>
      </c>
      <c r="I1850" s="20" t="s">
        <v>45</v>
      </c>
      <c r="J1850" s="20">
        <v>3</v>
      </c>
      <c r="K1850" s="20" t="s">
        <v>46</v>
      </c>
      <c r="L1850" s="23">
        <f t="shared" si="207"/>
        <v>45870</v>
      </c>
      <c r="M1850" s="20">
        <f t="shared" si="208"/>
        <v>9</v>
      </c>
      <c r="N1850" s="20">
        <f t="shared" si="209"/>
        <v>0</v>
      </c>
      <c r="O1850" s="20">
        <f t="shared" si="210"/>
        <v>1</v>
      </c>
      <c r="P1850" s="22">
        <f t="shared" si="211"/>
        <v>121.49000000000001</v>
      </c>
      <c r="Q1850" s="22">
        <f>G1850*INDEX(Assumptions!$B$8:$B$16,MATCH(F1850,Assumptions!$A$8:$A$16,0))</f>
        <v>63.587200000000003</v>
      </c>
      <c r="R1850" s="22">
        <f>H1850*Assumptions!$B$3</f>
        <v>11.357999999999999</v>
      </c>
      <c r="S1850" s="22">
        <f t="shared" si="212"/>
        <v>27.614800000000002</v>
      </c>
      <c r="T1850" s="20" t="str">
        <f t="shared" si="213"/>
        <v>8-14 days</v>
      </c>
    </row>
    <row r="1851" spans="1:20" x14ac:dyDescent="0.3">
      <c r="A1851" s="20" t="s">
        <v>1917</v>
      </c>
      <c r="B1851" s="20" t="s">
        <v>19</v>
      </c>
      <c r="C1851" s="21">
        <v>45875</v>
      </c>
      <c r="D1851" s="21">
        <v>45886</v>
      </c>
      <c r="E1851" s="21">
        <v>45891</v>
      </c>
      <c r="F1851" s="20" t="s">
        <v>67</v>
      </c>
      <c r="G1851" s="22">
        <v>60.87</v>
      </c>
      <c r="H1851" s="22">
        <v>15.13</v>
      </c>
      <c r="I1851" s="20" t="s">
        <v>45</v>
      </c>
      <c r="J1851" s="20">
        <v>5</v>
      </c>
      <c r="K1851" s="20" t="s">
        <v>46</v>
      </c>
      <c r="L1851" s="23">
        <f t="shared" si="207"/>
        <v>45870</v>
      </c>
      <c r="M1851" s="20">
        <f t="shared" si="208"/>
        <v>11</v>
      </c>
      <c r="N1851" s="20">
        <f t="shared" si="209"/>
        <v>0</v>
      </c>
      <c r="O1851" s="20">
        <f t="shared" si="210"/>
        <v>1</v>
      </c>
      <c r="P1851" s="22">
        <f t="shared" si="211"/>
        <v>76</v>
      </c>
      <c r="Q1851" s="22">
        <f>G1851*INDEX(Assumptions!$B$8:$B$16,MATCH(F1851,Assumptions!$A$8:$A$16,0))</f>
        <v>37.739399999999996</v>
      </c>
      <c r="R1851" s="22">
        <f>H1851*Assumptions!$B$3</f>
        <v>9.0779999999999994</v>
      </c>
      <c r="S1851" s="22">
        <f t="shared" si="212"/>
        <v>14.052600000000002</v>
      </c>
      <c r="T1851" s="20" t="str">
        <f t="shared" si="213"/>
        <v>8-14 days</v>
      </c>
    </row>
    <row r="1852" spans="1:20" x14ac:dyDescent="0.3">
      <c r="A1852" s="20" t="s">
        <v>1918</v>
      </c>
      <c r="B1852" s="20" t="s">
        <v>48</v>
      </c>
      <c r="C1852" s="21">
        <v>45875</v>
      </c>
      <c r="D1852" s="21">
        <v>45890</v>
      </c>
      <c r="E1852" s="21">
        <v>45895</v>
      </c>
      <c r="F1852" s="20" t="s">
        <v>67</v>
      </c>
      <c r="G1852" s="22">
        <v>136.81</v>
      </c>
      <c r="H1852" s="22">
        <v>25.59</v>
      </c>
      <c r="I1852" s="20" t="s">
        <v>50</v>
      </c>
      <c r="J1852" s="20">
        <v>3</v>
      </c>
      <c r="K1852" s="20" t="s">
        <v>46</v>
      </c>
      <c r="L1852" s="23">
        <f t="shared" si="207"/>
        <v>45870</v>
      </c>
      <c r="M1852" s="20">
        <f t="shared" si="208"/>
        <v>15</v>
      </c>
      <c r="N1852" s="20">
        <f t="shared" si="209"/>
        <v>0</v>
      </c>
      <c r="O1852" s="20">
        <f t="shared" si="210"/>
        <v>1</v>
      </c>
      <c r="P1852" s="22">
        <f t="shared" si="211"/>
        <v>162.4</v>
      </c>
      <c r="Q1852" s="22">
        <f>G1852*INDEX(Assumptions!$B$8:$B$16,MATCH(F1852,Assumptions!$A$8:$A$16,0))</f>
        <v>84.822199999999995</v>
      </c>
      <c r="R1852" s="22">
        <f>H1852*Assumptions!$B$3</f>
        <v>15.353999999999999</v>
      </c>
      <c r="S1852" s="22">
        <f t="shared" si="212"/>
        <v>36.633800000000008</v>
      </c>
      <c r="T1852" s="20" t="str">
        <f t="shared" si="213"/>
        <v>15-21 days</v>
      </c>
    </row>
    <row r="1853" spans="1:20" x14ac:dyDescent="0.3">
      <c r="A1853" s="20" t="s">
        <v>1919</v>
      </c>
      <c r="B1853" s="20" t="s">
        <v>19</v>
      </c>
      <c r="C1853" s="21">
        <v>45876</v>
      </c>
      <c r="D1853" s="21">
        <v>45888</v>
      </c>
      <c r="E1853" s="21">
        <v>45892</v>
      </c>
      <c r="F1853" s="20" t="s">
        <v>64</v>
      </c>
      <c r="G1853" s="22">
        <v>90.45</v>
      </c>
      <c r="H1853" s="22">
        <v>12.82</v>
      </c>
      <c r="I1853" s="20" t="s">
        <v>45</v>
      </c>
      <c r="J1853" s="20">
        <v>5</v>
      </c>
      <c r="K1853" s="20" t="s">
        <v>46</v>
      </c>
      <c r="L1853" s="23">
        <f t="shared" si="207"/>
        <v>45870</v>
      </c>
      <c r="M1853" s="20">
        <f t="shared" si="208"/>
        <v>12</v>
      </c>
      <c r="N1853" s="20">
        <f t="shared" si="209"/>
        <v>0</v>
      </c>
      <c r="O1853" s="20">
        <f t="shared" si="210"/>
        <v>1</v>
      </c>
      <c r="P1853" s="22">
        <f t="shared" si="211"/>
        <v>103.27000000000001</v>
      </c>
      <c r="Q1853" s="22">
        <f>G1853*INDEX(Assumptions!$B$8:$B$16,MATCH(F1853,Assumptions!$A$8:$A$16,0))</f>
        <v>59.697000000000003</v>
      </c>
      <c r="R1853" s="22">
        <f>H1853*Assumptions!$B$3</f>
        <v>7.6920000000000002</v>
      </c>
      <c r="S1853" s="22">
        <f t="shared" si="212"/>
        <v>23.061</v>
      </c>
      <c r="T1853" s="20" t="str">
        <f t="shared" si="213"/>
        <v>8-14 days</v>
      </c>
    </row>
    <row r="1854" spans="1:20" x14ac:dyDescent="0.3">
      <c r="A1854" s="20" t="s">
        <v>1920</v>
      </c>
      <c r="B1854" s="20" t="s">
        <v>55</v>
      </c>
      <c r="C1854" s="21">
        <v>45876</v>
      </c>
      <c r="D1854" s="21">
        <v>45891</v>
      </c>
      <c r="E1854" s="21">
        <v>45900</v>
      </c>
      <c r="F1854" s="20" t="s">
        <v>49</v>
      </c>
      <c r="G1854" s="22">
        <v>34.42</v>
      </c>
      <c r="H1854" s="22">
        <v>27.13</v>
      </c>
      <c r="I1854" s="20" t="s">
        <v>45</v>
      </c>
      <c r="J1854" s="20">
        <v>4</v>
      </c>
      <c r="K1854" s="20" t="s">
        <v>46</v>
      </c>
      <c r="L1854" s="23">
        <f t="shared" si="207"/>
        <v>45870</v>
      </c>
      <c r="M1854" s="20">
        <f t="shared" si="208"/>
        <v>15</v>
      </c>
      <c r="N1854" s="20">
        <f t="shared" si="209"/>
        <v>0</v>
      </c>
      <c r="O1854" s="20">
        <f t="shared" si="210"/>
        <v>1</v>
      </c>
      <c r="P1854" s="22">
        <f t="shared" si="211"/>
        <v>61.55</v>
      </c>
      <c r="Q1854" s="22">
        <f>G1854*INDEX(Assumptions!$B$8:$B$16,MATCH(F1854,Assumptions!$A$8:$A$16,0))</f>
        <v>19.9636</v>
      </c>
      <c r="R1854" s="22">
        <f>H1854*Assumptions!$B$3</f>
        <v>16.277999999999999</v>
      </c>
      <c r="S1854" s="22">
        <f t="shared" si="212"/>
        <v>-1.8215999999999966</v>
      </c>
      <c r="T1854" s="20" t="str">
        <f t="shared" si="213"/>
        <v>15-21 days</v>
      </c>
    </row>
    <row r="1855" spans="1:20" x14ac:dyDescent="0.3">
      <c r="A1855" s="20" t="s">
        <v>1921</v>
      </c>
      <c r="B1855" s="20" t="s">
        <v>55</v>
      </c>
      <c r="C1855" s="21">
        <v>45876</v>
      </c>
      <c r="D1855" s="21">
        <v>45886</v>
      </c>
      <c r="E1855" s="21">
        <v>45898</v>
      </c>
      <c r="F1855" s="20" t="s">
        <v>44</v>
      </c>
      <c r="G1855" s="22">
        <v>110.54</v>
      </c>
      <c r="H1855" s="22">
        <v>22.35</v>
      </c>
      <c r="I1855" s="20" t="s">
        <v>45</v>
      </c>
      <c r="J1855" s="20">
        <v>4</v>
      </c>
      <c r="K1855" s="20" t="s">
        <v>46</v>
      </c>
      <c r="L1855" s="23">
        <f t="shared" si="207"/>
        <v>45870</v>
      </c>
      <c r="M1855" s="20">
        <f t="shared" si="208"/>
        <v>10</v>
      </c>
      <c r="N1855" s="20">
        <f t="shared" si="209"/>
        <v>0</v>
      </c>
      <c r="O1855" s="20">
        <f t="shared" si="210"/>
        <v>1</v>
      </c>
      <c r="P1855" s="22">
        <f t="shared" si="211"/>
        <v>132.89000000000001</v>
      </c>
      <c r="Q1855" s="22">
        <f>G1855*INDEX(Assumptions!$B$8:$B$16,MATCH(F1855,Assumptions!$A$8:$A$16,0))</f>
        <v>66.323999999999998</v>
      </c>
      <c r="R1855" s="22">
        <f>H1855*Assumptions!$B$3</f>
        <v>13.41</v>
      </c>
      <c r="S1855" s="22">
        <f t="shared" si="212"/>
        <v>30.806000000000008</v>
      </c>
      <c r="T1855" s="20" t="str">
        <f t="shared" si="213"/>
        <v>8-14 days</v>
      </c>
    </row>
    <row r="1856" spans="1:20" x14ac:dyDescent="0.3">
      <c r="A1856" s="20" t="s">
        <v>1922</v>
      </c>
      <c r="B1856" s="20" t="s">
        <v>55</v>
      </c>
      <c r="C1856" s="21">
        <v>45876</v>
      </c>
      <c r="D1856" s="21">
        <v>45886</v>
      </c>
      <c r="E1856" s="21">
        <v>45902</v>
      </c>
      <c r="F1856" s="20" t="s">
        <v>44</v>
      </c>
      <c r="G1856" s="22">
        <v>102.1</v>
      </c>
      <c r="H1856" s="22">
        <v>24.69</v>
      </c>
      <c r="I1856" s="20" t="s">
        <v>60</v>
      </c>
      <c r="J1856" s="20">
        <v>5</v>
      </c>
      <c r="K1856" s="20" t="s">
        <v>46</v>
      </c>
      <c r="L1856" s="23">
        <f t="shared" si="207"/>
        <v>45870</v>
      </c>
      <c r="M1856" s="20">
        <f t="shared" si="208"/>
        <v>10</v>
      </c>
      <c r="N1856" s="20">
        <f t="shared" si="209"/>
        <v>0</v>
      </c>
      <c r="O1856" s="20">
        <f t="shared" si="210"/>
        <v>1</v>
      </c>
      <c r="P1856" s="22">
        <f t="shared" si="211"/>
        <v>126.78999999999999</v>
      </c>
      <c r="Q1856" s="22">
        <f>G1856*INDEX(Assumptions!$B$8:$B$16,MATCH(F1856,Assumptions!$A$8:$A$16,0))</f>
        <v>61.259999999999991</v>
      </c>
      <c r="R1856" s="22">
        <f>H1856*Assumptions!$B$3</f>
        <v>14.814</v>
      </c>
      <c r="S1856" s="22">
        <f t="shared" si="212"/>
        <v>26.026000000000003</v>
      </c>
      <c r="T1856" s="20" t="str">
        <f t="shared" si="213"/>
        <v>8-14 days</v>
      </c>
    </row>
    <row r="1857" spans="1:20" x14ac:dyDescent="0.3">
      <c r="A1857" s="20" t="s">
        <v>1923</v>
      </c>
      <c r="B1857" s="20" t="s">
        <v>19</v>
      </c>
      <c r="C1857" s="21">
        <v>45876</v>
      </c>
      <c r="D1857" s="21">
        <v>45890</v>
      </c>
      <c r="E1857" s="21">
        <v>45893</v>
      </c>
      <c r="F1857" s="20" t="s">
        <v>64</v>
      </c>
      <c r="G1857" s="22">
        <v>124.67</v>
      </c>
      <c r="H1857" s="22">
        <v>19.940000000000001</v>
      </c>
      <c r="I1857" s="20" t="s">
        <v>45</v>
      </c>
      <c r="J1857" s="20">
        <v>5</v>
      </c>
      <c r="K1857" s="20" t="s">
        <v>46</v>
      </c>
      <c r="L1857" s="23">
        <f t="shared" si="207"/>
        <v>45870</v>
      </c>
      <c r="M1857" s="20">
        <f t="shared" si="208"/>
        <v>14</v>
      </c>
      <c r="N1857" s="20">
        <f t="shared" si="209"/>
        <v>0</v>
      </c>
      <c r="O1857" s="20">
        <f t="shared" si="210"/>
        <v>1</v>
      </c>
      <c r="P1857" s="22">
        <f t="shared" si="211"/>
        <v>144.61000000000001</v>
      </c>
      <c r="Q1857" s="22">
        <f>G1857*INDEX(Assumptions!$B$8:$B$16,MATCH(F1857,Assumptions!$A$8:$A$16,0))</f>
        <v>82.282200000000003</v>
      </c>
      <c r="R1857" s="22">
        <f>H1857*Assumptions!$B$3</f>
        <v>11.964</v>
      </c>
      <c r="S1857" s="22">
        <f t="shared" si="212"/>
        <v>30.4238</v>
      </c>
      <c r="T1857" s="20" t="str">
        <f t="shared" si="213"/>
        <v>8-14 days</v>
      </c>
    </row>
    <row r="1858" spans="1:20" x14ac:dyDescent="0.3">
      <c r="A1858" s="20" t="s">
        <v>1924</v>
      </c>
      <c r="B1858" s="20" t="s">
        <v>77</v>
      </c>
      <c r="C1858" s="21">
        <v>45877</v>
      </c>
      <c r="D1858" s="21">
        <v>45888</v>
      </c>
      <c r="E1858" s="21">
        <v>45900</v>
      </c>
      <c r="F1858" s="20" t="s">
        <v>44</v>
      </c>
      <c r="G1858" s="22">
        <v>73.599999999999994</v>
      </c>
      <c r="H1858" s="22">
        <v>31.68</v>
      </c>
      <c r="I1858" s="20" t="s">
        <v>60</v>
      </c>
      <c r="J1858" s="20">
        <v>5</v>
      </c>
      <c r="K1858" s="20" t="s">
        <v>46</v>
      </c>
      <c r="L1858" s="23">
        <f t="shared" ref="L1858:L1921" si="214">DATE(YEAR(C1858),MONTH(C1858),1)</f>
        <v>45870</v>
      </c>
      <c r="M1858" s="20">
        <f t="shared" ref="M1858:M1921" si="215">D1858-C1858</f>
        <v>11</v>
      </c>
      <c r="N1858" s="20">
        <f t="shared" ref="N1858:N1921" si="216">MAX(0,D1858-E1858)</f>
        <v>0</v>
      </c>
      <c r="O1858" s="20">
        <f t="shared" ref="O1858:O1921" si="217">IF(D1858&lt;=E1858,1,0)</f>
        <v>1</v>
      </c>
      <c r="P1858" s="22">
        <f t="shared" ref="P1858:P1921" si="218">G1858+H1858</f>
        <v>105.28</v>
      </c>
      <c r="Q1858" s="22">
        <f>G1858*INDEX(Assumptions!$B$8:$B$16,MATCH(F1858,Assumptions!$A$8:$A$16,0))</f>
        <v>44.16</v>
      </c>
      <c r="R1858" s="22">
        <f>H1858*Assumptions!$B$3</f>
        <v>19.007999999999999</v>
      </c>
      <c r="S1858" s="22">
        <f t="shared" ref="S1858:S1921" si="219">G1858-Q1858-R1858</f>
        <v>10.431999999999999</v>
      </c>
      <c r="T1858" s="20" t="str">
        <f t="shared" ref="T1858:T1921" si="220">IF(M1858&lt;=7,"0-7 days",IF(M1858&lt;=14,"8-14 days",IF(M1858&lt;=21,"15-21 days","22+ days")))</f>
        <v>8-14 days</v>
      </c>
    </row>
    <row r="1859" spans="1:20" x14ac:dyDescent="0.3">
      <c r="A1859" s="20" t="s">
        <v>1925</v>
      </c>
      <c r="B1859" s="20" t="s">
        <v>19</v>
      </c>
      <c r="C1859" s="21">
        <v>45877</v>
      </c>
      <c r="D1859" s="21">
        <v>45891</v>
      </c>
      <c r="E1859" s="21">
        <v>45888</v>
      </c>
      <c r="F1859" s="20" t="s">
        <v>67</v>
      </c>
      <c r="G1859" s="22">
        <v>53.37</v>
      </c>
      <c r="H1859" s="22">
        <v>14.83</v>
      </c>
      <c r="I1859" s="20" t="s">
        <v>45</v>
      </c>
      <c r="J1859" s="20">
        <v>4</v>
      </c>
      <c r="K1859" s="20" t="s">
        <v>46</v>
      </c>
      <c r="L1859" s="23">
        <f t="shared" si="214"/>
        <v>45870</v>
      </c>
      <c r="M1859" s="20">
        <f t="shared" si="215"/>
        <v>14</v>
      </c>
      <c r="N1859" s="20">
        <f t="shared" si="216"/>
        <v>3</v>
      </c>
      <c r="O1859" s="20">
        <f t="shared" si="217"/>
        <v>0</v>
      </c>
      <c r="P1859" s="22">
        <f t="shared" si="218"/>
        <v>68.2</v>
      </c>
      <c r="Q1859" s="22">
        <f>G1859*INDEX(Assumptions!$B$8:$B$16,MATCH(F1859,Assumptions!$A$8:$A$16,0))</f>
        <v>33.089399999999998</v>
      </c>
      <c r="R1859" s="22">
        <f>H1859*Assumptions!$B$3</f>
        <v>8.8979999999999997</v>
      </c>
      <c r="S1859" s="22">
        <f t="shared" si="219"/>
        <v>11.3826</v>
      </c>
      <c r="T1859" s="20" t="str">
        <f t="shared" si="220"/>
        <v>8-14 days</v>
      </c>
    </row>
    <row r="1860" spans="1:20" x14ac:dyDescent="0.3">
      <c r="A1860" s="20" t="s">
        <v>1926</v>
      </c>
      <c r="B1860" s="20" t="s">
        <v>156</v>
      </c>
      <c r="C1860" s="21">
        <v>45878</v>
      </c>
      <c r="D1860" s="21">
        <v>45891</v>
      </c>
      <c r="E1860" s="21">
        <v>45903</v>
      </c>
      <c r="F1860" s="20" t="s">
        <v>49</v>
      </c>
      <c r="G1860" s="22">
        <v>93.52</v>
      </c>
      <c r="H1860" s="22">
        <v>26.31</v>
      </c>
      <c r="I1860" s="20" t="s">
        <v>45</v>
      </c>
      <c r="J1860" s="20">
        <v>4</v>
      </c>
      <c r="K1860" s="20" t="s">
        <v>46</v>
      </c>
      <c r="L1860" s="23">
        <f t="shared" si="214"/>
        <v>45870</v>
      </c>
      <c r="M1860" s="20">
        <f t="shared" si="215"/>
        <v>13</v>
      </c>
      <c r="N1860" s="20">
        <f t="shared" si="216"/>
        <v>0</v>
      </c>
      <c r="O1860" s="20">
        <f t="shared" si="217"/>
        <v>1</v>
      </c>
      <c r="P1860" s="22">
        <f t="shared" si="218"/>
        <v>119.83</v>
      </c>
      <c r="Q1860" s="22">
        <f>G1860*INDEX(Assumptions!$B$8:$B$16,MATCH(F1860,Assumptions!$A$8:$A$16,0))</f>
        <v>54.241599999999991</v>
      </c>
      <c r="R1860" s="22">
        <f>H1860*Assumptions!$B$3</f>
        <v>15.785999999999998</v>
      </c>
      <c r="S1860" s="22">
        <f t="shared" si="219"/>
        <v>23.492400000000007</v>
      </c>
      <c r="T1860" s="20" t="str">
        <f t="shared" si="220"/>
        <v>8-14 days</v>
      </c>
    </row>
    <row r="1861" spans="1:20" x14ac:dyDescent="0.3">
      <c r="A1861" s="20" t="s">
        <v>1927</v>
      </c>
      <c r="B1861" s="20" t="s">
        <v>134</v>
      </c>
      <c r="C1861" s="21">
        <v>45878</v>
      </c>
      <c r="D1861" s="21">
        <v>45889</v>
      </c>
      <c r="E1861" s="21">
        <v>45902</v>
      </c>
      <c r="F1861" s="20" t="s">
        <v>49</v>
      </c>
      <c r="G1861" s="22">
        <v>88.08</v>
      </c>
      <c r="H1861" s="22">
        <v>30.4</v>
      </c>
      <c r="I1861" s="20" t="s">
        <v>45</v>
      </c>
      <c r="J1861" s="20">
        <v>4</v>
      </c>
      <c r="K1861" s="20" t="s">
        <v>46</v>
      </c>
      <c r="L1861" s="23">
        <f t="shared" si="214"/>
        <v>45870</v>
      </c>
      <c r="M1861" s="20">
        <f t="shared" si="215"/>
        <v>11</v>
      </c>
      <c r="N1861" s="20">
        <f t="shared" si="216"/>
        <v>0</v>
      </c>
      <c r="O1861" s="20">
        <f t="shared" si="217"/>
        <v>1</v>
      </c>
      <c r="P1861" s="22">
        <f t="shared" si="218"/>
        <v>118.47999999999999</v>
      </c>
      <c r="Q1861" s="22">
        <f>G1861*INDEX(Assumptions!$B$8:$B$16,MATCH(F1861,Assumptions!$A$8:$A$16,0))</f>
        <v>51.086399999999998</v>
      </c>
      <c r="R1861" s="22">
        <f>H1861*Assumptions!$B$3</f>
        <v>18.239999999999998</v>
      </c>
      <c r="S1861" s="22">
        <f t="shared" si="219"/>
        <v>18.753600000000002</v>
      </c>
      <c r="T1861" s="20" t="str">
        <f t="shared" si="220"/>
        <v>8-14 days</v>
      </c>
    </row>
    <row r="1862" spans="1:20" x14ac:dyDescent="0.3">
      <c r="A1862" s="20" t="s">
        <v>1928</v>
      </c>
      <c r="B1862" s="20" t="s">
        <v>62</v>
      </c>
      <c r="C1862" s="21">
        <v>45878</v>
      </c>
      <c r="D1862" s="21">
        <v>45892</v>
      </c>
      <c r="E1862" s="21">
        <v>45904</v>
      </c>
      <c r="F1862" s="20" t="s">
        <v>64</v>
      </c>
      <c r="G1862" s="22">
        <v>289.97000000000003</v>
      </c>
      <c r="H1862" s="22">
        <v>28.44</v>
      </c>
      <c r="I1862" s="20" t="s">
        <v>45</v>
      </c>
      <c r="J1862" s="20">
        <v>5</v>
      </c>
      <c r="K1862" s="20" t="s">
        <v>46</v>
      </c>
      <c r="L1862" s="23">
        <f t="shared" si="214"/>
        <v>45870</v>
      </c>
      <c r="M1862" s="20">
        <f t="shared" si="215"/>
        <v>14</v>
      </c>
      <c r="N1862" s="20">
        <f t="shared" si="216"/>
        <v>0</v>
      </c>
      <c r="O1862" s="20">
        <f t="shared" si="217"/>
        <v>1</v>
      </c>
      <c r="P1862" s="22">
        <f t="shared" si="218"/>
        <v>318.41000000000003</v>
      </c>
      <c r="Q1862" s="22">
        <f>G1862*INDEX(Assumptions!$B$8:$B$16,MATCH(F1862,Assumptions!$A$8:$A$16,0))</f>
        <v>191.38020000000003</v>
      </c>
      <c r="R1862" s="22">
        <f>H1862*Assumptions!$B$3</f>
        <v>17.064</v>
      </c>
      <c r="S1862" s="22">
        <f t="shared" si="219"/>
        <v>81.525800000000004</v>
      </c>
      <c r="T1862" s="20" t="str">
        <f t="shared" si="220"/>
        <v>8-14 days</v>
      </c>
    </row>
    <row r="1863" spans="1:20" x14ac:dyDescent="0.3">
      <c r="A1863" s="20" t="s">
        <v>1929</v>
      </c>
      <c r="B1863" s="20" t="s">
        <v>55</v>
      </c>
      <c r="C1863" s="21">
        <v>45878</v>
      </c>
      <c r="D1863" s="21">
        <v>45890</v>
      </c>
      <c r="E1863" s="21">
        <v>45900</v>
      </c>
      <c r="F1863" s="20" t="s">
        <v>59</v>
      </c>
      <c r="G1863" s="22">
        <v>119.84</v>
      </c>
      <c r="H1863" s="22">
        <v>25.31</v>
      </c>
      <c r="I1863" s="20" t="s">
        <v>45</v>
      </c>
      <c r="J1863" s="20">
        <v>5</v>
      </c>
      <c r="K1863" s="20" t="s">
        <v>46</v>
      </c>
      <c r="L1863" s="23">
        <f t="shared" si="214"/>
        <v>45870</v>
      </c>
      <c r="M1863" s="20">
        <f t="shared" si="215"/>
        <v>12</v>
      </c>
      <c r="N1863" s="20">
        <f t="shared" si="216"/>
        <v>0</v>
      </c>
      <c r="O1863" s="20">
        <f t="shared" si="217"/>
        <v>1</v>
      </c>
      <c r="P1863" s="22">
        <f t="shared" si="218"/>
        <v>145.15</v>
      </c>
      <c r="Q1863" s="22">
        <f>G1863*INDEX(Assumptions!$B$8:$B$16,MATCH(F1863,Assumptions!$A$8:$A$16,0))</f>
        <v>76.697600000000008</v>
      </c>
      <c r="R1863" s="22">
        <f>H1863*Assumptions!$B$3</f>
        <v>15.185999999999998</v>
      </c>
      <c r="S1863" s="22">
        <f t="shared" si="219"/>
        <v>27.956399999999995</v>
      </c>
      <c r="T1863" s="20" t="str">
        <f t="shared" si="220"/>
        <v>8-14 days</v>
      </c>
    </row>
    <row r="1864" spans="1:20" x14ac:dyDescent="0.3">
      <c r="A1864" s="20" t="s">
        <v>1930</v>
      </c>
      <c r="B1864" s="20" t="s">
        <v>62</v>
      </c>
      <c r="C1864" s="21">
        <v>45878</v>
      </c>
      <c r="D1864" s="21">
        <v>45889</v>
      </c>
      <c r="E1864" s="21">
        <v>45900</v>
      </c>
      <c r="F1864" s="20" t="s">
        <v>49</v>
      </c>
      <c r="G1864" s="22">
        <v>247.73</v>
      </c>
      <c r="H1864" s="22">
        <v>29.62</v>
      </c>
      <c r="I1864" s="20" t="s">
        <v>60</v>
      </c>
      <c r="J1864" s="20">
        <v>5</v>
      </c>
      <c r="K1864" s="20" t="s">
        <v>46</v>
      </c>
      <c r="L1864" s="23">
        <f t="shared" si="214"/>
        <v>45870</v>
      </c>
      <c r="M1864" s="20">
        <f t="shared" si="215"/>
        <v>11</v>
      </c>
      <c r="N1864" s="20">
        <f t="shared" si="216"/>
        <v>0</v>
      </c>
      <c r="O1864" s="20">
        <f t="shared" si="217"/>
        <v>1</v>
      </c>
      <c r="P1864" s="22">
        <f t="shared" si="218"/>
        <v>277.34999999999997</v>
      </c>
      <c r="Q1864" s="22">
        <f>G1864*INDEX(Assumptions!$B$8:$B$16,MATCH(F1864,Assumptions!$A$8:$A$16,0))</f>
        <v>143.68339999999998</v>
      </c>
      <c r="R1864" s="22">
        <f>H1864*Assumptions!$B$3</f>
        <v>17.771999999999998</v>
      </c>
      <c r="S1864" s="22">
        <f t="shared" si="219"/>
        <v>86.274600000000021</v>
      </c>
      <c r="T1864" s="20" t="str">
        <f t="shared" si="220"/>
        <v>8-14 days</v>
      </c>
    </row>
    <row r="1865" spans="1:20" x14ac:dyDescent="0.3">
      <c r="A1865" s="20" t="s">
        <v>1931</v>
      </c>
      <c r="B1865" s="20" t="s">
        <v>55</v>
      </c>
      <c r="C1865" s="21">
        <v>45878</v>
      </c>
      <c r="D1865" s="21">
        <v>45895</v>
      </c>
      <c r="E1865" s="21">
        <v>45902</v>
      </c>
      <c r="F1865" s="20" t="s">
        <v>111</v>
      </c>
      <c r="G1865" s="22">
        <v>28.67</v>
      </c>
      <c r="H1865" s="22">
        <v>25.46</v>
      </c>
      <c r="I1865" s="20" t="s">
        <v>60</v>
      </c>
      <c r="J1865" s="20">
        <v>5</v>
      </c>
      <c r="K1865" s="20" t="s">
        <v>46</v>
      </c>
      <c r="L1865" s="23">
        <f t="shared" si="214"/>
        <v>45870</v>
      </c>
      <c r="M1865" s="20">
        <f t="shared" si="215"/>
        <v>17</v>
      </c>
      <c r="N1865" s="20">
        <f t="shared" si="216"/>
        <v>0</v>
      </c>
      <c r="O1865" s="20">
        <f t="shared" si="217"/>
        <v>1</v>
      </c>
      <c r="P1865" s="22">
        <f t="shared" si="218"/>
        <v>54.13</v>
      </c>
      <c r="Q1865" s="22">
        <f>G1865*INDEX(Assumptions!$B$8:$B$16,MATCH(F1865,Assumptions!$A$8:$A$16,0))</f>
        <v>18.062100000000001</v>
      </c>
      <c r="R1865" s="22">
        <f>H1865*Assumptions!$B$3</f>
        <v>15.276</v>
      </c>
      <c r="S1865" s="22">
        <f t="shared" si="219"/>
        <v>-4.668099999999999</v>
      </c>
      <c r="T1865" s="20" t="str">
        <f t="shared" si="220"/>
        <v>15-21 days</v>
      </c>
    </row>
    <row r="1866" spans="1:20" x14ac:dyDescent="0.3">
      <c r="A1866" s="20" t="s">
        <v>1932</v>
      </c>
      <c r="B1866" s="20" t="s">
        <v>62</v>
      </c>
      <c r="C1866" s="21">
        <v>45879</v>
      </c>
      <c r="D1866" s="21">
        <v>45892</v>
      </c>
      <c r="E1866" s="21">
        <v>45899</v>
      </c>
      <c r="F1866" s="20" t="s">
        <v>64</v>
      </c>
      <c r="G1866" s="22">
        <v>195.57</v>
      </c>
      <c r="H1866" s="22">
        <v>18.170000000000002</v>
      </c>
      <c r="I1866" s="20" t="s">
        <v>45</v>
      </c>
      <c r="J1866" s="20">
        <v>5</v>
      </c>
      <c r="K1866" s="20" t="s">
        <v>46</v>
      </c>
      <c r="L1866" s="23">
        <f t="shared" si="214"/>
        <v>45870</v>
      </c>
      <c r="M1866" s="20">
        <f t="shared" si="215"/>
        <v>13</v>
      </c>
      <c r="N1866" s="20">
        <f t="shared" si="216"/>
        <v>0</v>
      </c>
      <c r="O1866" s="20">
        <f t="shared" si="217"/>
        <v>1</v>
      </c>
      <c r="P1866" s="22">
        <f t="shared" si="218"/>
        <v>213.74</v>
      </c>
      <c r="Q1866" s="22">
        <f>G1866*INDEX(Assumptions!$B$8:$B$16,MATCH(F1866,Assumptions!$A$8:$A$16,0))</f>
        <v>129.0762</v>
      </c>
      <c r="R1866" s="22">
        <f>H1866*Assumptions!$B$3</f>
        <v>10.902000000000001</v>
      </c>
      <c r="S1866" s="22">
        <f t="shared" si="219"/>
        <v>55.591799999999992</v>
      </c>
      <c r="T1866" s="20" t="str">
        <f t="shared" si="220"/>
        <v>8-14 days</v>
      </c>
    </row>
    <row r="1867" spans="1:20" x14ac:dyDescent="0.3">
      <c r="A1867" s="20" t="s">
        <v>1933</v>
      </c>
      <c r="B1867" s="20" t="s">
        <v>19</v>
      </c>
      <c r="C1867" s="21">
        <v>45879</v>
      </c>
      <c r="D1867" s="21">
        <v>45894</v>
      </c>
      <c r="E1867" s="21">
        <v>45894</v>
      </c>
      <c r="F1867" s="20" t="s">
        <v>79</v>
      </c>
      <c r="G1867" s="22">
        <v>237.73</v>
      </c>
      <c r="H1867" s="22">
        <v>22.83</v>
      </c>
      <c r="I1867" s="20" t="s">
        <v>45</v>
      </c>
      <c r="J1867" s="20">
        <v>3</v>
      </c>
      <c r="K1867" s="20" t="s">
        <v>46</v>
      </c>
      <c r="L1867" s="23">
        <f t="shared" si="214"/>
        <v>45870</v>
      </c>
      <c r="M1867" s="20">
        <f t="shared" si="215"/>
        <v>15</v>
      </c>
      <c r="N1867" s="20">
        <f t="shared" si="216"/>
        <v>0</v>
      </c>
      <c r="O1867" s="20">
        <f t="shared" si="217"/>
        <v>1</v>
      </c>
      <c r="P1867" s="22">
        <f t="shared" si="218"/>
        <v>260.56</v>
      </c>
      <c r="Q1867" s="22">
        <f>G1867*INDEX(Assumptions!$B$8:$B$16,MATCH(F1867,Assumptions!$A$8:$A$16,0))</f>
        <v>166.41099999999997</v>
      </c>
      <c r="R1867" s="22">
        <f>H1867*Assumptions!$B$3</f>
        <v>13.697999999999999</v>
      </c>
      <c r="S1867" s="22">
        <f t="shared" si="219"/>
        <v>57.621000000000016</v>
      </c>
      <c r="T1867" s="20" t="str">
        <f t="shared" si="220"/>
        <v>15-21 days</v>
      </c>
    </row>
    <row r="1868" spans="1:20" x14ac:dyDescent="0.3">
      <c r="A1868" s="20" t="s">
        <v>1934</v>
      </c>
      <c r="B1868" s="20" t="s">
        <v>19</v>
      </c>
      <c r="C1868" s="21">
        <v>45879</v>
      </c>
      <c r="D1868" s="21">
        <v>45886</v>
      </c>
      <c r="E1868" s="21">
        <v>45897</v>
      </c>
      <c r="F1868" s="20" t="s">
        <v>64</v>
      </c>
      <c r="G1868" s="22">
        <v>158.22999999999999</v>
      </c>
      <c r="H1868" s="22">
        <v>18.63</v>
      </c>
      <c r="I1868" s="20" t="s">
        <v>104</v>
      </c>
      <c r="J1868" s="20">
        <v>4</v>
      </c>
      <c r="K1868" s="20" t="s">
        <v>46</v>
      </c>
      <c r="L1868" s="23">
        <f t="shared" si="214"/>
        <v>45870</v>
      </c>
      <c r="M1868" s="20">
        <f t="shared" si="215"/>
        <v>7</v>
      </c>
      <c r="N1868" s="20">
        <f t="shared" si="216"/>
        <v>0</v>
      </c>
      <c r="O1868" s="20">
        <f t="shared" si="217"/>
        <v>1</v>
      </c>
      <c r="P1868" s="22">
        <f t="shared" si="218"/>
        <v>176.85999999999999</v>
      </c>
      <c r="Q1868" s="22">
        <f>G1868*INDEX(Assumptions!$B$8:$B$16,MATCH(F1868,Assumptions!$A$8:$A$16,0))</f>
        <v>104.4318</v>
      </c>
      <c r="R1868" s="22">
        <f>H1868*Assumptions!$B$3</f>
        <v>11.177999999999999</v>
      </c>
      <c r="S1868" s="22">
        <f t="shared" si="219"/>
        <v>42.620199999999997</v>
      </c>
      <c r="T1868" s="20" t="str">
        <f t="shared" si="220"/>
        <v>0-7 days</v>
      </c>
    </row>
    <row r="1869" spans="1:20" x14ac:dyDescent="0.3">
      <c r="A1869" s="20" t="s">
        <v>1935</v>
      </c>
      <c r="B1869" s="20" t="s">
        <v>156</v>
      </c>
      <c r="C1869" s="21">
        <v>45879</v>
      </c>
      <c r="D1869" s="21">
        <v>45889</v>
      </c>
      <c r="E1869" s="21">
        <v>45906</v>
      </c>
      <c r="F1869" s="20" t="s">
        <v>59</v>
      </c>
      <c r="G1869" s="22">
        <v>105.12</v>
      </c>
      <c r="H1869" s="22">
        <v>19.329999999999998</v>
      </c>
      <c r="I1869" s="20" t="s">
        <v>50</v>
      </c>
      <c r="J1869" s="20">
        <v>4</v>
      </c>
      <c r="K1869" s="20" t="s">
        <v>46</v>
      </c>
      <c r="L1869" s="23">
        <f t="shared" si="214"/>
        <v>45870</v>
      </c>
      <c r="M1869" s="20">
        <f t="shared" si="215"/>
        <v>10</v>
      </c>
      <c r="N1869" s="20">
        <f t="shared" si="216"/>
        <v>0</v>
      </c>
      <c r="O1869" s="20">
        <f t="shared" si="217"/>
        <v>1</v>
      </c>
      <c r="P1869" s="22">
        <f t="shared" si="218"/>
        <v>124.45</v>
      </c>
      <c r="Q1869" s="22">
        <f>G1869*INDEX(Assumptions!$B$8:$B$16,MATCH(F1869,Assumptions!$A$8:$A$16,0))</f>
        <v>67.276800000000009</v>
      </c>
      <c r="R1869" s="22">
        <f>H1869*Assumptions!$B$3</f>
        <v>11.597999999999999</v>
      </c>
      <c r="S1869" s="22">
        <f t="shared" si="219"/>
        <v>26.245199999999997</v>
      </c>
      <c r="T1869" s="20" t="str">
        <f t="shared" si="220"/>
        <v>8-14 days</v>
      </c>
    </row>
    <row r="1870" spans="1:20" x14ac:dyDescent="0.3">
      <c r="A1870" s="20" t="s">
        <v>1936</v>
      </c>
      <c r="B1870" s="20" t="s">
        <v>62</v>
      </c>
      <c r="C1870" s="21">
        <v>45879</v>
      </c>
      <c r="D1870" s="21">
        <v>45890</v>
      </c>
      <c r="E1870" s="21">
        <v>45898</v>
      </c>
      <c r="F1870" s="20" t="s">
        <v>111</v>
      </c>
      <c r="G1870" s="22">
        <v>92.06</v>
      </c>
      <c r="H1870" s="22">
        <v>29.55</v>
      </c>
      <c r="I1870" s="20" t="s">
        <v>60</v>
      </c>
      <c r="J1870" s="20">
        <v>5</v>
      </c>
      <c r="K1870" s="20" t="s">
        <v>46</v>
      </c>
      <c r="L1870" s="23">
        <f t="shared" si="214"/>
        <v>45870</v>
      </c>
      <c r="M1870" s="20">
        <f t="shared" si="215"/>
        <v>11</v>
      </c>
      <c r="N1870" s="20">
        <f t="shared" si="216"/>
        <v>0</v>
      </c>
      <c r="O1870" s="20">
        <f t="shared" si="217"/>
        <v>1</v>
      </c>
      <c r="P1870" s="22">
        <f t="shared" si="218"/>
        <v>121.61</v>
      </c>
      <c r="Q1870" s="22">
        <f>G1870*INDEX(Assumptions!$B$8:$B$16,MATCH(F1870,Assumptions!$A$8:$A$16,0))</f>
        <v>57.997800000000005</v>
      </c>
      <c r="R1870" s="22">
        <f>H1870*Assumptions!$B$3</f>
        <v>17.73</v>
      </c>
      <c r="S1870" s="22">
        <f t="shared" si="219"/>
        <v>16.332199999999997</v>
      </c>
      <c r="T1870" s="20" t="str">
        <f t="shared" si="220"/>
        <v>8-14 days</v>
      </c>
    </row>
    <row r="1871" spans="1:20" x14ac:dyDescent="0.3">
      <c r="A1871" s="20" t="s">
        <v>1937</v>
      </c>
      <c r="B1871" s="20" t="s">
        <v>19</v>
      </c>
      <c r="C1871" s="21">
        <v>45880</v>
      </c>
      <c r="D1871" s="21">
        <v>45886</v>
      </c>
      <c r="E1871" s="21">
        <v>45892</v>
      </c>
      <c r="F1871" s="20" t="s">
        <v>64</v>
      </c>
      <c r="G1871" s="22">
        <v>157.91999999999999</v>
      </c>
      <c r="H1871" s="22">
        <v>21.43</v>
      </c>
      <c r="I1871" s="20" t="s">
        <v>45</v>
      </c>
      <c r="J1871" s="20">
        <v>4</v>
      </c>
      <c r="K1871" s="20" t="s">
        <v>46</v>
      </c>
      <c r="L1871" s="23">
        <f t="shared" si="214"/>
        <v>45870</v>
      </c>
      <c r="M1871" s="20">
        <f t="shared" si="215"/>
        <v>6</v>
      </c>
      <c r="N1871" s="20">
        <f t="shared" si="216"/>
        <v>0</v>
      </c>
      <c r="O1871" s="20">
        <f t="shared" si="217"/>
        <v>1</v>
      </c>
      <c r="P1871" s="22">
        <f t="shared" si="218"/>
        <v>179.35</v>
      </c>
      <c r="Q1871" s="22">
        <f>G1871*INDEX(Assumptions!$B$8:$B$16,MATCH(F1871,Assumptions!$A$8:$A$16,0))</f>
        <v>104.2272</v>
      </c>
      <c r="R1871" s="22">
        <f>H1871*Assumptions!$B$3</f>
        <v>12.857999999999999</v>
      </c>
      <c r="S1871" s="22">
        <f t="shared" si="219"/>
        <v>40.834799999999994</v>
      </c>
      <c r="T1871" s="20" t="str">
        <f t="shared" si="220"/>
        <v>0-7 days</v>
      </c>
    </row>
    <row r="1872" spans="1:20" x14ac:dyDescent="0.3">
      <c r="A1872" s="20" t="s">
        <v>1938</v>
      </c>
      <c r="B1872" s="20" t="s">
        <v>19</v>
      </c>
      <c r="C1872" s="21">
        <v>45880</v>
      </c>
      <c r="D1872" s="21">
        <v>45890</v>
      </c>
      <c r="E1872" s="21">
        <v>45898</v>
      </c>
      <c r="F1872" s="20" t="s">
        <v>59</v>
      </c>
      <c r="G1872" s="22">
        <v>46.02</v>
      </c>
      <c r="H1872" s="22">
        <v>16.41</v>
      </c>
      <c r="I1872" s="20" t="s">
        <v>45</v>
      </c>
      <c r="J1872" s="20">
        <v>4</v>
      </c>
      <c r="K1872" s="20" t="s">
        <v>46</v>
      </c>
      <c r="L1872" s="23">
        <f t="shared" si="214"/>
        <v>45870</v>
      </c>
      <c r="M1872" s="20">
        <f t="shared" si="215"/>
        <v>10</v>
      </c>
      <c r="N1872" s="20">
        <f t="shared" si="216"/>
        <v>0</v>
      </c>
      <c r="O1872" s="20">
        <f t="shared" si="217"/>
        <v>1</v>
      </c>
      <c r="P1872" s="22">
        <f t="shared" si="218"/>
        <v>62.430000000000007</v>
      </c>
      <c r="Q1872" s="22">
        <f>G1872*INDEX(Assumptions!$B$8:$B$16,MATCH(F1872,Assumptions!$A$8:$A$16,0))</f>
        <v>29.452800000000003</v>
      </c>
      <c r="R1872" s="22">
        <f>H1872*Assumptions!$B$3</f>
        <v>9.8460000000000001</v>
      </c>
      <c r="S1872" s="22">
        <f t="shared" si="219"/>
        <v>6.7211999999999996</v>
      </c>
      <c r="T1872" s="20" t="str">
        <f t="shared" si="220"/>
        <v>8-14 days</v>
      </c>
    </row>
    <row r="1873" spans="1:20" x14ac:dyDescent="0.3">
      <c r="A1873" s="20" t="s">
        <v>1939</v>
      </c>
      <c r="B1873" s="20" t="s">
        <v>19</v>
      </c>
      <c r="C1873" s="21">
        <v>45880</v>
      </c>
      <c r="D1873" s="21">
        <v>45895</v>
      </c>
      <c r="E1873" s="21">
        <v>45900</v>
      </c>
      <c r="F1873" s="20" t="s">
        <v>67</v>
      </c>
      <c r="G1873" s="22">
        <v>189.07</v>
      </c>
      <c r="H1873" s="22">
        <v>21.88</v>
      </c>
      <c r="I1873" s="20" t="s">
        <v>60</v>
      </c>
      <c r="J1873" s="20">
        <v>5</v>
      </c>
      <c r="K1873" s="20" t="s">
        <v>46</v>
      </c>
      <c r="L1873" s="23">
        <f t="shared" si="214"/>
        <v>45870</v>
      </c>
      <c r="M1873" s="20">
        <f t="shared" si="215"/>
        <v>15</v>
      </c>
      <c r="N1873" s="20">
        <f t="shared" si="216"/>
        <v>0</v>
      </c>
      <c r="O1873" s="20">
        <f t="shared" si="217"/>
        <v>1</v>
      </c>
      <c r="P1873" s="22">
        <f t="shared" si="218"/>
        <v>210.95</v>
      </c>
      <c r="Q1873" s="22">
        <f>G1873*INDEX(Assumptions!$B$8:$B$16,MATCH(F1873,Assumptions!$A$8:$A$16,0))</f>
        <v>117.2234</v>
      </c>
      <c r="R1873" s="22">
        <f>H1873*Assumptions!$B$3</f>
        <v>13.127999999999998</v>
      </c>
      <c r="S1873" s="22">
        <f t="shared" si="219"/>
        <v>58.718599999999995</v>
      </c>
      <c r="T1873" s="20" t="str">
        <f t="shared" si="220"/>
        <v>15-21 days</v>
      </c>
    </row>
    <row r="1874" spans="1:20" x14ac:dyDescent="0.3">
      <c r="A1874" s="20" t="s">
        <v>1940</v>
      </c>
      <c r="B1874" s="20" t="s">
        <v>19</v>
      </c>
      <c r="C1874" s="21">
        <v>45880</v>
      </c>
      <c r="D1874" s="21">
        <v>45888</v>
      </c>
      <c r="E1874" s="21">
        <v>45896</v>
      </c>
      <c r="F1874" s="20" t="s">
        <v>111</v>
      </c>
      <c r="G1874" s="22">
        <v>92.66</v>
      </c>
      <c r="H1874" s="22">
        <v>14.79</v>
      </c>
      <c r="I1874" s="20" t="s">
        <v>104</v>
      </c>
      <c r="J1874" s="20">
        <v>4</v>
      </c>
      <c r="K1874" s="20" t="s">
        <v>46</v>
      </c>
      <c r="L1874" s="23">
        <f t="shared" si="214"/>
        <v>45870</v>
      </c>
      <c r="M1874" s="20">
        <f t="shared" si="215"/>
        <v>8</v>
      </c>
      <c r="N1874" s="20">
        <f t="shared" si="216"/>
        <v>0</v>
      </c>
      <c r="O1874" s="20">
        <f t="shared" si="217"/>
        <v>1</v>
      </c>
      <c r="P1874" s="22">
        <f t="shared" si="218"/>
        <v>107.44999999999999</v>
      </c>
      <c r="Q1874" s="22">
        <f>G1874*INDEX(Assumptions!$B$8:$B$16,MATCH(F1874,Assumptions!$A$8:$A$16,0))</f>
        <v>58.375799999999998</v>
      </c>
      <c r="R1874" s="22">
        <f>H1874*Assumptions!$B$3</f>
        <v>8.8739999999999988</v>
      </c>
      <c r="S1874" s="22">
        <f t="shared" si="219"/>
        <v>25.4102</v>
      </c>
      <c r="T1874" s="20" t="str">
        <f t="shared" si="220"/>
        <v>8-14 days</v>
      </c>
    </row>
    <row r="1875" spans="1:20" x14ac:dyDescent="0.3">
      <c r="A1875" s="20" t="s">
        <v>1941</v>
      </c>
      <c r="B1875" s="20" t="s">
        <v>55</v>
      </c>
      <c r="C1875" s="21">
        <v>45880</v>
      </c>
      <c r="D1875" s="21">
        <v>45895</v>
      </c>
      <c r="E1875" s="21">
        <v>45906</v>
      </c>
      <c r="F1875" s="20" t="s">
        <v>111</v>
      </c>
      <c r="G1875" s="22">
        <v>52.09</v>
      </c>
      <c r="H1875" s="22">
        <v>17.21</v>
      </c>
      <c r="I1875" s="20" t="s">
        <v>45</v>
      </c>
      <c r="J1875" s="20">
        <v>4</v>
      </c>
      <c r="K1875" s="20" t="s">
        <v>46</v>
      </c>
      <c r="L1875" s="23">
        <f t="shared" si="214"/>
        <v>45870</v>
      </c>
      <c r="M1875" s="20">
        <f t="shared" si="215"/>
        <v>15</v>
      </c>
      <c r="N1875" s="20">
        <f t="shared" si="216"/>
        <v>0</v>
      </c>
      <c r="O1875" s="20">
        <f t="shared" si="217"/>
        <v>1</v>
      </c>
      <c r="P1875" s="22">
        <f t="shared" si="218"/>
        <v>69.300000000000011</v>
      </c>
      <c r="Q1875" s="22">
        <f>G1875*INDEX(Assumptions!$B$8:$B$16,MATCH(F1875,Assumptions!$A$8:$A$16,0))</f>
        <v>32.816700000000004</v>
      </c>
      <c r="R1875" s="22">
        <f>H1875*Assumptions!$B$3</f>
        <v>10.326000000000001</v>
      </c>
      <c r="S1875" s="22">
        <f t="shared" si="219"/>
        <v>8.9472999999999985</v>
      </c>
      <c r="T1875" s="20" t="str">
        <f t="shared" si="220"/>
        <v>15-21 days</v>
      </c>
    </row>
    <row r="1876" spans="1:20" x14ac:dyDescent="0.3">
      <c r="A1876" s="20" t="s">
        <v>1942</v>
      </c>
      <c r="B1876" s="20" t="s">
        <v>19</v>
      </c>
      <c r="C1876" s="21">
        <v>45881</v>
      </c>
      <c r="D1876" s="21">
        <v>45887</v>
      </c>
      <c r="E1876" s="21">
        <v>45900</v>
      </c>
      <c r="F1876" s="20" t="s">
        <v>79</v>
      </c>
      <c r="G1876" s="22">
        <v>74.89</v>
      </c>
      <c r="H1876" s="22">
        <v>13.49</v>
      </c>
      <c r="I1876" s="20" t="s">
        <v>60</v>
      </c>
      <c r="J1876" s="20">
        <v>5</v>
      </c>
      <c r="K1876" s="20" t="s">
        <v>46</v>
      </c>
      <c r="L1876" s="23">
        <f t="shared" si="214"/>
        <v>45870</v>
      </c>
      <c r="M1876" s="20">
        <f t="shared" si="215"/>
        <v>6</v>
      </c>
      <c r="N1876" s="20">
        <f t="shared" si="216"/>
        <v>0</v>
      </c>
      <c r="O1876" s="20">
        <f t="shared" si="217"/>
        <v>1</v>
      </c>
      <c r="P1876" s="22">
        <f t="shared" si="218"/>
        <v>88.38</v>
      </c>
      <c r="Q1876" s="22">
        <f>G1876*INDEX(Assumptions!$B$8:$B$16,MATCH(F1876,Assumptions!$A$8:$A$16,0))</f>
        <v>52.422999999999995</v>
      </c>
      <c r="R1876" s="22">
        <f>H1876*Assumptions!$B$3</f>
        <v>8.0939999999999994</v>
      </c>
      <c r="S1876" s="22">
        <f t="shared" si="219"/>
        <v>14.373000000000006</v>
      </c>
      <c r="T1876" s="20" t="str">
        <f t="shared" si="220"/>
        <v>0-7 days</v>
      </c>
    </row>
    <row r="1877" spans="1:20" x14ac:dyDescent="0.3">
      <c r="A1877" s="20" t="s">
        <v>1943</v>
      </c>
      <c r="B1877" s="20" t="s">
        <v>93</v>
      </c>
      <c r="C1877" s="21">
        <v>45881</v>
      </c>
      <c r="D1877" s="21">
        <v>45895</v>
      </c>
      <c r="E1877" s="21">
        <v>45910</v>
      </c>
      <c r="F1877" s="20" t="s">
        <v>67</v>
      </c>
      <c r="G1877" s="22">
        <v>60.12</v>
      </c>
      <c r="H1877" s="22">
        <v>27.26</v>
      </c>
      <c r="I1877" s="20" t="s">
        <v>60</v>
      </c>
      <c r="J1877" s="20">
        <v>3</v>
      </c>
      <c r="K1877" s="20" t="s">
        <v>46</v>
      </c>
      <c r="L1877" s="23">
        <f t="shared" si="214"/>
        <v>45870</v>
      </c>
      <c r="M1877" s="20">
        <f t="shared" si="215"/>
        <v>14</v>
      </c>
      <c r="N1877" s="20">
        <f t="shared" si="216"/>
        <v>0</v>
      </c>
      <c r="O1877" s="20">
        <f t="shared" si="217"/>
        <v>1</v>
      </c>
      <c r="P1877" s="22">
        <f t="shared" si="218"/>
        <v>87.38</v>
      </c>
      <c r="Q1877" s="22">
        <f>G1877*INDEX(Assumptions!$B$8:$B$16,MATCH(F1877,Assumptions!$A$8:$A$16,0))</f>
        <v>37.2744</v>
      </c>
      <c r="R1877" s="22">
        <f>H1877*Assumptions!$B$3</f>
        <v>16.356000000000002</v>
      </c>
      <c r="S1877" s="22">
        <f t="shared" si="219"/>
        <v>6.4895999999999958</v>
      </c>
      <c r="T1877" s="20" t="str">
        <f t="shared" si="220"/>
        <v>8-14 days</v>
      </c>
    </row>
    <row r="1878" spans="1:20" x14ac:dyDescent="0.3">
      <c r="A1878" s="20" t="s">
        <v>1944</v>
      </c>
      <c r="B1878" s="20" t="s">
        <v>19</v>
      </c>
      <c r="C1878" s="21">
        <v>45881</v>
      </c>
      <c r="D1878" s="21">
        <v>45886</v>
      </c>
      <c r="E1878" s="21">
        <v>45896</v>
      </c>
      <c r="F1878" s="20" t="s">
        <v>49</v>
      </c>
      <c r="G1878" s="22">
        <v>50.08</v>
      </c>
      <c r="H1878" s="22">
        <v>11.71</v>
      </c>
      <c r="I1878" s="20" t="s">
        <v>45</v>
      </c>
      <c r="J1878" s="20">
        <v>4</v>
      </c>
      <c r="K1878" s="20" t="s">
        <v>46</v>
      </c>
      <c r="L1878" s="23">
        <f t="shared" si="214"/>
        <v>45870</v>
      </c>
      <c r="M1878" s="20">
        <f t="shared" si="215"/>
        <v>5</v>
      </c>
      <c r="N1878" s="20">
        <f t="shared" si="216"/>
        <v>0</v>
      </c>
      <c r="O1878" s="20">
        <f t="shared" si="217"/>
        <v>1</v>
      </c>
      <c r="P1878" s="22">
        <f t="shared" si="218"/>
        <v>61.79</v>
      </c>
      <c r="Q1878" s="22">
        <f>G1878*INDEX(Assumptions!$B$8:$B$16,MATCH(F1878,Assumptions!$A$8:$A$16,0))</f>
        <v>29.046399999999998</v>
      </c>
      <c r="R1878" s="22">
        <f>H1878*Assumptions!$B$3</f>
        <v>7.0260000000000007</v>
      </c>
      <c r="S1878" s="22">
        <f t="shared" si="219"/>
        <v>14.0076</v>
      </c>
      <c r="T1878" s="20" t="str">
        <f t="shared" si="220"/>
        <v>0-7 days</v>
      </c>
    </row>
    <row r="1879" spans="1:20" x14ac:dyDescent="0.3">
      <c r="A1879" s="20" t="s">
        <v>1945</v>
      </c>
      <c r="B1879" s="20" t="s">
        <v>19</v>
      </c>
      <c r="C1879" s="21">
        <v>45882</v>
      </c>
      <c r="D1879" s="21">
        <v>45887</v>
      </c>
      <c r="E1879" s="21">
        <v>45897</v>
      </c>
      <c r="F1879" s="20" t="s">
        <v>57</v>
      </c>
      <c r="G1879" s="22">
        <v>149.55000000000001</v>
      </c>
      <c r="H1879" s="22">
        <v>22.52</v>
      </c>
      <c r="I1879" s="20" t="s">
        <v>45</v>
      </c>
      <c r="J1879" s="20">
        <v>5</v>
      </c>
      <c r="K1879" s="20" t="s">
        <v>46</v>
      </c>
      <c r="L1879" s="23">
        <f t="shared" si="214"/>
        <v>45870</v>
      </c>
      <c r="M1879" s="20">
        <f t="shared" si="215"/>
        <v>5</v>
      </c>
      <c r="N1879" s="20">
        <f t="shared" si="216"/>
        <v>0</v>
      </c>
      <c r="O1879" s="20">
        <f t="shared" si="217"/>
        <v>1</v>
      </c>
      <c r="P1879" s="22">
        <f t="shared" si="218"/>
        <v>172.07000000000002</v>
      </c>
      <c r="Q1879" s="22">
        <f>G1879*INDEX(Assumptions!$B$8:$B$16,MATCH(F1879,Assumptions!$A$8:$A$16,0))</f>
        <v>101.69400000000002</v>
      </c>
      <c r="R1879" s="22">
        <f>H1879*Assumptions!$B$3</f>
        <v>13.511999999999999</v>
      </c>
      <c r="S1879" s="22">
        <f t="shared" si="219"/>
        <v>34.343999999999994</v>
      </c>
      <c r="T1879" s="20" t="str">
        <f t="shared" si="220"/>
        <v>0-7 days</v>
      </c>
    </row>
    <row r="1880" spans="1:20" x14ac:dyDescent="0.3">
      <c r="A1880" s="20" t="s">
        <v>1946</v>
      </c>
      <c r="B1880" s="20" t="s">
        <v>62</v>
      </c>
      <c r="C1880" s="21">
        <v>45882</v>
      </c>
      <c r="D1880" s="21">
        <v>45889</v>
      </c>
      <c r="E1880" s="21">
        <v>45903</v>
      </c>
      <c r="F1880" s="20" t="s">
        <v>53</v>
      </c>
      <c r="G1880" s="22">
        <v>271.57</v>
      </c>
      <c r="H1880" s="22">
        <v>32.229999999999997</v>
      </c>
      <c r="I1880" s="20" t="s">
        <v>50</v>
      </c>
      <c r="J1880" s="20">
        <v>4</v>
      </c>
      <c r="K1880" s="20" t="s">
        <v>46</v>
      </c>
      <c r="L1880" s="23">
        <f t="shared" si="214"/>
        <v>45870</v>
      </c>
      <c r="M1880" s="20">
        <f t="shared" si="215"/>
        <v>7</v>
      </c>
      <c r="N1880" s="20">
        <f t="shared" si="216"/>
        <v>0</v>
      </c>
      <c r="O1880" s="20">
        <f t="shared" si="217"/>
        <v>1</v>
      </c>
      <c r="P1880" s="22">
        <f t="shared" si="218"/>
        <v>303.8</v>
      </c>
      <c r="Q1880" s="22">
        <f>G1880*INDEX(Assumptions!$B$8:$B$16,MATCH(F1880,Assumptions!$A$8:$A$16,0))</f>
        <v>200.96179999999998</v>
      </c>
      <c r="R1880" s="22">
        <f>H1880*Assumptions!$B$3</f>
        <v>19.337999999999997</v>
      </c>
      <c r="S1880" s="22">
        <f t="shared" si="219"/>
        <v>51.270200000000017</v>
      </c>
      <c r="T1880" s="20" t="str">
        <f t="shared" si="220"/>
        <v>0-7 days</v>
      </c>
    </row>
    <row r="1881" spans="1:20" x14ac:dyDescent="0.3">
      <c r="A1881" s="20" t="s">
        <v>1947</v>
      </c>
      <c r="B1881" s="20" t="s">
        <v>62</v>
      </c>
      <c r="C1881" s="21">
        <v>45882</v>
      </c>
      <c r="D1881" s="21">
        <v>45898</v>
      </c>
      <c r="E1881" s="21">
        <v>45903</v>
      </c>
      <c r="F1881" s="20" t="s">
        <v>59</v>
      </c>
      <c r="G1881" s="22">
        <v>91.66</v>
      </c>
      <c r="H1881" s="22">
        <v>20.13</v>
      </c>
      <c r="I1881" s="20" t="s">
        <v>45</v>
      </c>
      <c r="J1881" s="20">
        <v>3</v>
      </c>
      <c r="K1881" s="20" t="s">
        <v>46</v>
      </c>
      <c r="L1881" s="23">
        <f t="shared" si="214"/>
        <v>45870</v>
      </c>
      <c r="M1881" s="20">
        <f t="shared" si="215"/>
        <v>16</v>
      </c>
      <c r="N1881" s="20">
        <f t="shared" si="216"/>
        <v>0</v>
      </c>
      <c r="O1881" s="20">
        <f t="shared" si="217"/>
        <v>1</v>
      </c>
      <c r="P1881" s="22">
        <f t="shared" si="218"/>
        <v>111.78999999999999</v>
      </c>
      <c r="Q1881" s="22">
        <f>G1881*INDEX(Assumptions!$B$8:$B$16,MATCH(F1881,Assumptions!$A$8:$A$16,0))</f>
        <v>58.662399999999998</v>
      </c>
      <c r="R1881" s="22">
        <f>H1881*Assumptions!$B$3</f>
        <v>12.077999999999999</v>
      </c>
      <c r="S1881" s="22">
        <f t="shared" si="219"/>
        <v>20.919599999999999</v>
      </c>
      <c r="T1881" s="20" t="str">
        <f t="shared" si="220"/>
        <v>15-21 days</v>
      </c>
    </row>
    <row r="1882" spans="1:20" x14ac:dyDescent="0.3">
      <c r="A1882" s="20" t="s">
        <v>1948</v>
      </c>
      <c r="B1882" s="20" t="s">
        <v>19</v>
      </c>
      <c r="C1882" s="21">
        <v>45882</v>
      </c>
      <c r="D1882" s="21">
        <v>45891</v>
      </c>
      <c r="E1882" s="21">
        <v>45896</v>
      </c>
      <c r="F1882" s="20" t="s">
        <v>44</v>
      </c>
      <c r="G1882" s="22">
        <v>230.74</v>
      </c>
      <c r="H1882" s="22">
        <v>24.8</v>
      </c>
      <c r="I1882" s="20" t="s">
        <v>45</v>
      </c>
      <c r="J1882" s="20">
        <v>4</v>
      </c>
      <c r="K1882" s="20" t="s">
        <v>46</v>
      </c>
      <c r="L1882" s="23">
        <f t="shared" si="214"/>
        <v>45870</v>
      </c>
      <c r="M1882" s="20">
        <f t="shared" si="215"/>
        <v>9</v>
      </c>
      <c r="N1882" s="20">
        <f t="shared" si="216"/>
        <v>0</v>
      </c>
      <c r="O1882" s="20">
        <f t="shared" si="217"/>
        <v>1</v>
      </c>
      <c r="P1882" s="22">
        <f t="shared" si="218"/>
        <v>255.54000000000002</v>
      </c>
      <c r="Q1882" s="22">
        <f>G1882*INDEX(Assumptions!$B$8:$B$16,MATCH(F1882,Assumptions!$A$8:$A$16,0))</f>
        <v>138.44399999999999</v>
      </c>
      <c r="R1882" s="22">
        <f>H1882*Assumptions!$B$3</f>
        <v>14.879999999999999</v>
      </c>
      <c r="S1882" s="22">
        <f t="shared" si="219"/>
        <v>77.416000000000025</v>
      </c>
      <c r="T1882" s="20" t="str">
        <f t="shared" si="220"/>
        <v>8-14 days</v>
      </c>
    </row>
    <row r="1883" spans="1:20" x14ac:dyDescent="0.3">
      <c r="A1883" s="20" t="s">
        <v>1949</v>
      </c>
      <c r="B1883" s="20" t="s">
        <v>201</v>
      </c>
      <c r="C1883" s="21">
        <v>45882</v>
      </c>
      <c r="D1883" s="21">
        <v>45888</v>
      </c>
      <c r="E1883" s="21">
        <v>45916</v>
      </c>
      <c r="F1883" s="20" t="s">
        <v>59</v>
      </c>
      <c r="G1883" s="22">
        <v>44.89</v>
      </c>
      <c r="H1883" s="22">
        <v>32.51</v>
      </c>
      <c r="I1883" s="20" t="s">
        <v>45</v>
      </c>
      <c r="J1883" s="20">
        <v>5</v>
      </c>
      <c r="K1883" s="20" t="s">
        <v>46</v>
      </c>
      <c r="L1883" s="23">
        <f t="shared" si="214"/>
        <v>45870</v>
      </c>
      <c r="M1883" s="20">
        <f t="shared" si="215"/>
        <v>6</v>
      </c>
      <c r="N1883" s="20">
        <f t="shared" si="216"/>
        <v>0</v>
      </c>
      <c r="O1883" s="20">
        <f t="shared" si="217"/>
        <v>1</v>
      </c>
      <c r="P1883" s="22">
        <f t="shared" si="218"/>
        <v>77.400000000000006</v>
      </c>
      <c r="Q1883" s="22">
        <f>G1883*INDEX(Assumptions!$B$8:$B$16,MATCH(F1883,Assumptions!$A$8:$A$16,0))</f>
        <v>28.729600000000001</v>
      </c>
      <c r="R1883" s="22">
        <f>H1883*Assumptions!$B$3</f>
        <v>19.505999999999997</v>
      </c>
      <c r="S1883" s="22">
        <f t="shared" si="219"/>
        <v>-3.3455999999999975</v>
      </c>
      <c r="T1883" s="20" t="str">
        <f t="shared" si="220"/>
        <v>0-7 days</v>
      </c>
    </row>
    <row r="1884" spans="1:20" x14ac:dyDescent="0.3">
      <c r="A1884" s="20" t="s">
        <v>1950</v>
      </c>
      <c r="B1884" s="20" t="s">
        <v>19</v>
      </c>
      <c r="C1884" s="21">
        <v>45882</v>
      </c>
      <c r="D1884" s="21">
        <v>45891</v>
      </c>
      <c r="E1884" s="21">
        <v>45901</v>
      </c>
      <c r="F1884" s="20" t="s">
        <v>53</v>
      </c>
      <c r="G1884" s="22">
        <v>98.51</v>
      </c>
      <c r="H1884" s="22">
        <v>15.9</v>
      </c>
      <c r="I1884" s="20" t="s">
        <v>60</v>
      </c>
      <c r="J1884" s="20">
        <v>4</v>
      </c>
      <c r="K1884" s="20" t="s">
        <v>46</v>
      </c>
      <c r="L1884" s="23">
        <f t="shared" si="214"/>
        <v>45870</v>
      </c>
      <c r="M1884" s="20">
        <f t="shared" si="215"/>
        <v>9</v>
      </c>
      <c r="N1884" s="20">
        <f t="shared" si="216"/>
        <v>0</v>
      </c>
      <c r="O1884" s="20">
        <f t="shared" si="217"/>
        <v>1</v>
      </c>
      <c r="P1884" s="22">
        <f t="shared" si="218"/>
        <v>114.41000000000001</v>
      </c>
      <c r="Q1884" s="22">
        <f>G1884*INDEX(Assumptions!$B$8:$B$16,MATCH(F1884,Assumptions!$A$8:$A$16,0))</f>
        <v>72.897400000000005</v>
      </c>
      <c r="R1884" s="22">
        <f>H1884*Assumptions!$B$3</f>
        <v>9.5399999999999991</v>
      </c>
      <c r="S1884" s="22">
        <f t="shared" si="219"/>
        <v>16.072600000000001</v>
      </c>
      <c r="T1884" s="20" t="str">
        <f t="shared" si="220"/>
        <v>8-14 days</v>
      </c>
    </row>
    <row r="1885" spans="1:20" x14ac:dyDescent="0.3">
      <c r="A1885" s="20" t="s">
        <v>1951</v>
      </c>
      <c r="B1885" s="20" t="s">
        <v>19</v>
      </c>
      <c r="C1885" s="21">
        <v>45882</v>
      </c>
      <c r="D1885" s="21">
        <v>45891</v>
      </c>
      <c r="E1885" s="21">
        <v>45898</v>
      </c>
      <c r="F1885" s="20" t="s">
        <v>67</v>
      </c>
      <c r="G1885" s="22">
        <v>92.11</v>
      </c>
      <c r="H1885" s="22">
        <v>17.11</v>
      </c>
      <c r="I1885" s="20" t="s">
        <v>45</v>
      </c>
      <c r="J1885" s="20">
        <v>5</v>
      </c>
      <c r="K1885" s="20" t="s">
        <v>46</v>
      </c>
      <c r="L1885" s="23">
        <f t="shared" si="214"/>
        <v>45870</v>
      </c>
      <c r="M1885" s="20">
        <f t="shared" si="215"/>
        <v>9</v>
      </c>
      <c r="N1885" s="20">
        <f t="shared" si="216"/>
        <v>0</v>
      </c>
      <c r="O1885" s="20">
        <f t="shared" si="217"/>
        <v>1</v>
      </c>
      <c r="P1885" s="22">
        <f t="shared" si="218"/>
        <v>109.22</v>
      </c>
      <c r="Q1885" s="22">
        <f>G1885*INDEX(Assumptions!$B$8:$B$16,MATCH(F1885,Assumptions!$A$8:$A$16,0))</f>
        <v>57.108199999999997</v>
      </c>
      <c r="R1885" s="22">
        <f>H1885*Assumptions!$B$3</f>
        <v>10.266</v>
      </c>
      <c r="S1885" s="22">
        <f t="shared" si="219"/>
        <v>24.735800000000005</v>
      </c>
      <c r="T1885" s="20" t="str">
        <f t="shared" si="220"/>
        <v>8-14 days</v>
      </c>
    </row>
    <row r="1886" spans="1:20" x14ac:dyDescent="0.3">
      <c r="A1886" s="20" t="s">
        <v>1952</v>
      </c>
      <c r="B1886" s="20" t="s">
        <v>103</v>
      </c>
      <c r="C1886" s="21">
        <v>45882</v>
      </c>
      <c r="D1886" s="21">
        <v>45899</v>
      </c>
      <c r="E1886" s="21">
        <v>45905</v>
      </c>
      <c r="F1886" s="20" t="s">
        <v>59</v>
      </c>
      <c r="G1886" s="22">
        <v>64.709999999999994</v>
      </c>
      <c r="H1886" s="22">
        <v>23.49</v>
      </c>
      <c r="I1886" s="20" t="s">
        <v>45</v>
      </c>
      <c r="J1886" s="20">
        <v>5</v>
      </c>
      <c r="K1886" s="20" t="s">
        <v>46</v>
      </c>
      <c r="L1886" s="23">
        <f t="shared" si="214"/>
        <v>45870</v>
      </c>
      <c r="M1886" s="20">
        <f t="shared" si="215"/>
        <v>17</v>
      </c>
      <c r="N1886" s="20">
        <f t="shared" si="216"/>
        <v>0</v>
      </c>
      <c r="O1886" s="20">
        <f t="shared" si="217"/>
        <v>1</v>
      </c>
      <c r="P1886" s="22">
        <f t="shared" si="218"/>
        <v>88.199999999999989</v>
      </c>
      <c r="Q1886" s="22">
        <f>G1886*INDEX(Assumptions!$B$8:$B$16,MATCH(F1886,Assumptions!$A$8:$A$16,0))</f>
        <v>41.414399999999993</v>
      </c>
      <c r="R1886" s="22">
        <f>H1886*Assumptions!$B$3</f>
        <v>14.093999999999999</v>
      </c>
      <c r="S1886" s="22">
        <f t="shared" si="219"/>
        <v>9.2016000000000009</v>
      </c>
      <c r="T1886" s="20" t="str">
        <f t="shared" si="220"/>
        <v>15-21 days</v>
      </c>
    </row>
    <row r="1887" spans="1:20" x14ac:dyDescent="0.3">
      <c r="A1887" s="20" t="s">
        <v>1953</v>
      </c>
      <c r="B1887" s="20" t="s">
        <v>174</v>
      </c>
      <c r="C1887" s="21">
        <v>45882</v>
      </c>
      <c r="D1887" s="21">
        <v>45904</v>
      </c>
      <c r="E1887" s="21">
        <v>45912</v>
      </c>
      <c r="F1887" s="20" t="s">
        <v>111</v>
      </c>
      <c r="G1887" s="22">
        <v>34.43</v>
      </c>
      <c r="H1887" s="22">
        <v>29.37</v>
      </c>
      <c r="I1887" s="20" t="s">
        <v>60</v>
      </c>
      <c r="J1887" s="20">
        <v>3</v>
      </c>
      <c r="K1887" s="20" t="s">
        <v>46</v>
      </c>
      <c r="L1887" s="23">
        <f t="shared" si="214"/>
        <v>45870</v>
      </c>
      <c r="M1887" s="20">
        <f t="shared" si="215"/>
        <v>22</v>
      </c>
      <c r="N1887" s="20">
        <f t="shared" si="216"/>
        <v>0</v>
      </c>
      <c r="O1887" s="20">
        <f t="shared" si="217"/>
        <v>1</v>
      </c>
      <c r="P1887" s="22">
        <f t="shared" si="218"/>
        <v>63.8</v>
      </c>
      <c r="Q1887" s="22">
        <f>G1887*INDEX(Assumptions!$B$8:$B$16,MATCH(F1887,Assumptions!$A$8:$A$16,0))</f>
        <v>21.690899999999999</v>
      </c>
      <c r="R1887" s="22">
        <f>H1887*Assumptions!$B$3</f>
        <v>17.622</v>
      </c>
      <c r="S1887" s="22">
        <f t="shared" si="219"/>
        <v>-4.8828999999999994</v>
      </c>
      <c r="T1887" s="20" t="str">
        <f t="shared" si="220"/>
        <v>22+ days</v>
      </c>
    </row>
    <row r="1888" spans="1:20" x14ac:dyDescent="0.3">
      <c r="A1888" s="20" t="s">
        <v>1954</v>
      </c>
      <c r="B1888" s="20" t="s">
        <v>62</v>
      </c>
      <c r="C1888" s="21">
        <v>45882</v>
      </c>
      <c r="D1888" s="21">
        <v>45890</v>
      </c>
      <c r="E1888" s="21">
        <v>45903</v>
      </c>
      <c r="F1888" s="20" t="s">
        <v>64</v>
      </c>
      <c r="G1888" s="22">
        <v>288.97000000000003</v>
      </c>
      <c r="H1888" s="22">
        <v>25.72</v>
      </c>
      <c r="I1888" s="20" t="s">
        <v>45</v>
      </c>
      <c r="J1888" s="20">
        <v>3</v>
      </c>
      <c r="K1888" s="20" t="s">
        <v>46</v>
      </c>
      <c r="L1888" s="23">
        <f t="shared" si="214"/>
        <v>45870</v>
      </c>
      <c r="M1888" s="20">
        <f t="shared" si="215"/>
        <v>8</v>
      </c>
      <c r="N1888" s="20">
        <f t="shared" si="216"/>
        <v>0</v>
      </c>
      <c r="O1888" s="20">
        <f t="shared" si="217"/>
        <v>1</v>
      </c>
      <c r="P1888" s="22">
        <f t="shared" si="218"/>
        <v>314.69000000000005</v>
      </c>
      <c r="Q1888" s="22">
        <f>G1888*INDEX(Assumptions!$B$8:$B$16,MATCH(F1888,Assumptions!$A$8:$A$16,0))</f>
        <v>190.72020000000003</v>
      </c>
      <c r="R1888" s="22">
        <f>H1888*Assumptions!$B$3</f>
        <v>15.431999999999999</v>
      </c>
      <c r="S1888" s="22">
        <f t="shared" si="219"/>
        <v>82.817799999999991</v>
      </c>
      <c r="T1888" s="20" t="str">
        <f t="shared" si="220"/>
        <v>8-14 days</v>
      </c>
    </row>
    <row r="1889" spans="1:20" x14ac:dyDescent="0.3">
      <c r="A1889" s="20" t="s">
        <v>1955</v>
      </c>
      <c r="B1889" s="20" t="s">
        <v>19</v>
      </c>
      <c r="C1889" s="21">
        <v>45883</v>
      </c>
      <c r="D1889" s="21">
        <v>45888</v>
      </c>
      <c r="E1889" s="21">
        <v>45896</v>
      </c>
      <c r="F1889" s="20" t="s">
        <v>49</v>
      </c>
      <c r="G1889" s="22">
        <v>62.91</v>
      </c>
      <c r="H1889" s="22">
        <v>14.57</v>
      </c>
      <c r="I1889" s="20" t="s">
        <v>45</v>
      </c>
      <c r="J1889" s="20">
        <v>5</v>
      </c>
      <c r="K1889" s="20" t="s">
        <v>46</v>
      </c>
      <c r="L1889" s="23">
        <f t="shared" si="214"/>
        <v>45870</v>
      </c>
      <c r="M1889" s="20">
        <f t="shared" si="215"/>
        <v>5</v>
      </c>
      <c r="N1889" s="20">
        <f t="shared" si="216"/>
        <v>0</v>
      </c>
      <c r="O1889" s="20">
        <f t="shared" si="217"/>
        <v>1</v>
      </c>
      <c r="P1889" s="22">
        <f t="shared" si="218"/>
        <v>77.47999999999999</v>
      </c>
      <c r="Q1889" s="22">
        <f>G1889*INDEX(Assumptions!$B$8:$B$16,MATCH(F1889,Assumptions!$A$8:$A$16,0))</f>
        <v>36.487799999999993</v>
      </c>
      <c r="R1889" s="22">
        <f>H1889*Assumptions!$B$3</f>
        <v>8.7419999999999991</v>
      </c>
      <c r="S1889" s="22">
        <f t="shared" si="219"/>
        <v>17.680200000000006</v>
      </c>
      <c r="T1889" s="20" t="str">
        <f t="shared" si="220"/>
        <v>0-7 days</v>
      </c>
    </row>
    <row r="1890" spans="1:20" x14ac:dyDescent="0.3">
      <c r="A1890" s="20" t="s">
        <v>1956</v>
      </c>
      <c r="B1890" s="20" t="s">
        <v>62</v>
      </c>
      <c r="C1890" s="21">
        <v>45883</v>
      </c>
      <c r="D1890" s="21">
        <v>45898</v>
      </c>
      <c r="E1890" s="21">
        <v>45903</v>
      </c>
      <c r="F1890" s="20" t="s">
        <v>111</v>
      </c>
      <c r="G1890" s="22">
        <v>40.19</v>
      </c>
      <c r="H1890" s="22">
        <v>21.26</v>
      </c>
      <c r="I1890" s="20" t="s">
        <v>45</v>
      </c>
      <c r="J1890" s="20">
        <v>5</v>
      </c>
      <c r="K1890" s="20" t="s">
        <v>46</v>
      </c>
      <c r="L1890" s="23">
        <f t="shared" si="214"/>
        <v>45870</v>
      </c>
      <c r="M1890" s="20">
        <f t="shared" si="215"/>
        <v>15</v>
      </c>
      <c r="N1890" s="20">
        <f t="shared" si="216"/>
        <v>0</v>
      </c>
      <c r="O1890" s="20">
        <f t="shared" si="217"/>
        <v>1</v>
      </c>
      <c r="P1890" s="22">
        <f t="shared" si="218"/>
        <v>61.45</v>
      </c>
      <c r="Q1890" s="22">
        <f>G1890*INDEX(Assumptions!$B$8:$B$16,MATCH(F1890,Assumptions!$A$8:$A$16,0))</f>
        <v>25.319699999999997</v>
      </c>
      <c r="R1890" s="22">
        <f>H1890*Assumptions!$B$3</f>
        <v>12.756</v>
      </c>
      <c r="S1890" s="22">
        <f t="shared" si="219"/>
        <v>2.1143000000000001</v>
      </c>
      <c r="T1890" s="20" t="str">
        <f t="shared" si="220"/>
        <v>15-21 days</v>
      </c>
    </row>
    <row r="1891" spans="1:20" x14ac:dyDescent="0.3">
      <c r="A1891" s="20" t="s">
        <v>1957</v>
      </c>
      <c r="B1891" s="20" t="s">
        <v>93</v>
      </c>
      <c r="C1891" s="21">
        <v>45883</v>
      </c>
      <c r="D1891" s="21">
        <v>45898</v>
      </c>
      <c r="E1891" s="21">
        <v>45911</v>
      </c>
      <c r="F1891" s="20" t="s">
        <v>64</v>
      </c>
      <c r="G1891" s="22">
        <v>119.72</v>
      </c>
      <c r="H1891" s="22">
        <v>32.1</v>
      </c>
      <c r="I1891" s="20" t="s">
        <v>45</v>
      </c>
      <c r="J1891" s="20">
        <v>5</v>
      </c>
      <c r="K1891" s="20" t="s">
        <v>46</v>
      </c>
      <c r="L1891" s="23">
        <f t="shared" si="214"/>
        <v>45870</v>
      </c>
      <c r="M1891" s="20">
        <f t="shared" si="215"/>
        <v>15</v>
      </c>
      <c r="N1891" s="20">
        <f t="shared" si="216"/>
        <v>0</v>
      </c>
      <c r="O1891" s="20">
        <f t="shared" si="217"/>
        <v>1</v>
      </c>
      <c r="P1891" s="22">
        <f t="shared" si="218"/>
        <v>151.82</v>
      </c>
      <c r="Q1891" s="22">
        <f>G1891*INDEX(Assumptions!$B$8:$B$16,MATCH(F1891,Assumptions!$A$8:$A$16,0))</f>
        <v>79.015200000000007</v>
      </c>
      <c r="R1891" s="22">
        <f>H1891*Assumptions!$B$3</f>
        <v>19.260000000000002</v>
      </c>
      <c r="S1891" s="22">
        <f t="shared" si="219"/>
        <v>21.44479999999999</v>
      </c>
      <c r="T1891" s="20" t="str">
        <f t="shared" si="220"/>
        <v>15-21 days</v>
      </c>
    </row>
    <row r="1892" spans="1:20" x14ac:dyDescent="0.3">
      <c r="A1892" s="20" t="s">
        <v>1958</v>
      </c>
      <c r="B1892" s="20" t="s">
        <v>52</v>
      </c>
      <c r="C1892" s="21">
        <v>45884</v>
      </c>
      <c r="D1892" s="21">
        <v>45903</v>
      </c>
      <c r="E1892" s="21">
        <v>45908</v>
      </c>
      <c r="F1892" s="20" t="s">
        <v>111</v>
      </c>
      <c r="G1892" s="22">
        <v>195.05</v>
      </c>
      <c r="H1892" s="22">
        <v>29.28</v>
      </c>
      <c r="I1892" s="20" t="s">
        <v>60</v>
      </c>
      <c r="J1892" s="20">
        <v>5</v>
      </c>
      <c r="K1892" s="20" t="s">
        <v>46</v>
      </c>
      <c r="L1892" s="23">
        <f t="shared" si="214"/>
        <v>45870</v>
      </c>
      <c r="M1892" s="20">
        <f t="shared" si="215"/>
        <v>19</v>
      </c>
      <c r="N1892" s="20">
        <f t="shared" si="216"/>
        <v>0</v>
      </c>
      <c r="O1892" s="20">
        <f t="shared" si="217"/>
        <v>1</v>
      </c>
      <c r="P1892" s="22">
        <f t="shared" si="218"/>
        <v>224.33</v>
      </c>
      <c r="Q1892" s="22">
        <f>G1892*INDEX(Assumptions!$B$8:$B$16,MATCH(F1892,Assumptions!$A$8:$A$16,0))</f>
        <v>122.8815</v>
      </c>
      <c r="R1892" s="22">
        <f>H1892*Assumptions!$B$3</f>
        <v>17.568000000000001</v>
      </c>
      <c r="S1892" s="22">
        <f t="shared" si="219"/>
        <v>54.600500000000011</v>
      </c>
      <c r="T1892" s="20" t="str">
        <f t="shared" si="220"/>
        <v>15-21 days</v>
      </c>
    </row>
    <row r="1893" spans="1:20" x14ac:dyDescent="0.3">
      <c r="A1893" s="20" t="s">
        <v>1959</v>
      </c>
      <c r="B1893" s="20" t="s">
        <v>19</v>
      </c>
      <c r="C1893" s="21">
        <v>45884</v>
      </c>
      <c r="D1893" s="21">
        <v>45892</v>
      </c>
      <c r="E1893" s="21">
        <v>45897</v>
      </c>
      <c r="F1893" s="20" t="s">
        <v>59</v>
      </c>
      <c r="G1893" s="22">
        <v>256.07</v>
      </c>
      <c r="H1893" s="22">
        <v>20.22</v>
      </c>
      <c r="I1893" s="20" t="s">
        <v>60</v>
      </c>
      <c r="J1893" s="20">
        <v>4</v>
      </c>
      <c r="K1893" s="20" t="s">
        <v>46</v>
      </c>
      <c r="L1893" s="23">
        <f t="shared" si="214"/>
        <v>45870</v>
      </c>
      <c r="M1893" s="20">
        <f t="shared" si="215"/>
        <v>8</v>
      </c>
      <c r="N1893" s="20">
        <f t="shared" si="216"/>
        <v>0</v>
      </c>
      <c r="O1893" s="20">
        <f t="shared" si="217"/>
        <v>1</v>
      </c>
      <c r="P1893" s="22">
        <f t="shared" si="218"/>
        <v>276.28999999999996</v>
      </c>
      <c r="Q1893" s="22">
        <f>G1893*INDEX(Assumptions!$B$8:$B$16,MATCH(F1893,Assumptions!$A$8:$A$16,0))</f>
        <v>163.88480000000001</v>
      </c>
      <c r="R1893" s="22">
        <f>H1893*Assumptions!$B$3</f>
        <v>12.132</v>
      </c>
      <c r="S1893" s="22">
        <f t="shared" si="219"/>
        <v>80.053199999999975</v>
      </c>
      <c r="T1893" s="20" t="str">
        <f t="shared" si="220"/>
        <v>8-14 days</v>
      </c>
    </row>
    <row r="1894" spans="1:20" x14ac:dyDescent="0.3">
      <c r="A1894" s="20" t="s">
        <v>1960</v>
      </c>
      <c r="B1894" s="20" t="s">
        <v>55</v>
      </c>
      <c r="C1894" s="21">
        <v>45884</v>
      </c>
      <c r="D1894" s="21">
        <v>45901</v>
      </c>
      <c r="E1894" s="21">
        <v>45908</v>
      </c>
      <c r="F1894" s="20" t="s">
        <v>64</v>
      </c>
      <c r="G1894" s="22">
        <v>104.22</v>
      </c>
      <c r="H1894" s="22">
        <v>31.05</v>
      </c>
      <c r="I1894" s="20" t="s">
        <v>60</v>
      </c>
      <c r="J1894" s="20">
        <v>4</v>
      </c>
      <c r="K1894" s="20" t="s">
        <v>46</v>
      </c>
      <c r="L1894" s="23">
        <f t="shared" si="214"/>
        <v>45870</v>
      </c>
      <c r="M1894" s="20">
        <f t="shared" si="215"/>
        <v>17</v>
      </c>
      <c r="N1894" s="20">
        <f t="shared" si="216"/>
        <v>0</v>
      </c>
      <c r="O1894" s="20">
        <f t="shared" si="217"/>
        <v>1</v>
      </c>
      <c r="P1894" s="22">
        <f t="shared" si="218"/>
        <v>135.27000000000001</v>
      </c>
      <c r="Q1894" s="22">
        <f>G1894*INDEX(Assumptions!$B$8:$B$16,MATCH(F1894,Assumptions!$A$8:$A$16,0))</f>
        <v>68.785200000000003</v>
      </c>
      <c r="R1894" s="22">
        <f>H1894*Assumptions!$B$3</f>
        <v>18.63</v>
      </c>
      <c r="S1894" s="22">
        <f t="shared" si="219"/>
        <v>16.804799999999997</v>
      </c>
      <c r="T1894" s="20" t="str">
        <f t="shared" si="220"/>
        <v>15-21 days</v>
      </c>
    </row>
    <row r="1895" spans="1:20" x14ac:dyDescent="0.3">
      <c r="A1895" s="20" t="s">
        <v>1961</v>
      </c>
      <c r="B1895" s="20" t="s">
        <v>19</v>
      </c>
      <c r="C1895" s="21">
        <v>45884</v>
      </c>
      <c r="D1895" s="21">
        <v>45893</v>
      </c>
      <c r="E1895" s="21">
        <v>45901</v>
      </c>
      <c r="F1895" s="20" t="s">
        <v>111</v>
      </c>
      <c r="G1895" s="22">
        <v>59.96</v>
      </c>
      <c r="H1895" s="22">
        <v>14.42</v>
      </c>
      <c r="I1895" s="20" t="s">
        <v>45</v>
      </c>
      <c r="J1895" s="20">
        <v>5</v>
      </c>
      <c r="K1895" s="20" t="s">
        <v>46</v>
      </c>
      <c r="L1895" s="23">
        <f t="shared" si="214"/>
        <v>45870</v>
      </c>
      <c r="M1895" s="20">
        <f t="shared" si="215"/>
        <v>9</v>
      </c>
      <c r="N1895" s="20">
        <f t="shared" si="216"/>
        <v>0</v>
      </c>
      <c r="O1895" s="20">
        <f t="shared" si="217"/>
        <v>1</v>
      </c>
      <c r="P1895" s="22">
        <f t="shared" si="218"/>
        <v>74.38</v>
      </c>
      <c r="Q1895" s="22">
        <f>G1895*INDEX(Assumptions!$B$8:$B$16,MATCH(F1895,Assumptions!$A$8:$A$16,0))</f>
        <v>37.774799999999999</v>
      </c>
      <c r="R1895" s="22">
        <f>H1895*Assumptions!$B$3</f>
        <v>8.6519999999999992</v>
      </c>
      <c r="S1895" s="22">
        <f t="shared" si="219"/>
        <v>13.533200000000003</v>
      </c>
      <c r="T1895" s="20" t="str">
        <f t="shared" si="220"/>
        <v>8-14 days</v>
      </c>
    </row>
    <row r="1896" spans="1:20" x14ac:dyDescent="0.3">
      <c r="A1896" s="20" t="s">
        <v>1962</v>
      </c>
      <c r="B1896" s="20" t="s">
        <v>19</v>
      </c>
      <c r="C1896" s="21">
        <v>45884</v>
      </c>
      <c r="D1896" s="21">
        <v>45897</v>
      </c>
      <c r="E1896" s="21">
        <v>45899</v>
      </c>
      <c r="F1896" s="20" t="s">
        <v>49</v>
      </c>
      <c r="G1896" s="22">
        <v>60.51</v>
      </c>
      <c r="H1896" s="22">
        <v>15.16</v>
      </c>
      <c r="I1896" s="20" t="s">
        <v>45</v>
      </c>
      <c r="J1896" s="20">
        <v>5</v>
      </c>
      <c r="K1896" s="20" t="s">
        <v>46</v>
      </c>
      <c r="L1896" s="23">
        <f t="shared" si="214"/>
        <v>45870</v>
      </c>
      <c r="M1896" s="20">
        <f t="shared" si="215"/>
        <v>13</v>
      </c>
      <c r="N1896" s="20">
        <f t="shared" si="216"/>
        <v>0</v>
      </c>
      <c r="O1896" s="20">
        <f t="shared" si="217"/>
        <v>1</v>
      </c>
      <c r="P1896" s="22">
        <f t="shared" si="218"/>
        <v>75.67</v>
      </c>
      <c r="Q1896" s="22">
        <f>G1896*INDEX(Assumptions!$B$8:$B$16,MATCH(F1896,Assumptions!$A$8:$A$16,0))</f>
        <v>35.095799999999997</v>
      </c>
      <c r="R1896" s="22">
        <f>H1896*Assumptions!$B$3</f>
        <v>9.0960000000000001</v>
      </c>
      <c r="S1896" s="22">
        <f t="shared" si="219"/>
        <v>16.318200000000001</v>
      </c>
      <c r="T1896" s="20" t="str">
        <f t="shared" si="220"/>
        <v>8-14 days</v>
      </c>
    </row>
    <row r="1897" spans="1:20" x14ac:dyDescent="0.3">
      <c r="A1897" s="20" t="s">
        <v>1963</v>
      </c>
      <c r="B1897" s="20" t="s">
        <v>19</v>
      </c>
      <c r="C1897" s="21">
        <v>45885</v>
      </c>
      <c r="D1897" s="21">
        <v>45894</v>
      </c>
      <c r="E1897" s="21">
        <v>45900</v>
      </c>
      <c r="F1897" s="20" t="s">
        <v>67</v>
      </c>
      <c r="G1897" s="22">
        <v>43.23</v>
      </c>
      <c r="H1897" s="22">
        <v>20.13</v>
      </c>
      <c r="I1897" s="20" t="s">
        <v>45</v>
      </c>
      <c r="J1897" s="20">
        <v>4</v>
      </c>
      <c r="K1897" s="20" t="s">
        <v>46</v>
      </c>
      <c r="L1897" s="23">
        <f t="shared" si="214"/>
        <v>45870</v>
      </c>
      <c r="M1897" s="20">
        <f t="shared" si="215"/>
        <v>9</v>
      </c>
      <c r="N1897" s="20">
        <f t="shared" si="216"/>
        <v>0</v>
      </c>
      <c r="O1897" s="20">
        <f t="shared" si="217"/>
        <v>1</v>
      </c>
      <c r="P1897" s="22">
        <f t="shared" si="218"/>
        <v>63.36</v>
      </c>
      <c r="Q1897" s="22">
        <f>G1897*INDEX(Assumptions!$B$8:$B$16,MATCH(F1897,Assumptions!$A$8:$A$16,0))</f>
        <v>26.802599999999998</v>
      </c>
      <c r="R1897" s="22">
        <f>H1897*Assumptions!$B$3</f>
        <v>12.077999999999999</v>
      </c>
      <c r="S1897" s="22">
        <f t="shared" si="219"/>
        <v>4.3493999999999993</v>
      </c>
      <c r="T1897" s="20" t="str">
        <f t="shared" si="220"/>
        <v>8-14 days</v>
      </c>
    </row>
    <row r="1898" spans="1:20" x14ac:dyDescent="0.3">
      <c r="A1898" s="20" t="s">
        <v>1964</v>
      </c>
      <c r="B1898" s="20" t="s">
        <v>134</v>
      </c>
      <c r="C1898" s="21">
        <v>45885</v>
      </c>
      <c r="D1898" s="21">
        <v>45897</v>
      </c>
      <c r="E1898" s="21">
        <v>45909</v>
      </c>
      <c r="F1898" s="20" t="s">
        <v>49</v>
      </c>
      <c r="G1898" s="22">
        <v>70.37</v>
      </c>
      <c r="H1898" s="22">
        <v>22.29</v>
      </c>
      <c r="I1898" s="20" t="s">
        <v>45</v>
      </c>
      <c r="J1898" s="20">
        <v>4</v>
      </c>
      <c r="K1898" s="20" t="s">
        <v>46</v>
      </c>
      <c r="L1898" s="23">
        <f t="shared" si="214"/>
        <v>45870</v>
      </c>
      <c r="M1898" s="20">
        <f t="shared" si="215"/>
        <v>12</v>
      </c>
      <c r="N1898" s="20">
        <f t="shared" si="216"/>
        <v>0</v>
      </c>
      <c r="O1898" s="20">
        <f t="shared" si="217"/>
        <v>1</v>
      </c>
      <c r="P1898" s="22">
        <f t="shared" si="218"/>
        <v>92.66</v>
      </c>
      <c r="Q1898" s="22">
        <f>G1898*INDEX(Assumptions!$B$8:$B$16,MATCH(F1898,Assumptions!$A$8:$A$16,0))</f>
        <v>40.814599999999999</v>
      </c>
      <c r="R1898" s="22">
        <f>H1898*Assumptions!$B$3</f>
        <v>13.373999999999999</v>
      </c>
      <c r="S1898" s="22">
        <f t="shared" si="219"/>
        <v>16.181400000000007</v>
      </c>
      <c r="T1898" s="20" t="str">
        <f t="shared" si="220"/>
        <v>8-14 days</v>
      </c>
    </row>
    <row r="1899" spans="1:20" x14ac:dyDescent="0.3">
      <c r="A1899" s="20" t="s">
        <v>1965</v>
      </c>
      <c r="B1899" s="20" t="s">
        <v>48</v>
      </c>
      <c r="C1899" s="21">
        <v>45885</v>
      </c>
      <c r="D1899" s="21">
        <v>45895</v>
      </c>
      <c r="E1899" s="21">
        <v>45906</v>
      </c>
      <c r="F1899" s="20" t="s">
        <v>44</v>
      </c>
      <c r="G1899" s="22">
        <v>77.709999999999994</v>
      </c>
      <c r="H1899" s="22">
        <v>27.15</v>
      </c>
      <c r="I1899" s="20" t="s">
        <v>45</v>
      </c>
      <c r="J1899" s="20">
        <v>5</v>
      </c>
      <c r="K1899" s="20" t="s">
        <v>46</v>
      </c>
      <c r="L1899" s="23">
        <f t="shared" si="214"/>
        <v>45870</v>
      </c>
      <c r="M1899" s="20">
        <f t="shared" si="215"/>
        <v>10</v>
      </c>
      <c r="N1899" s="20">
        <f t="shared" si="216"/>
        <v>0</v>
      </c>
      <c r="O1899" s="20">
        <f t="shared" si="217"/>
        <v>1</v>
      </c>
      <c r="P1899" s="22">
        <f t="shared" si="218"/>
        <v>104.85999999999999</v>
      </c>
      <c r="Q1899" s="22">
        <f>G1899*INDEX(Assumptions!$B$8:$B$16,MATCH(F1899,Assumptions!$A$8:$A$16,0))</f>
        <v>46.625999999999998</v>
      </c>
      <c r="R1899" s="22">
        <f>H1899*Assumptions!$B$3</f>
        <v>16.29</v>
      </c>
      <c r="S1899" s="22">
        <f t="shared" si="219"/>
        <v>14.793999999999997</v>
      </c>
      <c r="T1899" s="20" t="str">
        <f t="shared" si="220"/>
        <v>8-14 days</v>
      </c>
    </row>
    <row r="1900" spans="1:20" x14ac:dyDescent="0.3">
      <c r="A1900" s="20" t="s">
        <v>1966</v>
      </c>
      <c r="B1900" s="20" t="s">
        <v>19</v>
      </c>
      <c r="C1900" s="21">
        <v>45885</v>
      </c>
      <c r="D1900" s="21">
        <v>45889</v>
      </c>
      <c r="E1900" s="21">
        <v>45899</v>
      </c>
      <c r="F1900" s="20" t="s">
        <v>64</v>
      </c>
      <c r="G1900" s="22">
        <v>203.37</v>
      </c>
      <c r="H1900" s="22">
        <v>14.84</v>
      </c>
      <c r="I1900" s="20" t="s">
        <v>50</v>
      </c>
      <c r="J1900" s="20">
        <v>5</v>
      </c>
      <c r="K1900" s="20" t="s">
        <v>46</v>
      </c>
      <c r="L1900" s="23">
        <f t="shared" si="214"/>
        <v>45870</v>
      </c>
      <c r="M1900" s="20">
        <f t="shared" si="215"/>
        <v>4</v>
      </c>
      <c r="N1900" s="20">
        <f t="shared" si="216"/>
        <v>0</v>
      </c>
      <c r="O1900" s="20">
        <f t="shared" si="217"/>
        <v>1</v>
      </c>
      <c r="P1900" s="22">
        <f t="shared" si="218"/>
        <v>218.21</v>
      </c>
      <c r="Q1900" s="22">
        <f>G1900*INDEX(Assumptions!$B$8:$B$16,MATCH(F1900,Assumptions!$A$8:$A$16,0))</f>
        <v>134.2242</v>
      </c>
      <c r="R1900" s="22">
        <f>H1900*Assumptions!$B$3</f>
        <v>8.9039999999999999</v>
      </c>
      <c r="S1900" s="22">
        <f t="shared" si="219"/>
        <v>60.241800000000012</v>
      </c>
      <c r="T1900" s="20" t="str">
        <f t="shared" si="220"/>
        <v>0-7 days</v>
      </c>
    </row>
    <row r="1901" spans="1:20" x14ac:dyDescent="0.3">
      <c r="A1901" s="20" t="s">
        <v>1967</v>
      </c>
      <c r="B1901" s="20" t="s">
        <v>62</v>
      </c>
      <c r="C1901" s="21">
        <v>45885</v>
      </c>
      <c r="D1901" s="21">
        <v>45892</v>
      </c>
      <c r="E1901" s="21">
        <v>45906</v>
      </c>
      <c r="F1901" s="20" t="s">
        <v>49</v>
      </c>
      <c r="G1901" s="22">
        <v>56</v>
      </c>
      <c r="H1901" s="22">
        <v>16.940000000000001</v>
      </c>
      <c r="I1901" s="20" t="s">
        <v>45</v>
      </c>
      <c r="J1901" s="20">
        <v>3</v>
      </c>
      <c r="K1901" s="20" t="s">
        <v>46</v>
      </c>
      <c r="L1901" s="23">
        <f t="shared" si="214"/>
        <v>45870</v>
      </c>
      <c r="M1901" s="20">
        <f t="shared" si="215"/>
        <v>7</v>
      </c>
      <c r="N1901" s="20">
        <f t="shared" si="216"/>
        <v>0</v>
      </c>
      <c r="O1901" s="20">
        <f t="shared" si="217"/>
        <v>1</v>
      </c>
      <c r="P1901" s="22">
        <f t="shared" si="218"/>
        <v>72.94</v>
      </c>
      <c r="Q1901" s="22">
        <f>G1901*INDEX(Assumptions!$B$8:$B$16,MATCH(F1901,Assumptions!$A$8:$A$16,0))</f>
        <v>32.479999999999997</v>
      </c>
      <c r="R1901" s="22">
        <f>H1901*Assumptions!$B$3</f>
        <v>10.164</v>
      </c>
      <c r="S1901" s="22">
        <f t="shared" si="219"/>
        <v>13.356000000000003</v>
      </c>
      <c r="T1901" s="20" t="str">
        <f t="shared" si="220"/>
        <v>0-7 days</v>
      </c>
    </row>
    <row r="1902" spans="1:20" x14ac:dyDescent="0.3">
      <c r="A1902" s="20" t="s">
        <v>1968</v>
      </c>
      <c r="B1902" s="20" t="s">
        <v>52</v>
      </c>
      <c r="C1902" s="21">
        <v>45886</v>
      </c>
      <c r="D1902" s="21">
        <v>45902</v>
      </c>
      <c r="E1902" s="21">
        <v>45907</v>
      </c>
      <c r="F1902" s="20" t="s">
        <v>64</v>
      </c>
      <c r="G1902" s="22">
        <v>180.51</v>
      </c>
      <c r="H1902" s="22">
        <v>22.54</v>
      </c>
      <c r="I1902" s="20" t="s">
        <v>45</v>
      </c>
      <c r="J1902" s="20">
        <v>3</v>
      </c>
      <c r="K1902" s="20" t="s">
        <v>46</v>
      </c>
      <c r="L1902" s="23">
        <f t="shared" si="214"/>
        <v>45870</v>
      </c>
      <c r="M1902" s="20">
        <f t="shared" si="215"/>
        <v>16</v>
      </c>
      <c r="N1902" s="20">
        <f t="shared" si="216"/>
        <v>0</v>
      </c>
      <c r="O1902" s="20">
        <f t="shared" si="217"/>
        <v>1</v>
      </c>
      <c r="P1902" s="22">
        <f t="shared" si="218"/>
        <v>203.04999999999998</v>
      </c>
      <c r="Q1902" s="22">
        <f>G1902*INDEX(Assumptions!$B$8:$B$16,MATCH(F1902,Assumptions!$A$8:$A$16,0))</f>
        <v>119.1366</v>
      </c>
      <c r="R1902" s="22">
        <f>H1902*Assumptions!$B$3</f>
        <v>13.523999999999999</v>
      </c>
      <c r="S1902" s="22">
        <f t="shared" si="219"/>
        <v>47.849399999999989</v>
      </c>
      <c r="T1902" s="20" t="str">
        <f t="shared" si="220"/>
        <v>15-21 days</v>
      </c>
    </row>
    <row r="1903" spans="1:20" x14ac:dyDescent="0.3">
      <c r="A1903" s="20" t="s">
        <v>1969</v>
      </c>
      <c r="B1903" s="20" t="s">
        <v>19</v>
      </c>
      <c r="C1903" s="21">
        <v>45886</v>
      </c>
      <c r="D1903" s="21">
        <v>45892</v>
      </c>
      <c r="E1903" s="21">
        <v>45902</v>
      </c>
      <c r="F1903" s="20" t="s">
        <v>49</v>
      </c>
      <c r="G1903" s="22">
        <v>48.24</v>
      </c>
      <c r="H1903" s="22">
        <v>19.77</v>
      </c>
      <c r="I1903" s="20" t="s">
        <v>50</v>
      </c>
      <c r="J1903" s="20">
        <v>5</v>
      </c>
      <c r="K1903" s="20" t="s">
        <v>46</v>
      </c>
      <c r="L1903" s="23">
        <f t="shared" si="214"/>
        <v>45870</v>
      </c>
      <c r="M1903" s="20">
        <f t="shared" si="215"/>
        <v>6</v>
      </c>
      <c r="N1903" s="20">
        <f t="shared" si="216"/>
        <v>0</v>
      </c>
      <c r="O1903" s="20">
        <f t="shared" si="217"/>
        <v>1</v>
      </c>
      <c r="P1903" s="22">
        <f t="shared" si="218"/>
        <v>68.010000000000005</v>
      </c>
      <c r="Q1903" s="22">
        <f>G1903*INDEX(Assumptions!$B$8:$B$16,MATCH(F1903,Assumptions!$A$8:$A$16,0))</f>
        <v>27.979199999999999</v>
      </c>
      <c r="R1903" s="22">
        <f>H1903*Assumptions!$B$3</f>
        <v>11.862</v>
      </c>
      <c r="S1903" s="22">
        <f t="shared" si="219"/>
        <v>8.3988000000000032</v>
      </c>
      <c r="T1903" s="20" t="str">
        <f t="shared" si="220"/>
        <v>0-7 days</v>
      </c>
    </row>
    <row r="1904" spans="1:20" x14ac:dyDescent="0.3">
      <c r="A1904" s="20" t="s">
        <v>1970</v>
      </c>
      <c r="B1904" s="20" t="s">
        <v>103</v>
      </c>
      <c r="C1904" s="21">
        <v>45886</v>
      </c>
      <c r="D1904" s="21">
        <v>45904</v>
      </c>
      <c r="E1904" s="21">
        <v>45909</v>
      </c>
      <c r="F1904" s="20" t="s">
        <v>67</v>
      </c>
      <c r="G1904" s="22">
        <v>52.01</v>
      </c>
      <c r="H1904" s="22">
        <v>30.17</v>
      </c>
      <c r="I1904" s="20" t="s">
        <v>60</v>
      </c>
      <c r="J1904" s="20">
        <v>4</v>
      </c>
      <c r="K1904" s="20" t="s">
        <v>46</v>
      </c>
      <c r="L1904" s="23">
        <f t="shared" si="214"/>
        <v>45870</v>
      </c>
      <c r="M1904" s="20">
        <f t="shared" si="215"/>
        <v>18</v>
      </c>
      <c r="N1904" s="20">
        <f t="shared" si="216"/>
        <v>0</v>
      </c>
      <c r="O1904" s="20">
        <f t="shared" si="217"/>
        <v>1</v>
      </c>
      <c r="P1904" s="22">
        <f t="shared" si="218"/>
        <v>82.18</v>
      </c>
      <c r="Q1904" s="22">
        <f>G1904*INDEX(Assumptions!$B$8:$B$16,MATCH(F1904,Assumptions!$A$8:$A$16,0))</f>
        <v>32.246200000000002</v>
      </c>
      <c r="R1904" s="22">
        <f>H1904*Assumptions!$B$3</f>
        <v>18.102</v>
      </c>
      <c r="S1904" s="22">
        <f t="shared" si="219"/>
        <v>1.6617999999999959</v>
      </c>
      <c r="T1904" s="20" t="str">
        <f t="shared" si="220"/>
        <v>15-21 days</v>
      </c>
    </row>
    <row r="1905" spans="1:20" x14ac:dyDescent="0.3">
      <c r="A1905" s="20" t="s">
        <v>1971</v>
      </c>
      <c r="B1905" s="20" t="s">
        <v>55</v>
      </c>
      <c r="C1905" s="21">
        <v>45886</v>
      </c>
      <c r="D1905" s="21">
        <v>45921</v>
      </c>
      <c r="E1905" s="21">
        <v>45910</v>
      </c>
      <c r="F1905" s="20" t="s">
        <v>53</v>
      </c>
      <c r="G1905" s="22">
        <v>85.36</v>
      </c>
      <c r="H1905" s="22">
        <v>23.97</v>
      </c>
      <c r="I1905" s="20" t="s">
        <v>45</v>
      </c>
      <c r="J1905" s="20">
        <v>1</v>
      </c>
      <c r="K1905" s="20" t="s">
        <v>46</v>
      </c>
      <c r="L1905" s="23">
        <f t="shared" si="214"/>
        <v>45870</v>
      </c>
      <c r="M1905" s="20">
        <f t="shared" si="215"/>
        <v>35</v>
      </c>
      <c r="N1905" s="20">
        <f t="shared" si="216"/>
        <v>11</v>
      </c>
      <c r="O1905" s="20">
        <f t="shared" si="217"/>
        <v>0</v>
      </c>
      <c r="P1905" s="22">
        <f t="shared" si="218"/>
        <v>109.33</v>
      </c>
      <c r="Q1905" s="22">
        <f>G1905*INDEX(Assumptions!$B$8:$B$16,MATCH(F1905,Assumptions!$A$8:$A$16,0))</f>
        <v>63.166399999999996</v>
      </c>
      <c r="R1905" s="22">
        <f>H1905*Assumptions!$B$3</f>
        <v>14.382</v>
      </c>
      <c r="S1905" s="22">
        <f t="shared" si="219"/>
        <v>7.8116000000000039</v>
      </c>
      <c r="T1905" s="20" t="str">
        <f t="shared" si="220"/>
        <v>22+ days</v>
      </c>
    </row>
    <row r="1906" spans="1:20" x14ac:dyDescent="0.3">
      <c r="A1906" s="20" t="s">
        <v>1972</v>
      </c>
      <c r="B1906" s="20" t="s">
        <v>19</v>
      </c>
      <c r="C1906" s="21">
        <v>45886</v>
      </c>
      <c r="D1906" s="21">
        <v>45892</v>
      </c>
      <c r="E1906" s="21">
        <v>45903</v>
      </c>
      <c r="F1906" s="20" t="s">
        <v>59</v>
      </c>
      <c r="G1906" s="22">
        <v>85.87</v>
      </c>
      <c r="H1906" s="22">
        <v>12.74</v>
      </c>
      <c r="I1906" s="20" t="s">
        <v>60</v>
      </c>
      <c r="J1906" s="20">
        <v>4</v>
      </c>
      <c r="K1906" s="20" t="s">
        <v>46</v>
      </c>
      <c r="L1906" s="23">
        <f t="shared" si="214"/>
        <v>45870</v>
      </c>
      <c r="M1906" s="20">
        <f t="shared" si="215"/>
        <v>6</v>
      </c>
      <c r="N1906" s="20">
        <f t="shared" si="216"/>
        <v>0</v>
      </c>
      <c r="O1906" s="20">
        <f t="shared" si="217"/>
        <v>1</v>
      </c>
      <c r="P1906" s="22">
        <f t="shared" si="218"/>
        <v>98.61</v>
      </c>
      <c r="Q1906" s="22">
        <f>G1906*INDEX(Assumptions!$B$8:$B$16,MATCH(F1906,Assumptions!$A$8:$A$16,0))</f>
        <v>54.956800000000001</v>
      </c>
      <c r="R1906" s="22">
        <f>H1906*Assumptions!$B$3</f>
        <v>7.6440000000000001</v>
      </c>
      <c r="S1906" s="22">
        <f t="shared" si="219"/>
        <v>23.269200000000005</v>
      </c>
      <c r="T1906" s="20" t="str">
        <f t="shared" si="220"/>
        <v>0-7 days</v>
      </c>
    </row>
    <row r="1907" spans="1:20" x14ac:dyDescent="0.3">
      <c r="A1907" s="20" t="s">
        <v>1973</v>
      </c>
      <c r="B1907" s="20" t="s">
        <v>62</v>
      </c>
      <c r="C1907" s="21">
        <v>45886</v>
      </c>
      <c r="D1907" s="21">
        <v>45904</v>
      </c>
      <c r="E1907" s="21">
        <v>45909</v>
      </c>
      <c r="F1907" s="20" t="s">
        <v>53</v>
      </c>
      <c r="G1907" s="22">
        <v>85.34</v>
      </c>
      <c r="H1907" s="22">
        <v>23.39</v>
      </c>
      <c r="I1907" s="20" t="s">
        <v>45</v>
      </c>
      <c r="J1907" s="20">
        <v>4</v>
      </c>
      <c r="K1907" s="20" t="s">
        <v>46</v>
      </c>
      <c r="L1907" s="23">
        <f t="shared" si="214"/>
        <v>45870</v>
      </c>
      <c r="M1907" s="20">
        <f t="shared" si="215"/>
        <v>18</v>
      </c>
      <c r="N1907" s="20">
        <f t="shared" si="216"/>
        <v>0</v>
      </c>
      <c r="O1907" s="20">
        <f t="shared" si="217"/>
        <v>1</v>
      </c>
      <c r="P1907" s="22">
        <f t="shared" si="218"/>
        <v>108.73</v>
      </c>
      <c r="Q1907" s="22">
        <f>G1907*INDEX(Assumptions!$B$8:$B$16,MATCH(F1907,Assumptions!$A$8:$A$16,0))</f>
        <v>63.151600000000002</v>
      </c>
      <c r="R1907" s="22">
        <f>H1907*Assumptions!$B$3</f>
        <v>14.034000000000001</v>
      </c>
      <c r="S1907" s="22">
        <f t="shared" si="219"/>
        <v>8.1544000000000008</v>
      </c>
      <c r="T1907" s="20" t="str">
        <f t="shared" si="220"/>
        <v>15-21 days</v>
      </c>
    </row>
    <row r="1908" spans="1:20" x14ac:dyDescent="0.3">
      <c r="A1908" s="20" t="s">
        <v>1974</v>
      </c>
      <c r="B1908" s="20" t="s">
        <v>19</v>
      </c>
      <c r="C1908" s="21">
        <v>45887</v>
      </c>
      <c r="D1908" s="21">
        <v>45892</v>
      </c>
      <c r="E1908" s="21">
        <v>45902</v>
      </c>
      <c r="F1908" s="20" t="s">
        <v>67</v>
      </c>
      <c r="G1908" s="22">
        <v>54.63</v>
      </c>
      <c r="H1908" s="22">
        <v>16.39</v>
      </c>
      <c r="I1908" s="20" t="s">
        <v>45</v>
      </c>
      <c r="J1908" s="20">
        <v>5</v>
      </c>
      <c r="K1908" s="20" t="s">
        <v>46</v>
      </c>
      <c r="L1908" s="23">
        <f t="shared" si="214"/>
        <v>45870</v>
      </c>
      <c r="M1908" s="20">
        <f t="shared" si="215"/>
        <v>5</v>
      </c>
      <c r="N1908" s="20">
        <f t="shared" si="216"/>
        <v>0</v>
      </c>
      <c r="O1908" s="20">
        <f t="shared" si="217"/>
        <v>1</v>
      </c>
      <c r="P1908" s="22">
        <f t="shared" si="218"/>
        <v>71.02000000000001</v>
      </c>
      <c r="Q1908" s="22">
        <f>G1908*INDEX(Assumptions!$B$8:$B$16,MATCH(F1908,Assumptions!$A$8:$A$16,0))</f>
        <v>33.870600000000003</v>
      </c>
      <c r="R1908" s="22">
        <f>H1908*Assumptions!$B$3</f>
        <v>9.8339999999999996</v>
      </c>
      <c r="S1908" s="22">
        <f t="shared" si="219"/>
        <v>10.9254</v>
      </c>
      <c r="T1908" s="20" t="str">
        <f t="shared" si="220"/>
        <v>0-7 days</v>
      </c>
    </row>
    <row r="1909" spans="1:20" x14ac:dyDescent="0.3">
      <c r="A1909" s="20" t="s">
        <v>1975</v>
      </c>
      <c r="B1909" s="20" t="s">
        <v>19</v>
      </c>
      <c r="C1909" s="21">
        <v>45887</v>
      </c>
      <c r="D1909" s="21">
        <v>45893</v>
      </c>
      <c r="E1909" s="21">
        <v>45901</v>
      </c>
      <c r="F1909" s="20" t="s">
        <v>67</v>
      </c>
      <c r="G1909" s="22">
        <v>58.96</v>
      </c>
      <c r="H1909" s="22">
        <v>18.239999999999998</v>
      </c>
      <c r="I1909" s="20" t="s">
        <v>45</v>
      </c>
      <c r="J1909" s="20">
        <v>5</v>
      </c>
      <c r="K1909" s="20" t="s">
        <v>46</v>
      </c>
      <c r="L1909" s="23">
        <f t="shared" si="214"/>
        <v>45870</v>
      </c>
      <c r="M1909" s="20">
        <f t="shared" si="215"/>
        <v>6</v>
      </c>
      <c r="N1909" s="20">
        <f t="shared" si="216"/>
        <v>0</v>
      </c>
      <c r="O1909" s="20">
        <f t="shared" si="217"/>
        <v>1</v>
      </c>
      <c r="P1909" s="22">
        <f t="shared" si="218"/>
        <v>77.2</v>
      </c>
      <c r="Q1909" s="22">
        <f>G1909*INDEX(Assumptions!$B$8:$B$16,MATCH(F1909,Assumptions!$A$8:$A$16,0))</f>
        <v>36.555199999999999</v>
      </c>
      <c r="R1909" s="22">
        <f>H1909*Assumptions!$B$3</f>
        <v>10.943999999999999</v>
      </c>
      <c r="S1909" s="22">
        <f t="shared" si="219"/>
        <v>11.460800000000003</v>
      </c>
      <c r="T1909" s="20" t="str">
        <f t="shared" si="220"/>
        <v>0-7 days</v>
      </c>
    </row>
    <row r="1910" spans="1:20" x14ac:dyDescent="0.3">
      <c r="A1910" s="20" t="s">
        <v>1976</v>
      </c>
      <c r="B1910" s="20" t="s">
        <v>19</v>
      </c>
      <c r="C1910" s="21">
        <v>45887</v>
      </c>
      <c r="D1910" s="21">
        <v>45898</v>
      </c>
      <c r="E1910" s="21">
        <v>45903</v>
      </c>
      <c r="F1910" s="20" t="s">
        <v>44</v>
      </c>
      <c r="G1910" s="22">
        <v>247.11</v>
      </c>
      <c r="H1910" s="22">
        <v>24.73</v>
      </c>
      <c r="I1910" s="20" t="s">
        <v>60</v>
      </c>
      <c r="J1910" s="20">
        <v>5</v>
      </c>
      <c r="K1910" s="20" t="s">
        <v>46</v>
      </c>
      <c r="L1910" s="23">
        <f t="shared" si="214"/>
        <v>45870</v>
      </c>
      <c r="M1910" s="20">
        <f t="shared" si="215"/>
        <v>11</v>
      </c>
      <c r="N1910" s="20">
        <f t="shared" si="216"/>
        <v>0</v>
      </c>
      <c r="O1910" s="20">
        <f t="shared" si="217"/>
        <v>1</v>
      </c>
      <c r="P1910" s="22">
        <f t="shared" si="218"/>
        <v>271.84000000000003</v>
      </c>
      <c r="Q1910" s="22">
        <f>G1910*INDEX(Assumptions!$B$8:$B$16,MATCH(F1910,Assumptions!$A$8:$A$16,0))</f>
        <v>148.26599999999999</v>
      </c>
      <c r="R1910" s="22">
        <f>H1910*Assumptions!$B$3</f>
        <v>14.837999999999999</v>
      </c>
      <c r="S1910" s="22">
        <f t="shared" si="219"/>
        <v>84.006000000000029</v>
      </c>
      <c r="T1910" s="20" t="str">
        <f t="shared" si="220"/>
        <v>8-14 days</v>
      </c>
    </row>
    <row r="1911" spans="1:20" x14ac:dyDescent="0.3">
      <c r="A1911" s="20" t="s">
        <v>1977</v>
      </c>
      <c r="B1911" s="20" t="s">
        <v>19</v>
      </c>
      <c r="C1911" s="21">
        <v>45887</v>
      </c>
      <c r="D1911" s="21">
        <v>45892</v>
      </c>
      <c r="E1911" s="21">
        <v>45901</v>
      </c>
      <c r="F1911" s="20" t="s">
        <v>79</v>
      </c>
      <c r="G1911" s="22">
        <v>52.45</v>
      </c>
      <c r="H1911" s="22">
        <v>14.39</v>
      </c>
      <c r="I1911" s="20" t="s">
        <v>45</v>
      </c>
      <c r="J1911" s="20">
        <v>5</v>
      </c>
      <c r="K1911" s="20" t="s">
        <v>46</v>
      </c>
      <c r="L1911" s="23">
        <f t="shared" si="214"/>
        <v>45870</v>
      </c>
      <c r="M1911" s="20">
        <f t="shared" si="215"/>
        <v>5</v>
      </c>
      <c r="N1911" s="20">
        <f t="shared" si="216"/>
        <v>0</v>
      </c>
      <c r="O1911" s="20">
        <f t="shared" si="217"/>
        <v>1</v>
      </c>
      <c r="P1911" s="22">
        <f t="shared" si="218"/>
        <v>66.84</v>
      </c>
      <c r="Q1911" s="22">
        <f>G1911*INDEX(Assumptions!$B$8:$B$16,MATCH(F1911,Assumptions!$A$8:$A$16,0))</f>
        <v>36.714999999999996</v>
      </c>
      <c r="R1911" s="22">
        <f>H1911*Assumptions!$B$3</f>
        <v>8.6340000000000003</v>
      </c>
      <c r="S1911" s="22">
        <f t="shared" si="219"/>
        <v>7.1010000000000062</v>
      </c>
      <c r="T1911" s="20" t="str">
        <f t="shared" si="220"/>
        <v>0-7 days</v>
      </c>
    </row>
    <row r="1912" spans="1:20" x14ac:dyDescent="0.3">
      <c r="A1912" s="20" t="s">
        <v>1978</v>
      </c>
      <c r="B1912" s="20" t="s">
        <v>19</v>
      </c>
      <c r="C1912" s="21">
        <v>45887</v>
      </c>
      <c r="D1912" s="21">
        <v>45893</v>
      </c>
      <c r="E1912" s="21">
        <v>45901</v>
      </c>
      <c r="F1912" s="20" t="s">
        <v>79</v>
      </c>
      <c r="G1912" s="22">
        <v>178.67</v>
      </c>
      <c r="H1912" s="22">
        <v>21.82</v>
      </c>
      <c r="I1912" s="20" t="s">
        <v>45</v>
      </c>
      <c r="J1912" s="20">
        <v>5</v>
      </c>
      <c r="K1912" s="20" t="s">
        <v>46</v>
      </c>
      <c r="L1912" s="23">
        <f t="shared" si="214"/>
        <v>45870</v>
      </c>
      <c r="M1912" s="20">
        <f t="shared" si="215"/>
        <v>6</v>
      </c>
      <c r="N1912" s="20">
        <f t="shared" si="216"/>
        <v>0</v>
      </c>
      <c r="O1912" s="20">
        <f t="shared" si="217"/>
        <v>1</v>
      </c>
      <c r="P1912" s="22">
        <f t="shared" si="218"/>
        <v>200.48999999999998</v>
      </c>
      <c r="Q1912" s="22">
        <f>G1912*INDEX(Assumptions!$B$8:$B$16,MATCH(F1912,Assumptions!$A$8:$A$16,0))</f>
        <v>125.06899999999999</v>
      </c>
      <c r="R1912" s="22">
        <f>H1912*Assumptions!$B$3</f>
        <v>13.092000000000001</v>
      </c>
      <c r="S1912" s="22">
        <f t="shared" si="219"/>
        <v>40.509</v>
      </c>
      <c r="T1912" s="20" t="str">
        <f t="shared" si="220"/>
        <v>0-7 days</v>
      </c>
    </row>
    <row r="1913" spans="1:20" x14ac:dyDescent="0.3">
      <c r="A1913" s="20" t="s">
        <v>1979</v>
      </c>
      <c r="B1913" s="20" t="s">
        <v>52</v>
      </c>
      <c r="C1913" s="21">
        <v>45887</v>
      </c>
      <c r="D1913" s="21">
        <v>45916</v>
      </c>
      <c r="E1913" s="21">
        <v>45911</v>
      </c>
      <c r="F1913" s="20" t="s">
        <v>53</v>
      </c>
      <c r="G1913" s="22">
        <v>178.53</v>
      </c>
      <c r="H1913" s="22">
        <v>23.8</v>
      </c>
      <c r="I1913" s="20" t="s">
        <v>45</v>
      </c>
      <c r="J1913" s="20">
        <v>1</v>
      </c>
      <c r="K1913" s="20" t="s">
        <v>46</v>
      </c>
      <c r="L1913" s="23">
        <f t="shared" si="214"/>
        <v>45870</v>
      </c>
      <c r="M1913" s="20">
        <f t="shared" si="215"/>
        <v>29</v>
      </c>
      <c r="N1913" s="20">
        <f t="shared" si="216"/>
        <v>5</v>
      </c>
      <c r="O1913" s="20">
        <f t="shared" si="217"/>
        <v>0</v>
      </c>
      <c r="P1913" s="22">
        <f t="shared" si="218"/>
        <v>202.33</v>
      </c>
      <c r="Q1913" s="22">
        <f>G1913*INDEX(Assumptions!$B$8:$B$16,MATCH(F1913,Assumptions!$A$8:$A$16,0))</f>
        <v>132.1122</v>
      </c>
      <c r="R1913" s="22">
        <f>H1913*Assumptions!$B$3</f>
        <v>14.28</v>
      </c>
      <c r="S1913" s="22">
        <f t="shared" si="219"/>
        <v>32.137799999999999</v>
      </c>
      <c r="T1913" s="20" t="str">
        <f t="shared" si="220"/>
        <v>22+ days</v>
      </c>
    </row>
    <row r="1914" spans="1:20" x14ac:dyDescent="0.3">
      <c r="A1914" s="20" t="s">
        <v>1980</v>
      </c>
      <c r="B1914" s="20" t="s">
        <v>48</v>
      </c>
      <c r="C1914" s="21">
        <v>45888</v>
      </c>
      <c r="D1914" s="21">
        <v>45912</v>
      </c>
      <c r="E1914" s="21">
        <v>45909</v>
      </c>
      <c r="F1914" s="20" t="s">
        <v>64</v>
      </c>
      <c r="G1914" s="22">
        <v>333.34</v>
      </c>
      <c r="H1914" s="22">
        <v>22.63</v>
      </c>
      <c r="I1914" s="20" t="s">
        <v>45</v>
      </c>
      <c r="J1914" s="20">
        <v>3</v>
      </c>
      <c r="K1914" s="20" t="s">
        <v>46</v>
      </c>
      <c r="L1914" s="23">
        <f t="shared" si="214"/>
        <v>45870</v>
      </c>
      <c r="M1914" s="20">
        <f t="shared" si="215"/>
        <v>24</v>
      </c>
      <c r="N1914" s="20">
        <f t="shared" si="216"/>
        <v>3</v>
      </c>
      <c r="O1914" s="20">
        <f t="shared" si="217"/>
        <v>0</v>
      </c>
      <c r="P1914" s="22">
        <f t="shared" si="218"/>
        <v>355.96999999999997</v>
      </c>
      <c r="Q1914" s="22">
        <f>G1914*INDEX(Assumptions!$B$8:$B$16,MATCH(F1914,Assumptions!$A$8:$A$16,0))</f>
        <v>220.0044</v>
      </c>
      <c r="R1914" s="22">
        <f>H1914*Assumptions!$B$3</f>
        <v>13.577999999999999</v>
      </c>
      <c r="S1914" s="22">
        <f t="shared" si="219"/>
        <v>99.757599999999968</v>
      </c>
      <c r="T1914" s="20" t="str">
        <f t="shared" si="220"/>
        <v>22+ days</v>
      </c>
    </row>
    <row r="1915" spans="1:20" x14ac:dyDescent="0.3">
      <c r="A1915" s="20" t="s">
        <v>1981</v>
      </c>
      <c r="B1915" s="20" t="s">
        <v>19</v>
      </c>
      <c r="C1915" s="21">
        <v>45888</v>
      </c>
      <c r="D1915" s="21">
        <v>45897</v>
      </c>
      <c r="E1915" s="21">
        <v>45905</v>
      </c>
      <c r="F1915" s="20" t="s">
        <v>49</v>
      </c>
      <c r="G1915" s="22">
        <v>57.96</v>
      </c>
      <c r="H1915" s="22">
        <v>11.84</v>
      </c>
      <c r="I1915" s="20" t="s">
        <v>45</v>
      </c>
      <c r="J1915" s="20">
        <v>5</v>
      </c>
      <c r="K1915" s="20" t="s">
        <v>46</v>
      </c>
      <c r="L1915" s="23">
        <f t="shared" si="214"/>
        <v>45870</v>
      </c>
      <c r="M1915" s="20">
        <f t="shared" si="215"/>
        <v>9</v>
      </c>
      <c r="N1915" s="20">
        <f t="shared" si="216"/>
        <v>0</v>
      </c>
      <c r="O1915" s="20">
        <f t="shared" si="217"/>
        <v>1</v>
      </c>
      <c r="P1915" s="22">
        <f t="shared" si="218"/>
        <v>69.8</v>
      </c>
      <c r="Q1915" s="22">
        <f>G1915*INDEX(Assumptions!$B$8:$B$16,MATCH(F1915,Assumptions!$A$8:$A$16,0))</f>
        <v>33.616799999999998</v>
      </c>
      <c r="R1915" s="22">
        <f>H1915*Assumptions!$B$3</f>
        <v>7.1040000000000001</v>
      </c>
      <c r="S1915" s="22">
        <f t="shared" si="219"/>
        <v>17.239200000000004</v>
      </c>
      <c r="T1915" s="20" t="str">
        <f t="shared" si="220"/>
        <v>8-14 days</v>
      </c>
    </row>
    <row r="1916" spans="1:20" x14ac:dyDescent="0.3">
      <c r="A1916" s="20" t="s">
        <v>1982</v>
      </c>
      <c r="B1916" s="20" t="s">
        <v>93</v>
      </c>
      <c r="C1916" s="21">
        <v>45888</v>
      </c>
      <c r="D1916" s="21">
        <v>45903</v>
      </c>
      <c r="E1916" s="21">
        <v>45920</v>
      </c>
      <c r="F1916" s="20" t="s">
        <v>53</v>
      </c>
      <c r="G1916" s="22">
        <v>153.29</v>
      </c>
      <c r="H1916" s="22">
        <v>28.82</v>
      </c>
      <c r="I1916" s="20" t="s">
        <v>60</v>
      </c>
      <c r="J1916" s="20">
        <v>3</v>
      </c>
      <c r="K1916" s="20" t="s">
        <v>46</v>
      </c>
      <c r="L1916" s="23">
        <f t="shared" si="214"/>
        <v>45870</v>
      </c>
      <c r="M1916" s="20">
        <f t="shared" si="215"/>
        <v>15</v>
      </c>
      <c r="N1916" s="20">
        <f t="shared" si="216"/>
        <v>0</v>
      </c>
      <c r="O1916" s="20">
        <f t="shared" si="217"/>
        <v>1</v>
      </c>
      <c r="P1916" s="22">
        <f t="shared" si="218"/>
        <v>182.10999999999999</v>
      </c>
      <c r="Q1916" s="22">
        <f>G1916*INDEX(Assumptions!$B$8:$B$16,MATCH(F1916,Assumptions!$A$8:$A$16,0))</f>
        <v>113.43459999999999</v>
      </c>
      <c r="R1916" s="22">
        <f>H1916*Assumptions!$B$3</f>
        <v>17.291999999999998</v>
      </c>
      <c r="S1916" s="22">
        <f t="shared" si="219"/>
        <v>22.563400000000005</v>
      </c>
      <c r="T1916" s="20" t="str">
        <f t="shared" si="220"/>
        <v>15-21 days</v>
      </c>
    </row>
    <row r="1917" spans="1:20" x14ac:dyDescent="0.3">
      <c r="A1917" s="20" t="s">
        <v>1983</v>
      </c>
      <c r="B1917" s="20" t="s">
        <v>174</v>
      </c>
      <c r="C1917" s="21">
        <v>45888</v>
      </c>
      <c r="D1917" s="21">
        <v>45906</v>
      </c>
      <c r="E1917" s="21">
        <v>45922</v>
      </c>
      <c r="F1917" s="20" t="s">
        <v>49</v>
      </c>
      <c r="G1917" s="22">
        <v>134.63</v>
      </c>
      <c r="H1917" s="22">
        <v>46.97</v>
      </c>
      <c r="I1917" s="20" t="s">
        <v>50</v>
      </c>
      <c r="J1917" s="20">
        <v>5</v>
      </c>
      <c r="K1917" s="20" t="s">
        <v>46</v>
      </c>
      <c r="L1917" s="23">
        <f t="shared" si="214"/>
        <v>45870</v>
      </c>
      <c r="M1917" s="20">
        <f t="shared" si="215"/>
        <v>18</v>
      </c>
      <c r="N1917" s="20">
        <f t="shared" si="216"/>
        <v>0</v>
      </c>
      <c r="O1917" s="20">
        <f t="shared" si="217"/>
        <v>1</v>
      </c>
      <c r="P1917" s="22">
        <f t="shared" si="218"/>
        <v>181.6</v>
      </c>
      <c r="Q1917" s="22">
        <f>G1917*INDEX(Assumptions!$B$8:$B$16,MATCH(F1917,Assumptions!$A$8:$A$16,0))</f>
        <v>78.085399999999993</v>
      </c>
      <c r="R1917" s="22">
        <f>H1917*Assumptions!$B$3</f>
        <v>28.181999999999999</v>
      </c>
      <c r="S1917" s="22">
        <f t="shared" si="219"/>
        <v>28.362600000000004</v>
      </c>
      <c r="T1917" s="20" t="str">
        <f t="shared" si="220"/>
        <v>15-21 days</v>
      </c>
    </row>
    <row r="1918" spans="1:20" x14ac:dyDescent="0.3">
      <c r="A1918" s="20" t="s">
        <v>1984</v>
      </c>
      <c r="B1918" s="20" t="s">
        <v>55</v>
      </c>
      <c r="C1918" s="21">
        <v>45888</v>
      </c>
      <c r="D1918" s="21">
        <v>45909</v>
      </c>
      <c r="E1918" s="21">
        <v>45913</v>
      </c>
      <c r="F1918" s="20" t="s">
        <v>64</v>
      </c>
      <c r="G1918" s="22">
        <v>147.30000000000001</v>
      </c>
      <c r="H1918" s="22">
        <v>29.93</v>
      </c>
      <c r="I1918" s="20" t="s">
        <v>60</v>
      </c>
      <c r="J1918" s="20">
        <v>3</v>
      </c>
      <c r="K1918" s="20" t="s">
        <v>46</v>
      </c>
      <c r="L1918" s="23">
        <f t="shared" si="214"/>
        <v>45870</v>
      </c>
      <c r="M1918" s="20">
        <f t="shared" si="215"/>
        <v>21</v>
      </c>
      <c r="N1918" s="20">
        <f t="shared" si="216"/>
        <v>0</v>
      </c>
      <c r="O1918" s="20">
        <f t="shared" si="217"/>
        <v>1</v>
      </c>
      <c r="P1918" s="22">
        <f t="shared" si="218"/>
        <v>177.23000000000002</v>
      </c>
      <c r="Q1918" s="22">
        <f>G1918*INDEX(Assumptions!$B$8:$B$16,MATCH(F1918,Assumptions!$A$8:$A$16,0))</f>
        <v>97.218000000000018</v>
      </c>
      <c r="R1918" s="22">
        <f>H1918*Assumptions!$B$3</f>
        <v>17.957999999999998</v>
      </c>
      <c r="S1918" s="22">
        <f t="shared" si="219"/>
        <v>32.123999999999995</v>
      </c>
      <c r="T1918" s="20" t="str">
        <f t="shared" si="220"/>
        <v>15-21 days</v>
      </c>
    </row>
    <row r="1919" spans="1:20" x14ac:dyDescent="0.3">
      <c r="A1919" s="20" t="s">
        <v>1985</v>
      </c>
      <c r="B1919" s="20" t="s">
        <v>19</v>
      </c>
      <c r="C1919" s="21">
        <v>45888</v>
      </c>
      <c r="D1919" s="21">
        <v>45899</v>
      </c>
      <c r="E1919" s="21">
        <v>45904</v>
      </c>
      <c r="F1919" s="20" t="s">
        <v>49</v>
      </c>
      <c r="G1919" s="22">
        <v>69.2</v>
      </c>
      <c r="H1919" s="22">
        <v>13.36</v>
      </c>
      <c r="I1919" s="20" t="s">
        <v>45</v>
      </c>
      <c r="J1919" s="20">
        <v>4</v>
      </c>
      <c r="K1919" s="20" t="s">
        <v>46</v>
      </c>
      <c r="L1919" s="23">
        <f t="shared" si="214"/>
        <v>45870</v>
      </c>
      <c r="M1919" s="20">
        <f t="shared" si="215"/>
        <v>11</v>
      </c>
      <c r="N1919" s="20">
        <f t="shared" si="216"/>
        <v>0</v>
      </c>
      <c r="O1919" s="20">
        <f t="shared" si="217"/>
        <v>1</v>
      </c>
      <c r="P1919" s="22">
        <f t="shared" si="218"/>
        <v>82.56</v>
      </c>
      <c r="Q1919" s="22">
        <f>G1919*INDEX(Assumptions!$B$8:$B$16,MATCH(F1919,Assumptions!$A$8:$A$16,0))</f>
        <v>40.135999999999996</v>
      </c>
      <c r="R1919" s="22">
        <f>H1919*Assumptions!$B$3</f>
        <v>8.016</v>
      </c>
      <c r="S1919" s="22">
        <f t="shared" si="219"/>
        <v>21.048000000000009</v>
      </c>
      <c r="T1919" s="20" t="str">
        <f t="shared" si="220"/>
        <v>8-14 days</v>
      </c>
    </row>
    <row r="1920" spans="1:20" x14ac:dyDescent="0.3">
      <c r="A1920" s="20" t="s">
        <v>1986</v>
      </c>
      <c r="B1920" s="20" t="s">
        <v>55</v>
      </c>
      <c r="C1920" s="21">
        <v>45888</v>
      </c>
      <c r="D1920" s="21">
        <v>45892</v>
      </c>
      <c r="E1920" s="21">
        <v>45912</v>
      </c>
      <c r="F1920" s="20" t="s">
        <v>67</v>
      </c>
      <c r="G1920" s="22">
        <v>72.36</v>
      </c>
      <c r="H1920" s="22">
        <v>20.85</v>
      </c>
      <c r="I1920" s="20" t="s">
        <v>45</v>
      </c>
      <c r="J1920" s="20">
        <v>5</v>
      </c>
      <c r="K1920" s="20" t="s">
        <v>46</v>
      </c>
      <c r="L1920" s="23">
        <f t="shared" si="214"/>
        <v>45870</v>
      </c>
      <c r="M1920" s="20">
        <f t="shared" si="215"/>
        <v>4</v>
      </c>
      <c r="N1920" s="20">
        <f t="shared" si="216"/>
        <v>0</v>
      </c>
      <c r="O1920" s="20">
        <f t="shared" si="217"/>
        <v>1</v>
      </c>
      <c r="P1920" s="22">
        <f t="shared" si="218"/>
        <v>93.210000000000008</v>
      </c>
      <c r="Q1920" s="22">
        <f>G1920*INDEX(Assumptions!$B$8:$B$16,MATCH(F1920,Assumptions!$A$8:$A$16,0))</f>
        <v>44.863199999999999</v>
      </c>
      <c r="R1920" s="22">
        <f>H1920*Assumptions!$B$3</f>
        <v>12.51</v>
      </c>
      <c r="S1920" s="22">
        <f t="shared" si="219"/>
        <v>14.986800000000001</v>
      </c>
      <c r="T1920" s="20" t="str">
        <f t="shared" si="220"/>
        <v>0-7 days</v>
      </c>
    </row>
    <row r="1921" spans="1:20" x14ac:dyDescent="0.3">
      <c r="A1921" s="20" t="s">
        <v>1987</v>
      </c>
      <c r="B1921" s="20" t="s">
        <v>19</v>
      </c>
      <c r="C1921" s="21">
        <v>45888</v>
      </c>
      <c r="D1921" s="21">
        <v>45893</v>
      </c>
      <c r="E1921" s="21">
        <v>45906</v>
      </c>
      <c r="F1921" s="20" t="s">
        <v>49</v>
      </c>
      <c r="G1921" s="22">
        <v>90.32</v>
      </c>
      <c r="H1921" s="22">
        <v>18.34</v>
      </c>
      <c r="I1921" s="20" t="s">
        <v>45</v>
      </c>
      <c r="J1921" s="20">
        <v>3</v>
      </c>
      <c r="K1921" s="20" t="s">
        <v>46</v>
      </c>
      <c r="L1921" s="23">
        <f t="shared" si="214"/>
        <v>45870</v>
      </c>
      <c r="M1921" s="20">
        <f t="shared" si="215"/>
        <v>5</v>
      </c>
      <c r="N1921" s="20">
        <f t="shared" si="216"/>
        <v>0</v>
      </c>
      <c r="O1921" s="20">
        <f t="shared" si="217"/>
        <v>1</v>
      </c>
      <c r="P1921" s="22">
        <f t="shared" si="218"/>
        <v>108.66</v>
      </c>
      <c r="Q1921" s="22">
        <f>G1921*INDEX(Assumptions!$B$8:$B$16,MATCH(F1921,Assumptions!$A$8:$A$16,0))</f>
        <v>52.38559999999999</v>
      </c>
      <c r="R1921" s="22">
        <f>H1921*Assumptions!$B$3</f>
        <v>11.004</v>
      </c>
      <c r="S1921" s="22">
        <f t="shared" si="219"/>
        <v>26.930400000000006</v>
      </c>
      <c r="T1921" s="20" t="str">
        <f t="shared" si="220"/>
        <v>0-7 days</v>
      </c>
    </row>
    <row r="1922" spans="1:20" x14ac:dyDescent="0.3">
      <c r="A1922" s="20" t="s">
        <v>1988</v>
      </c>
      <c r="B1922" s="20" t="s">
        <v>19</v>
      </c>
      <c r="C1922" s="21">
        <v>45888</v>
      </c>
      <c r="D1922" s="21">
        <v>45896</v>
      </c>
      <c r="E1922" s="21">
        <v>45902</v>
      </c>
      <c r="F1922" s="20" t="s">
        <v>111</v>
      </c>
      <c r="G1922" s="22">
        <v>63.88</v>
      </c>
      <c r="H1922" s="22">
        <v>17.149999999999999</v>
      </c>
      <c r="I1922" s="20" t="s">
        <v>45</v>
      </c>
      <c r="J1922" s="20">
        <v>5</v>
      </c>
      <c r="K1922" s="20" t="s">
        <v>46</v>
      </c>
      <c r="L1922" s="23">
        <f t="shared" ref="L1922:L1985" si="221">DATE(YEAR(C1922),MONTH(C1922),1)</f>
        <v>45870</v>
      </c>
      <c r="M1922" s="20">
        <f t="shared" ref="M1922:M1985" si="222">D1922-C1922</f>
        <v>8</v>
      </c>
      <c r="N1922" s="20">
        <f t="shared" ref="N1922:N1985" si="223">MAX(0,D1922-E1922)</f>
        <v>0</v>
      </c>
      <c r="O1922" s="20">
        <f t="shared" ref="O1922:O1985" si="224">IF(D1922&lt;=E1922,1,0)</f>
        <v>1</v>
      </c>
      <c r="P1922" s="22">
        <f t="shared" ref="P1922:P1985" si="225">G1922+H1922</f>
        <v>81.03</v>
      </c>
      <c r="Q1922" s="22">
        <f>G1922*INDEX(Assumptions!$B$8:$B$16,MATCH(F1922,Assumptions!$A$8:$A$16,0))</f>
        <v>40.244399999999999</v>
      </c>
      <c r="R1922" s="22">
        <f>H1922*Assumptions!$B$3</f>
        <v>10.29</v>
      </c>
      <c r="S1922" s="22">
        <f t="shared" ref="S1922:S1985" si="226">G1922-Q1922-R1922</f>
        <v>13.345600000000005</v>
      </c>
      <c r="T1922" s="20" t="str">
        <f t="shared" ref="T1922:T1985" si="227">IF(M1922&lt;=7,"0-7 days",IF(M1922&lt;=14,"8-14 days",IF(M1922&lt;=21,"15-21 days","22+ days")))</f>
        <v>8-14 days</v>
      </c>
    </row>
    <row r="1923" spans="1:20" x14ac:dyDescent="0.3">
      <c r="A1923" s="20" t="s">
        <v>1989</v>
      </c>
      <c r="B1923" s="20" t="s">
        <v>52</v>
      </c>
      <c r="C1923" s="21">
        <v>45889</v>
      </c>
      <c r="D1923" s="21">
        <v>45913</v>
      </c>
      <c r="E1923" s="21">
        <v>45911</v>
      </c>
      <c r="F1923" s="20" t="s">
        <v>44</v>
      </c>
      <c r="G1923" s="22">
        <v>107.43</v>
      </c>
      <c r="H1923" s="22">
        <v>19.86</v>
      </c>
      <c r="I1923" s="20" t="s">
        <v>45</v>
      </c>
      <c r="J1923" s="20">
        <v>4</v>
      </c>
      <c r="K1923" s="20" t="s">
        <v>46</v>
      </c>
      <c r="L1923" s="23">
        <f t="shared" si="221"/>
        <v>45870</v>
      </c>
      <c r="M1923" s="20">
        <f t="shared" si="222"/>
        <v>24</v>
      </c>
      <c r="N1923" s="20">
        <f t="shared" si="223"/>
        <v>2</v>
      </c>
      <c r="O1923" s="20">
        <f t="shared" si="224"/>
        <v>0</v>
      </c>
      <c r="P1923" s="22">
        <f t="shared" si="225"/>
        <v>127.29</v>
      </c>
      <c r="Q1923" s="22">
        <f>G1923*INDEX(Assumptions!$B$8:$B$16,MATCH(F1923,Assumptions!$A$8:$A$16,0))</f>
        <v>64.457999999999998</v>
      </c>
      <c r="R1923" s="22">
        <f>H1923*Assumptions!$B$3</f>
        <v>11.915999999999999</v>
      </c>
      <c r="S1923" s="22">
        <f t="shared" si="226"/>
        <v>31.056000000000012</v>
      </c>
      <c r="T1923" s="20" t="str">
        <f t="shared" si="227"/>
        <v>22+ days</v>
      </c>
    </row>
    <row r="1924" spans="1:20" x14ac:dyDescent="0.3">
      <c r="A1924" s="20" t="s">
        <v>1990</v>
      </c>
      <c r="B1924" s="20" t="s">
        <v>19</v>
      </c>
      <c r="C1924" s="21">
        <v>45889</v>
      </c>
      <c r="D1924" s="21">
        <v>45898</v>
      </c>
      <c r="E1924" s="21">
        <v>45903</v>
      </c>
      <c r="F1924" s="20" t="s">
        <v>57</v>
      </c>
      <c r="G1924" s="22">
        <v>109.9</v>
      </c>
      <c r="H1924" s="22">
        <v>16.27</v>
      </c>
      <c r="I1924" s="20" t="s">
        <v>45</v>
      </c>
      <c r="J1924" s="20">
        <v>5</v>
      </c>
      <c r="K1924" s="20" t="s">
        <v>46</v>
      </c>
      <c r="L1924" s="23">
        <f t="shared" si="221"/>
        <v>45870</v>
      </c>
      <c r="M1924" s="20">
        <f t="shared" si="222"/>
        <v>9</v>
      </c>
      <c r="N1924" s="20">
        <f t="shared" si="223"/>
        <v>0</v>
      </c>
      <c r="O1924" s="20">
        <f t="shared" si="224"/>
        <v>1</v>
      </c>
      <c r="P1924" s="22">
        <f t="shared" si="225"/>
        <v>126.17</v>
      </c>
      <c r="Q1924" s="22">
        <f>G1924*INDEX(Assumptions!$B$8:$B$16,MATCH(F1924,Assumptions!$A$8:$A$16,0))</f>
        <v>74.732000000000014</v>
      </c>
      <c r="R1924" s="22">
        <f>H1924*Assumptions!$B$3</f>
        <v>9.7619999999999987</v>
      </c>
      <c r="S1924" s="22">
        <f t="shared" si="226"/>
        <v>25.405999999999992</v>
      </c>
      <c r="T1924" s="20" t="str">
        <f t="shared" si="227"/>
        <v>8-14 days</v>
      </c>
    </row>
    <row r="1925" spans="1:20" x14ac:dyDescent="0.3">
      <c r="A1925" s="20" t="s">
        <v>1991</v>
      </c>
      <c r="B1925" s="20" t="s">
        <v>52</v>
      </c>
      <c r="C1925" s="21">
        <v>45889</v>
      </c>
      <c r="D1925" s="21">
        <v>45901</v>
      </c>
      <c r="E1925" s="21">
        <v>45913</v>
      </c>
      <c r="F1925" s="20" t="s">
        <v>53</v>
      </c>
      <c r="G1925" s="22">
        <v>40.9</v>
      </c>
      <c r="H1925" s="22">
        <v>29.12</v>
      </c>
      <c r="I1925" s="20" t="s">
        <v>60</v>
      </c>
      <c r="J1925" s="20">
        <v>4</v>
      </c>
      <c r="K1925" s="20" t="s">
        <v>46</v>
      </c>
      <c r="L1925" s="23">
        <f t="shared" si="221"/>
        <v>45870</v>
      </c>
      <c r="M1925" s="20">
        <f t="shared" si="222"/>
        <v>12</v>
      </c>
      <c r="N1925" s="20">
        <f t="shared" si="223"/>
        <v>0</v>
      </c>
      <c r="O1925" s="20">
        <f t="shared" si="224"/>
        <v>1</v>
      </c>
      <c r="P1925" s="22">
        <f t="shared" si="225"/>
        <v>70.02</v>
      </c>
      <c r="Q1925" s="22">
        <f>G1925*INDEX(Assumptions!$B$8:$B$16,MATCH(F1925,Assumptions!$A$8:$A$16,0))</f>
        <v>30.265999999999998</v>
      </c>
      <c r="R1925" s="22">
        <f>H1925*Assumptions!$B$3</f>
        <v>17.472000000000001</v>
      </c>
      <c r="S1925" s="22">
        <f t="shared" si="226"/>
        <v>-6.838000000000001</v>
      </c>
      <c r="T1925" s="20" t="str">
        <f t="shared" si="227"/>
        <v>8-14 days</v>
      </c>
    </row>
    <row r="1926" spans="1:20" x14ac:dyDescent="0.3">
      <c r="A1926" s="20" t="s">
        <v>1992</v>
      </c>
      <c r="B1926" s="20" t="s">
        <v>19</v>
      </c>
      <c r="C1926" s="21">
        <v>45889</v>
      </c>
      <c r="D1926" s="21">
        <v>45901</v>
      </c>
      <c r="E1926" s="21">
        <v>45904</v>
      </c>
      <c r="F1926" s="20" t="s">
        <v>44</v>
      </c>
      <c r="G1926" s="22">
        <v>80.56</v>
      </c>
      <c r="H1926" s="22">
        <v>22.32</v>
      </c>
      <c r="I1926" s="20" t="s">
        <v>60</v>
      </c>
      <c r="J1926" s="20">
        <v>4</v>
      </c>
      <c r="K1926" s="20" t="s">
        <v>46</v>
      </c>
      <c r="L1926" s="23">
        <f t="shared" si="221"/>
        <v>45870</v>
      </c>
      <c r="M1926" s="20">
        <f t="shared" si="222"/>
        <v>12</v>
      </c>
      <c r="N1926" s="20">
        <f t="shared" si="223"/>
        <v>0</v>
      </c>
      <c r="O1926" s="20">
        <f t="shared" si="224"/>
        <v>1</v>
      </c>
      <c r="P1926" s="22">
        <f t="shared" si="225"/>
        <v>102.88</v>
      </c>
      <c r="Q1926" s="22">
        <f>G1926*INDEX(Assumptions!$B$8:$B$16,MATCH(F1926,Assumptions!$A$8:$A$16,0))</f>
        <v>48.335999999999999</v>
      </c>
      <c r="R1926" s="22">
        <f>H1926*Assumptions!$B$3</f>
        <v>13.391999999999999</v>
      </c>
      <c r="S1926" s="22">
        <f t="shared" si="226"/>
        <v>18.832000000000004</v>
      </c>
      <c r="T1926" s="20" t="str">
        <f t="shared" si="227"/>
        <v>8-14 days</v>
      </c>
    </row>
    <row r="1927" spans="1:20" x14ac:dyDescent="0.3">
      <c r="A1927" s="20" t="s">
        <v>1993</v>
      </c>
      <c r="B1927" s="20" t="s">
        <v>156</v>
      </c>
      <c r="C1927" s="21">
        <v>45889</v>
      </c>
      <c r="D1927" s="21">
        <v>45908</v>
      </c>
      <c r="E1927" s="21">
        <v>45912</v>
      </c>
      <c r="F1927" s="20" t="s">
        <v>111</v>
      </c>
      <c r="G1927" s="22">
        <v>149.5</v>
      </c>
      <c r="H1927" s="22">
        <v>31.93</v>
      </c>
      <c r="I1927" s="20" t="s">
        <v>45</v>
      </c>
      <c r="J1927" s="20">
        <v>5</v>
      </c>
      <c r="K1927" s="20" t="s">
        <v>46</v>
      </c>
      <c r="L1927" s="23">
        <f t="shared" si="221"/>
        <v>45870</v>
      </c>
      <c r="M1927" s="20">
        <f t="shared" si="222"/>
        <v>19</v>
      </c>
      <c r="N1927" s="20">
        <f t="shared" si="223"/>
        <v>0</v>
      </c>
      <c r="O1927" s="20">
        <f t="shared" si="224"/>
        <v>1</v>
      </c>
      <c r="P1927" s="22">
        <f t="shared" si="225"/>
        <v>181.43</v>
      </c>
      <c r="Q1927" s="22">
        <f>G1927*INDEX(Assumptions!$B$8:$B$16,MATCH(F1927,Assumptions!$A$8:$A$16,0))</f>
        <v>94.185000000000002</v>
      </c>
      <c r="R1927" s="22">
        <f>H1927*Assumptions!$B$3</f>
        <v>19.157999999999998</v>
      </c>
      <c r="S1927" s="22">
        <f t="shared" si="226"/>
        <v>36.156999999999996</v>
      </c>
      <c r="T1927" s="20" t="str">
        <f t="shared" si="227"/>
        <v>15-21 days</v>
      </c>
    </row>
    <row r="1928" spans="1:20" x14ac:dyDescent="0.3">
      <c r="A1928" s="20" t="s">
        <v>1994</v>
      </c>
      <c r="B1928" s="20" t="s">
        <v>19</v>
      </c>
      <c r="C1928" s="21">
        <v>45890</v>
      </c>
      <c r="D1928" s="21">
        <v>45900</v>
      </c>
      <c r="E1928" s="21">
        <v>45906</v>
      </c>
      <c r="F1928" s="20" t="s">
        <v>53</v>
      </c>
      <c r="G1928" s="22">
        <v>224.24</v>
      </c>
      <c r="H1928" s="22">
        <v>16.84</v>
      </c>
      <c r="I1928" s="20" t="s">
        <v>60</v>
      </c>
      <c r="J1928" s="20">
        <v>5</v>
      </c>
      <c r="K1928" s="20" t="s">
        <v>46</v>
      </c>
      <c r="L1928" s="23">
        <f t="shared" si="221"/>
        <v>45870</v>
      </c>
      <c r="M1928" s="20">
        <f t="shared" si="222"/>
        <v>10</v>
      </c>
      <c r="N1928" s="20">
        <f t="shared" si="223"/>
        <v>0</v>
      </c>
      <c r="O1928" s="20">
        <f t="shared" si="224"/>
        <v>1</v>
      </c>
      <c r="P1928" s="22">
        <f t="shared" si="225"/>
        <v>241.08</v>
      </c>
      <c r="Q1928" s="22">
        <f>G1928*INDEX(Assumptions!$B$8:$B$16,MATCH(F1928,Assumptions!$A$8:$A$16,0))</f>
        <v>165.9376</v>
      </c>
      <c r="R1928" s="22">
        <f>H1928*Assumptions!$B$3</f>
        <v>10.103999999999999</v>
      </c>
      <c r="S1928" s="22">
        <f t="shared" si="226"/>
        <v>48.198400000000007</v>
      </c>
      <c r="T1928" s="20" t="str">
        <f t="shared" si="227"/>
        <v>8-14 days</v>
      </c>
    </row>
    <row r="1929" spans="1:20" x14ac:dyDescent="0.3">
      <c r="A1929" s="20" t="s">
        <v>1995</v>
      </c>
      <c r="B1929" s="20" t="s">
        <v>19</v>
      </c>
      <c r="C1929" s="21">
        <v>45890</v>
      </c>
      <c r="D1929" s="21">
        <v>45899</v>
      </c>
      <c r="E1929" s="21">
        <v>45908</v>
      </c>
      <c r="F1929" s="20" t="s">
        <v>49</v>
      </c>
      <c r="G1929" s="22">
        <v>74.87</v>
      </c>
      <c r="H1929" s="22">
        <v>14.82</v>
      </c>
      <c r="I1929" s="20" t="s">
        <v>45</v>
      </c>
      <c r="J1929" s="20">
        <v>5</v>
      </c>
      <c r="K1929" s="20" t="s">
        <v>46</v>
      </c>
      <c r="L1929" s="23">
        <f t="shared" si="221"/>
        <v>45870</v>
      </c>
      <c r="M1929" s="20">
        <f t="shared" si="222"/>
        <v>9</v>
      </c>
      <c r="N1929" s="20">
        <f t="shared" si="223"/>
        <v>0</v>
      </c>
      <c r="O1929" s="20">
        <f t="shared" si="224"/>
        <v>1</v>
      </c>
      <c r="P1929" s="22">
        <f t="shared" si="225"/>
        <v>89.69</v>
      </c>
      <c r="Q1929" s="22">
        <f>G1929*INDEX(Assumptions!$B$8:$B$16,MATCH(F1929,Assumptions!$A$8:$A$16,0))</f>
        <v>43.424599999999998</v>
      </c>
      <c r="R1929" s="22">
        <f>H1929*Assumptions!$B$3</f>
        <v>8.8919999999999995</v>
      </c>
      <c r="S1929" s="22">
        <f t="shared" si="226"/>
        <v>22.553400000000007</v>
      </c>
      <c r="T1929" s="20" t="str">
        <f t="shared" si="227"/>
        <v>8-14 days</v>
      </c>
    </row>
    <row r="1930" spans="1:20" x14ac:dyDescent="0.3">
      <c r="A1930" s="20" t="s">
        <v>1996</v>
      </c>
      <c r="B1930" s="20" t="s">
        <v>48</v>
      </c>
      <c r="C1930" s="21">
        <v>45890</v>
      </c>
      <c r="D1930" s="21">
        <v>45898</v>
      </c>
      <c r="E1930" s="21">
        <v>45907</v>
      </c>
      <c r="F1930" s="20" t="s">
        <v>53</v>
      </c>
      <c r="G1930" s="22">
        <v>82.22</v>
      </c>
      <c r="H1930" s="22">
        <v>27.05</v>
      </c>
      <c r="I1930" s="20" t="s">
        <v>45</v>
      </c>
      <c r="J1930" s="20">
        <v>4</v>
      </c>
      <c r="K1930" s="20" t="s">
        <v>46</v>
      </c>
      <c r="L1930" s="23">
        <f t="shared" si="221"/>
        <v>45870</v>
      </c>
      <c r="M1930" s="20">
        <f t="shared" si="222"/>
        <v>8</v>
      </c>
      <c r="N1930" s="20">
        <f t="shared" si="223"/>
        <v>0</v>
      </c>
      <c r="O1930" s="20">
        <f t="shared" si="224"/>
        <v>1</v>
      </c>
      <c r="P1930" s="22">
        <f t="shared" si="225"/>
        <v>109.27</v>
      </c>
      <c r="Q1930" s="22">
        <f>G1930*INDEX(Assumptions!$B$8:$B$16,MATCH(F1930,Assumptions!$A$8:$A$16,0))</f>
        <v>60.842799999999997</v>
      </c>
      <c r="R1930" s="22">
        <f>H1930*Assumptions!$B$3</f>
        <v>16.23</v>
      </c>
      <c r="S1930" s="22">
        <f t="shared" si="226"/>
        <v>5.1472000000000016</v>
      </c>
      <c r="T1930" s="20" t="str">
        <f t="shared" si="227"/>
        <v>8-14 days</v>
      </c>
    </row>
    <row r="1931" spans="1:20" x14ac:dyDescent="0.3">
      <c r="A1931" s="20" t="s">
        <v>1997</v>
      </c>
      <c r="B1931" s="20" t="s">
        <v>19</v>
      </c>
      <c r="C1931" s="21">
        <v>45890</v>
      </c>
      <c r="D1931" s="21">
        <v>45898</v>
      </c>
      <c r="E1931" s="21">
        <v>45909</v>
      </c>
      <c r="F1931" s="20" t="s">
        <v>67</v>
      </c>
      <c r="G1931" s="22">
        <v>178.83</v>
      </c>
      <c r="H1931" s="22">
        <v>18.440000000000001</v>
      </c>
      <c r="I1931" s="20" t="s">
        <v>60</v>
      </c>
      <c r="J1931" s="20">
        <v>5</v>
      </c>
      <c r="K1931" s="20" t="s">
        <v>46</v>
      </c>
      <c r="L1931" s="23">
        <f t="shared" si="221"/>
        <v>45870</v>
      </c>
      <c r="M1931" s="20">
        <f t="shared" si="222"/>
        <v>8</v>
      </c>
      <c r="N1931" s="20">
        <f t="shared" si="223"/>
        <v>0</v>
      </c>
      <c r="O1931" s="20">
        <f t="shared" si="224"/>
        <v>1</v>
      </c>
      <c r="P1931" s="22">
        <f t="shared" si="225"/>
        <v>197.27</v>
      </c>
      <c r="Q1931" s="22">
        <f>G1931*INDEX(Assumptions!$B$8:$B$16,MATCH(F1931,Assumptions!$A$8:$A$16,0))</f>
        <v>110.8746</v>
      </c>
      <c r="R1931" s="22">
        <f>H1931*Assumptions!$B$3</f>
        <v>11.064</v>
      </c>
      <c r="S1931" s="22">
        <f t="shared" si="226"/>
        <v>56.891400000000012</v>
      </c>
      <c r="T1931" s="20" t="str">
        <f t="shared" si="227"/>
        <v>8-14 days</v>
      </c>
    </row>
    <row r="1932" spans="1:20" x14ac:dyDescent="0.3">
      <c r="A1932" s="20" t="s">
        <v>1998</v>
      </c>
      <c r="B1932" s="20" t="s">
        <v>174</v>
      </c>
      <c r="C1932" s="21">
        <v>45890</v>
      </c>
      <c r="D1932" s="21">
        <v>45915</v>
      </c>
      <c r="E1932" s="21">
        <v>45922</v>
      </c>
      <c r="F1932" s="20" t="s">
        <v>67</v>
      </c>
      <c r="G1932" s="22">
        <v>121.33</v>
      </c>
      <c r="H1932" s="22">
        <v>26.68</v>
      </c>
      <c r="I1932" s="20" t="s">
        <v>45</v>
      </c>
      <c r="J1932" s="20">
        <v>4</v>
      </c>
      <c r="K1932" s="20" t="s">
        <v>46</v>
      </c>
      <c r="L1932" s="23">
        <f t="shared" si="221"/>
        <v>45870</v>
      </c>
      <c r="M1932" s="20">
        <f t="shared" si="222"/>
        <v>25</v>
      </c>
      <c r="N1932" s="20">
        <f t="shared" si="223"/>
        <v>0</v>
      </c>
      <c r="O1932" s="20">
        <f t="shared" si="224"/>
        <v>1</v>
      </c>
      <c r="P1932" s="22">
        <f t="shared" si="225"/>
        <v>148.01</v>
      </c>
      <c r="Q1932" s="22">
        <f>G1932*INDEX(Assumptions!$B$8:$B$16,MATCH(F1932,Assumptions!$A$8:$A$16,0))</f>
        <v>75.224599999999995</v>
      </c>
      <c r="R1932" s="22">
        <f>H1932*Assumptions!$B$3</f>
        <v>16.007999999999999</v>
      </c>
      <c r="S1932" s="22">
        <f t="shared" si="226"/>
        <v>30.097400000000004</v>
      </c>
      <c r="T1932" s="20" t="str">
        <f t="shared" si="227"/>
        <v>22+ days</v>
      </c>
    </row>
    <row r="1933" spans="1:20" x14ac:dyDescent="0.3">
      <c r="A1933" s="20" t="s">
        <v>1999</v>
      </c>
      <c r="B1933" s="20" t="s">
        <v>156</v>
      </c>
      <c r="C1933" s="21">
        <v>45890</v>
      </c>
      <c r="D1933" s="21">
        <v>45905</v>
      </c>
      <c r="E1933" s="21">
        <v>45915</v>
      </c>
      <c r="F1933" s="20" t="s">
        <v>111</v>
      </c>
      <c r="G1933" s="22">
        <v>125.69</v>
      </c>
      <c r="H1933" s="22">
        <v>24.11</v>
      </c>
      <c r="I1933" s="20" t="s">
        <v>45</v>
      </c>
      <c r="J1933" s="20">
        <v>4</v>
      </c>
      <c r="K1933" s="20" t="s">
        <v>46</v>
      </c>
      <c r="L1933" s="23">
        <f t="shared" si="221"/>
        <v>45870</v>
      </c>
      <c r="M1933" s="20">
        <f t="shared" si="222"/>
        <v>15</v>
      </c>
      <c r="N1933" s="20">
        <f t="shared" si="223"/>
        <v>0</v>
      </c>
      <c r="O1933" s="20">
        <f t="shared" si="224"/>
        <v>1</v>
      </c>
      <c r="P1933" s="22">
        <f t="shared" si="225"/>
        <v>149.80000000000001</v>
      </c>
      <c r="Q1933" s="22">
        <f>G1933*INDEX(Assumptions!$B$8:$B$16,MATCH(F1933,Assumptions!$A$8:$A$16,0))</f>
        <v>79.184699999999992</v>
      </c>
      <c r="R1933" s="22">
        <f>H1933*Assumptions!$B$3</f>
        <v>14.465999999999999</v>
      </c>
      <c r="S1933" s="22">
        <f t="shared" si="226"/>
        <v>32.039300000000004</v>
      </c>
      <c r="T1933" s="20" t="str">
        <f t="shared" si="227"/>
        <v>15-21 days</v>
      </c>
    </row>
    <row r="1934" spans="1:20" x14ac:dyDescent="0.3">
      <c r="A1934" s="20" t="s">
        <v>2000</v>
      </c>
      <c r="B1934" s="20" t="s">
        <v>93</v>
      </c>
      <c r="C1934" s="21">
        <v>45890</v>
      </c>
      <c r="D1934" s="21">
        <v>45908</v>
      </c>
      <c r="E1934" s="21">
        <v>45920</v>
      </c>
      <c r="F1934" s="20" t="s">
        <v>49</v>
      </c>
      <c r="G1934" s="22">
        <v>31.36</v>
      </c>
      <c r="H1934" s="22">
        <v>29.91</v>
      </c>
      <c r="I1934" s="20" t="s">
        <v>45</v>
      </c>
      <c r="J1934" s="20">
        <v>4</v>
      </c>
      <c r="K1934" s="20" t="s">
        <v>46</v>
      </c>
      <c r="L1934" s="23">
        <f t="shared" si="221"/>
        <v>45870</v>
      </c>
      <c r="M1934" s="20">
        <f t="shared" si="222"/>
        <v>18</v>
      </c>
      <c r="N1934" s="20">
        <f t="shared" si="223"/>
        <v>0</v>
      </c>
      <c r="O1934" s="20">
        <f t="shared" si="224"/>
        <v>1</v>
      </c>
      <c r="P1934" s="22">
        <f t="shared" si="225"/>
        <v>61.269999999999996</v>
      </c>
      <c r="Q1934" s="22">
        <f>G1934*INDEX(Assumptions!$B$8:$B$16,MATCH(F1934,Assumptions!$A$8:$A$16,0))</f>
        <v>18.188799999999997</v>
      </c>
      <c r="R1934" s="22">
        <f>H1934*Assumptions!$B$3</f>
        <v>17.945999999999998</v>
      </c>
      <c r="S1934" s="22">
        <f t="shared" si="226"/>
        <v>-4.7747999999999955</v>
      </c>
      <c r="T1934" s="20" t="str">
        <f t="shared" si="227"/>
        <v>15-21 days</v>
      </c>
    </row>
    <row r="1935" spans="1:20" x14ac:dyDescent="0.3">
      <c r="A1935" s="20" t="s">
        <v>2001</v>
      </c>
      <c r="B1935" s="20" t="s">
        <v>19</v>
      </c>
      <c r="C1935" s="21">
        <v>45890</v>
      </c>
      <c r="D1935" s="21">
        <v>45895</v>
      </c>
      <c r="E1935" s="21">
        <v>45903</v>
      </c>
      <c r="F1935" s="20" t="s">
        <v>64</v>
      </c>
      <c r="G1935" s="22">
        <v>102.25</v>
      </c>
      <c r="H1935" s="22">
        <v>18.27</v>
      </c>
      <c r="I1935" s="20" t="s">
        <v>60</v>
      </c>
      <c r="J1935" s="20">
        <v>5</v>
      </c>
      <c r="K1935" s="20" t="s">
        <v>46</v>
      </c>
      <c r="L1935" s="23">
        <f t="shared" si="221"/>
        <v>45870</v>
      </c>
      <c r="M1935" s="20">
        <f t="shared" si="222"/>
        <v>5</v>
      </c>
      <c r="N1935" s="20">
        <f t="shared" si="223"/>
        <v>0</v>
      </c>
      <c r="O1935" s="20">
        <f t="shared" si="224"/>
        <v>1</v>
      </c>
      <c r="P1935" s="22">
        <f t="shared" si="225"/>
        <v>120.52</v>
      </c>
      <c r="Q1935" s="22">
        <f>G1935*INDEX(Assumptions!$B$8:$B$16,MATCH(F1935,Assumptions!$A$8:$A$16,0))</f>
        <v>67.484999999999999</v>
      </c>
      <c r="R1935" s="22">
        <f>H1935*Assumptions!$B$3</f>
        <v>10.962</v>
      </c>
      <c r="S1935" s="22">
        <f t="shared" si="226"/>
        <v>23.803000000000001</v>
      </c>
      <c r="T1935" s="20" t="str">
        <f t="shared" si="227"/>
        <v>0-7 days</v>
      </c>
    </row>
    <row r="1936" spans="1:20" x14ac:dyDescent="0.3">
      <c r="A1936" s="20" t="s">
        <v>2002</v>
      </c>
      <c r="B1936" s="20" t="s">
        <v>134</v>
      </c>
      <c r="C1936" s="21">
        <v>45890</v>
      </c>
      <c r="D1936" s="21">
        <v>45909</v>
      </c>
      <c r="E1936" s="21">
        <v>45915</v>
      </c>
      <c r="F1936" s="20" t="s">
        <v>59</v>
      </c>
      <c r="G1936" s="22">
        <v>218.8</v>
      </c>
      <c r="H1936" s="22">
        <v>33.67</v>
      </c>
      <c r="I1936" s="20" t="s">
        <v>60</v>
      </c>
      <c r="J1936" s="20">
        <v>4</v>
      </c>
      <c r="K1936" s="20" t="s">
        <v>46</v>
      </c>
      <c r="L1936" s="23">
        <f t="shared" si="221"/>
        <v>45870</v>
      </c>
      <c r="M1936" s="20">
        <f t="shared" si="222"/>
        <v>19</v>
      </c>
      <c r="N1936" s="20">
        <f t="shared" si="223"/>
        <v>0</v>
      </c>
      <c r="O1936" s="20">
        <f t="shared" si="224"/>
        <v>1</v>
      </c>
      <c r="P1936" s="22">
        <f t="shared" si="225"/>
        <v>252.47000000000003</v>
      </c>
      <c r="Q1936" s="22">
        <f>G1936*INDEX(Assumptions!$B$8:$B$16,MATCH(F1936,Assumptions!$A$8:$A$16,0))</f>
        <v>140.03200000000001</v>
      </c>
      <c r="R1936" s="22">
        <f>H1936*Assumptions!$B$3</f>
        <v>20.202000000000002</v>
      </c>
      <c r="S1936" s="22">
        <f t="shared" si="226"/>
        <v>58.566000000000003</v>
      </c>
      <c r="T1936" s="20" t="str">
        <f t="shared" si="227"/>
        <v>15-21 days</v>
      </c>
    </row>
    <row r="1937" spans="1:20" x14ac:dyDescent="0.3">
      <c r="A1937" s="20" t="s">
        <v>2003</v>
      </c>
      <c r="B1937" s="20" t="s">
        <v>19</v>
      </c>
      <c r="C1937" s="21">
        <v>45890</v>
      </c>
      <c r="D1937" s="21">
        <v>45908</v>
      </c>
      <c r="E1937" s="21">
        <v>45906</v>
      </c>
      <c r="F1937" s="20" t="s">
        <v>59</v>
      </c>
      <c r="G1937" s="22">
        <v>92.57</v>
      </c>
      <c r="H1937" s="22">
        <v>14.95</v>
      </c>
      <c r="I1937" s="20" t="s">
        <v>45</v>
      </c>
      <c r="J1937" s="20">
        <v>2</v>
      </c>
      <c r="K1937" s="20" t="s">
        <v>46</v>
      </c>
      <c r="L1937" s="23">
        <f t="shared" si="221"/>
        <v>45870</v>
      </c>
      <c r="M1937" s="20">
        <f t="shared" si="222"/>
        <v>18</v>
      </c>
      <c r="N1937" s="20">
        <f t="shared" si="223"/>
        <v>2</v>
      </c>
      <c r="O1937" s="20">
        <f t="shared" si="224"/>
        <v>0</v>
      </c>
      <c r="P1937" s="22">
        <f t="shared" si="225"/>
        <v>107.52</v>
      </c>
      <c r="Q1937" s="22">
        <f>G1937*INDEX(Assumptions!$B$8:$B$16,MATCH(F1937,Assumptions!$A$8:$A$16,0))</f>
        <v>59.244799999999998</v>
      </c>
      <c r="R1937" s="22">
        <f>H1937*Assumptions!$B$3</f>
        <v>8.9699999999999989</v>
      </c>
      <c r="S1937" s="22">
        <f t="shared" si="226"/>
        <v>24.355199999999996</v>
      </c>
      <c r="T1937" s="20" t="str">
        <f t="shared" si="227"/>
        <v>15-21 days</v>
      </c>
    </row>
    <row r="1938" spans="1:20" x14ac:dyDescent="0.3">
      <c r="A1938" s="20" t="s">
        <v>2004</v>
      </c>
      <c r="B1938" s="20" t="s">
        <v>19</v>
      </c>
      <c r="C1938" s="21">
        <v>45890</v>
      </c>
      <c r="D1938" s="21">
        <v>45895</v>
      </c>
      <c r="E1938" s="21">
        <v>45905</v>
      </c>
      <c r="F1938" s="20" t="s">
        <v>59</v>
      </c>
      <c r="G1938" s="22">
        <v>49.61</v>
      </c>
      <c r="H1938" s="22">
        <v>17.809999999999999</v>
      </c>
      <c r="I1938" s="20" t="s">
        <v>45</v>
      </c>
      <c r="J1938" s="20">
        <v>5</v>
      </c>
      <c r="K1938" s="20" t="s">
        <v>46</v>
      </c>
      <c r="L1938" s="23">
        <f t="shared" si="221"/>
        <v>45870</v>
      </c>
      <c r="M1938" s="20">
        <f t="shared" si="222"/>
        <v>5</v>
      </c>
      <c r="N1938" s="20">
        <f t="shared" si="223"/>
        <v>0</v>
      </c>
      <c r="O1938" s="20">
        <f t="shared" si="224"/>
        <v>1</v>
      </c>
      <c r="P1938" s="22">
        <f t="shared" si="225"/>
        <v>67.42</v>
      </c>
      <c r="Q1938" s="22">
        <f>G1938*INDEX(Assumptions!$B$8:$B$16,MATCH(F1938,Assumptions!$A$8:$A$16,0))</f>
        <v>31.750399999999999</v>
      </c>
      <c r="R1938" s="22">
        <f>H1938*Assumptions!$B$3</f>
        <v>10.685999999999998</v>
      </c>
      <c r="S1938" s="22">
        <f t="shared" si="226"/>
        <v>7.1736000000000022</v>
      </c>
      <c r="T1938" s="20" t="str">
        <f t="shared" si="227"/>
        <v>0-7 days</v>
      </c>
    </row>
    <row r="1939" spans="1:20" x14ac:dyDescent="0.3">
      <c r="A1939" s="20" t="s">
        <v>2005</v>
      </c>
      <c r="B1939" s="20" t="s">
        <v>55</v>
      </c>
      <c r="C1939" s="21">
        <v>45891</v>
      </c>
      <c r="D1939" s="21">
        <v>45915</v>
      </c>
      <c r="E1939" s="21">
        <v>45914</v>
      </c>
      <c r="F1939" s="20" t="s">
        <v>53</v>
      </c>
      <c r="G1939" s="22">
        <v>52.89</v>
      </c>
      <c r="H1939" s="22">
        <v>22.43</v>
      </c>
      <c r="I1939" s="20" t="s">
        <v>45</v>
      </c>
      <c r="J1939" s="20">
        <v>3</v>
      </c>
      <c r="K1939" s="20" t="s">
        <v>46</v>
      </c>
      <c r="L1939" s="23">
        <f t="shared" si="221"/>
        <v>45870</v>
      </c>
      <c r="M1939" s="20">
        <f t="shared" si="222"/>
        <v>24</v>
      </c>
      <c r="N1939" s="20">
        <f t="shared" si="223"/>
        <v>1</v>
      </c>
      <c r="O1939" s="20">
        <f t="shared" si="224"/>
        <v>0</v>
      </c>
      <c r="P1939" s="22">
        <f t="shared" si="225"/>
        <v>75.319999999999993</v>
      </c>
      <c r="Q1939" s="22">
        <f>G1939*INDEX(Assumptions!$B$8:$B$16,MATCH(F1939,Assumptions!$A$8:$A$16,0))</f>
        <v>39.138599999999997</v>
      </c>
      <c r="R1939" s="22">
        <f>H1939*Assumptions!$B$3</f>
        <v>13.458</v>
      </c>
      <c r="S1939" s="22">
        <f t="shared" si="226"/>
        <v>0.29340000000000366</v>
      </c>
      <c r="T1939" s="20" t="str">
        <f t="shared" si="227"/>
        <v>22+ days</v>
      </c>
    </row>
    <row r="1940" spans="1:20" x14ac:dyDescent="0.3">
      <c r="A1940" s="20" t="s">
        <v>2006</v>
      </c>
      <c r="B1940" s="20" t="s">
        <v>19</v>
      </c>
      <c r="C1940" s="21">
        <v>45891</v>
      </c>
      <c r="D1940" s="21">
        <v>45894</v>
      </c>
      <c r="E1940" s="21">
        <v>45909</v>
      </c>
      <c r="F1940" s="20" t="s">
        <v>111</v>
      </c>
      <c r="G1940" s="22">
        <v>86.99</v>
      </c>
      <c r="H1940" s="22">
        <v>14.35</v>
      </c>
      <c r="I1940" s="20" t="s">
        <v>60</v>
      </c>
      <c r="J1940" s="20">
        <v>5</v>
      </c>
      <c r="K1940" s="20" t="s">
        <v>46</v>
      </c>
      <c r="L1940" s="23">
        <f t="shared" si="221"/>
        <v>45870</v>
      </c>
      <c r="M1940" s="20">
        <f t="shared" si="222"/>
        <v>3</v>
      </c>
      <c r="N1940" s="20">
        <f t="shared" si="223"/>
        <v>0</v>
      </c>
      <c r="O1940" s="20">
        <f t="shared" si="224"/>
        <v>1</v>
      </c>
      <c r="P1940" s="22">
        <f t="shared" si="225"/>
        <v>101.33999999999999</v>
      </c>
      <c r="Q1940" s="22">
        <f>G1940*INDEX(Assumptions!$B$8:$B$16,MATCH(F1940,Assumptions!$A$8:$A$16,0))</f>
        <v>54.803699999999999</v>
      </c>
      <c r="R1940" s="22">
        <f>H1940*Assumptions!$B$3</f>
        <v>8.61</v>
      </c>
      <c r="S1940" s="22">
        <f t="shared" si="226"/>
        <v>23.576299999999996</v>
      </c>
      <c r="T1940" s="20" t="str">
        <f t="shared" si="227"/>
        <v>0-7 days</v>
      </c>
    </row>
    <row r="1941" spans="1:20" x14ac:dyDescent="0.3">
      <c r="A1941" s="20" t="s">
        <v>2007</v>
      </c>
      <c r="B1941" s="20" t="s">
        <v>19</v>
      </c>
      <c r="C1941" s="21">
        <v>45891</v>
      </c>
      <c r="D1941" s="21">
        <v>45902</v>
      </c>
      <c r="E1941" s="21">
        <v>45906</v>
      </c>
      <c r="F1941" s="20" t="s">
        <v>57</v>
      </c>
      <c r="G1941" s="22">
        <v>37.07</v>
      </c>
      <c r="H1941" s="22">
        <v>15.19</v>
      </c>
      <c r="I1941" s="20" t="s">
        <v>60</v>
      </c>
      <c r="J1941" s="20">
        <v>4</v>
      </c>
      <c r="K1941" s="20" t="s">
        <v>46</v>
      </c>
      <c r="L1941" s="23">
        <f t="shared" si="221"/>
        <v>45870</v>
      </c>
      <c r="M1941" s="20">
        <f t="shared" si="222"/>
        <v>11</v>
      </c>
      <c r="N1941" s="20">
        <f t="shared" si="223"/>
        <v>0</v>
      </c>
      <c r="O1941" s="20">
        <f t="shared" si="224"/>
        <v>1</v>
      </c>
      <c r="P1941" s="22">
        <f t="shared" si="225"/>
        <v>52.26</v>
      </c>
      <c r="Q1941" s="22">
        <f>G1941*INDEX(Assumptions!$B$8:$B$16,MATCH(F1941,Assumptions!$A$8:$A$16,0))</f>
        <v>25.207600000000003</v>
      </c>
      <c r="R1941" s="22">
        <f>H1941*Assumptions!$B$3</f>
        <v>9.113999999999999</v>
      </c>
      <c r="S1941" s="22">
        <f t="shared" si="226"/>
        <v>2.7483999999999984</v>
      </c>
      <c r="T1941" s="20" t="str">
        <f t="shared" si="227"/>
        <v>8-14 days</v>
      </c>
    </row>
    <row r="1942" spans="1:20" x14ac:dyDescent="0.3">
      <c r="A1942" s="20" t="s">
        <v>2008</v>
      </c>
      <c r="B1942" s="20" t="s">
        <v>19</v>
      </c>
      <c r="C1942" s="21">
        <v>45891</v>
      </c>
      <c r="D1942" s="21">
        <v>45906</v>
      </c>
      <c r="E1942" s="21">
        <v>45906</v>
      </c>
      <c r="F1942" s="20" t="s">
        <v>44</v>
      </c>
      <c r="G1942" s="22">
        <v>114.25</v>
      </c>
      <c r="H1942" s="22">
        <v>21.33</v>
      </c>
      <c r="I1942" s="20" t="s">
        <v>60</v>
      </c>
      <c r="J1942" s="20">
        <v>3</v>
      </c>
      <c r="K1942" s="20" t="s">
        <v>46</v>
      </c>
      <c r="L1942" s="23">
        <f t="shared" si="221"/>
        <v>45870</v>
      </c>
      <c r="M1942" s="20">
        <f t="shared" si="222"/>
        <v>15</v>
      </c>
      <c r="N1942" s="20">
        <f t="shared" si="223"/>
        <v>0</v>
      </c>
      <c r="O1942" s="20">
        <f t="shared" si="224"/>
        <v>1</v>
      </c>
      <c r="P1942" s="22">
        <f t="shared" si="225"/>
        <v>135.57999999999998</v>
      </c>
      <c r="Q1942" s="22">
        <f>G1942*INDEX(Assumptions!$B$8:$B$16,MATCH(F1942,Assumptions!$A$8:$A$16,0))</f>
        <v>68.55</v>
      </c>
      <c r="R1942" s="22">
        <f>H1942*Assumptions!$B$3</f>
        <v>12.797999999999998</v>
      </c>
      <c r="S1942" s="22">
        <f t="shared" si="226"/>
        <v>32.902000000000001</v>
      </c>
      <c r="T1942" s="20" t="str">
        <f t="shared" si="227"/>
        <v>15-21 days</v>
      </c>
    </row>
    <row r="1943" spans="1:20" x14ac:dyDescent="0.3">
      <c r="A1943" s="20" t="s">
        <v>2009</v>
      </c>
      <c r="B1943" s="20" t="s">
        <v>134</v>
      </c>
      <c r="C1943" s="21">
        <v>45891</v>
      </c>
      <c r="D1943" s="21">
        <v>45903</v>
      </c>
      <c r="E1943" s="21">
        <v>45918</v>
      </c>
      <c r="F1943" s="20" t="s">
        <v>111</v>
      </c>
      <c r="G1943" s="22">
        <v>46.17</v>
      </c>
      <c r="H1943" s="22">
        <v>29.22</v>
      </c>
      <c r="I1943" s="20" t="s">
        <v>45</v>
      </c>
      <c r="J1943" s="20">
        <v>4</v>
      </c>
      <c r="K1943" s="20" t="s">
        <v>46</v>
      </c>
      <c r="L1943" s="23">
        <f t="shared" si="221"/>
        <v>45870</v>
      </c>
      <c r="M1943" s="20">
        <f t="shared" si="222"/>
        <v>12</v>
      </c>
      <c r="N1943" s="20">
        <f t="shared" si="223"/>
        <v>0</v>
      </c>
      <c r="O1943" s="20">
        <f t="shared" si="224"/>
        <v>1</v>
      </c>
      <c r="P1943" s="22">
        <f t="shared" si="225"/>
        <v>75.39</v>
      </c>
      <c r="Q1943" s="22">
        <f>G1943*INDEX(Assumptions!$B$8:$B$16,MATCH(F1943,Assumptions!$A$8:$A$16,0))</f>
        <v>29.0871</v>
      </c>
      <c r="R1943" s="22">
        <f>H1943*Assumptions!$B$3</f>
        <v>17.532</v>
      </c>
      <c r="S1943" s="22">
        <f t="shared" si="226"/>
        <v>-0.44909999999999783</v>
      </c>
      <c r="T1943" s="20" t="str">
        <f t="shared" si="227"/>
        <v>8-14 days</v>
      </c>
    </row>
    <row r="1944" spans="1:20" x14ac:dyDescent="0.3">
      <c r="A1944" s="20" t="s">
        <v>2010</v>
      </c>
      <c r="B1944" s="20" t="s">
        <v>19</v>
      </c>
      <c r="C1944" s="21">
        <v>45891</v>
      </c>
      <c r="D1944" s="21">
        <v>45900</v>
      </c>
      <c r="E1944" s="21">
        <v>45908</v>
      </c>
      <c r="F1944" s="20" t="s">
        <v>79</v>
      </c>
      <c r="G1944" s="22">
        <v>125.31</v>
      </c>
      <c r="H1944" s="22">
        <v>20.27</v>
      </c>
      <c r="I1944" s="20" t="s">
        <v>60</v>
      </c>
      <c r="J1944" s="20">
        <v>5</v>
      </c>
      <c r="K1944" s="20" t="s">
        <v>46</v>
      </c>
      <c r="L1944" s="23">
        <f t="shared" si="221"/>
        <v>45870</v>
      </c>
      <c r="M1944" s="20">
        <f t="shared" si="222"/>
        <v>9</v>
      </c>
      <c r="N1944" s="20">
        <f t="shared" si="223"/>
        <v>0</v>
      </c>
      <c r="O1944" s="20">
        <f t="shared" si="224"/>
        <v>1</v>
      </c>
      <c r="P1944" s="22">
        <f t="shared" si="225"/>
        <v>145.58000000000001</v>
      </c>
      <c r="Q1944" s="22">
        <f>G1944*INDEX(Assumptions!$B$8:$B$16,MATCH(F1944,Assumptions!$A$8:$A$16,0))</f>
        <v>87.716999999999999</v>
      </c>
      <c r="R1944" s="22">
        <f>H1944*Assumptions!$B$3</f>
        <v>12.161999999999999</v>
      </c>
      <c r="S1944" s="22">
        <f t="shared" si="226"/>
        <v>25.431000000000004</v>
      </c>
      <c r="T1944" s="20" t="str">
        <f t="shared" si="227"/>
        <v>8-14 days</v>
      </c>
    </row>
    <row r="1945" spans="1:20" x14ac:dyDescent="0.3">
      <c r="A1945" s="20" t="s">
        <v>2011</v>
      </c>
      <c r="B1945" s="20" t="s">
        <v>201</v>
      </c>
      <c r="C1945" s="21">
        <v>45891</v>
      </c>
      <c r="D1945" s="21">
        <v>45916</v>
      </c>
      <c r="E1945" s="21">
        <v>45926</v>
      </c>
      <c r="F1945" s="20" t="s">
        <v>44</v>
      </c>
      <c r="G1945" s="22">
        <v>83.82</v>
      </c>
      <c r="H1945" s="22">
        <v>27.26</v>
      </c>
      <c r="I1945" s="20" t="s">
        <v>50</v>
      </c>
      <c r="J1945" s="20">
        <v>4</v>
      </c>
      <c r="K1945" s="20" t="s">
        <v>46</v>
      </c>
      <c r="L1945" s="23">
        <f t="shared" si="221"/>
        <v>45870</v>
      </c>
      <c r="M1945" s="20">
        <f t="shared" si="222"/>
        <v>25</v>
      </c>
      <c r="N1945" s="20">
        <f t="shared" si="223"/>
        <v>0</v>
      </c>
      <c r="O1945" s="20">
        <f t="shared" si="224"/>
        <v>1</v>
      </c>
      <c r="P1945" s="22">
        <f t="shared" si="225"/>
        <v>111.08</v>
      </c>
      <c r="Q1945" s="22">
        <f>G1945*INDEX(Assumptions!$B$8:$B$16,MATCH(F1945,Assumptions!$A$8:$A$16,0))</f>
        <v>50.291999999999994</v>
      </c>
      <c r="R1945" s="22">
        <f>H1945*Assumptions!$B$3</f>
        <v>16.356000000000002</v>
      </c>
      <c r="S1945" s="22">
        <f t="shared" si="226"/>
        <v>17.171999999999997</v>
      </c>
      <c r="T1945" s="20" t="str">
        <f t="shared" si="227"/>
        <v>22+ days</v>
      </c>
    </row>
    <row r="1946" spans="1:20" x14ac:dyDescent="0.3">
      <c r="A1946" s="20" t="s">
        <v>2012</v>
      </c>
      <c r="B1946" s="20" t="s">
        <v>19</v>
      </c>
      <c r="C1946" s="21">
        <v>45891</v>
      </c>
      <c r="D1946" s="21">
        <v>45911</v>
      </c>
      <c r="E1946" s="21">
        <v>45902</v>
      </c>
      <c r="F1946" s="20" t="s">
        <v>44</v>
      </c>
      <c r="G1946" s="22">
        <v>79.69</v>
      </c>
      <c r="H1946" s="22">
        <v>13.04</v>
      </c>
      <c r="I1946" s="20" t="s">
        <v>45</v>
      </c>
      <c r="J1946" s="20">
        <v>4</v>
      </c>
      <c r="K1946" s="20" t="s">
        <v>46</v>
      </c>
      <c r="L1946" s="23">
        <f t="shared" si="221"/>
        <v>45870</v>
      </c>
      <c r="M1946" s="20">
        <f t="shared" si="222"/>
        <v>20</v>
      </c>
      <c r="N1946" s="20">
        <f t="shared" si="223"/>
        <v>9</v>
      </c>
      <c r="O1946" s="20">
        <f t="shared" si="224"/>
        <v>0</v>
      </c>
      <c r="P1946" s="22">
        <f t="shared" si="225"/>
        <v>92.72999999999999</v>
      </c>
      <c r="Q1946" s="22">
        <f>G1946*INDEX(Assumptions!$B$8:$B$16,MATCH(F1946,Assumptions!$A$8:$A$16,0))</f>
        <v>47.814</v>
      </c>
      <c r="R1946" s="22">
        <f>H1946*Assumptions!$B$3</f>
        <v>7.823999999999999</v>
      </c>
      <c r="S1946" s="22">
        <f t="shared" si="226"/>
        <v>24.052</v>
      </c>
      <c r="T1946" s="20" t="str">
        <f t="shared" si="227"/>
        <v>15-21 days</v>
      </c>
    </row>
    <row r="1947" spans="1:20" x14ac:dyDescent="0.3">
      <c r="A1947" s="20" t="s">
        <v>2013</v>
      </c>
      <c r="B1947" s="20" t="s">
        <v>55</v>
      </c>
      <c r="C1947" s="21">
        <v>45892</v>
      </c>
      <c r="D1947" s="21">
        <v>45904</v>
      </c>
      <c r="E1947" s="21">
        <v>45920</v>
      </c>
      <c r="F1947" s="20" t="s">
        <v>64</v>
      </c>
      <c r="G1947" s="22">
        <v>151.52000000000001</v>
      </c>
      <c r="H1947" s="22">
        <v>21.19</v>
      </c>
      <c r="I1947" s="20" t="s">
        <v>50</v>
      </c>
      <c r="J1947" s="20">
        <v>4</v>
      </c>
      <c r="K1947" s="20" t="s">
        <v>46</v>
      </c>
      <c r="L1947" s="23">
        <f t="shared" si="221"/>
        <v>45870</v>
      </c>
      <c r="M1947" s="20">
        <f t="shared" si="222"/>
        <v>12</v>
      </c>
      <c r="N1947" s="20">
        <f t="shared" si="223"/>
        <v>0</v>
      </c>
      <c r="O1947" s="20">
        <f t="shared" si="224"/>
        <v>1</v>
      </c>
      <c r="P1947" s="22">
        <f t="shared" si="225"/>
        <v>172.71</v>
      </c>
      <c r="Q1947" s="22">
        <f>G1947*INDEX(Assumptions!$B$8:$B$16,MATCH(F1947,Assumptions!$A$8:$A$16,0))</f>
        <v>100.00320000000001</v>
      </c>
      <c r="R1947" s="22">
        <f>H1947*Assumptions!$B$3</f>
        <v>12.714</v>
      </c>
      <c r="S1947" s="22">
        <f t="shared" si="226"/>
        <v>38.802800000000005</v>
      </c>
      <c r="T1947" s="20" t="str">
        <f t="shared" si="227"/>
        <v>8-14 days</v>
      </c>
    </row>
    <row r="1948" spans="1:20" x14ac:dyDescent="0.3">
      <c r="A1948" s="20" t="s">
        <v>2014</v>
      </c>
      <c r="B1948" s="20" t="s">
        <v>134</v>
      </c>
      <c r="C1948" s="21">
        <v>45892</v>
      </c>
      <c r="D1948" s="21">
        <v>45908</v>
      </c>
      <c r="E1948" s="21">
        <v>45918</v>
      </c>
      <c r="F1948" s="20" t="s">
        <v>44</v>
      </c>
      <c r="G1948" s="22">
        <v>202.48</v>
      </c>
      <c r="H1948" s="22">
        <v>19.5</v>
      </c>
      <c r="I1948" s="20" t="s">
        <v>60</v>
      </c>
      <c r="J1948" s="20">
        <v>3</v>
      </c>
      <c r="K1948" s="20" t="s">
        <v>46</v>
      </c>
      <c r="L1948" s="23">
        <f t="shared" si="221"/>
        <v>45870</v>
      </c>
      <c r="M1948" s="20">
        <f t="shared" si="222"/>
        <v>16</v>
      </c>
      <c r="N1948" s="20">
        <f t="shared" si="223"/>
        <v>0</v>
      </c>
      <c r="O1948" s="20">
        <f t="shared" si="224"/>
        <v>1</v>
      </c>
      <c r="P1948" s="22">
        <f t="shared" si="225"/>
        <v>221.98</v>
      </c>
      <c r="Q1948" s="22">
        <f>G1948*INDEX(Assumptions!$B$8:$B$16,MATCH(F1948,Assumptions!$A$8:$A$16,0))</f>
        <v>121.48799999999999</v>
      </c>
      <c r="R1948" s="22">
        <f>H1948*Assumptions!$B$3</f>
        <v>11.7</v>
      </c>
      <c r="S1948" s="22">
        <f t="shared" si="226"/>
        <v>69.292000000000002</v>
      </c>
      <c r="T1948" s="20" t="str">
        <f t="shared" si="227"/>
        <v>15-21 days</v>
      </c>
    </row>
    <row r="1949" spans="1:20" x14ac:dyDescent="0.3">
      <c r="A1949" s="20" t="s">
        <v>2015</v>
      </c>
      <c r="B1949" s="20" t="s">
        <v>19</v>
      </c>
      <c r="C1949" s="21">
        <v>45892</v>
      </c>
      <c r="D1949" s="21">
        <v>45903</v>
      </c>
      <c r="E1949" s="21">
        <v>45907</v>
      </c>
      <c r="F1949" s="20" t="s">
        <v>111</v>
      </c>
      <c r="G1949" s="22">
        <v>62.62</v>
      </c>
      <c r="H1949" s="22">
        <v>14.41</v>
      </c>
      <c r="I1949" s="20" t="s">
        <v>60</v>
      </c>
      <c r="J1949" s="20">
        <v>4</v>
      </c>
      <c r="K1949" s="20" t="s">
        <v>46</v>
      </c>
      <c r="L1949" s="23">
        <f t="shared" si="221"/>
        <v>45870</v>
      </c>
      <c r="M1949" s="20">
        <f t="shared" si="222"/>
        <v>11</v>
      </c>
      <c r="N1949" s="20">
        <f t="shared" si="223"/>
        <v>0</v>
      </c>
      <c r="O1949" s="20">
        <f t="shared" si="224"/>
        <v>1</v>
      </c>
      <c r="P1949" s="22">
        <f t="shared" si="225"/>
        <v>77.03</v>
      </c>
      <c r="Q1949" s="22">
        <f>G1949*INDEX(Assumptions!$B$8:$B$16,MATCH(F1949,Assumptions!$A$8:$A$16,0))</f>
        <v>39.450600000000001</v>
      </c>
      <c r="R1949" s="22">
        <f>H1949*Assumptions!$B$3</f>
        <v>8.645999999999999</v>
      </c>
      <c r="S1949" s="22">
        <f t="shared" si="226"/>
        <v>14.523399999999997</v>
      </c>
      <c r="T1949" s="20" t="str">
        <f t="shared" si="227"/>
        <v>8-14 days</v>
      </c>
    </row>
    <row r="1950" spans="1:20" x14ac:dyDescent="0.3">
      <c r="A1950" s="20" t="s">
        <v>2016</v>
      </c>
      <c r="B1950" s="20" t="s">
        <v>19</v>
      </c>
      <c r="C1950" s="21">
        <v>45892</v>
      </c>
      <c r="D1950" s="21">
        <v>45899</v>
      </c>
      <c r="E1950" s="21">
        <v>45910</v>
      </c>
      <c r="F1950" s="20" t="s">
        <v>64</v>
      </c>
      <c r="G1950" s="22">
        <v>112.46</v>
      </c>
      <c r="H1950" s="22">
        <v>19.579999999999998</v>
      </c>
      <c r="I1950" s="20" t="s">
        <v>45</v>
      </c>
      <c r="J1950" s="20">
        <v>5</v>
      </c>
      <c r="K1950" s="20" t="s">
        <v>46</v>
      </c>
      <c r="L1950" s="23">
        <f t="shared" si="221"/>
        <v>45870</v>
      </c>
      <c r="M1950" s="20">
        <f t="shared" si="222"/>
        <v>7</v>
      </c>
      <c r="N1950" s="20">
        <f t="shared" si="223"/>
        <v>0</v>
      </c>
      <c r="O1950" s="20">
        <f t="shared" si="224"/>
        <v>1</v>
      </c>
      <c r="P1950" s="22">
        <f t="shared" si="225"/>
        <v>132.04</v>
      </c>
      <c r="Q1950" s="22">
        <f>G1950*INDEX(Assumptions!$B$8:$B$16,MATCH(F1950,Assumptions!$A$8:$A$16,0))</f>
        <v>74.223600000000005</v>
      </c>
      <c r="R1950" s="22">
        <f>H1950*Assumptions!$B$3</f>
        <v>11.747999999999999</v>
      </c>
      <c r="S1950" s="22">
        <f t="shared" si="226"/>
        <v>26.488399999999992</v>
      </c>
      <c r="T1950" s="20" t="str">
        <f t="shared" si="227"/>
        <v>0-7 days</v>
      </c>
    </row>
    <row r="1951" spans="1:20" x14ac:dyDescent="0.3">
      <c r="A1951" s="20" t="s">
        <v>2017</v>
      </c>
      <c r="B1951" s="20" t="s">
        <v>19</v>
      </c>
      <c r="C1951" s="21">
        <v>45892</v>
      </c>
      <c r="D1951" s="21">
        <v>45897</v>
      </c>
      <c r="E1951" s="21">
        <v>45909</v>
      </c>
      <c r="F1951" s="20" t="s">
        <v>44</v>
      </c>
      <c r="G1951" s="22">
        <v>57.48</v>
      </c>
      <c r="H1951" s="22">
        <v>16.579999999999998</v>
      </c>
      <c r="I1951" s="20" t="s">
        <v>45</v>
      </c>
      <c r="J1951" s="20">
        <v>4</v>
      </c>
      <c r="K1951" s="20" t="s">
        <v>46</v>
      </c>
      <c r="L1951" s="23">
        <f t="shared" si="221"/>
        <v>45870</v>
      </c>
      <c r="M1951" s="20">
        <f t="shared" si="222"/>
        <v>5</v>
      </c>
      <c r="N1951" s="20">
        <f t="shared" si="223"/>
        <v>0</v>
      </c>
      <c r="O1951" s="20">
        <f t="shared" si="224"/>
        <v>1</v>
      </c>
      <c r="P1951" s="22">
        <f t="shared" si="225"/>
        <v>74.06</v>
      </c>
      <c r="Q1951" s="22">
        <f>G1951*INDEX(Assumptions!$B$8:$B$16,MATCH(F1951,Assumptions!$A$8:$A$16,0))</f>
        <v>34.488</v>
      </c>
      <c r="R1951" s="22">
        <f>H1951*Assumptions!$B$3</f>
        <v>9.9479999999999986</v>
      </c>
      <c r="S1951" s="22">
        <f t="shared" si="226"/>
        <v>13.043999999999999</v>
      </c>
      <c r="T1951" s="20" t="str">
        <f t="shared" si="227"/>
        <v>0-7 days</v>
      </c>
    </row>
    <row r="1952" spans="1:20" x14ac:dyDescent="0.3">
      <c r="A1952" s="20" t="s">
        <v>2018</v>
      </c>
      <c r="B1952" s="20" t="s">
        <v>62</v>
      </c>
      <c r="C1952" s="21">
        <v>45892</v>
      </c>
      <c r="D1952" s="21">
        <v>45906</v>
      </c>
      <c r="E1952" s="21">
        <v>45911</v>
      </c>
      <c r="F1952" s="20" t="s">
        <v>49</v>
      </c>
      <c r="G1952" s="22">
        <v>230.4</v>
      </c>
      <c r="H1952" s="22">
        <v>26.91</v>
      </c>
      <c r="I1952" s="20" t="s">
        <v>45</v>
      </c>
      <c r="J1952" s="20">
        <v>5</v>
      </c>
      <c r="K1952" s="20" t="s">
        <v>46</v>
      </c>
      <c r="L1952" s="23">
        <f t="shared" si="221"/>
        <v>45870</v>
      </c>
      <c r="M1952" s="20">
        <f t="shared" si="222"/>
        <v>14</v>
      </c>
      <c r="N1952" s="20">
        <f t="shared" si="223"/>
        <v>0</v>
      </c>
      <c r="O1952" s="20">
        <f t="shared" si="224"/>
        <v>1</v>
      </c>
      <c r="P1952" s="22">
        <f t="shared" si="225"/>
        <v>257.31</v>
      </c>
      <c r="Q1952" s="22">
        <f>G1952*INDEX(Assumptions!$B$8:$B$16,MATCH(F1952,Assumptions!$A$8:$A$16,0))</f>
        <v>133.63200000000001</v>
      </c>
      <c r="R1952" s="22">
        <f>H1952*Assumptions!$B$3</f>
        <v>16.146000000000001</v>
      </c>
      <c r="S1952" s="22">
        <f t="shared" si="226"/>
        <v>80.622</v>
      </c>
      <c r="T1952" s="20" t="str">
        <f t="shared" si="227"/>
        <v>8-14 days</v>
      </c>
    </row>
    <row r="1953" spans="1:20" x14ac:dyDescent="0.3">
      <c r="A1953" s="20" t="s">
        <v>2019</v>
      </c>
      <c r="B1953" s="20" t="s">
        <v>156</v>
      </c>
      <c r="C1953" s="21">
        <v>45892</v>
      </c>
      <c r="D1953" s="21">
        <v>45918</v>
      </c>
      <c r="E1953" s="21">
        <v>45916</v>
      </c>
      <c r="F1953" s="20" t="s">
        <v>64</v>
      </c>
      <c r="G1953" s="22">
        <v>364.53</v>
      </c>
      <c r="H1953" s="22">
        <v>24.64</v>
      </c>
      <c r="I1953" s="20" t="s">
        <v>45</v>
      </c>
      <c r="J1953" s="20">
        <v>1</v>
      </c>
      <c r="K1953" s="20" t="s">
        <v>46</v>
      </c>
      <c r="L1953" s="23">
        <f t="shared" si="221"/>
        <v>45870</v>
      </c>
      <c r="M1953" s="20">
        <f t="shared" si="222"/>
        <v>26</v>
      </c>
      <c r="N1953" s="20">
        <f t="shared" si="223"/>
        <v>2</v>
      </c>
      <c r="O1953" s="20">
        <f t="shared" si="224"/>
        <v>0</v>
      </c>
      <c r="P1953" s="22">
        <f t="shared" si="225"/>
        <v>389.16999999999996</v>
      </c>
      <c r="Q1953" s="22">
        <f>G1953*INDEX(Assumptions!$B$8:$B$16,MATCH(F1953,Assumptions!$A$8:$A$16,0))</f>
        <v>240.5898</v>
      </c>
      <c r="R1953" s="22">
        <f>H1953*Assumptions!$B$3</f>
        <v>14.783999999999999</v>
      </c>
      <c r="S1953" s="22">
        <f t="shared" si="226"/>
        <v>109.15619999999998</v>
      </c>
      <c r="T1953" s="20" t="str">
        <f t="shared" si="227"/>
        <v>22+ days</v>
      </c>
    </row>
    <row r="1954" spans="1:20" x14ac:dyDescent="0.3">
      <c r="A1954" s="20" t="s">
        <v>2020</v>
      </c>
      <c r="B1954" s="20" t="s">
        <v>55</v>
      </c>
      <c r="C1954" s="21">
        <v>45892</v>
      </c>
      <c r="D1954" s="21">
        <v>45912</v>
      </c>
      <c r="E1954" s="21">
        <v>45918</v>
      </c>
      <c r="F1954" s="20" t="s">
        <v>44</v>
      </c>
      <c r="G1954" s="22">
        <v>42.31</v>
      </c>
      <c r="H1954" s="22">
        <v>22.29</v>
      </c>
      <c r="I1954" s="20" t="s">
        <v>45</v>
      </c>
      <c r="J1954" s="20">
        <v>4</v>
      </c>
      <c r="K1954" s="20" t="s">
        <v>46</v>
      </c>
      <c r="L1954" s="23">
        <f t="shared" si="221"/>
        <v>45870</v>
      </c>
      <c r="M1954" s="20">
        <f t="shared" si="222"/>
        <v>20</v>
      </c>
      <c r="N1954" s="20">
        <f t="shared" si="223"/>
        <v>0</v>
      </c>
      <c r="O1954" s="20">
        <f t="shared" si="224"/>
        <v>1</v>
      </c>
      <c r="P1954" s="22">
        <f t="shared" si="225"/>
        <v>64.599999999999994</v>
      </c>
      <c r="Q1954" s="22">
        <f>G1954*INDEX(Assumptions!$B$8:$B$16,MATCH(F1954,Assumptions!$A$8:$A$16,0))</f>
        <v>25.385999999999999</v>
      </c>
      <c r="R1954" s="22">
        <f>H1954*Assumptions!$B$3</f>
        <v>13.373999999999999</v>
      </c>
      <c r="S1954" s="22">
        <f t="shared" si="226"/>
        <v>3.5500000000000043</v>
      </c>
      <c r="T1954" s="20" t="str">
        <f t="shared" si="227"/>
        <v>15-21 days</v>
      </c>
    </row>
    <row r="1955" spans="1:20" x14ac:dyDescent="0.3">
      <c r="A1955" s="20" t="s">
        <v>2021</v>
      </c>
      <c r="B1955" s="20" t="s">
        <v>93</v>
      </c>
      <c r="C1955" s="21">
        <v>45893</v>
      </c>
      <c r="D1955" s="21">
        <v>45918</v>
      </c>
      <c r="E1955" s="21">
        <v>45923</v>
      </c>
      <c r="F1955" s="20" t="s">
        <v>44</v>
      </c>
      <c r="G1955" s="22">
        <v>119.56</v>
      </c>
      <c r="H1955" s="22">
        <v>39.270000000000003</v>
      </c>
      <c r="I1955" s="20" t="s">
        <v>60</v>
      </c>
      <c r="J1955" s="20">
        <v>4</v>
      </c>
      <c r="K1955" s="20" t="s">
        <v>46</v>
      </c>
      <c r="L1955" s="23">
        <f t="shared" si="221"/>
        <v>45870</v>
      </c>
      <c r="M1955" s="20">
        <f t="shared" si="222"/>
        <v>25</v>
      </c>
      <c r="N1955" s="20">
        <f t="shared" si="223"/>
        <v>0</v>
      </c>
      <c r="O1955" s="20">
        <f t="shared" si="224"/>
        <v>1</v>
      </c>
      <c r="P1955" s="22">
        <f t="shared" si="225"/>
        <v>158.83000000000001</v>
      </c>
      <c r="Q1955" s="22">
        <f>G1955*INDEX(Assumptions!$B$8:$B$16,MATCH(F1955,Assumptions!$A$8:$A$16,0))</f>
        <v>71.736000000000004</v>
      </c>
      <c r="R1955" s="22">
        <f>H1955*Assumptions!$B$3</f>
        <v>23.562000000000001</v>
      </c>
      <c r="S1955" s="22">
        <f t="shared" si="226"/>
        <v>24.261999999999997</v>
      </c>
      <c r="T1955" s="20" t="str">
        <f t="shared" si="227"/>
        <v>22+ days</v>
      </c>
    </row>
    <row r="1956" spans="1:20" x14ac:dyDescent="0.3">
      <c r="A1956" s="20" t="s">
        <v>2022</v>
      </c>
      <c r="B1956" s="20" t="s">
        <v>62</v>
      </c>
      <c r="C1956" s="21">
        <v>45893</v>
      </c>
      <c r="D1956" s="21">
        <v>45907</v>
      </c>
      <c r="E1956" s="21">
        <v>45916</v>
      </c>
      <c r="F1956" s="20" t="s">
        <v>59</v>
      </c>
      <c r="G1956" s="22">
        <v>26.94</v>
      </c>
      <c r="H1956" s="22">
        <v>24.62</v>
      </c>
      <c r="I1956" s="20" t="s">
        <v>45</v>
      </c>
      <c r="J1956" s="20">
        <v>5</v>
      </c>
      <c r="K1956" s="20" t="s">
        <v>46</v>
      </c>
      <c r="L1956" s="23">
        <f t="shared" si="221"/>
        <v>45870</v>
      </c>
      <c r="M1956" s="20">
        <f t="shared" si="222"/>
        <v>14</v>
      </c>
      <c r="N1956" s="20">
        <f t="shared" si="223"/>
        <v>0</v>
      </c>
      <c r="O1956" s="20">
        <f t="shared" si="224"/>
        <v>1</v>
      </c>
      <c r="P1956" s="22">
        <f t="shared" si="225"/>
        <v>51.56</v>
      </c>
      <c r="Q1956" s="22">
        <f>G1956*INDEX(Assumptions!$B$8:$B$16,MATCH(F1956,Assumptions!$A$8:$A$16,0))</f>
        <v>17.241600000000002</v>
      </c>
      <c r="R1956" s="22">
        <f>H1956*Assumptions!$B$3</f>
        <v>14.772</v>
      </c>
      <c r="S1956" s="22">
        <f t="shared" si="226"/>
        <v>-5.0736000000000008</v>
      </c>
      <c r="T1956" s="20" t="str">
        <f t="shared" si="227"/>
        <v>8-14 days</v>
      </c>
    </row>
    <row r="1957" spans="1:20" x14ac:dyDescent="0.3">
      <c r="A1957" s="20" t="s">
        <v>2023</v>
      </c>
      <c r="B1957" s="20" t="s">
        <v>19</v>
      </c>
      <c r="C1957" s="21">
        <v>45893</v>
      </c>
      <c r="D1957" s="21">
        <v>45901</v>
      </c>
      <c r="E1957" s="21">
        <v>45906</v>
      </c>
      <c r="F1957" s="20" t="s">
        <v>67</v>
      </c>
      <c r="G1957" s="22">
        <v>81.97</v>
      </c>
      <c r="H1957" s="22">
        <v>15.61</v>
      </c>
      <c r="I1957" s="20" t="s">
        <v>45</v>
      </c>
      <c r="J1957" s="20">
        <v>5</v>
      </c>
      <c r="K1957" s="20" t="s">
        <v>46</v>
      </c>
      <c r="L1957" s="23">
        <f t="shared" si="221"/>
        <v>45870</v>
      </c>
      <c r="M1957" s="20">
        <f t="shared" si="222"/>
        <v>8</v>
      </c>
      <c r="N1957" s="20">
        <f t="shared" si="223"/>
        <v>0</v>
      </c>
      <c r="O1957" s="20">
        <f t="shared" si="224"/>
        <v>1</v>
      </c>
      <c r="P1957" s="22">
        <f t="shared" si="225"/>
        <v>97.58</v>
      </c>
      <c r="Q1957" s="22">
        <f>G1957*INDEX(Assumptions!$B$8:$B$16,MATCH(F1957,Assumptions!$A$8:$A$16,0))</f>
        <v>50.821399999999997</v>
      </c>
      <c r="R1957" s="22">
        <f>H1957*Assumptions!$B$3</f>
        <v>9.3659999999999997</v>
      </c>
      <c r="S1957" s="22">
        <f t="shared" si="226"/>
        <v>21.782600000000002</v>
      </c>
      <c r="T1957" s="20" t="str">
        <f t="shared" si="227"/>
        <v>8-14 days</v>
      </c>
    </row>
    <row r="1958" spans="1:20" x14ac:dyDescent="0.3">
      <c r="A1958" s="20" t="s">
        <v>2024</v>
      </c>
      <c r="B1958" s="20" t="s">
        <v>19</v>
      </c>
      <c r="C1958" s="21">
        <v>45893</v>
      </c>
      <c r="D1958" s="21">
        <v>45899</v>
      </c>
      <c r="E1958" s="21">
        <v>45910</v>
      </c>
      <c r="F1958" s="20" t="s">
        <v>67</v>
      </c>
      <c r="G1958" s="22">
        <v>81.39</v>
      </c>
      <c r="H1958" s="22">
        <v>20.309999999999999</v>
      </c>
      <c r="I1958" s="20" t="s">
        <v>60</v>
      </c>
      <c r="J1958" s="20">
        <v>3</v>
      </c>
      <c r="K1958" s="20" t="s">
        <v>46</v>
      </c>
      <c r="L1958" s="23">
        <f t="shared" si="221"/>
        <v>45870</v>
      </c>
      <c r="M1958" s="20">
        <f t="shared" si="222"/>
        <v>6</v>
      </c>
      <c r="N1958" s="20">
        <f t="shared" si="223"/>
        <v>0</v>
      </c>
      <c r="O1958" s="20">
        <f t="shared" si="224"/>
        <v>1</v>
      </c>
      <c r="P1958" s="22">
        <f t="shared" si="225"/>
        <v>101.7</v>
      </c>
      <c r="Q1958" s="22">
        <f>G1958*INDEX(Assumptions!$B$8:$B$16,MATCH(F1958,Assumptions!$A$8:$A$16,0))</f>
        <v>50.461799999999997</v>
      </c>
      <c r="R1958" s="22">
        <f>H1958*Assumptions!$B$3</f>
        <v>12.185999999999998</v>
      </c>
      <c r="S1958" s="22">
        <f t="shared" si="226"/>
        <v>18.742200000000004</v>
      </c>
      <c r="T1958" s="20" t="str">
        <f t="shared" si="227"/>
        <v>0-7 days</v>
      </c>
    </row>
    <row r="1959" spans="1:20" x14ac:dyDescent="0.3">
      <c r="A1959" s="20" t="s">
        <v>2025</v>
      </c>
      <c r="B1959" s="20" t="s">
        <v>62</v>
      </c>
      <c r="C1959" s="21">
        <v>45893</v>
      </c>
      <c r="D1959" s="21">
        <v>45898</v>
      </c>
      <c r="E1959" s="21">
        <v>45914</v>
      </c>
      <c r="F1959" s="20" t="s">
        <v>79</v>
      </c>
      <c r="G1959" s="22">
        <v>161.01</v>
      </c>
      <c r="H1959" s="22">
        <v>26.82</v>
      </c>
      <c r="I1959" s="20" t="s">
        <v>45</v>
      </c>
      <c r="J1959" s="20">
        <v>4</v>
      </c>
      <c r="K1959" s="20" t="s">
        <v>46</v>
      </c>
      <c r="L1959" s="23">
        <f t="shared" si="221"/>
        <v>45870</v>
      </c>
      <c r="M1959" s="20">
        <f t="shared" si="222"/>
        <v>5</v>
      </c>
      <c r="N1959" s="20">
        <f t="shared" si="223"/>
        <v>0</v>
      </c>
      <c r="O1959" s="20">
        <f t="shared" si="224"/>
        <v>1</v>
      </c>
      <c r="P1959" s="22">
        <f t="shared" si="225"/>
        <v>187.82999999999998</v>
      </c>
      <c r="Q1959" s="22">
        <f>G1959*INDEX(Assumptions!$B$8:$B$16,MATCH(F1959,Assumptions!$A$8:$A$16,0))</f>
        <v>112.70699999999998</v>
      </c>
      <c r="R1959" s="22">
        <f>H1959*Assumptions!$B$3</f>
        <v>16.091999999999999</v>
      </c>
      <c r="S1959" s="22">
        <f t="shared" si="226"/>
        <v>32.211000000000013</v>
      </c>
      <c r="T1959" s="20" t="str">
        <f t="shared" si="227"/>
        <v>0-7 days</v>
      </c>
    </row>
    <row r="1960" spans="1:20" x14ac:dyDescent="0.3">
      <c r="A1960" s="20" t="s">
        <v>2026</v>
      </c>
      <c r="B1960" s="20" t="s">
        <v>19</v>
      </c>
      <c r="C1960" s="21">
        <v>45893</v>
      </c>
      <c r="D1960" s="21">
        <v>45904</v>
      </c>
      <c r="E1960" s="21">
        <v>45908</v>
      </c>
      <c r="F1960" s="20" t="s">
        <v>111</v>
      </c>
      <c r="G1960" s="22">
        <v>106.14</v>
      </c>
      <c r="H1960" s="22">
        <v>15.65</v>
      </c>
      <c r="I1960" s="20" t="s">
        <v>45</v>
      </c>
      <c r="J1960" s="20">
        <v>2</v>
      </c>
      <c r="K1960" s="20" t="s">
        <v>46</v>
      </c>
      <c r="L1960" s="23">
        <f t="shared" si="221"/>
        <v>45870</v>
      </c>
      <c r="M1960" s="20">
        <f t="shared" si="222"/>
        <v>11</v>
      </c>
      <c r="N1960" s="20">
        <f t="shared" si="223"/>
        <v>0</v>
      </c>
      <c r="O1960" s="20">
        <f t="shared" si="224"/>
        <v>1</v>
      </c>
      <c r="P1960" s="22">
        <f t="shared" si="225"/>
        <v>121.79</v>
      </c>
      <c r="Q1960" s="22">
        <f>G1960*INDEX(Assumptions!$B$8:$B$16,MATCH(F1960,Assumptions!$A$8:$A$16,0))</f>
        <v>66.868200000000002</v>
      </c>
      <c r="R1960" s="22">
        <f>H1960*Assumptions!$B$3</f>
        <v>9.39</v>
      </c>
      <c r="S1960" s="22">
        <f t="shared" si="226"/>
        <v>29.881799999999998</v>
      </c>
      <c r="T1960" s="20" t="str">
        <f t="shared" si="227"/>
        <v>8-14 days</v>
      </c>
    </row>
    <row r="1961" spans="1:20" x14ac:dyDescent="0.3">
      <c r="A1961" s="20" t="s">
        <v>2027</v>
      </c>
      <c r="B1961" s="20" t="s">
        <v>19</v>
      </c>
      <c r="C1961" s="21">
        <v>45894</v>
      </c>
      <c r="D1961" s="21">
        <v>45906</v>
      </c>
      <c r="E1961" s="21">
        <v>45905</v>
      </c>
      <c r="F1961" s="20" t="s">
        <v>67</v>
      </c>
      <c r="G1961" s="22">
        <v>17.64</v>
      </c>
      <c r="H1961" s="22">
        <v>18.489999999999998</v>
      </c>
      <c r="I1961" s="20" t="s">
        <v>45</v>
      </c>
      <c r="J1961" s="20">
        <v>2</v>
      </c>
      <c r="K1961" s="20" t="s">
        <v>46</v>
      </c>
      <c r="L1961" s="23">
        <f t="shared" si="221"/>
        <v>45870</v>
      </c>
      <c r="M1961" s="20">
        <f t="shared" si="222"/>
        <v>12</v>
      </c>
      <c r="N1961" s="20">
        <f t="shared" si="223"/>
        <v>1</v>
      </c>
      <c r="O1961" s="20">
        <f t="shared" si="224"/>
        <v>0</v>
      </c>
      <c r="P1961" s="22">
        <f t="shared" si="225"/>
        <v>36.129999999999995</v>
      </c>
      <c r="Q1961" s="22">
        <f>G1961*INDEX(Assumptions!$B$8:$B$16,MATCH(F1961,Assumptions!$A$8:$A$16,0))</f>
        <v>10.9368</v>
      </c>
      <c r="R1961" s="22">
        <f>H1961*Assumptions!$B$3</f>
        <v>11.093999999999999</v>
      </c>
      <c r="S1961" s="22">
        <f t="shared" si="226"/>
        <v>-4.3907999999999987</v>
      </c>
      <c r="T1961" s="20" t="str">
        <f t="shared" si="227"/>
        <v>8-14 days</v>
      </c>
    </row>
    <row r="1962" spans="1:20" x14ac:dyDescent="0.3">
      <c r="A1962" s="20" t="s">
        <v>2028</v>
      </c>
      <c r="B1962" s="20" t="s">
        <v>55</v>
      </c>
      <c r="C1962" s="21">
        <v>45894</v>
      </c>
      <c r="D1962" s="21">
        <v>45906</v>
      </c>
      <c r="E1962" s="21">
        <v>45918</v>
      </c>
      <c r="F1962" s="20" t="s">
        <v>53</v>
      </c>
      <c r="G1962" s="22">
        <v>29.51</v>
      </c>
      <c r="H1962" s="22">
        <v>16.059999999999999</v>
      </c>
      <c r="I1962" s="20" t="s">
        <v>45</v>
      </c>
      <c r="J1962" s="20">
        <v>4</v>
      </c>
      <c r="K1962" s="20" t="s">
        <v>46</v>
      </c>
      <c r="L1962" s="23">
        <f t="shared" si="221"/>
        <v>45870</v>
      </c>
      <c r="M1962" s="20">
        <f t="shared" si="222"/>
        <v>12</v>
      </c>
      <c r="N1962" s="20">
        <f t="shared" si="223"/>
        <v>0</v>
      </c>
      <c r="O1962" s="20">
        <f t="shared" si="224"/>
        <v>1</v>
      </c>
      <c r="P1962" s="22">
        <f t="shared" si="225"/>
        <v>45.57</v>
      </c>
      <c r="Q1962" s="22">
        <f>G1962*INDEX(Assumptions!$B$8:$B$16,MATCH(F1962,Assumptions!$A$8:$A$16,0))</f>
        <v>21.837400000000002</v>
      </c>
      <c r="R1962" s="22">
        <f>H1962*Assumptions!$B$3</f>
        <v>9.6359999999999992</v>
      </c>
      <c r="S1962" s="22">
        <f t="shared" si="226"/>
        <v>-1.9634</v>
      </c>
      <c r="T1962" s="20" t="str">
        <f t="shared" si="227"/>
        <v>8-14 days</v>
      </c>
    </row>
    <row r="1963" spans="1:20" x14ac:dyDescent="0.3">
      <c r="A1963" s="20" t="s">
        <v>2029</v>
      </c>
      <c r="B1963" s="20" t="s">
        <v>19</v>
      </c>
      <c r="C1963" s="21">
        <v>45894</v>
      </c>
      <c r="D1963" s="21">
        <v>45903</v>
      </c>
      <c r="E1963" s="21">
        <v>45910</v>
      </c>
      <c r="F1963" s="20" t="s">
        <v>53</v>
      </c>
      <c r="G1963" s="22">
        <v>179.26</v>
      </c>
      <c r="H1963" s="22">
        <v>22.82</v>
      </c>
      <c r="I1963" s="20" t="s">
        <v>60</v>
      </c>
      <c r="J1963" s="20">
        <v>5</v>
      </c>
      <c r="K1963" s="20" t="s">
        <v>46</v>
      </c>
      <c r="L1963" s="23">
        <f t="shared" si="221"/>
        <v>45870</v>
      </c>
      <c r="M1963" s="20">
        <f t="shared" si="222"/>
        <v>9</v>
      </c>
      <c r="N1963" s="20">
        <f t="shared" si="223"/>
        <v>0</v>
      </c>
      <c r="O1963" s="20">
        <f t="shared" si="224"/>
        <v>1</v>
      </c>
      <c r="P1963" s="22">
        <f t="shared" si="225"/>
        <v>202.07999999999998</v>
      </c>
      <c r="Q1963" s="22">
        <f>G1963*INDEX(Assumptions!$B$8:$B$16,MATCH(F1963,Assumptions!$A$8:$A$16,0))</f>
        <v>132.6524</v>
      </c>
      <c r="R1963" s="22">
        <f>H1963*Assumptions!$B$3</f>
        <v>13.692</v>
      </c>
      <c r="S1963" s="22">
        <f t="shared" si="226"/>
        <v>32.915599999999991</v>
      </c>
      <c r="T1963" s="20" t="str">
        <f t="shared" si="227"/>
        <v>8-14 days</v>
      </c>
    </row>
    <row r="1964" spans="1:20" x14ac:dyDescent="0.3">
      <c r="A1964" s="20" t="s">
        <v>2030</v>
      </c>
      <c r="B1964" s="20" t="s">
        <v>62</v>
      </c>
      <c r="C1964" s="21">
        <v>45894</v>
      </c>
      <c r="D1964" s="21">
        <v>45912</v>
      </c>
      <c r="E1964" s="21">
        <v>45920</v>
      </c>
      <c r="F1964" s="20" t="s">
        <v>67</v>
      </c>
      <c r="G1964" s="22">
        <v>57.58</v>
      </c>
      <c r="H1964" s="22">
        <v>23.2</v>
      </c>
      <c r="I1964" s="20" t="s">
        <v>45</v>
      </c>
      <c r="J1964" s="20">
        <v>3</v>
      </c>
      <c r="K1964" s="20" t="s">
        <v>46</v>
      </c>
      <c r="L1964" s="23">
        <f t="shared" si="221"/>
        <v>45870</v>
      </c>
      <c r="M1964" s="20">
        <f t="shared" si="222"/>
        <v>18</v>
      </c>
      <c r="N1964" s="20">
        <f t="shared" si="223"/>
        <v>0</v>
      </c>
      <c r="O1964" s="20">
        <f t="shared" si="224"/>
        <v>1</v>
      </c>
      <c r="P1964" s="22">
        <f t="shared" si="225"/>
        <v>80.78</v>
      </c>
      <c r="Q1964" s="22">
        <f>G1964*INDEX(Assumptions!$B$8:$B$16,MATCH(F1964,Assumptions!$A$8:$A$16,0))</f>
        <v>35.699599999999997</v>
      </c>
      <c r="R1964" s="22">
        <f>H1964*Assumptions!$B$3</f>
        <v>13.92</v>
      </c>
      <c r="S1964" s="22">
        <f t="shared" si="226"/>
        <v>7.9604000000000017</v>
      </c>
      <c r="T1964" s="20" t="str">
        <f t="shared" si="227"/>
        <v>15-21 days</v>
      </c>
    </row>
    <row r="1965" spans="1:20" x14ac:dyDescent="0.3">
      <c r="A1965" s="20" t="s">
        <v>2031</v>
      </c>
      <c r="B1965" s="20" t="s">
        <v>62</v>
      </c>
      <c r="C1965" s="21">
        <v>45894</v>
      </c>
      <c r="D1965" s="21">
        <v>45903</v>
      </c>
      <c r="E1965" s="21">
        <v>45916</v>
      </c>
      <c r="F1965" s="20" t="s">
        <v>79</v>
      </c>
      <c r="G1965" s="22">
        <v>280.45</v>
      </c>
      <c r="H1965" s="22">
        <v>20.03</v>
      </c>
      <c r="I1965" s="20" t="s">
        <v>45</v>
      </c>
      <c r="J1965" s="20">
        <v>4</v>
      </c>
      <c r="K1965" s="20" t="s">
        <v>46</v>
      </c>
      <c r="L1965" s="23">
        <f t="shared" si="221"/>
        <v>45870</v>
      </c>
      <c r="M1965" s="20">
        <f t="shared" si="222"/>
        <v>9</v>
      </c>
      <c r="N1965" s="20">
        <f t="shared" si="223"/>
        <v>0</v>
      </c>
      <c r="O1965" s="20">
        <f t="shared" si="224"/>
        <v>1</v>
      </c>
      <c r="P1965" s="22">
        <f t="shared" si="225"/>
        <v>300.48</v>
      </c>
      <c r="Q1965" s="22">
        <f>G1965*INDEX(Assumptions!$B$8:$B$16,MATCH(F1965,Assumptions!$A$8:$A$16,0))</f>
        <v>196.31499999999997</v>
      </c>
      <c r="R1965" s="22">
        <f>H1965*Assumptions!$B$3</f>
        <v>12.018000000000001</v>
      </c>
      <c r="S1965" s="22">
        <f t="shared" si="226"/>
        <v>72.117000000000019</v>
      </c>
      <c r="T1965" s="20" t="str">
        <f t="shared" si="227"/>
        <v>8-14 days</v>
      </c>
    </row>
    <row r="1966" spans="1:20" x14ac:dyDescent="0.3">
      <c r="A1966" s="20" t="s">
        <v>2032</v>
      </c>
      <c r="B1966" s="20" t="s">
        <v>19</v>
      </c>
      <c r="C1966" s="21">
        <v>45894</v>
      </c>
      <c r="D1966" s="21">
        <v>45901</v>
      </c>
      <c r="E1966" s="21">
        <v>45910</v>
      </c>
      <c r="F1966" s="20" t="s">
        <v>59</v>
      </c>
      <c r="G1966" s="22">
        <v>100.09</v>
      </c>
      <c r="H1966" s="22">
        <v>13.17</v>
      </c>
      <c r="I1966" s="20" t="s">
        <v>60</v>
      </c>
      <c r="J1966" s="20">
        <v>5</v>
      </c>
      <c r="K1966" s="20" t="s">
        <v>46</v>
      </c>
      <c r="L1966" s="23">
        <f t="shared" si="221"/>
        <v>45870</v>
      </c>
      <c r="M1966" s="20">
        <f t="shared" si="222"/>
        <v>7</v>
      </c>
      <c r="N1966" s="20">
        <f t="shared" si="223"/>
        <v>0</v>
      </c>
      <c r="O1966" s="20">
        <f t="shared" si="224"/>
        <v>1</v>
      </c>
      <c r="P1966" s="22">
        <f t="shared" si="225"/>
        <v>113.26</v>
      </c>
      <c r="Q1966" s="22">
        <f>G1966*INDEX(Assumptions!$B$8:$B$16,MATCH(F1966,Assumptions!$A$8:$A$16,0))</f>
        <v>64.057600000000008</v>
      </c>
      <c r="R1966" s="22">
        <f>H1966*Assumptions!$B$3</f>
        <v>7.9019999999999992</v>
      </c>
      <c r="S1966" s="22">
        <f t="shared" si="226"/>
        <v>28.130399999999995</v>
      </c>
      <c r="T1966" s="20" t="str">
        <f t="shared" si="227"/>
        <v>0-7 days</v>
      </c>
    </row>
    <row r="1967" spans="1:20" x14ac:dyDescent="0.3">
      <c r="A1967" s="20" t="s">
        <v>2033</v>
      </c>
      <c r="B1967" s="20" t="s">
        <v>55</v>
      </c>
      <c r="C1967" s="21">
        <v>45894</v>
      </c>
      <c r="D1967" s="21">
        <v>45907</v>
      </c>
      <c r="E1967" s="21">
        <v>45920</v>
      </c>
      <c r="F1967" s="20" t="s">
        <v>53</v>
      </c>
      <c r="G1967" s="22">
        <v>40.89</v>
      </c>
      <c r="H1967" s="22">
        <v>29.85</v>
      </c>
      <c r="I1967" s="20" t="s">
        <v>60</v>
      </c>
      <c r="J1967" s="20">
        <v>5</v>
      </c>
      <c r="K1967" s="20" t="s">
        <v>46</v>
      </c>
      <c r="L1967" s="23">
        <f t="shared" si="221"/>
        <v>45870</v>
      </c>
      <c r="M1967" s="20">
        <f t="shared" si="222"/>
        <v>13</v>
      </c>
      <c r="N1967" s="20">
        <f t="shared" si="223"/>
        <v>0</v>
      </c>
      <c r="O1967" s="20">
        <f t="shared" si="224"/>
        <v>1</v>
      </c>
      <c r="P1967" s="22">
        <f t="shared" si="225"/>
        <v>70.740000000000009</v>
      </c>
      <c r="Q1967" s="22">
        <f>G1967*INDEX(Assumptions!$B$8:$B$16,MATCH(F1967,Assumptions!$A$8:$A$16,0))</f>
        <v>30.258600000000001</v>
      </c>
      <c r="R1967" s="22">
        <f>H1967*Assumptions!$B$3</f>
        <v>17.91</v>
      </c>
      <c r="S1967" s="22">
        <f t="shared" si="226"/>
        <v>-7.2786000000000008</v>
      </c>
      <c r="T1967" s="20" t="str">
        <f t="shared" si="227"/>
        <v>8-14 days</v>
      </c>
    </row>
    <row r="1968" spans="1:20" x14ac:dyDescent="0.3">
      <c r="A1968" s="20" t="s">
        <v>2034</v>
      </c>
      <c r="B1968" s="20" t="s">
        <v>55</v>
      </c>
      <c r="C1968" s="21">
        <v>45894</v>
      </c>
      <c r="D1968" s="21">
        <v>45912</v>
      </c>
      <c r="E1968" s="21">
        <v>45921</v>
      </c>
      <c r="F1968" s="20" t="s">
        <v>64</v>
      </c>
      <c r="G1968" s="22">
        <v>156.72</v>
      </c>
      <c r="H1968" s="22">
        <v>20.190000000000001</v>
      </c>
      <c r="I1968" s="20" t="s">
        <v>45</v>
      </c>
      <c r="J1968" s="20">
        <v>5</v>
      </c>
      <c r="K1968" s="20" t="s">
        <v>46</v>
      </c>
      <c r="L1968" s="23">
        <f t="shared" si="221"/>
        <v>45870</v>
      </c>
      <c r="M1968" s="20">
        <f t="shared" si="222"/>
        <v>18</v>
      </c>
      <c r="N1968" s="20">
        <f t="shared" si="223"/>
        <v>0</v>
      </c>
      <c r="O1968" s="20">
        <f t="shared" si="224"/>
        <v>1</v>
      </c>
      <c r="P1968" s="22">
        <f t="shared" si="225"/>
        <v>176.91</v>
      </c>
      <c r="Q1968" s="22">
        <f>G1968*INDEX(Assumptions!$B$8:$B$16,MATCH(F1968,Assumptions!$A$8:$A$16,0))</f>
        <v>103.43520000000001</v>
      </c>
      <c r="R1968" s="22">
        <f>H1968*Assumptions!$B$3</f>
        <v>12.114000000000001</v>
      </c>
      <c r="S1968" s="22">
        <f t="shared" si="226"/>
        <v>41.170799999999986</v>
      </c>
      <c r="T1968" s="20" t="str">
        <f t="shared" si="227"/>
        <v>15-21 days</v>
      </c>
    </row>
    <row r="1969" spans="1:20" x14ac:dyDescent="0.3">
      <c r="A1969" s="20" t="s">
        <v>2035</v>
      </c>
      <c r="B1969" s="20" t="s">
        <v>19</v>
      </c>
      <c r="C1969" s="21">
        <v>45894</v>
      </c>
      <c r="D1969" s="21">
        <v>45904</v>
      </c>
      <c r="E1969" s="21">
        <v>45907</v>
      </c>
      <c r="F1969" s="20" t="s">
        <v>79</v>
      </c>
      <c r="G1969" s="22">
        <v>108.37</v>
      </c>
      <c r="H1969" s="22">
        <v>14.82</v>
      </c>
      <c r="I1969" s="20" t="s">
        <v>45</v>
      </c>
      <c r="J1969" s="20">
        <v>5</v>
      </c>
      <c r="K1969" s="20" t="s">
        <v>46</v>
      </c>
      <c r="L1969" s="23">
        <f t="shared" si="221"/>
        <v>45870</v>
      </c>
      <c r="M1969" s="20">
        <f t="shared" si="222"/>
        <v>10</v>
      </c>
      <c r="N1969" s="20">
        <f t="shared" si="223"/>
        <v>0</v>
      </c>
      <c r="O1969" s="20">
        <f t="shared" si="224"/>
        <v>1</v>
      </c>
      <c r="P1969" s="22">
        <f t="shared" si="225"/>
        <v>123.19</v>
      </c>
      <c r="Q1969" s="22">
        <f>G1969*INDEX(Assumptions!$B$8:$B$16,MATCH(F1969,Assumptions!$A$8:$A$16,0))</f>
        <v>75.858999999999995</v>
      </c>
      <c r="R1969" s="22">
        <f>H1969*Assumptions!$B$3</f>
        <v>8.8919999999999995</v>
      </c>
      <c r="S1969" s="22">
        <f t="shared" si="226"/>
        <v>23.61900000000001</v>
      </c>
      <c r="T1969" s="20" t="str">
        <f t="shared" si="227"/>
        <v>8-14 days</v>
      </c>
    </row>
    <row r="1970" spans="1:20" x14ac:dyDescent="0.3">
      <c r="A1970" s="20" t="s">
        <v>2036</v>
      </c>
      <c r="B1970" s="20" t="s">
        <v>19</v>
      </c>
      <c r="C1970" s="21">
        <v>45895</v>
      </c>
      <c r="D1970" s="21">
        <v>45901</v>
      </c>
      <c r="E1970" s="21">
        <v>45907</v>
      </c>
      <c r="F1970" s="20" t="s">
        <v>64</v>
      </c>
      <c r="G1970" s="22">
        <v>180.51</v>
      </c>
      <c r="H1970" s="22">
        <v>18.7</v>
      </c>
      <c r="I1970" s="20" t="s">
        <v>45</v>
      </c>
      <c r="J1970" s="20">
        <v>4</v>
      </c>
      <c r="K1970" s="20" t="s">
        <v>46</v>
      </c>
      <c r="L1970" s="23">
        <f t="shared" si="221"/>
        <v>45870</v>
      </c>
      <c r="M1970" s="20">
        <f t="shared" si="222"/>
        <v>6</v>
      </c>
      <c r="N1970" s="20">
        <f t="shared" si="223"/>
        <v>0</v>
      </c>
      <c r="O1970" s="20">
        <f t="shared" si="224"/>
        <v>1</v>
      </c>
      <c r="P1970" s="22">
        <f t="shared" si="225"/>
        <v>199.20999999999998</v>
      </c>
      <c r="Q1970" s="22">
        <f>G1970*INDEX(Assumptions!$B$8:$B$16,MATCH(F1970,Assumptions!$A$8:$A$16,0))</f>
        <v>119.1366</v>
      </c>
      <c r="R1970" s="22">
        <f>H1970*Assumptions!$B$3</f>
        <v>11.219999999999999</v>
      </c>
      <c r="S1970" s="22">
        <f t="shared" si="226"/>
        <v>50.153399999999991</v>
      </c>
      <c r="T1970" s="20" t="str">
        <f t="shared" si="227"/>
        <v>0-7 days</v>
      </c>
    </row>
    <row r="1971" spans="1:20" x14ac:dyDescent="0.3">
      <c r="A1971" s="20" t="s">
        <v>2037</v>
      </c>
      <c r="B1971" s="20" t="s">
        <v>19</v>
      </c>
      <c r="C1971" s="21">
        <v>45895</v>
      </c>
      <c r="D1971" s="21">
        <v>45901</v>
      </c>
      <c r="E1971" s="21">
        <v>45910</v>
      </c>
      <c r="F1971" s="20" t="s">
        <v>44</v>
      </c>
      <c r="G1971" s="22">
        <v>36.68</v>
      </c>
      <c r="H1971" s="22">
        <v>11.29</v>
      </c>
      <c r="I1971" s="20" t="s">
        <v>45</v>
      </c>
      <c r="J1971" s="20">
        <v>4</v>
      </c>
      <c r="K1971" s="20" t="s">
        <v>46</v>
      </c>
      <c r="L1971" s="23">
        <f t="shared" si="221"/>
        <v>45870</v>
      </c>
      <c r="M1971" s="20">
        <f t="shared" si="222"/>
        <v>6</v>
      </c>
      <c r="N1971" s="20">
        <f t="shared" si="223"/>
        <v>0</v>
      </c>
      <c r="O1971" s="20">
        <f t="shared" si="224"/>
        <v>1</v>
      </c>
      <c r="P1971" s="22">
        <f t="shared" si="225"/>
        <v>47.97</v>
      </c>
      <c r="Q1971" s="22">
        <f>G1971*INDEX(Assumptions!$B$8:$B$16,MATCH(F1971,Assumptions!$A$8:$A$16,0))</f>
        <v>22.007999999999999</v>
      </c>
      <c r="R1971" s="22">
        <f>H1971*Assumptions!$B$3</f>
        <v>6.7739999999999991</v>
      </c>
      <c r="S1971" s="22">
        <f t="shared" si="226"/>
        <v>7.8980000000000015</v>
      </c>
      <c r="T1971" s="20" t="str">
        <f t="shared" si="227"/>
        <v>0-7 days</v>
      </c>
    </row>
    <row r="1972" spans="1:20" x14ac:dyDescent="0.3">
      <c r="A1972" s="20" t="s">
        <v>2038</v>
      </c>
      <c r="B1972" s="20" t="s">
        <v>93</v>
      </c>
      <c r="C1972" s="21">
        <v>45895</v>
      </c>
      <c r="D1972" s="21">
        <v>45918</v>
      </c>
      <c r="E1972" s="21">
        <v>45923</v>
      </c>
      <c r="F1972" s="20" t="s">
        <v>111</v>
      </c>
      <c r="G1972" s="22">
        <v>203.52</v>
      </c>
      <c r="H1972" s="22">
        <v>28.67</v>
      </c>
      <c r="I1972" s="20" t="s">
        <v>45</v>
      </c>
      <c r="J1972" s="20">
        <v>3</v>
      </c>
      <c r="K1972" s="20" t="s">
        <v>46</v>
      </c>
      <c r="L1972" s="23">
        <f t="shared" si="221"/>
        <v>45870</v>
      </c>
      <c r="M1972" s="20">
        <f t="shared" si="222"/>
        <v>23</v>
      </c>
      <c r="N1972" s="20">
        <f t="shared" si="223"/>
        <v>0</v>
      </c>
      <c r="O1972" s="20">
        <f t="shared" si="224"/>
        <v>1</v>
      </c>
      <c r="P1972" s="22">
        <f t="shared" si="225"/>
        <v>232.19</v>
      </c>
      <c r="Q1972" s="22">
        <f>G1972*INDEX(Assumptions!$B$8:$B$16,MATCH(F1972,Assumptions!$A$8:$A$16,0))</f>
        <v>128.2176</v>
      </c>
      <c r="R1972" s="22">
        <f>H1972*Assumptions!$B$3</f>
        <v>17.202000000000002</v>
      </c>
      <c r="S1972" s="22">
        <f t="shared" si="226"/>
        <v>58.100400000000008</v>
      </c>
      <c r="T1972" s="20" t="str">
        <f t="shared" si="227"/>
        <v>22+ days</v>
      </c>
    </row>
    <row r="1973" spans="1:20" x14ac:dyDescent="0.3">
      <c r="A1973" s="20" t="s">
        <v>2039</v>
      </c>
      <c r="B1973" s="20" t="s">
        <v>62</v>
      </c>
      <c r="C1973" s="21">
        <v>45895</v>
      </c>
      <c r="D1973" s="21">
        <v>45911</v>
      </c>
      <c r="E1973" s="21">
        <v>45914</v>
      </c>
      <c r="F1973" s="20" t="s">
        <v>53</v>
      </c>
      <c r="G1973" s="22">
        <v>65.39</v>
      </c>
      <c r="H1973" s="22">
        <v>24.26</v>
      </c>
      <c r="I1973" s="20" t="s">
        <v>45</v>
      </c>
      <c r="J1973" s="20">
        <v>4</v>
      </c>
      <c r="K1973" s="20" t="s">
        <v>46</v>
      </c>
      <c r="L1973" s="23">
        <f t="shared" si="221"/>
        <v>45870</v>
      </c>
      <c r="M1973" s="20">
        <f t="shared" si="222"/>
        <v>16</v>
      </c>
      <c r="N1973" s="20">
        <f t="shared" si="223"/>
        <v>0</v>
      </c>
      <c r="O1973" s="20">
        <f t="shared" si="224"/>
        <v>1</v>
      </c>
      <c r="P1973" s="22">
        <f t="shared" si="225"/>
        <v>89.65</v>
      </c>
      <c r="Q1973" s="22">
        <f>G1973*INDEX(Assumptions!$B$8:$B$16,MATCH(F1973,Assumptions!$A$8:$A$16,0))</f>
        <v>48.388599999999997</v>
      </c>
      <c r="R1973" s="22">
        <f>H1973*Assumptions!$B$3</f>
        <v>14.556000000000001</v>
      </c>
      <c r="S1973" s="22">
        <f t="shared" si="226"/>
        <v>2.4454000000000029</v>
      </c>
      <c r="T1973" s="20" t="str">
        <f t="shared" si="227"/>
        <v>15-21 days</v>
      </c>
    </row>
    <row r="1974" spans="1:20" x14ac:dyDescent="0.3">
      <c r="A1974" s="20" t="s">
        <v>2040</v>
      </c>
      <c r="B1974" s="20" t="s">
        <v>19</v>
      </c>
      <c r="C1974" s="21">
        <v>45895</v>
      </c>
      <c r="D1974" s="21">
        <v>45903</v>
      </c>
      <c r="E1974" s="21">
        <v>45909</v>
      </c>
      <c r="F1974" s="20" t="s">
        <v>67</v>
      </c>
      <c r="G1974" s="22">
        <v>112.7</v>
      </c>
      <c r="H1974" s="22">
        <v>15.98</v>
      </c>
      <c r="I1974" s="20" t="s">
        <v>45</v>
      </c>
      <c r="J1974" s="20">
        <v>5</v>
      </c>
      <c r="K1974" s="20" t="s">
        <v>46</v>
      </c>
      <c r="L1974" s="23">
        <f t="shared" si="221"/>
        <v>45870</v>
      </c>
      <c r="M1974" s="20">
        <f t="shared" si="222"/>
        <v>8</v>
      </c>
      <c r="N1974" s="20">
        <f t="shared" si="223"/>
        <v>0</v>
      </c>
      <c r="O1974" s="20">
        <f t="shared" si="224"/>
        <v>1</v>
      </c>
      <c r="P1974" s="22">
        <f t="shared" si="225"/>
        <v>128.68</v>
      </c>
      <c r="Q1974" s="22">
        <f>G1974*INDEX(Assumptions!$B$8:$B$16,MATCH(F1974,Assumptions!$A$8:$A$16,0))</f>
        <v>69.873999999999995</v>
      </c>
      <c r="R1974" s="22">
        <f>H1974*Assumptions!$B$3</f>
        <v>9.5879999999999992</v>
      </c>
      <c r="S1974" s="22">
        <f t="shared" si="226"/>
        <v>33.238000000000007</v>
      </c>
      <c r="T1974" s="20" t="str">
        <f t="shared" si="227"/>
        <v>8-14 days</v>
      </c>
    </row>
    <row r="1975" spans="1:20" x14ac:dyDescent="0.3">
      <c r="A1975" s="20" t="s">
        <v>2041</v>
      </c>
      <c r="B1975" s="20" t="s">
        <v>19</v>
      </c>
      <c r="C1975" s="21">
        <v>45895</v>
      </c>
      <c r="D1975" s="21">
        <v>45901</v>
      </c>
      <c r="E1975" s="21">
        <v>45909</v>
      </c>
      <c r="F1975" s="20" t="s">
        <v>67</v>
      </c>
      <c r="G1975" s="22">
        <v>71.569999999999993</v>
      </c>
      <c r="H1975" s="22">
        <v>19.399999999999999</v>
      </c>
      <c r="I1975" s="20" t="s">
        <v>50</v>
      </c>
      <c r="J1975" s="20">
        <v>4</v>
      </c>
      <c r="K1975" s="20" t="s">
        <v>46</v>
      </c>
      <c r="L1975" s="23">
        <f t="shared" si="221"/>
        <v>45870</v>
      </c>
      <c r="M1975" s="20">
        <f t="shared" si="222"/>
        <v>6</v>
      </c>
      <c r="N1975" s="20">
        <f t="shared" si="223"/>
        <v>0</v>
      </c>
      <c r="O1975" s="20">
        <f t="shared" si="224"/>
        <v>1</v>
      </c>
      <c r="P1975" s="22">
        <f t="shared" si="225"/>
        <v>90.97</v>
      </c>
      <c r="Q1975" s="22">
        <f>G1975*INDEX(Assumptions!$B$8:$B$16,MATCH(F1975,Assumptions!$A$8:$A$16,0))</f>
        <v>44.373399999999997</v>
      </c>
      <c r="R1975" s="22">
        <f>H1975*Assumptions!$B$3</f>
        <v>11.639999999999999</v>
      </c>
      <c r="S1975" s="22">
        <f t="shared" si="226"/>
        <v>15.556599999999998</v>
      </c>
      <c r="T1975" s="20" t="str">
        <f t="shared" si="227"/>
        <v>0-7 days</v>
      </c>
    </row>
    <row r="1976" spans="1:20" x14ac:dyDescent="0.3">
      <c r="A1976" s="20" t="s">
        <v>2042</v>
      </c>
      <c r="B1976" s="20" t="s">
        <v>48</v>
      </c>
      <c r="C1976" s="21">
        <v>45895</v>
      </c>
      <c r="D1976" s="21">
        <v>45920</v>
      </c>
      <c r="E1976" s="21">
        <v>45917</v>
      </c>
      <c r="F1976" s="20" t="s">
        <v>67</v>
      </c>
      <c r="G1976" s="22">
        <v>65.930000000000007</v>
      </c>
      <c r="H1976" s="22">
        <v>19.579999999999998</v>
      </c>
      <c r="I1976" s="20" t="s">
        <v>45</v>
      </c>
      <c r="J1976" s="20">
        <v>3</v>
      </c>
      <c r="K1976" s="20" t="s">
        <v>46</v>
      </c>
      <c r="L1976" s="23">
        <f t="shared" si="221"/>
        <v>45870</v>
      </c>
      <c r="M1976" s="20">
        <f t="shared" si="222"/>
        <v>25</v>
      </c>
      <c r="N1976" s="20">
        <f t="shared" si="223"/>
        <v>3</v>
      </c>
      <c r="O1976" s="20">
        <f t="shared" si="224"/>
        <v>0</v>
      </c>
      <c r="P1976" s="22">
        <f t="shared" si="225"/>
        <v>85.51</v>
      </c>
      <c r="Q1976" s="22">
        <f>G1976*INDEX(Assumptions!$B$8:$B$16,MATCH(F1976,Assumptions!$A$8:$A$16,0))</f>
        <v>40.876600000000003</v>
      </c>
      <c r="R1976" s="22">
        <f>H1976*Assumptions!$B$3</f>
        <v>11.747999999999999</v>
      </c>
      <c r="S1976" s="22">
        <f t="shared" si="226"/>
        <v>13.305400000000004</v>
      </c>
      <c r="T1976" s="20" t="str">
        <f t="shared" si="227"/>
        <v>22+ days</v>
      </c>
    </row>
    <row r="1977" spans="1:20" x14ac:dyDescent="0.3">
      <c r="A1977" s="20" t="s">
        <v>2043</v>
      </c>
      <c r="B1977" s="20" t="s">
        <v>19</v>
      </c>
      <c r="C1977" s="21">
        <v>45896</v>
      </c>
      <c r="D1977" s="21">
        <v>45901</v>
      </c>
      <c r="E1977" s="21">
        <v>45909</v>
      </c>
      <c r="F1977" s="20" t="s">
        <v>111</v>
      </c>
      <c r="G1977" s="22">
        <v>51.19</v>
      </c>
      <c r="H1977" s="22">
        <v>14.42</v>
      </c>
      <c r="I1977" s="20" t="s">
        <v>45</v>
      </c>
      <c r="J1977" s="20">
        <v>4</v>
      </c>
      <c r="K1977" s="20" t="s">
        <v>46</v>
      </c>
      <c r="L1977" s="23">
        <f t="shared" si="221"/>
        <v>45870</v>
      </c>
      <c r="M1977" s="20">
        <f t="shared" si="222"/>
        <v>5</v>
      </c>
      <c r="N1977" s="20">
        <f t="shared" si="223"/>
        <v>0</v>
      </c>
      <c r="O1977" s="20">
        <f t="shared" si="224"/>
        <v>1</v>
      </c>
      <c r="P1977" s="22">
        <f t="shared" si="225"/>
        <v>65.61</v>
      </c>
      <c r="Q1977" s="22">
        <f>G1977*INDEX(Assumptions!$B$8:$B$16,MATCH(F1977,Assumptions!$A$8:$A$16,0))</f>
        <v>32.249699999999997</v>
      </c>
      <c r="R1977" s="22">
        <f>H1977*Assumptions!$B$3</f>
        <v>8.6519999999999992</v>
      </c>
      <c r="S1977" s="22">
        <f t="shared" si="226"/>
        <v>10.288300000000001</v>
      </c>
      <c r="T1977" s="20" t="str">
        <f t="shared" si="227"/>
        <v>0-7 days</v>
      </c>
    </row>
    <row r="1978" spans="1:20" x14ac:dyDescent="0.3">
      <c r="A1978" s="20" t="s">
        <v>2044</v>
      </c>
      <c r="B1978" s="20" t="s">
        <v>62</v>
      </c>
      <c r="C1978" s="21">
        <v>45896</v>
      </c>
      <c r="D1978" s="21">
        <v>45905</v>
      </c>
      <c r="E1978" s="21">
        <v>45915</v>
      </c>
      <c r="F1978" s="20" t="s">
        <v>44</v>
      </c>
      <c r="G1978" s="22">
        <v>170.75</v>
      </c>
      <c r="H1978" s="22">
        <v>24.16</v>
      </c>
      <c r="I1978" s="20" t="s">
        <v>45</v>
      </c>
      <c r="J1978" s="20">
        <v>5</v>
      </c>
      <c r="K1978" s="20" t="s">
        <v>46</v>
      </c>
      <c r="L1978" s="23">
        <f t="shared" si="221"/>
        <v>45870</v>
      </c>
      <c r="M1978" s="20">
        <f t="shared" si="222"/>
        <v>9</v>
      </c>
      <c r="N1978" s="20">
        <f t="shared" si="223"/>
        <v>0</v>
      </c>
      <c r="O1978" s="20">
        <f t="shared" si="224"/>
        <v>1</v>
      </c>
      <c r="P1978" s="22">
        <f t="shared" si="225"/>
        <v>194.91</v>
      </c>
      <c r="Q1978" s="22">
        <f>G1978*INDEX(Assumptions!$B$8:$B$16,MATCH(F1978,Assumptions!$A$8:$A$16,0))</f>
        <v>102.45</v>
      </c>
      <c r="R1978" s="22">
        <f>H1978*Assumptions!$B$3</f>
        <v>14.495999999999999</v>
      </c>
      <c r="S1978" s="22">
        <f t="shared" si="226"/>
        <v>53.804000000000002</v>
      </c>
      <c r="T1978" s="20" t="str">
        <f t="shared" si="227"/>
        <v>8-14 days</v>
      </c>
    </row>
    <row r="1979" spans="1:20" x14ac:dyDescent="0.3">
      <c r="A1979" s="20" t="s">
        <v>2045</v>
      </c>
      <c r="B1979" s="20" t="s">
        <v>55</v>
      </c>
      <c r="C1979" s="21">
        <v>45896</v>
      </c>
      <c r="D1979" s="21">
        <v>45914</v>
      </c>
      <c r="E1979" s="21">
        <v>45921</v>
      </c>
      <c r="F1979" s="20" t="s">
        <v>44</v>
      </c>
      <c r="G1979" s="22">
        <v>61.19</v>
      </c>
      <c r="H1979" s="22">
        <v>26.7</v>
      </c>
      <c r="I1979" s="20" t="s">
        <v>45</v>
      </c>
      <c r="J1979" s="20">
        <v>5</v>
      </c>
      <c r="K1979" s="20" t="s">
        <v>46</v>
      </c>
      <c r="L1979" s="23">
        <f t="shared" si="221"/>
        <v>45870</v>
      </c>
      <c r="M1979" s="20">
        <f t="shared" si="222"/>
        <v>18</v>
      </c>
      <c r="N1979" s="20">
        <f t="shared" si="223"/>
        <v>0</v>
      </c>
      <c r="O1979" s="20">
        <f t="shared" si="224"/>
        <v>1</v>
      </c>
      <c r="P1979" s="22">
        <f t="shared" si="225"/>
        <v>87.89</v>
      </c>
      <c r="Q1979" s="22">
        <f>G1979*INDEX(Assumptions!$B$8:$B$16,MATCH(F1979,Assumptions!$A$8:$A$16,0))</f>
        <v>36.713999999999999</v>
      </c>
      <c r="R1979" s="22">
        <f>H1979*Assumptions!$B$3</f>
        <v>16.02</v>
      </c>
      <c r="S1979" s="22">
        <f t="shared" si="226"/>
        <v>8.4559999999999995</v>
      </c>
      <c r="T1979" s="20" t="str">
        <f t="shared" si="227"/>
        <v>15-21 days</v>
      </c>
    </row>
    <row r="1980" spans="1:20" x14ac:dyDescent="0.3">
      <c r="A1980" s="20" t="s">
        <v>2046</v>
      </c>
      <c r="B1980" s="20" t="s">
        <v>62</v>
      </c>
      <c r="C1980" s="21">
        <v>45896</v>
      </c>
      <c r="D1980" s="21">
        <v>45916</v>
      </c>
      <c r="E1980" s="21">
        <v>45914</v>
      </c>
      <c r="F1980" s="20" t="s">
        <v>111</v>
      </c>
      <c r="G1980" s="22">
        <v>80.150000000000006</v>
      </c>
      <c r="H1980" s="22">
        <v>24.17</v>
      </c>
      <c r="I1980" s="20" t="s">
        <v>45</v>
      </c>
      <c r="J1980" s="20">
        <v>4</v>
      </c>
      <c r="K1980" s="20" t="s">
        <v>46</v>
      </c>
      <c r="L1980" s="23">
        <f t="shared" si="221"/>
        <v>45870</v>
      </c>
      <c r="M1980" s="20">
        <f t="shared" si="222"/>
        <v>20</v>
      </c>
      <c r="N1980" s="20">
        <f t="shared" si="223"/>
        <v>2</v>
      </c>
      <c r="O1980" s="20">
        <f t="shared" si="224"/>
        <v>0</v>
      </c>
      <c r="P1980" s="22">
        <f t="shared" si="225"/>
        <v>104.32000000000001</v>
      </c>
      <c r="Q1980" s="22">
        <f>G1980*INDEX(Assumptions!$B$8:$B$16,MATCH(F1980,Assumptions!$A$8:$A$16,0))</f>
        <v>50.494500000000002</v>
      </c>
      <c r="R1980" s="22">
        <f>H1980*Assumptions!$B$3</f>
        <v>14.502000000000001</v>
      </c>
      <c r="S1980" s="22">
        <f t="shared" si="226"/>
        <v>15.153500000000003</v>
      </c>
      <c r="T1980" s="20" t="str">
        <f t="shared" si="227"/>
        <v>15-21 days</v>
      </c>
    </row>
    <row r="1981" spans="1:20" x14ac:dyDescent="0.3">
      <c r="A1981" s="20" t="s">
        <v>2047</v>
      </c>
      <c r="B1981" s="20" t="s">
        <v>48</v>
      </c>
      <c r="C1981" s="21">
        <v>45897</v>
      </c>
      <c r="D1981" s="21">
        <v>45907</v>
      </c>
      <c r="E1981" s="21">
        <v>45917</v>
      </c>
      <c r="F1981" s="20" t="s">
        <v>59</v>
      </c>
      <c r="G1981" s="22">
        <v>86.35</v>
      </c>
      <c r="H1981" s="22">
        <v>19.46</v>
      </c>
      <c r="I1981" s="20" t="s">
        <v>45</v>
      </c>
      <c r="J1981" s="20">
        <v>5</v>
      </c>
      <c r="K1981" s="20" t="s">
        <v>46</v>
      </c>
      <c r="L1981" s="23">
        <f t="shared" si="221"/>
        <v>45870</v>
      </c>
      <c r="M1981" s="20">
        <f t="shared" si="222"/>
        <v>10</v>
      </c>
      <c r="N1981" s="20">
        <f t="shared" si="223"/>
        <v>0</v>
      </c>
      <c r="O1981" s="20">
        <f t="shared" si="224"/>
        <v>1</v>
      </c>
      <c r="P1981" s="22">
        <f t="shared" si="225"/>
        <v>105.81</v>
      </c>
      <c r="Q1981" s="22">
        <f>G1981*INDEX(Assumptions!$B$8:$B$16,MATCH(F1981,Assumptions!$A$8:$A$16,0))</f>
        <v>55.263999999999996</v>
      </c>
      <c r="R1981" s="22">
        <f>H1981*Assumptions!$B$3</f>
        <v>11.676</v>
      </c>
      <c r="S1981" s="22">
        <f t="shared" si="226"/>
        <v>19.409999999999997</v>
      </c>
      <c r="T1981" s="20" t="str">
        <f t="shared" si="227"/>
        <v>8-14 days</v>
      </c>
    </row>
    <row r="1982" spans="1:20" x14ac:dyDescent="0.3">
      <c r="A1982" s="20" t="s">
        <v>2048</v>
      </c>
      <c r="B1982" s="20" t="s">
        <v>52</v>
      </c>
      <c r="C1982" s="21">
        <v>45897</v>
      </c>
      <c r="D1982" s="21">
        <v>45907</v>
      </c>
      <c r="E1982" s="21">
        <v>45918</v>
      </c>
      <c r="F1982" s="20" t="s">
        <v>64</v>
      </c>
      <c r="G1982" s="22">
        <v>100.53</v>
      </c>
      <c r="H1982" s="22">
        <v>22.93</v>
      </c>
      <c r="I1982" s="20" t="s">
        <v>60</v>
      </c>
      <c r="J1982" s="20">
        <v>4</v>
      </c>
      <c r="K1982" s="20" t="s">
        <v>46</v>
      </c>
      <c r="L1982" s="23">
        <f t="shared" si="221"/>
        <v>45870</v>
      </c>
      <c r="M1982" s="20">
        <f t="shared" si="222"/>
        <v>10</v>
      </c>
      <c r="N1982" s="20">
        <f t="shared" si="223"/>
        <v>0</v>
      </c>
      <c r="O1982" s="20">
        <f t="shared" si="224"/>
        <v>1</v>
      </c>
      <c r="P1982" s="22">
        <f t="shared" si="225"/>
        <v>123.46000000000001</v>
      </c>
      <c r="Q1982" s="22">
        <f>G1982*INDEX(Assumptions!$B$8:$B$16,MATCH(F1982,Assumptions!$A$8:$A$16,0))</f>
        <v>66.349800000000002</v>
      </c>
      <c r="R1982" s="22">
        <f>H1982*Assumptions!$B$3</f>
        <v>13.757999999999999</v>
      </c>
      <c r="S1982" s="22">
        <f t="shared" si="226"/>
        <v>20.4222</v>
      </c>
      <c r="T1982" s="20" t="str">
        <f t="shared" si="227"/>
        <v>8-14 days</v>
      </c>
    </row>
    <row r="1983" spans="1:20" x14ac:dyDescent="0.3">
      <c r="A1983" s="20" t="s">
        <v>2049</v>
      </c>
      <c r="B1983" s="20" t="s">
        <v>19</v>
      </c>
      <c r="C1983" s="21">
        <v>45897</v>
      </c>
      <c r="D1983" s="21">
        <v>45906</v>
      </c>
      <c r="E1983" s="21">
        <v>45912</v>
      </c>
      <c r="F1983" s="20" t="s">
        <v>79</v>
      </c>
      <c r="G1983" s="22">
        <v>107.9</v>
      </c>
      <c r="H1983" s="22">
        <v>17.5</v>
      </c>
      <c r="I1983" s="20" t="s">
        <v>45</v>
      </c>
      <c r="J1983" s="20">
        <v>5</v>
      </c>
      <c r="K1983" s="20" t="s">
        <v>46</v>
      </c>
      <c r="L1983" s="23">
        <f t="shared" si="221"/>
        <v>45870</v>
      </c>
      <c r="M1983" s="20">
        <f t="shared" si="222"/>
        <v>9</v>
      </c>
      <c r="N1983" s="20">
        <f t="shared" si="223"/>
        <v>0</v>
      </c>
      <c r="O1983" s="20">
        <f t="shared" si="224"/>
        <v>1</v>
      </c>
      <c r="P1983" s="22">
        <f t="shared" si="225"/>
        <v>125.4</v>
      </c>
      <c r="Q1983" s="22">
        <f>G1983*INDEX(Assumptions!$B$8:$B$16,MATCH(F1983,Assumptions!$A$8:$A$16,0))</f>
        <v>75.53</v>
      </c>
      <c r="R1983" s="22">
        <f>H1983*Assumptions!$B$3</f>
        <v>10.5</v>
      </c>
      <c r="S1983" s="22">
        <f t="shared" si="226"/>
        <v>21.870000000000005</v>
      </c>
      <c r="T1983" s="20" t="str">
        <f t="shared" si="227"/>
        <v>8-14 days</v>
      </c>
    </row>
    <row r="1984" spans="1:20" x14ac:dyDescent="0.3">
      <c r="A1984" s="20" t="s">
        <v>2050</v>
      </c>
      <c r="B1984" s="20" t="s">
        <v>93</v>
      </c>
      <c r="C1984" s="21">
        <v>45897</v>
      </c>
      <c r="D1984" s="21">
        <v>45910</v>
      </c>
      <c r="E1984" s="21">
        <v>45931</v>
      </c>
      <c r="F1984" s="20" t="s">
        <v>79</v>
      </c>
      <c r="G1984" s="22">
        <v>158.66</v>
      </c>
      <c r="H1984" s="22">
        <v>43.55</v>
      </c>
      <c r="I1984" s="20" t="s">
        <v>60</v>
      </c>
      <c r="J1984" s="20">
        <v>4</v>
      </c>
      <c r="K1984" s="20" t="s">
        <v>46</v>
      </c>
      <c r="L1984" s="23">
        <f t="shared" si="221"/>
        <v>45870</v>
      </c>
      <c r="M1984" s="20">
        <f t="shared" si="222"/>
        <v>13</v>
      </c>
      <c r="N1984" s="20">
        <f t="shared" si="223"/>
        <v>0</v>
      </c>
      <c r="O1984" s="20">
        <f t="shared" si="224"/>
        <v>1</v>
      </c>
      <c r="P1984" s="22">
        <f t="shared" si="225"/>
        <v>202.20999999999998</v>
      </c>
      <c r="Q1984" s="22">
        <f>G1984*INDEX(Assumptions!$B$8:$B$16,MATCH(F1984,Assumptions!$A$8:$A$16,0))</f>
        <v>111.062</v>
      </c>
      <c r="R1984" s="22">
        <f>H1984*Assumptions!$B$3</f>
        <v>26.13</v>
      </c>
      <c r="S1984" s="22">
        <f t="shared" si="226"/>
        <v>21.468</v>
      </c>
      <c r="T1984" s="20" t="str">
        <f t="shared" si="227"/>
        <v>8-14 days</v>
      </c>
    </row>
    <row r="1985" spans="1:20" x14ac:dyDescent="0.3">
      <c r="A1985" s="20" t="s">
        <v>2051</v>
      </c>
      <c r="B1985" s="20" t="s">
        <v>48</v>
      </c>
      <c r="C1985" s="21">
        <v>45897</v>
      </c>
      <c r="D1985" s="21">
        <v>45920</v>
      </c>
      <c r="E1985" s="21">
        <v>45919</v>
      </c>
      <c r="F1985" s="20" t="s">
        <v>44</v>
      </c>
      <c r="G1985" s="22">
        <v>211.92</v>
      </c>
      <c r="H1985" s="22">
        <v>28.95</v>
      </c>
      <c r="I1985" s="20" t="s">
        <v>45</v>
      </c>
      <c r="J1985" s="20">
        <v>4</v>
      </c>
      <c r="K1985" s="20" t="s">
        <v>46</v>
      </c>
      <c r="L1985" s="23">
        <f t="shared" si="221"/>
        <v>45870</v>
      </c>
      <c r="M1985" s="20">
        <f t="shared" si="222"/>
        <v>23</v>
      </c>
      <c r="N1985" s="20">
        <f t="shared" si="223"/>
        <v>1</v>
      </c>
      <c r="O1985" s="20">
        <f t="shared" si="224"/>
        <v>0</v>
      </c>
      <c r="P1985" s="22">
        <f t="shared" si="225"/>
        <v>240.86999999999998</v>
      </c>
      <c r="Q1985" s="22">
        <f>G1985*INDEX(Assumptions!$B$8:$B$16,MATCH(F1985,Assumptions!$A$8:$A$16,0))</f>
        <v>127.15199999999999</v>
      </c>
      <c r="R1985" s="22">
        <f>H1985*Assumptions!$B$3</f>
        <v>17.369999999999997</v>
      </c>
      <c r="S1985" s="22">
        <f t="shared" si="226"/>
        <v>67.397999999999996</v>
      </c>
      <c r="T1985" s="20" t="str">
        <f t="shared" si="227"/>
        <v>22+ days</v>
      </c>
    </row>
    <row r="1986" spans="1:20" x14ac:dyDescent="0.3">
      <c r="A1986" s="20" t="s">
        <v>2052</v>
      </c>
      <c r="B1986" s="20" t="s">
        <v>55</v>
      </c>
      <c r="C1986" s="21">
        <v>45897</v>
      </c>
      <c r="D1986" s="21">
        <v>45913</v>
      </c>
      <c r="E1986" s="21">
        <v>45923</v>
      </c>
      <c r="F1986" s="20" t="s">
        <v>49</v>
      </c>
      <c r="G1986" s="22">
        <v>72.45</v>
      </c>
      <c r="H1986" s="22">
        <v>18.5</v>
      </c>
      <c r="I1986" s="20" t="s">
        <v>45</v>
      </c>
      <c r="J1986" s="20">
        <v>3</v>
      </c>
      <c r="K1986" s="20" t="s">
        <v>46</v>
      </c>
      <c r="L1986" s="23">
        <f t="shared" ref="L1986:L2001" si="228">DATE(YEAR(C1986),MONTH(C1986),1)</f>
        <v>45870</v>
      </c>
      <c r="M1986" s="20">
        <f t="shared" ref="M1986:M2001" si="229">D1986-C1986</f>
        <v>16</v>
      </c>
      <c r="N1986" s="20">
        <f t="shared" ref="N1986:N2001" si="230">MAX(0,D1986-E1986)</f>
        <v>0</v>
      </c>
      <c r="O1986" s="20">
        <f t="shared" ref="O1986:O2001" si="231">IF(D1986&lt;=E1986,1,0)</f>
        <v>1</v>
      </c>
      <c r="P1986" s="22">
        <f t="shared" ref="P1986:P2001" si="232">G1986+H1986</f>
        <v>90.95</v>
      </c>
      <c r="Q1986" s="22">
        <f>G1986*INDEX(Assumptions!$B$8:$B$16,MATCH(F1986,Assumptions!$A$8:$A$16,0))</f>
        <v>42.021000000000001</v>
      </c>
      <c r="R1986" s="22">
        <f>H1986*Assumptions!$B$3</f>
        <v>11.1</v>
      </c>
      <c r="S1986" s="22">
        <f t="shared" ref="S1986:S2001" si="233">G1986-Q1986-R1986</f>
        <v>19.329000000000001</v>
      </c>
      <c r="T1986" s="20" t="str">
        <f t="shared" ref="T1986:T2001" si="234">IF(M1986&lt;=7,"0-7 days",IF(M1986&lt;=14,"8-14 days",IF(M1986&lt;=21,"15-21 days","22+ days")))</f>
        <v>15-21 days</v>
      </c>
    </row>
    <row r="1987" spans="1:20" x14ac:dyDescent="0.3">
      <c r="A1987" s="20" t="s">
        <v>2053</v>
      </c>
      <c r="B1987" s="20" t="s">
        <v>19</v>
      </c>
      <c r="C1987" s="21">
        <v>45897</v>
      </c>
      <c r="D1987" s="21">
        <v>45902</v>
      </c>
      <c r="E1987" s="21">
        <v>45914</v>
      </c>
      <c r="F1987" s="20" t="s">
        <v>59</v>
      </c>
      <c r="G1987" s="22">
        <v>88.38</v>
      </c>
      <c r="H1987" s="22">
        <v>14.7</v>
      </c>
      <c r="I1987" s="20" t="s">
        <v>45</v>
      </c>
      <c r="J1987" s="20">
        <v>5</v>
      </c>
      <c r="K1987" s="20" t="s">
        <v>46</v>
      </c>
      <c r="L1987" s="23">
        <f t="shared" si="228"/>
        <v>45870</v>
      </c>
      <c r="M1987" s="20">
        <f t="shared" si="229"/>
        <v>5</v>
      </c>
      <c r="N1987" s="20">
        <f t="shared" si="230"/>
        <v>0</v>
      </c>
      <c r="O1987" s="20">
        <f t="shared" si="231"/>
        <v>1</v>
      </c>
      <c r="P1987" s="22">
        <f t="shared" si="232"/>
        <v>103.08</v>
      </c>
      <c r="Q1987" s="22">
        <f>G1987*INDEX(Assumptions!$B$8:$B$16,MATCH(F1987,Assumptions!$A$8:$A$16,0))</f>
        <v>56.563199999999995</v>
      </c>
      <c r="R1987" s="22">
        <f>H1987*Assumptions!$B$3</f>
        <v>8.8199999999999985</v>
      </c>
      <c r="S1987" s="22">
        <f t="shared" si="233"/>
        <v>22.9968</v>
      </c>
      <c r="T1987" s="20" t="str">
        <f t="shared" si="234"/>
        <v>0-7 days</v>
      </c>
    </row>
    <row r="1988" spans="1:20" x14ac:dyDescent="0.3">
      <c r="A1988" s="20" t="s">
        <v>2054</v>
      </c>
      <c r="B1988" s="20" t="s">
        <v>19</v>
      </c>
      <c r="C1988" s="21">
        <v>45897</v>
      </c>
      <c r="D1988" s="21">
        <v>45910</v>
      </c>
      <c r="E1988" s="21">
        <v>45915</v>
      </c>
      <c r="F1988" s="20" t="s">
        <v>67</v>
      </c>
      <c r="G1988" s="22">
        <v>352.09</v>
      </c>
      <c r="H1988" s="22">
        <v>21.83</v>
      </c>
      <c r="I1988" s="20" t="s">
        <v>45</v>
      </c>
      <c r="J1988" s="20">
        <v>5</v>
      </c>
      <c r="K1988" s="20" t="s">
        <v>46</v>
      </c>
      <c r="L1988" s="23">
        <f t="shared" si="228"/>
        <v>45870</v>
      </c>
      <c r="M1988" s="20">
        <f t="shared" si="229"/>
        <v>13</v>
      </c>
      <c r="N1988" s="20">
        <f t="shared" si="230"/>
        <v>0</v>
      </c>
      <c r="O1988" s="20">
        <f t="shared" si="231"/>
        <v>1</v>
      </c>
      <c r="P1988" s="22">
        <f t="shared" si="232"/>
        <v>373.91999999999996</v>
      </c>
      <c r="Q1988" s="22">
        <f>G1988*INDEX(Assumptions!$B$8:$B$16,MATCH(F1988,Assumptions!$A$8:$A$16,0))</f>
        <v>218.29579999999999</v>
      </c>
      <c r="R1988" s="22">
        <f>H1988*Assumptions!$B$3</f>
        <v>13.097999999999999</v>
      </c>
      <c r="S1988" s="22">
        <f t="shared" si="233"/>
        <v>120.69619999999999</v>
      </c>
      <c r="T1988" s="20" t="str">
        <f t="shared" si="234"/>
        <v>8-14 days</v>
      </c>
    </row>
    <row r="1989" spans="1:20" x14ac:dyDescent="0.3">
      <c r="A1989" s="20" t="s">
        <v>2055</v>
      </c>
      <c r="B1989" s="20" t="s">
        <v>19</v>
      </c>
      <c r="C1989" s="21">
        <v>45898</v>
      </c>
      <c r="D1989" s="21">
        <v>45911</v>
      </c>
      <c r="E1989" s="21">
        <v>45912</v>
      </c>
      <c r="F1989" s="20" t="s">
        <v>111</v>
      </c>
      <c r="G1989" s="22">
        <v>71.400000000000006</v>
      </c>
      <c r="H1989" s="22">
        <v>13.78</v>
      </c>
      <c r="I1989" s="20" t="s">
        <v>45</v>
      </c>
      <c r="J1989" s="20">
        <v>5</v>
      </c>
      <c r="K1989" s="20" t="s">
        <v>46</v>
      </c>
      <c r="L1989" s="23">
        <f t="shared" si="228"/>
        <v>45870</v>
      </c>
      <c r="M1989" s="20">
        <f t="shared" si="229"/>
        <v>13</v>
      </c>
      <c r="N1989" s="20">
        <f t="shared" si="230"/>
        <v>0</v>
      </c>
      <c r="O1989" s="20">
        <f t="shared" si="231"/>
        <v>1</v>
      </c>
      <c r="P1989" s="22">
        <f t="shared" si="232"/>
        <v>85.18</v>
      </c>
      <c r="Q1989" s="22">
        <f>G1989*INDEX(Assumptions!$B$8:$B$16,MATCH(F1989,Assumptions!$A$8:$A$16,0))</f>
        <v>44.982000000000006</v>
      </c>
      <c r="R1989" s="22">
        <f>H1989*Assumptions!$B$3</f>
        <v>8.2679999999999989</v>
      </c>
      <c r="S1989" s="22">
        <f t="shared" si="233"/>
        <v>18.149999999999999</v>
      </c>
      <c r="T1989" s="20" t="str">
        <f t="shared" si="234"/>
        <v>8-14 days</v>
      </c>
    </row>
    <row r="1990" spans="1:20" x14ac:dyDescent="0.3">
      <c r="A1990" s="20" t="s">
        <v>2056</v>
      </c>
      <c r="B1990" s="20" t="s">
        <v>55</v>
      </c>
      <c r="C1990" s="21">
        <v>45898</v>
      </c>
      <c r="D1990" s="21">
        <v>45912</v>
      </c>
      <c r="E1990" s="21">
        <v>45924</v>
      </c>
      <c r="F1990" s="20" t="s">
        <v>67</v>
      </c>
      <c r="G1990" s="22">
        <v>116.06</v>
      </c>
      <c r="H1990" s="22">
        <v>21.56</v>
      </c>
      <c r="I1990" s="20" t="s">
        <v>45</v>
      </c>
      <c r="J1990" s="20">
        <v>5</v>
      </c>
      <c r="K1990" s="20" t="s">
        <v>46</v>
      </c>
      <c r="L1990" s="23">
        <f t="shared" si="228"/>
        <v>45870</v>
      </c>
      <c r="M1990" s="20">
        <f t="shared" si="229"/>
        <v>14</v>
      </c>
      <c r="N1990" s="20">
        <f t="shared" si="230"/>
        <v>0</v>
      </c>
      <c r="O1990" s="20">
        <f t="shared" si="231"/>
        <v>1</v>
      </c>
      <c r="P1990" s="22">
        <f t="shared" si="232"/>
        <v>137.62</v>
      </c>
      <c r="Q1990" s="22">
        <f>G1990*INDEX(Assumptions!$B$8:$B$16,MATCH(F1990,Assumptions!$A$8:$A$16,0))</f>
        <v>71.9572</v>
      </c>
      <c r="R1990" s="22">
        <f>H1990*Assumptions!$B$3</f>
        <v>12.935999999999998</v>
      </c>
      <c r="S1990" s="22">
        <f t="shared" si="233"/>
        <v>31.166800000000002</v>
      </c>
      <c r="T1990" s="20" t="str">
        <f t="shared" si="234"/>
        <v>8-14 days</v>
      </c>
    </row>
    <row r="1991" spans="1:20" x14ac:dyDescent="0.3">
      <c r="A1991" s="20" t="s">
        <v>2057</v>
      </c>
      <c r="B1991" s="20" t="s">
        <v>19</v>
      </c>
      <c r="C1991" s="21">
        <v>45899</v>
      </c>
      <c r="D1991" s="21">
        <v>45907</v>
      </c>
      <c r="E1991" s="21">
        <v>45913</v>
      </c>
      <c r="F1991" s="20" t="s">
        <v>53</v>
      </c>
      <c r="G1991" s="22">
        <v>85.59</v>
      </c>
      <c r="H1991" s="22">
        <v>12.27</v>
      </c>
      <c r="I1991" s="20" t="s">
        <v>45</v>
      </c>
      <c r="J1991" s="20">
        <v>5</v>
      </c>
      <c r="K1991" s="20" t="s">
        <v>46</v>
      </c>
      <c r="L1991" s="23">
        <f t="shared" si="228"/>
        <v>45870</v>
      </c>
      <c r="M1991" s="20">
        <f t="shared" si="229"/>
        <v>8</v>
      </c>
      <c r="N1991" s="20">
        <f t="shared" si="230"/>
        <v>0</v>
      </c>
      <c r="O1991" s="20">
        <f t="shared" si="231"/>
        <v>1</v>
      </c>
      <c r="P1991" s="22">
        <f t="shared" si="232"/>
        <v>97.86</v>
      </c>
      <c r="Q1991" s="22">
        <f>G1991*INDEX(Assumptions!$B$8:$B$16,MATCH(F1991,Assumptions!$A$8:$A$16,0))</f>
        <v>63.336600000000004</v>
      </c>
      <c r="R1991" s="22">
        <f>H1991*Assumptions!$B$3</f>
        <v>7.3619999999999992</v>
      </c>
      <c r="S1991" s="22">
        <f t="shared" si="233"/>
        <v>14.891400000000001</v>
      </c>
      <c r="T1991" s="20" t="str">
        <f t="shared" si="234"/>
        <v>8-14 days</v>
      </c>
    </row>
    <row r="1992" spans="1:20" x14ac:dyDescent="0.3">
      <c r="A1992" s="20" t="s">
        <v>2058</v>
      </c>
      <c r="B1992" s="20" t="s">
        <v>19</v>
      </c>
      <c r="C1992" s="21">
        <v>45899</v>
      </c>
      <c r="D1992" s="21">
        <v>45906</v>
      </c>
      <c r="E1992" s="21">
        <v>45916</v>
      </c>
      <c r="F1992" s="20" t="s">
        <v>59</v>
      </c>
      <c r="G1992" s="22">
        <v>238.65</v>
      </c>
      <c r="H1992" s="22">
        <v>25.05</v>
      </c>
      <c r="I1992" s="20" t="s">
        <v>60</v>
      </c>
      <c r="J1992" s="20">
        <v>5</v>
      </c>
      <c r="K1992" s="20" t="s">
        <v>46</v>
      </c>
      <c r="L1992" s="23">
        <f t="shared" si="228"/>
        <v>45870</v>
      </c>
      <c r="M1992" s="20">
        <f t="shared" si="229"/>
        <v>7</v>
      </c>
      <c r="N1992" s="20">
        <f t="shared" si="230"/>
        <v>0</v>
      </c>
      <c r="O1992" s="20">
        <f t="shared" si="231"/>
        <v>1</v>
      </c>
      <c r="P1992" s="22">
        <f t="shared" si="232"/>
        <v>263.7</v>
      </c>
      <c r="Q1992" s="22">
        <f>G1992*INDEX(Assumptions!$B$8:$B$16,MATCH(F1992,Assumptions!$A$8:$A$16,0))</f>
        <v>152.73600000000002</v>
      </c>
      <c r="R1992" s="22">
        <f>H1992*Assumptions!$B$3</f>
        <v>15.03</v>
      </c>
      <c r="S1992" s="22">
        <f t="shared" si="233"/>
        <v>70.883999999999986</v>
      </c>
      <c r="T1992" s="20" t="str">
        <f t="shared" si="234"/>
        <v>0-7 days</v>
      </c>
    </row>
    <row r="1993" spans="1:20" x14ac:dyDescent="0.3">
      <c r="A1993" s="20" t="s">
        <v>2059</v>
      </c>
      <c r="B1993" s="20" t="s">
        <v>93</v>
      </c>
      <c r="C1993" s="21">
        <v>45899</v>
      </c>
      <c r="D1993" s="21">
        <v>45912</v>
      </c>
      <c r="E1993" s="21">
        <v>45925</v>
      </c>
      <c r="F1993" s="20" t="s">
        <v>111</v>
      </c>
      <c r="G1993" s="22">
        <v>59.27</v>
      </c>
      <c r="H1993" s="22">
        <v>34.75</v>
      </c>
      <c r="I1993" s="20" t="s">
        <v>45</v>
      </c>
      <c r="J1993" s="20">
        <v>3</v>
      </c>
      <c r="K1993" s="20" t="s">
        <v>46</v>
      </c>
      <c r="L1993" s="23">
        <f t="shared" si="228"/>
        <v>45870</v>
      </c>
      <c r="M1993" s="20">
        <f t="shared" si="229"/>
        <v>13</v>
      </c>
      <c r="N1993" s="20">
        <f t="shared" si="230"/>
        <v>0</v>
      </c>
      <c r="O1993" s="20">
        <f t="shared" si="231"/>
        <v>1</v>
      </c>
      <c r="P1993" s="22">
        <f t="shared" si="232"/>
        <v>94.02000000000001</v>
      </c>
      <c r="Q1993" s="22">
        <f>G1993*INDEX(Assumptions!$B$8:$B$16,MATCH(F1993,Assumptions!$A$8:$A$16,0))</f>
        <v>37.3401</v>
      </c>
      <c r="R1993" s="22">
        <f>H1993*Assumptions!$B$3</f>
        <v>20.849999999999998</v>
      </c>
      <c r="S1993" s="22">
        <f t="shared" si="233"/>
        <v>1.0799000000000056</v>
      </c>
      <c r="T1993" s="20" t="str">
        <f t="shared" si="234"/>
        <v>8-14 days</v>
      </c>
    </row>
    <row r="1994" spans="1:20" x14ac:dyDescent="0.3">
      <c r="A1994" s="20" t="s">
        <v>2060</v>
      </c>
      <c r="B1994" s="20" t="s">
        <v>19</v>
      </c>
      <c r="C1994" s="21">
        <v>45899</v>
      </c>
      <c r="D1994" s="21">
        <v>45907</v>
      </c>
      <c r="E1994" s="21">
        <v>45916</v>
      </c>
      <c r="F1994" s="20" t="s">
        <v>64</v>
      </c>
      <c r="G1994" s="22">
        <v>190.37</v>
      </c>
      <c r="H1994" s="22">
        <v>22.41</v>
      </c>
      <c r="I1994" s="20" t="s">
        <v>60</v>
      </c>
      <c r="J1994" s="20">
        <v>5</v>
      </c>
      <c r="K1994" s="20" t="s">
        <v>46</v>
      </c>
      <c r="L1994" s="23">
        <f t="shared" si="228"/>
        <v>45870</v>
      </c>
      <c r="M1994" s="20">
        <f t="shared" si="229"/>
        <v>8</v>
      </c>
      <c r="N1994" s="20">
        <f t="shared" si="230"/>
        <v>0</v>
      </c>
      <c r="O1994" s="20">
        <f t="shared" si="231"/>
        <v>1</v>
      </c>
      <c r="P1994" s="22">
        <f t="shared" si="232"/>
        <v>212.78</v>
      </c>
      <c r="Q1994" s="22">
        <f>G1994*INDEX(Assumptions!$B$8:$B$16,MATCH(F1994,Assumptions!$A$8:$A$16,0))</f>
        <v>125.64420000000001</v>
      </c>
      <c r="R1994" s="22">
        <f>H1994*Assumptions!$B$3</f>
        <v>13.446</v>
      </c>
      <c r="S1994" s="22">
        <f t="shared" si="233"/>
        <v>51.279799999999994</v>
      </c>
      <c r="T1994" s="20" t="str">
        <f t="shared" si="234"/>
        <v>8-14 days</v>
      </c>
    </row>
    <row r="1995" spans="1:20" x14ac:dyDescent="0.3">
      <c r="A1995" s="20" t="s">
        <v>2061</v>
      </c>
      <c r="B1995" s="20" t="s">
        <v>48</v>
      </c>
      <c r="C1995" s="21">
        <v>45899</v>
      </c>
      <c r="D1995" s="21">
        <v>45907</v>
      </c>
      <c r="E1995" s="21">
        <v>45917</v>
      </c>
      <c r="F1995" s="20" t="s">
        <v>67</v>
      </c>
      <c r="G1995" s="22">
        <v>59.17</v>
      </c>
      <c r="H1995" s="22">
        <v>22.26</v>
      </c>
      <c r="I1995" s="20" t="s">
        <v>45</v>
      </c>
      <c r="J1995" s="20">
        <v>5</v>
      </c>
      <c r="K1995" s="20" t="s">
        <v>46</v>
      </c>
      <c r="L1995" s="23">
        <f t="shared" si="228"/>
        <v>45870</v>
      </c>
      <c r="M1995" s="20">
        <f t="shared" si="229"/>
        <v>8</v>
      </c>
      <c r="N1995" s="20">
        <f t="shared" si="230"/>
        <v>0</v>
      </c>
      <c r="O1995" s="20">
        <f t="shared" si="231"/>
        <v>1</v>
      </c>
      <c r="P1995" s="22">
        <f t="shared" si="232"/>
        <v>81.430000000000007</v>
      </c>
      <c r="Q1995" s="22">
        <f>G1995*INDEX(Assumptions!$B$8:$B$16,MATCH(F1995,Assumptions!$A$8:$A$16,0))</f>
        <v>36.685400000000001</v>
      </c>
      <c r="R1995" s="22">
        <f>H1995*Assumptions!$B$3</f>
        <v>13.356</v>
      </c>
      <c r="S1995" s="22">
        <f t="shared" si="233"/>
        <v>9.1286000000000005</v>
      </c>
      <c r="T1995" s="20" t="str">
        <f t="shared" si="234"/>
        <v>8-14 days</v>
      </c>
    </row>
    <row r="1996" spans="1:20" x14ac:dyDescent="0.3">
      <c r="A1996" s="20" t="s">
        <v>2062</v>
      </c>
      <c r="B1996" s="20" t="s">
        <v>93</v>
      </c>
      <c r="C1996" s="21">
        <v>45899</v>
      </c>
      <c r="D1996" s="21">
        <v>45921</v>
      </c>
      <c r="E1996" s="21">
        <v>45932</v>
      </c>
      <c r="F1996" s="20" t="s">
        <v>49</v>
      </c>
      <c r="G1996" s="22">
        <v>104.44</v>
      </c>
      <c r="H1996" s="22">
        <v>28.58</v>
      </c>
      <c r="I1996" s="20" t="s">
        <v>45</v>
      </c>
      <c r="J1996" s="20">
        <v>5</v>
      </c>
      <c r="K1996" s="20" t="s">
        <v>46</v>
      </c>
      <c r="L1996" s="23">
        <f t="shared" si="228"/>
        <v>45870</v>
      </c>
      <c r="M1996" s="20">
        <f t="shared" si="229"/>
        <v>22</v>
      </c>
      <c r="N1996" s="20">
        <f t="shared" si="230"/>
        <v>0</v>
      </c>
      <c r="O1996" s="20">
        <f t="shared" si="231"/>
        <v>1</v>
      </c>
      <c r="P1996" s="22">
        <f t="shared" si="232"/>
        <v>133.01999999999998</v>
      </c>
      <c r="Q1996" s="22">
        <f>G1996*INDEX(Assumptions!$B$8:$B$16,MATCH(F1996,Assumptions!$A$8:$A$16,0))</f>
        <v>60.575199999999995</v>
      </c>
      <c r="R1996" s="22">
        <f>H1996*Assumptions!$B$3</f>
        <v>17.148</v>
      </c>
      <c r="S1996" s="22">
        <f t="shared" si="233"/>
        <v>26.716800000000003</v>
      </c>
      <c r="T1996" s="20" t="str">
        <f t="shared" si="234"/>
        <v>22+ days</v>
      </c>
    </row>
    <row r="1997" spans="1:20" x14ac:dyDescent="0.3">
      <c r="A1997" s="20" t="s">
        <v>2063</v>
      </c>
      <c r="B1997" s="20" t="s">
        <v>48</v>
      </c>
      <c r="C1997" s="21">
        <v>45899</v>
      </c>
      <c r="D1997" s="21">
        <v>45904</v>
      </c>
      <c r="E1997" s="21">
        <v>45920</v>
      </c>
      <c r="F1997" s="20" t="s">
        <v>79</v>
      </c>
      <c r="G1997" s="22">
        <v>119.77</v>
      </c>
      <c r="H1997" s="22">
        <v>26.34</v>
      </c>
      <c r="I1997" s="20" t="s">
        <v>60</v>
      </c>
      <c r="J1997" s="20">
        <v>4</v>
      </c>
      <c r="K1997" s="20" t="s">
        <v>46</v>
      </c>
      <c r="L1997" s="23">
        <f t="shared" si="228"/>
        <v>45870</v>
      </c>
      <c r="M1997" s="20">
        <f t="shared" si="229"/>
        <v>5</v>
      </c>
      <c r="N1997" s="20">
        <f t="shared" si="230"/>
        <v>0</v>
      </c>
      <c r="O1997" s="20">
        <f t="shared" si="231"/>
        <v>1</v>
      </c>
      <c r="P1997" s="22">
        <f t="shared" si="232"/>
        <v>146.10999999999999</v>
      </c>
      <c r="Q1997" s="22">
        <f>G1997*INDEX(Assumptions!$B$8:$B$16,MATCH(F1997,Assumptions!$A$8:$A$16,0))</f>
        <v>83.838999999999999</v>
      </c>
      <c r="R1997" s="22">
        <f>H1997*Assumptions!$B$3</f>
        <v>15.803999999999998</v>
      </c>
      <c r="S1997" s="22">
        <f t="shared" si="233"/>
        <v>20.126999999999999</v>
      </c>
      <c r="T1997" s="20" t="str">
        <f t="shared" si="234"/>
        <v>0-7 days</v>
      </c>
    </row>
    <row r="1998" spans="1:20" x14ac:dyDescent="0.3">
      <c r="A1998" s="20" t="s">
        <v>2064</v>
      </c>
      <c r="B1998" s="20" t="s">
        <v>19</v>
      </c>
      <c r="C1998" s="21">
        <v>45900</v>
      </c>
      <c r="D1998" s="21">
        <v>45906</v>
      </c>
      <c r="E1998" s="21">
        <v>45915</v>
      </c>
      <c r="F1998" s="20" t="s">
        <v>79</v>
      </c>
      <c r="G1998" s="22">
        <v>168.26</v>
      </c>
      <c r="H1998" s="22">
        <v>19.21</v>
      </c>
      <c r="I1998" s="20" t="s">
        <v>45</v>
      </c>
      <c r="J1998" s="20">
        <v>4</v>
      </c>
      <c r="K1998" s="20" t="s">
        <v>46</v>
      </c>
      <c r="L1998" s="23">
        <f t="shared" si="228"/>
        <v>45870</v>
      </c>
      <c r="M1998" s="20">
        <f t="shared" si="229"/>
        <v>6</v>
      </c>
      <c r="N1998" s="20">
        <f t="shared" si="230"/>
        <v>0</v>
      </c>
      <c r="O1998" s="20">
        <f t="shared" si="231"/>
        <v>1</v>
      </c>
      <c r="P1998" s="22">
        <f t="shared" si="232"/>
        <v>187.47</v>
      </c>
      <c r="Q1998" s="22">
        <f>G1998*INDEX(Assumptions!$B$8:$B$16,MATCH(F1998,Assumptions!$A$8:$A$16,0))</f>
        <v>117.78199999999998</v>
      </c>
      <c r="R1998" s="22">
        <f>H1998*Assumptions!$B$3</f>
        <v>11.526</v>
      </c>
      <c r="S1998" s="22">
        <f t="shared" si="233"/>
        <v>38.952000000000012</v>
      </c>
      <c r="T1998" s="20" t="str">
        <f t="shared" si="234"/>
        <v>0-7 days</v>
      </c>
    </row>
    <row r="1999" spans="1:20" x14ac:dyDescent="0.3">
      <c r="A1999" s="20" t="s">
        <v>2065</v>
      </c>
      <c r="B1999" s="20" t="s">
        <v>62</v>
      </c>
      <c r="C1999" s="21">
        <v>45900</v>
      </c>
      <c r="D1999" s="21">
        <v>45914</v>
      </c>
      <c r="E1999" s="21">
        <v>45918</v>
      </c>
      <c r="F1999" s="20" t="s">
        <v>111</v>
      </c>
      <c r="G1999" s="22">
        <v>94.47</v>
      </c>
      <c r="H1999" s="22">
        <v>26.59</v>
      </c>
      <c r="I1999" s="20" t="s">
        <v>60</v>
      </c>
      <c r="J1999" s="20">
        <v>5</v>
      </c>
      <c r="K1999" s="20" t="s">
        <v>46</v>
      </c>
      <c r="L1999" s="23">
        <f t="shared" si="228"/>
        <v>45870</v>
      </c>
      <c r="M1999" s="20">
        <f t="shared" si="229"/>
        <v>14</v>
      </c>
      <c r="N1999" s="20">
        <f t="shared" si="230"/>
        <v>0</v>
      </c>
      <c r="O1999" s="20">
        <f t="shared" si="231"/>
        <v>1</v>
      </c>
      <c r="P1999" s="22">
        <f t="shared" si="232"/>
        <v>121.06</v>
      </c>
      <c r="Q1999" s="22">
        <f>G1999*INDEX(Assumptions!$B$8:$B$16,MATCH(F1999,Assumptions!$A$8:$A$16,0))</f>
        <v>59.516100000000002</v>
      </c>
      <c r="R1999" s="22">
        <f>H1999*Assumptions!$B$3</f>
        <v>15.953999999999999</v>
      </c>
      <c r="S1999" s="22">
        <f t="shared" si="233"/>
        <v>18.999899999999997</v>
      </c>
      <c r="T1999" s="20" t="str">
        <f t="shared" si="234"/>
        <v>8-14 days</v>
      </c>
    </row>
    <row r="2000" spans="1:20" x14ac:dyDescent="0.3">
      <c r="A2000" s="20" t="s">
        <v>2066</v>
      </c>
      <c r="B2000" s="20" t="s">
        <v>19</v>
      </c>
      <c r="C2000" s="21">
        <v>45900</v>
      </c>
      <c r="D2000" s="21">
        <v>45915</v>
      </c>
      <c r="E2000" s="21">
        <v>45913</v>
      </c>
      <c r="F2000" s="20" t="s">
        <v>49</v>
      </c>
      <c r="G2000" s="22">
        <v>128.34</v>
      </c>
      <c r="H2000" s="22">
        <v>18.239999999999998</v>
      </c>
      <c r="I2000" s="20" t="s">
        <v>45</v>
      </c>
      <c r="J2000" s="20">
        <v>1</v>
      </c>
      <c r="K2000" s="20" t="s">
        <v>46</v>
      </c>
      <c r="L2000" s="23">
        <f t="shared" si="228"/>
        <v>45870</v>
      </c>
      <c r="M2000" s="20">
        <f t="shared" si="229"/>
        <v>15</v>
      </c>
      <c r="N2000" s="20">
        <f t="shared" si="230"/>
        <v>2</v>
      </c>
      <c r="O2000" s="20">
        <f t="shared" si="231"/>
        <v>0</v>
      </c>
      <c r="P2000" s="22">
        <f t="shared" si="232"/>
        <v>146.58000000000001</v>
      </c>
      <c r="Q2000" s="22">
        <f>G2000*INDEX(Assumptions!$B$8:$B$16,MATCH(F2000,Assumptions!$A$8:$A$16,0))</f>
        <v>74.43719999999999</v>
      </c>
      <c r="R2000" s="22">
        <f>H2000*Assumptions!$B$3</f>
        <v>10.943999999999999</v>
      </c>
      <c r="S2000" s="22">
        <f t="shared" si="233"/>
        <v>42.958800000000011</v>
      </c>
      <c r="T2000" s="20" t="str">
        <f t="shared" si="234"/>
        <v>15-21 days</v>
      </c>
    </row>
    <row r="2001" spans="1:20" x14ac:dyDescent="0.3">
      <c r="A2001" s="20" t="s">
        <v>2067</v>
      </c>
      <c r="B2001" s="20" t="s">
        <v>93</v>
      </c>
      <c r="C2001" s="21">
        <v>45900</v>
      </c>
      <c r="D2001" s="21">
        <v>45925</v>
      </c>
      <c r="E2001" s="21">
        <v>45934</v>
      </c>
      <c r="F2001" s="20" t="s">
        <v>79</v>
      </c>
      <c r="G2001" s="22">
        <v>102.59</v>
      </c>
      <c r="H2001" s="22">
        <v>30.81</v>
      </c>
      <c r="I2001" s="20" t="s">
        <v>45</v>
      </c>
      <c r="J2001" s="20">
        <v>3</v>
      </c>
      <c r="K2001" s="20" t="s">
        <v>46</v>
      </c>
      <c r="L2001" s="23">
        <f t="shared" si="228"/>
        <v>45870</v>
      </c>
      <c r="M2001" s="20">
        <f t="shared" si="229"/>
        <v>25</v>
      </c>
      <c r="N2001" s="20">
        <f t="shared" si="230"/>
        <v>0</v>
      </c>
      <c r="O2001" s="20">
        <f t="shared" si="231"/>
        <v>1</v>
      </c>
      <c r="P2001" s="22">
        <f t="shared" si="232"/>
        <v>133.4</v>
      </c>
      <c r="Q2001" s="22">
        <f>G2001*INDEX(Assumptions!$B$8:$B$16,MATCH(F2001,Assumptions!$A$8:$A$16,0))</f>
        <v>71.813000000000002</v>
      </c>
      <c r="R2001" s="22">
        <f>H2001*Assumptions!$B$3</f>
        <v>18.485999999999997</v>
      </c>
      <c r="S2001" s="22">
        <f t="shared" si="233"/>
        <v>12.291000000000004</v>
      </c>
      <c r="T2001" s="20" t="str">
        <f t="shared" si="234"/>
        <v>22+ days</v>
      </c>
    </row>
  </sheetData>
  <autoFilter ref="A1:T2001" xr:uid="{00000000-0009-0000-0000-000001000000}"/>
  <mergeCells count="2">
    <mergeCell ref="W1:AC1"/>
    <mergeCell ref="AK19:AL20"/>
  </mergeCells>
  <conditionalFormatting sqref="AD3:AD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{7C3E167D-ED8B-4A7E-AFBC-8F33D68600B5}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3E167D-ED8B-4A7E-AFBC-8F33D6860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AD3:AD14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opLeftCell="A7" zoomScaleNormal="100" workbookViewId="0">
      <selection activeCell="A26" sqref="A26"/>
    </sheetView>
  </sheetViews>
  <sheetFormatPr defaultColWidth="8.6640625" defaultRowHeight="14.4" x14ac:dyDescent="0.3"/>
  <cols>
    <col min="1" max="1" width="48" customWidth="1"/>
    <col min="2" max="2" width="14" customWidth="1"/>
    <col min="3" max="3" width="70" customWidth="1"/>
  </cols>
  <sheetData>
    <row r="1" spans="1:3" ht="22.8" x14ac:dyDescent="0.4">
      <c r="A1" s="1" t="s">
        <v>2068</v>
      </c>
    </row>
    <row r="3" spans="1:3" x14ac:dyDescent="0.3">
      <c r="A3" t="s">
        <v>2069</v>
      </c>
      <c r="B3" s="24">
        <v>0.6</v>
      </c>
      <c r="C3" t="s">
        <v>2070</v>
      </c>
    </row>
    <row r="5" spans="1:3" x14ac:dyDescent="0.3">
      <c r="A5" s="12" t="s">
        <v>2071</v>
      </c>
    </row>
    <row r="7" spans="1:3" ht="31.5" customHeight="1" x14ac:dyDescent="0.3">
      <c r="A7" s="3" t="s">
        <v>2072</v>
      </c>
      <c r="B7" s="3" t="s">
        <v>2073</v>
      </c>
    </row>
    <row r="8" spans="1:3" x14ac:dyDescent="0.3">
      <c r="A8" s="20" t="s">
        <v>67</v>
      </c>
      <c r="B8" s="24">
        <v>0.62</v>
      </c>
    </row>
    <row r="9" spans="1:3" x14ac:dyDescent="0.3">
      <c r="A9" s="20" t="s">
        <v>49</v>
      </c>
      <c r="B9" s="24">
        <v>0.57999999999999996</v>
      </c>
    </row>
    <row r="10" spans="1:3" x14ac:dyDescent="0.3">
      <c r="A10" s="20" t="s">
        <v>59</v>
      </c>
      <c r="B10" s="24">
        <v>0.64</v>
      </c>
    </row>
    <row r="11" spans="1:3" x14ac:dyDescent="0.3">
      <c r="A11" s="20" t="s">
        <v>79</v>
      </c>
      <c r="B11" s="24">
        <v>0.7</v>
      </c>
    </row>
    <row r="12" spans="1:3" x14ac:dyDescent="0.3">
      <c r="A12" s="20" t="s">
        <v>53</v>
      </c>
      <c r="B12" s="24">
        <v>0.74</v>
      </c>
    </row>
    <row r="13" spans="1:3" x14ac:dyDescent="0.3">
      <c r="A13" s="20" t="s">
        <v>64</v>
      </c>
      <c r="B13" s="24">
        <v>0.66</v>
      </c>
    </row>
    <row r="14" spans="1:3" x14ac:dyDescent="0.3">
      <c r="A14" s="20" t="s">
        <v>111</v>
      </c>
      <c r="B14" s="24">
        <v>0.63</v>
      </c>
    </row>
    <row r="15" spans="1:3" x14ac:dyDescent="0.3">
      <c r="A15" s="20" t="s">
        <v>44</v>
      </c>
      <c r="B15" s="24">
        <v>0.6</v>
      </c>
    </row>
    <row r="16" spans="1:3" x14ac:dyDescent="0.3">
      <c r="A16" s="20" t="s">
        <v>57</v>
      </c>
      <c r="B16" s="24">
        <v>0.68</v>
      </c>
    </row>
    <row r="19" spans="1:1" x14ac:dyDescent="0.3">
      <c r="A19" s="2" t="s">
        <v>2074</v>
      </c>
    </row>
    <row r="21" spans="1:1" x14ac:dyDescent="0.3">
      <c r="A21" s="20" t="s">
        <v>2075</v>
      </c>
    </row>
    <row r="22" spans="1:1" x14ac:dyDescent="0.3">
      <c r="A22" s="20" t="s">
        <v>2076</v>
      </c>
    </row>
    <row r="23" spans="1:1" x14ac:dyDescent="0.3">
      <c r="A23" s="20" t="s">
        <v>2077</v>
      </c>
    </row>
    <row r="24" spans="1:1" x14ac:dyDescent="0.3">
      <c r="A24" s="20" t="s">
        <v>2078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5"/>
  <sheetViews>
    <sheetView zoomScale="96" zoomScaleNormal="100" workbookViewId="0">
      <selection activeCell="J20" sqref="J20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1" customWidth="1"/>
    <col min="4" max="5" width="14" customWidth="1"/>
    <col min="6" max="6" width="6.88671875" bestFit="1" customWidth="1"/>
    <col min="7" max="7" width="12" customWidth="1"/>
    <col min="8" max="8" width="14" customWidth="1"/>
    <col min="9" max="9" width="12" customWidth="1"/>
    <col min="10" max="10" width="14" customWidth="1"/>
    <col min="11" max="11" width="11" customWidth="1"/>
    <col min="12" max="12" width="13.88671875" customWidth="1"/>
    <col min="13" max="13" width="11" customWidth="1"/>
    <col min="14" max="14" width="10" customWidth="1"/>
    <col min="15" max="15" width="26" customWidth="1"/>
  </cols>
  <sheetData>
    <row r="1" spans="1:15" ht="22.8" x14ac:dyDescent="0.4">
      <c r="A1" s="50" t="s">
        <v>2079</v>
      </c>
      <c r="B1" s="50"/>
      <c r="C1" s="50"/>
      <c r="D1" s="50"/>
      <c r="E1" s="50"/>
    </row>
    <row r="2" spans="1:15" ht="33" customHeight="1" x14ac:dyDescent="0.3">
      <c r="A2" s="51"/>
      <c r="B2" s="51"/>
      <c r="C2" s="51"/>
      <c r="D2" s="51"/>
      <c r="E2" s="51"/>
      <c r="F2" s="51"/>
    </row>
    <row r="4" spans="1:15" ht="41.4" customHeight="1" x14ac:dyDescent="0.3">
      <c r="A4" s="3" t="s">
        <v>2080</v>
      </c>
      <c r="B4" s="3" t="s">
        <v>20</v>
      </c>
      <c r="C4" s="3" t="s">
        <v>2081</v>
      </c>
      <c r="D4" s="3" t="s">
        <v>3</v>
      </c>
      <c r="E4" s="3" t="s">
        <v>4</v>
      </c>
      <c r="F4" s="3" t="s">
        <v>5</v>
      </c>
      <c r="G4" s="3" t="s">
        <v>2082</v>
      </c>
      <c r="H4" s="3" t="s">
        <v>2083</v>
      </c>
      <c r="I4" s="3" t="s">
        <v>2084</v>
      </c>
      <c r="J4" s="3" t="s">
        <v>6</v>
      </c>
      <c r="K4" s="3" t="s">
        <v>7</v>
      </c>
      <c r="L4" s="3" t="s">
        <v>2138</v>
      </c>
      <c r="M4" s="3" t="s">
        <v>2139</v>
      </c>
      <c r="N4" s="3" t="s">
        <v>2085</v>
      </c>
      <c r="O4" s="3" t="s">
        <v>2086</v>
      </c>
    </row>
    <row r="5" spans="1:15" x14ac:dyDescent="0.3">
      <c r="A5" s="25" t="s">
        <v>19</v>
      </c>
      <c r="B5" s="26">
        <f>COUNTIFS(Data!$B$2:$B$2001,A5)</f>
        <v>909</v>
      </c>
      <c r="C5" s="27">
        <f t="shared" ref="C5:C16" si="0">B5/$B$17</f>
        <v>0.45450000000000002</v>
      </c>
      <c r="D5" s="28">
        <f>SUMIFS(Data!$P$2:$P$2001,Data!$B$2:$B$2001,A5)</f>
        <v>115617.11000000015</v>
      </c>
      <c r="E5" s="28">
        <f>SUMIFS(Data!$S$2:$S$2001,Data!$B$2:$B$2001,A5)</f>
        <v>25250.604499999972</v>
      </c>
      <c r="F5" s="27">
        <f t="shared" ref="F5:F16" si="1">IFERROR(E5/D5,0)</f>
        <v>0.21839850952856321</v>
      </c>
      <c r="G5" s="28">
        <f t="shared" ref="G5:G16" si="2">IFERROR(E5/B5,0)</f>
        <v>27.778442794279396</v>
      </c>
      <c r="H5" s="28">
        <f t="shared" ref="H5:H16" si="3">IFERROR(D5/B5,0)</f>
        <v>127.19154015401556</v>
      </c>
      <c r="I5" s="28">
        <f>IFERROR(AVERAGEIFS(Data!$H$2:$H$2001,Data!$B$2:$B$2001,A5),0)</f>
        <v>17.822387238723852</v>
      </c>
      <c r="J5" s="29">
        <f>IFERROR(AVERAGEIFS(Data!$M$2:$M$2001,Data!$B$2:$B$2001,A5),0)</f>
        <v>8.6655665566556657</v>
      </c>
      <c r="K5" s="27">
        <f>IFERROR(SUMIFS(Data!$O$2:$O$2001,Data!$B$2:$B$2001,A5)/B5,0)</f>
        <v>0.94609460946094615</v>
      </c>
      <c r="L5" s="25">
        <f>RANK(B5,$B$5:$B$16)</f>
        <v>1</v>
      </c>
      <c r="M5" s="25">
        <f t="shared" ref="M5:M16" si="4">RANK(F5,$F$5:$F$16)</f>
        <v>1</v>
      </c>
      <c r="N5" s="25">
        <f t="shared" ref="N5:N16" si="5">M5-L5</f>
        <v>0</v>
      </c>
      <c r="O5" s="25" t="str">
        <f t="shared" ref="O5:O16" si="6">IF(AND(L5&lt;=4,M5&gt;=7),"High volume, low margin",IF(AND(L5&gt;=7,M5&lt;=4),"Low volume, high margin",""))</f>
        <v/>
      </c>
    </row>
    <row r="6" spans="1:15" x14ac:dyDescent="0.3">
      <c r="A6" s="25" t="s">
        <v>55</v>
      </c>
      <c r="B6" s="26">
        <f>COUNTIFS(Data!$B$2:$B$2001,A6)</f>
        <v>252</v>
      </c>
      <c r="C6" s="27">
        <f t="shared" si="0"/>
        <v>0.126</v>
      </c>
      <c r="D6" s="28">
        <f>SUMIFS(Data!$P$2:$P$2001,Data!$B$2:$B$2001,A6)</f>
        <v>32089.61</v>
      </c>
      <c r="E6" s="28">
        <f>SUMIFS(Data!$S$2:$S$2001,Data!$B$2:$B$2001,A6)</f>
        <v>5451.4649999999965</v>
      </c>
      <c r="F6" s="27">
        <f t="shared" si="1"/>
        <v>0.16988255700209495</v>
      </c>
      <c r="G6" s="28">
        <f t="shared" si="2"/>
        <v>21.632797619047604</v>
      </c>
      <c r="H6" s="28">
        <f t="shared" si="3"/>
        <v>127.33972222222222</v>
      </c>
      <c r="I6" s="28">
        <f>IFERROR(AVERAGEIFS(Data!$H$2:$H$2001,Data!$B$2:$B$2001,A6),0)</f>
        <v>23.998293650793659</v>
      </c>
      <c r="J6" s="29">
        <f>IFERROR(AVERAGEIFS(Data!$M$2:$M$2001,Data!$B$2:$B$2001,A6),0)</f>
        <v>16.337301587301589</v>
      </c>
      <c r="K6" s="27">
        <f>IFERROR(SUMIFS(Data!$O$2:$O$2001,Data!$B$2:$B$2001,A6)/B6,0)</f>
        <v>0.90079365079365081</v>
      </c>
      <c r="L6" s="25">
        <f t="shared" ref="L6:L16" si="7">RANK(B6,$B$5:$B$16)</f>
        <v>2</v>
      </c>
      <c r="M6" s="25">
        <f t="shared" si="4"/>
        <v>8</v>
      </c>
      <c r="N6" s="25">
        <f t="shared" si="5"/>
        <v>6</v>
      </c>
      <c r="O6" s="25" t="str">
        <f t="shared" si="6"/>
        <v>High volume, low margin</v>
      </c>
    </row>
    <row r="7" spans="1:15" x14ac:dyDescent="0.3">
      <c r="A7" s="25" t="s">
        <v>62</v>
      </c>
      <c r="B7" s="26">
        <f>COUNTIFS(Data!$B$2:$B$2001,A7)</f>
        <v>241</v>
      </c>
      <c r="C7" s="27">
        <f t="shared" si="0"/>
        <v>0.1205</v>
      </c>
      <c r="D7" s="28">
        <f>SUMIFS(Data!$P$2:$P$2001,Data!$B$2:$B$2001,A7)</f>
        <v>31045.700000000004</v>
      </c>
      <c r="E7" s="28">
        <f>SUMIFS(Data!$S$2:$S$2001,Data!$B$2:$B$2001,A7)</f>
        <v>5486.7232999999987</v>
      </c>
      <c r="F7" s="27">
        <f t="shared" si="1"/>
        <v>0.17673053917289666</v>
      </c>
      <c r="G7" s="28">
        <f t="shared" si="2"/>
        <v>22.766486721991697</v>
      </c>
      <c r="H7" s="28">
        <f t="shared" si="3"/>
        <v>128.82033195020747</v>
      </c>
      <c r="I7" s="28">
        <f>IFERROR(AVERAGEIFS(Data!$H$2:$H$2001,Data!$B$2:$B$2001,A7),0)</f>
        <v>23.306348547717839</v>
      </c>
      <c r="J7" s="29">
        <f>IFERROR(AVERAGEIFS(Data!$M$2:$M$2001,Data!$B$2:$B$2001,A7),0)</f>
        <v>12.539419087136929</v>
      </c>
      <c r="K7" s="27">
        <f>IFERROR(SUMIFS(Data!$O$2:$O$2001,Data!$B$2:$B$2001,A7)/B7,0)</f>
        <v>0.95850622406639008</v>
      </c>
      <c r="L7" s="25">
        <f t="shared" si="7"/>
        <v>3</v>
      </c>
      <c r="M7" s="25">
        <f t="shared" si="4"/>
        <v>6</v>
      </c>
      <c r="N7" s="25">
        <f t="shared" si="5"/>
        <v>3</v>
      </c>
      <c r="O7" s="25" t="str">
        <f t="shared" si="6"/>
        <v/>
      </c>
    </row>
    <row r="8" spans="1:15" x14ac:dyDescent="0.3">
      <c r="A8" s="25" t="s">
        <v>52</v>
      </c>
      <c r="B8" s="26">
        <f>COUNTIFS(Data!$B$2:$B$2001,A8)</f>
        <v>110</v>
      </c>
      <c r="C8" s="27">
        <f t="shared" si="0"/>
        <v>5.5E-2</v>
      </c>
      <c r="D8" s="28">
        <f>SUMIFS(Data!$P$2:$P$2001,Data!$B$2:$B$2001,A8)</f>
        <v>15610.33</v>
      </c>
      <c r="E8" s="28">
        <f>SUMIFS(Data!$S$2:$S$2001,Data!$B$2:$B$2001,A8)</f>
        <v>2729.7098999999998</v>
      </c>
      <c r="F8" s="27">
        <f t="shared" si="1"/>
        <v>0.17486561142525495</v>
      </c>
      <c r="G8" s="28">
        <f t="shared" si="2"/>
        <v>24.815544545454543</v>
      </c>
      <c r="H8" s="28">
        <f t="shared" si="3"/>
        <v>141.91209090909092</v>
      </c>
      <c r="I8" s="28">
        <f>IFERROR(AVERAGEIFS(Data!$H$2:$H$2001,Data!$B$2:$B$2001,A8),0)</f>
        <v>24.362000000000009</v>
      </c>
      <c r="J8" s="29">
        <f>IFERROR(AVERAGEIFS(Data!$M$2:$M$2001,Data!$B$2:$B$2001,A8),0)</f>
        <v>16.372727272727271</v>
      </c>
      <c r="K8" s="27">
        <f>IFERROR(SUMIFS(Data!$O$2:$O$2001,Data!$B$2:$B$2001,A8)/B8,0)</f>
        <v>0.87272727272727268</v>
      </c>
      <c r="L8" s="25">
        <f t="shared" si="7"/>
        <v>5</v>
      </c>
      <c r="M8" s="25">
        <f t="shared" si="4"/>
        <v>7</v>
      </c>
      <c r="N8" s="25">
        <f t="shared" si="5"/>
        <v>2</v>
      </c>
      <c r="O8" s="25" t="str">
        <f t="shared" si="6"/>
        <v/>
      </c>
    </row>
    <row r="9" spans="1:15" x14ac:dyDescent="0.3">
      <c r="A9" s="25" t="s">
        <v>48</v>
      </c>
      <c r="B9" s="26">
        <f>COUNTIFS(Data!$B$2:$B$2001,A9)</f>
        <v>115</v>
      </c>
      <c r="C9" s="27">
        <f t="shared" si="0"/>
        <v>5.7500000000000002E-2</v>
      </c>
      <c r="D9" s="28">
        <f>SUMIFS(Data!$P$2:$P$2001,Data!$B$2:$B$2001,A9)</f>
        <v>16873.039999999997</v>
      </c>
      <c r="E9" s="28">
        <f>SUMIFS(Data!$S$2:$S$2001,Data!$B$2:$B$2001,A9)</f>
        <v>3163.2744000000007</v>
      </c>
      <c r="F9" s="27">
        <f t="shared" si="1"/>
        <v>0.18747507266029129</v>
      </c>
      <c r="G9" s="28">
        <f t="shared" si="2"/>
        <v>27.506733913043483</v>
      </c>
      <c r="H9" s="28">
        <f t="shared" si="3"/>
        <v>146.72208695652171</v>
      </c>
      <c r="I9" s="28">
        <f>IFERROR(AVERAGEIFS(Data!$H$2:$H$2001,Data!$B$2:$B$2001,A9),0)</f>
        <v>23.454521739130438</v>
      </c>
      <c r="J9" s="29">
        <f>IFERROR(AVERAGEIFS(Data!$M$2:$M$2001,Data!$B$2:$B$2001,A9),0)</f>
        <v>13.165217391304347</v>
      </c>
      <c r="K9" s="27">
        <f>IFERROR(SUMIFS(Data!$O$2:$O$2001,Data!$B$2:$B$2001,A9)/B9,0)</f>
        <v>0.88695652173913042</v>
      </c>
      <c r="L9" s="25">
        <f t="shared" si="7"/>
        <v>4</v>
      </c>
      <c r="M9" s="25">
        <f t="shared" si="4"/>
        <v>4</v>
      </c>
      <c r="N9" s="25">
        <f t="shared" si="5"/>
        <v>0</v>
      </c>
      <c r="O9" s="25" t="str">
        <f t="shared" si="6"/>
        <v/>
      </c>
    </row>
    <row r="10" spans="1:15" x14ac:dyDescent="0.3">
      <c r="A10" s="25" t="s">
        <v>134</v>
      </c>
      <c r="B10" s="26">
        <f>COUNTIFS(Data!$B$2:$B$2001,A10)</f>
        <v>96</v>
      </c>
      <c r="C10" s="27">
        <f t="shared" si="0"/>
        <v>4.8000000000000001E-2</v>
      </c>
      <c r="D10" s="28">
        <f>SUMIFS(Data!$P$2:$P$2001,Data!$B$2:$B$2001,A10)</f>
        <v>13452.909999999991</v>
      </c>
      <c r="E10" s="28">
        <f>SUMIFS(Data!$S$2:$S$2001,Data!$B$2:$B$2001,A10)</f>
        <v>2562.6193999999996</v>
      </c>
      <c r="F10" s="27">
        <f t="shared" si="1"/>
        <v>0.19048811000742599</v>
      </c>
      <c r="G10" s="28">
        <f t="shared" si="2"/>
        <v>26.693952083333329</v>
      </c>
      <c r="H10" s="28">
        <f t="shared" si="3"/>
        <v>140.13447916666658</v>
      </c>
      <c r="I10" s="28">
        <f>IFERROR(AVERAGEIFS(Data!$H$2:$H$2001,Data!$B$2:$B$2001,A10),0)</f>
        <v>24.13989583333333</v>
      </c>
      <c r="J10" s="29">
        <f>IFERROR(AVERAGEIFS(Data!$M$2:$M$2001,Data!$B$2:$B$2001,A10),0)</f>
        <v>14.791666666666666</v>
      </c>
      <c r="K10" s="27">
        <f>IFERROR(SUMIFS(Data!$O$2:$O$2001,Data!$B$2:$B$2001,A10)/B10,0)</f>
        <v>0.92708333333333337</v>
      </c>
      <c r="L10" s="25">
        <f t="shared" si="7"/>
        <v>6</v>
      </c>
      <c r="M10" s="25">
        <f t="shared" si="4"/>
        <v>3</v>
      </c>
      <c r="N10" s="25">
        <f t="shared" si="5"/>
        <v>-3</v>
      </c>
      <c r="O10" s="25" t="str">
        <f t="shared" si="6"/>
        <v/>
      </c>
    </row>
    <row r="11" spans="1:15" x14ac:dyDescent="0.3">
      <c r="A11" s="25" t="s">
        <v>93</v>
      </c>
      <c r="B11" s="26">
        <f>COUNTIFS(Data!$B$2:$B$2001,A11)</f>
        <v>65</v>
      </c>
      <c r="C11" s="27">
        <f t="shared" si="0"/>
        <v>3.2500000000000001E-2</v>
      </c>
      <c r="D11" s="28">
        <f>SUMIFS(Data!$P$2:$P$2001,Data!$B$2:$B$2001,A11)</f>
        <v>8267.8599999999969</v>
      </c>
      <c r="E11" s="28">
        <f>SUMIFS(Data!$S$2:$S$2001,Data!$B$2:$B$2001,A11)</f>
        <v>937.09559999999999</v>
      </c>
      <c r="F11" s="27">
        <f t="shared" si="1"/>
        <v>0.11334197724683295</v>
      </c>
      <c r="G11" s="28">
        <f t="shared" si="2"/>
        <v>14.416855384615385</v>
      </c>
      <c r="H11" s="28">
        <f t="shared" si="3"/>
        <v>127.1978461538461</v>
      </c>
      <c r="I11" s="28">
        <f>IFERROR(AVERAGEIFS(Data!$H$2:$H$2001,Data!$B$2:$B$2001,A11),0)</f>
        <v>32.066307692307689</v>
      </c>
      <c r="J11" s="29">
        <f>IFERROR(AVERAGEIFS(Data!$M$2:$M$2001,Data!$B$2:$B$2001,A11),0)</f>
        <v>20.246153846153845</v>
      </c>
      <c r="K11" s="27">
        <f>IFERROR(SUMIFS(Data!$O$2:$O$2001,Data!$B$2:$B$2001,A11)/B11,0)</f>
        <v>0.93846153846153846</v>
      </c>
      <c r="L11" s="25">
        <f t="shared" si="7"/>
        <v>7</v>
      </c>
      <c r="M11" s="25">
        <f t="shared" si="4"/>
        <v>12</v>
      </c>
      <c r="N11" s="25">
        <f t="shared" si="5"/>
        <v>5</v>
      </c>
      <c r="O11" s="25" t="str">
        <f t="shared" si="6"/>
        <v/>
      </c>
    </row>
    <row r="12" spans="1:15" x14ac:dyDescent="0.3">
      <c r="A12" s="25" t="s">
        <v>103</v>
      </c>
      <c r="B12" s="26">
        <f>COUNTIFS(Data!$B$2:$B$2001,A12)</f>
        <v>52</v>
      </c>
      <c r="C12" s="27">
        <f t="shared" si="0"/>
        <v>2.5999999999999999E-2</v>
      </c>
      <c r="D12" s="28">
        <f>SUMIFS(Data!$P$2:$P$2001,Data!$B$2:$B$2001,A12)</f>
        <v>7697.4600000000019</v>
      </c>
      <c r="E12" s="28">
        <f>SUMIFS(Data!$S$2:$S$2001,Data!$B$2:$B$2001,A12)</f>
        <v>1537.2649999999999</v>
      </c>
      <c r="F12" s="27">
        <f t="shared" si="1"/>
        <v>0.19971068378400142</v>
      </c>
      <c r="G12" s="28">
        <f t="shared" si="2"/>
        <v>29.56278846153846</v>
      </c>
      <c r="H12" s="28">
        <f t="shared" si="3"/>
        <v>148.02807692307695</v>
      </c>
      <c r="I12" s="28">
        <f>IFERROR(AVERAGEIFS(Data!$H$2:$H$2001,Data!$B$2:$B$2001,A12),0)</f>
        <v>24.015769230769234</v>
      </c>
      <c r="J12" s="29">
        <f>IFERROR(AVERAGEIFS(Data!$M$2:$M$2001,Data!$B$2:$B$2001,A12),0)</f>
        <v>13.673076923076923</v>
      </c>
      <c r="K12" s="27">
        <f>IFERROR(SUMIFS(Data!$O$2:$O$2001,Data!$B$2:$B$2001,A12)/B12,0)</f>
        <v>0.96153846153846156</v>
      </c>
      <c r="L12" s="25">
        <f t="shared" si="7"/>
        <v>9</v>
      </c>
      <c r="M12" s="25">
        <f t="shared" si="4"/>
        <v>2</v>
      </c>
      <c r="N12" s="25">
        <f t="shared" si="5"/>
        <v>-7</v>
      </c>
      <c r="O12" s="25" t="str">
        <f t="shared" si="6"/>
        <v>Low volume, high margin</v>
      </c>
    </row>
    <row r="13" spans="1:15" x14ac:dyDescent="0.3">
      <c r="A13" s="25" t="s">
        <v>156</v>
      </c>
      <c r="B13" s="26">
        <f>COUNTIFS(Data!$B$2:$B$2001,A13)</f>
        <v>60</v>
      </c>
      <c r="C13" s="27">
        <f t="shared" si="0"/>
        <v>0.03</v>
      </c>
      <c r="D13" s="28">
        <f>SUMIFS(Data!$P$2:$P$2001,Data!$B$2:$B$2001,A13)</f>
        <v>9527.25</v>
      </c>
      <c r="E13" s="28">
        <f>SUMIFS(Data!$S$2:$S$2001,Data!$B$2:$B$2001,A13)</f>
        <v>1708.0977000000003</v>
      </c>
      <c r="F13" s="27">
        <f t="shared" si="1"/>
        <v>0.1792854916161537</v>
      </c>
      <c r="G13" s="28">
        <f t="shared" si="2"/>
        <v>28.468295000000005</v>
      </c>
      <c r="H13" s="28">
        <f t="shared" si="3"/>
        <v>158.78749999999999</v>
      </c>
      <c r="I13" s="28">
        <f>IFERROR(AVERAGEIFS(Data!$H$2:$H$2001,Data!$B$2:$B$2001,A13),0)</f>
        <v>26.811666666666664</v>
      </c>
      <c r="J13" s="29">
        <f>IFERROR(AVERAGEIFS(Data!$M$2:$M$2001,Data!$B$2:$B$2001,A13),0)</f>
        <v>17.7</v>
      </c>
      <c r="K13" s="27">
        <f>IFERROR(SUMIFS(Data!$O$2:$O$2001,Data!$B$2:$B$2001,A13)/B13,0)</f>
        <v>0.81666666666666665</v>
      </c>
      <c r="L13" s="25">
        <f t="shared" si="7"/>
        <v>8</v>
      </c>
      <c r="M13" s="25">
        <f t="shared" si="4"/>
        <v>5</v>
      </c>
      <c r="N13" s="25">
        <f t="shared" si="5"/>
        <v>-3</v>
      </c>
      <c r="O13" s="25" t="str">
        <f t="shared" si="6"/>
        <v/>
      </c>
    </row>
    <row r="14" spans="1:15" x14ac:dyDescent="0.3">
      <c r="A14" s="25" t="s">
        <v>77</v>
      </c>
      <c r="B14" s="26">
        <f>COUNTIFS(Data!$B$2:$B$2001,A14)</f>
        <v>33</v>
      </c>
      <c r="C14" s="27">
        <f t="shared" si="0"/>
        <v>1.6500000000000001E-2</v>
      </c>
      <c r="D14" s="28">
        <f>SUMIFS(Data!$P$2:$P$2001,Data!$B$2:$B$2001,A14)</f>
        <v>4059.0699999999997</v>
      </c>
      <c r="E14" s="28">
        <f>SUMIFS(Data!$S$2:$S$2001,Data!$B$2:$B$2001,A14)</f>
        <v>680.59799999999996</v>
      </c>
      <c r="F14" s="27">
        <f t="shared" si="1"/>
        <v>0.16767338331194093</v>
      </c>
      <c r="G14" s="28">
        <f t="shared" si="2"/>
        <v>20.624181818181818</v>
      </c>
      <c r="H14" s="28">
        <f t="shared" si="3"/>
        <v>123.00212121212121</v>
      </c>
      <c r="I14" s="28">
        <f>IFERROR(AVERAGEIFS(Data!$H$2:$H$2001,Data!$B$2:$B$2001,A14),0)</f>
        <v>25.128181818181819</v>
      </c>
      <c r="J14" s="29">
        <f>IFERROR(AVERAGEIFS(Data!$M$2:$M$2001,Data!$B$2:$B$2001,A14),0)</f>
        <v>15.969696969696969</v>
      </c>
      <c r="K14" s="27">
        <f>IFERROR(SUMIFS(Data!$O$2:$O$2001,Data!$B$2:$B$2001,A14)/B14,0)</f>
        <v>0.84848484848484851</v>
      </c>
      <c r="L14" s="25">
        <f t="shared" si="7"/>
        <v>11</v>
      </c>
      <c r="M14" s="25">
        <f t="shared" si="4"/>
        <v>9</v>
      </c>
      <c r="N14" s="25">
        <f t="shared" si="5"/>
        <v>-2</v>
      </c>
      <c r="O14" s="25" t="str">
        <f t="shared" si="6"/>
        <v/>
      </c>
    </row>
    <row r="15" spans="1:15" x14ac:dyDescent="0.3">
      <c r="A15" s="25" t="s">
        <v>174</v>
      </c>
      <c r="B15" s="26">
        <f>COUNTIFS(Data!$B$2:$B$2001,A15)</f>
        <v>42</v>
      </c>
      <c r="C15" s="27">
        <f t="shared" si="0"/>
        <v>2.1000000000000001E-2</v>
      </c>
      <c r="D15" s="28">
        <f>SUMIFS(Data!$P$2:$P$2001,Data!$B$2:$B$2001,A15)</f>
        <v>6527.8099999999995</v>
      </c>
      <c r="E15" s="28">
        <f>SUMIFS(Data!$S$2:$S$2001,Data!$B$2:$B$2001,A15)</f>
        <v>787.20450000000005</v>
      </c>
      <c r="F15" s="27">
        <f t="shared" si="1"/>
        <v>0.12059243452245089</v>
      </c>
      <c r="G15" s="28">
        <f t="shared" si="2"/>
        <v>18.742964285714287</v>
      </c>
      <c r="H15" s="28">
        <f t="shared" si="3"/>
        <v>155.4240476190476</v>
      </c>
      <c r="I15" s="28">
        <f>IFERROR(AVERAGEIFS(Data!$H$2:$H$2001,Data!$B$2:$B$2001,A15),0)</f>
        <v>37.270714285714291</v>
      </c>
      <c r="J15" s="29">
        <f>IFERROR(AVERAGEIFS(Data!$M$2:$M$2001,Data!$B$2:$B$2001,A15),0)</f>
        <v>23.5</v>
      </c>
      <c r="K15" s="27">
        <f>IFERROR(SUMIFS(Data!$O$2:$O$2001,Data!$B$2:$B$2001,A15)/B15,0)</f>
        <v>0.90476190476190477</v>
      </c>
      <c r="L15" s="25">
        <f t="shared" si="7"/>
        <v>10</v>
      </c>
      <c r="M15" s="25">
        <f t="shared" si="4"/>
        <v>11</v>
      </c>
      <c r="N15" s="25">
        <f t="shared" si="5"/>
        <v>1</v>
      </c>
      <c r="O15" s="25" t="str">
        <f t="shared" si="6"/>
        <v/>
      </c>
    </row>
    <row r="16" spans="1:15" x14ac:dyDescent="0.3">
      <c r="A16" s="25" t="s">
        <v>201</v>
      </c>
      <c r="B16" s="26">
        <f>COUNTIFS(Data!$B$2:$B$2001,A16)</f>
        <v>25</v>
      </c>
      <c r="C16" s="27">
        <f t="shared" si="0"/>
        <v>1.2500000000000001E-2</v>
      </c>
      <c r="D16" s="28">
        <f>SUMIFS(Data!$P$2:$P$2001,Data!$B$2:$B$2001,A16)</f>
        <v>4157.51</v>
      </c>
      <c r="E16" s="28">
        <f>SUMIFS(Data!$S$2:$S$2001,Data!$B$2:$B$2001,A16)</f>
        <v>561.91059999999993</v>
      </c>
      <c r="F16" s="27">
        <f t="shared" si="1"/>
        <v>0.13515556186274955</v>
      </c>
      <c r="G16" s="28">
        <f t="shared" si="2"/>
        <v>22.476423999999998</v>
      </c>
      <c r="H16" s="28">
        <f t="shared" si="3"/>
        <v>166.3004</v>
      </c>
      <c r="I16" s="28">
        <f>IFERROR(AVERAGEIFS(Data!$H$2:$H$2001,Data!$B$2:$B$2001,A16),0)</f>
        <v>40.014000000000003</v>
      </c>
      <c r="J16" s="29">
        <f>IFERROR(AVERAGEIFS(Data!$M$2:$M$2001,Data!$B$2:$B$2001,A16),0)</f>
        <v>22.4</v>
      </c>
      <c r="K16" s="27">
        <f>IFERROR(SUMIFS(Data!$O$2:$O$2001,Data!$B$2:$B$2001,A16)/B16,0)</f>
        <v>0.96</v>
      </c>
      <c r="L16" s="25">
        <f t="shared" si="7"/>
        <v>12</v>
      </c>
      <c r="M16" s="25">
        <f t="shared" si="4"/>
        <v>10</v>
      </c>
      <c r="N16" s="25">
        <f t="shared" si="5"/>
        <v>-2</v>
      </c>
      <c r="O16" s="25" t="str">
        <f t="shared" si="6"/>
        <v/>
      </c>
    </row>
    <row r="17" spans="1:15" x14ac:dyDescent="0.3">
      <c r="A17" s="30" t="s">
        <v>2087</v>
      </c>
      <c r="B17" s="31">
        <f>SUM(B5:B16)</f>
        <v>2000</v>
      </c>
      <c r="C17" s="32">
        <f>SUM(C5:C16)</f>
        <v>1.0000000000000002</v>
      </c>
      <c r="D17" s="33">
        <f>SUM(D5:D16)</f>
        <v>264925.66000000015</v>
      </c>
      <c r="E17" s="33">
        <f>SUM(E5:E16)</f>
        <v>50856.567899999973</v>
      </c>
      <c r="F17" s="32">
        <f>E17/D17</f>
        <v>0.19196542871687078</v>
      </c>
      <c r="G17" s="33">
        <f>E17/B17</f>
        <v>25.428283949999987</v>
      </c>
      <c r="H17" s="33">
        <f>D17/B17</f>
        <v>132.46283000000008</v>
      </c>
      <c r="I17" s="33">
        <f>AVERAGE(Data!$H$2:$H$2001)</f>
        <v>21.948124999999983</v>
      </c>
      <c r="J17" s="34">
        <f>AVERAGE(Data!$M$2:$M$2001)</f>
        <v>12.457000000000001</v>
      </c>
      <c r="K17" s="32">
        <f>SUM(Data!$O$2:$O$2001)/B17</f>
        <v>0.92749999999999999</v>
      </c>
      <c r="L17" s="30"/>
      <c r="M17" s="30"/>
      <c r="N17" s="30"/>
      <c r="O17" s="30"/>
    </row>
    <row r="19" spans="1:15" x14ac:dyDescent="0.3">
      <c r="A19" s="52" t="s">
        <v>2088</v>
      </c>
      <c r="B19" s="52"/>
      <c r="C19" s="52"/>
      <c r="D19" s="52"/>
      <c r="E19" s="52"/>
      <c r="F19" s="52"/>
      <c r="G19" s="52"/>
      <c r="H19" s="52"/>
    </row>
    <row r="20" spans="1:15" x14ac:dyDescent="0.3">
      <c r="A20" s="48"/>
      <c r="B20" s="48"/>
      <c r="C20" s="48"/>
      <c r="D20" s="48"/>
      <c r="E20" s="48"/>
      <c r="F20" s="48"/>
      <c r="G20" s="48"/>
      <c r="H20" s="48"/>
    </row>
    <row r="22" spans="1:15" x14ac:dyDescent="0.3">
      <c r="A22" s="47" t="s">
        <v>2126</v>
      </c>
      <c r="B22" s="47"/>
      <c r="C22" s="47"/>
      <c r="D22" s="47"/>
      <c r="E22" s="47"/>
      <c r="F22" s="47"/>
      <c r="G22" s="47"/>
      <c r="H22" s="47"/>
    </row>
    <row r="23" spans="1:15" x14ac:dyDescent="0.3">
      <c r="A23" s="47"/>
      <c r="B23" s="47"/>
      <c r="C23" s="47"/>
      <c r="D23" s="47"/>
      <c r="E23" s="47"/>
      <c r="F23" s="47"/>
      <c r="G23" s="47"/>
      <c r="H23" s="47"/>
    </row>
    <row r="25" spans="1:15" x14ac:dyDescent="0.3">
      <c r="A25" s="47" t="s">
        <v>2127</v>
      </c>
      <c r="B25" s="47"/>
      <c r="C25" s="47"/>
      <c r="D25" s="47"/>
      <c r="E25" s="47"/>
      <c r="F25" s="47"/>
      <c r="G25" s="47"/>
      <c r="H25" s="47"/>
    </row>
    <row r="26" spans="1:15" x14ac:dyDescent="0.3">
      <c r="A26" s="47"/>
      <c r="B26" s="47"/>
      <c r="C26" s="47"/>
      <c r="D26" s="47"/>
      <c r="E26" s="47"/>
      <c r="F26" s="47"/>
      <c r="G26" s="47"/>
      <c r="H26" s="47"/>
    </row>
    <row r="28" spans="1:15" x14ac:dyDescent="0.3">
      <c r="A28" s="49" t="s">
        <v>2128</v>
      </c>
      <c r="B28" s="49"/>
      <c r="C28" s="49"/>
      <c r="D28" s="49"/>
      <c r="E28" s="49"/>
      <c r="F28" s="49"/>
      <c r="G28" s="49"/>
      <c r="H28" s="49"/>
    </row>
    <row r="29" spans="1:15" x14ac:dyDescent="0.3">
      <c r="A29" s="49"/>
      <c r="B29" s="49"/>
      <c r="C29" s="49"/>
      <c r="D29" s="49"/>
      <c r="E29" s="49"/>
      <c r="F29" s="49"/>
      <c r="G29" s="49"/>
      <c r="H29" s="49"/>
    </row>
    <row r="30" spans="1:15" x14ac:dyDescent="0.3">
      <c r="A30" s="49"/>
      <c r="B30" s="49"/>
      <c r="C30" s="49"/>
      <c r="D30" s="49"/>
      <c r="E30" s="49"/>
      <c r="F30" s="49"/>
      <c r="G30" s="49"/>
      <c r="H30" s="49"/>
    </row>
    <row r="32" spans="1:15" x14ac:dyDescent="0.3">
      <c r="A32" s="49" t="s">
        <v>2129</v>
      </c>
      <c r="B32" s="49"/>
      <c r="C32" s="49"/>
      <c r="D32" s="49"/>
      <c r="E32" s="49"/>
      <c r="F32" s="49"/>
      <c r="G32" s="49"/>
      <c r="H32" s="49"/>
    </row>
    <row r="33" spans="1:8" x14ac:dyDescent="0.3">
      <c r="A33" s="49"/>
      <c r="B33" s="49"/>
      <c r="C33" s="49"/>
      <c r="D33" s="49"/>
      <c r="E33" s="49"/>
      <c r="F33" s="49"/>
      <c r="G33" s="49"/>
      <c r="H33" s="49"/>
    </row>
    <row r="34" spans="1:8" x14ac:dyDescent="0.3">
      <c r="A34" s="49"/>
      <c r="B34" s="49"/>
      <c r="C34" s="49"/>
      <c r="D34" s="49"/>
      <c r="E34" s="49"/>
      <c r="F34" s="49"/>
      <c r="G34" s="49"/>
      <c r="H34" s="49"/>
    </row>
    <row r="36" spans="1:8" x14ac:dyDescent="0.3">
      <c r="A36" s="49" t="s">
        <v>2130</v>
      </c>
      <c r="B36" s="47"/>
      <c r="C36" s="47"/>
      <c r="D36" s="47"/>
      <c r="E36" s="47"/>
      <c r="F36" s="47"/>
      <c r="G36" s="47"/>
      <c r="H36" s="47"/>
    </row>
    <row r="37" spans="1:8" x14ac:dyDescent="0.3">
      <c r="A37" s="47"/>
      <c r="B37" s="47"/>
      <c r="C37" s="47"/>
      <c r="D37" s="47"/>
      <c r="E37" s="47"/>
      <c r="F37" s="47"/>
      <c r="G37" s="47"/>
      <c r="H37" s="47"/>
    </row>
    <row r="38" spans="1:8" x14ac:dyDescent="0.3">
      <c r="A38" s="47"/>
      <c r="B38" s="47"/>
      <c r="C38" s="47"/>
      <c r="D38" s="47"/>
      <c r="E38" s="47"/>
      <c r="F38" s="47"/>
      <c r="G38" s="47"/>
      <c r="H38" s="47"/>
    </row>
    <row r="40" spans="1:8" x14ac:dyDescent="0.3">
      <c r="A40" s="47" t="s">
        <v>2131</v>
      </c>
      <c r="B40" s="47"/>
      <c r="C40" s="47"/>
      <c r="D40" s="47"/>
      <c r="E40" s="47"/>
      <c r="F40" s="47"/>
      <c r="G40" s="47"/>
      <c r="H40" s="47"/>
    </row>
    <row r="41" spans="1:8" x14ac:dyDescent="0.3">
      <c r="A41" s="47"/>
      <c r="B41" s="47"/>
      <c r="C41" s="47"/>
      <c r="D41" s="47"/>
      <c r="E41" s="47"/>
      <c r="F41" s="47"/>
      <c r="G41" s="47"/>
      <c r="H41" s="47"/>
    </row>
    <row r="43" spans="1:8" x14ac:dyDescent="0.3">
      <c r="A43" s="49" t="s">
        <v>2132</v>
      </c>
      <c r="B43" s="49"/>
      <c r="C43" s="49"/>
      <c r="D43" s="49"/>
      <c r="E43" s="49"/>
      <c r="F43" s="49"/>
      <c r="G43" s="49"/>
      <c r="H43" s="49"/>
    </row>
    <row r="44" spans="1:8" x14ac:dyDescent="0.3">
      <c r="A44" s="49"/>
      <c r="B44" s="49"/>
      <c r="C44" s="49"/>
      <c r="D44" s="49"/>
      <c r="E44" s="49"/>
      <c r="F44" s="49"/>
      <c r="G44" s="49"/>
      <c r="H44" s="49"/>
    </row>
    <row r="45" spans="1:8" x14ac:dyDescent="0.3">
      <c r="A45" s="49"/>
      <c r="B45" s="49"/>
      <c r="C45" s="49"/>
      <c r="D45" s="49"/>
      <c r="E45" s="49"/>
      <c r="F45" s="49"/>
      <c r="G45" s="49"/>
      <c r="H45" s="49"/>
    </row>
  </sheetData>
  <mergeCells count="11">
    <mergeCell ref="A25:H26"/>
    <mergeCell ref="A1:E1"/>
    <mergeCell ref="A2:F2"/>
    <mergeCell ref="A19:H19"/>
    <mergeCell ref="A20:H20"/>
    <mergeCell ref="A22:H23"/>
    <mergeCell ref="A28:H30"/>
    <mergeCell ref="A32:H34"/>
    <mergeCell ref="A36:H38"/>
    <mergeCell ref="A40:H41"/>
    <mergeCell ref="A43:H45"/>
  </mergeCells>
  <conditionalFormatting sqref="B5:B16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{992A3E62-A7C0-4160-B549-15EB9FE3B065}</x14:id>
        </ext>
      </extLst>
    </cfRule>
  </conditionalFormatting>
  <conditionalFormatting sqref="F5:F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16">
    <cfRule type="colorScale" priority="4">
      <colorScale>
        <cfvo type="min"/>
        <cfvo type="max"/>
        <color rgb="FF63BE7B"/>
        <color rgb="FFF8696B"/>
      </colorScale>
    </cfRule>
  </conditionalFormatting>
  <conditionalFormatting sqref="K5:K16">
    <cfRule type="colorScale" priority="5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2A3E62-A7C0-4160-B549-15EB9FE3B065}">
            <x14:dataBar axisPosition="none">
              <x14:cfvo type="min"/>
              <x14:cfvo type="max"/>
              <x14:negativeFillColor rgb="FF5B9BD5"/>
            </x14:dataBar>
          </x14:cfRule>
          <xm:sqref>B5:B16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zoomScale="73" zoomScaleNormal="100" workbookViewId="0">
      <selection activeCell="J6" sqref="J6"/>
    </sheetView>
  </sheetViews>
  <sheetFormatPr defaultColWidth="8.6640625" defaultRowHeight="14.4" x14ac:dyDescent="0.3"/>
  <cols>
    <col min="1" max="1" width="11" customWidth="1"/>
    <col min="2" max="2" width="10" customWidth="1"/>
    <col min="3" max="5" width="13" customWidth="1"/>
    <col min="6" max="6" width="16" customWidth="1"/>
    <col min="7" max="8" width="18" customWidth="1"/>
    <col min="9" max="9" width="16" customWidth="1"/>
    <col min="10" max="10" width="14" customWidth="1"/>
  </cols>
  <sheetData>
    <row r="1" spans="1:10" ht="22.8" x14ac:dyDescent="0.4">
      <c r="A1" s="50" t="s">
        <v>2089</v>
      </c>
      <c r="B1" s="50"/>
      <c r="C1" s="50"/>
    </row>
    <row r="2" spans="1:10" x14ac:dyDescent="0.3">
      <c r="A2" s="52" t="s">
        <v>2090</v>
      </c>
      <c r="B2" s="52"/>
      <c r="C2" s="52"/>
      <c r="D2" s="52"/>
      <c r="E2" s="52"/>
      <c r="F2" s="52"/>
    </row>
    <row r="4" spans="1:10" ht="31.5" customHeight="1" x14ac:dyDescent="0.3">
      <c r="A4" s="3" t="s">
        <v>2091</v>
      </c>
      <c r="B4" s="3" t="s">
        <v>20</v>
      </c>
      <c r="C4" s="3" t="s">
        <v>3</v>
      </c>
      <c r="D4" s="3" t="s">
        <v>4</v>
      </c>
      <c r="E4" s="3" t="s">
        <v>5</v>
      </c>
      <c r="F4" s="3" t="s">
        <v>2092</v>
      </c>
      <c r="G4" s="3" t="s">
        <v>2093</v>
      </c>
      <c r="H4" s="3" t="s">
        <v>2094</v>
      </c>
      <c r="I4" s="3" t="s">
        <v>6</v>
      </c>
      <c r="J4" s="3" t="s">
        <v>2095</v>
      </c>
    </row>
    <row r="5" spans="1:10" x14ac:dyDescent="0.3">
      <c r="A5" s="35">
        <v>45292</v>
      </c>
      <c r="B5" s="25">
        <f>COUNTIFS(Data!$L$2:$L$2001,A5)</f>
        <v>19</v>
      </c>
      <c r="C5" s="26">
        <f>SUMIFS(Data!$P$2:$P$2001,Data!$L$2:$L$2001,A5)</f>
        <v>2172.5400000000004</v>
      </c>
      <c r="D5" s="26">
        <f>SUMIFS(Data!$S$2:$S$2001,Data!$L$2:$L$2001,A5)</f>
        <v>430.05020000000002</v>
      </c>
      <c r="E5" s="27">
        <f t="shared" ref="E5:E24" si="0">IFERROR(D5/C5,0)</f>
        <v>0.19794811603008458</v>
      </c>
      <c r="F5" s="27" t="str">
        <f>""</f>
        <v/>
      </c>
      <c r="G5" s="29" t="str">
        <f>""</f>
        <v/>
      </c>
      <c r="H5" s="26">
        <f>SUM($C$5:C5)</f>
        <v>2172.5400000000004</v>
      </c>
      <c r="I5" s="29">
        <f>IFERROR(AVERAGEIFS(Data!$M$2:$M$2001,Data!$L$2:$L$2001,A5),0)</f>
        <v>12.315789473684211</v>
      </c>
      <c r="J5" s="25" t="str">
        <f t="shared" ref="J5:J24" si="1">IF(B5=MAX($B$5:$B$24),"Peak month",IF(B5=MIN($B$5:$B$24),"Lowest month",""))</f>
        <v>Lowest month</v>
      </c>
    </row>
    <row r="6" spans="1:10" x14ac:dyDescent="0.3">
      <c r="A6" s="36">
        <f t="shared" ref="A6:A24" si="2">EDATE(A5,1)</f>
        <v>45323</v>
      </c>
      <c r="B6" s="25">
        <f>COUNTIFS(Data!$L$2:$L$2001,A6)</f>
        <v>32</v>
      </c>
      <c r="C6" s="26">
        <f>SUMIFS(Data!$P$2:$P$2001,Data!$L$2:$L$2001,A6)</f>
        <v>3758.1799999999989</v>
      </c>
      <c r="D6" s="26">
        <f>SUMIFS(Data!$S$2:$S$2001,Data!$L$2:$L$2001,A6)</f>
        <v>625.66230000000007</v>
      </c>
      <c r="E6" s="27">
        <f t="shared" si="0"/>
        <v>0.16648013134017003</v>
      </c>
      <c r="F6" s="27">
        <f t="shared" ref="F6:F24" si="3">IFERROR(B6/B5-1,"")</f>
        <v>0.68421052631578938</v>
      </c>
      <c r="G6" s="29" t="str">
        <f>""</f>
        <v/>
      </c>
      <c r="H6" s="26">
        <f>SUM($C$5:C6)</f>
        <v>5930.7199999999993</v>
      </c>
      <c r="I6" s="29">
        <f>IFERROR(AVERAGEIFS(Data!$M$2:$M$2001,Data!$L$2:$L$2001,A6),0)</f>
        <v>12.03125</v>
      </c>
      <c r="J6" s="25" t="str">
        <f t="shared" si="1"/>
        <v/>
      </c>
    </row>
    <row r="7" spans="1:10" x14ac:dyDescent="0.3">
      <c r="A7" s="36">
        <f t="shared" si="2"/>
        <v>45352</v>
      </c>
      <c r="B7" s="25">
        <f>COUNTIFS(Data!$L$2:$L$2001,A7)</f>
        <v>23</v>
      </c>
      <c r="C7" s="26">
        <f>SUMIFS(Data!$P$2:$P$2001,Data!$L$2:$L$2001,A7)</f>
        <v>2771.36</v>
      </c>
      <c r="D7" s="26">
        <f>SUMIFS(Data!$S$2:$S$2001,Data!$L$2:$L$2001,A7)</f>
        <v>497.07580000000007</v>
      </c>
      <c r="E7" s="27">
        <f t="shared" si="0"/>
        <v>0.1793616852375729</v>
      </c>
      <c r="F7" s="27">
        <f t="shared" si="3"/>
        <v>-0.28125</v>
      </c>
      <c r="G7" s="29">
        <f t="shared" ref="G7:G24" si="4">AVERAGE(B5:B7)</f>
        <v>24.666666666666668</v>
      </c>
      <c r="H7" s="26">
        <f>SUM($C$5:C7)</f>
        <v>8702.08</v>
      </c>
      <c r="I7" s="29">
        <f>IFERROR(AVERAGEIFS(Data!$M$2:$M$2001,Data!$L$2:$L$2001,A7),0)</f>
        <v>11.652173913043478</v>
      </c>
      <c r="J7" s="25" t="str">
        <f t="shared" si="1"/>
        <v/>
      </c>
    </row>
    <row r="8" spans="1:10" x14ac:dyDescent="0.3">
      <c r="A8" s="36">
        <f t="shared" si="2"/>
        <v>45383</v>
      </c>
      <c r="B8" s="25">
        <f>COUNTIFS(Data!$L$2:$L$2001,A8)</f>
        <v>50</v>
      </c>
      <c r="C8" s="26">
        <f>SUMIFS(Data!$P$2:$P$2001,Data!$L$2:$L$2001,A8)</f>
        <v>6716.630000000001</v>
      </c>
      <c r="D8" s="26">
        <f>SUMIFS(Data!$S$2:$S$2001,Data!$L$2:$L$2001,A8)</f>
        <v>1223.0632000000005</v>
      </c>
      <c r="E8" s="27">
        <f t="shared" si="0"/>
        <v>0.182094770740684</v>
      </c>
      <c r="F8" s="27">
        <f t="shared" si="3"/>
        <v>1.1739130434782608</v>
      </c>
      <c r="G8" s="29">
        <f t="shared" si="4"/>
        <v>35</v>
      </c>
      <c r="H8" s="26">
        <f>SUM($C$5:C8)</f>
        <v>15418.710000000001</v>
      </c>
      <c r="I8" s="29">
        <f>IFERROR(AVERAGEIFS(Data!$M$2:$M$2001,Data!$L$2:$L$2001,A8),0)</f>
        <v>12.06</v>
      </c>
      <c r="J8" s="25" t="str">
        <f t="shared" si="1"/>
        <v/>
      </c>
    </row>
    <row r="9" spans="1:10" x14ac:dyDescent="0.3">
      <c r="A9" s="36">
        <f t="shared" si="2"/>
        <v>45413</v>
      </c>
      <c r="B9" s="25">
        <f>COUNTIFS(Data!$L$2:$L$2001,A9)</f>
        <v>50</v>
      </c>
      <c r="C9" s="26">
        <f>SUMIFS(Data!$P$2:$P$2001,Data!$L$2:$L$2001,A9)</f>
        <v>6607.42</v>
      </c>
      <c r="D9" s="26">
        <f>SUMIFS(Data!$S$2:$S$2001,Data!$L$2:$L$2001,A9)</f>
        <v>1236.3609000000001</v>
      </c>
      <c r="E9" s="27">
        <f t="shared" si="0"/>
        <v>0.18711704417155262</v>
      </c>
      <c r="F9" s="27">
        <f t="shared" si="3"/>
        <v>0</v>
      </c>
      <c r="G9" s="29">
        <f t="shared" si="4"/>
        <v>41</v>
      </c>
      <c r="H9" s="26">
        <f>SUM($C$5:C9)</f>
        <v>22026.13</v>
      </c>
      <c r="I9" s="29">
        <f>IFERROR(AVERAGEIFS(Data!$M$2:$M$2001,Data!$L$2:$L$2001,A9),0)</f>
        <v>14.08</v>
      </c>
      <c r="J9" s="25" t="str">
        <f t="shared" si="1"/>
        <v/>
      </c>
    </row>
    <row r="10" spans="1:10" x14ac:dyDescent="0.3">
      <c r="A10" s="36">
        <f t="shared" si="2"/>
        <v>45444</v>
      </c>
      <c r="B10" s="25">
        <f>COUNTIFS(Data!$L$2:$L$2001,A10)</f>
        <v>62</v>
      </c>
      <c r="C10" s="26">
        <f>SUMIFS(Data!$P$2:$P$2001,Data!$L$2:$L$2001,A10)</f>
        <v>7950.5499999999975</v>
      </c>
      <c r="D10" s="26">
        <f>SUMIFS(Data!$S$2:$S$2001,Data!$L$2:$L$2001,A10)</f>
        <v>1494.4801</v>
      </c>
      <c r="E10" s="27">
        <f t="shared" si="0"/>
        <v>0.18797191389274961</v>
      </c>
      <c r="F10" s="27">
        <f t="shared" si="3"/>
        <v>0.24</v>
      </c>
      <c r="G10" s="29">
        <f t="shared" si="4"/>
        <v>54</v>
      </c>
      <c r="H10" s="26">
        <f>SUM($C$5:C10)</f>
        <v>29976.68</v>
      </c>
      <c r="I10" s="29">
        <f>IFERROR(AVERAGEIFS(Data!$M$2:$M$2001,Data!$L$2:$L$2001,A10),0)</f>
        <v>11.741935483870968</v>
      </c>
      <c r="J10" s="25" t="str">
        <f t="shared" si="1"/>
        <v/>
      </c>
    </row>
    <row r="11" spans="1:10" x14ac:dyDescent="0.3">
      <c r="A11" s="36">
        <f t="shared" si="2"/>
        <v>45474</v>
      </c>
      <c r="B11" s="25">
        <f>COUNTIFS(Data!$L$2:$L$2001,A11)</f>
        <v>86</v>
      </c>
      <c r="C11" s="26">
        <f>SUMIFS(Data!$P$2:$P$2001,Data!$L$2:$L$2001,A11)</f>
        <v>11224.26</v>
      </c>
      <c r="D11" s="26">
        <f>SUMIFS(Data!$S$2:$S$2001,Data!$L$2:$L$2001,A11)</f>
        <v>2302.3631999999993</v>
      </c>
      <c r="E11" s="27">
        <f t="shared" si="0"/>
        <v>0.20512382998968301</v>
      </c>
      <c r="F11" s="27">
        <f t="shared" si="3"/>
        <v>0.38709677419354849</v>
      </c>
      <c r="G11" s="29">
        <f t="shared" si="4"/>
        <v>66</v>
      </c>
      <c r="H11" s="26">
        <f>SUM($C$5:C11)</f>
        <v>41200.94</v>
      </c>
      <c r="I11" s="29">
        <f>IFERROR(AVERAGEIFS(Data!$M$2:$M$2001,Data!$L$2:$L$2001,A11),0)</f>
        <v>12.44186046511628</v>
      </c>
      <c r="J11" s="25" t="str">
        <f t="shared" si="1"/>
        <v/>
      </c>
    </row>
    <row r="12" spans="1:10" x14ac:dyDescent="0.3">
      <c r="A12" s="36">
        <f t="shared" si="2"/>
        <v>45505</v>
      </c>
      <c r="B12" s="25">
        <f>COUNTIFS(Data!$L$2:$L$2001,A12)</f>
        <v>94</v>
      </c>
      <c r="C12" s="26">
        <f>SUMIFS(Data!$P$2:$P$2001,Data!$L$2:$L$2001,A12)</f>
        <v>11209.589999999998</v>
      </c>
      <c r="D12" s="26">
        <f>SUMIFS(Data!$S$2:$S$2001,Data!$L$2:$L$2001,A12)</f>
        <v>1998.6298999999999</v>
      </c>
      <c r="E12" s="27">
        <f t="shared" si="0"/>
        <v>0.17829643189447608</v>
      </c>
      <c r="F12" s="27">
        <f t="shared" si="3"/>
        <v>9.3023255813953432E-2</v>
      </c>
      <c r="G12" s="29">
        <f t="shared" si="4"/>
        <v>80.666666666666671</v>
      </c>
      <c r="H12" s="26">
        <f>SUM($C$5:C12)</f>
        <v>52410.53</v>
      </c>
      <c r="I12" s="29">
        <f>IFERROR(AVERAGEIFS(Data!$M$2:$M$2001,Data!$L$2:$L$2001,A12),0)</f>
        <v>11.851063829787234</v>
      </c>
      <c r="J12" s="25" t="str">
        <f t="shared" si="1"/>
        <v/>
      </c>
    </row>
    <row r="13" spans="1:10" x14ac:dyDescent="0.3">
      <c r="A13" s="36">
        <f t="shared" si="2"/>
        <v>45536</v>
      </c>
      <c r="B13" s="25">
        <f>COUNTIFS(Data!$L$2:$L$2001,A13)</f>
        <v>76</v>
      </c>
      <c r="C13" s="26">
        <f>SUMIFS(Data!$P$2:$P$2001,Data!$L$2:$L$2001,A13)</f>
        <v>9814.9999999999964</v>
      </c>
      <c r="D13" s="26">
        <f>SUMIFS(Data!$S$2:$S$2001,Data!$L$2:$L$2001,A13)</f>
        <v>1868.7309</v>
      </c>
      <c r="E13" s="27">
        <f t="shared" si="0"/>
        <v>0.19039540499235871</v>
      </c>
      <c r="F13" s="27">
        <f t="shared" si="3"/>
        <v>-0.19148936170212771</v>
      </c>
      <c r="G13" s="29">
        <f t="shared" si="4"/>
        <v>85.333333333333329</v>
      </c>
      <c r="H13" s="26">
        <f>SUM($C$5:C13)</f>
        <v>62225.53</v>
      </c>
      <c r="I13" s="29">
        <f>IFERROR(AVERAGEIFS(Data!$M$2:$M$2001,Data!$L$2:$L$2001,A13),0)</f>
        <v>13.052631578947368</v>
      </c>
      <c r="J13" s="25" t="str">
        <f t="shared" si="1"/>
        <v/>
      </c>
    </row>
    <row r="14" spans="1:10" x14ac:dyDescent="0.3">
      <c r="A14" s="36">
        <f t="shared" si="2"/>
        <v>45566</v>
      </c>
      <c r="B14" s="25">
        <f>COUNTIFS(Data!$L$2:$L$2001,A14)</f>
        <v>93</v>
      </c>
      <c r="C14" s="26">
        <f>SUMIFS(Data!$P$2:$P$2001,Data!$L$2:$L$2001,A14)</f>
        <v>12961.279999999997</v>
      </c>
      <c r="D14" s="26">
        <f>SUMIFS(Data!$S$2:$S$2001,Data!$L$2:$L$2001,A14)</f>
        <v>2459.579299999999</v>
      </c>
      <c r="E14" s="27">
        <f t="shared" si="0"/>
        <v>0.18976361130999403</v>
      </c>
      <c r="F14" s="27">
        <f t="shared" si="3"/>
        <v>0.22368421052631571</v>
      </c>
      <c r="G14" s="29">
        <f t="shared" si="4"/>
        <v>87.666666666666671</v>
      </c>
      <c r="H14" s="26">
        <f>SUM($C$5:C14)</f>
        <v>75186.81</v>
      </c>
      <c r="I14" s="29">
        <f>IFERROR(AVERAGEIFS(Data!$M$2:$M$2001,Data!$L$2:$L$2001,A14),0)</f>
        <v>13.483870967741936</v>
      </c>
      <c r="J14" s="25" t="str">
        <f t="shared" si="1"/>
        <v/>
      </c>
    </row>
    <row r="15" spans="1:10" x14ac:dyDescent="0.3">
      <c r="A15" s="36">
        <f t="shared" si="2"/>
        <v>45597</v>
      </c>
      <c r="B15" s="25">
        <f>COUNTIFS(Data!$L$2:$L$2001,A15)</f>
        <v>162</v>
      </c>
      <c r="C15" s="26">
        <f>SUMIFS(Data!$P$2:$P$2001,Data!$L$2:$L$2001,A15)</f>
        <v>22385.649999999994</v>
      </c>
      <c r="D15" s="26">
        <f>SUMIFS(Data!$S$2:$S$2001,Data!$L$2:$L$2001,A15)</f>
        <v>4342.0319000000009</v>
      </c>
      <c r="E15" s="27">
        <f t="shared" si="0"/>
        <v>0.19396496862945692</v>
      </c>
      <c r="F15" s="27">
        <f t="shared" si="3"/>
        <v>0.74193548387096775</v>
      </c>
      <c r="G15" s="29">
        <f t="shared" si="4"/>
        <v>110.33333333333333</v>
      </c>
      <c r="H15" s="26">
        <f>SUM($C$5:C15)</f>
        <v>97572.459999999992</v>
      </c>
      <c r="I15" s="29">
        <f>IFERROR(AVERAGEIFS(Data!$M$2:$M$2001,Data!$L$2:$L$2001,A15),0)</f>
        <v>12.246913580246913</v>
      </c>
      <c r="J15" s="25" t="str">
        <f t="shared" si="1"/>
        <v/>
      </c>
    </row>
    <row r="16" spans="1:10" x14ac:dyDescent="0.3">
      <c r="A16" s="36">
        <f t="shared" si="2"/>
        <v>45627</v>
      </c>
      <c r="B16" s="25">
        <f>COUNTIFS(Data!$L$2:$L$2001,A16)</f>
        <v>130</v>
      </c>
      <c r="C16" s="26">
        <f>SUMIFS(Data!$P$2:$P$2001,Data!$L$2:$L$2001,A16)</f>
        <v>17841.410000000003</v>
      </c>
      <c r="D16" s="26">
        <f>SUMIFS(Data!$S$2:$S$2001,Data!$L$2:$L$2001,A16)</f>
        <v>3479.1944999999992</v>
      </c>
      <c r="E16" s="27">
        <f t="shared" si="0"/>
        <v>0.1950067007035878</v>
      </c>
      <c r="F16" s="27">
        <f t="shared" si="3"/>
        <v>-0.19753086419753085</v>
      </c>
      <c r="G16" s="29">
        <f t="shared" si="4"/>
        <v>128.33333333333334</v>
      </c>
      <c r="H16" s="26">
        <f>SUM($C$5:C16)</f>
        <v>115413.87</v>
      </c>
      <c r="I16" s="29">
        <f>IFERROR(AVERAGEIFS(Data!$M$2:$M$2001,Data!$L$2:$L$2001,A16),0)</f>
        <v>13.284615384615385</v>
      </c>
      <c r="J16" s="25" t="str">
        <f t="shared" si="1"/>
        <v/>
      </c>
    </row>
    <row r="17" spans="1:10" x14ac:dyDescent="0.3">
      <c r="A17" s="36">
        <f t="shared" si="2"/>
        <v>45658</v>
      </c>
      <c r="B17" s="25">
        <f>COUNTIFS(Data!$L$2:$L$2001,A17)</f>
        <v>110</v>
      </c>
      <c r="C17" s="26">
        <f>SUMIFS(Data!$P$2:$P$2001,Data!$L$2:$L$2001,A17)</f>
        <v>14582.560000000005</v>
      </c>
      <c r="D17" s="26">
        <f>SUMIFS(Data!$S$2:$S$2001,Data!$L$2:$L$2001,A17)</f>
        <v>2686.1614000000022</v>
      </c>
      <c r="E17" s="27">
        <f t="shared" si="0"/>
        <v>0.1842036926301007</v>
      </c>
      <c r="F17" s="27">
        <f t="shared" si="3"/>
        <v>-0.15384615384615385</v>
      </c>
      <c r="G17" s="29">
        <f t="shared" si="4"/>
        <v>134</v>
      </c>
      <c r="H17" s="26">
        <f>SUM($C$5:C17)</f>
        <v>129996.43</v>
      </c>
      <c r="I17" s="29">
        <f>IFERROR(AVERAGEIFS(Data!$M$2:$M$2001,Data!$L$2:$L$2001,A17),0)</f>
        <v>12.136363636363637</v>
      </c>
      <c r="J17" s="25" t="str">
        <f t="shared" si="1"/>
        <v/>
      </c>
    </row>
    <row r="18" spans="1:10" x14ac:dyDescent="0.3">
      <c r="A18" s="36">
        <f t="shared" si="2"/>
        <v>45689</v>
      </c>
      <c r="B18" s="25">
        <f>COUNTIFS(Data!$L$2:$L$2001,A18)</f>
        <v>118</v>
      </c>
      <c r="C18" s="26">
        <f>SUMIFS(Data!$P$2:$P$2001,Data!$L$2:$L$2001,A18)</f>
        <v>15315.649999999996</v>
      </c>
      <c r="D18" s="26">
        <f>SUMIFS(Data!$S$2:$S$2001,Data!$L$2:$L$2001,A18)</f>
        <v>2961.8737999999989</v>
      </c>
      <c r="E18" s="27">
        <f t="shared" si="0"/>
        <v>0.19338871024083207</v>
      </c>
      <c r="F18" s="27">
        <f t="shared" si="3"/>
        <v>7.2727272727272751E-2</v>
      </c>
      <c r="G18" s="29">
        <f t="shared" si="4"/>
        <v>119.33333333333333</v>
      </c>
      <c r="H18" s="26">
        <f>SUM($C$5:C18)</f>
        <v>145312.07999999999</v>
      </c>
      <c r="I18" s="29">
        <f>IFERROR(AVERAGEIFS(Data!$M$2:$M$2001,Data!$L$2:$L$2001,A18),0)</f>
        <v>12.23728813559322</v>
      </c>
      <c r="J18" s="25" t="str">
        <f t="shared" si="1"/>
        <v/>
      </c>
    </row>
    <row r="19" spans="1:10" x14ac:dyDescent="0.3">
      <c r="A19" s="36">
        <f t="shared" si="2"/>
        <v>45717</v>
      </c>
      <c r="B19" s="25">
        <f>COUNTIFS(Data!$L$2:$L$2001,A19)</f>
        <v>130</v>
      </c>
      <c r="C19" s="26">
        <f>SUMIFS(Data!$P$2:$P$2001,Data!$L$2:$L$2001,A19)</f>
        <v>17123.159999999993</v>
      </c>
      <c r="D19" s="26">
        <f>SUMIFS(Data!$S$2:$S$2001,Data!$L$2:$L$2001,A19)</f>
        <v>3258.3267000000001</v>
      </c>
      <c r="E19" s="27">
        <f t="shared" si="0"/>
        <v>0.19028769806507687</v>
      </c>
      <c r="F19" s="27">
        <f t="shared" si="3"/>
        <v>0.10169491525423724</v>
      </c>
      <c r="G19" s="29">
        <f t="shared" si="4"/>
        <v>119.33333333333333</v>
      </c>
      <c r="H19" s="26">
        <f>SUM($C$5:C19)</f>
        <v>162435.24</v>
      </c>
      <c r="I19" s="29">
        <f>IFERROR(AVERAGEIFS(Data!$M$2:$M$2001,Data!$L$2:$L$2001,A19),0)</f>
        <v>12.476923076923077</v>
      </c>
      <c r="J19" s="25" t="str">
        <f t="shared" si="1"/>
        <v/>
      </c>
    </row>
    <row r="20" spans="1:10" x14ac:dyDescent="0.3">
      <c r="A20" s="36">
        <f t="shared" si="2"/>
        <v>45748</v>
      </c>
      <c r="B20" s="25">
        <f>COUNTIFS(Data!$L$2:$L$2001,A20)</f>
        <v>119</v>
      </c>
      <c r="C20" s="26">
        <f>SUMIFS(Data!$P$2:$P$2001,Data!$L$2:$L$2001,A20)</f>
        <v>16952.449999999997</v>
      </c>
      <c r="D20" s="26">
        <f>SUMIFS(Data!$S$2:$S$2001,Data!$L$2:$L$2001,A20)</f>
        <v>3524.8286999999991</v>
      </c>
      <c r="E20" s="27">
        <f t="shared" si="0"/>
        <v>0.20792444159988674</v>
      </c>
      <c r="F20" s="27">
        <f t="shared" si="3"/>
        <v>-8.4615384615384648E-2</v>
      </c>
      <c r="G20" s="29">
        <f t="shared" si="4"/>
        <v>122.33333333333333</v>
      </c>
      <c r="H20" s="26">
        <f>SUM($C$5:C20)</f>
        <v>179387.69</v>
      </c>
      <c r="I20" s="29">
        <f>IFERROR(AVERAGEIFS(Data!$M$2:$M$2001,Data!$L$2:$L$2001,A20),0)</f>
        <v>12.092436974789916</v>
      </c>
      <c r="J20" s="25" t="str">
        <f t="shared" si="1"/>
        <v/>
      </c>
    </row>
    <row r="21" spans="1:10" x14ac:dyDescent="0.3">
      <c r="A21" s="36">
        <f t="shared" si="2"/>
        <v>45778</v>
      </c>
      <c r="B21" s="25">
        <f>COUNTIFS(Data!$L$2:$L$2001,A21)</f>
        <v>144</v>
      </c>
      <c r="C21" s="26">
        <f>SUMIFS(Data!$P$2:$P$2001,Data!$L$2:$L$2001,A21)</f>
        <v>17742.949999999997</v>
      </c>
      <c r="D21" s="26">
        <f>SUMIFS(Data!$S$2:$S$2001,Data!$L$2:$L$2001,A21)</f>
        <v>3299.1081000000004</v>
      </c>
      <c r="E21" s="27">
        <f t="shared" si="0"/>
        <v>0.18593909693709337</v>
      </c>
      <c r="F21" s="27">
        <f t="shared" si="3"/>
        <v>0.2100840336134453</v>
      </c>
      <c r="G21" s="29">
        <f t="shared" si="4"/>
        <v>131</v>
      </c>
      <c r="H21" s="26">
        <f>SUM($C$5:C21)</f>
        <v>197130.64</v>
      </c>
      <c r="I21" s="29">
        <f>IFERROR(AVERAGEIFS(Data!$M$2:$M$2001,Data!$L$2:$L$2001,A21),0)</f>
        <v>13</v>
      </c>
      <c r="J21" s="25" t="str">
        <f t="shared" si="1"/>
        <v/>
      </c>
    </row>
    <row r="22" spans="1:10" x14ac:dyDescent="0.3">
      <c r="A22" s="36">
        <f t="shared" si="2"/>
        <v>45809</v>
      </c>
      <c r="B22" s="25">
        <f>COUNTIFS(Data!$L$2:$L$2001,A22)</f>
        <v>159</v>
      </c>
      <c r="C22" s="26">
        <f>SUMIFS(Data!$P$2:$P$2001,Data!$L$2:$L$2001,A22)</f>
        <v>20909.409999999993</v>
      </c>
      <c r="D22" s="26">
        <f>SUMIFS(Data!$S$2:$S$2001,Data!$L$2:$L$2001,A22)</f>
        <v>3949.9766000000018</v>
      </c>
      <c r="E22" s="27">
        <f t="shared" si="0"/>
        <v>0.18890904143158527</v>
      </c>
      <c r="F22" s="27">
        <f t="shared" si="3"/>
        <v>0.10416666666666674</v>
      </c>
      <c r="G22" s="29">
        <f t="shared" si="4"/>
        <v>140.66666666666666</v>
      </c>
      <c r="H22" s="26">
        <f>SUM($C$5:C22)</f>
        <v>218040.05000000002</v>
      </c>
      <c r="I22" s="29">
        <f>IFERROR(AVERAGEIFS(Data!$M$2:$M$2001,Data!$L$2:$L$2001,A22),0)</f>
        <v>12.20125786163522</v>
      </c>
      <c r="J22" s="25" t="str">
        <f t="shared" si="1"/>
        <v/>
      </c>
    </row>
    <row r="23" spans="1:10" x14ac:dyDescent="0.3">
      <c r="A23" s="36">
        <f t="shared" si="2"/>
        <v>45839</v>
      </c>
      <c r="B23" s="25">
        <f>COUNTIFS(Data!$L$2:$L$2001,A23)</f>
        <v>155</v>
      </c>
      <c r="C23" s="26">
        <f>SUMIFS(Data!$P$2:$P$2001,Data!$L$2:$L$2001,A23)</f>
        <v>21264.659999999989</v>
      </c>
      <c r="D23" s="26">
        <f>SUMIFS(Data!$S$2:$S$2001,Data!$L$2:$L$2001,A23)</f>
        <v>4147.4508000000014</v>
      </c>
      <c r="E23" s="27">
        <f t="shared" si="0"/>
        <v>0.19503960091532166</v>
      </c>
      <c r="F23" s="27">
        <f t="shared" si="3"/>
        <v>-2.515723270440251E-2</v>
      </c>
      <c r="G23" s="29">
        <f t="shared" si="4"/>
        <v>152.66666666666666</v>
      </c>
      <c r="H23" s="26">
        <f>SUM($C$5:C23)</f>
        <v>239304.71000000002</v>
      </c>
      <c r="I23" s="29">
        <f>IFERROR(AVERAGEIFS(Data!$M$2:$M$2001,Data!$L$2:$L$2001,A23),0)</f>
        <v>12.425806451612903</v>
      </c>
      <c r="J23" s="25" t="str">
        <f t="shared" si="1"/>
        <v/>
      </c>
    </row>
    <row r="24" spans="1:10" x14ac:dyDescent="0.3">
      <c r="A24" s="36">
        <f t="shared" si="2"/>
        <v>45870</v>
      </c>
      <c r="B24" s="25">
        <f>COUNTIFS(Data!$L$2:$L$2001,A24)</f>
        <v>188</v>
      </c>
      <c r="C24" s="26">
        <f>SUMIFS(Data!$P$2:$P$2001,Data!$L$2:$L$2001,A24)</f>
        <v>25620.950000000015</v>
      </c>
      <c r="D24" s="26">
        <f>SUMIFS(Data!$S$2:$S$2001,Data!$L$2:$L$2001,A24)</f>
        <v>5071.6196000000018</v>
      </c>
      <c r="E24" s="27">
        <f t="shared" si="0"/>
        <v>0.19794814790240015</v>
      </c>
      <c r="F24" s="27">
        <f t="shared" si="3"/>
        <v>0.2129032258064516</v>
      </c>
      <c r="G24" s="29">
        <f t="shared" si="4"/>
        <v>167.33333333333334</v>
      </c>
      <c r="H24" s="26">
        <f>SUM($C$5:C24)</f>
        <v>264925.66000000003</v>
      </c>
      <c r="I24" s="29">
        <f>IFERROR(AVERAGEIFS(Data!$M$2:$M$2001,Data!$L$2:$L$2001,A24),0)</f>
        <v>12.090425531914894</v>
      </c>
      <c r="J24" s="25" t="str">
        <f t="shared" si="1"/>
        <v>Peak month</v>
      </c>
    </row>
  </sheetData>
  <mergeCells count="2">
    <mergeCell ref="A1:C1"/>
    <mergeCell ref="A2:F2"/>
  </mergeCells>
  <conditionalFormatting sqref="B5:B24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{F3ABDABC-B362-4513-B2B3-DABE2D2C2C83}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ABDABC-B362-4513-B2B3-DABE2D2C2C83}">
            <x14:dataBar axisPosition="none">
              <x14:cfvo type="min"/>
              <x14:cfvo type="max"/>
              <x14:negativeFillColor rgb="FF5B9BD5"/>
            </x14:dataBar>
          </x14:cfRule>
          <xm:sqref>B5:B24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zoomScale="72" zoomScaleNormal="100" workbookViewId="0">
      <selection activeCell="B5" sqref="B5"/>
    </sheetView>
  </sheetViews>
  <sheetFormatPr defaultColWidth="8.6640625" defaultRowHeight="14.4" x14ac:dyDescent="0.3"/>
  <cols>
    <col min="1" max="1" width="24" customWidth="1"/>
    <col min="2" max="2" width="17" customWidth="1"/>
    <col min="3" max="3" width="16" customWidth="1"/>
    <col min="4" max="4" width="22" customWidth="1"/>
    <col min="5" max="6" width="18" customWidth="1"/>
  </cols>
  <sheetData>
    <row r="1" spans="1:6" ht="22.8" x14ac:dyDescent="0.4">
      <c r="A1" s="1" t="s">
        <v>2096</v>
      </c>
    </row>
    <row r="2" spans="1:6" x14ac:dyDescent="0.3">
      <c r="A2" s="2" t="s">
        <v>2097</v>
      </c>
    </row>
    <row r="4" spans="1:6" ht="31.5" customHeight="1" x14ac:dyDescent="0.3">
      <c r="A4" s="3" t="s">
        <v>2098</v>
      </c>
      <c r="B4" s="3" t="s">
        <v>20</v>
      </c>
      <c r="C4" s="3" t="s">
        <v>2099</v>
      </c>
      <c r="D4" s="3" t="s">
        <v>8</v>
      </c>
      <c r="E4" s="3" t="s">
        <v>2100</v>
      </c>
      <c r="F4" s="3" t="s">
        <v>2101</v>
      </c>
    </row>
    <row r="5" spans="1:6" x14ac:dyDescent="0.3">
      <c r="A5" s="25" t="s">
        <v>2102</v>
      </c>
      <c r="B5" s="26">
        <f>COUNTIFS(Data!$T$2:$T$2001,A5)</f>
        <v>467</v>
      </c>
      <c r="C5" s="27">
        <f>B5/SUM($B$5:$B$8)</f>
        <v>0.23350000000000001</v>
      </c>
      <c r="D5" s="37">
        <f>IFERROR(AVERAGEIFS(Data!$J$2:$J$2001,Data!$T$2:$T$2001,A5),0)</f>
        <v>4.4218415417558887</v>
      </c>
      <c r="E5" s="28">
        <f>IFERROR(AVERAGEIFS(Data!$S$2:$S$2001,Data!$T$2:$T$2001,A5),0)</f>
        <v>24.822757173447553</v>
      </c>
      <c r="F5" s="27">
        <f>IFERROR(1-SUMIFS(Data!$O$2:$O$2001,Data!$T$2:$T$2001,A5)/B5,0)</f>
        <v>0</v>
      </c>
    </row>
    <row r="6" spans="1:6" x14ac:dyDescent="0.3">
      <c r="A6" s="25" t="s">
        <v>2103</v>
      </c>
      <c r="B6" s="26">
        <f>COUNTIFS(Data!$T$2:$T$2001,A6)</f>
        <v>950</v>
      </c>
      <c r="C6" s="27">
        <f>B6/SUM($B$5:$B$8)</f>
        <v>0.47499999999999998</v>
      </c>
      <c r="D6" s="37">
        <f>IFERROR(AVERAGEIFS(Data!$J$2:$J$2001,Data!$T$2:$T$2001,A6),0)</f>
        <v>4.3884210526315792</v>
      </c>
      <c r="E6" s="28">
        <f>IFERROR(AVERAGEIFS(Data!$S$2:$S$2001,Data!$T$2:$T$2001,A6),0)</f>
        <v>26.402889052631568</v>
      </c>
      <c r="F6" s="27">
        <f>IFERROR(1-SUMIFS(Data!$O$2:$O$2001,Data!$T$2:$T$2001,A6)/B6,0)</f>
        <v>1.3684210526315743E-2</v>
      </c>
    </row>
    <row r="7" spans="1:6" x14ac:dyDescent="0.3">
      <c r="A7" s="25" t="s">
        <v>2104</v>
      </c>
      <c r="B7" s="26">
        <f>COUNTIFS(Data!$T$2:$T$2001,A7)</f>
        <v>403</v>
      </c>
      <c r="C7" s="27">
        <f>B7/SUM($B$5:$B$8)</f>
        <v>0.20150000000000001</v>
      </c>
      <c r="D7" s="37">
        <f>IFERROR(AVERAGEIFS(Data!$J$2:$J$2001,Data!$T$2:$T$2001,A7),0)</f>
        <v>4.0421836228287837</v>
      </c>
      <c r="E7" s="28">
        <f>IFERROR(AVERAGEIFS(Data!$S$2:$S$2001,Data!$T$2:$T$2001,A7),0)</f>
        <v>23.769244168734481</v>
      </c>
      <c r="F7" s="27">
        <f>IFERROR(1-SUMIFS(Data!$O$2:$O$2001,Data!$T$2:$T$2001,A7)/B7,0)</f>
        <v>8.9330024813895736E-2</v>
      </c>
    </row>
    <row r="8" spans="1:6" x14ac:dyDescent="0.3">
      <c r="A8" s="25" t="s">
        <v>2105</v>
      </c>
      <c r="B8" s="26">
        <f>COUNTIFS(Data!$T$2:$T$2001,A8)</f>
        <v>180</v>
      </c>
      <c r="C8" s="27">
        <f>B8/SUM($B$5:$B$8)</f>
        <v>0.09</v>
      </c>
      <c r="D8" s="37">
        <f>IFERROR(AVERAGEIFS(Data!$J$2:$J$2001,Data!$T$2:$T$2001,A8),0)</f>
        <v>3.1444444444444444</v>
      </c>
      <c r="E8" s="28">
        <f>IFERROR(AVERAGEIFS(Data!$S$2:$S$2001,Data!$T$2:$T$2001,A8),0)</f>
        <v>25.569946111111122</v>
      </c>
      <c r="F8" s="27">
        <f>IFERROR(1-SUMIFS(Data!$O$2:$O$2001,Data!$T$2:$T$2001,A8)/B8,0)</f>
        <v>0.53333333333333333</v>
      </c>
    </row>
    <row r="11" spans="1:6" ht="31.5" customHeight="1" x14ac:dyDescent="0.3">
      <c r="A11" s="3" t="s">
        <v>2106</v>
      </c>
      <c r="B11" s="3" t="s">
        <v>20</v>
      </c>
      <c r="C11" s="3" t="s">
        <v>2099</v>
      </c>
      <c r="D11" s="3" t="s">
        <v>8</v>
      </c>
      <c r="E11" s="3" t="s">
        <v>2100</v>
      </c>
      <c r="F11" s="3" t="s">
        <v>2107</v>
      </c>
    </row>
    <row r="12" spans="1:6" x14ac:dyDescent="0.3">
      <c r="A12" s="25" t="s">
        <v>2108</v>
      </c>
      <c r="B12" s="26">
        <f>COUNTIFS(Data!$O$2:$O$2001,1)</f>
        <v>1855</v>
      </c>
      <c r="C12" s="27">
        <f>B12/SUM($B$12:$B$13)</f>
        <v>0.92749999999999999</v>
      </c>
      <c r="D12" s="37">
        <f>IFERROR(AVERAGEIFS(Data!$J$2:$J$2001,Data!$O$2:$O$2001,1),0)</f>
        <v>4.3358490566037737</v>
      </c>
      <c r="E12" s="28">
        <f>IFERROR(AVERAGEIFS(Data!$S$2:$S$2001,Data!$O$2:$O$2001,1),0)</f>
        <v>25.217931698113226</v>
      </c>
      <c r="F12" s="29">
        <f>IFERROR(AVERAGEIFS(Data!$N$2:$N$2001,Data!$O$2:$O$2001,1),0)</f>
        <v>0</v>
      </c>
    </row>
    <row r="13" spans="1:6" x14ac:dyDescent="0.3">
      <c r="A13" s="25" t="s">
        <v>2109</v>
      </c>
      <c r="B13" s="26">
        <f>COUNTIFS(Data!$O$2:$O$2001,0)</f>
        <v>145</v>
      </c>
      <c r="C13" s="27">
        <f>B13/SUM($B$12:$B$13)</f>
        <v>7.2499999999999995E-2</v>
      </c>
      <c r="D13" s="37">
        <f>IFERROR(AVERAGEIFS(Data!$J$2:$J$2001,Data!$O$2:$O$2001,0),0)</f>
        <v>2.6620689655172414</v>
      </c>
      <c r="E13" s="28">
        <f>IFERROR(AVERAGEIFS(Data!$S$2:$S$2001,Data!$O$2:$O$2001,0),0)</f>
        <v>28.119342068965523</v>
      </c>
      <c r="F13" s="29">
        <f>IFERROR(AVERAGEIFS(Data!$N$2:$N$2001,Data!$O$2:$O$2001,0),0)</f>
        <v>4.8896551724137929</v>
      </c>
    </row>
    <row r="14" spans="1:6" x14ac:dyDescent="0.3">
      <c r="A14" s="12" t="s">
        <v>2110</v>
      </c>
      <c r="D14" s="38">
        <f>D12-D13</f>
        <v>1.6737800910865324</v>
      </c>
    </row>
    <row r="17" spans="1:6" ht="31.5" customHeight="1" x14ac:dyDescent="0.3">
      <c r="A17" s="3" t="s">
        <v>2080</v>
      </c>
      <c r="B17" s="3" t="s">
        <v>6</v>
      </c>
      <c r="C17" s="3" t="s">
        <v>7</v>
      </c>
      <c r="D17" s="3" t="s">
        <v>2111</v>
      </c>
      <c r="E17" s="3" t="s">
        <v>8</v>
      </c>
      <c r="F17" s="3" t="s">
        <v>2112</v>
      </c>
    </row>
    <row r="18" spans="1:6" x14ac:dyDescent="0.3">
      <c r="A18" s="25" t="s">
        <v>19</v>
      </c>
      <c r="B18" s="29">
        <f>IFERROR(AVERAGEIFS(Data!$M$2:$M$2001,Data!$B$2:$B$2001,A18),0)</f>
        <v>8.6655665566556657</v>
      </c>
      <c r="C18" s="27">
        <f>IFERROR(SUMIFS(Data!$O$2:$O$2001,Data!$B$2:$B$2001,A18)/COUNTIFS(Data!$B$2:$B$2001,A18),0)</f>
        <v>0.94609460946094615</v>
      </c>
      <c r="D18" s="29">
        <f>IFERROR(AVERAGEIFS(Data!$N$2:$N$2001,Data!$B$2:$B$2001,A18,Data!$O$2:$O$2001,0),0)</f>
        <v>3.4285714285714284</v>
      </c>
      <c r="E18" s="37">
        <f>IFERROR(AVERAGEIFS(Data!$J$2:$J$2001,Data!$B$2:$B$2001,A18),0)</f>
        <v>4.3421342134213425</v>
      </c>
      <c r="F18" s="25" t="str">
        <f t="shared" ref="F18:F29" si="0">IF(B18&gt;=$B$30*1.25,"High",IF(B18&gt;=$B$30,"Medium","Low"))</f>
        <v>Low</v>
      </c>
    </row>
    <row r="19" spans="1:6" x14ac:dyDescent="0.3">
      <c r="A19" s="25" t="s">
        <v>55</v>
      </c>
      <c r="B19" s="29">
        <f>IFERROR(AVERAGEIFS(Data!$M$2:$M$2001,Data!$B$2:$B$2001,A19),0)</f>
        <v>16.337301587301589</v>
      </c>
      <c r="C19" s="27">
        <f>IFERROR(SUMIFS(Data!$O$2:$O$2001,Data!$B$2:$B$2001,A19)/COUNTIFS(Data!$B$2:$B$2001,A19),0)</f>
        <v>0.90079365079365081</v>
      </c>
      <c r="D19" s="29">
        <f>IFERROR(AVERAGEIFS(Data!$N$2:$N$2001,Data!$B$2:$B$2001,A19,Data!$O$2:$O$2001,0),0)</f>
        <v>5.88</v>
      </c>
      <c r="E19" s="37">
        <f>IFERROR(AVERAGEIFS(Data!$J$2:$J$2001,Data!$B$2:$B$2001,A19),0)</f>
        <v>4.0079365079365079</v>
      </c>
      <c r="F19" s="25" t="str">
        <f t="shared" si="0"/>
        <v>High</v>
      </c>
    </row>
    <row r="20" spans="1:6" x14ac:dyDescent="0.3">
      <c r="A20" s="25" t="s">
        <v>62</v>
      </c>
      <c r="B20" s="29">
        <f>IFERROR(AVERAGEIFS(Data!$M$2:$M$2001,Data!$B$2:$B$2001,A20),0)</f>
        <v>12.539419087136929</v>
      </c>
      <c r="C20" s="27">
        <f>IFERROR(SUMIFS(Data!$O$2:$O$2001,Data!$B$2:$B$2001,A20)/COUNTIFS(Data!$B$2:$B$2001,A20),0)</f>
        <v>0.95850622406639008</v>
      </c>
      <c r="D20" s="29">
        <f>IFERROR(AVERAGEIFS(Data!$N$2:$N$2001,Data!$B$2:$B$2001,A20,Data!$O$2:$O$2001,0),0)</f>
        <v>4.4000000000000004</v>
      </c>
      <c r="E20" s="37">
        <f>IFERROR(AVERAGEIFS(Data!$J$2:$J$2001,Data!$B$2:$B$2001,A20),0)</f>
        <v>4.3526970954356843</v>
      </c>
      <c r="F20" s="25" t="str">
        <f t="shared" si="0"/>
        <v>Medium</v>
      </c>
    </row>
    <row r="21" spans="1:6" x14ac:dyDescent="0.3">
      <c r="A21" s="25" t="s">
        <v>52</v>
      </c>
      <c r="B21" s="29">
        <f>IFERROR(AVERAGEIFS(Data!$M$2:$M$2001,Data!$B$2:$B$2001,A21),0)</f>
        <v>16.372727272727271</v>
      </c>
      <c r="C21" s="27">
        <f>IFERROR(SUMIFS(Data!$O$2:$O$2001,Data!$B$2:$B$2001,A21)/COUNTIFS(Data!$B$2:$B$2001,A21),0)</f>
        <v>0.87272727272727268</v>
      </c>
      <c r="D21" s="29">
        <f>IFERROR(AVERAGEIFS(Data!$N$2:$N$2001,Data!$B$2:$B$2001,A21,Data!$O$2:$O$2001,0),0)</f>
        <v>5.8571428571428568</v>
      </c>
      <c r="E21" s="37">
        <f>IFERROR(AVERAGEIFS(Data!$J$2:$J$2001,Data!$B$2:$B$2001,A21),0)</f>
        <v>3.8909090909090911</v>
      </c>
      <c r="F21" s="25" t="str">
        <f t="shared" si="0"/>
        <v>High</v>
      </c>
    </row>
    <row r="22" spans="1:6" x14ac:dyDescent="0.3">
      <c r="A22" s="25" t="s">
        <v>48</v>
      </c>
      <c r="B22" s="29">
        <f>IFERROR(AVERAGEIFS(Data!$M$2:$M$2001,Data!$B$2:$B$2001,A22),0)</f>
        <v>13.165217391304347</v>
      </c>
      <c r="C22" s="27">
        <f>IFERROR(SUMIFS(Data!$O$2:$O$2001,Data!$B$2:$B$2001,A22)/COUNTIFS(Data!$B$2:$B$2001,A22),0)</f>
        <v>0.88695652173913042</v>
      </c>
      <c r="D22" s="29">
        <f>IFERROR(AVERAGEIFS(Data!$N$2:$N$2001,Data!$B$2:$B$2001,A22,Data!$O$2:$O$2001,0),0)</f>
        <v>3.9230769230769229</v>
      </c>
      <c r="E22" s="37">
        <f>IFERROR(AVERAGEIFS(Data!$J$2:$J$2001,Data!$B$2:$B$2001,A22),0)</f>
        <v>4.2260869565217387</v>
      </c>
      <c r="F22" s="25" t="str">
        <f t="shared" si="0"/>
        <v>Medium</v>
      </c>
    </row>
    <row r="23" spans="1:6" x14ac:dyDescent="0.3">
      <c r="A23" s="25" t="s">
        <v>134</v>
      </c>
      <c r="B23" s="29">
        <f>IFERROR(AVERAGEIFS(Data!$M$2:$M$2001,Data!$B$2:$B$2001,A23),0)</f>
        <v>14.791666666666666</v>
      </c>
      <c r="C23" s="27">
        <f>IFERROR(SUMIFS(Data!$O$2:$O$2001,Data!$B$2:$B$2001,A23)/COUNTIFS(Data!$B$2:$B$2001,A23),0)</f>
        <v>0.92708333333333337</v>
      </c>
      <c r="D23" s="29">
        <f>IFERROR(AVERAGEIFS(Data!$N$2:$N$2001,Data!$B$2:$B$2001,A23,Data!$O$2:$O$2001,0),0)</f>
        <v>4.5714285714285712</v>
      </c>
      <c r="E23" s="37">
        <f>IFERROR(AVERAGEIFS(Data!$J$2:$J$2001,Data!$B$2:$B$2001,A23),0)</f>
        <v>4.15625</v>
      </c>
      <c r="F23" s="25" t="str">
        <f t="shared" si="0"/>
        <v>Medium</v>
      </c>
    </row>
    <row r="24" spans="1:6" x14ac:dyDescent="0.3">
      <c r="A24" s="25" t="s">
        <v>93</v>
      </c>
      <c r="B24" s="29">
        <f>IFERROR(AVERAGEIFS(Data!$M$2:$M$2001,Data!$B$2:$B$2001,A24),0)</f>
        <v>20.246153846153845</v>
      </c>
      <c r="C24" s="27">
        <f>IFERROR(SUMIFS(Data!$O$2:$O$2001,Data!$B$2:$B$2001,A24)/COUNTIFS(Data!$B$2:$B$2001,A24),0)</f>
        <v>0.93846153846153846</v>
      </c>
      <c r="D24" s="29">
        <f>IFERROR(AVERAGEIFS(Data!$N$2:$N$2001,Data!$B$2:$B$2001,A24,Data!$O$2:$O$2001,0),0)</f>
        <v>6.5</v>
      </c>
      <c r="E24" s="37">
        <f>IFERROR(AVERAGEIFS(Data!$J$2:$J$2001,Data!$B$2:$B$2001,A24),0)</f>
        <v>3.9076923076923076</v>
      </c>
      <c r="F24" s="25" t="str">
        <f t="shared" si="0"/>
        <v>High</v>
      </c>
    </row>
    <row r="25" spans="1:6" x14ac:dyDescent="0.3">
      <c r="A25" s="25" t="s">
        <v>103</v>
      </c>
      <c r="B25" s="29">
        <f>IFERROR(AVERAGEIFS(Data!$M$2:$M$2001,Data!$B$2:$B$2001,A25),0)</f>
        <v>13.673076923076923</v>
      </c>
      <c r="C25" s="27">
        <f>IFERROR(SUMIFS(Data!$O$2:$O$2001,Data!$B$2:$B$2001,A25)/COUNTIFS(Data!$B$2:$B$2001,A25),0)</f>
        <v>0.96153846153846156</v>
      </c>
      <c r="D25" s="29">
        <f>IFERROR(AVERAGEIFS(Data!$N$2:$N$2001,Data!$B$2:$B$2001,A25,Data!$O$2:$O$2001,0),0)</f>
        <v>2</v>
      </c>
      <c r="E25" s="37">
        <f>IFERROR(AVERAGEIFS(Data!$J$2:$J$2001,Data!$B$2:$B$2001,A25),0)</f>
        <v>4.3269230769230766</v>
      </c>
      <c r="F25" s="25" t="str">
        <f t="shared" si="0"/>
        <v>Medium</v>
      </c>
    </row>
    <row r="26" spans="1:6" x14ac:dyDescent="0.3">
      <c r="A26" s="25" t="s">
        <v>156</v>
      </c>
      <c r="B26" s="29">
        <f>IFERROR(AVERAGEIFS(Data!$M$2:$M$2001,Data!$B$2:$B$2001,A26),0)</f>
        <v>17.7</v>
      </c>
      <c r="C26" s="27">
        <f>IFERROR(SUMIFS(Data!$O$2:$O$2001,Data!$B$2:$B$2001,A26)/COUNTIFS(Data!$B$2:$B$2001,A26),0)</f>
        <v>0.81666666666666665</v>
      </c>
      <c r="D26" s="29">
        <f>IFERROR(AVERAGEIFS(Data!$N$2:$N$2001,Data!$B$2:$B$2001,A26,Data!$O$2:$O$2001,0),0)</f>
        <v>6.8181818181818183</v>
      </c>
      <c r="E26" s="37">
        <f>IFERROR(AVERAGEIFS(Data!$J$2:$J$2001,Data!$B$2:$B$2001,A26),0)</f>
        <v>3.95</v>
      </c>
      <c r="F26" s="25" t="str">
        <f t="shared" si="0"/>
        <v>High</v>
      </c>
    </row>
    <row r="27" spans="1:6" x14ac:dyDescent="0.3">
      <c r="A27" s="25" t="s">
        <v>77</v>
      </c>
      <c r="B27" s="29">
        <f>IFERROR(AVERAGEIFS(Data!$M$2:$M$2001,Data!$B$2:$B$2001,A27),0)</f>
        <v>15.969696969696969</v>
      </c>
      <c r="C27" s="27">
        <f>IFERROR(SUMIFS(Data!$O$2:$O$2001,Data!$B$2:$B$2001,A27)/COUNTIFS(Data!$B$2:$B$2001,A27),0)</f>
        <v>0.84848484848484851</v>
      </c>
      <c r="D27" s="29">
        <f>IFERROR(AVERAGEIFS(Data!$N$2:$N$2001,Data!$B$2:$B$2001,A27,Data!$O$2:$O$2001,0),0)</f>
        <v>4.4000000000000004</v>
      </c>
      <c r="E27" s="37">
        <f>IFERROR(AVERAGEIFS(Data!$J$2:$J$2001,Data!$B$2:$B$2001,A27),0)</f>
        <v>4</v>
      </c>
      <c r="F27" s="25" t="str">
        <f t="shared" si="0"/>
        <v>High</v>
      </c>
    </row>
    <row r="28" spans="1:6" x14ac:dyDescent="0.3">
      <c r="A28" s="25" t="s">
        <v>174</v>
      </c>
      <c r="B28" s="29">
        <f>IFERROR(AVERAGEIFS(Data!$M$2:$M$2001,Data!$B$2:$B$2001,A28),0)</f>
        <v>23.5</v>
      </c>
      <c r="C28" s="27">
        <f>IFERROR(SUMIFS(Data!$O$2:$O$2001,Data!$B$2:$B$2001,A28)/COUNTIFS(Data!$B$2:$B$2001,A28),0)</f>
        <v>0.90476190476190477</v>
      </c>
      <c r="D28" s="29">
        <f>IFERROR(AVERAGEIFS(Data!$N$2:$N$2001,Data!$B$2:$B$2001,A28,Data!$O$2:$O$2001,0),0)</f>
        <v>14.25</v>
      </c>
      <c r="E28" s="37">
        <f>IFERROR(AVERAGEIFS(Data!$J$2:$J$2001,Data!$B$2:$B$2001,A28),0)</f>
        <v>3.8571428571428572</v>
      </c>
      <c r="F28" s="25" t="str">
        <f t="shared" si="0"/>
        <v>High</v>
      </c>
    </row>
    <row r="29" spans="1:6" x14ac:dyDescent="0.3">
      <c r="A29" s="25" t="s">
        <v>201</v>
      </c>
      <c r="B29" s="29">
        <f>IFERROR(AVERAGEIFS(Data!$M$2:$M$2001,Data!$B$2:$B$2001,A29),0)</f>
        <v>22.4</v>
      </c>
      <c r="C29" s="27">
        <f>IFERROR(SUMIFS(Data!$O$2:$O$2001,Data!$B$2:$B$2001,A29)/COUNTIFS(Data!$B$2:$B$2001,A29),0)</f>
        <v>0.96</v>
      </c>
      <c r="D29" s="29">
        <f>IFERROR(AVERAGEIFS(Data!$N$2:$N$2001,Data!$B$2:$B$2001,A29,Data!$O$2:$O$2001,0),0)</f>
        <v>1</v>
      </c>
      <c r="E29" s="37">
        <f>IFERROR(AVERAGEIFS(Data!$J$2:$J$2001,Data!$B$2:$B$2001,A29),0)</f>
        <v>4</v>
      </c>
      <c r="F29" s="25" t="str">
        <f t="shared" si="0"/>
        <v>High</v>
      </c>
    </row>
    <row r="30" spans="1:6" x14ac:dyDescent="0.3">
      <c r="A30" s="12" t="s">
        <v>2113</v>
      </c>
      <c r="B30" s="39">
        <f>AVERAGE(Data!$M$2:$M$2001)</f>
        <v>12.457000000000001</v>
      </c>
    </row>
    <row r="31" spans="1:6" x14ac:dyDescent="0.3">
      <c r="A31" s="2" t="s">
        <v>2114</v>
      </c>
    </row>
  </sheetData>
  <conditionalFormatting sqref="B18:B29">
    <cfRule type="colorScale" priority="2">
      <colorScale>
        <cfvo type="min"/>
        <cfvo type="max"/>
        <color rgb="FF63BE7B"/>
        <color rgb="FFF8696B"/>
      </colorScale>
    </cfRule>
  </conditionalFormatting>
  <conditionalFormatting sqref="C18:C29">
    <cfRule type="colorScale" priority="3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zoomScaleNormal="100" workbookViewId="0">
      <selection activeCell="H19" sqref="H19"/>
    </sheetView>
  </sheetViews>
  <sheetFormatPr defaultColWidth="8.6640625" defaultRowHeight="14.4" x14ac:dyDescent="0.3"/>
  <cols>
    <col min="1" max="1" width="24" customWidth="1"/>
    <col min="2" max="2" width="10" customWidth="1"/>
    <col min="3" max="5" width="13" customWidth="1"/>
    <col min="6" max="6" width="11" customWidth="1"/>
    <col min="7" max="7" width="12" customWidth="1"/>
    <col min="8" max="9" width="11" customWidth="1"/>
  </cols>
  <sheetData>
    <row r="1" spans="1:9" ht="22.8" x14ac:dyDescent="0.4">
      <c r="A1" s="50" t="s">
        <v>2115</v>
      </c>
      <c r="B1" s="50"/>
      <c r="C1" s="50"/>
    </row>
    <row r="2" spans="1:9" x14ac:dyDescent="0.3">
      <c r="A2" s="2" t="s">
        <v>2116</v>
      </c>
    </row>
    <row r="4" spans="1:9" ht="31.5" customHeight="1" x14ac:dyDescent="0.3">
      <c r="A4" s="3" t="s">
        <v>2072</v>
      </c>
      <c r="B4" s="3" t="s">
        <v>20</v>
      </c>
      <c r="C4" s="3" t="s">
        <v>3</v>
      </c>
      <c r="D4" s="3" t="s">
        <v>4</v>
      </c>
      <c r="E4" s="3" t="s">
        <v>5</v>
      </c>
      <c r="F4" s="3" t="s">
        <v>2117</v>
      </c>
      <c r="G4" s="3" t="s">
        <v>2118</v>
      </c>
      <c r="H4" s="3" t="s">
        <v>2073</v>
      </c>
      <c r="I4" s="3" t="s">
        <v>2119</v>
      </c>
    </row>
    <row r="5" spans="1:9" x14ac:dyDescent="0.3">
      <c r="A5" s="25" t="s">
        <v>67</v>
      </c>
      <c r="B5" s="26">
        <f>COUNTIFS(Data!$F$2:$F$2001,A5)</f>
        <v>353</v>
      </c>
      <c r="C5" s="26">
        <f>SUMIFS(Data!$P$2:$P$2001,Data!$F$2:$F$2001,A5)</f>
        <v>40417.89999999998</v>
      </c>
      <c r="D5" s="26">
        <f>SUMIFS(Data!$S$2:$S$2001,Data!$F$2:$F$2001,A5)</f>
        <v>8067.846999999997</v>
      </c>
      <c r="E5" s="27">
        <f t="shared" ref="E5:E13" si="0">IFERROR(D5/C5,0)</f>
        <v>0.19961074177530255</v>
      </c>
      <c r="F5" s="28">
        <f>IFERROR(AVERAGEIFS(Data!$G$2:$G$2001,Data!$F$2:$F$2001,A5),0)</f>
        <v>93.422521246458942</v>
      </c>
      <c r="G5" s="37">
        <f>IFERROR(AVERAGEIFS(Data!$J$2:$J$2001,Data!$F$2:$F$2001,A5),0)</f>
        <v>4.2662889518413598</v>
      </c>
      <c r="H5" s="40">
        <f>INDEX(Assumptions!$B$8:$B$16,MATCH(A5,Assumptions!$A$8:$A$16,0))</f>
        <v>0.62</v>
      </c>
      <c r="I5" s="25">
        <f t="shared" ref="I5:I13" si="1">RANK(D5,$D$5:$D$13)</f>
        <v>2</v>
      </c>
    </row>
    <row r="6" spans="1:9" x14ac:dyDescent="0.3">
      <c r="A6" s="25" t="s">
        <v>49</v>
      </c>
      <c r="B6" s="26">
        <f>COUNTIFS(Data!$F$2:$F$2001,A6)</f>
        <v>296</v>
      </c>
      <c r="C6" s="26">
        <f>SUMIFS(Data!$P$2:$P$2001,Data!$F$2:$F$2001,A6)</f>
        <v>35451.860000000022</v>
      </c>
      <c r="D6" s="26">
        <f>SUMIFS(Data!$S$2:$S$2001,Data!$F$2:$F$2001,A6)</f>
        <v>8255.5889999999999</v>
      </c>
      <c r="E6" s="27">
        <f t="shared" si="0"/>
        <v>0.23286758438062191</v>
      </c>
      <c r="F6" s="28">
        <f>IFERROR(AVERAGEIFS(Data!$G$2:$G$2001,Data!$F$2:$F$2001,A6),0)</f>
        <v>97.796452702702652</v>
      </c>
      <c r="G6" s="37">
        <f>IFERROR(AVERAGEIFS(Data!$J$2:$J$2001,Data!$F$2:$F$2001,A6),0)</f>
        <v>4.1824324324324325</v>
      </c>
      <c r="H6" s="40">
        <f>INDEX(Assumptions!$B$8:$B$16,MATCH(A6,Assumptions!$A$8:$A$16,0))</f>
        <v>0.57999999999999996</v>
      </c>
      <c r="I6" s="25">
        <f t="shared" si="1"/>
        <v>1</v>
      </c>
    </row>
    <row r="7" spans="1:9" x14ac:dyDescent="0.3">
      <c r="A7" s="25" t="s">
        <v>59</v>
      </c>
      <c r="B7" s="26">
        <f>COUNTIFS(Data!$F$2:$F$2001,A7)</f>
        <v>248</v>
      </c>
      <c r="C7" s="26">
        <f>SUMIFS(Data!$P$2:$P$2001,Data!$F$2:$F$2001,A7)</f>
        <v>31386.840000000007</v>
      </c>
      <c r="D7" s="26">
        <f>SUMIFS(Data!$S$2:$S$2001,Data!$F$2:$F$2001,A7)</f>
        <v>6050.9327999999987</v>
      </c>
      <c r="E7" s="27">
        <f t="shared" si="0"/>
        <v>0.19278566431026498</v>
      </c>
      <c r="F7" s="28">
        <f>IFERROR(AVERAGEIFS(Data!$G$2:$G$2001,Data!$F$2:$F$2001,A7),0)</f>
        <v>104.5154435483871</v>
      </c>
      <c r="G7" s="37">
        <f>IFERROR(AVERAGEIFS(Data!$J$2:$J$2001,Data!$F$2:$F$2001,A7),0)</f>
        <v>4.245967741935484</v>
      </c>
      <c r="H7" s="40">
        <f>INDEX(Assumptions!$B$8:$B$16,MATCH(A7,Assumptions!$A$8:$A$16,0))</f>
        <v>0.64</v>
      </c>
      <c r="I7" s="25">
        <f t="shared" si="1"/>
        <v>4</v>
      </c>
    </row>
    <row r="8" spans="1:9" x14ac:dyDescent="0.3">
      <c r="A8" s="25" t="s">
        <v>79</v>
      </c>
      <c r="B8" s="26">
        <f>COUNTIFS(Data!$F$2:$F$2001,A8)</f>
        <v>218</v>
      </c>
      <c r="C8" s="26">
        <f>SUMIFS(Data!$P$2:$P$2001,Data!$F$2:$F$2001,A8)</f>
        <v>29964.940000000006</v>
      </c>
      <c r="D8" s="26">
        <f>SUMIFS(Data!$S$2:$S$2001,Data!$F$2:$F$2001,A8)</f>
        <v>4792.0619999999999</v>
      </c>
      <c r="E8" s="27">
        <f t="shared" si="0"/>
        <v>0.15992229585642417</v>
      </c>
      <c r="F8" s="28">
        <f>IFERROR(AVERAGEIFS(Data!$G$2:$G$2001,Data!$F$2:$F$2001,A8),0)</f>
        <v>116.06027522935774</v>
      </c>
      <c r="G8" s="37">
        <f>IFERROR(AVERAGEIFS(Data!$J$2:$J$2001,Data!$F$2:$F$2001,A8),0)</f>
        <v>4.1788990825688073</v>
      </c>
      <c r="H8" s="40">
        <f>INDEX(Assumptions!$B$8:$B$16,MATCH(A8,Assumptions!$A$8:$A$16,0))</f>
        <v>0.7</v>
      </c>
      <c r="I8" s="25">
        <f t="shared" si="1"/>
        <v>5</v>
      </c>
    </row>
    <row r="9" spans="1:9" x14ac:dyDescent="0.3">
      <c r="A9" s="25" t="s">
        <v>53</v>
      </c>
      <c r="B9" s="26">
        <f>COUNTIFS(Data!$F$2:$F$2001,A9)</f>
        <v>203</v>
      </c>
      <c r="C9" s="26">
        <f>SUMIFS(Data!$P$2:$P$2001,Data!$F$2:$F$2001,A9)</f>
        <v>33621.589999999997</v>
      </c>
      <c r="D9" s="26">
        <f>SUMIFS(Data!$S$2:$S$2001,Data!$F$2:$F$2001,A9)</f>
        <v>4712.745600000002</v>
      </c>
      <c r="E9" s="27">
        <f t="shared" si="0"/>
        <v>0.14017021800575175</v>
      </c>
      <c r="F9" s="28">
        <f>IFERROR(AVERAGEIFS(Data!$G$2:$G$2001,Data!$F$2:$F$2001,A9),0)</f>
        <v>142.54610837438423</v>
      </c>
      <c r="G9" s="37">
        <f>IFERROR(AVERAGEIFS(Data!$J$2:$J$2001,Data!$F$2:$F$2001,A9),0)</f>
        <v>4.1724137931034484</v>
      </c>
      <c r="H9" s="40">
        <f>INDEX(Assumptions!$B$8:$B$16,MATCH(A9,Assumptions!$A$8:$A$16,0))</f>
        <v>0.74</v>
      </c>
      <c r="I9" s="25">
        <f t="shared" si="1"/>
        <v>6</v>
      </c>
    </row>
    <row r="10" spans="1:9" x14ac:dyDescent="0.3">
      <c r="A10" s="25" t="s">
        <v>64</v>
      </c>
      <c r="B10" s="26">
        <f>COUNTIFS(Data!$F$2:$F$2001,A10)</f>
        <v>188</v>
      </c>
      <c r="C10" s="26">
        <f>SUMIFS(Data!$P$2:$P$2001,Data!$F$2:$F$2001,A10)</f>
        <v>35149.83</v>
      </c>
      <c r="D10" s="26">
        <f>SUMIFS(Data!$S$2:$S$2001,Data!$F$2:$F$2001,A10)</f>
        <v>7898.7431999999981</v>
      </c>
      <c r="E10" s="27">
        <f t="shared" si="0"/>
        <v>0.22471639834388951</v>
      </c>
      <c r="F10" s="28">
        <f>IFERROR(AVERAGEIFS(Data!$G$2:$G$2001,Data!$F$2:$F$2001,A10),0)</f>
        <v>164.03712765957445</v>
      </c>
      <c r="G10" s="37">
        <f>IFERROR(AVERAGEIFS(Data!$J$2:$J$2001,Data!$F$2:$F$2001,A10),0)</f>
        <v>4.1968085106382977</v>
      </c>
      <c r="H10" s="40">
        <f>INDEX(Assumptions!$B$8:$B$16,MATCH(A10,Assumptions!$A$8:$A$16,0))</f>
        <v>0.66</v>
      </c>
      <c r="I10" s="25">
        <f t="shared" si="1"/>
        <v>3</v>
      </c>
    </row>
    <row r="11" spans="1:9" x14ac:dyDescent="0.3">
      <c r="A11" s="25" t="s">
        <v>111</v>
      </c>
      <c r="B11" s="26">
        <f>COUNTIFS(Data!$F$2:$F$2001,A11)</f>
        <v>219</v>
      </c>
      <c r="C11" s="26">
        <f>SUMIFS(Data!$P$2:$P$2001,Data!$F$2:$F$2001,A11)</f>
        <v>23840.830000000005</v>
      </c>
      <c r="D11" s="26">
        <f>SUMIFS(Data!$S$2:$S$2001,Data!$F$2:$F$2001,A11)</f>
        <v>4143.1074999999983</v>
      </c>
      <c r="E11" s="27">
        <f t="shared" si="0"/>
        <v>0.17378201597847043</v>
      </c>
      <c r="F11" s="28">
        <f>IFERROR(AVERAGEIFS(Data!$G$2:$G$2001,Data!$F$2:$F$2001,A11),0)</f>
        <v>86.840867579908689</v>
      </c>
      <c r="G11" s="37">
        <f>IFERROR(AVERAGEIFS(Data!$J$2:$J$2001,Data!$F$2:$F$2001,A11),0)</f>
        <v>4.1963470319634704</v>
      </c>
      <c r="H11" s="40">
        <f>INDEX(Assumptions!$B$8:$B$16,MATCH(A11,Assumptions!$A$8:$A$16,0))</f>
        <v>0.63</v>
      </c>
      <c r="I11" s="25">
        <f t="shared" si="1"/>
        <v>7</v>
      </c>
    </row>
    <row r="12" spans="1:9" x14ac:dyDescent="0.3">
      <c r="A12" s="25" t="s">
        <v>44</v>
      </c>
      <c r="B12" s="26">
        <f>COUNTIFS(Data!$F$2:$F$2001,A12)</f>
        <v>155</v>
      </c>
      <c r="C12" s="26">
        <f>SUMIFS(Data!$P$2:$P$2001,Data!$F$2:$F$2001,A12)</f>
        <v>18719.230000000007</v>
      </c>
      <c r="D12" s="26">
        <f>SUMIFS(Data!$S$2:$S$2001,Data!$F$2:$F$2001,A12)</f>
        <v>4133.4219999999996</v>
      </c>
      <c r="E12" s="27">
        <f t="shared" si="0"/>
        <v>0.2208115397908994</v>
      </c>
      <c r="F12" s="28">
        <f>IFERROR(AVERAGEIFS(Data!$G$2:$G$2001,Data!$F$2:$F$2001,A12),0)</f>
        <v>99.128774193548381</v>
      </c>
      <c r="G12" s="37">
        <f>IFERROR(AVERAGEIFS(Data!$J$2:$J$2001,Data!$F$2:$F$2001,A12),0)</f>
        <v>4.2193548387096778</v>
      </c>
      <c r="H12" s="40">
        <f>INDEX(Assumptions!$B$8:$B$16,MATCH(A12,Assumptions!$A$8:$A$16,0))</f>
        <v>0.6</v>
      </c>
      <c r="I12" s="25">
        <f t="shared" si="1"/>
        <v>8</v>
      </c>
    </row>
    <row r="13" spans="1:9" x14ac:dyDescent="0.3">
      <c r="A13" s="25" t="s">
        <v>57</v>
      </c>
      <c r="B13" s="26">
        <f>COUNTIFS(Data!$F$2:$F$2001,A13)</f>
        <v>120</v>
      </c>
      <c r="C13" s="26">
        <f>SUMIFS(Data!$P$2:$P$2001,Data!$F$2:$F$2001,A13)</f>
        <v>16372.639999999994</v>
      </c>
      <c r="D13" s="26">
        <f>SUMIFS(Data!$S$2:$S$2001,Data!$F$2:$F$2001,A13)</f>
        <v>2802.1187999999993</v>
      </c>
      <c r="E13" s="27">
        <f t="shared" si="0"/>
        <v>0.17114642476717257</v>
      </c>
      <c r="F13" s="28">
        <f>IFERROR(AVERAGEIFS(Data!$G$2:$G$2001,Data!$F$2:$F$2001,A13),0)</f>
        <v>114.36324999999997</v>
      </c>
      <c r="G13" s="37">
        <f>IFERROR(AVERAGEIFS(Data!$J$2:$J$2001,Data!$F$2:$F$2001,A13),0)</f>
        <v>4.2666666666666666</v>
      </c>
      <c r="H13" s="40">
        <f>INDEX(Assumptions!$B$8:$B$16,MATCH(A13,Assumptions!$A$8:$A$16,0))</f>
        <v>0.68</v>
      </c>
      <c r="I13" s="25">
        <f t="shared" si="1"/>
        <v>9</v>
      </c>
    </row>
  </sheetData>
  <mergeCells count="1">
    <mergeCell ref="A1:C1"/>
  </mergeCells>
  <conditionalFormatting sqref="D5:D13">
    <cfRule type="dataBar" priority="2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{78A7C4CD-4A25-4789-8214-E080728A6A13}</x14:id>
        </ext>
      </extLst>
    </cfRule>
  </conditionalFormatting>
  <conditionalFormatting sqref="E5:E13">
    <cfRule type="colorScale" priority="3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A7C4CD-4A25-4789-8214-E080728A6A13}">
            <x14:dataBar axisPosition="none">
              <x14:cfvo type="min"/>
              <x14:cfvo type="max"/>
              <x14:negativeFillColor rgb="FF63BE7B"/>
            </x14:dataBar>
          </x14:cfRule>
          <xm:sqref>D5:D13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zoomScale="95" zoomScaleNormal="100" workbookViewId="0">
      <selection activeCell="F7" sqref="F7"/>
    </sheetView>
  </sheetViews>
  <sheetFormatPr defaultColWidth="8.6640625" defaultRowHeight="14.4" x14ac:dyDescent="0.3"/>
  <cols>
    <col min="1" max="7" width="19" customWidth="1"/>
  </cols>
  <sheetData>
    <row r="1" spans="1:7" ht="22.8" x14ac:dyDescent="0.4">
      <c r="A1" s="1" t="s">
        <v>0</v>
      </c>
    </row>
    <row r="2" spans="1:7" x14ac:dyDescent="0.3">
      <c r="A2" s="2" t="s">
        <v>1</v>
      </c>
    </row>
    <row r="4" spans="1:7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30" customHeight="1" x14ac:dyDescent="0.3">
      <c r="A5" s="4">
        <f>COUNTA(Data!$A$2:$A$2001)</f>
        <v>2000</v>
      </c>
      <c r="B5" s="4">
        <f>SUM(Data!$P$2:$P$2001)</f>
        <v>264925.6599999998</v>
      </c>
      <c r="C5" s="4">
        <f>SUM(Data!$S$2:$S$2001)</f>
        <v>50856.567900000038</v>
      </c>
      <c r="D5" s="5">
        <f>C5/B5</f>
        <v>0.19196542871687128</v>
      </c>
      <c r="E5" s="6">
        <f>AVERAGE(Data!$M$2:$M$2001)</f>
        <v>12.457000000000001</v>
      </c>
      <c r="F5" s="5">
        <f>SUM(Data!$O$2:$O$2001)/COUNTA(Data!$A$2:$A$2001)</f>
        <v>0.92749999999999999</v>
      </c>
      <c r="G5" s="7">
        <f>AVERAGE(Data!$J$2:$J$2001)</f>
        <v>4.2145000000000001</v>
      </c>
    </row>
    <row r="7" spans="1:7" ht="45.6" customHeight="1" x14ac:dyDescent="0.3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</row>
    <row r="8" spans="1:7" ht="30" customHeight="1" x14ac:dyDescent="0.3">
      <c r="A8" s="8" t="str">
        <f>INDEX('State Analysis'!$A$5:$A$16,MATCH(MAX('State Analysis'!$B$5:$B$16),'State Analysis'!$B$5:$B$16,0))</f>
        <v>SP</v>
      </c>
      <c r="B8" s="8" t="str">
        <f>INDEX('State Analysis'!$A$5:$A$16,MATCH(MAX('State Analysis'!$F$5:$F$16),'State Analysis'!$F$5:$F$16,0))</f>
        <v>SP</v>
      </c>
      <c r="C8" s="8" t="str">
        <f>INDEX('State Analysis'!$A$5:$A$16,MATCH(MAX('State Analysis'!$J$5:$J$16),'State Analysis'!$J$5:$J$16,0))</f>
        <v>PE</v>
      </c>
      <c r="D8" s="9">
        <f>INDEX('Monthly Trend'!$A$5:$A$24,MATCH(MAX('Monthly Trend'!$B$5:$B$24),'Monthly Trend'!$B$5:$B$24,0))</f>
        <v>45870</v>
      </c>
      <c r="E8" s="8" t="str">
        <f>INDEX('Category Analysis'!$A$5:$A$13,MATCH(1,'Category Analysis'!$I$5:$I$13,0))</f>
        <v>health_beauty</v>
      </c>
      <c r="F8" s="10">
        <f>COUNTIF('State Analysis'!$O$5:$O$16,"High volume, low margin")</f>
        <v>1</v>
      </c>
      <c r="G8" s="5">
        <f>1-F5</f>
        <v>7.2500000000000009E-2</v>
      </c>
    </row>
    <row r="10" spans="1:7" ht="15.6" x14ac:dyDescent="0.3">
      <c r="A10" s="11" t="s">
        <v>16</v>
      </c>
    </row>
    <row r="11" spans="1:7" ht="30" customHeight="1" x14ac:dyDescent="0.3">
      <c r="A11" s="53" t="str">
        <f>"1. "&amp;INDEX('State Analysis'!$A$5:$A$16,MATCH(SUMPRODUCT(MAX(('State Analysis'!$L$5:$L$16&lt;=4)*'State Analysis'!$M$5:$M$16)),'State Analysis'!$M$5:$M$16,0))&amp;" is a top-4 state by orders ("&amp;TEXT(INDEX('State Analysis'!$C$5:$C$16,MATCH(SUMPRODUCT(MAX(('State Analysis'!$L$5:$L$16&lt;=4)*'State Analysis'!$M$5:$M$16)),'State Analysis'!$M$5:$M$16,0)),"0.0%")&amp;" of volume) yet ranks #"&amp;SUMPRODUCT(MAX(('State Analysis'!$L$5:$L$16&lt;=4)*'State Analysis'!$M$5:$M$16))&amp;" of 12 on margin ("&amp;TEXT(INDEX('State Analysis'!$F$5:$F$16,MATCH(SUMPRODUCT(MAX(('State Analysis'!$L$5:$L$16&lt;=4)*'State Analysis'!$M$5:$M$16)),'State Analysis'!$M$5:$M$16,0)),"0.0%")&amp;" vs "&amp;TEXT(MAX('State Analysis'!$F$5:$F$16),"0.0%")&amp;" for "&amp;B8&amp;") - high order volume does not mean higher profit."</f>
        <v>1. RJ is a top-4 state by orders (12.6% of volume) yet ranks #8 of 12 on margin (17.0% vs 21.8% for SP) - high order volume does not mean higher profit.</v>
      </c>
      <c r="B11" s="53"/>
      <c r="C11" s="53"/>
      <c r="D11" s="53"/>
      <c r="E11" s="53"/>
      <c r="F11" s="53"/>
      <c r="G11" s="53"/>
    </row>
    <row r="12" spans="1:7" ht="30" customHeight="1" x14ac:dyDescent="0.3">
      <c r="A12" s="53" t="str">
        <f>"2. "&amp;INDEX('State Analysis'!$A$5:$A$16,MATCH(MIN('State Analysis'!$F$5:$F$16),'State Analysis'!$F$5:$F$16,0))&amp;" has the weakest margin ("&amp;TEXT(MIN('State Analysis'!$F$5:$F$16),"0.0%")&amp;"): avg freight "&amp;TEXT(INDEX('State Analysis'!$I$5:$I$16,MATCH(MIN('State Analysis'!$F$5:$F$16),'State Analysis'!$F$5:$F$16,0)),"0.00")&amp;" vs "&amp;TEXT('State Analysis'!$I$17,"0.00")&amp;" overall, so shipping cost eats into profit."</f>
        <v>2. BA has the weakest margin (11.3%): avg freight 32.07 vs 21.95 overall, so shipping cost eats into profit.</v>
      </c>
      <c r="B12" s="53"/>
      <c r="C12" s="53"/>
      <c r="D12" s="53"/>
      <c r="E12" s="53"/>
      <c r="F12" s="53"/>
      <c r="G12" s="53"/>
    </row>
    <row r="13" spans="1:7" ht="30" customHeight="1" x14ac:dyDescent="0.3">
      <c r="A13" s="53" t="str">
        <f>"3. "&amp;C8&amp;" is the likely delivery bottleneck: "&amp;TEXT(MAX('State Analysis'!$J$5:$J$16),"0.0")&amp;" avg days vs "&amp;TEXT(E5,"0.0")&amp;" overall, with "&amp;TEXT(INDEX('State Analysis'!$K$5:$K$16,MATCH(C8,'State Analysis'!$A$5:$A$16,0)),"0.0%")&amp;" on-time."</f>
        <v>3. PE is the likely delivery bottleneck: 23.5 avg days vs 12.5 overall, with 90.5% on-time.</v>
      </c>
      <c r="B13" s="53"/>
      <c r="C13" s="53"/>
      <c r="D13" s="53"/>
      <c r="E13" s="53"/>
      <c r="F13" s="53"/>
      <c r="G13" s="53"/>
    </row>
    <row r="14" spans="1:7" ht="30" customHeight="1" x14ac:dyDescent="0.3">
      <c r="A14" s="53" t="str">
        <f>"4. Orders delivered in 22+ days score "&amp;TEXT('Delivery Analysis'!D8,"0.00")&amp;" on reviews vs "&amp;TEXT('Delivery Analysis'!D5,"0.00")&amp;" for 0-7 days; late orders lose "&amp;TEXT('Delivery Analysis'!D14,"0.00")&amp;" review points."</f>
        <v>4. Orders delivered in 22+ days score 3.14 on reviews vs 4.42 for 0-7 days; late orders lose 1.67 review points.</v>
      </c>
      <c r="B14" s="53"/>
      <c r="C14" s="53"/>
      <c r="D14" s="53"/>
      <c r="E14" s="53"/>
      <c r="F14" s="53"/>
      <c r="G14" s="53"/>
    </row>
    <row r="15" spans="1:7" ht="30" customHeight="1" x14ac:dyDescent="0.3">
      <c r="A15" s="53" t="str">
        <f>"5. Peak demand was "&amp;TEXT(D8,"mmm-yyyy")&amp;"; "&amp;F8&amp;" top-4 volume state(s) rank in the bottom half for margin (see State Analysis, Insight Flag)."</f>
        <v>5. Peak demand was Aug-2025; 1 top-4 volume state(s) rank in the bottom half for margin (see State Analysis, Insight Flag).</v>
      </c>
      <c r="B15" s="53"/>
      <c r="C15" s="53"/>
      <c r="D15" s="53"/>
      <c r="E15" s="53"/>
      <c r="F15" s="53"/>
      <c r="G15" s="53"/>
    </row>
    <row r="17" spans="1:2" ht="15.6" x14ac:dyDescent="0.3">
      <c r="A17" s="11" t="s">
        <v>17</v>
      </c>
    </row>
    <row r="18" spans="1:2" x14ac:dyDescent="0.3">
      <c r="A18" s="12" t="s">
        <v>18</v>
      </c>
      <c r="B18" s="13" t="s">
        <v>19</v>
      </c>
    </row>
    <row r="19" spans="1:2" x14ac:dyDescent="0.3">
      <c r="A19" s="14" t="s">
        <v>20</v>
      </c>
      <c r="B19" s="15">
        <f>INDEX('State Analysis'!$B$5:$B$16,MATCH($B$18,'State Analysis'!$A$5:$A$16,0))</f>
        <v>909</v>
      </c>
    </row>
    <row r="20" spans="1:2" x14ac:dyDescent="0.3">
      <c r="A20" s="14" t="s">
        <v>3</v>
      </c>
      <c r="B20" s="15">
        <f>INDEX('State Analysis'!$D$5:$D$16,MATCH($B$18,'State Analysis'!$A$5:$A$16,0))</f>
        <v>115617.11000000015</v>
      </c>
    </row>
    <row r="21" spans="1:2" x14ac:dyDescent="0.3">
      <c r="A21" s="14" t="s">
        <v>4</v>
      </c>
      <c r="B21" s="15">
        <f>INDEX('State Analysis'!$E$5:$E$16,MATCH($B$18,'State Analysis'!$A$5:$A$16,0))</f>
        <v>25250.604499999972</v>
      </c>
    </row>
    <row r="22" spans="1:2" x14ac:dyDescent="0.3">
      <c r="A22" s="14" t="s">
        <v>5</v>
      </c>
      <c r="B22" s="16">
        <f>INDEX('State Analysis'!$F$5:$F$16,MATCH($B$18,'State Analysis'!$A$5:$A$16,0))</f>
        <v>0.21839850952856321</v>
      </c>
    </row>
    <row r="23" spans="1:2" x14ac:dyDescent="0.3">
      <c r="A23" s="14" t="s">
        <v>6</v>
      </c>
      <c r="B23" s="17">
        <f>INDEX('State Analysis'!$J$5:$J$16,MATCH($B$18,'State Analysis'!$A$5:$A$16,0))</f>
        <v>8.6655665566556657</v>
      </c>
    </row>
    <row r="24" spans="1:2" x14ac:dyDescent="0.3">
      <c r="A24" s="14" t="s">
        <v>7</v>
      </c>
      <c r="B24" s="16">
        <f>INDEX('State Analysis'!$K$5:$K$16,MATCH($B$18,'State Analysis'!$A$5:$A$16,0))</f>
        <v>0.94609460946094615</v>
      </c>
    </row>
    <row r="25" spans="1:2" x14ac:dyDescent="0.3">
      <c r="A25" s="14" t="s">
        <v>21</v>
      </c>
      <c r="B25" s="18">
        <f>INDEX('State Analysis'!$L$5:$L$16,MATCH($B$18,'State Analysis'!$A$5:$A$16,0))</f>
        <v>1</v>
      </c>
    </row>
    <row r="26" spans="1:2" x14ac:dyDescent="0.3">
      <c r="A26" s="14" t="s">
        <v>22</v>
      </c>
      <c r="B26" s="18">
        <f>INDEX('State Analysis'!$M$5:$M$16,MATCH($B$18,'State Analysis'!$A$5:$A$16,0))</f>
        <v>1</v>
      </c>
    </row>
  </sheetData>
  <mergeCells count="5">
    <mergeCell ref="A11:G11"/>
    <mergeCell ref="A12:G12"/>
    <mergeCell ref="A13:G13"/>
    <mergeCell ref="A14:G14"/>
    <mergeCell ref="A15:G15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'State Analysis'!$A$5:$A$16</xm:f>
          </x14:formula1>
          <x14:formula2>
            <xm:f>0</xm:f>
          </x14:formula2>
          <xm:sqref>B18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Assumptions</vt:lpstr>
      <vt:lpstr>State Analysis</vt:lpstr>
      <vt:lpstr>Monthly Trend</vt:lpstr>
      <vt:lpstr>Delivery Analysis</vt:lpstr>
      <vt:lpstr>Category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jagruti patil</cp:lastModifiedBy>
  <cp:revision>1</cp:revision>
  <dcterms:created xsi:type="dcterms:W3CDTF">2026-10-18T17:56:10Z</dcterms:created>
  <dcterms:modified xsi:type="dcterms:W3CDTF">2026-10-23T06:53:56Z</dcterms:modified>
  <dc:language>en-US</dc:language>
</cp:coreProperties>
</file>